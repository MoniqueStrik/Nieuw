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4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</fonts>
  <fills count="25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</fills>
  <borders count="28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439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313">
        <f>+'Invullen groen'!A75</f>
        <v/>
      </c>
      <c r="B78" s="314">
        <f>+'Invullen groen'!C75</f>
        <v/>
      </c>
      <c r="C78" s="315">
        <f>+'Invullen groen'!G75</f>
        <v/>
      </c>
      <c r="D78" s="316">
        <f>+'Invullen groen'!I75</f>
        <v/>
      </c>
      <c r="E78" s="317">
        <f>+'Invullen groen'!L75</f>
        <v/>
      </c>
      <c r="F78" s="317">
        <f>+'Invullen groen'!M75</f>
        <v/>
      </c>
      <c r="G78" s="317">
        <f>+'Invullen groen'!N75</f>
        <v/>
      </c>
      <c r="H78" s="317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6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6" customHeight="1">
      <c r="A80" s="319">
        <f>+'Invullen groen'!A77</f>
        <v/>
      </c>
      <c r="B80" s="320">
        <f>+'Invullen groen'!C77</f>
        <v/>
      </c>
      <c r="C80" s="321">
        <f>+'Invullen groen'!G77</f>
        <v/>
      </c>
      <c r="D80" s="321">
        <f>+'Invullen groen'!I77</f>
        <v/>
      </c>
      <c r="E80" s="322">
        <f>+'Invullen groen'!L77</f>
        <v/>
      </c>
      <c r="F80" s="322">
        <f>+'Invullen groen'!M77</f>
        <v/>
      </c>
      <c r="G80" s="322">
        <f>+'Invullen groen'!N77</f>
        <v/>
      </c>
      <c r="H80" s="32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323">
        <f>+'Invullen groen'!A110</f>
        <v/>
      </c>
      <c r="B113" s="324" t="n"/>
      <c r="C113" s="325">
        <f>+'Invullen groen'!G110</f>
        <v/>
      </c>
      <c r="D113" s="326">
        <f>+'Invullen groen'!I110</f>
        <v/>
      </c>
      <c r="E113" s="327">
        <f>+'Invullen groen'!L110</f>
        <v/>
      </c>
      <c r="F113" s="327">
        <f>+'Invullen groen'!M110</f>
        <v/>
      </c>
      <c r="G113" s="327">
        <f>+'Invullen groen'!N110</f>
        <v/>
      </c>
      <c r="H113" s="327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387">
        <f>+'Invullen groen'!A112</f>
        <v/>
      </c>
      <c r="B114" s="388">
        <f>+'Invullen groen'!C114</f>
        <v/>
      </c>
      <c r="C114" s="389">
        <f>+'Invullen groen'!G114</f>
        <v/>
      </c>
      <c r="D114" s="390">
        <f>+'Invullen groen'!I114</f>
        <v/>
      </c>
      <c r="E114" s="391">
        <f>+'Invullen groen'!L112</f>
        <v/>
      </c>
      <c r="F114" s="392">
        <f>+'Invullen groen'!M114</f>
        <v/>
      </c>
      <c r="G114" s="392">
        <f>+'Invullen groen'!N114</f>
        <v/>
      </c>
      <c r="H114" s="392">
        <f>+'Invullen groen'!O114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groen'!I120</f>
        <v/>
      </c>
      <c r="E120" s="399">
        <f>+'Invullen groen'!L120</f>
        <v/>
      </c>
      <c r="F120" s="399">
        <f>+'Invullen groen'!M120</f>
        <v/>
      </c>
      <c r="G120" s="399">
        <f>+'Invullen groen'!N120</f>
        <v/>
      </c>
      <c r="H120" s="399">
        <f>+'Invullen groen'!O120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groen'!I170</f>
        <v/>
      </c>
      <c r="E170" s="405">
        <f>+'Invullen groen'!L170</f>
        <v/>
      </c>
      <c r="F170" s="405">
        <f>+'Invullen groen'!M170</f>
        <v/>
      </c>
      <c r="G170" s="405">
        <f>+'Invullen groen'!N170</f>
        <v/>
      </c>
      <c r="H170" s="405">
        <f>+'Invullen groen'!O170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 s="234">
        <f>IFERROR(IF('Invullen groen'!E91&gt;0,'Invullen groen'!E91,""),"")</f>
        <v/>
      </c>
      <c r="B76" s="234">
        <f>IFERROR(IF('Invullen groen'!H91&gt;0,'Invullen groen'!H91,""),"")</f>
        <v/>
      </c>
      <c r="C76" s="234">
        <f>IFERROR(IF('Invullen groen'!J91&gt;0,'Invullen groen'!J91,""),"")</f>
        <v/>
      </c>
      <c r="E76" s="234">
        <f>IFERROR(IF(LEN(J76)&lt;=36,J76,IFERROR(LEFT(J76,FIND(CHAR(1),SUBSTITUTE(LEFT(J76,36)," ",CHAR(1),LEN(LEFT(J76,36))-LEN(SUBSTITUTE(LEFT(J76,36)," ",""))))-1),LEFT(J76,36))),"")</f>
        <v/>
      </c>
      <c r="F76" s="235">
        <f>IFERROR(IF('Invullen groen'!L91=0,"",INT('Invullen groen'!L91)),"")</f>
        <v/>
      </c>
      <c r="G76" s="235">
        <f>IFERROR(IF('Invullen groen'!M91=0,"",INT('Invullen groen'!M91)),"")</f>
        <v/>
      </c>
      <c r="H76" s="235">
        <f>IFERROR(IF('Invullen groen'!N91=0,"",INT('Invullen groen'!N91)),"")</f>
        <v/>
      </c>
      <c r="I76" s="235">
        <f>IFERROR(IF('Invullen groen'!O91=0,"",INT('Invullen groen'!O91)),"")</f>
        <v/>
      </c>
      <c r="J76" s="234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 s="234">
        <f>IFERROR(IF('Invullen groen'!E92&gt;0,'Invullen groen'!E92,""),"")</f>
        <v/>
      </c>
      <c r="B77" s="234">
        <f>IFERROR(IF('Invullen groen'!H92&gt;0,'Invullen groen'!H92,""),"")</f>
        <v/>
      </c>
      <c r="C77" s="234">
        <f>IFERROR(IF('Invullen groen'!J92&gt;0,'Invullen groen'!J92,""),"")</f>
        <v/>
      </c>
      <c r="E77" s="234">
        <f>IFERROR(IF(LEN(J77)&lt;=36,J77,IFERROR(LEFT(J77,FIND(CHAR(1),SUBSTITUTE(LEFT(J77,36)," ",CHAR(1),LEN(LEFT(J77,36))-LEN(SUBSTITUTE(LEFT(J77,36)," ",""))))-1),LEFT(J77,36))),"")</f>
        <v/>
      </c>
      <c r="F77" s="235">
        <f>IFERROR(IF('Invullen groen'!L92=0,"",INT('Invullen groen'!L92)),"")</f>
        <v/>
      </c>
      <c r="G77" s="235">
        <f>IFERROR(IF('Invullen groen'!M92=0,"",INT('Invullen groen'!M92)),"")</f>
        <v/>
      </c>
      <c r="H77" s="235">
        <f>IFERROR(IF('Invullen groen'!N92=0,"",INT('Invullen groen'!N92)),"")</f>
        <v/>
      </c>
      <c r="I77" s="235">
        <f>IFERROR(IF('Invullen groen'!O92=0,"",INT('Invullen groen'!O92)),"")</f>
        <v/>
      </c>
      <c r="J77" s="234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 s="234">
        <f>IFERROR(IF('Invullen groen'!E93&gt;0,'Invullen groen'!E93,""),"")</f>
        <v/>
      </c>
      <c r="B78" s="234">
        <f>IFERROR(IF('Invullen groen'!H93&gt;0,'Invullen groen'!H93,""),"")</f>
        <v/>
      </c>
      <c r="C78" s="234">
        <f>IFERROR(IF('Invullen groen'!J93&gt;0,'Invullen groen'!J93,""),"")</f>
        <v/>
      </c>
      <c r="E78" s="234">
        <f>IFERROR(IF(LEN(J78)&lt;=36,J78,IFERROR(LEFT(J78,FIND(CHAR(1),SUBSTITUTE(LEFT(J78,36)," ",CHAR(1),LEN(LEFT(J78,36))-LEN(SUBSTITUTE(LEFT(J78,36)," ",""))))-1),LEFT(J78,36))),"")</f>
        <v/>
      </c>
      <c r="F78" s="235">
        <f>IFERROR(IF('Invullen groen'!L93=0,"",INT('Invullen groen'!L93)),"")</f>
        <v/>
      </c>
      <c r="G78" s="235">
        <f>IFERROR(IF('Invullen groen'!M93=0,"",INT('Invullen groen'!M93)),"")</f>
        <v/>
      </c>
      <c r="H78" s="235">
        <f>IFERROR(IF('Invullen groen'!N93=0,"",INT('Invullen groen'!N93)),"")</f>
        <v/>
      </c>
      <c r="I78" s="235">
        <f>IFERROR(IF('Invullen groen'!O93=0,"",INT('Invullen groen'!O93)),"")</f>
        <v/>
      </c>
      <c r="J78" s="234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 s="234">
        <f>IFERROR(IF('Invullen groen'!E94&gt;0,'Invullen groen'!E94,""),"")</f>
        <v/>
      </c>
      <c r="B79" s="234">
        <f>IFERROR(IF('Invullen groen'!H94&gt;0,'Invullen groen'!H94,""),"")</f>
        <v/>
      </c>
      <c r="C79" s="234">
        <f>IFERROR(IF('Invullen groen'!J94&gt;0,'Invullen groen'!J94,""),"")</f>
        <v/>
      </c>
      <c r="E79" s="234">
        <f>IFERROR(IF(LEN(J79)&lt;=36,J79,IFERROR(LEFT(J79,FIND(CHAR(1),SUBSTITUTE(LEFT(J79,36)," ",CHAR(1),LEN(LEFT(J79,36))-LEN(SUBSTITUTE(LEFT(J79,36)," ",""))))-1),LEFT(J79,36))),"")</f>
        <v/>
      </c>
      <c r="F79" s="235">
        <f>IFERROR(IF('Invullen groen'!L94=0,"",INT('Invullen groen'!L94)),"")</f>
        <v/>
      </c>
      <c r="G79" s="235">
        <f>IFERROR(IF('Invullen groen'!M94=0,"",INT('Invullen groen'!M94)),"")</f>
        <v/>
      </c>
      <c r="H79" s="235">
        <f>IFERROR(IF('Invullen groen'!N94=0,"",INT('Invullen groen'!N94)),"")</f>
        <v/>
      </c>
      <c r="I79" s="235">
        <f>IFERROR(IF('Invullen groen'!O94=0,"",INT('Invullen groen'!O94)),"")</f>
        <v/>
      </c>
      <c r="J79" s="234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 s="234">
        <f>IFERROR(IF('Invullen groen'!E95&gt;0,'Invullen groen'!E95,""),"")</f>
        <v/>
      </c>
      <c r="B80" s="234">
        <f>IFERROR(IF('Invullen groen'!H95&gt;0,'Invullen groen'!H95,""),"")</f>
        <v/>
      </c>
      <c r="C80" s="234">
        <f>IFERROR(IF('Invullen groen'!J95&gt;0,'Invullen groen'!J95,""),"")</f>
        <v/>
      </c>
      <c r="E80" s="234">
        <f>IFERROR(IF(LEN(J80)&lt;=36,J80,IFERROR(LEFT(J80,FIND(CHAR(1),SUBSTITUTE(LEFT(J80,36)," ",CHAR(1),LEN(LEFT(J80,36))-LEN(SUBSTITUTE(LEFT(J80,36)," ",""))))-1),LEFT(J80,36))),"")</f>
        <v/>
      </c>
      <c r="F80" s="235">
        <f>IFERROR(IF('Invullen groen'!L95=0,"",INT('Invullen groen'!L95)),"")</f>
        <v/>
      </c>
      <c r="G80" s="235">
        <f>IFERROR(IF('Invullen groen'!M95=0,"",INT('Invullen groen'!M95)),"")</f>
        <v/>
      </c>
      <c r="H80" s="235">
        <f>IFERROR(IF('Invullen groen'!N95=0,"",INT('Invullen groen'!N95)),"")</f>
        <v/>
      </c>
      <c r="I80" s="235">
        <f>IFERROR(IF('Invullen groen'!O95=0,"",INT('Invullen groen'!O95)),"")</f>
        <v/>
      </c>
      <c r="J80" s="234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 s="234">
        <f>IFERROR(IF('Invullen groen'!E96&gt;0,'Invullen groen'!E96,""),"")</f>
        <v/>
      </c>
      <c r="B81" s="234">
        <f>IFERROR(IF('Invullen groen'!H96&gt;0,'Invullen groen'!H96,""),"")</f>
        <v/>
      </c>
      <c r="C81" s="234">
        <f>IFERROR(IF('Invullen groen'!J96&gt;0,'Invullen groen'!J96,""),"")</f>
        <v/>
      </c>
      <c r="E81" s="234">
        <f>IFERROR(IF(LEN(J81)&lt;=36,J81,IFERROR(LEFT(J81,FIND(CHAR(1),SUBSTITUTE(LEFT(J81,36)," ",CHAR(1),LEN(LEFT(J81,36))-LEN(SUBSTITUTE(LEFT(J81,36)," ",""))))-1),LEFT(J81,36))),"")</f>
        <v/>
      </c>
      <c r="F81" s="235">
        <f>IFERROR(IF('Invullen groen'!L96=0,"",INT('Invullen groen'!L96)),"")</f>
        <v/>
      </c>
      <c r="G81" s="235">
        <f>IFERROR(IF('Invullen groen'!M96=0,"",INT('Invullen groen'!M96)),"")</f>
        <v/>
      </c>
      <c r="H81" s="235">
        <f>IFERROR(IF('Invullen groen'!N96=0,"",INT('Invullen groen'!N96)),"")</f>
        <v/>
      </c>
      <c r="I81" s="235">
        <f>IFERROR(IF('Invullen groen'!O96=0,"",INT('Invullen groen'!O96)),"")</f>
        <v/>
      </c>
      <c r="J81" s="234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 s="234">
        <f>IFERROR(IF('Invullen groen'!E97&gt;0,'Invullen groen'!E97,""),"")</f>
        <v/>
      </c>
      <c r="B82" s="234">
        <f>IFERROR(IF('Invullen groen'!H97&gt;0,'Invullen groen'!H97,""),"")</f>
        <v/>
      </c>
      <c r="C82" s="234">
        <f>IFERROR(IF('Invullen groen'!J97&gt;0,'Invullen groen'!J97,""),"")</f>
        <v/>
      </c>
      <c r="E82" s="234">
        <f>IFERROR(IF(LEN(J82)&lt;=36,J82,IFERROR(LEFT(J82,FIND(CHAR(1),SUBSTITUTE(LEFT(J82,36)," ",CHAR(1),LEN(LEFT(J82,36))-LEN(SUBSTITUTE(LEFT(J82,36)," ",""))))-1),LEFT(J82,36))),"")</f>
        <v/>
      </c>
      <c r="F82" s="235">
        <f>IFERROR(IF('Invullen groen'!L97=0,"",INT('Invullen groen'!L97)),"")</f>
        <v/>
      </c>
      <c r="G82" s="235">
        <f>IFERROR(IF('Invullen groen'!M97=0,"",INT('Invullen groen'!M97)),"")</f>
        <v/>
      </c>
      <c r="H82" s="235">
        <f>IFERROR(IF('Invullen groen'!N97=0,"",INT('Invullen groen'!N97)),"")</f>
        <v/>
      </c>
      <c r="I82" s="235">
        <f>IFERROR(IF('Invullen groen'!O97=0,"",INT('Invullen groen'!O97)),"")</f>
        <v/>
      </c>
      <c r="J82" s="234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 s="234">
        <f>IFERROR(IF('Invullen groen'!E98&gt;0,'Invullen groen'!E98,""),"")</f>
        <v/>
      </c>
      <c r="B83" s="234">
        <f>IFERROR(IF('Invullen groen'!H98&gt;0,'Invullen groen'!H98,""),"")</f>
        <v/>
      </c>
      <c r="C83" s="234">
        <f>IFERROR(IF('Invullen groen'!J98&gt;0,'Invullen groen'!J98,""),"")</f>
        <v/>
      </c>
      <c r="E83" s="234">
        <f>IFERROR(IF(LEN(J83)&lt;=36,J83,IFERROR(LEFT(J83,FIND(CHAR(1),SUBSTITUTE(LEFT(J83,36)," ",CHAR(1),LEN(LEFT(J83,36))-LEN(SUBSTITUTE(LEFT(J83,36)," ",""))))-1),LEFT(J83,36))),"")</f>
        <v/>
      </c>
      <c r="F83" s="235">
        <f>IFERROR(IF('Invullen groen'!L98=0,"",INT('Invullen groen'!L98)),"")</f>
        <v/>
      </c>
      <c r="G83" s="235">
        <f>IFERROR(IF('Invullen groen'!M98=0,"",INT('Invullen groen'!M98)),"")</f>
        <v/>
      </c>
      <c r="H83" s="235">
        <f>IFERROR(IF('Invullen groen'!N98=0,"",INT('Invullen groen'!N98)),"")</f>
        <v/>
      </c>
      <c r="I83" s="235">
        <f>IFERROR(IF('Invullen groen'!O98=0,"",INT('Invullen groen'!O98)),"")</f>
        <v/>
      </c>
      <c r="J83" s="234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 s="234">
        <f>IFERROR(IF('Invullen groen'!E99&gt;0,'Invullen groen'!E99,""),"")</f>
        <v/>
      </c>
      <c r="B84" s="234">
        <f>IFERROR(IF('Invullen groen'!H99&gt;0,'Invullen groen'!H99,""),"")</f>
        <v/>
      </c>
      <c r="C84" s="234">
        <f>IFERROR(IF('Invullen groen'!J99&gt;0,'Invullen groen'!J99,""),"")</f>
        <v/>
      </c>
      <c r="E84" s="234">
        <f>IFERROR(IF(LEN(J84)&lt;=36,J84,IFERROR(LEFT(J84,FIND(CHAR(1),SUBSTITUTE(LEFT(J84,36)," ",CHAR(1),LEN(LEFT(J84,36))-LEN(SUBSTITUTE(LEFT(J84,36)," ",""))))-1),LEFT(J84,36))),"")</f>
        <v/>
      </c>
      <c r="F84" s="235">
        <f>IFERROR(IF('Invullen groen'!L99=0,"",INT('Invullen groen'!L99)),"")</f>
        <v/>
      </c>
      <c r="G84" s="235">
        <f>IFERROR(IF('Invullen groen'!M99=0,"",INT('Invullen groen'!M99)),"")</f>
        <v/>
      </c>
      <c r="H84" s="235">
        <f>IFERROR(IF('Invullen groen'!N99=0,"",INT('Invullen groen'!N99)),"")</f>
        <v/>
      </c>
      <c r="I84" s="235">
        <f>IFERROR(IF('Invullen groen'!O99=0,"",INT('Invullen groen'!O99)),"")</f>
        <v/>
      </c>
      <c r="J84" s="23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 s="234">
        <f>IFERROR(IF('Invullen groen'!E100&gt;0,'Invullen groen'!E100,""),"")</f>
        <v/>
      </c>
      <c r="B85" s="234">
        <f>IFERROR(IF('Invullen groen'!H100&gt;0,'Invullen groen'!H100,""),"")</f>
        <v/>
      </c>
      <c r="C85" s="234">
        <f>IFERROR(IF('Invullen groen'!J100&gt;0,'Invullen groen'!J100,""),"")</f>
        <v/>
      </c>
      <c r="E85" s="234">
        <f>IFERROR(IF(LEN(J85)&lt;=36,J85,IFERROR(LEFT(J85,FIND(CHAR(1),SUBSTITUTE(LEFT(J85,36)," ",CHAR(1),LEN(LEFT(J85,36))-LEN(SUBSTITUTE(LEFT(J85,36)," ",""))))-1),LEFT(J85,36))),"")</f>
        <v/>
      </c>
      <c r="F85" s="235">
        <f>IFERROR(IF('Invullen groen'!L100=0,"",INT('Invullen groen'!L100)),"")</f>
        <v/>
      </c>
      <c r="G85" s="235">
        <f>IFERROR(IF('Invullen groen'!M100=0,"",INT('Invullen groen'!M100)),"")</f>
        <v/>
      </c>
      <c r="H85" s="235">
        <f>IFERROR(IF('Invullen groen'!N100=0,"",INT('Invullen groen'!N100)),"")</f>
        <v/>
      </c>
      <c r="I85" s="235">
        <f>IFERROR(IF('Invullen groen'!O100=0,"",INT('Invullen groen'!O100)),"")</f>
        <v/>
      </c>
      <c r="J85" s="234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 s="234">
        <f>IFERROR(IF('Invullen groen'!E101&gt;0,'Invullen groen'!E101,""),"")</f>
        <v/>
      </c>
      <c r="B86" s="234">
        <f>IFERROR(IF('Invullen groen'!H101&gt;0,'Invullen groen'!H101,""),"")</f>
        <v/>
      </c>
      <c r="C86" s="234">
        <f>IFERROR(IF('Invullen groen'!J101&gt;0,'Invullen groen'!J101,""),"")</f>
        <v/>
      </c>
      <c r="E86" s="234">
        <f>IFERROR(IF(LEN(J86)&lt;=36,J86,IFERROR(LEFT(J86,FIND(CHAR(1),SUBSTITUTE(LEFT(J86,36)," ",CHAR(1),LEN(LEFT(J86,36))-LEN(SUBSTITUTE(LEFT(J86,36)," ",""))))-1),LEFT(J86,36))),"")</f>
        <v/>
      </c>
      <c r="F86" s="235">
        <f>IFERROR(IF('Invullen groen'!L101=0,"",INT('Invullen groen'!L101)),"")</f>
        <v/>
      </c>
      <c r="G86" s="235">
        <f>IFERROR(IF('Invullen groen'!M101=0,"",INT('Invullen groen'!M101)),"")</f>
        <v/>
      </c>
      <c r="H86" s="235">
        <f>IFERROR(IF('Invullen groen'!N101=0,"",INT('Invullen groen'!N101)),"")</f>
        <v/>
      </c>
      <c r="I86" s="235">
        <f>IFERROR(IF('Invullen groen'!O101=0,"",INT('Invullen groen'!O101)),"")</f>
        <v/>
      </c>
      <c r="J86" s="234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 s="234">
        <f>IFERROR(IF('Invullen groen'!E102&gt;0,'Invullen groen'!E102,""),"")</f>
        <v/>
      </c>
      <c r="B87" s="234">
        <f>IFERROR(IF('Invullen groen'!H102&gt;0,'Invullen groen'!H102,""),"")</f>
        <v/>
      </c>
      <c r="C87" s="234">
        <f>IFERROR(IF('Invullen groen'!J102&gt;0,'Invullen groen'!J102,""),"")</f>
        <v/>
      </c>
      <c r="E87" s="234">
        <f>IFERROR(IF(LEN(J87)&lt;=36,J87,IFERROR(LEFT(J87,FIND(CHAR(1),SUBSTITUTE(LEFT(J87,36)," ",CHAR(1),LEN(LEFT(J87,36))-LEN(SUBSTITUTE(LEFT(J87,36)," ",""))))-1),LEFT(J87,36))),"")</f>
        <v/>
      </c>
      <c r="F87" s="235">
        <f>IFERROR(IF('Invullen groen'!L102=0,"",INT('Invullen groen'!L102)),"")</f>
        <v/>
      </c>
      <c r="G87" s="235">
        <f>IFERROR(IF('Invullen groen'!M102=0,"",INT('Invullen groen'!M102)),"")</f>
        <v/>
      </c>
      <c r="H87" s="235">
        <f>IFERROR(IF('Invullen groen'!N102=0,"",INT('Invullen groen'!N102)),"")</f>
        <v/>
      </c>
      <c r="I87" s="235">
        <f>IFERROR(IF('Invullen groen'!O102=0,"",INT('Invullen groen'!O102)),"")</f>
        <v/>
      </c>
      <c r="J87" s="234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 s="234">
        <f>IFERROR(IF('Invullen groen'!E103&gt;0,'Invullen groen'!E103,""),"")</f>
        <v/>
      </c>
      <c r="B88" s="234">
        <f>IFERROR(IF('Invullen groen'!H103&gt;0,'Invullen groen'!H103,""),"")</f>
        <v/>
      </c>
      <c r="C88" s="234">
        <f>IFERROR(IF('Invullen groen'!J103&gt;0,'Invullen groen'!J103,""),"")</f>
        <v/>
      </c>
      <c r="E88" s="234">
        <f>IFERROR(IF(LEN(J88)&lt;=36,J88,IFERROR(LEFT(J88,FIND(CHAR(1),SUBSTITUTE(LEFT(J88,36)," ",CHAR(1),LEN(LEFT(J88,36))-LEN(SUBSTITUTE(LEFT(J88,36)," ",""))))-1),LEFT(J88,36))),"")</f>
        <v/>
      </c>
      <c r="F88" s="235">
        <f>IFERROR(IF('Invullen groen'!L103=0,"",INT('Invullen groen'!L103)),"")</f>
        <v/>
      </c>
      <c r="G88" s="235">
        <f>IFERROR(IF('Invullen groen'!M103=0,"",INT('Invullen groen'!M103)),"")</f>
        <v/>
      </c>
      <c r="H88" s="235">
        <f>IFERROR(IF('Invullen groen'!N103=0,"",INT('Invullen groen'!N103)),"")</f>
        <v/>
      </c>
      <c r="I88" s="235">
        <f>IFERROR(IF('Invullen groen'!O103=0,"",INT('Invullen groen'!O103)),"")</f>
        <v/>
      </c>
      <c r="J88" s="234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 s="234">
        <f>IFERROR(IF('Invullen groen'!E104&gt;0,'Invullen groen'!E104,""),"")</f>
        <v/>
      </c>
      <c r="B89" s="234">
        <f>IFERROR(IF('Invullen groen'!H104&gt;0,'Invullen groen'!H104,""),"")</f>
        <v/>
      </c>
      <c r="C89" s="234">
        <f>IFERROR(IF('Invullen groen'!J104&gt;0,'Invullen groen'!J104,""),"")</f>
        <v/>
      </c>
      <c r="E89" s="234">
        <f>IFERROR(IF(LEN(J89)&lt;=36,J89,IFERROR(LEFT(J89,FIND(CHAR(1),SUBSTITUTE(LEFT(J89,36)," ",CHAR(1),LEN(LEFT(J89,36))-LEN(SUBSTITUTE(LEFT(J89,36)," ",""))))-1),LEFT(J89,36))),"")</f>
        <v/>
      </c>
      <c r="F89" s="235">
        <f>IFERROR(IF('Invullen groen'!L104=0,"",INT('Invullen groen'!L104)),"")</f>
        <v/>
      </c>
      <c r="G89" s="235">
        <f>IFERROR(IF('Invullen groen'!M104=0,"",INT('Invullen groen'!M104)),"")</f>
        <v/>
      </c>
      <c r="H89" s="235">
        <f>IFERROR(IF('Invullen groen'!N104=0,"",INT('Invullen groen'!N104)),"")</f>
        <v/>
      </c>
      <c r="I89" s="235">
        <f>IFERROR(IF('Invullen groen'!O104=0,"",INT('Invullen groen'!O104)),"")</f>
        <v/>
      </c>
      <c r="J89" s="234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 s="234">
        <f>IFERROR(IF('Invullen groen'!E105&gt;0,'Invullen groen'!E105,""),"")</f>
        <v/>
      </c>
      <c r="B90" s="234">
        <f>IFERROR(IF('Invullen groen'!H105&gt;0,'Invullen groen'!H105,""),"")</f>
        <v/>
      </c>
      <c r="C90" s="234">
        <f>IFERROR(IF('Invullen groen'!J105&gt;0,'Invullen groen'!J105,""),"")</f>
        <v/>
      </c>
      <c r="E90" s="234">
        <f>IFERROR(IF(LEN(J90)&lt;=36,J90,IFERROR(LEFT(J90,FIND(CHAR(1),SUBSTITUTE(LEFT(J90,36)," ",CHAR(1),LEN(LEFT(J90,36))-LEN(SUBSTITUTE(LEFT(J90,36)," ",""))))-1),LEFT(J90,36))),"")</f>
        <v/>
      </c>
      <c r="F90" s="235">
        <f>IFERROR(IF('Invullen groen'!L105=0,"",INT('Invullen groen'!L105)),"")</f>
        <v/>
      </c>
      <c r="G90" s="235">
        <f>IFERROR(IF('Invullen groen'!M105=0,"",INT('Invullen groen'!M105)),"")</f>
        <v/>
      </c>
      <c r="H90" s="235">
        <f>IFERROR(IF('Invullen groen'!N105=0,"",INT('Invullen groen'!N105)),"")</f>
        <v/>
      </c>
      <c r="I90" s="235">
        <f>IFERROR(IF('Invullen groen'!O105=0,"",INT('Invullen groen'!O105)),"")</f>
        <v/>
      </c>
      <c r="J90" s="234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 s="234">
        <f>IFERROR(IF('Invullen groen'!E106&gt;0,'Invullen groen'!E106,""),"")</f>
        <v/>
      </c>
      <c r="B91" s="234">
        <f>IFERROR(IF('Invullen groen'!H106&gt;0,'Invullen groen'!H106,""),"")</f>
        <v/>
      </c>
      <c r="C91" s="234">
        <f>IFERROR(IF('Invullen groen'!J106&gt;0,'Invullen groen'!J106,""),"")</f>
        <v/>
      </c>
      <c r="E91" s="234">
        <f>IFERROR(IF(LEN(J91)&lt;=36,J91,IFERROR(LEFT(J91,FIND(CHAR(1),SUBSTITUTE(LEFT(J91,36)," ",CHAR(1),LEN(LEFT(J91,36))-LEN(SUBSTITUTE(LEFT(J91,36)," ",""))))-1),LEFT(J91,36))),"")</f>
        <v/>
      </c>
      <c r="F91" s="235">
        <f>IFERROR(IF('Invullen groen'!L106=0,"",INT('Invullen groen'!L106)),"")</f>
        <v/>
      </c>
      <c r="G91" s="235">
        <f>IFERROR(IF('Invullen groen'!M106=0,"",INT('Invullen groen'!M106)),"")</f>
        <v/>
      </c>
      <c r="H91" s="235">
        <f>IFERROR(IF('Invullen groen'!N106=0,"",INT('Invullen groen'!N106)),"")</f>
        <v/>
      </c>
      <c r="I91" s="235">
        <f>IFERROR(IF('Invullen groen'!O106=0,"",INT('Invullen groen'!O106)),"")</f>
        <v/>
      </c>
      <c r="J91" s="234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 s="234">
        <f>IFERROR(IF('Invullen groen'!E107&gt;0,'Invullen groen'!E107,""),"")</f>
        <v/>
      </c>
      <c r="B92" s="234">
        <f>IFERROR(IF('Invullen groen'!H107&gt;0,'Invullen groen'!H107,""),"")</f>
        <v/>
      </c>
      <c r="C92" s="234">
        <f>IFERROR(IF('Invullen groen'!J107&gt;0,'Invullen groen'!J107,""),"")</f>
        <v/>
      </c>
      <c r="E92" s="234">
        <f>IFERROR(IF(LEN(J92)&lt;=36,J92,IFERROR(LEFT(J92,FIND(CHAR(1),SUBSTITUTE(LEFT(J92,36)," ",CHAR(1),LEN(LEFT(J92,36))-LEN(SUBSTITUTE(LEFT(J92,36)," ",""))))-1),LEFT(J92,36))),"")</f>
        <v/>
      </c>
      <c r="F92" s="235">
        <f>IFERROR(IF('Invullen groen'!L107=0,"",INT('Invullen groen'!L107)),"")</f>
        <v/>
      </c>
      <c r="G92" s="235">
        <f>IFERROR(IF('Invullen groen'!M107=0,"",INT('Invullen groen'!M107)),"")</f>
        <v/>
      </c>
      <c r="H92" s="235">
        <f>IFERROR(IF('Invullen groen'!N107=0,"",INT('Invullen groen'!N107)),"")</f>
        <v/>
      </c>
      <c r="I92" s="235">
        <f>IFERROR(IF('Invullen groen'!O107=0,"",INT('Invullen groen'!O107)),"")</f>
        <v/>
      </c>
      <c r="J92" s="234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 s="234">
        <f>IFERROR(IF('Invullen groen'!E108&gt;0,'Invullen groen'!E108,""),"")</f>
        <v/>
      </c>
      <c r="B93" s="234">
        <f>IFERROR(IF('Invullen groen'!H108&gt;0,'Invullen groen'!H108,""),"")</f>
        <v/>
      </c>
      <c r="C93" s="234">
        <f>IFERROR(IF('Invullen groen'!J108&gt;0,'Invullen groen'!J108,""),"")</f>
        <v/>
      </c>
      <c r="E93" s="234">
        <f>IFERROR(IF(LEN(J93)&lt;=36,J93,IFERROR(LEFT(J93,FIND(CHAR(1),SUBSTITUTE(LEFT(J93,36)," ",CHAR(1),LEN(LEFT(J93,36))-LEN(SUBSTITUTE(LEFT(J93,36)," ",""))))-1),LEFT(J93,36))),"")</f>
        <v/>
      </c>
      <c r="F93" s="235">
        <f>IFERROR(IF('Invullen groen'!L108=0,"",INT('Invullen groen'!L108)),"")</f>
        <v/>
      </c>
      <c r="G93" s="235">
        <f>IFERROR(IF('Invullen groen'!M108=0,"",INT('Invullen groen'!M108)),"")</f>
        <v/>
      </c>
      <c r="H93" s="235">
        <f>IFERROR(IF('Invullen groen'!N108=0,"",INT('Invullen groen'!N108)),"")</f>
        <v/>
      </c>
      <c r="I93" s="235">
        <f>IFERROR(IF('Invullen groen'!O108=0,"",INT('Invullen groen'!O108)),"")</f>
        <v/>
      </c>
      <c r="J93" s="234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 s="234">
        <f>IFERROR(IF('Invullen groen'!E109&gt;0,'Invullen groen'!E109,""),"")</f>
        <v/>
      </c>
      <c r="B94" s="234">
        <f>IFERROR(IF('Invullen groen'!H109&gt;0,'Invullen groen'!H109,""),"")</f>
        <v/>
      </c>
      <c r="C94" s="234">
        <f>IFERROR(IF('Invullen groen'!J109&gt;0,'Invullen groen'!J109,""),"")</f>
        <v/>
      </c>
      <c r="E94" s="234">
        <f>IFERROR(IF(LEN(J94)&lt;=36,J94,IFERROR(LEFT(J94,FIND(CHAR(1),SUBSTITUTE(LEFT(J94,36)," ",CHAR(1),LEN(LEFT(J94,36))-LEN(SUBSTITUTE(LEFT(J94,36)," ",""))))-1),LEFT(J94,36))),"")</f>
        <v/>
      </c>
      <c r="F94" s="235">
        <f>IFERROR(IF('Invullen groen'!L109=0,"",INT('Invullen groen'!L109)),"")</f>
        <v/>
      </c>
      <c r="G94" s="235">
        <f>IFERROR(IF('Invullen groen'!M109=0,"",INT('Invullen groen'!M109)),"")</f>
        <v/>
      </c>
      <c r="H94" s="235">
        <f>IFERROR(IF('Invullen groen'!N109=0,"",INT('Invullen groen'!N109)),"")</f>
        <v/>
      </c>
      <c r="I94" s="235">
        <f>IFERROR(IF('Invullen groen'!O109=0,"",INT('Invullen groen'!O109)),"")</f>
        <v/>
      </c>
      <c r="J94" s="23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 t="n"/>
      <c r="F95" s="236" t="n"/>
      <c r="G95" s="236" t="n"/>
      <c r="H95" s="236" t="n"/>
      <c r="I95" s="23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329" t="inlineStr">
        <is>
          <t>A. Uitgaven en inkomsten</t>
        </is>
      </c>
      <c r="B16" s="330" t="n"/>
      <c r="C16" s="330" t="n"/>
      <c r="D16" s="331" t="n"/>
      <c r="E16" s="330" t="n"/>
      <c r="F16" s="332" t="n"/>
      <c r="G16" s="333" t="n"/>
      <c r="H16" s="334" t="n"/>
      <c r="I16" s="335" t="n"/>
      <c r="J16" s="332" t="n"/>
      <c r="K16" s="336" t="n"/>
      <c r="L16" s="337" t="n"/>
      <c r="M16" s="337" t="n"/>
      <c r="N16" s="337" t="n"/>
      <c r="O16" s="337" t="n"/>
      <c r="P16" s="338" t="n"/>
      <c r="Q16" s="339" t="inlineStr">
        <is>
          <t>→ alleen directe lasten en baten; reserves/voorzieningen in sectie B</t>
        </is>
      </c>
      <c r="R16" s="340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350" t="inlineStr">
        <is>
          <t>B. Dekking uitgaven en inkomsten</t>
        </is>
      </c>
      <c r="B77" s="351" t="n"/>
      <c r="C77" s="351" t="n"/>
      <c r="D77" s="352" t="n"/>
      <c r="E77" s="351" t="n"/>
      <c r="F77" s="351" t="n"/>
      <c r="G77" s="352" t="n"/>
      <c r="H77" s="353" t="n"/>
      <c r="I77" s="354" t="n"/>
      <c r="J77" s="351" t="n"/>
      <c r="K77" s="355" t="n"/>
      <c r="L77" s="356" t="n"/>
      <c r="M77" s="356" t="n"/>
      <c r="N77" s="356" t="n"/>
      <c r="O77" s="356" t="n"/>
      <c r="P77" s="357" t="n"/>
      <c r="Q77" s="358" t="inlineStr">
        <is>
          <t>→ reserves, voorzieningen en overige dekkingsbronnen HIER invullen</t>
        </is>
      </c>
      <c r="R77" s="3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40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408">
        <f>IF(L75+L110=0,"✓  Saldo = 0",L75+L110)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409" t="inlineStr">
        <is>
          <t>C. Investeringen</t>
        </is>
      </c>
      <c r="B120" s="410" t="n"/>
      <c r="C120" s="410" t="n"/>
      <c r="D120" s="409" t="n"/>
      <c r="E120" s="411" t="n"/>
      <c r="F120" s="412" t="n"/>
      <c r="G120" s="413" t="n"/>
      <c r="H120" s="414" t="n"/>
      <c r="I120" s="415" t="n"/>
      <c r="J120" s="412" t="n"/>
      <c r="K120" s="416" t="n"/>
      <c r="L120" s="417" t="n"/>
      <c r="M120" s="417" t="n"/>
      <c r="N120" s="417" t="n"/>
      <c r="O120" s="417" t="n"/>
      <c r="P120" s="400" t="n"/>
      <c r="Q120" s="418">
        <f>IF(OR(H120=47201,H120=47100,H120=47200,H120=47500),L120,0)</f>
        <v/>
      </c>
      <c r="R120" s="418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419" t="inlineStr">
        <is>
          <t>D. Reserves</t>
        </is>
      </c>
      <c r="B170" s="420" t="n"/>
      <c r="C170" s="420" t="n"/>
      <c r="D170" s="419" t="n"/>
      <c r="E170" s="420">
        <f>IF(J170&gt;1,"+",0)</f>
        <v/>
      </c>
      <c r="F170" s="421" t="n"/>
      <c r="G170" s="422" t="n"/>
      <c r="H170" s="423" t="n"/>
      <c r="I170" s="424" t="n"/>
      <c r="J170" s="421" t="n"/>
      <c r="K170" s="425" t="n"/>
      <c r="L170" s="426" t="n"/>
      <c r="M170" s="426" t="n"/>
      <c r="N170" s="426" t="n"/>
      <c r="O170" s="426" t="n"/>
      <c r="P170" s="406" t="n"/>
      <c r="Q170" s="427">
        <f>IF(OR(H170=47201,H170=47100,H170=47200,H170=47500),L170,0)</f>
        <v/>
      </c>
      <c r="R170" s="427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361" t="inlineStr">
        <is>
          <t>Corsanr.:</t>
        </is>
      </c>
      <c r="H2" s="362" t="n"/>
      <c r="I2" s="362" t="n"/>
    </row>
    <row r="3" ht="6" customHeight="1">
      <c r="F3" s="360" t="n"/>
      <c r="G3" s="360" t="n"/>
      <c r="H3" s="360" t="n"/>
      <c r="I3" s="360" t="n"/>
    </row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363" t="inlineStr">
        <is>
          <t>Bgr.jaar 2026</t>
        </is>
      </c>
      <c r="G4" s="363" t="inlineStr">
        <is>
          <t>MJR 2027</t>
        </is>
      </c>
      <c r="H4" s="363" t="inlineStr">
        <is>
          <t>MJR 2028</t>
        </is>
      </c>
      <c r="I4" s="363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364">
        <f>IFERROR(IF('Invullen groen'!L18&lt;&gt;0,'Invullen groen'!L18,""),"")</f>
        <v/>
      </c>
      <c r="G5" s="364">
        <f>IFERROR(IF('Invullen groen'!M18&lt;&gt;0,'Invullen groen'!M18,""),"")</f>
        <v/>
      </c>
      <c r="H5" s="364">
        <f>IFERROR(IF('Invullen groen'!N18&lt;&gt;0,'Invullen groen'!N18,""),"")</f>
        <v/>
      </c>
      <c r="I5" s="364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364">
        <f>IFERROR(IF('Invullen groen'!L19&lt;&gt;0,'Invullen groen'!L19,""),"")</f>
        <v/>
      </c>
      <c r="G6" s="364">
        <f>IFERROR(IF('Invullen groen'!M19&lt;&gt;0,'Invullen groen'!M19,""),"")</f>
        <v/>
      </c>
      <c r="H6" s="364">
        <f>IFERROR(IF('Invullen groen'!N19&lt;&gt;0,'Invullen groen'!N19,""),"")</f>
        <v/>
      </c>
      <c r="I6" s="364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364">
        <f>IFERROR(IF('Invullen groen'!L20&lt;&gt;0,'Invullen groen'!L20,""),"")</f>
        <v/>
      </c>
      <c r="G7" s="364">
        <f>IFERROR(IF('Invullen groen'!M20&lt;&gt;0,'Invullen groen'!M20,""),"")</f>
        <v/>
      </c>
      <c r="H7" s="364">
        <f>IFERROR(IF('Invullen groen'!N20&lt;&gt;0,'Invullen groen'!N20,""),"")</f>
        <v/>
      </c>
      <c r="I7" s="364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364">
        <f>IFERROR(IF('Invullen groen'!L21&lt;&gt;0,'Invullen groen'!L21,""),"")</f>
        <v/>
      </c>
      <c r="G8" s="364">
        <f>IFERROR(IF('Invullen groen'!M21&lt;&gt;0,'Invullen groen'!M21,""),"")</f>
        <v/>
      </c>
      <c r="H8" s="364">
        <f>IFERROR(IF('Invullen groen'!N21&lt;&gt;0,'Invullen groen'!N21,""),"")</f>
        <v/>
      </c>
      <c r="I8" s="364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364">
        <f>IFERROR(IF('Invullen groen'!L22&lt;&gt;0,'Invullen groen'!L22,""),"")</f>
        <v/>
      </c>
      <c r="G9" s="364">
        <f>IFERROR(IF('Invullen groen'!M22&lt;&gt;0,'Invullen groen'!M22,""),"")</f>
        <v/>
      </c>
      <c r="H9" s="364">
        <f>IFERROR(IF('Invullen groen'!N22&lt;&gt;0,'Invullen groen'!N22,""),"")</f>
        <v/>
      </c>
      <c r="I9" s="364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364">
        <f>IFERROR(IF('Invullen groen'!L23&lt;&gt;0,'Invullen groen'!L23,""),"")</f>
        <v/>
      </c>
      <c r="G10" s="364">
        <f>IFERROR(IF('Invullen groen'!M23&lt;&gt;0,'Invullen groen'!M23,""),"")</f>
        <v/>
      </c>
      <c r="H10" s="364">
        <f>IFERROR(IF('Invullen groen'!N23&lt;&gt;0,'Invullen groen'!N23,""),"")</f>
        <v/>
      </c>
      <c r="I10" s="364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364">
        <f>IFERROR(IF('Invullen groen'!L24&lt;&gt;0,'Invullen groen'!L24,""),"")</f>
        <v/>
      </c>
      <c r="G11" s="364">
        <f>IFERROR(IF('Invullen groen'!M24&lt;&gt;0,'Invullen groen'!M24,""),"")</f>
        <v/>
      </c>
      <c r="H11" s="364">
        <f>IFERROR(IF('Invullen groen'!N24&lt;&gt;0,'Invullen groen'!N24,""),"")</f>
        <v/>
      </c>
      <c r="I11" s="364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364">
        <f>IFERROR(IF('Invullen groen'!L25&lt;&gt;0,'Invullen groen'!L25,""),"")</f>
        <v/>
      </c>
      <c r="G12" s="364">
        <f>IFERROR(IF('Invullen groen'!M25&lt;&gt;0,'Invullen groen'!M25,""),"")</f>
        <v/>
      </c>
      <c r="H12" s="364">
        <f>IFERROR(IF('Invullen groen'!N25&lt;&gt;0,'Invullen groen'!N25,""),"")</f>
        <v/>
      </c>
      <c r="I12" s="364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364">
        <f>IFERROR(IF('Invullen groen'!L26&lt;&gt;0,'Invullen groen'!L26,""),"")</f>
        <v/>
      </c>
      <c r="G13" s="364">
        <f>IFERROR(IF('Invullen groen'!M26&lt;&gt;0,'Invullen groen'!M26,""),"")</f>
        <v/>
      </c>
      <c r="H13" s="364">
        <f>IFERROR(IF('Invullen groen'!N26&lt;&gt;0,'Invullen groen'!N26,""),"")</f>
        <v/>
      </c>
      <c r="I13" s="364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364">
        <f>IFERROR(IF('Invullen groen'!L27&lt;&gt;0,'Invullen groen'!L27,""),"")</f>
        <v/>
      </c>
      <c r="G14" s="364">
        <f>IFERROR(IF('Invullen groen'!M27&lt;&gt;0,'Invullen groen'!M27,""),"")</f>
        <v/>
      </c>
      <c r="H14" s="364">
        <f>IFERROR(IF('Invullen groen'!N27&lt;&gt;0,'Invullen groen'!N27,""),"")</f>
        <v/>
      </c>
      <c r="I14" s="364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364">
        <f>IFERROR(IF('Invullen groen'!L28&lt;&gt;0,'Invullen groen'!L28,""),"")</f>
        <v/>
      </c>
      <c r="G15" s="364">
        <f>IFERROR(IF('Invullen groen'!M28&lt;&gt;0,'Invullen groen'!M28,""),"")</f>
        <v/>
      </c>
      <c r="H15" s="364">
        <f>IFERROR(IF('Invullen groen'!N28&lt;&gt;0,'Invullen groen'!N28,""),"")</f>
        <v/>
      </c>
      <c r="I15" s="364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364">
        <f>IFERROR(IF('Invullen groen'!L29&lt;&gt;0,'Invullen groen'!L29,""),"")</f>
        <v/>
      </c>
      <c r="G16" s="364">
        <f>IFERROR(IF('Invullen groen'!M29&lt;&gt;0,'Invullen groen'!M29,""),"")</f>
        <v/>
      </c>
      <c r="H16" s="364">
        <f>IFERROR(IF('Invullen groen'!N29&lt;&gt;0,'Invullen groen'!N29,""),"")</f>
        <v/>
      </c>
      <c r="I16" s="364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364">
        <f>IFERROR(IF('Invullen groen'!L30&lt;&gt;0,'Invullen groen'!L30,""),"")</f>
        <v/>
      </c>
      <c r="G17" s="364">
        <f>IFERROR(IF('Invullen groen'!M30&lt;&gt;0,'Invullen groen'!M30,""),"")</f>
        <v/>
      </c>
      <c r="H17" s="364">
        <f>IFERROR(IF('Invullen groen'!N30&lt;&gt;0,'Invullen groen'!N30,""),"")</f>
        <v/>
      </c>
      <c r="I17" s="364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364">
        <f>IFERROR(IF('Invullen groen'!L31&lt;&gt;0,'Invullen groen'!L31,""),"")</f>
        <v/>
      </c>
      <c r="G18" s="364">
        <f>IFERROR(IF('Invullen groen'!M31&lt;&gt;0,'Invullen groen'!M31,""),"")</f>
        <v/>
      </c>
      <c r="H18" s="364">
        <f>IFERROR(IF('Invullen groen'!N31&lt;&gt;0,'Invullen groen'!N31,""),"")</f>
        <v/>
      </c>
      <c r="I18" s="364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364">
        <f>IFERROR(IF('Invullen groen'!L32&lt;&gt;0,'Invullen groen'!L32,""),"")</f>
        <v/>
      </c>
      <c r="G19" s="364">
        <f>IFERROR(IF('Invullen groen'!M32&lt;&gt;0,'Invullen groen'!M32,""),"")</f>
        <v/>
      </c>
      <c r="H19" s="364">
        <f>IFERROR(IF('Invullen groen'!N32&lt;&gt;0,'Invullen groen'!N32,""),"")</f>
        <v/>
      </c>
      <c r="I19" s="364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364">
        <f>IFERROR(IF('Invullen groen'!L33&lt;&gt;0,'Invullen groen'!L33,""),"")</f>
        <v/>
      </c>
      <c r="G20" s="364">
        <f>IFERROR(IF('Invullen groen'!M33&lt;&gt;0,'Invullen groen'!M33,""),"")</f>
        <v/>
      </c>
      <c r="H20" s="364">
        <f>IFERROR(IF('Invullen groen'!N33&lt;&gt;0,'Invullen groen'!N33,""),"")</f>
        <v/>
      </c>
      <c r="I20" s="364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364">
        <f>IFERROR(IF('Invullen groen'!L34&lt;&gt;0,'Invullen groen'!L34,""),"")</f>
        <v/>
      </c>
      <c r="G21" s="364">
        <f>IFERROR(IF('Invullen groen'!M34&lt;&gt;0,'Invullen groen'!M34,""),"")</f>
        <v/>
      </c>
      <c r="H21" s="364">
        <f>IFERROR(IF('Invullen groen'!N34&lt;&gt;0,'Invullen groen'!N34,""),"")</f>
        <v/>
      </c>
      <c r="I21" s="364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364">
        <f>IFERROR(IF('Invullen groen'!L35&lt;&gt;0,'Invullen groen'!L35,""),"")</f>
        <v/>
      </c>
      <c r="G22" s="364">
        <f>IFERROR(IF('Invullen groen'!M35&lt;&gt;0,'Invullen groen'!M35,""),"")</f>
        <v/>
      </c>
      <c r="H22" s="364">
        <f>IFERROR(IF('Invullen groen'!N35&lt;&gt;0,'Invullen groen'!N35,""),"")</f>
        <v/>
      </c>
      <c r="I22" s="364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364">
        <f>IFERROR(IF('Invullen groen'!L36&lt;&gt;0,'Invullen groen'!L36,""),"")</f>
        <v/>
      </c>
      <c r="G23" s="364">
        <f>IFERROR(IF('Invullen groen'!M36&lt;&gt;0,'Invullen groen'!M36,""),"")</f>
        <v/>
      </c>
      <c r="H23" s="364">
        <f>IFERROR(IF('Invullen groen'!N36&lt;&gt;0,'Invullen groen'!N36,""),"")</f>
        <v/>
      </c>
      <c r="I23" s="364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364">
        <f>IFERROR(IF('Invullen groen'!L37&lt;&gt;0,'Invullen groen'!L37,""),"")</f>
        <v/>
      </c>
      <c r="G24" s="364">
        <f>IFERROR(IF('Invullen groen'!M37&lt;&gt;0,'Invullen groen'!M37,""),"")</f>
        <v/>
      </c>
      <c r="H24" s="364">
        <f>IFERROR(IF('Invullen groen'!N37&lt;&gt;0,'Invullen groen'!N37,""),"")</f>
        <v/>
      </c>
      <c r="I24" s="364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364">
        <f>IFERROR(IF('Invullen groen'!L38&lt;&gt;0,'Invullen groen'!L38,""),"")</f>
        <v/>
      </c>
      <c r="G25" s="364">
        <f>IFERROR(IF('Invullen groen'!M38&lt;&gt;0,'Invullen groen'!M38,""),"")</f>
        <v/>
      </c>
      <c r="H25" s="364">
        <f>IFERROR(IF('Invullen groen'!N38&lt;&gt;0,'Invullen groen'!N38,""),"")</f>
        <v/>
      </c>
      <c r="I25" s="364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364">
        <f>IFERROR(IF('Invullen groen'!L39&lt;&gt;0,'Invullen groen'!L39,""),"")</f>
        <v/>
      </c>
      <c r="G26" s="364">
        <f>IFERROR(IF('Invullen groen'!M39&lt;&gt;0,'Invullen groen'!M39,""),"")</f>
        <v/>
      </c>
      <c r="H26" s="364">
        <f>IFERROR(IF('Invullen groen'!N39&lt;&gt;0,'Invullen groen'!N39,""),"")</f>
        <v/>
      </c>
      <c r="I26" s="364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364">
        <f>IFERROR(IF('Invullen groen'!L40&lt;&gt;0,'Invullen groen'!L40,""),"")</f>
        <v/>
      </c>
      <c r="G27" s="364">
        <f>IFERROR(IF('Invullen groen'!M40&lt;&gt;0,'Invullen groen'!M40,""),"")</f>
        <v/>
      </c>
      <c r="H27" s="364">
        <f>IFERROR(IF('Invullen groen'!N40&lt;&gt;0,'Invullen groen'!N40,""),"")</f>
        <v/>
      </c>
      <c r="I27" s="364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364">
        <f>IFERROR(IF('Invullen groen'!L41&lt;&gt;0,'Invullen groen'!L41,""),"")</f>
        <v/>
      </c>
      <c r="G28" s="364">
        <f>IFERROR(IF('Invullen groen'!M41&lt;&gt;0,'Invullen groen'!M41,""),"")</f>
        <v/>
      </c>
      <c r="H28" s="364">
        <f>IFERROR(IF('Invullen groen'!N41&lt;&gt;0,'Invullen groen'!N41,""),"")</f>
        <v/>
      </c>
      <c r="I28" s="364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364">
        <f>IFERROR(IF('Invullen groen'!L42&lt;&gt;0,'Invullen groen'!L42,""),"")</f>
        <v/>
      </c>
      <c r="G29" s="364">
        <f>IFERROR(IF('Invullen groen'!M42&lt;&gt;0,'Invullen groen'!M42,""),"")</f>
        <v/>
      </c>
      <c r="H29" s="364">
        <f>IFERROR(IF('Invullen groen'!N42&lt;&gt;0,'Invullen groen'!N42,""),"")</f>
        <v/>
      </c>
      <c r="I29" s="364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364">
        <f>IFERROR(IF('Invullen groen'!L43&lt;&gt;0,'Invullen groen'!L43,""),"")</f>
        <v/>
      </c>
      <c r="G30" s="364">
        <f>IFERROR(IF('Invullen groen'!M43&lt;&gt;0,'Invullen groen'!M43,""),"")</f>
        <v/>
      </c>
      <c r="H30" s="364">
        <f>IFERROR(IF('Invullen groen'!N43&lt;&gt;0,'Invullen groen'!N43,""),"")</f>
        <v/>
      </c>
      <c r="I30" s="364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364">
        <f>IFERROR(IF('Invullen groen'!L44&lt;&gt;0,'Invullen groen'!L44,""),"")</f>
        <v/>
      </c>
      <c r="G31" s="364">
        <f>IFERROR(IF('Invullen groen'!M44&lt;&gt;0,'Invullen groen'!M44,""),"")</f>
        <v/>
      </c>
      <c r="H31" s="364">
        <f>IFERROR(IF('Invullen groen'!N44&lt;&gt;0,'Invullen groen'!N44,""),"")</f>
        <v/>
      </c>
      <c r="I31" s="364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364">
        <f>IFERROR(IF('Invullen groen'!L45&lt;&gt;0,'Invullen groen'!L45,""),"")</f>
        <v/>
      </c>
      <c r="G32" s="364">
        <f>IFERROR(IF('Invullen groen'!M45&lt;&gt;0,'Invullen groen'!M45,""),"")</f>
        <v/>
      </c>
      <c r="H32" s="364">
        <f>IFERROR(IF('Invullen groen'!N45&lt;&gt;0,'Invullen groen'!N45,""),"")</f>
        <v/>
      </c>
      <c r="I32" s="364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364">
        <f>IFERROR(IF('Invullen groen'!L46&lt;&gt;0,'Invullen groen'!L46,""),"")</f>
        <v/>
      </c>
      <c r="G33" s="364">
        <f>IFERROR(IF('Invullen groen'!M46&lt;&gt;0,'Invullen groen'!M46,""),"")</f>
        <v/>
      </c>
      <c r="H33" s="364">
        <f>IFERROR(IF('Invullen groen'!N46&lt;&gt;0,'Invullen groen'!N46,""),"")</f>
        <v/>
      </c>
      <c r="I33" s="364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364">
        <f>IFERROR(IF('Invullen groen'!L47&lt;&gt;0,'Invullen groen'!L47,""),"")</f>
        <v/>
      </c>
      <c r="G34" s="364">
        <f>IFERROR(IF('Invullen groen'!M47&lt;&gt;0,'Invullen groen'!M47,""),"")</f>
        <v/>
      </c>
      <c r="H34" s="364">
        <f>IFERROR(IF('Invullen groen'!N47&lt;&gt;0,'Invullen groen'!N47,""),"")</f>
        <v/>
      </c>
      <c r="I34" s="364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364">
        <f>IFERROR(IF('Invullen groen'!L48&lt;&gt;0,'Invullen groen'!L48,""),"")</f>
        <v/>
      </c>
      <c r="G35" s="364">
        <f>IFERROR(IF('Invullen groen'!M48&lt;&gt;0,'Invullen groen'!M48,""),"")</f>
        <v/>
      </c>
      <c r="H35" s="364">
        <f>IFERROR(IF('Invullen groen'!N48&lt;&gt;0,'Invullen groen'!N48,""),"")</f>
        <v/>
      </c>
      <c r="I35" s="364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364">
        <f>IFERROR(IF('Invullen groen'!L49&lt;&gt;0,'Invullen groen'!L49,""),"")</f>
        <v/>
      </c>
      <c r="G36" s="364">
        <f>IFERROR(IF('Invullen groen'!M49&lt;&gt;0,'Invullen groen'!M49,""),"")</f>
        <v/>
      </c>
      <c r="H36" s="364">
        <f>IFERROR(IF('Invullen groen'!N49&lt;&gt;0,'Invullen groen'!N49,""),"")</f>
        <v/>
      </c>
      <c r="I36" s="364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364">
        <f>IFERROR(IF('Invullen groen'!L50&lt;&gt;0,'Invullen groen'!L50,""),"")</f>
        <v/>
      </c>
      <c r="G37" s="364">
        <f>IFERROR(IF('Invullen groen'!M50&lt;&gt;0,'Invullen groen'!M50,""),"")</f>
        <v/>
      </c>
      <c r="H37" s="364">
        <f>IFERROR(IF('Invullen groen'!N50&lt;&gt;0,'Invullen groen'!N50,""),"")</f>
        <v/>
      </c>
      <c r="I37" s="364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364">
        <f>IFERROR(IF('Invullen groen'!L51&lt;&gt;0,'Invullen groen'!L51,""),"")</f>
        <v/>
      </c>
      <c r="G38" s="364">
        <f>IFERROR(IF('Invullen groen'!M51&lt;&gt;0,'Invullen groen'!M51,""),"")</f>
        <v/>
      </c>
      <c r="H38" s="364">
        <f>IFERROR(IF('Invullen groen'!N51&lt;&gt;0,'Invullen groen'!N51,""),"")</f>
        <v/>
      </c>
      <c r="I38" s="364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364">
        <f>IFERROR(IF('Invullen groen'!L52&lt;&gt;0,'Invullen groen'!L52,""),"")</f>
        <v/>
      </c>
      <c r="G39" s="364">
        <f>IFERROR(IF('Invullen groen'!M52&lt;&gt;0,'Invullen groen'!M52,""),"")</f>
        <v/>
      </c>
      <c r="H39" s="364">
        <f>IFERROR(IF('Invullen groen'!N52&lt;&gt;0,'Invullen groen'!N52,""),"")</f>
        <v/>
      </c>
      <c r="I39" s="364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364">
        <f>IFERROR(IF('Invullen groen'!L53&lt;&gt;0,'Invullen groen'!L53,""),"")</f>
        <v/>
      </c>
      <c r="G40" s="364">
        <f>IFERROR(IF('Invullen groen'!M53&lt;&gt;0,'Invullen groen'!M53,""),"")</f>
        <v/>
      </c>
      <c r="H40" s="364">
        <f>IFERROR(IF('Invullen groen'!N53&lt;&gt;0,'Invullen groen'!N53,""),"")</f>
        <v/>
      </c>
      <c r="I40" s="364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364">
        <f>IFERROR(IF('Invullen groen'!L54&lt;&gt;0,'Invullen groen'!L54,""),"")</f>
        <v/>
      </c>
      <c r="G41" s="364">
        <f>IFERROR(IF('Invullen groen'!M54&lt;&gt;0,'Invullen groen'!M54,""),"")</f>
        <v/>
      </c>
      <c r="H41" s="364">
        <f>IFERROR(IF('Invullen groen'!N54&lt;&gt;0,'Invullen groen'!N54,""),"")</f>
        <v/>
      </c>
      <c r="I41" s="364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364">
        <f>IFERROR(IF('Invullen groen'!L55&lt;&gt;0,'Invullen groen'!L55,""),"")</f>
        <v/>
      </c>
      <c r="G42" s="364">
        <f>IFERROR(IF('Invullen groen'!M55&lt;&gt;0,'Invullen groen'!M55,""),"")</f>
        <v/>
      </c>
      <c r="H42" s="364">
        <f>IFERROR(IF('Invullen groen'!N55&lt;&gt;0,'Invullen groen'!N55,""),"")</f>
        <v/>
      </c>
      <c r="I42" s="364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364">
        <f>IFERROR(IF('Invullen groen'!L56&lt;&gt;0,'Invullen groen'!L56,""),"")</f>
        <v/>
      </c>
      <c r="G43" s="364">
        <f>IFERROR(IF('Invullen groen'!M56&lt;&gt;0,'Invullen groen'!M56,""),"")</f>
        <v/>
      </c>
      <c r="H43" s="364">
        <f>IFERROR(IF('Invullen groen'!N56&lt;&gt;0,'Invullen groen'!N56,""),"")</f>
        <v/>
      </c>
      <c r="I43" s="364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364">
        <f>IFERROR(IF('Invullen groen'!L57&lt;&gt;0,'Invullen groen'!L57,""),"")</f>
        <v/>
      </c>
      <c r="G44" s="364">
        <f>IFERROR(IF('Invullen groen'!M57&lt;&gt;0,'Invullen groen'!M57,""),"")</f>
        <v/>
      </c>
      <c r="H44" s="364">
        <f>IFERROR(IF('Invullen groen'!N57&lt;&gt;0,'Invullen groen'!N57,""),"")</f>
        <v/>
      </c>
      <c r="I44" s="364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364">
        <f>IFERROR(IF('Invullen groen'!L58&lt;&gt;0,'Invullen groen'!L58,""),"")</f>
        <v/>
      </c>
      <c r="G45" s="364">
        <f>IFERROR(IF('Invullen groen'!M58&lt;&gt;0,'Invullen groen'!M58,""),"")</f>
        <v/>
      </c>
      <c r="H45" s="364">
        <f>IFERROR(IF('Invullen groen'!N58&lt;&gt;0,'Invullen groen'!N58,""),"")</f>
        <v/>
      </c>
      <c r="I45" s="364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364">
        <f>IFERROR(IF('Invullen groen'!L59&lt;&gt;0,'Invullen groen'!L59,""),"")</f>
        <v/>
      </c>
      <c r="G46" s="364">
        <f>IFERROR(IF('Invullen groen'!M59&lt;&gt;0,'Invullen groen'!M59,""),"")</f>
        <v/>
      </c>
      <c r="H46" s="364">
        <f>IFERROR(IF('Invullen groen'!N59&lt;&gt;0,'Invullen groen'!N59,""),"")</f>
        <v/>
      </c>
      <c r="I46" s="364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364">
        <f>IFERROR(IF('Invullen groen'!L60&lt;&gt;0,'Invullen groen'!L60,""),"")</f>
        <v/>
      </c>
      <c r="G47" s="364">
        <f>IFERROR(IF('Invullen groen'!M60&lt;&gt;0,'Invullen groen'!M60,""),"")</f>
        <v/>
      </c>
      <c r="H47" s="364">
        <f>IFERROR(IF('Invullen groen'!N60&lt;&gt;0,'Invullen groen'!N60,""),"")</f>
        <v/>
      </c>
      <c r="I47" s="364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364">
        <f>IFERROR(IF('Invullen groen'!L61&lt;&gt;0,'Invullen groen'!L61,""),"")</f>
        <v/>
      </c>
      <c r="G48" s="364">
        <f>IFERROR(IF('Invullen groen'!M61&lt;&gt;0,'Invullen groen'!M61,""),"")</f>
        <v/>
      </c>
      <c r="H48" s="364">
        <f>IFERROR(IF('Invullen groen'!N61&lt;&gt;0,'Invullen groen'!N61,""),"")</f>
        <v/>
      </c>
      <c r="I48" s="364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364">
        <f>IFERROR(IF('Invullen groen'!L62&lt;&gt;0,'Invullen groen'!L62,""),"")</f>
        <v/>
      </c>
      <c r="G49" s="364">
        <f>IFERROR(IF('Invullen groen'!M62&lt;&gt;0,'Invullen groen'!M62,""),"")</f>
        <v/>
      </c>
      <c r="H49" s="364">
        <f>IFERROR(IF('Invullen groen'!N62&lt;&gt;0,'Invullen groen'!N62,""),"")</f>
        <v/>
      </c>
      <c r="I49" s="364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364">
        <f>IFERROR(IF('Invullen groen'!L63&lt;&gt;0,'Invullen groen'!L63,""),"")</f>
        <v/>
      </c>
      <c r="G50" s="364">
        <f>IFERROR(IF('Invullen groen'!M63&lt;&gt;0,'Invullen groen'!M63,""),"")</f>
        <v/>
      </c>
      <c r="H50" s="364">
        <f>IFERROR(IF('Invullen groen'!N63&lt;&gt;0,'Invullen groen'!N63,""),"")</f>
        <v/>
      </c>
      <c r="I50" s="364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364">
        <f>IFERROR(IF('Invullen groen'!L64&lt;&gt;0,'Invullen groen'!L64,""),"")</f>
        <v/>
      </c>
      <c r="G51" s="364">
        <f>IFERROR(IF('Invullen groen'!M64&lt;&gt;0,'Invullen groen'!M64,""),"")</f>
        <v/>
      </c>
      <c r="H51" s="364">
        <f>IFERROR(IF('Invullen groen'!N64&lt;&gt;0,'Invullen groen'!N64,""),"")</f>
        <v/>
      </c>
      <c r="I51" s="364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364">
        <f>IFERROR(IF('Invullen groen'!L65&lt;&gt;0,'Invullen groen'!L65,""),"")</f>
        <v/>
      </c>
      <c r="G52" s="364">
        <f>IFERROR(IF('Invullen groen'!M65&lt;&gt;0,'Invullen groen'!M65,""),"")</f>
        <v/>
      </c>
      <c r="H52" s="364">
        <f>IFERROR(IF('Invullen groen'!N65&lt;&gt;0,'Invullen groen'!N65,""),"")</f>
        <v/>
      </c>
      <c r="I52" s="364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364">
        <f>IFERROR(IF('Invullen groen'!L66&lt;&gt;0,'Invullen groen'!L66,""),"")</f>
        <v/>
      </c>
      <c r="G53" s="364">
        <f>IFERROR(IF('Invullen groen'!M66&lt;&gt;0,'Invullen groen'!M66,""),"")</f>
        <v/>
      </c>
      <c r="H53" s="364">
        <f>IFERROR(IF('Invullen groen'!N66&lt;&gt;0,'Invullen groen'!N66,""),"")</f>
        <v/>
      </c>
      <c r="I53" s="364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364">
        <f>IFERROR(IF('Invullen groen'!L67&lt;&gt;0,'Invullen groen'!L67,""),"")</f>
        <v/>
      </c>
      <c r="G54" s="364">
        <f>IFERROR(IF('Invullen groen'!M67&lt;&gt;0,'Invullen groen'!M67,""),"")</f>
        <v/>
      </c>
      <c r="H54" s="364">
        <f>IFERROR(IF('Invullen groen'!N67&lt;&gt;0,'Invullen groen'!N67,""),"")</f>
        <v/>
      </c>
      <c r="I54" s="364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364">
        <f>IFERROR(IF('Invullen groen'!L68&lt;&gt;0,'Invullen groen'!L68,""),"")</f>
        <v/>
      </c>
      <c r="G55" s="364">
        <f>IFERROR(IF('Invullen groen'!M68&lt;&gt;0,'Invullen groen'!M68,""),"")</f>
        <v/>
      </c>
      <c r="H55" s="364">
        <f>IFERROR(IF('Invullen groen'!N68&lt;&gt;0,'Invullen groen'!N68,""),"")</f>
        <v/>
      </c>
      <c r="I55" s="364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364">
        <f>IFERROR(IF('Invullen groen'!L69&lt;&gt;0,'Invullen groen'!L69,""),"")</f>
        <v/>
      </c>
      <c r="G56" s="364">
        <f>IFERROR(IF('Invullen groen'!M69&lt;&gt;0,'Invullen groen'!M69,""),"")</f>
        <v/>
      </c>
      <c r="H56" s="364">
        <f>IFERROR(IF('Invullen groen'!N69&lt;&gt;0,'Invullen groen'!N69,""),"")</f>
        <v/>
      </c>
      <c r="I56" s="364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364">
        <f>IFERROR(IF('Invullen groen'!L70&lt;&gt;0,'Invullen groen'!L70,""),"")</f>
        <v/>
      </c>
      <c r="G57" s="364">
        <f>IFERROR(IF('Invullen groen'!M70&lt;&gt;0,'Invullen groen'!M70,""),"")</f>
        <v/>
      </c>
      <c r="H57" s="364">
        <f>IFERROR(IF('Invullen groen'!N70&lt;&gt;0,'Invullen groen'!N70,""),"")</f>
        <v/>
      </c>
      <c r="I57" s="364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364">
        <f>IFERROR(IF('Invullen groen'!L71&lt;&gt;0,'Invullen groen'!L71,""),"")</f>
        <v/>
      </c>
      <c r="G58" s="364">
        <f>IFERROR(IF('Invullen groen'!M71&lt;&gt;0,'Invullen groen'!M71,""),"")</f>
        <v/>
      </c>
      <c r="H58" s="364">
        <f>IFERROR(IF('Invullen groen'!N71&lt;&gt;0,'Invullen groen'!N71,""),"")</f>
        <v/>
      </c>
      <c r="I58" s="364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364">
        <f>IFERROR(IF('Invullen groen'!L72&lt;&gt;0,'Invullen groen'!L72,""),"")</f>
        <v/>
      </c>
      <c r="G59" s="364">
        <f>IFERROR(IF('Invullen groen'!M72&lt;&gt;0,'Invullen groen'!M72,""),"")</f>
        <v/>
      </c>
      <c r="H59" s="364">
        <f>IFERROR(IF('Invullen groen'!N72&lt;&gt;0,'Invullen groen'!N72,""),"")</f>
        <v/>
      </c>
      <c r="I59" s="364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364">
        <f>IFERROR(IF('Invullen groen'!L73&lt;&gt;0,'Invullen groen'!L73,""),"")</f>
        <v/>
      </c>
      <c r="G60" s="364">
        <f>IFERROR(IF('Invullen groen'!M73&lt;&gt;0,'Invullen groen'!M73,""),"")</f>
        <v/>
      </c>
      <c r="H60" s="364">
        <f>IFERROR(IF('Invullen groen'!N73&lt;&gt;0,'Invullen groen'!N73,""),"")</f>
        <v/>
      </c>
      <c r="I60" s="364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364">
        <f>IFERROR(IF('Invullen groen'!L74&lt;&gt;0,'Invullen groen'!L74,""),"")</f>
        <v/>
      </c>
      <c r="G61" s="364">
        <f>IFERROR(IF('Invullen groen'!M74&lt;&gt;0,'Invullen groen'!M74,""),"")</f>
        <v/>
      </c>
      <c r="H61" s="364">
        <f>IFERROR(IF('Invullen groen'!N74&lt;&gt;0,'Invullen groen'!N74,""),"")</f>
        <v/>
      </c>
      <c r="I61" s="364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364">
        <f>IFERROR(IF('Invullen groen'!L75&lt;&gt;0,'Invullen groen'!L75,""),"")</f>
        <v/>
      </c>
      <c r="G62" s="364">
        <f>IFERROR(IF('Invullen groen'!M75&lt;&gt;0,'Invullen groen'!M75,""),"")</f>
        <v/>
      </c>
      <c r="H62" s="364">
        <f>IFERROR(IF('Invullen groen'!N75&lt;&gt;0,'Invullen groen'!N75,""),"")</f>
        <v/>
      </c>
      <c r="I62" s="364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364">
        <f>IFERROR(IF('Invullen groen'!L76&lt;&gt;0,'Invullen groen'!L76,""),"")</f>
        <v/>
      </c>
      <c r="G63" s="364">
        <f>IFERROR(IF('Invullen groen'!M76&lt;&gt;0,'Invullen groen'!M76,""),"")</f>
        <v/>
      </c>
      <c r="H63" s="364">
        <f>IFERROR(IF('Invullen groen'!N76&lt;&gt;0,'Invullen groen'!N76,""),"")</f>
        <v/>
      </c>
      <c r="I63" s="364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364">
        <f>IFERROR(IF('Invullen groen'!L77&lt;&gt;0,'Invullen groen'!L77,""),"")</f>
        <v/>
      </c>
      <c r="G64" s="364">
        <f>IFERROR(IF('Invullen groen'!M77&lt;&gt;0,'Invullen groen'!M77,""),"")</f>
        <v/>
      </c>
      <c r="H64" s="364">
        <f>IFERROR(IF('Invullen groen'!N77&lt;&gt;0,'Invullen groen'!N77,""),"")</f>
        <v/>
      </c>
      <c r="I64" s="364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364">
        <f>IFERROR(IF('Invullen groen'!L78&lt;&gt;0,'Invullen groen'!L78,""),"")</f>
        <v/>
      </c>
      <c r="G65" s="364">
        <f>IFERROR(IF('Invullen groen'!M78&lt;&gt;0,'Invullen groen'!M78,""),"")</f>
        <v/>
      </c>
      <c r="H65" s="364">
        <f>IFERROR(IF('Invullen groen'!N78&lt;&gt;0,'Invullen groen'!N78,""),"")</f>
        <v/>
      </c>
      <c r="I65" s="364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364">
        <f>IFERROR(IF('Invullen groen'!L79&lt;&gt;0,'Invullen groen'!L79,""),"")</f>
        <v/>
      </c>
      <c r="G66" s="364">
        <f>IFERROR(IF('Invullen groen'!M79&lt;&gt;0,'Invullen groen'!M79,""),"")</f>
        <v/>
      </c>
      <c r="H66" s="364">
        <f>IFERROR(IF('Invullen groen'!N79&lt;&gt;0,'Invullen groen'!N79,""),"")</f>
        <v/>
      </c>
      <c r="I66" s="364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364">
        <f>IFERROR(IF('Invullen groen'!L80&lt;&gt;0,'Invullen groen'!L80,""),"")</f>
        <v/>
      </c>
      <c r="G67" s="364">
        <f>IFERROR(IF('Invullen groen'!M80&lt;&gt;0,'Invullen groen'!M80,""),"")</f>
        <v/>
      </c>
      <c r="H67" s="364">
        <f>IFERROR(IF('Invullen groen'!N80&lt;&gt;0,'Invullen groen'!N80,""),"")</f>
        <v/>
      </c>
      <c r="I67" s="364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364">
        <f>IFERROR(IF('Invullen groen'!L81&lt;&gt;0,'Invullen groen'!L81,""),"")</f>
        <v/>
      </c>
      <c r="G68" s="364">
        <f>IFERROR(IF('Invullen groen'!M81&lt;&gt;0,'Invullen groen'!M81,""),"")</f>
        <v/>
      </c>
      <c r="H68" s="364">
        <f>IFERROR(IF('Invullen groen'!N81&lt;&gt;0,'Invullen groen'!N81,""),"")</f>
        <v/>
      </c>
      <c r="I68" s="364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364">
        <f>IFERROR(IF('Invullen groen'!L82&lt;&gt;0,'Invullen groen'!L82,""),"")</f>
        <v/>
      </c>
      <c r="G69" s="364">
        <f>IFERROR(IF('Invullen groen'!M82&lt;&gt;0,'Invullen groen'!M82,""),"")</f>
        <v/>
      </c>
      <c r="H69" s="364">
        <f>IFERROR(IF('Invullen groen'!N82&lt;&gt;0,'Invullen groen'!N82,""),"")</f>
        <v/>
      </c>
      <c r="I69" s="364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364">
        <f>IFERROR(IF('Invullen groen'!L83&lt;&gt;0,'Invullen groen'!L83,""),"")</f>
        <v/>
      </c>
      <c r="G70" s="364">
        <f>IFERROR(IF('Invullen groen'!M83&lt;&gt;0,'Invullen groen'!M83,""),"")</f>
        <v/>
      </c>
      <c r="H70" s="364">
        <f>IFERROR(IF('Invullen groen'!N83&lt;&gt;0,'Invullen groen'!N83,""),"")</f>
        <v/>
      </c>
      <c r="I70" s="364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364">
        <f>IFERROR(IF('Invullen groen'!L84&lt;&gt;0,'Invullen groen'!L84,""),"")</f>
        <v/>
      </c>
      <c r="G71" s="364">
        <f>IFERROR(IF('Invullen groen'!M84&lt;&gt;0,'Invullen groen'!M84,""),"")</f>
        <v/>
      </c>
      <c r="H71" s="364">
        <f>IFERROR(IF('Invullen groen'!N84&lt;&gt;0,'Invullen groen'!N84,""),"")</f>
        <v/>
      </c>
      <c r="I71" s="364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364">
        <f>IFERROR(IF('Invullen groen'!L85&lt;&gt;0,'Invullen groen'!L85,""),"")</f>
        <v/>
      </c>
      <c r="G72" s="364">
        <f>IFERROR(IF('Invullen groen'!M85&lt;&gt;0,'Invullen groen'!M85,""),"")</f>
        <v/>
      </c>
      <c r="H72" s="364">
        <f>IFERROR(IF('Invullen groen'!N85&lt;&gt;0,'Invullen groen'!N85,""),"")</f>
        <v/>
      </c>
      <c r="I72" s="364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364">
        <f>IFERROR(IF('Invullen groen'!L86&lt;&gt;0,'Invullen groen'!L86,""),"")</f>
        <v/>
      </c>
      <c r="G73" s="364">
        <f>IFERROR(IF('Invullen groen'!M86&lt;&gt;0,'Invullen groen'!M86,""),"")</f>
        <v/>
      </c>
      <c r="H73" s="364">
        <f>IFERROR(IF('Invullen groen'!N86&lt;&gt;0,'Invullen groen'!N86,""),"")</f>
        <v/>
      </c>
      <c r="I73" s="364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364">
        <f>IFERROR(IF('Invullen groen'!L87&lt;&gt;0,'Invullen groen'!L87,""),"")</f>
        <v/>
      </c>
      <c r="G74" s="364">
        <f>IFERROR(IF('Invullen groen'!M87&lt;&gt;0,'Invullen groen'!M87,""),"")</f>
        <v/>
      </c>
      <c r="H74" s="364">
        <f>IFERROR(IF('Invullen groen'!N87&lt;&gt;0,'Invullen groen'!N87,""),"")</f>
        <v/>
      </c>
      <c r="I74" s="364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364">
        <f>IFERROR(IF('Invullen groen'!L88&lt;&gt;0,'Invullen groen'!L88,""),"")</f>
        <v/>
      </c>
      <c r="G75" s="364">
        <f>IFERROR(IF('Invullen groen'!M88&lt;&gt;0,'Invullen groen'!M88,""),"")</f>
        <v/>
      </c>
      <c r="H75" s="364">
        <f>IFERROR(IF('Invullen groen'!N88&lt;&gt;0,'Invullen groen'!N88,""),"")</f>
        <v/>
      </c>
      <c r="I75" s="364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364">
        <f>IFERROR(IF('Invullen groen'!L89&lt;&gt;0,'Invullen groen'!L89,""),"")</f>
        <v/>
      </c>
      <c r="G76" s="364">
        <f>IFERROR(IF('Invullen groen'!M89&lt;&gt;0,'Invullen groen'!M89,""),"")</f>
        <v/>
      </c>
      <c r="H76" s="364">
        <f>IFERROR(IF('Invullen groen'!N89&lt;&gt;0,'Invullen groen'!N89,""),"")</f>
        <v/>
      </c>
      <c r="I76" s="364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364">
        <f>IFERROR(IF('Invullen groen'!L90&lt;&gt;0,'Invullen groen'!L90,""),"")</f>
        <v/>
      </c>
      <c r="G77" s="364">
        <f>IFERROR(IF('Invullen groen'!M90&lt;&gt;0,'Invullen groen'!M90,""),"")</f>
        <v/>
      </c>
      <c r="H77" s="364">
        <f>IFERROR(IF('Invullen groen'!N90&lt;&gt;0,'Invullen groen'!N90,""),"")</f>
        <v/>
      </c>
      <c r="I77" s="364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364">
        <f>IFERROR(IF('Invullen groen'!L91&lt;&gt;0,'Invullen groen'!L91,""),"")</f>
        <v/>
      </c>
      <c r="G78" s="364">
        <f>IFERROR(IF('Invullen groen'!M91&lt;&gt;0,'Invullen groen'!M91,""),"")</f>
        <v/>
      </c>
      <c r="H78" s="364">
        <f>IFERROR(IF('Invullen groen'!N91&lt;&gt;0,'Invullen groen'!N91,""),"")</f>
        <v/>
      </c>
      <c r="I78" s="364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364">
        <f>IFERROR(IF('Invullen groen'!L92&lt;&gt;0,'Invullen groen'!L92,""),"")</f>
        <v/>
      </c>
      <c r="G79" s="364">
        <f>IFERROR(IF('Invullen groen'!M92&lt;&gt;0,'Invullen groen'!M92,""),"")</f>
        <v/>
      </c>
      <c r="H79" s="364">
        <f>IFERROR(IF('Invullen groen'!N92&lt;&gt;0,'Invullen groen'!N92,""),"")</f>
        <v/>
      </c>
      <c r="I79" s="364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364">
        <f>IFERROR(IF('Invullen groen'!L93&lt;&gt;0,'Invullen groen'!L93,""),"")</f>
        <v/>
      </c>
      <c r="G80" s="364">
        <f>IFERROR(IF('Invullen groen'!M93&lt;&gt;0,'Invullen groen'!M93,""),"")</f>
        <v/>
      </c>
      <c r="H80" s="364">
        <f>IFERROR(IF('Invullen groen'!N93&lt;&gt;0,'Invullen groen'!N93,""),"")</f>
        <v/>
      </c>
      <c r="I80" s="364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364">
        <f>IFERROR(IF('Invullen groen'!L94&lt;&gt;0,'Invullen groen'!L94,""),"")</f>
        <v/>
      </c>
      <c r="G81" s="364">
        <f>IFERROR(IF('Invullen groen'!M94&lt;&gt;0,'Invullen groen'!M94,""),"")</f>
        <v/>
      </c>
      <c r="H81" s="364">
        <f>IFERROR(IF('Invullen groen'!N94&lt;&gt;0,'Invullen groen'!N94,""),"")</f>
        <v/>
      </c>
      <c r="I81" s="364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364">
        <f>IFERROR(IF('Invullen groen'!L95&lt;&gt;0,'Invullen groen'!L95,""),"")</f>
        <v/>
      </c>
      <c r="G82" s="364">
        <f>IFERROR(IF('Invullen groen'!M95&lt;&gt;0,'Invullen groen'!M95,""),"")</f>
        <v/>
      </c>
      <c r="H82" s="364">
        <f>IFERROR(IF('Invullen groen'!N95&lt;&gt;0,'Invullen groen'!N95,""),"")</f>
        <v/>
      </c>
      <c r="I82" s="364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364">
        <f>IFERROR(IF('Invullen groen'!L96&lt;&gt;0,'Invullen groen'!L96,""),"")</f>
        <v/>
      </c>
      <c r="G83" s="364">
        <f>IFERROR(IF('Invullen groen'!M96&lt;&gt;0,'Invullen groen'!M96,""),"")</f>
        <v/>
      </c>
      <c r="H83" s="364">
        <f>IFERROR(IF('Invullen groen'!N96&lt;&gt;0,'Invullen groen'!N96,""),"")</f>
        <v/>
      </c>
      <c r="I83" s="364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364">
        <f>IFERROR(IF('Invullen groen'!L97&lt;&gt;0,'Invullen groen'!L97,""),"")</f>
        <v/>
      </c>
      <c r="G84" s="364">
        <f>IFERROR(IF('Invullen groen'!M97&lt;&gt;0,'Invullen groen'!M97,""),"")</f>
        <v/>
      </c>
      <c r="H84" s="364">
        <f>IFERROR(IF('Invullen groen'!N97&lt;&gt;0,'Invullen groen'!N97,""),"")</f>
        <v/>
      </c>
      <c r="I84" s="364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364">
        <f>IFERROR(IF('Invullen groen'!L98&lt;&gt;0,'Invullen groen'!L98,""),"")</f>
        <v/>
      </c>
      <c r="G85" s="364">
        <f>IFERROR(IF('Invullen groen'!M98&lt;&gt;0,'Invullen groen'!M98,""),"")</f>
        <v/>
      </c>
      <c r="H85" s="364">
        <f>IFERROR(IF('Invullen groen'!N98&lt;&gt;0,'Invullen groen'!N98,""),"")</f>
        <v/>
      </c>
      <c r="I85" s="364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364">
        <f>IFERROR(IF('Invullen groen'!L99&lt;&gt;0,'Invullen groen'!L99,""),"")</f>
        <v/>
      </c>
      <c r="G86" s="364">
        <f>IFERROR(IF('Invullen groen'!M99&lt;&gt;0,'Invullen groen'!M99,""),"")</f>
        <v/>
      </c>
      <c r="H86" s="364">
        <f>IFERROR(IF('Invullen groen'!N99&lt;&gt;0,'Invullen groen'!N99,""),"")</f>
        <v/>
      </c>
      <c r="I86" s="364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364">
        <f>IFERROR(IF('Invullen groen'!L100&lt;&gt;0,'Invullen groen'!L100,""),"")</f>
        <v/>
      </c>
      <c r="G87" s="364">
        <f>IFERROR(IF('Invullen groen'!M100&lt;&gt;0,'Invullen groen'!M100,""),"")</f>
        <v/>
      </c>
      <c r="H87" s="364">
        <f>IFERROR(IF('Invullen groen'!N100&lt;&gt;0,'Invullen groen'!N100,""),"")</f>
        <v/>
      </c>
      <c r="I87" s="364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364">
        <f>IFERROR(IF('Invullen groen'!L101&lt;&gt;0,'Invullen groen'!L101,""),"")</f>
        <v/>
      </c>
      <c r="G88" s="364">
        <f>IFERROR(IF('Invullen groen'!M101&lt;&gt;0,'Invullen groen'!M101,""),"")</f>
        <v/>
      </c>
      <c r="H88" s="364">
        <f>IFERROR(IF('Invullen groen'!N101&lt;&gt;0,'Invullen groen'!N101,""),"")</f>
        <v/>
      </c>
      <c r="I88" s="364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364">
        <f>IFERROR(IF('Invullen groen'!L102&lt;&gt;0,'Invullen groen'!L102,""),"")</f>
        <v/>
      </c>
      <c r="G89" s="364">
        <f>IFERROR(IF('Invullen groen'!M102&lt;&gt;0,'Invullen groen'!M102,""),"")</f>
        <v/>
      </c>
      <c r="H89" s="364">
        <f>IFERROR(IF('Invullen groen'!N102&lt;&gt;0,'Invullen groen'!N102,""),"")</f>
        <v/>
      </c>
      <c r="I89" s="364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364">
        <f>IFERROR(IF('Invullen groen'!L103&lt;&gt;0,'Invullen groen'!L103,""),"")</f>
        <v/>
      </c>
      <c r="G90" s="364">
        <f>IFERROR(IF('Invullen groen'!M103&lt;&gt;0,'Invullen groen'!M103,""),"")</f>
        <v/>
      </c>
      <c r="H90" s="364">
        <f>IFERROR(IF('Invullen groen'!N103&lt;&gt;0,'Invullen groen'!N103,""),"")</f>
        <v/>
      </c>
      <c r="I90" s="364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364">
        <f>IFERROR(IF('Invullen groen'!L104&lt;&gt;0,'Invullen groen'!L104,""),"")</f>
        <v/>
      </c>
      <c r="G91" s="364">
        <f>IFERROR(IF('Invullen groen'!M104&lt;&gt;0,'Invullen groen'!M104,""),"")</f>
        <v/>
      </c>
      <c r="H91" s="364">
        <f>IFERROR(IF('Invullen groen'!N104&lt;&gt;0,'Invullen groen'!N104,""),"")</f>
        <v/>
      </c>
      <c r="I91" s="364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364">
        <f>IFERROR(IF('Invullen groen'!L105&lt;&gt;0,'Invullen groen'!L105,""),"")</f>
        <v/>
      </c>
      <c r="G92" s="364">
        <f>IFERROR(IF('Invullen groen'!M105&lt;&gt;0,'Invullen groen'!M105,""),"")</f>
        <v/>
      </c>
      <c r="H92" s="364">
        <f>IFERROR(IF('Invullen groen'!N105&lt;&gt;0,'Invullen groen'!N105,""),"")</f>
        <v/>
      </c>
      <c r="I92" s="364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364">
        <f>IFERROR(IF('Invullen groen'!L106&lt;&gt;0,'Invullen groen'!L106,""),"")</f>
        <v/>
      </c>
      <c r="G93" s="364">
        <f>IFERROR(IF('Invullen groen'!M106&lt;&gt;0,'Invullen groen'!M106,""),"")</f>
        <v/>
      </c>
      <c r="H93" s="364">
        <f>IFERROR(IF('Invullen groen'!N106&lt;&gt;0,'Invullen groen'!N106,""),"")</f>
        <v/>
      </c>
      <c r="I93" s="364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364">
        <f>IFERROR(IF('Invullen groen'!L107&lt;&gt;0,'Invullen groen'!L107,""),"")</f>
        <v/>
      </c>
      <c r="G94" s="364">
        <f>IFERROR(IF('Invullen groen'!M107&lt;&gt;0,'Invullen groen'!M107,""),"")</f>
        <v/>
      </c>
      <c r="H94" s="364">
        <f>IFERROR(IF('Invullen groen'!N107&lt;&gt;0,'Invullen groen'!N107,""),"")</f>
        <v/>
      </c>
      <c r="I94" s="364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364">
        <f>IFERROR(IF('Invullen groen'!L108&lt;&gt;0,'Invullen groen'!L108,""),"")</f>
        <v/>
      </c>
      <c r="G95" s="364">
        <f>IFERROR(IF('Invullen groen'!M108&lt;&gt;0,'Invullen groen'!M108,""),"")</f>
        <v/>
      </c>
      <c r="H95" s="364">
        <f>IFERROR(IF('Invullen groen'!N108&lt;&gt;0,'Invullen groen'!N108,""),"")</f>
        <v/>
      </c>
      <c r="I95" s="364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364">
        <f>IFERROR(IF('Invullen groen'!L109&lt;&gt;0,'Invullen groen'!L109,""),"")</f>
        <v/>
      </c>
      <c r="G96" s="364">
        <f>IFERROR(IF('Invullen groen'!M109&lt;&gt;0,'Invullen groen'!M109,""),"")</f>
        <v/>
      </c>
      <c r="H96" s="364">
        <f>IFERROR(IF('Invullen groen'!N109&lt;&gt;0,'Invullen groen'!N109,""),"")</f>
        <v/>
      </c>
      <c r="I96" s="364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364">
        <f>IFERROR(IF('Invullen groen'!L110&lt;&gt;0,'Invullen groen'!L110,""),"")</f>
        <v/>
      </c>
      <c r="G97" s="364">
        <f>IFERROR(IF('Invullen groen'!M110&lt;&gt;0,'Invullen groen'!M110,""),"")</f>
        <v/>
      </c>
      <c r="H97" s="364">
        <f>IFERROR(IF('Invullen groen'!N110&lt;&gt;0,'Invullen groen'!N110,""),"")</f>
        <v/>
      </c>
      <c r="I97" s="364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364">
        <f>IFERROR(IF('Invullen groen'!L111&lt;&gt;0,'Invullen groen'!L111,""),"")</f>
        <v/>
      </c>
      <c r="G98" s="364">
        <f>IFERROR(IF('Invullen groen'!M111&lt;&gt;0,'Invullen groen'!M111,""),"")</f>
        <v/>
      </c>
      <c r="H98" s="364">
        <f>IFERROR(IF('Invullen groen'!N111&lt;&gt;0,'Invullen groen'!N111,""),"")</f>
        <v/>
      </c>
      <c r="I98" s="364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364">
        <f>IFERROR(IF('Invullen groen'!L112&lt;&gt;0,'Invullen groen'!L112,""),"")</f>
        <v/>
      </c>
      <c r="G99" s="364">
        <f>IFERROR(IF('Invullen groen'!M112&lt;&gt;0,'Invullen groen'!M112,""),"")</f>
        <v/>
      </c>
      <c r="H99" s="364">
        <f>IFERROR(IF('Invullen groen'!N112&lt;&gt;0,'Invullen groen'!N112,""),"")</f>
        <v/>
      </c>
      <c r="I99" s="364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364">
        <f>IFERROR(IF('Invullen groen'!L113&lt;&gt;0,'Invullen groen'!L113,""),"")</f>
        <v/>
      </c>
      <c r="G100" s="364">
        <f>IFERROR(IF('Invullen groen'!M113&lt;&gt;0,'Invullen groen'!M113,""),"")</f>
        <v/>
      </c>
      <c r="H100" s="364">
        <f>IFERROR(IF('Invullen groen'!N113&lt;&gt;0,'Invullen groen'!N113,""),"")</f>
        <v/>
      </c>
      <c r="I100" s="364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364">
        <f>IFERROR(IF('Invullen groen'!L114&lt;&gt;0,'Invullen groen'!L114,""),"")</f>
        <v/>
      </c>
      <c r="G101" s="364">
        <f>IFERROR(IF('Invullen groen'!M114&lt;&gt;0,'Invullen groen'!M114,""),"")</f>
        <v/>
      </c>
      <c r="H101" s="364">
        <f>IFERROR(IF('Invullen groen'!N114&lt;&gt;0,'Invullen groen'!N114,""),"")</f>
        <v/>
      </c>
      <c r="I101" s="364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364">
        <f>IFERROR(IF('Invullen groen'!L115&lt;&gt;0,'Invullen groen'!L115,""),"")</f>
        <v/>
      </c>
      <c r="G102" s="364">
        <f>IFERROR(IF('Invullen groen'!M115&lt;&gt;0,'Invullen groen'!M115,""),"")</f>
        <v/>
      </c>
      <c r="H102" s="364">
        <f>IFERROR(IF('Invullen groen'!N115&lt;&gt;0,'Invullen groen'!N115,""),"")</f>
        <v/>
      </c>
      <c r="I102" s="364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364">
        <f>IFERROR(IF('Invullen groen'!L116&lt;&gt;0,'Invullen groen'!L116,""),"")</f>
        <v/>
      </c>
      <c r="G103" s="364">
        <f>IFERROR(IF('Invullen groen'!M116&lt;&gt;0,'Invullen groen'!M116,""),"")</f>
        <v/>
      </c>
      <c r="H103" s="364">
        <f>IFERROR(IF('Invullen groen'!N116&lt;&gt;0,'Invullen groen'!N116,""),"")</f>
        <v/>
      </c>
      <c r="I103" s="364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364">
        <f>IFERROR(IF('Invullen groen'!L117&lt;&gt;0,'Invullen groen'!L117,""),"")</f>
        <v/>
      </c>
      <c r="G104" s="364">
        <f>IFERROR(IF('Invullen groen'!M117&lt;&gt;0,'Invullen groen'!M117,""),"")</f>
        <v/>
      </c>
      <c r="H104" s="364">
        <f>IFERROR(IF('Invullen groen'!N117&lt;&gt;0,'Invullen groen'!N117,""),"")</f>
        <v/>
      </c>
      <c r="I104" s="364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364">
        <f>IFERROR(IF('Invullen groen'!L118&lt;&gt;0,'Invullen groen'!L118,""),"")</f>
        <v/>
      </c>
      <c r="G105" s="364">
        <f>IFERROR(IF('Invullen groen'!M118&lt;&gt;0,'Invullen groen'!M118,""),"")</f>
        <v/>
      </c>
      <c r="H105" s="364">
        <f>IFERROR(IF('Invullen groen'!N118&lt;&gt;0,'Invullen groen'!N118,""),"")</f>
        <v/>
      </c>
      <c r="I105" s="364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364">
        <f>IFERROR(IF('Invullen groen'!L119&lt;&gt;0,'Invullen groen'!L119,""),"")</f>
        <v/>
      </c>
      <c r="G106" s="364">
        <f>IFERROR(IF('Invullen groen'!M119&lt;&gt;0,'Invullen groen'!M119,""),"")</f>
        <v/>
      </c>
      <c r="H106" s="364">
        <f>IFERROR(IF('Invullen groen'!N119&lt;&gt;0,'Invullen groen'!N119,""),"")</f>
        <v/>
      </c>
      <c r="I106" s="364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364">
        <f>IFERROR(IF('Invullen groen'!L120&lt;&gt;0,'Invullen groen'!L120,""),"")</f>
        <v/>
      </c>
      <c r="G107" s="364">
        <f>IFERROR(IF('Invullen groen'!M120&lt;&gt;0,'Invullen groen'!M120,""),"")</f>
        <v/>
      </c>
      <c r="H107" s="364">
        <f>IFERROR(IF('Invullen groen'!N120&lt;&gt;0,'Invullen groen'!N120,""),"")</f>
        <v/>
      </c>
      <c r="I107" s="364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364">
        <f>IFERROR(IF('Invullen groen'!L121&lt;&gt;0,'Invullen groen'!L121,""),"")</f>
        <v/>
      </c>
      <c r="G108" s="364">
        <f>IFERROR(IF('Invullen groen'!M121&lt;&gt;0,'Invullen groen'!M121,""),"")</f>
        <v/>
      </c>
      <c r="H108" s="364">
        <f>IFERROR(IF('Invullen groen'!N121&lt;&gt;0,'Invullen groen'!N121,""),"")</f>
        <v/>
      </c>
      <c r="I108" s="364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364">
        <f>IFERROR(IF('Invullen groen'!L122&lt;&gt;0,'Invullen groen'!L122,""),"")</f>
        <v/>
      </c>
      <c r="G109" s="364">
        <f>IFERROR(IF('Invullen groen'!M122&lt;&gt;0,'Invullen groen'!M122,""),"")</f>
        <v/>
      </c>
      <c r="H109" s="364">
        <f>IFERROR(IF('Invullen groen'!N122&lt;&gt;0,'Invullen groen'!N122,""),"")</f>
        <v/>
      </c>
      <c r="I109" s="364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364">
        <f>IFERROR(IF('Invullen groen'!L123&lt;&gt;0,'Invullen groen'!L123,""),"")</f>
        <v/>
      </c>
      <c r="G110" s="364">
        <f>IFERROR(IF('Invullen groen'!M123&lt;&gt;0,'Invullen groen'!M123,""),"")</f>
        <v/>
      </c>
      <c r="H110" s="364">
        <f>IFERROR(IF('Invullen groen'!N123&lt;&gt;0,'Invullen groen'!N123,""),"")</f>
        <v/>
      </c>
      <c r="I110" s="364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364">
        <f>IFERROR(IF('Invullen groen'!L124&lt;&gt;0,'Invullen groen'!L124,""),"")</f>
        <v/>
      </c>
      <c r="G111" s="364">
        <f>IFERROR(IF('Invullen groen'!M124&lt;&gt;0,'Invullen groen'!M124,""),"")</f>
        <v/>
      </c>
      <c r="H111" s="364">
        <f>IFERROR(IF('Invullen groen'!N124&lt;&gt;0,'Invullen groen'!N124,""),"")</f>
        <v/>
      </c>
      <c r="I111" s="364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364">
        <f>IFERROR(IF('Invullen groen'!L125&lt;&gt;0,'Invullen groen'!L125,""),"")</f>
        <v/>
      </c>
      <c r="G112" s="364">
        <f>IFERROR(IF('Invullen groen'!M125&lt;&gt;0,'Invullen groen'!M125,""),"")</f>
        <v/>
      </c>
      <c r="H112" s="364">
        <f>IFERROR(IF('Invullen groen'!N125&lt;&gt;0,'Invullen groen'!N125,""),"")</f>
        <v/>
      </c>
      <c r="I112" s="364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364">
        <f>IFERROR(IF('Invullen groen'!L126&lt;&gt;0,'Invullen groen'!L126,""),"")</f>
        <v/>
      </c>
      <c r="G113" s="364">
        <f>IFERROR(IF('Invullen groen'!M126&lt;&gt;0,'Invullen groen'!M126,""),"")</f>
        <v/>
      </c>
      <c r="H113" s="364">
        <f>IFERROR(IF('Invullen groen'!N126&lt;&gt;0,'Invullen groen'!N126,""),"")</f>
        <v/>
      </c>
      <c r="I113" s="364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364">
        <f>IFERROR(IF('Invullen groen'!L127&lt;&gt;0,'Invullen groen'!L127,""),"")</f>
        <v/>
      </c>
      <c r="G114" s="364">
        <f>IFERROR(IF('Invullen groen'!M127&lt;&gt;0,'Invullen groen'!M127,""),"")</f>
        <v/>
      </c>
      <c r="H114" s="364">
        <f>IFERROR(IF('Invullen groen'!N127&lt;&gt;0,'Invullen groen'!N127,""),"")</f>
        <v/>
      </c>
      <c r="I114" s="364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364">
        <f>IFERROR(IF('Invullen groen'!L128&lt;&gt;0,'Invullen groen'!L128,""),"")</f>
        <v/>
      </c>
      <c r="G115" s="364">
        <f>IFERROR(IF('Invullen groen'!M128&lt;&gt;0,'Invullen groen'!M128,""),"")</f>
        <v/>
      </c>
      <c r="H115" s="364">
        <f>IFERROR(IF('Invullen groen'!N128&lt;&gt;0,'Invullen groen'!N128,""),"")</f>
        <v/>
      </c>
      <c r="I115" s="364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364">
        <f>IFERROR(IF('Invullen groen'!L129&lt;&gt;0,'Invullen groen'!L129,""),"")</f>
        <v/>
      </c>
      <c r="G116" s="364">
        <f>IFERROR(IF('Invullen groen'!M129&lt;&gt;0,'Invullen groen'!M129,""),"")</f>
        <v/>
      </c>
      <c r="H116" s="364">
        <f>IFERROR(IF('Invullen groen'!N129&lt;&gt;0,'Invullen groen'!N129,""),"")</f>
        <v/>
      </c>
      <c r="I116" s="364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364">
        <f>IFERROR(IF('Invullen groen'!L130&lt;&gt;0,'Invullen groen'!L130,""),"")</f>
        <v/>
      </c>
      <c r="G117" s="364">
        <f>IFERROR(IF('Invullen groen'!M130&lt;&gt;0,'Invullen groen'!M130,""),"")</f>
        <v/>
      </c>
      <c r="H117" s="364">
        <f>IFERROR(IF('Invullen groen'!N130&lt;&gt;0,'Invullen groen'!N130,""),"")</f>
        <v/>
      </c>
      <c r="I117" s="364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364">
        <f>IFERROR(IF('Invullen groen'!L131&lt;&gt;0,'Invullen groen'!L131,""),"")</f>
        <v/>
      </c>
      <c r="G118" s="364">
        <f>IFERROR(IF('Invullen groen'!M131&lt;&gt;0,'Invullen groen'!M131,""),"")</f>
        <v/>
      </c>
      <c r="H118" s="364">
        <f>IFERROR(IF('Invullen groen'!N131&lt;&gt;0,'Invullen groen'!N131,""),"")</f>
        <v/>
      </c>
      <c r="I118" s="364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364">
        <f>IFERROR(IF('Invullen groen'!L132&lt;&gt;0,'Invullen groen'!L132,""),"")</f>
        <v/>
      </c>
      <c r="G119" s="364">
        <f>IFERROR(IF('Invullen groen'!M132&lt;&gt;0,'Invullen groen'!M132,""),"")</f>
        <v/>
      </c>
      <c r="H119" s="364">
        <f>IFERROR(IF('Invullen groen'!N132&lt;&gt;0,'Invullen groen'!N132,""),"")</f>
        <v/>
      </c>
      <c r="I119" s="364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364">
        <f>IFERROR(IF('Invullen groen'!L133&lt;&gt;0,'Invullen groen'!L133,""),"")</f>
        <v/>
      </c>
      <c r="G120" s="364">
        <f>IFERROR(IF('Invullen groen'!M133&lt;&gt;0,'Invullen groen'!M133,""),"")</f>
        <v/>
      </c>
      <c r="H120" s="364">
        <f>IFERROR(IF('Invullen groen'!N133&lt;&gt;0,'Invullen groen'!N133,""),"")</f>
        <v/>
      </c>
      <c r="I120" s="364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364">
        <f>IFERROR(IF('Invullen groen'!L134&lt;&gt;0,'Invullen groen'!L134,""),"")</f>
        <v/>
      </c>
      <c r="G121" s="364">
        <f>IFERROR(IF('Invullen groen'!M134&lt;&gt;0,'Invullen groen'!M134,""),"")</f>
        <v/>
      </c>
      <c r="H121" s="364">
        <f>IFERROR(IF('Invullen groen'!N134&lt;&gt;0,'Invullen groen'!N134,""),"")</f>
        <v/>
      </c>
      <c r="I121" s="364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364">
        <f>IFERROR(IF('Invullen groen'!L135&lt;&gt;0,'Invullen groen'!L135,""),"")</f>
        <v/>
      </c>
      <c r="G122" s="364">
        <f>IFERROR(IF('Invullen groen'!M135&lt;&gt;0,'Invullen groen'!M135,""),"")</f>
        <v/>
      </c>
      <c r="H122" s="364">
        <f>IFERROR(IF('Invullen groen'!N135&lt;&gt;0,'Invullen groen'!N135,""),"")</f>
        <v/>
      </c>
      <c r="I122" s="364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364">
        <f>IFERROR(IF('Invullen groen'!L136&lt;&gt;0,'Invullen groen'!L136,""),"")</f>
        <v/>
      </c>
      <c r="G123" s="364">
        <f>IFERROR(IF('Invullen groen'!M136&lt;&gt;0,'Invullen groen'!M136,""),"")</f>
        <v/>
      </c>
      <c r="H123" s="364">
        <f>IFERROR(IF('Invullen groen'!N136&lt;&gt;0,'Invullen groen'!N136,""),"")</f>
        <v/>
      </c>
      <c r="I123" s="364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364">
        <f>IFERROR(IF('Invullen groen'!L137&lt;&gt;0,'Invullen groen'!L137,""),"")</f>
        <v/>
      </c>
      <c r="G124" s="364">
        <f>IFERROR(IF('Invullen groen'!M137&lt;&gt;0,'Invullen groen'!M137,""),"")</f>
        <v/>
      </c>
      <c r="H124" s="364">
        <f>IFERROR(IF('Invullen groen'!N137&lt;&gt;0,'Invullen groen'!N137,""),"")</f>
        <v/>
      </c>
      <c r="I124" s="364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364">
        <f>IFERROR(IF('Invullen groen'!L138&lt;&gt;0,'Invullen groen'!L138,""),"")</f>
        <v/>
      </c>
      <c r="G125" s="364">
        <f>IFERROR(IF('Invullen groen'!M138&lt;&gt;0,'Invullen groen'!M138,""),"")</f>
        <v/>
      </c>
      <c r="H125" s="364">
        <f>IFERROR(IF('Invullen groen'!N138&lt;&gt;0,'Invullen groen'!N138,""),"")</f>
        <v/>
      </c>
      <c r="I125" s="364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364">
        <f>IFERROR(IF('Invullen groen'!L139&lt;&gt;0,'Invullen groen'!L139,""),"")</f>
        <v/>
      </c>
      <c r="G126" s="364">
        <f>IFERROR(IF('Invullen groen'!M139&lt;&gt;0,'Invullen groen'!M139,""),"")</f>
        <v/>
      </c>
      <c r="H126" s="364">
        <f>IFERROR(IF('Invullen groen'!N139&lt;&gt;0,'Invullen groen'!N139,""),"")</f>
        <v/>
      </c>
      <c r="I126" s="364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364">
        <f>IFERROR(IF('Invullen groen'!L140&lt;&gt;0,'Invullen groen'!L140,""),"")</f>
        <v/>
      </c>
      <c r="G127" s="364">
        <f>IFERROR(IF('Invullen groen'!M140&lt;&gt;0,'Invullen groen'!M140,""),"")</f>
        <v/>
      </c>
      <c r="H127" s="364">
        <f>IFERROR(IF('Invullen groen'!N140&lt;&gt;0,'Invullen groen'!N140,""),"")</f>
        <v/>
      </c>
      <c r="I127" s="364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364">
        <f>IFERROR(IF('Invullen groen'!L141&lt;&gt;0,'Invullen groen'!L141,""),"")</f>
        <v/>
      </c>
      <c r="G128" s="364">
        <f>IFERROR(IF('Invullen groen'!M141&lt;&gt;0,'Invullen groen'!M141,""),"")</f>
        <v/>
      </c>
      <c r="H128" s="364">
        <f>IFERROR(IF('Invullen groen'!N141&lt;&gt;0,'Invullen groen'!N141,""),"")</f>
        <v/>
      </c>
      <c r="I128" s="364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364">
        <f>IFERROR(IF('Invullen groen'!L142&lt;&gt;0,'Invullen groen'!L142,""),"")</f>
        <v/>
      </c>
      <c r="G129" s="364">
        <f>IFERROR(IF('Invullen groen'!M142&lt;&gt;0,'Invullen groen'!M142,""),"")</f>
        <v/>
      </c>
      <c r="H129" s="364">
        <f>IFERROR(IF('Invullen groen'!N142&lt;&gt;0,'Invullen groen'!N142,""),"")</f>
        <v/>
      </c>
      <c r="I129" s="364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364">
        <f>IFERROR(IF('Invullen groen'!L143&lt;&gt;0,'Invullen groen'!L143,""),"")</f>
        <v/>
      </c>
      <c r="G130" s="364">
        <f>IFERROR(IF('Invullen groen'!M143&lt;&gt;0,'Invullen groen'!M143,""),"")</f>
        <v/>
      </c>
      <c r="H130" s="364">
        <f>IFERROR(IF('Invullen groen'!N143&lt;&gt;0,'Invullen groen'!N143,""),"")</f>
        <v/>
      </c>
      <c r="I130" s="364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364">
        <f>IFERROR(IF('Invullen groen'!L144&lt;&gt;0,'Invullen groen'!L144,""),"")</f>
        <v/>
      </c>
      <c r="G131" s="364">
        <f>IFERROR(IF('Invullen groen'!M144&lt;&gt;0,'Invullen groen'!M144,""),"")</f>
        <v/>
      </c>
      <c r="H131" s="364">
        <f>IFERROR(IF('Invullen groen'!N144&lt;&gt;0,'Invullen groen'!N144,""),"")</f>
        <v/>
      </c>
      <c r="I131" s="364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364">
        <f>IFERROR(IF('Invullen groen'!L145&lt;&gt;0,'Invullen groen'!L145,""),"")</f>
        <v/>
      </c>
      <c r="G132" s="364">
        <f>IFERROR(IF('Invullen groen'!M145&lt;&gt;0,'Invullen groen'!M145,""),"")</f>
        <v/>
      </c>
      <c r="H132" s="364">
        <f>IFERROR(IF('Invullen groen'!N145&lt;&gt;0,'Invullen groen'!N145,""),"")</f>
        <v/>
      </c>
      <c r="I132" s="364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364">
        <f>IFERROR(IF('Invullen groen'!L146&lt;&gt;0,'Invullen groen'!L146,""),"")</f>
        <v/>
      </c>
      <c r="G133" s="364">
        <f>IFERROR(IF('Invullen groen'!M146&lt;&gt;0,'Invullen groen'!M146,""),"")</f>
        <v/>
      </c>
      <c r="H133" s="364">
        <f>IFERROR(IF('Invullen groen'!N146&lt;&gt;0,'Invullen groen'!N146,""),"")</f>
        <v/>
      </c>
      <c r="I133" s="364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364">
        <f>IFERROR(IF('Invullen groen'!L147&lt;&gt;0,'Invullen groen'!L147,""),"")</f>
        <v/>
      </c>
      <c r="G134" s="364">
        <f>IFERROR(IF('Invullen groen'!M147&lt;&gt;0,'Invullen groen'!M147,""),"")</f>
        <v/>
      </c>
      <c r="H134" s="364">
        <f>IFERROR(IF('Invullen groen'!N147&lt;&gt;0,'Invullen groen'!N147,""),"")</f>
        <v/>
      </c>
      <c r="I134" s="364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364">
        <f>IFERROR(IF('Invullen groen'!L148&lt;&gt;0,'Invullen groen'!L148,""),"")</f>
        <v/>
      </c>
      <c r="G135" s="364">
        <f>IFERROR(IF('Invullen groen'!M148&lt;&gt;0,'Invullen groen'!M148,""),"")</f>
        <v/>
      </c>
      <c r="H135" s="364">
        <f>IFERROR(IF('Invullen groen'!N148&lt;&gt;0,'Invullen groen'!N148,""),"")</f>
        <v/>
      </c>
      <c r="I135" s="364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364">
        <f>IFERROR(IF('Invullen groen'!L149&lt;&gt;0,'Invullen groen'!L149,""),"")</f>
        <v/>
      </c>
      <c r="G136" s="364">
        <f>IFERROR(IF('Invullen groen'!M149&lt;&gt;0,'Invullen groen'!M149,""),"")</f>
        <v/>
      </c>
      <c r="H136" s="364">
        <f>IFERROR(IF('Invullen groen'!N149&lt;&gt;0,'Invullen groen'!N149,""),"")</f>
        <v/>
      </c>
      <c r="I136" s="364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364">
        <f>IFERROR(IF('Invullen groen'!L150&lt;&gt;0,'Invullen groen'!L150,""),"")</f>
        <v/>
      </c>
      <c r="G137" s="364">
        <f>IFERROR(IF('Invullen groen'!M150&lt;&gt;0,'Invullen groen'!M150,""),"")</f>
        <v/>
      </c>
      <c r="H137" s="364">
        <f>IFERROR(IF('Invullen groen'!N150&lt;&gt;0,'Invullen groen'!N150,""),"")</f>
        <v/>
      </c>
      <c r="I137" s="364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364">
        <f>IFERROR(IF('Invullen groen'!L151&lt;&gt;0,'Invullen groen'!L151,""),"")</f>
        <v/>
      </c>
      <c r="G138" s="364">
        <f>IFERROR(IF('Invullen groen'!M151&lt;&gt;0,'Invullen groen'!M151,""),"")</f>
        <v/>
      </c>
      <c r="H138" s="364">
        <f>IFERROR(IF('Invullen groen'!N151&lt;&gt;0,'Invullen groen'!N151,""),"")</f>
        <v/>
      </c>
      <c r="I138" s="364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364">
        <f>IFERROR(IF('Invullen groen'!L152&lt;&gt;0,'Invullen groen'!L152,""),"")</f>
        <v/>
      </c>
      <c r="G139" s="364">
        <f>IFERROR(IF('Invullen groen'!M152&lt;&gt;0,'Invullen groen'!M152,""),"")</f>
        <v/>
      </c>
      <c r="H139" s="364">
        <f>IFERROR(IF('Invullen groen'!N152&lt;&gt;0,'Invullen groen'!N152,""),"")</f>
        <v/>
      </c>
      <c r="I139" s="364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364">
        <f>IFERROR(IF('Invullen groen'!L153&lt;&gt;0,'Invullen groen'!L153,""),"")</f>
        <v/>
      </c>
      <c r="G140" s="364">
        <f>IFERROR(IF('Invullen groen'!M153&lt;&gt;0,'Invullen groen'!M153,""),"")</f>
        <v/>
      </c>
      <c r="H140" s="364">
        <f>IFERROR(IF('Invullen groen'!N153&lt;&gt;0,'Invullen groen'!N153,""),"")</f>
        <v/>
      </c>
      <c r="I140" s="364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364">
        <f>IFERROR(IF('Invullen groen'!L154&lt;&gt;0,'Invullen groen'!L154,""),"")</f>
        <v/>
      </c>
      <c r="G141" s="364">
        <f>IFERROR(IF('Invullen groen'!M154&lt;&gt;0,'Invullen groen'!M154,""),"")</f>
        <v/>
      </c>
      <c r="H141" s="364">
        <f>IFERROR(IF('Invullen groen'!N154&lt;&gt;0,'Invullen groen'!N154,""),"")</f>
        <v/>
      </c>
      <c r="I141" s="364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364">
        <f>IFERROR(IF('Invullen groen'!L155&lt;&gt;0,'Invullen groen'!L155,""),"")</f>
        <v/>
      </c>
      <c r="G142" s="364">
        <f>IFERROR(IF('Invullen groen'!M155&lt;&gt;0,'Invullen groen'!M155,""),"")</f>
        <v/>
      </c>
      <c r="H142" s="364">
        <f>IFERROR(IF('Invullen groen'!N155&lt;&gt;0,'Invullen groen'!N155,""),"")</f>
        <v/>
      </c>
      <c r="I142" s="364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364">
        <f>IFERROR(IF('Invullen groen'!L156&lt;&gt;0,'Invullen groen'!L156,""),"")</f>
        <v/>
      </c>
      <c r="G143" s="364">
        <f>IFERROR(IF('Invullen groen'!M156&lt;&gt;0,'Invullen groen'!M156,""),"")</f>
        <v/>
      </c>
      <c r="H143" s="364">
        <f>IFERROR(IF('Invullen groen'!N156&lt;&gt;0,'Invullen groen'!N156,""),"")</f>
        <v/>
      </c>
      <c r="I143" s="364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364">
        <f>IFERROR(IF('Invullen groen'!L157&lt;&gt;0,'Invullen groen'!L157,""),"")</f>
        <v/>
      </c>
      <c r="G144" s="364">
        <f>IFERROR(IF('Invullen groen'!M157&lt;&gt;0,'Invullen groen'!M157,""),"")</f>
        <v/>
      </c>
      <c r="H144" s="364">
        <f>IFERROR(IF('Invullen groen'!N157&lt;&gt;0,'Invullen groen'!N157,""),"")</f>
        <v/>
      </c>
      <c r="I144" s="364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364">
        <f>IFERROR(IF('Invullen groen'!L158&lt;&gt;0,'Invullen groen'!L158,""),"")</f>
        <v/>
      </c>
      <c r="G145" s="364">
        <f>IFERROR(IF('Invullen groen'!M158&lt;&gt;0,'Invullen groen'!M158,""),"")</f>
        <v/>
      </c>
      <c r="H145" s="364">
        <f>IFERROR(IF('Invullen groen'!N158&lt;&gt;0,'Invullen groen'!N158,""),"")</f>
        <v/>
      </c>
      <c r="I145" s="364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364">
        <f>IFERROR(IF('Invullen groen'!L159&lt;&gt;0,'Invullen groen'!L159,""),"")</f>
        <v/>
      </c>
      <c r="G146" s="364">
        <f>IFERROR(IF('Invullen groen'!M159&lt;&gt;0,'Invullen groen'!M159,""),"")</f>
        <v/>
      </c>
      <c r="H146" s="364">
        <f>IFERROR(IF('Invullen groen'!N159&lt;&gt;0,'Invullen groen'!N159,""),"")</f>
        <v/>
      </c>
      <c r="I146" s="364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364">
        <f>IFERROR(IF('Invullen groen'!L160&lt;&gt;0,'Invullen groen'!L160,""),"")</f>
        <v/>
      </c>
      <c r="G147" s="364">
        <f>IFERROR(IF('Invullen groen'!M160&lt;&gt;0,'Invullen groen'!M160,""),"")</f>
        <v/>
      </c>
      <c r="H147" s="364">
        <f>IFERROR(IF('Invullen groen'!N160&lt;&gt;0,'Invullen groen'!N160,""),"")</f>
        <v/>
      </c>
      <c r="I147" s="364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364">
        <f>IFERROR(IF('Invullen groen'!L161&lt;&gt;0,'Invullen groen'!L161,""),"")</f>
        <v/>
      </c>
      <c r="G148" s="364">
        <f>IFERROR(IF('Invullen groen'!M161&lt;&gt;0,'Invullen groen'!M161,""),"")</f>
        <v/>
      </c>
      <c r="H148" s="364">
        <f>IFERROR(IF('Invullen groen'!N161&lt;&gt;0,'Invullen groen'!N161,""),"")</f>
        <v/>
      </c>
      <c r="I148" s="364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364">
        <f>IFERROR(IF('Invullen groen'!L162&lt;&gt;0,'Invullen groen'!L162,""),"")</f>
        <v/>
      </c>
      <c r="G149" s="364">
        <f>IFERROR(IF('Invullen groen'!M162&lt;&gt;0,'Invullen groen'!M162,""),"")</f>
        <v/>
      </c>
      <c r="H149" s="364">
        <f>IFERROR(IF('Invullen groen'!N162&lt;&gt;0,'Invullen groen'!N162,""),"")</f>
        <v/>
      </c>
      <c r="I149" s="364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364">
        <f>IFERROR(IF('Invullen groen'!L163&lt;&gt;0,'Invullen groen'!L163,""),"")</f>
        <v/>
      </c>
      <c r="G150" s="364">
        <f>IFERROR(IF('Invullen groen'!M163&lt;&gt;0,'Invullen groen'!M163,""),"")</f>
        <v/>
      </c>
      <c r="H150" s="364">
        <f>IFERROR(IF('Invullen groen'!N163&lt;&gt;0,'Invullen groen'!N163,""),"")</f>
        <v/>
      </c>
      <c r="I150" s="364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364">
        <f>IFERROR(IF('Invullen groen'!L164&lt;&gt;0,'Invullen groen'!L164,""),"")</f>
        <v/>
      </c>
      <c r="G151" s="364">
        <f>IFERROR(IF('Invullen groen'!M164&lt;&gt;0,'Invullen groen'!M164,""),"")</f>
        <v/>
      </c>
      <c r="H151" s="364">
        <f>IFERROR(IF('Invullen groen'!N164&lt;&gt;0,'Invullen groen'!N164,""),"")</f>
        <v/>
      </c>
      <c r="I151" s="364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364">
        <f>IFERROR(IF('Invullen groen'!L165&lt;&gt;0,'Invullen groen'!L165,""),"")</f>
        <v/>
      </c>
      <c r="G152" s="364">
        <f>IFERROR(IF('Invullen groen'!M165&lt;&gt;0,'Invullen groen'!M165,""),"")</f>
        <v/>
      </c>
      <c r="H152" s="364">
        <f>IFERROR(IF('Invullen groen'!N165&lt;&gt;0,'Invullen groen'!N165,""),"")</f>
        <v/>
      </c>
      <c r="I152" s="364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364">
        <f>IFERROR(IF('Invullen groen'!L166&lt;&gt;0,'Invullen groen'!L166,""),"")</f>
        <v/>
      </c>
      <c r="G153" s="364">
        <f>IFERROR(IF('Invullen groen'!M166&lt;&gt;0,'Invullen groen'!M166,""),"")</f>
        <v/>
      </c>
      <c r="H153" s="364">
        <f>IFERROR(IF('Invullen groen'!N166&lt;&gt;0,'Invullen groen'!N166,""),"")</f>
        <v/>
      </c>
      <c r="I153" s="364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364">
        <f>IFERROR(IF('Invullen groen'!L167&lt;&gt;0,'Invullen groen'!L167,""),"")</f>
        <v/>
      </c>
      <c r="G154" s="364">
        <f>IFERROR(IF('Invullen groen'!M167&lt;&gt;0,'Invullen groen'!M167,""),"")</f>
        <v/>
      </c>
      <c r="H154" s="364">
        <f>IFERROR(IF('Invullen groen'!N167&lt;&gt;0,'Invullen groen'!N167,""),"")</f>
        <v/>
      </c>
      <c r="I154" s="364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364">
        <f>IFERROR(IF('Invullen groen'!L168&lt;&gt;0,'Invullen groen'!L168,""),"")</f>
        <v/>
      </c>
      <c r="G155" s="364">
        <f>IFERROR(IF('Invullen groen'!M168&lt;&gt;0,'Invullen groen'!M168,""),"")</f>
        <v/>
      </c>
      <c r="H155" s="364">
        <f>IFERROR(IF('Invullen groen'!N168&lt;&gt;0,'Invullen groen'!N168,""),"")</f>
        <v/>
      </c>
      <c r="I155" s="364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364">
        <f>IFERROR(IF('Invullen groen'!L169&lt;&gt;0,'Invullen groen'!L169,""),"")</f>
        <v/>
      </c>
      <c r="G156" s="364">
        <f>IFERROR(IF('Invullen groen'!M169&lt;&gt;0,'Invullen groen'!M169,""),"")</f>
        <v/>
      </c>
      <c r="H156" s="364">
        <f>IFERROR(IF('Invullen groen'!N169&lt;&gt;0,'Invullen groen'!N169,""),"")</f>
        <v/>
      </c>
      <c r="I156" s="364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364">
        <f>IFERROR(IF('Invullen groen'!L170&lt;&gt;0,'Invullen groen'!L170,""),"")</f>
        <v/>
      </c>
      <c r="G157" s="364">
        <f>IFERROR(IF('Invullen groen'!M170&lt;&gt;0,'Invullen groen'!M170,""),"")</f>
        <v/>
      </c>
      <c r="H157" s="364">
        <f>IFERROR(IF('Invullen groen'!N170&lt;&gt;0,'Invullen groen'!N170,""),"")</f>
        <v/>
      </c>
      <c r="I157" s="364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364">
        <f>IFERROR(IF('Invullen groen'!L171&lt;&gt;0,'Invullen groen'!L171,""),"")</f>
        <v/>
      </c>
      <c r="G158" s="364">
        <f>IFERROR(IF('Invullen groen'!M171&lt;&gt;0,'Invullen groen'!M171,""),"")</f>
        <v/>
      </c>
      <c r="H158" s="364">
        <f>IFERROR(IF('Invullen groen'!N171&lt;&gt;0,'Invullen groen'!N171,""),"")</f>
        <v/>
      </c>
      <c r="I158" s="364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364">
        <f>IFERROR(IF('Invullen groen'!L172&lt;&gt;0,'Invullen groen'!L172,""),"")</f>
        <v/>
      </c>
      <c r="G159" s="364">
        <f>IFERROR(IF('Invullen groen'!M172&lt;&gt;0,'Invullen groen'!M172,""),"")</f>
        <v/>
      </c>
      <c r="H159" s="364">
        <f>IFERROR(IF('Invullen groen'!N172&lt;&gt;0,'Invullen groen'!N172,""),"")</f>
        <v/>
      </c>
      <c r="I159" s="364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364">
        <f>IFERROR(IF('Invullen groen'!L173&lt;&gt;0,'Invullen groen'!L173,""),"")</f>
        <v/>
      </c>
      <c r="G160" s="364">
        <f>IFERROR(IF('Invullen groen'!M173&lt;&gt;0,'Invullen groen'!M173,""),"")</f>
        <v/>
      </c>
      <c r="H160" s="364">
        <f>IFERROR(IF('Invullen groen'!N173&lt;&gt;0,'Invullen groen'!N173,""),"")</f>
        <v/>
      </c>
      <c r="I160" s="364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364">
        <f>IFERROR(IF('Invullen groen'!L174&lt;&gt;0,'Invullen groen'!L174,""),"")</f>
        <v/>
      </c>
      <c r="G161" s="364">
        <f>IFERROR(IF('Invullen groen'!M174&lt;&gt;0,'Invullen groen'!M174,""),"")</f>
        <v/>
      </c>
      <c r="H161" s="364">
        <f>IFERROR(IF('Invullen groen'!N174&lt;&gt;0,'Invullen groen'!N174,""),"")</f>
        <v/>
      </c>
      <c r="I161" s="364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364">
        <f>IFERROR(IF('Invullen groen'!L175&lt;&gt;0,'Invullen groen'!L175,""),"")</f>
        <v/>
      </c>
      <c r="G162" s="364">
        <f>IFERROR(IF('Invullen groen'!M175&lt;&gt;0,'Invullen groen'!M175,""),"")</f>
        <v/>
      </c>
      <c r="H162" s="364">
        <f>IFERROR(IF('Invullen groen'!N175&lt;&gt;0,'Invullen groen'!N175,""),"")</f>
        <v/>
      </c>
      <c r="I162" s="364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364">
        <f>IFERROR(IF('Invullen groen'!L176&lt;&gt;0,'Invullen groen'!L176,""),"")</f>
        <v/>
      </c>
      <c r="G163" s="364">
        <f>IFERROR(IF('Invullen groen'!M176&lt;&gt;0,'Invullen groen'!M176,""),"")</f>
        <v/>
      </c>
      <c r="H163" s="364">
        <f>IFERROR(IF('Invullen groen'!N176&lt;&gt;0,'Invullen groen'!N176,""),"")</f>
        <v/>
      </c>
      <c r="I163" s="364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364">
        <f>IFERROR(IF('Invullen groen'!L177&lt;&gt;0,'Invullen groen'!L177,""),"")</f>
        <v/>
      </c>
      <c r="G164" s="364">
        <f>IFERROR(IF('Invullen groen'!M177&lt;&gt;0,'Invullen groen'!M177,""),"")</f>
        <v/>
      </c>
      <c r="H164" s="364">
        <f>IFERROR(IF('Invullen groen'!N177&lt;&gt;0,'Invullen groen'!N177,""),"")</f>
        <v/>
      </c>
      <c r="I164" s="364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364">
        <f>IFERROR(IF('Invullen groen'!L178&lt;&gt;0,'Invullen groen'!L178,""),"")</f>
        <v/>
      </c>
      <c r="G165" s="364">
        <f>IFERROR(IF('Invullen groen'!M178&lt;&gt;0,'Invullen groen'!M178,""),"")</f>
        <v/>
      </c>
      <c r="H165" s="364">
        <f>IFERROR(IF('Invullen groen'!N178&lt;&gt;0,'Invullen groen'!N178,""),"")</f>
        <v/>
      </c>
      <c r="I165" s="364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364">
        <f>IFERROR(IF('Invullen groen'!L179&lt;&gt;0,'Invullen groen'!L179,""),"")</f>
        <v/>
      </c>
      <c r="G166" s="364">
        <f>IFERROR(IF('Invullen groen'!M179&lt;&gt;0,'Invullen groen'!M179,""),"")</f>
        <v/>
      </c>
      <c r="H166" s="364">
        <f>IFERROR(IF('Invullen groen'!N179&lt;&gt;0,'Invullen groen'!N179,""),"")</f>
        <v/>
      </c>
      <c r="I166" s="364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364">
        <f>IFERROR(IF('Invullen groen'!L180&lt;&gt;0,'Invullen groen'!L180,""),"")</f>
        <v/>
      </c>
      <c r="G167" s="364">
        <f>IFERROR(IF('Invullen groen'!M180&lt;&gt;0,'Invullen groen'!M180,""),"")</f>
        <v/>
      </c>
      <c r="H167" s="364">
        <f>IFERROR(IF('Invullen groen'!N180&lt;&gt;0,'Invullen groen'!N180,""),"")</f>
        <v/>
      </c>
      <c r="I167" s="364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364">
        <f>IFERROR(IF('Invullen groen'!L181&lt;&gt;0,'Invullen groen'!L181,""),"")</f>
        <v/>
      </c>
      <c r="G168" s="364">
        <f>IFERROR(IF('Invullen groen'!M181&lt;&gt;0,'Invullen groen'!M181,""),"")</f>
        <v/>
      </c>
      <c r="H168" s="364">
        <f>IFERROR(IF('Invullen groen'!N181&lt;&gt;0,'Invullen groen'!N181,""),"")</f>
        <v/>
      </c>
      <c r="I168" s="364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364">
        <f>IFERROR(IF('Invullen groen'!L182&lt;&gt;0,'Invullen groen'!L182,""),"")</f>
        <v/>
      </c>
      <c r="G169" s="364">
        <f>IFERROR(IF('Invullen groen'!M182&lt;&gt;0,'Invullen groen'!M182,""),"")</f>
        <v/>
      </c>
      <c r="H169" s="364">
        <f>IFERROR(IF('Invullen groen'!N182&lt;&gt;0,'Invullen groen'!N182,""),"")</f>
        <v/>
      </c>
      <c r="I169" s="364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364">
        <f>IFERROR(IF('Invullen groen'!L183&lt;&gt;0,'Invullen groen'!L183,""),"")</f>
        <v/>
      </c>
      <c r="G170" s="364">
        <f>IFERROR(IF('Invullen groen'!M183&lt;&gt;0,'Invullen groen'!M183,""),"")</f>
        <v/>
      </c>
      <c r="H170" s="364">
        <f>IFERROR(IF('Invullen groen'!N183&lt;&gt;0,'Invullen groen'!N183,""),"")</f>
        <v/>
      </c>
      <c r="I170" s="364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364">
        <f>IFERROR(IF('Invullen groen'!L184&lt;&gt;0,'Invullen groen'!L184,""),"")</f>
        <v/>
      </c>
      <c r="G171" s="364">
        <f>IFERROR(IF('Invullen groen'!M184&lt;&gt;0,'Invullen groen'!M184,""),"")</f>
        <v/>
      </c>
      <c r="H171" s="364">
        <f>IFERROR(IF('Invullen groen'!N184&lt;&gt;0,'Invullen groen'!N184,""),"")</f>
        <v/>
      </c>
      <c r="I171" s="364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364">
        <f>IFERROR(IF('Invullen groen'!L185&lt;&gt;0,'Invullen groen'!L185,""),"")</f>
        <v/>
      </c>
      <c r="G172" s="364">
        <f>IFERROR(IF('Invullen groen'!M185&lt;&gt;0,'Invullen groen'!M185,""),"")</f>
        <v/>
      </c>
      <c r="H172" s="364">
        <f>IFERROR(IF('Invullen groen'!N185&lt;&gt;0,'Invullen groen'!N185,""),"")</f>
        <v/>
      </c>
      <c r="I172" s="364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364">
        <f>IFERROR(IF('Invullen groen'!L186&lt;&gt;0,'Invullen groen'!L186,""),"")</f>
        <v/>
      </c>
      <c r="G173" s="364">
        <f>IFERROR(IF('Invullen groen'!M186&lt;&gt;0,'Invullen groen'!M186,""),"")</f>
        <v/>
      </c>
      <c r="H173" s="364">
        <f>IFERROR(IF('Invullen groen'!N186&lt;&gt;0,'Invullen groen'!N186,""),"")</f>
        <v/>
      </c>
      <c r="I173" s="364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364">
        <f>IFERROR(IF('Invullen groen'!L187&lt;&gt;0,'Invullen groen'!L187,""),"")</f>
        <v/>
      </c>
      <c r="G174" s="364">
        <f>IFERROR(IF('Invullen groen'!M187&lt;&gt;0,'Invullen groen'!M187,""),"")</f>
        <v/>
      </c>
      <c r="H174" s="364">
        <f>IFERROR(IF('Invullen groen'!N187&lt;&gt;0,'Invullen groen'!N187,""),"")</f>
        <v/>
      </c>
      <c r="I174" s="364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364">
        <f>IFERROR(IF('Invullen groen'!L188&lt;&gt;0,'Invullen groen'!L188,""),"")</f>
        <v/>
      </c>
      <c r="G175" s="364">
        <f>IFERROR(IF('Invullen groen'!M188&lt;&gt;0,'Invullen groen'!M188,""),"")</f>
        <v/>
      </c>
      <c r="H175" s="364">
        <f>IFERROR(IF('Invullen groen'!N188&lt;&gt;0,'Invullen groen'!N188,""),"")</f>
        <v/>
      </c>
      <c r="I175" s="364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364">
        <f>IFERROR(IF('Invullen groen'!L189&lt;&gt;0,'Invullen groen'!L189,""),"")</f>
        <v/>
      </c>
      <c r="G176" s="364">
        <f>IFERROR(IF('Invullen groen'!M189&lt;&gt;0,'Invullen groen'!M189,""),"")</f>
        <v/>
      </c>
      <c r="H176" s="364">
        <f>IFERROR(IF('Invullen groen'!N189&lt;&gt;0,'Invullen groen'!N189,""),"")</f>
        <v/>
      </c>
      <c r="I176" s="364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364">
        <f>IFERROR(IF('Invullen groen'!L190&lt;&gt;0,'Invullen groen'!L190,""),"")</f>
        <v/>
      </c>
      <c r="G177" s="364">
        <f>IFERROR(IF('Invullen groen'!M190&lt;&gt;0,'Invullen groen'!M190,""),"")</f>
        <v/>
      </c>
      <c r="H177" s="364">
        <f>IFERROR(IF('Invullen groen'!N190&lt;&gt;0,'Invullen groen'!N190,""),"")</f>
        <v/>
      </c>
      <c r="I177" s="364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364">
        <f>IFERROR(IF('Invullen groen'!L191&lt;&gt;0,'Invullen groen'!L191,""),"")</f>
        <v/>
      </c>
      <c r="G178" s="364">
        <f>IFERROR(IF('Invullen groen'!M191&lt;&gt;0,'Invullen groen'!M191,""),"")</f>
        <v/>
      </c>
      <c r="H178" s="364">
        <f>IFERROR(IF('Invullen groen'!N191&lt;&gt;0,'Invullen groen'!N191,""),"")</f>
        <v/>
      </c>
      <c r="I178" s="364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364">
        <f>IFERROR(IF('Invullen groen'!L192&lt;&gt;0,'Invullen groen'!L192,""),"")</f>
        <v/>
      </c>
      <c r="G179" s="364">
        <f>IFERROR(IF('Invullen groen'!M192&lt;&gt;0,'Invullen groen'!M192,""),"")</f>
        <v/>
      </c>
      <c r="H179" s="364">
        <f>IFERROR(IF('Invullen groen'!N192&lt;&gt;0,'Invullen groen'!N192,""),"")</f>
        <v/>
      </c>
      <c r="I179" s="364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364">
        <f>IFERROR(IF('Invullen groen'!L193&lt;&gt;0,'Invullen groen'!L193,""),"")</f>
        <v/>
      </c>
      <c r="G180" s="364">
        <f>IFERROR(IF('Invullen groen'!M193&lt;&gt;0,'Invullen groen'!M193,""),"")</f>
        <v/>
      </c>
      <c r="H180" s="364">
        <f>IFERROR(IF('Invullen groen'!N193&lt;&gt;0,'Invullen groen'!N193,""),"")</f>
        <v/>
      </c>
      <c r="I180" s="364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364">
        <f>IFERROR(IF('Invullen groen'!L194&lt;&gt;0,'Invullen groen'!L194,""),"")</f>
        <v/>
      </c>
      <c r="G181" s="364">
        <f>IFERROR(IF('Invullen groen'!M194&lt;&gt;0,'Invullen groen'!M194,""),"")</f>
        <v/>
      </c>
      <c r="H181" s="364">
        <f>IFERROR(IF('Invullen groen'!N194&lt;&gt;0,'Invullen groen'!N194,""),"")</f>
        <v/>
      </c>
      <c r="I181" s="364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364">
        <f>IFERROR(IF('Invullen groen'!L195&lt;&gt;0,'Invullen groen'!L195,""),"")</f>
        <v/>
      </c>
      <c r="G182" s="364">
        <f>IFERROR(IF('Invullen groen'!M195&lt;&gt;0,'Invullen groen'!M195,""),"")</f>
        <v/>
      </c>
      <c r="H182" s="364">
        <f>IFERROR(IF('Invullen groen'!N195&lt;&gt;0,'Invullen groen'!N195,""),"")</f>
        <v/>
      </c>
      <c r="I182" s="364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364">
        <f>IFERROR(IF('Invullen groen'!L196&lt;&gt;0,'Invullen groen'!L196,""),"")</f>
        <v/>
      </c>
      <c r="G183" s="364">
        <f>IFERROR(IF('Invullen groen'!M196&lt;&gt;0,'Invullen groen'!M196,""),"")</f>
        <v/>
      </c>
      <c r="H183" s="364">
        <f>IFERROR(IF('Invullen groen'!N196&lt;&gt;0,'Invullen groen'!N196,""),"")</f>
        <v/>
      </c>
      <c r="I183" s="364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364">
        <f>IFERROR(IF('Invullen groen'!L197&lt;&gt;0,'Invullen groen'!L197,""),"")</f>
        <v/>
      </c>
      <c r="G184" s="364">
        <f>IFERROR(IF('Invullen groen'!M197&lt;&gt;0,'Invullen groen'!M197,""),"")</f>
        <v/>
      </c>
      <c r="H184" s="364">
        <f>IFERROR(IF('Invullen groen'!N197&lt;&gt;0,'Invullen groen'!N197,""),"")</f>
        <v/>
      </c>
      <c r="I184" s="364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364">
        <f>IFERROR(IF('Invullen groen'!L198&lt;&gt;0,'Invullen groen'!L198,""),"")</f>
        <v/>
      </c>
      <c r="G185" s="364">
        <f>IFERROR(IF('Invullen groen'!M198&lt;&gt;0,'Invullen groen'!M198,""),"")</f>
        <v/>
      </c>
      <c r="H185" s="364">
        <f>IFERROR(IF('Invullen groen'!N198&lt;&gt;0,'Invullen groen'!N198,""),"")</f>
        <v/>
      </c>
      <c r="I185" s="364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364">
        <f>IFERROR(IF('Invullen groen'!L199&lt;&gt;0,'Invullen groen'!L199,""),"")</f>
        <v/>
      </c>
      <c r="G186" s="364">
        <f>IFERROR(IF('Invullen groen'!M199&lt;&gt;0,'Invullen groen'!M199,""),"")</f>
        <v/>
      </c>
      <c r="H186" s="364">
        <f>IFERROR(IF('Invullen groen'!N199&lt;&gt;0,'Invullen groen'!N199,""),"")</f>
        <v/>
      </c>
      <c r="I186" s="364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364">
        <f>IFERROR(IF('Invullen groen'!L200&lt;&gt;0,'Invullen groen'!L200,""),"")</f>
        <v/>
      </c>
      <c r="G187" s="364">
        <f>IFERROR(IF('Invullen groen'!M200&lt;&gt;0,'Invullen groen'!M200,""),"")</f>
        <v/>
      </c>
      <c r="H187" s="364">
        <f>IFERROR(IF('Invullen groen'!N200&lt;&gt;0,'Invullen groen'!N200,""),"")</f>
        <v/>
      </c>
      <c r="I187" s="364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364">
        <f>IFERROR(IF('Invullen groen'!L201&lt;&gt;0,'Invullen groen'!L201,""),"")</f>
        <v/>
      </c>
      <c r="G188" s="364">
        <f>IFERROR(IF('Invullen groen'!M201&lt;&gt;0,'Invullen groen'!M201,""),"")</f>
        <v/>
      </c>
      <c r="H188" s="364">
        <f>IFERROR(IF('Invullen groen'!N201&lt;&gt;0,'Invullen groen'!N201,""),"")</f>
        <v/>
      </c>
      <c r="I188" s="364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364">
        <f>IFERROR(IF('Invullen groen'!L202&lt;&gt;0,'Invullen groen'!L202,""),"")</f>
        <v/>
      </c>
      <c r="G189" s="364">
        <f>IFERROR(IF('Invullen groen'!M202&lt;&gt;0,'Invullen groen'!M202,""),"")</f>
        <v/>
      </c>
      <c r="H189" s="364">
        <f>IFERROR(IF('Invullen groen'!N202&lt;&gt;0,'Invullen groen'!N202,""),"")</f>
        <v/>
      </c>
      <c r="I189" s="364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364">
        <f>IFERROR(IF('Invullen groen'!L203&lt;&gt;0,'Invullen groen'!L203,""),"")</f>
        <v/>
      </c>
      <c r="G190" s="364">
        <f>IFERROR(IF('Invullen groen'!M203&lt;&gt;0,'Invullen groen'!M203,""),"")</f>
        <v/>
      </c>
      <c r="H190" s="364">
        <f>IFERROR(IF('Invullen groen'!N203&lt;&gt;0,'Invullen groen'!N203,""),"")</f>
        <v/>
      </c>
      <c r="I190" s="364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364">
        <f>IFERROR(IF('Invullen groen'!L204&lt;&gt;0,'Invullen groen'!L204,""),"")</f>
        <v/>
      </c>
      <c r="G191" s="364">
        <f>IFERROR(IF('Invullen groen'!M204&lt;&gt;0,'Invullen groen'!M204,""),"")</f>
        <v/>
      </c>
      <c r="H191" s="364">
        <f>IFERROR(IF('Invullen groen'!N204&lt;&gt;0,'Invullen groen'!N204,""),"")</f>
        <v/>
      </c>
      <c r="I191" s="364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364">
        <f>IFERROR(IF('Invullen groen'!L205&lt;&gt;0,'Invullen groen'!L205,""),"")</f>
        <v/>
      </c>
      <c r="G192" s="364">
        <f>IFERROR(IF('Invullen groen'!M205&lt;&gt;0,'Invullen groen'!M205,""),"")</f>
        <v/>
      </c>
      <c r="H192" s="364">
        <f>IFERROR(IF('Invullen groen'!N205&lt;&gt;0,'Invullen groen'!N205,""),"")</f>
        <v/>
      </c>
      <c r="I192" s="364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364">
        <f>IFERROR(IF('Invullen groen'!L206&lt;&gt;0,'Invullen groen'!L206,""),"")</f>
        <v/>
      </c>
      <c r="G193" s="364">
        <f>IFERROR(IF('Invullen groen'!M206&lt;&gt;0,'Invullen groen'!M206,""),"")</f>
        <v/>
      </c>
      <c r="H193" s="364">
        <f>IFERROR(IF('Invullen groen'!N206&lt;&gt;0,'Invullen groen'!N206,""),"")</f>
        <v/>
      </c>
      <c r="I193" s="364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364">
        <f>IFERROR(IF('Invullen groen'!L207&lt;&gt;0,'Invullen groen'!L207,""),"")</f>
        <v/>
      </c>
      <c r="G194" s="364">
        <f>IFERROR(IF('Invullen groen'!M207&lt;&gt;0,'Invullen groen'!M207,""),"")</f>
        <v/>
      </c>
      <c r="H194" s="364">
        <f>IFERROR(IF('Invullen groen'!N207&lt;&gt;0,'Invullen groen'!N207,""),"")</f>
        <v/>
      </c>
      <c r="I194" s="364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364">
        <f>IFERROR(IF('Invullen groen'!L208&lt;&gt;0,'Invullen groen'!L208,""),"")</f>
        <v/>
      </c>
      <c r="G195" s="364">
        <f>IFERROR(IF('Invullen groen'!M208&lt;&gt;0,'Invullen groen'!M208,""),"")</f>
        <v/>
      </c>
      <c r="H195" s="364">
        <f>IFERROR(IF('Invullen groen'!N208&lt;&gt;0,'Invullen groen'!N208,""),"")</f>
        <v/>
      </c>
      <c r="I195" s="364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364">
        <f>IFERROR(IF('Invullen groen'!L209&lt;&gt;0,'Invullen groen'!L209,""),"")</f>
        <v/>
      </c>
      <c r="G196" s="364">
        <f>IFERROR(IF('Invullen groen'!M209&lt;&gt;0,'Invullen groen'!M209,""),"")</f>
        <v/>
      </c>
      <c r="H196" s="364">
        <f>IFERROR(IF('Invullen groen'!N209&lt;&gt;0,'Invullen groen'!N209,""),"")</f>
        <v/>
      </c>
      <c r="I196" s="364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364">
        <f>IFERROR(IF('Invullen groen'!L210&lt;&gt;0,'Invullen groen'!L210,""),"")</f>
        <v/>
      </c>
      <c r="G197" s="364">
        <f>IFERROR(IF('Invullen groen'!M210&lt;&gt;0,'Invullen groen'!M210,""),"")</f>
        <v/>
      </c>
      <c r="H197" s="364">
        <f>IFERROR(IF('Invullen groen'!N210&lt;&gt;0,'Invullen groen'!N210,""),"")</f>
        <v/>
      </c>
      <c r="I197" s="364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364">
        <f>IFERROR(IF('Invullen groen'!L211&lt;&gt;0,'Invullen groen'!L211,""),"")</f>
        <v/>
      </c>
      <c r="G198" s="364">
        <f>IFERROR(IF('Invullen groen'!M211&lt;&gt;0,'Invullen groen'!M211,""),"")</f>
        <v/>
      </c>
      <c r="H198" s="364">
        <f>IFERROR(IF('Invullen groen'!N211&lt;&gt;0,'Invullen groen'!N211,""),"")</f>
        <v/>
      </c>
      <c r="I198" s="364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364">
        <f>IFERROR(IF('Invullen groen'!L212&lt;&gt;0,'Invullen groen'!L212,""),"")</f>
        <v/>
      </c>
      <c r="G199" s="364">
        <f>IFERROR(IF('Invullen groen'!M212&lt;&gt;0,'Invullen groen'!M212,""),"")</f>
        <v/>
      </c>
      <c r="H199" s="364">
        <f>IFERROR(IF('Invullen groen'!N212&lt;&gt;0,'Invullen groen'!N212,""),"")</f>
        <v/>
      </c>
      <c r="I199" s="364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364">
        <f>IFERROR(IF('Invullen groen'!L213&lt;&gt;0,'Invullen groen'!L213,""),"")</f>
        <v/>
      </c>
      <c r="G200" s="364">
        <f>IFERROR(IF('Invullen groen'!M213&lt;&gt;0,'Invullen groen'!M213,""),"")</f>
        <v/>
      </c>
      <c r="H200" s="364">
        <f>IFERROR(IF('Invullen groen'!N213&lt;&gt;0,'Invullen groen'!N213,""),"")</f>
        <v/>
      </c>
      <c r="I200" s="364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364">
        <f>IFERROR(IF('Invullen groen'!L214&lt;&gt;0,'Invullen groen'!L214,""),"")</f>
        <v/>
      </c>
      <c r="G201" s="364">
        <f>IFERROR(IF('Invullen groen'!M214&lt;&gt;0,'Invullen groen'!M214,""),"")</f>
        <v/>
      </c>
      <c r="H201" s="364">
        <f>IFERROR(IF('Invullen groen'!N214&lt;&gt;0,'Invullen groen'!N214,""),"")</f>
        <v/>
      </c>
      <c r="I201" s="364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364">
        <f>IFERROR(IF('Invullen groen'!L215&lt;&gt;0,'Invullen groen'!L215,""),"")</f>
        <v/>
      </c>
      <c r="G202" s="364">
        <f>IFERROR(IF('Invullen groen'!M215&lt;&gt;0,'Invullen groen'!M215,""),"")</f>
        <v/>
      </c>
      <c r="H202" s="364">
        <f>IFERROR(IF('Invullen groen'!N215&lt;&gt;0,'Invullen groen'!N215,""),"")</f>
        <v/>
      </c>
      <c r="I202" s="364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364">
        <f>IFERROR(IF('Invullen groen'!L216&lt;&gt;0,'Invullen groen'!L216,""),"")</f>
        <v/>
      </c>
      <c r="G203" s="364">
        <f>IFERROR(IF('Invullen groen'!M216&lt;&gt;0,'Invullen groen'!M216,""),"")</f>
        <v/>
      </c>
      <c r="H203" s="364">
        <f>IFERROR(IF('Invullen groen'!N216&lt;&gt;0,'Invullen groen'!N216,""),"")</f>
        <v/>
      </c>
      <c r="I203" s="364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364">
        <f>IFERROR(IF('Invullen groen'!L217&lt;&gt;0,'Invullen groen'!L217,""),"")</f>
        <v/>
      </c>
      <c r="G204" s="364">
        <f>IFERROR(IF('Invullen groen'!M217&lt;&gt;0,'Invullen groen'!M217,""),"")</f>
        <v/>
      </c>
      <c r="H204" s="364">
        <f>IFERROR(IF('Invullen groen'!N217&lt;&gt;0,'Invullen groen'!N217,""),"")</f>
        <v/>
      </c>
      <c r="I204" s="364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364">
        <f>IFERROR(IF('Invullen groen'!L218&lt;&gt;0,'Invullen groen'!L218,""),"")</f>
        <v/>
      </c>
      <c r="G205" s="364">
        <f>IFERROR(IF('Invullen groen'!M218&lt;&gt;0,'Invullen groen'!M218,""),"")</f>
        <v/>
      </c>
      <c r="H205" s="364">
        <f>IFERROR(IF('Invullen groen'!N218&lt;&gt;0,'Invullen groen'!N218,""),"")</f>
        <v/>
      </c>
      <c r="I205" s="364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364">
        <f>IFERROR(IF('Invullen groen'!L219&lt;&gt;0,'Invullen groen'!L219,""),"")</f>
        <v/>
      </c>
      <c r="G206" s="364">
        <f>IFERROR(IF('Invullen groen'!M219&lt;&gt;0,'Invullen groen'!M219,""),"")</f>
        <v/>
      </c>
      <c r="H206" s="364">
        <f>IFERROR(IF('Invullen groen'!N219&lt;&gt;0,'Invullen groen'!N219,""),"")</f>
        <v/>
      </c>
      <c r="I206" s="364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364">
        <f>IFERROR(IF('Invullen groen'!L220&lt;&gt;0,'Invullen groen'!L220,""),"")</f>
        <v/>
      </c>
      <c r="G207" s="364">
        <f>IFERROR(IF('Invullen groen'!M220&lt;&gt;0,'Invullen groen'!M220,""),"")</f>
        <v/>
      </c>
      <c r="H207" s="364">
        <f>IFERROR(IF('Invullen groen'!N220&lt;&gt;0,'Invullen groen'!N220,""),"")</f>
        <v/>
      </c>
      <c r="I207" s="364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364">
        <f>IFERROR(IF('Invullen groen'!L221&lt;&gt;0,'Invullen groen'!L221,""),"")</f>
        <v/>
      </c>
      <c r="G208" s="364">
        <f>IFERROR(IF('Invullen groen'!M221&lt;&gt;0,'Invullen groen'!M221,""),"")</f>
        <v/>
      </c>
      <c r="H208" s="364">
        <f>IFERROR(IF('Invullen groen'!N221&lt;&gt;0,'Invullen groen'!N221,""),"")</f>
        <v/>
      </c>
      <c r="I208" s="364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364">
        <f>IFERROR(IF('Invullen groen'!L222&lt;&gt;0,'Invullen groen'!L222,""),"")</f>
        <v/>
      </c>
      <c r="G209" s="364">
        <f>IFERROR(IF('Invullen groen'!M222&lt;&gt;0,'Invullen groen'!M222,""),"")</f>
        <v/>
      </c>
      <c r="H209" s="364">
        <f>IFERROR(IF('Invullen groen'!N222&lt;&gt;0,'Invullen groen'!N222,""),"")</f>
        <v/>
      </c>
      <c r="I209" s="364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364">
        <f>IFERROR(IF('Invullen groen'!L223&lt;&gt;0,'Invullen groen'!L223,""),"")</f>
        <v/>
      </c>
      <c r="G210" s="364">
        <f>IFERROR(IF('Invullen groen'!M223&lt;&gt;0,'Invullen groen'!M223,""),"")</f>
        <v/>
      </c>
      <c r="H210" s="364">
        <f>IFERROR(IF('Invullen groen'!N223&lt;&gt;0,'Invullen groen'!N223,""),"")</f>
        <v/>
      </c>
      <c r="I210" s="364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364">
        <f>IFERROR(IF('Invullen groen'!L224&lt;&gt;0,'Invullen groen'!L224,""),"")</f>
        <v/>
      </c>
      <c r="G211" s="364">
        <f>IFERROR(IF('Invullen groen'!M224&lt;&gt;0,'Invullen groen'!M224,""),"")</f>
        <v/>
      </c>
      <c r="H211" s="364">
        <f>IFERROR(IF('Invullen groen'!N224&lt;&gt;0,'Invullen groen'!N224,""),"")</f>
        <v/>
      </c>
      <c r="I211" s="364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364">
        <f>IFERROR(IF('Invullen groen'!L225&lt;&gt;0,'Invullen groen'!L225,""),"")</f>
        <v/>
      </c>
      <c r="G212" s="364">
        <f>IFERROR(IF('Invullen groen'!M225&lt;&gt;0,'Invullen groen'!M225,""),"")</f>
        <v/>
      </c>
      <c r="H212" s="364">
        <f>IFERROR(IF('Invullen groen'!N225&lt;&gt;0,'Invullen groen'!N225,""),"")</f>
        <v/>
      </c>
      <c r="I212" s="364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364">
        <f>IFERROR(IF('Invullen groen'!L226&lt;&gt;0,'Invullen groen'!L226,""),"")</f>
        <v/>
      </c>
      <c r="G213" s="364">
        <f>IFERROR(IF('Invullen groen'!M226&lt;&gt;0,'Invullen groen'!M226,""),"")</f>
        <v/>
      </c>
      <c r="H213" s="364">
        <f>IFERROR(IF('Invullen groen'!N226&lt;&gt;0,'Invullen groen'!N226,""),"")</f>
        <v/>
      </c>
      <c r="I213" s="364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364">
        <f>IFERROR(IF('Invullen groen'!L227&lt;&gt;0,'Invullen groen'!L227,""),"")</f>
        <v/>
      </c>
      <c r="G214" s="364">
        <f>IFERROR(IF('Invullen groen'!M227&lt;&gt;0,'Invullen groen'!M227,""),"")</f>
        <v/>
      </c>
      <c r="H214" s="364">
        <f>IFERROR(IF('Invullen groen'!N227&lt;&gt;0,'Invullen groen'!N227,""),"")</f>
        <v/>
      </c>
      <c r="I214" s="364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364">
        <f>IFERROR(IF('Invullen groen'!L228&lt;&gt;0,'Invullen groen'!L228,""),"")</f>
        <v/>
      </c>
      <c r="G215" s="364">
        <f>IFERROR(IF('Invullen groen'!M228&lt;&gt;0,'Invullen groen'!M228,""),"")</f>
        <v/>
      </c>
      <c r="H215" s="364">
        <f>IFERROR(IF('Invullen groen'!N228&lt;&gt;0,'Invullen groen'!N228,""),"")</f>
        <v/>
      </c>
      <c r="I215" s="364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364">
        <f>IFERROR(IF('Invullen groen'!L229&lt;&gt;0,'Invullen groen'!L229,""),"")</f>
        <v/>
      </c>
      <c r="G216" s="364">
        <f>IFERROR(IF('Invullen groen'!M229&lt;&gt;0,'Invullen groen'!M229,""),"")</f>
        <v/>
      </c>
      <c r="H216" s="364">
        <f>IFERROR(IF('Invullen groen'!N229&lt;&gt;0,'Invullen groen'!N229,""),"")</f>
        <v/>
      </c>
      <c r="I216" s="364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364">
        <f>IFERROR(IF('Invullen groen'!L230&lt;&gt;0,'Invullen groen'!L230,""),"")</f>
        <v/>
      </c>
      <c r="G217" s="364">
        <f>IFERROR(IF('Invullen groen'!M230&lt;&gt;0,'Invullen groen'!M230,""),"")</f>
        <v/>
      </c>
      <c r="H217" s="364">
        <f>IFERROR(IF('Invullen groen'!N230&lt;&gt;0,'Invullen groen'!N230,""),"")</f>
        <v/>
      </c>
      <c r="I217" s="364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364">
        <f>IFERROR(IF('Invullen groen'!L231&lt;&gt;0,'Invullen groen'!L231,""),"")</f>
        <v/>
      </c>
      <c r="G218" s="364">
        <f>IFERROR(IF('Invullen groen'!M231&lt;&gt;0,'Invullen groen'!M231,""),"")</f>
        <v/>
      </c>
      <c r="H218" s="364">
        <f>IFERROR(IF('Invullen groen'!N231&lt;&gt;0,'Invullen groen'!N231,""),"")</f>
        <v/>
      </c>
      <c r="I218" s="364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364">
        <f>IFERROR(IF('Invullen groen'!L232&lt;&gt;0,'Invullen groen'!L232,""),"")</f>
        <v/>
      </c>
      <c r="G219" s="364">
        <f>IFERROR(IF('Invullen groen'!M232&lt;&gt;0,'Invullen groen'!M232,""),"")</f>
        <v/>
      </c>
      <c r="H219" s="364">
        <f>IFERROR(IF('Invullen groen'!N232&lt;&gt;0,'Invullen groen'!N232,""),"")</f>
        <v/>
      </c>
      <c r="I219" s="364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364">
        <f>IFERROR(IF('Invullen groen'!L233&lt;&gt;0,'Invullen groen'!L233,""),"")</f>
        <v/>
      </c>
      <c r="G220" s="364">
        <f>IFERROR(IF('Invullen groen'!M233&lt;&gt;0,'Invullen groen'!M233,""),"")</f>
        <v/>
      </c>
      <c r="H220" s="364">
        <f>IFERROR(IF('Invullen groen'!N233&lt;&gt;0,'Invullen groen'!N233,""),"")</f>
        <v/>
      </c>
      <c r="I220" s="364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364">
        <f>IFERROR(IF('Invullen groen'!L234&lt;&gt;0,'Invullen groen'!L234,""),"")</f>
        <v/>
      </c>
      <c r="G221" s="364">
        <f>IFERROR(IF('Invullen groen'!M234&lt;&gt;0,'Invullen groen'!M234,""),"")</f>
        <v/>
      </c>
      <c r="H221" s="364">
        <f>IFERROR(IF('Invullen groen'!N234&lt;&gt;0,'Invullen groen'!N234,""),"")</f>
        <v/>
      </c>
      <c r="I221" s="364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364">
        <f>IFERROR(IF('Invullen groen'!L235&lt;&gt;0,'Invullen groen'!L235,""),"")</f>
        <v/>
      </c>
      <c r="G222" s="364">
        <f>IFERROR(IF('Invullen groen'!M235&lt;&gt;0,'Invullen groen'!M235,""),"")</f>
        <v/>
      </c>
      <c r="H222" s="364">
        <f>IFERROR(IF('Invullen groen'!N235&lt;&gt;0,'Invullen groen'!N235,""),"")</f>
        <v/>
      </c>
      <c r="I222" s="364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364">
        <f>IFERROR(IF('Invullen groen'!L236&lt;&gt;0,'Invullen groen'!L236,""),"")</f>
        <v/>
      </c>
      <c r="G223" s="364">
        <f>IFERROR(IF('Invullen groen'!M236&lt;&gt;0,'Invullen groen'!M236,""),"")</f>
        <v/>
      </c>
      <c r="H223" s="364">
        <f>IFERROR(IF('Invullen groen'!N236&lt;&gt;0,'Invullen groen'!N236,""),"")</f>
        <v/>
      </c>
      <c r="I223" s="364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364">
        <f>IFERROR(IF('Invullen groen'!L237&lt;&gt;0,'Invullen groen'!L237,""),"")</f>
        <v/>
      </c>
      <c r="G224" s="364">
        <f>IFERROR(IF('Invullen groen'!M237&lt;&gt;0,'Invullen groen'!M237,""),"")</f>
        <v/>
      </c>
      <c r="H224" s="364">
        <f>IFERROR(IF('Invullen groen'!N237&lt;&gt;0,'Invullen groen'!N237,""),"")</f>
        <v/>
      </c>
      <c r="I224" s="364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364">
        <f>IFERROR(IF('Invullen groen'!L238&lt;&gt;0,'Invullen groen'!L238,""),"")</f>
        <v/>
      </c>
      <c r="G225" s="364">
        <f>IFERROR(IF('Invullen groen'!M238&lt;&gt;0,'Invullen groen'!M238,""),"")</f>
        <v/>
      </c>
      <c r="H225" s="364">
        <f>IFERROR(IF('Invullen groen'!N238&lt;&gt;0,'Invullen groen'!N238,""),"")</f>
        <v/>
      </c>
      <c r="I225" s="364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364">
        <f>IFERROR(IF('Invullen groen'!L239&lt;&gt;0,'Invullen groen'!L239,""),"")</f>
        <v/>
      </c>
      <c r="G226" s="364">
        <f>IFERROR(IF('Invullen groen'!M239&lt;&gt;0,'Invullen groen'!M239,""),"")</f>
        <v/>
      </c>
      <c r="H226" s="364">
        <f>IFERROR(IF('Invullen groen'!N239&lt;&gt;0,'Invullen groen'!N239,""),"")</f>
        <v/>
      </c>
      <c r="I226" s="364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364">
        <f>IFERROR(IF('Invullen groen'!L240&lt;&gt;0,'Invullen groen'!L240,""),"")</f>
        <v/>
      </c>
      <c r="G227" s="364">
        <f>IFERROR(IF('Invullen groen'!M240&lt;&gt;0,'Invullen groen'!M240,""),"")</f>
        <v/>
      </c>
      <c r="H227" s="364">
        <f>IFERROR(IF('Invullen groen'!N240&lt;&gt;0,'Invullen groen'!N240,""),"")</f>
        <v/>
      </c>
      <c r="I227" s="364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364">
        <f>IFERROR(IF('Invullen groen'!L241&lt;&gt;0,'Invullen groen'!L241,""),"")</f>
        <v/>
      </c>
      <c r="G228" s="364">
        <f>IFERROR(IF('Invullen groen'!M241&lt;&gt;0,'Invullen groen'!M241,""),"")</f>
        <v/>
      </c>
      <c r="H228" s="364">
        <f>IFERROR(IF('Invullen groen'!N241&lt;&gt;0,'Invullen groen'!N241,""),"")</f>
        <v/>
      </c>
      <c r="I228" s="364">
        <f>IFERROR(IF('Invullen groen'!O241&lt;&gt;0,'Invullen groen'!O241,""),"")</f>
        <v/>
      </c>
    </row>
    <row r="229">
      <c r="F229" s="360" t="n"/>
      <c r="G229" s="360" t="n"/>
      <c r="H229" s="360" t="n"/>
      <c r="I229" s="360" t="n"/>
    </row>
    <row r="230" ht="15" customHeight="1">
      <c r="A230" s="365" t="inlineStr">
        <is>
          <t>Totaal lasten</t>
        </is>
      </c>
      <c r="B230" s="312" t="n"/>
      <c r="C230" s="312" t="n"/>
      <c r="D230" s="312" t="n"/>
      <c r="E230" s="312" t="n"/>
      <c r="F230" s="366">
        <f>SUMIF('Invullen groen'!Q18:Q241,"&gt;0",'Invullen groen'!Q18:Q241)</f>
        <v/>
      </c>
      <c r="G230" s="366">
        <f>SUMIF('Invullen groen'!M18:M241,"&gt;0",'Invullen groen'!Q18:Q241)</f>
        <v/>
      </c>
      <c r="H230" s="366">
        <f>SUMIF('Invullen groen'!N18:N241,"&gt;0",'Invullen groen'!Q18:Q241)</f>
        <v/>
      </c>
      <c r="I230" s="366">
        <f>SUMIF('Invullen groen'!O18:O241,"&gt;0",'Invullen groen'!Q18:Q241)</f>
        <v/>
      </c>
    </row>
    <row r="231" ht="15" customHeight="1">
      <c r="A231" s="367" t="inlineStr">
        <is>
          <t>Totaal baten</t>
        </is>
      </c>
      <c r="B231" s="312" t="n"/>
      <c r="C231" s="312" t="n"/>
      <c r="D231" s="312" t="n"/>
      <c r="E231" s="312" t="n"/>
      <c r="F231" s="368">
        <f>SUMIF('Invullen groen'!R18:R241,"&lt;&gt;0",'Invullen groen'!R18:R241)</f>
        <v/>
      </c>
      <c r="G231" s="368">
        <f>SUMIF('Invullen groen'!M18:M241,"&lt;&gt;0",'Invullen groen'!R18:R241)</f>
        <v/>
      </c>
      <c r="H231" s="368">
        <f>SUMIF('Invullen groen'!N18:N241,"&lt;&gt;0",'Invullen groen'!R18:R241)</f>
        <v/>
      </c>
      <c r="I231" s="368">
        <f>SUMIF('Invullen groen'!O18:O241,"&lt;&gt;0",'Invullen groen'!R18:R241)</f>
        <v/>
      </c>
    </row>
    <row r="232" ht="18" customHeight="1">
      <c r="A232" s="369" t="inlineStr">
        <is>
          <t>Saldo (lasten + baten)</t>
        </is>
      </c>
      <c r="B232" s="312" t="n"/>
      <c r="C232" s="312" t="n"/>
      <c r="D232" s="312" t="n"/>
      <c r="E232" s="312" t="n"/>
      <c r="F232" s="370">
        <f>F230+F231</f>
        <v/>
      </c>
      <c r="G232" s="370">
        <f>G230+G231</f>
        <v/>
      </c>
      <c r="H232" s="370">
        <f>H230+H231</f>
        <v/>
      </c>
      <c r="I232" s="370">
        <f>I230+I231</f>
        <v/>
      </c>
    </row>
    <row r="233">
      <c r="F233" s="360" t="n"/>
      <c r="G233" s="360" t="n"/>
      <c r="H233" s="360" t="n"/>
      <c r="I233" s="360" t="n"/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364">
        <f>SUMPRODUCT((LOWER('Invullen groen'!A17:A74)="bestuur en ondersteuning")*('Invullen groen'!L17:L74&gt;0)*'Invullen groen'!L17:L74)</f>
        <v/>
      </c>
      <c r="C5" s="364">
        <f>SUMPRODUCT((LOWER('Invullen groen'!A17:A74)="bestuur en ondersteuning")*('Invullen groen'!L17:L74&lt;0)*'Invullen groen'!L17:L74)</f>
        <v/>
      </c>
      <c r="D5" s="371">
        <f>B5+C5</f>
        <v/>
      </c>
      <c r="E5" s="364">
        <f>SUMPRODUCT((LOWER('Invullen groen'!A17:A74)="bestuur en ondersteuning")*IFERROR('Invullen groen'!M17:M74*1,0))</f>
        <v/>
      </c>
      <c r="F5" s="364">
        <f>SUMPRODUCT((LOWER('Invullen groen'!A17:A74)="bestuur en ondersteuning")*IFERROR('Invullen groen'!N17:N74*1,0))</f>
        <v/>
      </c>
      <c r="G5" s="364">
        <f>SUMPRODUCT((LOWER('Invullen groen'!A17:A74)="bestuur en ondersteuning")*IFERROR('Invullen groen'!O17:O74*1,0))</f>
        <v/>
      </c>
    </row>
    <row r="6" ht="14" customHeight="1">
      <c r="A6" s="287" t="inlineStr">
        <is>
          <t>Veiligheid</t>
        </is>
      </c>
      <c r="B6" s="364">
        <f>SUMPRODUCT((LOWER('Invullen groen'!A17:A74)="veiligheid")*('Invullen groen'!L17:L74&gt;0)*'Invullen groen'!L17:L74)</f>
        <v/>
      </c>
      <c r="C6" s="364">
        <f>SUMPRODUCT((LOWER('Invullen groen'!A17:A74)="veiligheid")*('Invullen groen'!L17:L74&lt;0)*'Invullen groen'!L17:L74)</f>
        <v/>
      </c>
      <c r="D6" s="371">
        <f>B6+C6</f>
        <v/>
      </c>
      <c r="E6" s="364">
        <f>SUMPRODUCT((LOWER('Invullen groen'!A17:A74)="veiligheid")*IFERROR('Invullen groen'!M17:M74*1,0))</f>
        <v/>
      </c>
      <c r="F6" s="364">
        <f>SUMPRODUCT((LOWER('Invullen groen'!A17:A74)="veiligheid")*IFERROR('Invullen groen'!N17:N74*1,0))</f>
        <v/>
      </c>
      <c r="G6" s="364">
        <f>SUMPRODUCT((LOWER('Invullen groen'!A17:A74)="veiligheid")*IFERROR('Invullen groen'!O17:O74*1,0))</f>
        <v/>
      </c>
    </row>
    <row r="7" ht="14" customHeight="1">
      <c r="A7" s="287" t="inlineStr">
        <is>
          <t>Verkeer, Vervoer En Waterstaat</t>
        </is>
      </c>
      <c r="B7" s="364">
        <f>SUMPRODUCT((LOWER('Invullen groen'!A17:A74)="verkeer, vervoer en waterstaat")*('Invullen groen'!L17:L74&gt;0)*'Invullen groen'!L17:L74)</f>
        <v/>
      </c>
      <c r="C7" s="364">
        <f>SUMPRODUCT((LOWER('Invullen groen'!A17:A74)="verkeer, vervoer en waterstaat")*('Invullen groen'!L17:L74&lt;0)*'Invullen groen'!L17:L74)</f>
        <v/>
      </c>
      <c r="D7" s="371">
        <f>B7+C7</f>
        <v/>
      </c>
      <c r="E7" s="364">
        <f>SUMPRODUCT((LOWER('Invullen groen'!A17:A74)="verkeer, vervoer en waterstaat")*IFERROR('Invullen groen'!M17:M74*1,0))</f>
        <v/>
      </c>
      <c r="F7" s="364">
        <f>SUMPRODUCT((LOWER('Invullen groen'!A17:A74)="verkeer, vervoer en waterstaat")*IFERROR('Invullen groen'!N17:N74*1,0))</f>
        <v/>
      </c>
      <c r="G7" s="364">
        <f>SUMPRODUCT((LOWER('Invullen groen'!A17:A74)="verkeer, vervoer en waterstaat")*IFERROR('Invullen groen'!O17:O74*1,0))</f>
        <v/>
      </c>
    </row>
    <row r="8" ht="14" customHeight="1">
      <c r="A8" s="287" t="inlineStr">
        <is>
          <t>Economie</t>
        </is>
      </c>
      <c r="B8" s="364">
        <f>SUMPRODUCT((LOWER('Invullen groen'!A17:A74)="economie")*('Invullen groen'!L17:L74&gt;0)*'Invullen groen'!L17:L74)</f>
        <v/>
      </c>
      <c r="C8" s="364">
        <f>SUMPRODUCT((LOWER('Invullen groen'!A17:A74)="economie")*('Invullen groen'!L17:L74&lt;0)*'Invullen groen'!L17:L74)</f>
        <v/>
      </c>
      <c r="D8" s="371">
        <f>B8+C8</f>
        <v/>
      </c>
      <c r="E8" s="364">
        <f>SUMPRODUCT((LOWER('Invullen groen'!A17:A74)="economie")*IFERROR('Invullen groen'!M17:M74*1,0))</f>
        <v/>
      </c>
      <c r="F8" s="364">
        <f>SUMPRODUCT((LOWER('Invullen groen'!A17:A74)="economie")*IFERROR('Invullen groen'!N17:N74*1,0))</f>
        <v/>
      </c>
      <c r="G8" s="364">
        <f>SUMPRODUCT((LOWER('Invullen groen'!A17:A74)="economie")*IFERROR('Invullen groen'!O17:O74*1,0))</f>
        <v/>
      </c>
    </row>
    <row r="9" ht="14" customHeight="1">
      <c r="A9" s="287" t="inlineStr">
        <is>
          <t>Onderwijs</t>
        </is>
      </c>
      <c r="B9" s="364">
        <f>SUMPRODUCT((LOWER('Invullen groen'!A17:A74)="onderwijs")*('Invullen groen'!L17:L74&gt;0)*'Invullen groen'!L17:L74)</f>
        <v/>
      </c>
      <c r="C9" s="364">
        <f>SUMPRODUCT((LOWER('Invullen groen'!A17:A74)="onderwijs")*('Invullen groen'!L17:L74&lt;0)*'Invullen groen'!L17:L74)</f>
        <v/>
      </c>
      <c r="D9" s="371">
        <f>B9+C9</f>
        <v/>
      </c>
      <c r="E9" s="364">
        <f>SUMPRODUCT((LOWER('Invullen groen'!A17:A74)="onderwijs")*IFERROR('Invullen groen'!M17:M74*1,0))</f>
        <v/>
      </c>
      <c r="F9" s="364">
        <f>SUMPRODUCT((LOWER('Invullen groen'!A17:A74)="onderwijs")*IFERROR('Invullen groen'!N17:N74*1,0))</f>
        <v/>
      </c>
      <c r="G9" s="364">
        <f>SUMPRODUCT((LOWER('Invullen groen'!A17:A74)="onderwijs")*IFERROR('Invullen groen'!O17:O74*1,0))</f>
        <v/>
      </c>
    </row>
    <row r="10" ht="14" customHeight="1">
      <c r="A10" s="287" t="inlineStr">
        <is>
          <t>Sport, Cultuur En Recreatie</t>
        </is>
      </c>
      <c r="B10" s="364">
        <f>SUMPRODUCT((LOWER('Invullen groen'!A17:A74)="sport, cultuur en recreatie")*('Invullen groen'!L17:L74&gt;0)*'Invullen groen'!L17:L74)</f>
        <v/>
      </c>
      <c r="C10" s="364">
        <f>SUMPRODUCT((LOWER('Invullen groen'!A17:A74)="sport, cultuur en recreatie")*('Invullen groen'!L17:L74&lt;0)*'Invullen groen'!L17:L74)</f>
        <v/>
      </c>
      <c r="D10" s="371">
        <f>B10+C10</f>
        <v/>
      </c>
      <c r="E10" s="364">
        <f>SUMPRODUCT((LOWER('Invullen groen'!A17:A74)="sport, cultuur en recreatie")*IFERROR('Invullen groen'!M17:M74*1,0))</f>
        <v/>
      </c>
      <c r="F10" s="364">
        <f>SUMPRODUCT((LOWER('Invullen groen'!A17:A74)="sport, cultuur en recreatie")*IFERROR('Invullen groen'!N17:N74*1,0))</f>
        <v/>
      </c>
      <c r="G10" s="364">
        <f>SUMPRODUCT((LOWER('Invullen groen'!A17:A74)="sport, cultuur en recreatie")*IFERROR('Invullen groen'!O17:O74*1,0))</f>
        <v/>
      </c>
    </row>
    <row r="11" ht="14" customHeight="1">
      <c r="A11" s="287" t="inlineStr">
        <is>
          <t>Sociaal Domein</t>
        </is>
      </c>
      <c r="B11" s="364">
        <f>SUMPRODUCT((LOWER('Invullen groen'!A17:A74)="sociaal domein")*('Invullen groen'!L17:L74&gt;0)*'Invullen groen'!L17:L74)</f>
        <v/>
      </c>
      <c r="C11" s="364">
        <f>SUMPRODUCT((LOWER('Invullen groen'!A17:A74)="sociaal domein")*('Invullen groen'!L17:L74&lt;0)*'Invullen groen'!L17:L74)</f>
        <v/>
      </c>
      <c r="D11" s="371">
        <f>B11+C11</f>
        <v/>
      </c>
      <c r="E11" s="364">
        <f>SUMPRODUCT((LOWER('Invullen groen'!A17:A74)="sociaal domein")*IFERROR('Invullen groen'!M17:M74*1,0))</f>
        <v/>
      </c>
      <c r="F11" s="364">
        <f>SUMPRODUCT((LOWER('Invullen groen'!A17:A74)="sociaal domein")*IFERROR('Invullen groen'!N17:N74*1,0))</f>
        <v/>
      </c>
      <c r="G11" s="364">
        <f>SUMPRODUCT((LOWER('Invullen groen'!A17:A74)="sociaal domein")*IFERROR('Invullen groen'!O17:O74*1,0))</f>
        <v/>
      </c>
    </row>
    <row r="12" ht="14" customHeight="1">
      <c r="A12" s="287" t="inlineStr">
        <is>
          <t>Volksgezondheid En Milieu</t>
        </is>
      </c>
      <c r="B12" s="364">
        <f>SUMPRODUCT((LOWER('Invullen groen'!A17:A74)="volksgezondheid en milieu")*('Invullen groen'!L17:L74&gt;0)*'Invullen groen'!L17:L74)</f>
        <v/>
      </c>
      <c r="C12" s="364">
        <f>SUMPRODUCT((LOWER('Invullen groen'!A17:A74)="volksgezondheid en milieu")*('Invullen groen'!L17:L74&lt;0)*'Invullen groen'!L17:L74)</f>
        <v/>
      </c>
      <c r="D12" s="371">
        <f>B12+C12</f>
        <v/>
      </c>
      <c r="E12" s="364">
        <f>SUMPRODUCT((LOWER('Invullen groen'!A17:A74)="volksgezondheid en milieu")*IFERROR('Invullen groen'!M17:M74*1,0))</f>
        <v/>
      </c>
      <c r="F12" s="364">
        <f>SUMPRODUCT((LOWER('Invullen groen'!A17:A74)="volksgezondheid en milieu")*IFERROR('Invullen groen'!N17:N74*1,0))</f>
        <v/>
      </c>
      <c r="G12" s="364">
        <f>SUMPRODUCT((LOWER('Invullen groen'!A17:A74)="volksgezondheid en milieu")*IFERROR('Invullen groen'!O17:O74*1,0))</f>
        <v/>
      </c>
    </row>
    <row r="13" ht="14" customHeight="1">
      <c r="A13" s="287" t="inlineStr">
        <is>
          <t>Volkshuisv., Ro En Stedelijke Vernieuwing</t>
        </is>
      </c>
      <c r="B13" s="364">
        <f>SUMPRODUCT((LOWER('Invullen groen'!A17:A74)="volkshuisv., ro en stedelijke vernieuwing")*('Invullen groen'!L17:L74&gt;0)*'Invullen groen'!L17:L74)</f>
        <v/>
      </c>
      <c r="C13" s="364">
        <f>SUMPRODUCT((LOWER('Invullen groen'!A17:A74)="volkshuisv., ro en stedelijke vernieuwing")*('Invullen groen'!L17:L74&lt;0)*'Invullen groen'!L17:L74)</f>
        <v/>
      </c>
      <c r="D13" s="371">
        <f>B13+C13</f>
        <v/>
      </c>
      <c r="E13" s="364">
        <f>SUMPRODUCT((LOWER('Invullen groen'!A17:A74)="volkshuisv., ro en stedelijke vernieuwing")*IFERROR('Invullen groen'!M17:M74*1,0))</f>
        <v/>
      </c>
      <c r="F13" s="364">
        <f>SUMPRODUCT((LOWER('Invullen groen'!A17:A74)="volkshuisv., ro en stedelijke vernieuwing")*IFERROR('Invullen groen'!N17:N74*1,0))</f>
        <v/>
      </c>
      <c r="G13" s="364">
        <f>SUMPRODUCT((LOWER('Invullen groen'!A17:A74)="volkshuisv., ro en stedelijke vernieuwing")*IFERROR('Invullen groen'!O17:O74*1,0))</f>
        <v/>
      </c>
    </row>
    <row r="14" ht="18" customHeight="1">
      <c r="A14" s="300" t="inlineStr">
        <is>
          <t>Totaal begrotingswijziging</t>
        </is>
      </c>
      <c r="B14" s="372">
        <f>SUM(B5:B13)</f>
        <v/>
      </c>
      <c r="C14" s="372">
        <f>SUM(C5:C13)</f>
        <v/>
      </c>
      <c r="D14" s="372">
        <f>SUM(D5:D13)</f>
        <v/>
      </c>
      <c r="E14" s="372">
        <f>SUM(E5:E13)</f>
        <v/>
      </c>
      <c r="F14" s="372">
        <f>SUM(F5:F13)</f>
        <v/>
      </c>
      <c r="G14" s="372">
        <f>SUM(G5:G13)</f>
        <v/>
      </c>
    </row>
    <row r="15" ht="16" customHeight="1">
      <c r="A15" s="384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37" t="inlineStr">
        <is>
          <t>Begin saldo financiële foto (vóór wijziging)</t>
        </is>
      </c>
      <c r="B16" s="438" t="n"/>
      <c r="C16" s="438" t="n"/>
      <c r="D16" s="438" t="n"/>
      <c r="E16" s="438" t="n"/>
      <c r="F16" s="438" t="n"/>
      <c r="G16" s="438" t="n"/>
    </row>
    <row r="17" ht="15" customHeight="1">
      <c r="A17" s="318" t="inlineStr">
        <is>
          <t>Eind saldo financiële foto (ná wijziging)</t>
        </is>
      </c>
      <c r="B17" s="377">
        <f>B16+B14</f>
        <v/>
      </c>
      <c r="C17" s="377">
        <f>C16+C14</f>
        <v/>
      </c>
      <c r="D17" s="377">
        <f>D16+D14</f>
        <v/>
      </c>
      <c r="E17" s="377">
        <f>E16+E14</f>
        <v/>
      </c>
      <c r="F17" s="377">
        <f>F16+F14</f>
        <v/>
      </c>
      <c r="G17" s="377">
        <f>G16+G14</f>
        <v/>
      </c>
    </row>
    <row r="18" ht="24" customHeight="1">
      <c r="A18" s="378" t="inlineStr">
        <is>
          <t>Begin saldo: handmatig invullen vanuit de meest recente financiële foto / meerjarenbegroting. Eind saldo wordt automatisch berekend.</t>
        </is>
      </c>
    </row>
    <row r="20">
      <c r="A20" s="429" t="inlineStr">
        <is>
          <t>Controle exploitatie (moet 0 zijn)</t>
        </is>
      </c>
      <c r="B20" s="430">
        <f>IFERROR('Invullen groen'!L112,0)</f>
        <v/>
      </c>
      <c r="C20" s="394" t="n"/>
      <c r="D20" s="394" t="n"/>
      <c r="E20" s="394" t="n"/>
      <c r="F20" s="394" t="n"/>
      <c r="G20" s="394" t="n"/>
    </row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362" t="n"/>
    </row>
    <row r="3" ht="6" customHeight="1">
      <c r="D3" s="360" t="n"/>
      <c r="H3" s="36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4" customHeight="1">
      <c r="A6" s="287">
        <f>IFERROR(IF('Invullen groen'!L18&gt;0,1,""),"")</f>
        <v/>
      </c>
      <c r="B6" s="287">
        <f>IFERROR(IF('Invullen groen'!L18&gt;0,'Invullen groen'!A18,""),"")</f>
        <v/>
      </c>
      <c r="C6" s="287">
        <f>IFERROR(IF('Invullen groen'!L18&gt;0,'Invullen groen'!G18,""),"")</f>
        <v/>
      </c>
      <c r="D6" s="364">
        <f>IFERROR(IF('Invullen groen'!L18&gt;0,'Invullen groen'!L18,""),"")</f>
        <v/>
      </c>
      <c r="F6" s="287">
        <f>IFERROR(IF('Invullen groen'!L78&lt;&gt;0,'Invullen groen'!A78,""),"")</f>
        <v/>
      </c>
      <c r="G6" s="287">
        <f>IFERROR(IF('Invullen groen'!L78&lt;&gt;0,'Invullen groen'!G78,""),"")</f>
        <v/>
      </c>
      <c r="H6" s="364">
        <f>IFERROR(IF('Invullen groen'!L78&lt;&gt;0,'Invullen groen'!L78,""),"")</f>
        <v/>
      </c>
    </row>
    <row r="7" ht="14" customHeight="1">
      <c r="A7" s="287">
        <f>IFERROR(IF('Invullen groen'!L19&gt;0,2,""),"")</f>
        <v/>
      </c>
      <c r="B7" s="287">
        <f>IFERROR(IF('Invullen groen'!L19&gt;0,'Invullen groen'!A19,""),"")</f>
        <v/>
      </c>
      <c r="C7" s="287">
        <f>IFERROR(IF('Invullen groen'!L19&gt;0,'Invullen groen'!G19,""),"")</f>
        <v/>
      </c>
      <c r="D7" s="364">
        <f>IFERROR(IF('Invullen groen'!L19&gt;0,'Invullen groen'!L19,""),"")</f>
        <v/>
      </c>
      <c r="F7" s="287">
        <f>IFERROR(IF('Invullen groen'!L79&lt;&gt;0,'Invullen groen'!A79,""),"")</f>
        <v/>
      </c>
      <c r="G7" s="287">
        <f>IFERROR(IF('Invullen groen'!L79&lt;&gt;0,'Invullen groen'!G79,""),"")</f>
        <v/>
      </c>
      <c r="H7" s="364">
        <f>IFERROR(IF('Invullen groen'!L79&lt;&gt;0,'Invullen groen'!L79,""),"")</f>
        <v/>
      </c>
    </row>
    <row r="8" ht="14" customHeight="1">
      <c r="A8" s="287">
        <f>IFERROR(IF('Invullen groen'!L20&gt;0,3,""),"")</f>
        <v/>
      </c>
      <c r="B8" s="287">
        <f>IFERROR(IF('Invullen groen'!L20&gt;0,'Invullen groen'!A20,""),"")</f>
        <v/>
      </c>
      <c r="C8" s="287">
        <f>IFERROR(IF('Invullen groen'!L20&gt;0,'Invullen groen'!G20,""),"")</f>
        <v/>
      </c>
      <c r="D8" s="364">
        <f>IFERROR(IF('Invullen groen'!L20&gt;0,'Invullen groen'!L20,""),"")</f>
        <v/>
      </c>
      <c r="F8" s="287">
        <f>IFERROR(IF('Invullen groen'!L80&lt;&gt;0,'Invullen groen'!A80,""),"")</f>
        <v/>
      </c>
      <c r="G8" s="287">
        <f>IFERROR(IF('Invullen groen'!L80&lt;&gt;0,'Invullen groen'!G80,""),"")</f>
        <v/>
      </c>
      <c r="H8" s="364">
        <f>IFERROR(IF('Invullen groen'!L80&lt;&gt;0,'Invullen groen'!L80,""),"")</f>
        <v/>
      </c>
    </row>
    <row r="9" ht="14" customHeight="1">
      <c r="A9" s="287">
        <f>IFERROR(IF('Invullen groen'!L21&gt;0,4,""),"")</f>
        <v/>
      </c>
      <c r="B9" s="287">
        <f>IFERROR(IF('Invullen groen'!L21&gt;0,'Invullen groen'!A21,""),"")</f>
        <v/>
      </c>
      <c r="C9" s="287">
        <f>IFERROR(IF('Invullen groen'!L21&gt;0,'Invullen groen'!G21,""),"")</f>
        <v/>
      </c>
      <c r="D9" s="364">
        <f>IFERROR(IF('Invullen groen'!L21&gt;0,'Invullen groen'!L21,""),"")</f>
        <v/>
      </c>
      <c r="F9" s="287">
        <f>IFERROR(IF('Invullen groen'!L81&lt;&gt;0,'Invullen groen'!A81,""),"")</f>
        <v/>
      </c>
      <c r="G9" s="287">
        <f>IFERROR(IF('Invullen groen'!L81&lt;&gt;0,'Invullen groen'!G81,""),"")</f>
        <v/>
      </c>
      <c r="H9" s="364">
        <f>IFERROR(IF('Invullen groen'!L81&lt;&gt;0,'Invullen groen'!L81,""),"")</f>
        <v/>
      </c>
    </row>
    <row r="10" ht="14" customHeight="1">
      <c r="A10" s="287">
        <f>IFERROR(IF('Invullen groen'!L22&gt;0,5,""),"")</f>
        <v/>
      </c>
      <c r="B10" s="287">
        <f>IFERROR(IF('Invullen groen'!L22&gt;0,'Invullen groen'!A22,""),"")</f>
        <v/>
      </c>
      <c r="C10" s="287">
        <f>IFERROR(IF('Invullen groen'!L22&gt;0,'Invullen groen'!G22,""),"")</f>
        <v/>
      </c>
      <c r="D10" s="364">
        <f>IFERROR(IF('Invullen groen'!L22&gt;0,'Invullen groen'!L22,""),"")</f>
        <v/>
      </c>
      <c r="F10" s="287">
        <f>IFERROR(IF('Invullen groen'!L82&lt;&gt;0,'Invullen groen'!A82,""),"")</f>
        <v/>
      </c>
      <c r="G10" s="287">
        <f>IFERROR(IF('Invullen groen'!L82&lt;&gt;0,'Invullen groen'!G82,""),"")</f>
        <v/>
      </c>
      <c r="H10" s="364">
        <f>IFERROR(IF('Invullen groen'!L82&lt;&gt;0,'Invullen groen'!L82,""),"")</f>
        <v/>
      </c>
    </row>
    <row r="11" ht="14" customHeight="1">
      <c r="A11" s="287">
        <f>IFERROR(IF('Invullen groen'!L23&gt;0,6,""),"")</f>
        <v/>
      </c>
      <c r="B11" s="287">
        <f>IFERROR(IF('Invullen groen'!L23&gt;0,'Invullen groen'!A23,""),"")</f>
        <v/>
      </c>
      <c r="C11" s="287">
        <f>IFERROR(IF('Invullen groen'!L23&gt;0,'Invullen groen'!G23,""),"")</f>
        <v/>
      </c>
      <c r="D11" s="364">
        <f>IFERROR(IF('Invullen groen'!L23&gt;0,'Invullen groen'!L23,""),"")</f>
        <v/>
      </c>
      <c r="F11" s="287">
        <f>IFERROR(IF('Invullen groen'!L83&lt;&gt;0,'Invullen groen'!A83,""),"")</f>
        <v/>
      </c>
      <c r="G11" s="287">
        <f>IFERROR(IF('Invullen groen'!L83&lt;&gt;0,'Invullen groen'!G83,""),"")</f>
        <v/>
      </c>
      <c r="H11" s="364">
        <f>IFERROR(IF('Invullen groen'!L83&lt;&gt;0,'Invullen groen'!L83,""),"")</f>
        <v/>
      </c>
    </row>
    <row r="12" ht="14" customHeight="1">
      <c r="A12" s="287">
        <f>IFERROR(IF('Invullen groen'!L24&gt;0,7,""),"")</f>
        <v/>
      </c>
      <c r="B12" s="287">
        <f>IFERROR(IF('Invullen groen'!L24&gt;0,'Invullen groen'!A24,""),"")</f>
        <v/>
      </c>
      <c r="C12" s="287">
        <f>IFERROR(IF('Invullen groen'!L24&gt;0,'Invullen groen'!G24,""),"")</f>
        <v/>
      </c>
      <c r="D12" s="364">
        <f>IFERROR(IF('Invullen groen'!L24&gt;0,'Invullen groen'!L24,""),"")</f>
        <v/>
      </c>
      <c r="F12" s="287">
        <f>IFERROR(IF('Invullen groen'!L84&lt;&gt;0,'Invullen groen'!A84,""),"")</f>
        <v/>
      </c>
      <c r="G12" s="287">
        <f>IFERROR(IF('Invullen groen'!L84&lt;&gt;0,'Invullen groen'!G84,""),"")</f>
        <v/>
      </c>
      <c r="H12" s="364">
        <f>IFERROR(IF('Invullen groen'!L84&lt;&gt;0,'Invullen groen'!L84,""),"")</f>
        <v/>
      </c>
    </row>
    <row r="13" ht="14" customHeight="1">
      <c r="A13" s="287">
        <f>IFERROR(IF('Invullen groen'!L25&gt;0,8,""),"")</f>
        <v/>
      </c>
      <c r="B13" s="287">
        <f>IFERROR(IF('Invullen groen'!L25&gt;0,'Invullen groen'!A25,""),"")</f>
        <v/>
      </c>
      <c r="C13" s="287">
        <f>IFERROR(IF('Invullen groen'!L25&gt;0,'Invullen groen'!G25,""),"")</f>
        <v/>
      </c>
      <c r="D13" s="364">
        <f>IFERROR(IF('Invullen groen'!L25&gt;0,'Invullen groen'!L25,""),"")</f>
        <v/>
      </c>
      <c r="F13" s="287">
        <f>IFERROR(IF('Invullen groen'!L85&lt;&gt;0,'Invullen groen'!A85,""),"")</f>
        <v/>
      </c>
      <c r="G13" s="287">
        <f>IFERROR(IF('Invullen groen'!L85&lt;&gt;0,'Invullen groen'!G85,""),"")</f>
        <v/>
      </c>
      <c r="H13" s="364">
        <f>IFERROR(IF('Invullen groen'!L85&lt;&gt;0,'Invullen groen'!L85,""),"")</f>
        <v/>
      </c>
    </row>
    <row r="14" ht="14" customHeight="1">
      <c r="A14" s="287">
        <f>IFERROR(IF('Invullen groen'!L26&gt;0,9,""),"")</f>
        <v/>
      </c>
      <c r="B14" s="287">
        <f>IFERROR(IF('Invullen groen'!L26&gt;0,'Invullen groen'!A26,""),"")</f>
        <v/>
      </c>
      <c r="C14" s="287">
        <f>IFERROR(IF('Invullen groen'!L26&gt;0,'Invullen groen'!G26,""),"")</f>
        <v/>
      </c>
      <c r="D14" s="364">
        <f>IFERROR(IF('Invullen groen'!L26&gt;0,'Invullen groen'!L26,""),"")</f>
        <v/>
      </c>
      <c r="F14" s="287">
        <f>IFERROR(IF('Invullen groen'!L86&lt;&gt;0,'Invullen groen'!A86,""),"")</f>
        <v/>
      </c>
      <c r="G14" s="287">
        <f>IFERROR(IF('Invullen groen'!L86&lt;&gt;0,'Invullen groen'!G86,""),"")</f>
        <v/>
      </c>
      <c r="H14" s="364">
        <f>IFERROR(IF('Invullen groen'!L86&lt;&gt;0,'Invullen groen'!L86,""),"")</f>
        <v/>
      </c>
    </row>
    <row r="15" ht="14" customHeight="1">
      <c r="A15" s="287">
        <f>IFERROR(IF('Invullen groen'!L27&gt;0,10,""),"")</f>
        <v/>
      </c>
      <c r="B15" s="287">
        <f>IFERROR(IF('Invullen groen'!L27&gt;0,'Invullen groen'!A27,""),"")</f>
        <v/>
      </c>
      <c r="C15" s="287">
        <f>IFERROR(IF('Invullen groen'!L27&gt;0,'Invullen groen'!G27,""),"")</f>
        <v/>
      </c>
      <c r="D15" s="364">
        <f>IFERROR(IF('Invullen groen'!L27&gt;0,'Invullen groen'!L27,""),"")</f>
        <v/>
      </c>
      <c r="F15" s="287">
        <f>IFERROR(IF('Invullen groen'!L87&lt;&gt;0,'Invullen groen'!A87,""),"")</f>
        <v/>
      </c>
      <c r="G15" s="287">
        <f>IFERROR(IF('Invullen groen'!L87&lt;&gt;0,'Invullen groen'!G87,""),"")</f>
        <v/>
      </c>
      <c r="H15" s="364">
        <f>IFERROR(IF('Invullen groen'!L87&lt;&gt;0,'Invullen groen'!L87,""),"")</f>
        <v/>
      </c>
    </row>
    <row r="16" ht="14" customHeight="1">
      <c r="A16" s="287">
        <f>IFERROR(IF('Invullen groen'!L28&gt;0,11,""),"")</f>
        <v/>
      </c>
      <c r="B16" s="287">
        <f>IFERROR(IF('Invullen groen'!L28&gt;0,'Invullen groen'!A28,""),"")</f>
        <v/>
      </c>
      <c r="C16" s="287">
        <f>IFERROR(IF('Invullen groen'!L28&gt;0,'Invullen groen'!G28,""),"")</f>
        <v/>
      </c>
      <c r="D16" s="364">
        <f>IFERROR(IF('Invullen groen'!L28&gt;0,'Invullen groen'!L28,""),"")</f>
        <v/>
      </c>
      <c r="F16" s="287">
        <f>IFERROR(IF('Invullen groen'!L88&lt;&gt;0,'Invullen groen'!A88,""),"")</f>
        <v/>
      </c>
      <c r="G16" s="287">
        <f>IFERROR(IF('Invullen groen'!L88&lt;&gt;0,'Invullen groen'!G88,""),"")</f>
        <v/>
      </c>
      <c r="H16" s="364">
        <f>IFERROR(IF('Invullen groen'!L88&lt;&gt;0,'Invullen groen'!L88,""),"")</f>
        <v/>
      </c>
    </row>
    <row r="17" ht="14" customHeight="1">
      <c r="A17" s="287">
        <f>IFERROR(IF('Invullen groen'!L29&gt;0,12,""),"")</f>
        <v/>
      </c>
      <c r="B17" s="287">
        <f>IFERROR(IF('Invullen groen'!L29&gt;0,'Invullen groen'!A29,""),"")</f>
        <v/>
      </c>
      <c r="C17" s="287">
        <f>IFERROR(IF('Invullen groen'!L29&gt;0,'Invullen groen'!G29,""),"")</f>
        <v/>
      </c>
      <c r="D17" s="364">
        <f>IFERROR(IF('Invullen groen'!L29&gt;0,'Invullen groen'!L29,""),"")</f>
        <v/>
      </c>
      <c r="F17" s="287">
        <f>IFERROR(IF('Invullen groen'!L89&lt;&gt;0,'Invullen groen'!A89,""),"")</f>
        <v/>
      </c>
      <c r="G17" s="287">
        <f>IFERROR(IF('Invullen groen'!L89&lt;&gt;0,'Invullen groen'!G89,""),"")</f>
        <v/>
      </c>
      <c r="H17" s="364">
        <f>IFERROR(IF('Invullen groen'!L89&lt;&gt;0,'Invullen groen'!L89,""),"")</f>
        <v/>
      </c>
    </row>
    <row r="18" ht="14" customHeight="1">
      <c r="A18" s="287">
        <f>IFERROR(IF('Invullen groen'!L30&gt;0,13,""),"")</f>
        <v/>
      </c>
      <c r="B18" s="287">
        <f>IFERROR(IF('Invullen groen'!L30&gt;0,'Invullen groen'!A30,""),"")</f>
        <v/>
      </c>
      <c r="C18" s="287">
        <f>IFERROR(IF('Invullen groen'!L30&gt;0,'Invullen groen'!G30,""),"")</f>
        <v/>
      </c>
      <c r="D18" s="364">
        <f>IFERROR(IF('Invullen groen'!L30&gt;0,'Invullen groen'!L30,""),"")</f>
        <v/>
      </c>
      <c r="F18" s="287">
        <f>IFERROR(IF('Invullen groen'!L90&lt;&gt;0,'Invullen groen'!A90,""),"")</f>
        <v/>
      </c>
      <c r="G18" s="287">
        <f>IFERROR(IF('Invullen groen'!L90&lt;&gt;0,'Invullen groen'!G90,""),"")</f>
        <v/>
      </c>
      <c r="H18" s="364">
        <f>IFERROR(IF('Invullen groen'!L90&lt;&gt;0,'Invullen groen'!L90,""),"")</f>
        <v/>
      </c>
    </row>
    <row r="19" ht="14" customHeight="1">
      <c r="A19" s="287">
        <f>IFERROR(IF('Invullen groen'!L31&gt;0,14,""),"")</f>
        <v/>
      </c>
      <c r="B19" s="287">
        <f>IFERROR(IF('Invullen groen'!L31&gt;0,'Invullen groen'!A31,""),"")</f>
        <v/>
      </c>
      <c r="C19" s="287">
        <f>IFERROR(IF('Invullen groen'!L31&gt;0,'Invullen groen'!G31,""),"")</f>
        <v/>
      </c>
      <c r="D19" s="364">
        <f>IFERROR(IF('Invullen groen'!L31&gt;0,'Invullen groen'!L31,""),"")</f>
        <v/>
      </c>
      <c r="F19" s="287">
        <f>IFERROR(IF('Invullen groen'!L91&lt;&gt;0,'Invullen groen'!A91,""),"")</f>
        <v/>
      </c>
      <c r="G19" s="287">
        <f>IFERROR(IF('Invullen groen'!L91&lt;&gt;0,'Invullen groen'!G91,""),"")</f>
        <v/>
      </c>
      <c r="H19" s="364">
        <f>IFERROR(IF('Invullen groen'!L91&lt;&gt;0,'Invullen groen'!L91,""),"")</f>
        <v/>
      </c>
    </row>
    <row r="20" ht="14" customHeight="1">
      <c r="A20" s="287">
        <f>IFERROR(IF('Invullen groen'!L32&gt;0,15,""),"")</f>
        <v/>
      </c>
      <c r="B20" s="287">
        <f>IFERROR(IF('Invullen groen'!L32&gt;0,'Invullen groen'!A32,""),"")</f>
        <v/>
      </c>
      <c r="C20" s="287">
        <f>IFERROR(IF('Invullen groen'!L32&gt;0,'Invullen groen'!G32,""),"")</f>
        <v/>
      </c>
      <c r="D20" s="364">
        <f>IFERROR(IF('Invullen groen'!L32&gt;0,'Invullen groen'!L32,""),"")</f>
        <v/>
      </c>
      <c r="F20" s="287">
        <f>IFERROR(IF('Invullen groen'!L92&lt;&gt;0,'Invullen groen'!A92,""),"")</f>
        <v/>
      </c>
      <c r="G20" s="287">
        <f>IFERROR(IF('Invullen groen'!L92&lt;&gt;0,'Invullen groen'!G92,""),"")</f>
        <v/>
      </c>
      <c r="H20" s="364">
        <f>IFERROR(IF('Invullen groen'!L92&lt;&gt;0,'Invullen groen'!L92,""),"")</f>
        <v/>
      </c>
    </row>
    <row r="21" ht="14" customHeight="1">
      <c r="A21" s="287">
        <f>IFERROR(IF('Invullen groen'!L33&gt;0,16,""),"")</f>
        <v/>
      </c>
      <c r="B21" s="287">
        <f>IFERROR(IF('Invullen groen'!L33&gt;0,'Invullen groen'!A33,""),"")</f>
        <v/>
      </c>
      <c r="C21" s="287">
        <f>IFERROR(IF('Invullen groen'!L33&gt;0,'Invullen groen'!G33,""),"")</f>
        <v/>
      </c>
      <c r="D21" s="364">
        <f>IFERROR(IF('Invullen groen'!L33&gt;0,'Invullen groen'!L33,""),"")</f>
        <v/>
      </c>
      <c r="F21" s="287">
        <f>IFERROR(IF('Invullen groen'!L93&lt;&gt;0,'Invullen groen'!A93,""),"")</f>
        <v/>
      </c>
      <c r="G21" s="287">
        <f>IFERROR(IF('Invullen groen'!L93&lt;&gt;0,'Invullen groen'!G93,""),"")</f>
        <v/>
      </c>
      <c r="H21" s="364">
        <f>IFERROR(IF('Invullen groen'!L93&lt;&gt;0,'Invullen groen'!L93,""),"")</f>
        <v/>
      </c>
    </row>
    <row r="22" ht="14" customHeight="1">
      <c r="A22" s="287">
        <f>IFERROR(IF('Invullen groen'!L34&gt;0,17,""),"")</f>
        <v/>
      </c>
      <c r="B22" s="287">
        <f>IFERROR(IF('Invullen groen'!L34&gt;0,'Invullen groen'!A34,""),"")</f>
        <v/>
      </c>
      <c r="C22" s="287">
        <f>IFERROR(IF('Invullen groen'!L34&gt;0,'Invullen groen'!G34,""),"")</f>
        <v/>
      </c>
      <c r="D22" s="364">
        <f>IFERROR(IF('Invullen groen'!L34&gt;0,'Invullen groen'!L34,""),"")</f>
        <v/>
      </c>
      <c r="F22" s="287">
        <f>IFERROR(IF('Invullen groen'!L94&lt;&gt;0,'Invullen groen'!A94,""),"")</f>
        <v/>
      </c>
      <c r="G22" s="287">
        <f>IFERROR(IF('Invullen groen'!L94&lt;&gt;0,'Invullen groen'!G94,""),"")</f>
        <v/>
      </c>
      <c r="H22" s="364">
        <f>IFERROR(IF('Invullen groen'!L94&lt;&gt;0,'Invullen groen'!L94,""),"")</f>
        <v/>
      </c>
    </row>
    <row r="23" ht="14" customHeight="1">
      <c r="A23" s="287">
        <f>IFERROR(IF('Invullen groen'!L35&gt;0,18,""),"")</f>
        <v/>
      </c>
      <c r="B23" s="287">
        <f>IFERROR(IF('Invullen groen'!L35&gt;0,'Invullen groen'!A35,""),"")</f>
        <v/>
      </c>
      <c r="C23" s="287">
        <f>IFERROR(IF('Invullen groen'!L35&gt;0,'Invullen groen'!G35,""),"")</f>
        <v/>
      </c>
      <c r="D23" s="364">
        <f>IFERROR(IF('Invullen groen'!L35&gt;0,'Invullen groen'!L35,""),"")</f>
        <v/>
      </c>
      <c r="F23" s="287">
        <f>IFERROR(IF('Invullen groen'!L95&lt;&gt;0,'Invullen groen'!A95,""),"")</f>
        <v/>
      </c>
      <c r="G23" s="287">
        <f>IFERROR(IF('Invullen groen'!L95&lt;&gt;0,'Invullen groen'!G95,""),"")</f>
        <v/>
      </c>
      <c r="H23" s="364">
        <f>IFERROR(IF('Invullen groen'!L95&lt;&gt;0,'Invullen groen'!L95,""),"")</f>
        <v/>
      </c>
    </row>
    <row r="24" ht="14" customHeight="1">
      <c r="A24" s="287">
        <f>IFERROR(IF('Invullen groen'!L36&gt;0,19,""),"")</f>
        <v/>
      </c>
      <c r="B24" s="287">
        <f>IFERROR(IF('Invullen groen'!L36&gt;0,'Invullen groen'!A36,""),"")</f>
        <v/>
      </c>
      <c r="C24" s="287">
        <f>IFERROR(IF('Invullen groen'!L36&gt;0,'Invullen groen'!G36,""),"")</f>
        <v/>
      </c>
      <c r="D24" s="364">
        <f>IFERROR(IF('Invullen groen'!L36&gt;0,'Invullen groen'!L36,""),"")</f>
        <v/>
      </c>
      <c r="F24" s="287">
        <f>IFERROR(IF('Invullen groen'!L96&lt;&gt;0,'Invullen groen'!A96,""),"")</f>
        <v/>
      </c>
      <c r="G24" s="287">
        <f>IFERROR(IF('Invullen groen'!L96&lt;&gt;0,'Invullen groen'!G96,""),"")</f>
        <v/>
      </c>
      <c r="H24" s="364">
        <f>IFERROR(IF('Invullen groen'!L96&lt;&gt;0,'Invullen groen'!L96,""),"")</f>
        <v/>
      </c>
    </row>
    <row r="25" ht="14" customHeight="1">
      <c r="A25" s="287">
        <f>IFERROR(IF('Invullen groen'!L37&gt;0,20,""),"")</f>
        <v/>
      </c>
      <c r="B25" s="287">
        <f>IFERROR(IF('Invullen groen'!L37&gt;0,'Invullen groen'!A37,""),"")</f>
        <v/>
      </c>
      <c r="C25" s="287">
        <f>IFERROR(IF('Invullen groen'!L37&gt;0,'Invullen groen'!G37,""),"")</f>
        <v/>
      </c>
      <c r="D25" s="364">
        <f>IFERROR(IF('Invullen groen'!L37&gt;0,'Invullen groen'!L37,""),"")</f>
        <v/>
      </c>
      <c r="F25" s="287">
        <f>IFERROR(IF('Invullen groen'!L97&lt;&gt;0,'Invullen groen'!A97,""),"")</f>
        <v/>
      </c>
      <c r="G25" s="287">
        <f>IFERROR(IF('Invullen groen'!L97&lt;&gt;0,'Invullen groen'!G97,""),"")</f>
        <v/>
      </c>
      <c r="H25" s="364">
        <f>IFERROR(IF('Invullen groen'!L97&lt;&gt;0,'Invullen groen'!L97,""),"")</f>
        <v/>
      </c>
    </row>
    <row r="26" ht="14" customHeight="1">
      <c r="A26" s="287">
        <f>IFERROR(IF('Invullen groen'!L38&gt;0,21,""),"")</f>
        <v/>
      </c>
      <c r="B26" s="287">
        <f>IFERROR(IF('Invullen groen'!L38&gt;0,'Invullen groen'!A38,""),"")</f>
        <v/>
      </c>
      <c r="C26" s="287">
        <f>IFERROR(IF('Invullen groen'!L38&gt;0,'Invullen groen'!G38,""),"")</f>
        <v/>
      </c>
      <c r="D26" s="364">
        <f>IFERROR(IF('Invullen groen'!L38&gt;0,'Invullen groen'!L38,""),"")</f>
        <v/>
      </c>
      <c r="F26" s="287">
        <f>IFERROR(IF('Invullen groen'!L98&lt;&gt;0,'Invullen groen'!A98,""),"")</f>
        <v/>
      </c>
      <c r="G26" s="287">
        <f>IFERROR(IF('Invullen groen'!L98&lt;&gt;0,'Invullen groen'!G98,""),"")</f>
        <v/>
      </c>
      <c r="H26" s="364">
        <f>IFERROR(IF('Invullen groen'!L98&lt;&gt;0,'Invullen groen'!L98,""),"")</f>
        <v/>
      </c>
    </row>
    <row r="27" ht="14" customHeight="1">
      <c r="A27" s="287">
        <f>IFERROR(IF('Invullen groen'!L39&gt;0,22,""),"")</f>
        <v/>
      </c>
      <c r="B27" s="287">
        <f>IFERROR(IF('Invullen groen'!L39&gt;0,'Invullen groen'!A39,""),"")</f>
        <v/>
      </c>
      <c r="C27" s="287">
        <f>IFERROR(IF('Invullen groen'!L39&gt;0,'Invullen groen'!G39,""),"")</f>
        <v/>
      </c>
      <c r="D27" s="364">
        <f>IFERROR(IF('Invullen groen'!L39&gt;0,'Invullen groen'!L39,""),"")</f>
        <v/>
      </c>
      <c r="F27" s="287">
        <f>IFERROR(IF('Invullen groen'!L99&lt;&gt;0,'Invullen groen'!A99,""),"")</f>
        <v/>
      </c>
      <c r="G27" s="287">
        <f>IFERROR(IF('Invullen groen'!L99&lt;&gt;0,'Invullen groen'!G99,""),"")</f>
        <v/>
      </c>
      <c r="H27" s="364">
        <f>IFERROR(IF('Invullen groen'!L99&lt;&gt;0,'Invullen groen'!L99,""),"")</f>
        <v/>
      </c>
    </row>
    <row r="28" ht="14" customHeight="1">
      <c r="A28" s="287">
        <f>IFERROR(IF('Invullen groen'!L40&gt;0,23,""),"")</f>
        <v/>
      </c>
      <c r="B28" s="287">
        <f>IFERROR(IF('Invullen groen'!L40&gt;0,'Invullen groen'!A40,""),"")</f>
        <v/>
      </c>
      <c r="C28" s="287">
        <f>IFERROR(IF('Invullen groen'!L40&gt;0,'Invullen groen'!G40,""),"")</f>
        <v/>
      </c>
      <c r="D28" s="364">
        <f>IFERROR(IF('Invullen groen'!L40&gt;0,'Invullen groen'!L40,""),"")</f>
        <v/>
      </c>
      <c r="F28" s="287">
        <f>IFERROR(IF('Invullen groen'!L100&lt;&gt;0,'Invullen groen'!A100,""),"")</f>
        <v/>
      </c>
      <c r="G28" s="287">
        <f>IFERROR(IF('Invullen groen'!L100&lt;&gt;0,'Invullen groen'!G100,""),"")</f>
        <v/>
      </c>
      <c r="H28" s="364">
        <f>IFERROR(IF('Invullen groen'!L100&lt;&gt;0,'Invullen groen'!L100,""),"")</f>
        <v/>
      </c>
    </row>
    <row r="29" ht="14" customHeight="1">
      <c r="A29" s="287">
        <f>IFERROR(IF('Invullen groen'!L41&gt;0,24,""),"")</f>
        <v/>
      </c>
      <c r="B29" s="287">
        <f>IFERROR(IF('Invullen groen'!L41&gt;0,'Invullen groen'!A41,""),"")</f>
        <v/>
      </c>
      <c r="C29" s="287">
        <f>IFERROR(IF('Invullen groen'!L41&gt;0,'Invullen groen'!G41,""),"")</f>
        <v/>
      </c>
      <c r="D29" s="364">
        <f>IFERROR(IF('Invullen groen'!L41&gt;0,'Invullen groen'!L41,""),"")</f>
        <v/>
      </c>
      <c r="F29" s="287">
        <f>IFERROR(IF('Invullen groen'!L101&lt;&gt;0,'Invullen groen'!A101,""),"")</f>
        <v/>
      </c>
      <c r="G29" s="287">
        <f>IFERROR(IF('Invullen groen'!L101&lt;&gt;0,'Invullen groen'!G101,""),"")</f>
        <v/>
      </c>
      <c r="H29" s="364">
        <f>IFERROR(IF('Invullen groen'!L101&lt;&gt;0,'Invullen groen'!L101,""),"")</f>
        <v/>
      </c>
    </row>
    <row r="30" ht="14" customHeight="1">
      <c r="A30" s="287">
        <f>IFERROR(IF('Invullen groen'!L42&gt;0,25,""),"")</f>
        <v/>
      </c>
      <c r="B30" s="287">
        <f>IFERROR(IF('Invullen groen'!L42&gt;0,'Invullen groen'!A42,""),"")</f>
        <v/>
      </c>
      <c r="C30" s="287">
        <f>IFERROR(IF('Invullen groen'!L42&gt;0,'Invullen groen'!G42,""),"")</f>
        <v/>
      </c>
      <c r="D30" s="364">
        <f>IFERROR(IF('Invullen groen'!L42&gt;0,'Invullen groen'!L42,""),"")</f>
        <v/>
      </c>
      <c r="F30" s="287">
        <f>IFERROR(IF('Invullen groen'!L102&lt;&gt;0,'Invullen groen'!A102,""),"")</f>
        <v/>
      </c>
      <c r="G30" s="287">
        <f>IFERROR(IF('Invullen groen'!L102&lt;&gt;0,'Invullen groen'!G102,""),"")</f>
        <v/>
      </c>
      <c r="H30" s="364">
        <f>IFERROR(IF('Invullen groen'!L102&lt;&gt;0,'Invullen groen'!L102,""),"")</f>
        <v/>
      </c>
    </row>
    <row r="31" ht="14" customHeight="1">
      <c r="A31" s="287">
        <f>IFERROR(IF('Invullen groen'!L43&gt;0,26,""),"")</f>
        <v/>
      </c>
      <c r="B31" s="287">
        <f>IFERROR(IF('Invullen groen'!L43&gt;0,'Invullen groen'!A43,""),"")</f>
        <v/>
      </c>
      <c r="C31" s="287">
        <f>IFERROR(IF('Invullen groen'!L43&gt;0,'Invullen groen'!G43,""),"")</f>
        <v/>
      </c>
      <c r="D31" s="364">
        <f>IFERROR(IF('Invullen groen'!L43&gt;0,'Invullen groen'!L43,""),"")</f>
        <v/>
      </c>
      <c r="F31" s="287">
        <f>IFERROR(IF('Invullen groen'!L103&lt;&gt;0,'Invullen groen'!A103,""),"")</f>
        <v/>
      </c>
      <c r="G31" s="287">
        <f>IFERROR(IF('Invullen groen'!L103&lt;&gt;0,'Invullen groen'!G103,""),"")</f>
        <v/>
      </c>
      <c r="H31" s="364">
        <f>IFERROR(IF('Invullen groen'!L103&lt;&gt;0,'Invullen groen'!L103,""),"")</f>
        <v/>
      </c>
    </row>
    <row r="32" ht="14" customHeight="1">
      <c r="A32" s="287">
        <f>IFERROR(IF('Invullen groen'!L44&gt;0,27,""),"")</f>
        <v/>
      </c>
      <c r="B32" s="287">
        <f>IFERROR(IF('Invullen groen'!L44&gt;0,'Invullen groen'!A44,""),"")</f>
        <v/>
      </c>
      <c r="C32" s="287">
        <f>IFERROR(IF('Invullen groen'!L44&gt;0,'Invullen groen'!G44,""),"")</f>
        <v/>
      </c>
      <c r="D32" s="364">
        <f>IFERROR(IF('Invullen groen'!L44&gt;0,'Invullen groen'!L44,""),"")</f>
        <v/>
      </c>
      <c r="F32" s="287">
        <f>IFERROR(IF('Invullen groen'!L104&lt;&gt;0,'Invullen groen'!A104,""),"")</f>
        <v/>
      </c>
      <c r="G32" s="287">
        <f>IFERROR(IF('Invullen groen'!L104&lt;&gt;0,'Invullen groen'!G104,""),"")</f>
        <v/>
      </c>
      <c r="H32" s="364">
        <f>IFERROR(IF('Invullen groen'!L104&lt;&gt;0,'Invullen groen'!L104,""),"")</f>
        <v/>
      </c>
    </row>
    <row r="33" ht="14" customHeight="1">
      <c r="A33" s="287">
        <f>IFERROR(IF('Invullen groen'!L45&gt;0,28,""),"")</f>
        <v/>
      </c>
      <c r="B33" s="287">
        <f>IFERROR(IF('Invullen groen'!L45&gt;0,'Invullen groen'!A45,""),"")</f>
        <v/>
      </c>
      <c r="C33" s="287">
        <f>IFERROR(IF('Invullen groen'!L45&gt;0,'Invullen groen'!G45,""),"")</f>
        <v/>
      </c>
      <c r="D33" s="364">
        <f>IFERROR(IF('Invullen groen'!L45&gt;0,'Invullen groen'!L45,""),"")</f>
        <v/>
      </c>
      <c r="F33" s="287">
        <f>IFERROR(IF('Invullen groen'!L105&lt;&gt;0,'Invullen groen'!A105,""),"")</f>
        <v/>
      </c>
      <c r="G33" s="287">
        <f>IFERROR(IF('Invullen groen'!L105&lt;&gt;0,'Invullen groen'!G105,""),"")</f>
        <v/>
      </c>
      <c r="H33" s="364">
        <f>IFERROR(IF('Invullen groen'!L105&lt;&gt;0,'Invullen groen'!L105,""),"")</f>
        <v/>
      </c>
    </row>
    <row r="34" ht="14" customHeight="1">
      <c r="A34" s="287">
        <f>IFERROR(IF('Invullen groen'!L46&gt;0,29,""),"")</f>
        <v/>
      </c>
      <c r="B34" s="287">
        <f>IFERROR(IF('Invullen groen'!L46&gt;0,'Invullen groen'!A46,""),"")</f>
        <v/>
      </c>
      <c r="C34" s="287">
        <f>IFERROR(IF('Invullen groen'!L46&gt;0,'Invullen groen'!G46,""),"")</f>
        <v/>
      </c>
      <c r="D34" s="364">
        <f>IFERROR(IF('Invullen groen'!L46&gt;0,'Invullen groen'!L46,""),"")</f>
        <v/>
      </c>
      <c r="F34" s="287">
        <f>IFERROR(IF('Invullen groen'!L106&lt;&gt;0,'Invullen groen'!A106,""),"")</f>
        <v/>
      </c>
      <c r="G34" s="287">
        <f>IFERROR(IF('Invullen groen'!L106&lt;&gt;0,'Invullen groen'!G106,""),"")</f>
        <v/>
      </c>
      <c r="H34" s="364">
        <f>IFERROR(IF('Invullen groen'!L106&lt;&gt;0,'Invullen groen'!L106,""),"")</f>
        <v/>
      </c>
    </row>
    <row r="35" ht="14" customHeight="1">
      <c r="A35" s="287">
        <f>IFERROR(IF('Invullen groen'!L47&gt;0,30,""),"")</f>
        <v/>
      </c>
      <c r="B35" s="287">
        <f>IFERROR(IF('Invullen groen'!L47&gt;0,'Invullen groen'!A47,""),"")</f>
        <v/>
      </c>
      <c r="C35" s="287">
        <f>IFERROR(IF('Invullen groen'!L47&gt;0,'Invullen groen'!G47,""),"")</f>
        <v/>
      </c>
      <c r="D35" s="364">
        <f>IFERROR(IF('Invullen groen'!L47&gt;0,'Invullen groen'!L47,""),"")</f>
        <v/>
      </c>
      <c r="F35" s="287">
        <f>IFERROR(IF('Invullen groen'!L107&lt;&gt;0,'Invullen groen'!A107,""),"")</f>
        <v/>
      </c>
      <c r="G35" s="287">
        <f>IFERROR(IF('Invullen groen'!L107&lt;&gt;0,'Invullen groen'!G107,""),"")</f>
        <v/>
      </c>
      <c r="H35" s="364">
        <f>IFERROR(IF('Invullen groen'!L107&lt;&gt;0,'Invullen groen'!L107,""),"")</f>
        <v/>
      </c>
    </row>
    <row r="36" ht="14" customHeight="1">
      <c r="A36" s="287">
        <f>IFERROR(IF('Invullen groen'!L48&gt;0,31,""),"")</f>
        <v/>
      </c>
      <c r="B36" s="287">
        <f>IFERROR(IF('Invullen groen'!L48&gt;0,'Invullen groen'!A48,""),"")</f>
        <v/>
      </c>
      <c r="C36" s="287">
        <f>IFERROR(IF('Invullen groen'!L48&gt;0,'Invullen groen'!G48,""),"")</f>
        <v/>
      </c>
      <c r="D36" s="364">
        <f>IFERROR(IF('Invullen groen'!L48&gt;0,'Invullen groen'!L48,""),"")</f>
        <v/>
      </c>
      <c r="F36" s="287">
        <f>IFERROR(IF('Invullen groen'!L108&lt;&gt;0,'Invullen groen'!A108,""),"")</f>
        <v/>
      </c>
      <c r="G36" s="287">
        <f>IFERROR(IF('Invullen groen'!L108&lt;&gt;0,'Invullen groen'!G108,""),"")</f>
        <v/>
      </c>
      <c r="H36" s="364">
        <f>IFERROR(IF('Invullen groen'!L108&lt;&gt;0,'Invullen groen'!L108,""),"")</f>
        <v/>
      </c>
    </row>
    <row r="37" ht="14" customHeight="1">
      <c r="A37" s="287">
        <f>IFERROR(IF('Invullen groen'!L49&gt;0,32,""),"")</f>
        <v/>
      </c>
      <c r="B37" s="287">
        <f>IFERROR(IF('Invullen groen'!L49&gt;0,'Invullen groen'!A49,""),"")</f>
        <v/>
      </c>
      <c r="C37" s="287">
        <f>IFERROR(IF('Invullen groen'!L49&gt;0,'Invullen groen'!G49,""),"")</f>
        <v/>
      </c>
      <c r="D37" s="364">
        <f>IFERROR(IF('Invullen groen'!L49&gt;0,'Invullen groen'!L49,""),"")</f>
        <v/>
      </c>
      <c r="F37" s="287">
        <f>IFERROR(IF('Invullen groen'!L109&lt;&gt;0,'Invullen groen'!A109,""),"")</f>
        <v/>
      </c>
      <c r="G37" s="287">
        <f>IFERROR(IF('Invullen groen'!L109&lt;&gt;0,'Invullen groen'!G109,""),"")</f>
        <v/>
      </c>
      <c r="H37" s="364">
        <f>IFERROR(IF('Invullen groen'!L109&lt;&gt;0,'Invullen groen'!L109,""),"")</f>
        <v/>
      </c>
    </row>
    <row r="38" ht="14" customHeight="1">
      <c r="A38" s="287">
        <f>IFERROR(IF('Invullen groen'!L50&gt;0,33,""),"")</f>
        <v/>
      </c>
      <c r="B38" s="287">
        <f>IFERROR(IF('Invullen groen'!L50&gt;0,'Invullen groen'!A50,""),"")</f>
        <v/>
      </c>
      <c r="C38" s="287">
        <f>IFERROR(IF('Invullen groen'!L50&gt;0,'Invullen groen'!G50,""),"")</f>
        <v/>
      </c>
      <c r="D38" s="364">
        <f>IFERROR(IF('Invullen groen'!L50&gt;0,'Invullen groen'!L50,""),"")</f>
        <v/>
      </c>
      <c r="F38" s="287" t="n"/>
      <c r="G38" s="287" t="n"/>
      <c r="H38" s="364" t="n"/>
    </row>
    <row r="39" ht="14" customHeight="1">
      <c r="A39" s="287">
        <f>IFERROR(IF('Invullen groen'!L51&gt;0,34,""),"")</f>
        <v/>
      </c>
      <c r="B39" s="287">
        <f>IFERROR(IF('Invullen groen'!L51&gt;0,'Invullen groen'!A51,""),"")</f>
        <v/>
      </c>
      <c r="C39" s="287">
        <f>IFERROR(IF('Invullen groen'!L51&gt;0,'Invullen groen'!G51,""),"")</f>
        <v/>
      </c>
      <c r="D39" s="364">
        <f>IFERROR(IF('Invullen groen'!L51&gt;0,'Invullen groen'!L51,""),"")</f>
        <v/>
      </c>
      <c r="F39" s="287" t="n"/>
      <c r="G39" s="287" t="n"/>
      <c r="H39" s="364" t="n"/>
    </row>
    <row r="40" ht="14" customHeight="1">
      <c r="A40" s="287">
        <f>IFERROR(IF('Invullen groen'!L52&gt;0,35,""),"")</f>
        <v/>
      </c>
      <c r="B40" s="287">
        <f>IFERROR(IF('Invullen groen'!L52&gt;0,'Invullen groen'!A52,""),"")</f>
        <v/>
      </c>
      <c r="C40" s="287">
        <f>IFERROR(IF('Invullen groen'!L52&gt;0,'Invullen groen'!G52,""),"")</f>
        <v/>
      </c>
      <c r="D40" s="364">
        <f>IFERROR(IF('Invullen groen'!L52&gt;0,'Invullen groen'!L52,""),"")</f>
        <v/>
      </c>
      <c r="F40" s="287" t="n"/>
      <c r="G40" s="287" t="n"/>
      <c r="H40" s="364" t="n"/>
    </row>
    <row r="41" ht="14" customHeight="1">
      <c r="A41" s="287">
        <f>IFERROR(IF('Invullen groen'!L53&gt;0,36,""),"")</f>
        <v/>
      </c>
      <c r="B41" s="287">
        <f>IFERROR(IF('Invullen groen'!L53&gt;0,'Invullen groen'!A53,""),"")</f>
        <v/>
      </c>
      <c r="C41" s="287">
        <f>IFERROR(IF('Invullen groen'!L53&gt;0,'Invullen groen'!G53,""),"")</f>
        <v/>
      </c>
      <c r="D41" s="364">
        <f>IFERROR(IF('Invullen groen'!L53&gt;0,'Invullen groen'!L53,""),"")</f>
        <v/>
      </c>
      <c r="F41" s="287" t="n"/>
      <c r="G41" s="287" t="n"/>
      <c r="H41" s="364" t="n"/>
    </row>
    <row r="42" ht="14" customHeight="1">
      <c r="A42" s="287">
        <f>IFERROR(IF('Invullen groen'!L54&gt;0,37,""),"")</f>
        <v/>
      </c>
      <c r="B42" s="287">
        <f>IFERROR(IF('Invullen groen'!L54&gt;0,'Invullen groen'!A54,""),"")</f>
        <v/>
      </c>
      <c r="C42" s="287">
        <f>IFERROR(IF('Invullen groen'!L54&gt;0,'Invullen groen'!G54,""),"")</f>
        <v/>
      </c>
      <c r="D42" s="364">
        <f>IFERROR(IF('Invullen groen'!L54&gt;0,'Invullen groen'!L54,""),"")</f>
        <v/>
      </c>
      <c r="F42" s="287" t="n"/>
      <c r="G42" s="287" t="n"/>
      <c r="H42" s="364" t="n"/>
    </row>
    <row r="43" ht="14" customHeight="1">
      <c r="A43" s="287">
        <f>IFERROR(IF('Invullen groen'!L55&gt;0,38,""),"")</f>
        <v/>
      </c>
      <c r="B43" s="287">
        <f>IFERROR(IF('Invullen groen'!L55&gt;0,'Invullen groen'!A55,""),"")</f>
        <v/>
      </c>
      <c r="C43" s="287">
        <f>IFERROR(IF('Invullen groen'!L55&gt;0,'Invullen groen'!G55,""),"")</f>
        <v/>
      </c>
      <c r="D43" s="364">
        <f>IFERROR(IF('Invullen groen'!L55&gt;0,'Invullen groen'!L55,""),"")</f>
        <v/>
      </c>
      <c r="F43" s="287" t="n"/>
      <c r="G43" s="287" t="n"/>
      <c r="H43" s="364" t="n"/>
    </row>
    <row r="44" ht="14" customHeight="1">
      <c r="A44" s="287">
        <f>IFERROR(IF('Invullen groen'!L56&gt;0,39,""),"")</f>
        <v/>
      </c>
      <c r="B44" s="287">
        <f>IFERROR(IF('Invullen groen'!L56&gt;0,'Invullen groen'!A56,""),"")</f>
        <v/>
      </c>
      <c r="C44" s="287">
        <f>IFERROR(IF('Invullen groen'!L56&gt;0,'Invullen groen'!G56,""),"")</f>
        <v/>
      </c>
      <c r="D44" s="364">
        <f>IFERROR(IF('Invullen groen'!L56&gt;0,'Invullen groen'!L56,""),"")</f>
        <v/>
      </c>
      <c r="F44" s="287" t="n"/>
      <c r="G44" s="287" t="n"/>
      <c r="H44" s="364" t="n"/>
    </row>
    <row r="45" ht="14" customHeight="1">
      <c r="A45" s="287">
        <f>IFERROR(IF('Invullen groen'!L57&gt;0,40,""),"")</f>
        <v/>
      </c>
      <c r="B45" s="287">
        <f>IFERROR(IF('Invullen groen'!L57&gt;0,'Invullen groen'!A57,""),"")</f>
        <v/>
      </c>
      <c r="C45" s="287">
        <f>IFERROR(IF('Invullen groen'!L57&gt;0,'Invullen groen'!G57,""),"")</f>
        <v/>
      </c>
      <c r="D45" s="364">
        <f>IFERROR(IF('Invullen groen'!L57&gt;0,'Invullen groen'!L57,""),"")</f>
        <v/>
      </c>
      <c r="F45" s="287" t="n"/>
      <c r="G45" s="287" t="n"/>
      <c r="H45" s="364" t="n"/>
    </row>
    <row r="46" ht="14" customHeight="1">
      <c r="A46" s="287">
        <f>IFERROR(IF('Invullen groen'!L58&gt;0,41,""),"")</f>
        <v/>
      </c>
      <c r="B46" s="287">
        <f>IFERROR(IF('Invullen groen'!L58&gt;0,'Invullen groen'!A58,""),"")</f>
        <v/>
      </c>
      <c r="C46" s="287">
        <f>IFERROR(IF('Invullen groen'!L58&gt;0,'Invullen groen'!G58,""),"")</f>
        <v/>
      </c>
      <c r="D46" s="364">
        <f>IFERROR(IF('Invullen groen'!L58&gt;0,'Invullen groen'!L58,""),"")</f>
        <v/>
      </c>
      <c r="F46" s="287" t="n"/>
      <c r="G46" s="287" t="n"/>
      <c r="H46" s="364" t="n"/>
    </row>
    <row r="47" ht="14" customHeight="1">
      <c r="A47" s="287">
        <f>IFERROR(IF('Invullen groen'!L59&gt;0,42,""),"")</f>
        <v/>
      </c>
      <c r="B47" s="287">
        <f>IFERROR(IF('Invullen groen'!L59&gt;0,'Invullen groen'!A59,""),"")</f>
        <v/>
      </c>
      <c r="C47" s="287">
        <f>IFERROR(IF('Invullen groen'!L59&gt;0,'Invullen groen'!G59,""),"")</f>
        <v/>
      </c>
      <c r="D47" s="364">
        <f>IFERROR(IF('Invullen groen'!L59&gt;0,'Invullen groen'!L59,""),"")</f>
        <v/>
      </c>
      <c r="F47" s="287" t="n"/>
      <c r="G47" s="287" t="n"/>
      <c r="H47" s="364" t="n"/>
    </row>
    <row r="48" ht="14" customHeight="1">
      <c r="A48" s="287">
        <f>IFERROR(IF('Invullen groen'!L60&gt;0,43,""),"")</f>
        <v/>
      </c>
      <c r="B48" s="287">
        <f>IFERROR(IF('Invullen groen'!L60&gt;0,'Invullen groen'!A60,""),"")</f>
        <v/>
      </c>
      <c r="C48" s="287">
        <f>IFERROR(IF('Invullen groen'!L60&gt;0,'Invullen groen'!G60,""),"")</f>
        <v/>
      </c>
      <c r="D48" s="364">
        <f>IFERROR(IF('Invullen groen'!L60&gt;0,'Invullen groen'!L60,""),"")</f>
        <v/>
      </c>
      <c r="F48" s="287" t="n"/>
      <c r="G48" s="287" t="n"/>
      <c r="H48" s="364" t="n"/>
    </row>
    <row r="49" ht="14" customHeight="1">
      <c r="A49" s="287">
        <f>IFERROR(IF('Invullen groen'!L61&gt;0,44,""),"")</f>
        <v/>
      </c>
      <c r="B49" s="287">
        <f>IFERROR(IF('Invullen groen'!L61&gt;0,'Invullen groen'!A61,""),"")</f>
        <v/>
      </c>
      <c r="C49" s="287">
        <f>IFERROR(IF('Invullen groen'!L61&gt;0,'Invullen groen'!G61,""),"")</f>
        <v/>
      </c>
      <c r="D49" s="364">
        <f>IFERROR(IF('Invullen groen'!L61&gt;0,'Invullen groen'!L61,""),"")</f>
        <v/>
      </c>
      <c r="F49" s="287" t="n"/>
      <c r="G49" s="287" t="n"/>
      <c r="H49" s="364" t="n"/>
    </row>
    <row r="50" ht="14" customHeight="1">
      <c r="A50" s="287">
        <f>IFERROR(IF('Invullen groen'!L62&gt;0,45,""),"")</f>
        <v/>
      </c>
      <c r="B50" s="287">
        <f>IFERROR(IF('Invullen groen'!L62&gt;0,'Invullen groen'!A62,""),"")</f>
        <v/>
      </c>
      <c r="C50" s="287">
        <f>IFERROR(IF('Invullen groen'!L62&gt;0,'Invullen groen'!G62,""),"")</f>
        <v/>
      </c>
      <c r="D50" s="364">
        <f>IFERROR(IF('Invullen groen'!L62&gt;0,'Invullen groen'!L62,""),"")</f>
        <v/>
      </c>
      <c r="F50" s="287" t="n"/>
      <c r="G50" s="287" t="n"/>
      <c r="H50" s="364" t="n"/>
    </row>
    <row r="51" ht="14" customHeight="1">
      <c r="A51" s="287">
        <f>IFERROR(IF('Invullen groen'!L63&gt;0,46,""),"")</f>
        <v/>
      </c>
      <c r="B51" s="287">
        <f>IFERROR(IF('Invullen groen'!L63&gt;0,'Invullen groen'!A63,""),"")</f>
        <v/>
      </c>
      <c r="C51" s="287">
        <f>IFERROR(IF('Invullen groen'!L63&gt;0,'Invullen groen'!G63,""),"")</f>
        <v/>
      </c>
      <c r="D51" s="364">
        <f>IFERROR(IF('Invullen groen'!L63&gt;0,'Invullen groen'!L63,""),"")</f>
        <v/>
      </c>
      <c r="F51" s="287" t="n"/>
      <c r="G51" s="287" t="n"/>
      <c r="H51" s="364" t="n"/>
    </row>
    <row r="52" ht="14" customHeight="1">
      <c r="A52" s="287">
        <f>IFERROR(IF('Invullen groen'!L64&gt;0,47,""),"")</f>
        <v/>
      </c>
      <c r="B52" s="287">
        <f>IFERROR(IF('Invullen groen'!L64&gt;0,'Invullen groen'!A64,""),"")</f>
        <v/>
      </c>
      <c r="C52" s="287">
        <f>IFERROR(IF('Invullen groen'!L64&gt;0,'Invullen groen'!G64,""),"")</f>
        <v/>
      </c>
      <c r="D52" s="364">
        <f>IFERROR(IF('Invullen groen'!L64&gt;0,'Invullen groen'!L64,""),"")</f>
        <v/>
      </c>
      <c r="F52" s="287" t="n"/>
      <c r="G52" s="287" t="n"/>
      <c r="H52" s="364" t="n"/>
    </row>
    <row r="53" ht="14" customHeight="1">
      <c r="A53" s="287">
        <f>IFERROR(IF('Invullen groen'!L65&gt;0,48,""),"")</f>
        <v/>
      </c>
      <c r="B53" s="287">
        <f>IFERROR(IF('Invullen groen'!L65&gt;0,'Invullen groen'!A65,""),"")</f>
        <v/>
      </c>
      <c r="C53" s="287">
        <f>IFERROR(IF('Invullen groen'!L65&gt;0,'Invullen groen'!G65,""),"")</f>
        <v/>
      </c>
      <c r="D53" s="364">
        <f>IFERROR(IF('Invullen groen'!L65&gt;0,'Invullen groen'!L65,""),"")</f>
        <v/>
      </c>
      <c r="F53" s="287" t="n"/>
      <c r="G53" s="287" t="n"/>
      <c r="H53" s="364" t="n"/>
    </row>
    <row r="54" ht="14" customHeight="1">
      <c r="A54" s="287">
        <f>IFERROR(IF('Invullen groen'!L66&gt;0,49,""),"")</f>
        <v/>
      </c>
      <c r="B54" s="287">
        <f>IFERROR(IF('Invullen groen'!L66&gt;0,'Invullen groen'!A66,""),"")</f>
        <v/>
      </c>
      <c r="C54" s="287">
        <f>IFERROR(IF('Invullen groen'!L66&gt;0,'Invullen groen'!G66,""),"")</f>
        <v/>
      </c>
      <c r="D54" s="364">
        <f>IFERROR(IF('Invullen groen'!L66&gt;0,'Invullen groen'!L66,""),"")</f>
        <v/>
      </c>
      <c r="F54" s="287" t="n"/>
      <c r="G54" s="287" t="n"/>
      <c r="H54" s="364" t="n"/>
    </row>
    <row r="55" ht="14" customHeight="1">
      <c r="A55" s="287">
        <f>IFERROR(IF('Invullen groen'!L67&gt;0,50,""),"")</f>
        <v/>
      </c>
      <c r="B55" s="287">
        <f>IFERROR(IF('Invullen groen'!L67&gt;0,'Invullen groen'!A67,""),"")</f>
        <v/>
      </c>
      <c r="C55" s="287">
        <f>IFERROR(IF('Invullen groen'!L67&gt;0,'Invullen groen'!G67,""),"")</f>
        <v/>
      </c>
      <c r="D55" s="364">
        <f>IFERROR(IF('Invullen groen'!L67&gt;0,'Invullen groen'!L67,""),"")</f>
        <v/>
      </c>
      <c r="F55" s="287" t="n"/>
      <c r="G55" s="287" t="n"/>
      <c r="H55" s="364" t="n"/>
    </row>
    <row r="56" ht="14" customHeight="1">
      <c r="A56" s="287">
        <f>IFERROR(IF('Invullen groen'!L68&gt;0,51,""),"")</f>
        <v/>
      </c>
      <c r="B56" s="287">
        <f>IFERROR(IF('Invullen groen'!L68&gt;0,'Invullen groen'!A68,""),"")</f>
        <v/>
      </c>
      <c r="C56" s="287">
        <f>IFERROR(IF('Invullen groen'!L68&gt;0,'Invullen groen'!G68,""),"")</f>
        <v/>
      </c>
      <c r="D56" s="364">
        <f>IFERROR(IF('Invullen groen'!L68&gt;0,'Invullen groen'!L68,""),"")</f>
        <v/>
      </c>
      <c r="F56" s="287" t="n"/>
      <c r="G56" s="287" t="n"/>
      <c r="H56" s="364" t="n"/>
    </row>
    <row r="57" ht="14" customHeight="1">
      <c r="A57" s="287">
        <f>IFERROR(IF('Invullen groen'!L69&gt;0,52,""),"")</f>
        <v/>
      </c>
      <c r="B57" s="287">
        <f>IFERROR(IF('Invullen groen'!L69&gt;0,'Invullen groen'!A69,""),"")</f>
        <v/>
      </c>
      <c r="C57" s="287">
        <f>IFERROR(IF('Invullen groen'!L69&gt;0,'Invullen groen'!G69,""),"")</f>
        <v/>
      </c>
      <c r="D57" s="364">
        <f>IFERROR(IF('Invullen groen'!L69&gt;0,'Invullen groen'!L69,""),"")</f>
        <v/>
      </c>
      <c r="F57" s="287" t="n"/>
      <c r="G57" s="287" t="n"/>
      <c r="H57" s="364" t="n"/>
    </row>
    <row r="58" ht="14" customHeight="1">
      <c r="A58" s="287">
        <f>IFERROR(IF('Invullen groen'!L70&gt;0,53,""),"")</f>
        <v/>
      </c>
      <c r="B58" s="287">
        <f>IFERROR(IF('Invullen groen'!L70&gt;0,'Invullen groen'!A70,""),"")</f>
        <v/>
      </c>
      <c r="C58" s="287">
        <f>IFERROR(IF('Invullen groen'!L70&gt;0,'Invullen groen'!G70,""),"")</f>
        <v/>
      </c>
      <c r="D58" s="364">
        <f>IFERROR(IF('Invullen groen'!L70&gt;0,'Invullen groen'!L70,""),"")</f>
        <v/>
      </c>
      <c r="F58" s="287" t="n"/>
      <c r="G58" s="287" t="n"/>
      <c r="H58" s="364" t="n"/>
    </row>
    <row r="59" ht="14" customHeight="1">
      <c r="A59" s="287">
        <f>IFERROR(IF('Invullen groen'!L71&gt;0,54,""),"")</f>
        <v/>
      </c>
      <c r="B59" s="287">
        <f>IFERROR(IF('Invullen groen'!L71&gt;0,'Invullen groen'!A71,""),"")</f>
        <v/>
      </c>
      <c r="C59" s="287">
        <f>IFERROR(IF('Invullen groen'!L71&gt;0,'Invullen groen'!G71,""),"")</f>
        <v/>
      </c>
      <c r="D59" s="364">
        <f>IFERROR(IF('Invullen groen'!L71&gt;0,'Invullen groen'!L71,""),"")</f>
        <v/>
      </c>
      <c r="F59" s="287" t="n"/>
      <c r="G59" s="287" t="n"/>
      <c r="H59" s="364" t="n"/>
    </row>
    <row r="60" ht="14" customHeight="1">
      <c r="A60" s="287">
        <f>IFERROR(IF('Invullen groen'!L72&gt;0,55,""),"")</f>
        <v/>
      </c>
      <c r="B60" s="287">
        <f>IFERROR(IF('Invullen groen'!L72&gt;0,'Invullen groen'!A72,""),"")</f>
        <v/>
      </c>
      <c r="C60" s="287">
        <f>IFERROR(IF('Invullen groen'!L72&gt;0,'Invullen groen'!G72,""),"")</f>
        <v/>
      </c>
      <c r="D60" s="364">
        <f>IFERROR(IF('Invullen groen'!L72&gt;0,'Invullen groen'!L72,""),"")</f>
        <v/>
      </c>
      <c r="F60" s="287" t="n"/>
      <c r="G60" s="287" t="n"/>
      <c r="H60" s="364" t="n"/>
    </row>
    <row r="61" ht="14" customHeight="1">
      <c r="A61" s="287">
        <f>IFERROR(IF('Invullen groen'!L73&gt;0,56,""),"")</f>
        <v/>
      </c>
      <c r="B61" s="287">
        <f>IFERROR(IF('Invullen groen'!L73&gt;0,'Invullen groen'!A73,""),"")</f>
        <v/>
      </c>
      <c r="C61" s="287">
        <f>IFERROR(IF('Invullen groen'!L73&gt;0,'Invullen groen'!G73,""),"")</f>
        <v/>
      </c>
      <c r="D61" s="364">
        <f>IFERROR(IF('Invullen groen'!L73&gt;0,'Invullen groen'!L73,""),"")</f>
        <v/>
      </c>
      <c r="F61" s="287" t="n"/>
      <c r="G61" s="287" t="n"/>
      <c r="H61" s="364" t="n"/>
    </row>
    <row r="62" ht="14" customHeight="1">
      <c r="A62" s="287">
        <f>IFERROR(IF('Invullen groen'!L74&gt;0,57,""),"")</f>
        <v/>
      </c>
      <c r="B62" s="287">
        <f>IFERROR(IF('Invullen groen'!L74&gt;0,'Invullen groen'!A74,""),"")</f>
        <v/>
      </c>
      <c r="C62" s="287">
        <f>IFERROR(IF('Invullen groen'!L74&gt;0,'Invullen groen'!G74,""),"")</f>
        <v/>
      </c>
      <c r="D62" s="364">
        <f>IFERROR(IF('Invullen groen'!L74&gt;0,'Invullen groen'!L74,""),"")</f>
        <v/>
      </c>
      <c r="F62" s="287" t="n"/>
      <c r="G62" s="287" t="n"/>
      <c r="H62" s="364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4" customHeight="1">
      <c r="A64" s="431" t="inlineStr">
        <is>
          <t>Totaal lasten</t>
        </is>
      </c>
      <c r="B64" s="287" t="n"/>
      <c r="C64" s="287" t="n"/>
      <c r="D64" s="432">
        <f>SUM(D6:D62)</f>
        <v/>
      </c>
      <c r="F64" s="431" t="inlineStr">
        <is>
          <t>Totaal dekking / baten</t>
        </is>
      </c>
      <c r="G64" s="287" t="n"/>
      <c r="H64" s="432">
        <f>SUM(H6:H62)</f>
        <v/>
      </c>
    </row>
    <row r="65" ht="14" customHeight="1">
      <c r="A65" s="433">
        <f>IF(D64+H64=0,"✓  Budgettair neutraal — saldo = 0","⚠  Niet gedekt — saldo: "&amp;TEXT(D64+H64,"#.##0"))</f>
        <v/>
      </c>
      <c r="B65" s="434" t="n"/>
      <c r="C65" s="434" t="n"/>
      <c r="D65" s="435" t="n"/>
      <c r="E65" s="394" t="n"/>
      <c r="F65" s="434" t="n"/>
      <c r="G65" s="434" t="n"/>
      <c r="H65" s="435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2026-06-26T11:02:29Z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