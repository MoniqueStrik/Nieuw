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56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  <font>
      <name val="Calibri"/>
      <b val="1"/>
      <color rgb="001A5FA8"/>
      <sz val="10"/>
    </font>
    <font>
      <name val="Calibri"/>
      <color rgb="001A5FA8"/>
      <sz val="9"/>
    </font>
    <font>
      <name val="Calibri"/>
      <i val="1"/>
      <color rgb="001A5FA8"/>
      <sz val="8"/>
    </font>
    <font>
      <name val="Calibri"/>
      <b val="1"/>
      <color rgb="007A5C00"/>
      <sz val="10"/>
    </font>
    <font>
      <name val="Calibri"/>
      <color rgb="007A5C00"/>
      <sz val="9"/>
    </font>
    <font>
      <name val="Calibri"/>
      <b val="1"/>
      <i val="1"/>
      <color rgb="007A5C00"/>
      <sz val="8"/>
    </font>
    <font>
      <name val="Calibri"/>
      <b val="1"/>
      <color rgb="001A5FA8"/>
      <sz val="9"/>
    </font>
    <font>
      <name val="Calibri"/>
      <color rgb="003A5270"/>
      <sz val="9"/>
    </font>
    <font>
      <name val="Calibri"/>
      <b val="1"/>
      <sz val="9"/>
    </font>
    <font>
      <name val="Calibri"/>
      <b val="1"/>
      <i val="1"/>
      <sz val="9"/>
    </font>
    <font>
      <name val="Calibri"/>
      <i val="1"/>
      <sz val="8"/>
    </font>
    <font>
      <name val="Calibri"/>
      <b val="1"/>
      <color rgb="FFFFFFFF"/>
      <sz val="9"/>
    </font>
    <font>
      <name val="Calibri"/>
      <b val="1"/>
      <color rgb="FFFFFFFF"/>
      <sz val="11"/>
    </font>
    <font>
      <name val="Calibri"/>
      <color rgb="FF000000"/>
      <sz val="9"/>
    </font>
    <font>
      <name val="Calibri"/>
      <i val="1"/>
      <color rgb="FF1A5FA8"/>
      <sz val="9"/>
    </font>
    <font>
      <name val="Calibri"/>
      <b val="1"/>
      <color rgb="FF1A5FA8"/>
      <sz val="9"/>
    </font>
    <font>
      <name val="Calibri"/>
      <b val="1"/>
      <color rgb="FF000000"/>
      <sz val="9"/>
    </font>
    <font>
      <name val="Calibri"/>
      <i val="1"/>
      <color rgb="FF888888"/>
      <sz val="9"/>
    </font>
    <font>
      <name val="Calibri"/>
      <b val="1"/>
      <i val="1"/>
      <color rgb="FF000000"/>
      <sz val="9"/>
    </font>
    <font>
      <name val="Calibri"/>
      <b val="1"/>
      <color rgb="FF1B5E20"/>
      <sz val="9"/>
    </font>
    <font>
      <name val="Calibri"/>
      <b val="1"/>
      <color rgb="FF7D5A00"/>
      <sz val="9"/>
    </font>
  </fonts>
  <fills count="34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  <fill>
      <patternFill patternType="solid">
        <fgColor rgb="00E4EDF8"/>
      </patternFill>
    </fill>
    <fill>
      <patternFill patternType="solid">
        <fgColor rgb="00FFF3CD"/>
      </patternFill>
    </fill>
    <fill>
      <patternFill patternType="solid">
        <fgColor rgb="00FFFF99"/>
        <bgColor rgb="00FFFF99"/>
      </patternFill>
    </fill>
    <fill>
      <patternFill patternType="solid">
        <fgColor rgb="FFFFFF99"/>
      </patternFill>
    </fill>
    <fill>
      <patternFill patternType="solid">
        <fgColor rgb="00D0E8F8"/>
      </patternFill>
    </fill>
    <fill>
      <patternFill patternType="solid">
        <fgColor rgb="00D8F0D8"/>
      </patternFill>
    </fill>
    <fill>
      <patternFill patternType="solid">
        <fgColor rgb="00E0E0E0"/>
      </patternFill>
    </fill>
    <fill>
      <patternFill patternType="solid">
        <fgColor rgb="00FFFF99"/>
      </patternFill>
    </fill>
    <fill>
      <patternFill patternType="solid">
        <fgColor rgb="FF0D1E35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1A5FA8"/>
      </patternFill>
    </fill>
    <fill>
      <patternFill patternType="solid">
        <fgColor rgb="FFE4EDF8"/>
      </patternFill>
    </fill>
    <fill>
      <patternFill patternType="solid">
        <fgColor rgb="FFE0E0E0"/>
      </patternFill>
    </fill>
    <fill>
      <patternFill patternType="solid">
        <fgColor rgb="FFE8F5E9"/>
      </patternFill>
    </fill>
    <fill>
      <patternFill patternType="solid">
        <fgColor rgb="FFFFF3CD"/>
      </patternFill>
    </fill>
    <fill>
      <patternFill patternType="solid">
        <fgColor rgb="FFDFF7DF"/>
      </patternFill>
    </fill>
  </fills>
  <borders count="29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  <border>
      <right/>
      <bottom style="thin">
        <color rgb="00C8D6E5"/>
      </bottom>
    </border>
    <border>
      <top style="thin">
        <color rgb="00C9A227"/>
      </top>
    </border>
    <border>
      <top style="thin">
        <color rgb="00C9A227"/>
      </top>
      <bottom style="thin">
        <color rgb="00C9A227"/>
      </bottom>
    </border>
    <border>
      <bottom style="thin">
        <color rgb="001A5FA8"/>
      </bottom>
    </border>
    <border>
      <top style="thin">
        <color rgb="00C8D6E5"/>
      </top>
      <bottom style="medium">
        <color rgb="001A5FA8"/>
      </bottom>
    </border>
    <border>
      <left/>
      <right/>
      <top/>
      <bottom style="thin">
        <color rgb="001A5FA8"/>
      </bottom>
      <diagonal/>
    </border>
    <border>
      <right/>
      <bottom style="thin">
        <color rgb="001A5FA8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483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  <xf numFmtId="0" fontId="34" fillId="11" borderId="1" applyAlignment="1" pivotButton="0" quotePrefix="0" xfId="0">
      <alignment horizontal="left"/>
    </xf>
    <xf numFmtId="0" fontId="34" fillId="11" borderId="1" applyAlignment="1" pivotButton="0" quotePrefix="0" xfId="0">
      <alignment horizontal="center"/>
    </xf>
    <xf numFmtId="0" fontId="34" fillId="11" borderId="4" pivotButton="0" quotePrefix="0" xfId="0"/>
    <xf numFmtId="0" fontId="34" fillId="11" borderId="1" pivotButton="0" quotePrefix="0" xfId="0"/>
    <xf numFmtId="0" fontId="34" fillId="11" borderId="1" applyAlignment="1" pivotButton="0" quotePrefix="0" xfId="0">
      <alignment horizontal="right"/>
    </xf>
    <xf numFmtId="0" fontId="34" fillId="11" borderId="0" pivotButton="0" quotePrefix="0" xfId="0"/>
    <xf numFmtId="0" fontId="38" fillId="18" borderId="22" applyAlignment="1" pivotButton="0" quotePrefix="0" xfId="0">
      <alignment horizontal="left"/>
    </xf>
    <xf numFmtId="0" fontId="38" fillId="18" borderId="22" applyAlignment="1" pivotButton="0" quotePrefix="0" xfId="0">
      <alignment horizontal="center"/>
    </xf>
    <xf numFmtId="0" fontId="38" fillId="18" borderId="22" pivotButton="0" quotePrefix="0" xfId="0"/>
    <xf numFmtId="0" fontId="38" fillId="18" borderId="22" applyAlignment="1" pivotButton="0" quotePrefix="0" xfId="0">
      <alignment horizontal="right"/>
    </xf>
    <xf numFmtId="0" fontId="28" fillId="10" borderId="1" applyAlignment="1" pivotButton="0" quotePrefix="0" xfId="0">
      <alignment horizontal="left"/>
    </xf>
    <xf numFmtId="0" fontId="28" fillId="10" borderId="1" applyAlignment="1" pivotButton="0" quotePrefix="0" xfId="0">
      <alignment horizontal="center"/>
    </xf>
    <xf numFmtId="0" fontId="28" fillId="10" borderId="4" pivotButton="0" quotePrefix="0" xfId="0"/>
    <xf numFmtId="0" fontId="28" fillId="10" borderId="1" pivotButton="0" quotePrefix="0" xfId="0"/>
    <xf numFmtId="0" fontId="28" fillId="10" borderId="1" applyAlignment="1" pivotButton="0" quotePrefix="0" xfId="0">
      <alignment horizontal="right"/>
    </xf>
    <xf numFmtId="0" fontId="28" fillId="10" borderId="0" pivotButton="0" quotePrefix="0" xfId="0"/>
    <xf numFmtId="0" fontId="35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1" applyAlignment="1" applyProtection="1" pivotButton="0" quotePrefix="0" xfId="0">
      <alignment horizontal="center"/>
      <protection locked="0" hidden="0"/>
    </xf>
    <xf numFmtId="0" fontId="36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3" applyAlignment="1" applyProtection="1" pivotButton="0" quotePrefix="0" xfId="0">
      <alignment horizontal="center"/>
      <protection locked="0" hidden="0"/>
    </xf>
    <xf numFmtId="0" fontId="36" fillId="17" borderId="4" applyAlignment="1" applyProtection="1" pivotButton="0" quotePrefix="0" xfId="0">
      <alignment horizontal="left" vertical="top" wrapText="1"/>
      <protection locked="0" hidden="0"/>
    </xf>
    <xf numFmtId="1" fontId="36" fillId="17" borderId="1" applyAlignment="1" applyProtection="1" pivotButton="0" quotePrefix="0" xfId="0">
      <alignment horizontal="center"/>
      <protection locked="0" hidden="0"/>
    </xf>
    <xf numFmtId="164" fontId="36" fillId="17" borderId="1" applyAlignment="1" applyProtection="1" pivotButton="0" quotePrefix="0" xfId="0">
      <alignment vertical="top" wrapText="1"/>
      <protection locked="0" hidden="0"/>
    </xf>
    <xf numFmtId="0" fontId="36" fillId="17" borderId="3" applyAlignment="1" applyProtection="1" pivotButton="0" quotePrefix="0" xfId="0">
      <alignment vertical="top" wrapText="1"/>
      <protection locked="0" hidden="0"/>
    </xf>
    <xf numFmtId="0" fontId="36" fillId="17" borderId="1" applyAlignment="1" applyProtection="1" pivotButton="0" quotePrefix="0" xfId="0">
      <alignment horizontal="right"/>
      <protection locked="0" hidden="0"/>
    </xf>
    <xf numFmtId="0" fontId="36" fillId="17" borderId="0" pivotButton="0" quotePrefix="0" xfId="0"/>
    <xf numFmtId="0" fontId="37" fillId="17" borderId="0" applyProtection="1" pivotButton="0" quotePrefix="0" xfId="0">
      <protection locked="0" hidden="0"/>
    </xf>
    <xf numFmtId="0" fontId="36" fillId="17" borderId="0" applyProtection="1" pivotButton="0" quotePrefix="0" xfId="0">
      <protection locked="0" hidden="0"/>
    </xf>
    <xf numFmtId="0" fontId="34" fillId="11" borderId="1" applyAlignment="1" applyProtection="1" pivotButton="0" quotePrefix="0" xfId="0">
      <alignment horizontal="left" vertical="top" wrapText="1"/>
      <protection locked="0" hidden="0"/>
    </xf>
    <xf numFmtId="0" fontId="34" fillId="11" borderId="1" applyAlignment="1" applyProtection="1" pivotButton="0" quotePrefix="0" xfId="0">
      <alignment horizontal="center"/>
      <protection locked="0" hidden="0"/>
    </xf>
    <xf numFmtId="0" fontId="34" fillId="11" borderId="3" applyAlignment="1" applyProtection="1" pivotButton="0" quotePrefix="0" xfId="0">
      <alignment horizontal="center"/>
      <protection locked="0" hidden="0"/>
    </xf>
    <xf numFmtId="0" fontId="34" fillId="11" borderId="4" applyAlignment="1" applyProtection="1" pivotButton="0" quotePrefix="0" xfId="0">
      <alignment horizontal="left" vertical="top" wrapText="1"/>
      <protection locked="0" hidden="0"/>
    </xf>
    <xf numFmtId="1" fontId="34" fillId="11" borderId="1" applyAlignment="1" applyProtection="1" pivotButton="0" quotePrefix="0" xfId="0">
      <alignment horizontal="center"/>
      <protection locked="0" hidden="0"/>
    </xf>
    <xf numFmtId="164" fontId="34" fillId="11" borderId="1" applyAlignment="1" applyProtection="1" pivotButton="0" quotePrefix="0" xfId="0">
      <alignment vertical="top" wrapText="1"/>
      <protection locked="0" hidden="0"/>
    </xf>
    <xf numFmtId="0" fontId="34" fillId="11" borderId="3" applyAlignment="1" applyProtection="1" pivotButton="0" quotePrefix="0" xfId="0">
      <alignment vertical="top" wrapText="1"/>
      <protection locked="0" hidden="0"/>
    </xf>
    <xf numFmtId="0" fontId="34" fillId="11" borderId="1" applyAlignment="1" applyProtection="1" pivotButton="0" quotePrefix="0" xfId="0">
      <alignment horizontal="right"/>
      <protection locked="0" hidden="0"/>
    </xf>
    <xf numFmtId="0" fontId="34" fillId="11" borderId="0" applyProtection="1" pivotButton="0" quotePrefix="0" xfId="0">
      <protection locked="0" hidden="0"/>
    </xf>
    <xf numFmtId="0" fontId="38" fillId="18" borderId="21" applyAlignment="1" applyProtection="1" pivotButton="0" quotePrefix="0" xfId="0">
      <alignment horizontal="left" vertical="top" wrapText="1"/>
      <protection locked="0" hidden="0"/>
    </xf>
    <xf numFmtId="0" fontId="39" fillId="18" borderId="21" applyAlignment="1" applyProtection="1" pivotButton="0" quotePrefix="0" xfId="0">
      <alignment horizontal="center"/>
      <protection locked="0" hidden="0"/>
    </xf>
    <xf numFmtId="0" fontId="39" fillId="18" borderId="21" applyAlignment="1" applyProtection="1" pivotButton="0" quotePrefix="0" xfId="0">
      <alignment horizontal="left" vertical="top" wrapText="1"/>
      <protection locked="0" hidden="0"/>
    </xf>
    <xf numFmtId="1" fontId="39" fillId="18" borderId="21" applyAlignment="1" applyProtection="1" pivotButton="0" quotePrefix="0" xfId="0">
      <alignment horizontal="center"/>
      <protection locked="0" hidden="0"/>
    </xf>
    <xf numFmtId="164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horizontal="right"/>
      <protection locked="0" hidden="0"/>
    </xf>
    <xf numFmtId="0" fontId="39" fillId="18" borderId="21" pivotButton="0" quotePrefix="0" xfId="0"/>
    <xf numFmtId="0" fontId="40" fillId="18" borderId="21" applyProtection="1" pivotButton="0" quotePrefix="0" xfId="0">
      <protection locked="0" hidden="0"/>
    </xf>
    <xf numFmtId="0" fontId="39" fillId="18" borderId="21" applyProtection="1" pivotButton="0" quotePrefix="0" xfId="0">
      <protection locked="0" hidden="0"/>
    </xf>
    <xf numFmtId="3" fontId="0" fillId="0" borderId="0" pivotButton="0" quotePrefix="0" xfId="0"/>
    <xf numFmtId="3" fontId="27" fillId="11" borderId="0" pivotButton="0" quotePrefix="0" xfId="0"/>
    <xf numFmtId="3" fontId="0" fillId="11" borderId="0" pivotButton="0" quotePrefix="0" xfId="0"/>
    <xf numFmtId="3" fontId="28" fillId="12" borderId="15" applyAlignment="1" pivotButton="0" quotePrefix="0" xfId="0">
      <alignment horizontal="right" vertical="center"/>
    </xf>
    <xf numFmtId="3" fontId="29" fillId="0" borderId="16" applyAlignment="1" pivotButton="0" quotePrefix="0" xfId="0">
      <alignment horizontal="right" vertical="center"/>
    </xf>
    <xf numFmtId="0" fontId="30" fillId="13" borderId="20" applyAlignment="1" pivotButton="0" quotePrefix="0" xfId="0">
      <alignment horizontal="left" vertical="center"/>
    </xf>
    <xf numFmtId="3" fontId="30" fillId="13" borderId="16" applyAlignment="1" pivotButton="0" quotePrefix="0" xfId="0">
      <alignment horizontal="right" vertical="center"/>
    </xf>
    <xf numFmtId="0" fontId="31" fillId="14" borderId="20" applyAlignment="1" pivotButton="0" quotePrefix="0" xfId="0">
      <alignment horizontal="left" vertical="center"/>
    </xf>
    <xf numFmtId="3" fontId="31" fillId="14" borderId="16" applyAlignment="1" pivotButton="0" quotePrefix="0" xfId="0">
      <alignment horizontal="right" vertical="center"/>
    </xf>
    <xf numFmtId="0" fontId="32" fillId="10" borderId="20" applyAlignment="1" pivotButton="0" quotePrefix="0" xfId="0">
      <alignment horizontal="left" vertical="center"/>
    </xf>
    <xf numFmtId="3" fontId="32" fillId="10" borderId="16" applyAlignment="1" pivotButton="0" quotePrefix="0" xfId="0">
      <alignment horizontal="right" vertical="center"/>
    </xf>
    <xf numFmtId="3" fontId="34" fillId="0" borderId="16" applyAlignment="1" pivotButton="0" quotePrefix="0" xfId="0">
      <alignment horizontal="right" vertical="center"/>
    </xf>
    <xf numFmtId="3" fontId="28" fillId="10" borderId="16" applyAlignment="1" pivotButton="0" quotePrefix="0" xfId="0">
      <alignment horizontal="right" vertical="center"/>
    </xf>
    <xf numFmtId="0" fontId="41" fillId="17" borderId="23" pivotButton="0" quotePrefix="0" xfId="0"/>
    <xf numFmtId="0" fontId="0" fillId="17" borderId="23" pivotButton="0" quotePrefix="0" xfId="0"/>
    <xf numFmtId="0" fontId="29" fillId="11" borderId="0" applyAlignment="1" pivotButton="0" quotePrefix="0" xfId="0">
      <alignment horizontal="left" vertical="center"/>
    </xf>
    <xf numFmtId="3" fontId="42" fillId="11" borderId="16" applyAlignment="1" pivotButton="0" quotePrefix="0" xfId="0">
      <alignment horizontal="right" vertical="center"/>
    </xf>
    <xf numFmtId="3" fontId="34" fillId="11" borderId="24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 wrapText="1"/>
    </xf>
    <xf numFmtId="3" fontId="30" fillId="13" borderId="17" applyAlignment="1" pivotButton="0" quotePrefix="0" xfId="0">
      <alignment horizontal="right" vertical="center"/>
    </xf>
    <xf numFmtId="3" fontId="31" fillId="14" borderId="18" applyAlignment="1" pivotButton="0" quotePrefix="0" xfId="0">
      <alignment horizontal="right" vertical="center"/>
    </xf>
    <xf numFmtId="0" fontId="0" fillId="0" borderId="25" pivotButton="0" quotePrefix="0" xfId="0"/>
    <xf numFmtId="0" fontId="29" fillId="11" borderId="19" applyAlignment="1" pivotButton="0" quotePrefix="0" xfId="0">
      <alignment horizontal="left" vertical="center"/>
    </xf>
    <xf numFmtId="3" fontId="0" fillId="19" borderId="19" applyProtection="1" pivotButton="0" quotePrefix="0" xfId="0">
      <protection locked="0" hidden="0"/>
    </xf>
    <xf numFmtId="0" fontId="41" fillId="17" borderId="26" pivotButton="0" quotePrefix="0" xfId="0"/>
    <xf numFmtId="0" fontId="0" fillId="19" borderId="19" applyProtection="1" pivotButton="0" quotePrefix="0" xfId="0">
      <protection locked="0" hidden="0"/>
    </xf>
    <xf numFmtId="3" fontId="0" fillId="20" borderId="19" applyProtection="1" pivotButton="0" quotePrefix="0" xfId="0">
      <protection locked="0" hidden="0"/>
    </xf>
    <xf numFmtId="0" fontId="43" fillId="23" borderId="0" applyAlignment="1" pivotButton="0" quotePrefix="0" xfId="0">
      <alignment horizontal="left"/>
    </xf>
    <xf numFmtId="0" fontId="4" fillId="23" borderId="0" applyAlignment="1" pivotButton="0" quotePrefix="0" xfId="0">
      <alignment horizontal="center"/>
    </xf>
    <xf numFmtId="0" fontId="4" fillId="23" borderId="0" pivotButton="0" quotePrefix="0" xfId="0"/>
    <xf numFmtId="0" fontId="7" fillId="23" borderId="0" pivotButton="0" quotePrefix="0" xfId="0"/>
    <xf numFmtId="0" fontId="43" fillId="23" borderId="0" applyAlignment="1" pivotButton="0" quotePrefix="0" xfId="0">
      <alignment horizontal="right"/>
    </xf>
    <xf numFmtId="0" fontId="4" fillId="23" borderId="0" applyAlignment="1" pivotButton="0" quotePrefix="0" xfId="0">
      <alignment horizontal="right"/>
    </xf>
    <xf numFmtId="0" fontId="2" fillId="23" borderId="0" pivotButton="0" quotePrefix="0" xfId="0"/>
    <xf numFmtId="0" fontId="0" fillId="23" borderId="0" pivotButton="0" quotePrefix="0" xfId="0"/>
    <xf numFmtId="0" fontId="41" fillId="21" borderId="1" applyAlignment="1" pivotButton="0" quotePrefix="0" xfId="0">
      <alignment horizontal="left"/>
    </xf>
    <xf numFmtId="0" fontId="41" fillId="21" borderId="1" applyAlignment="1" pivotButton="0" quotePrefix="0" xfId="0">
      <alignment horizontal="center"/>
    </xf>
    <xf numFmtId="0" fontId="41" fillId="21" borderId="4" pivotButton="0" quotePrefix="0" xfId="0"/>
    <xf numFmtId="0" fontId="41" fillId="21" borderId="1" pivotButton="0" quotePrefix="0" xfId="0"/>
    <xf numFmtId="0" fontId="41" fillId="21" borderId="1" applyAlignment="1" pivotButton="0" quotePrefix="0" xfId="0">
      <alignment horizontal="right"/>
    </xf>
    <xf numFmtId="0" fontId="41" fillId="21" borderId="0" pivotButton="0" quotePrefix="0" xfId="0"/>
    <xf numFmtId="0" fontId="41" fillId="22" borderId="1" applyAlignment="1" pivotButton="0" quotePrefix="0" xfId="0">
      <alignment horizontal="left"/>
    </xf>
    <xf numFmtId="0" fontId="41" fillId="22" borderId="1" applyAlignment="1" pivotButton="0" quotePrefix="0" xfId="0">
      <alignment horizontal="center"/>
    </xf>
    <xf numFmtId="0" fontId="41" fillId="22" borderId="4" pivotButton="0" quotePrefix="0" xfId="0"/>
    <xf numFmtId="0" fontId="41" fillId="22" borderId="1" pivotButton="0" quotePrefix="0" xfId="0"/>
    <xf numFmtId="0" fontId="41" fillId="22" borderId="1" applyAlignment="1" pivotButton="0" quotePrefix="0" xfId="0">
      <alignment horizontal="right"/>
    </xf>
    <xf numFmtId="0" fontId="41" fillId="22" borderId="0" pivotButton="0" quotePrefix="0" xfId="0"/>
    <xf numFmtId="0" fontId="43" fillId="3" borderId="0" applyAlignment="1" applyProtection="1" pivotButton="0" quotePrefix="0" xfId="0">
      <alignment horizontal="left" vertical="top" wrapText="1"/>
      <protection locked="0" hidden="0"/>
    </xf>
    <xf numFmtId="3" fontId="43" fillId="3" borderId="0" applyAlignment="1" applyProtection="1" pivotButton="0" quotePrefix="0" xfId="0">
      <alignment horizontal="right"/>
      <protection locked="0" hidden="0"/>
    </xf>
    <xf numFmtId="0" fontId="41" fillId="21" borderId="1" applyAlignment="1" applyProtection="1" pivotButton="0" quotePrefix="0" xfId="0">
      <alignment horizontal="left" vertical="top" wrapText="1"/>
      <protection locked="0" hidden="0"/>
    </xf>
    <xf numFmtId="0" fontId="41" fillId="21" borderId="1" applyAlignment="1" applyProtection="1" pivotButton="0" quotePrefix="0" xfId="0">
      <alignment horizontal="center"/>
      <protection locked="0" hidden="0"/>
    </xf>
    <xf numFmtId="0" fontId="41" fillId="21" borderId="1" applyAlignment="1" applyProtection="1" pivotButton="0" quotePrefix="0" xfId="0">
      <alignment horizontal="left"/>
      <protection locked="0" hidden="0"/>
    </xf>
    <xf numFmtId="0" fontId="41" fillId="21" borderId="3" applyAlignment="1" applyProtection="1" pivotButton="0" quotePrefix="0" xfId="0">
      <alignment horizontal="center"/>
      <protection locked="0" hidden="0"/>
    </xf>
    <xf numFmtId="0" fontId="41" fillId="21" borderId="4" applyAlignment="1" applyProtection="1" pivotButton="0" quotePrefix="0" xfId="0">
      <alignment horizontal="left" vertical="top" wrapText="1"/>
      <protection locked="0" hidden="0"/>
    </xf>
    <xf numFmtId="1" fontId="41" fillId="21" borderId="1" applyAlignment="1" applyProtection="1" pivotButton="0" quotePrefix="0" xfId="0">
      <alignment horizontal="center"/>
      <protection locked="0" hidden="0"/>
    </xf>
    <xf numFmtId="164" fontId="41" fillId="21" borderId="1" applyAlignment="1" applyProtection="1" pivotButton="0" quotePrefix="0" xfId="0">
      <alignment vertical="top" wrapText="1"/>
      <protection locked="0" hidden="0"/>
    </xf>
    <xf numFmtId="0" fontId="41" fillId="21" borderId="3" applyAlignment="1" applyProtection="1" pivotButton="0" quotePrefix="0" xfId="0">
      <alignment vertical="top" wrapText="1"/>
      <protection locked="0" hidden="0"/>
    </xf>
    <xf numFmtId="0" fontId="41" fillId="21" borderId="1" applyAlignment="1" applyProtection="1" pivotButton="0" quotePrefix="0" xfId="0">
      <alignment horizontal="right"/>
      <protection locked="0" hidden="0"/>
    </xf>
    <xf numFmtId="0" fontId="41" fillId="21" borderId="0" applyProtection="1" pivotButton="0" quotePrefix="0" xfId="0">
      <protection locked="0" hidden="0"/>
    </xf>
    <xf numFmtId="0" fontId="41" fillId="22" borderId="1" applyAlignment="1" applyProtection="1" pivotButton="0" quotePrefix="0" xfId="0">
      <alignment horizontal="left" vertical="top" wrapText="1"/>
      <protection locked="0" hidden="0"/>
    </xf>
    <xf numFmtId="0" fontId="41" fillId="22" borderId="1" applyAlignment="1" applyProtection="1" pivotButton="0" quotePrefix="0" xfId="0">
      <alignment horizontal="center"/>
      <protection locked="0" hidden="0"/>
    </xf>
    <xf numFmtId="0" fontId="41" fillId="22" borderId="3" applyAlignment="1" applyProtection="1" pivotButton="0" quotePrefix="0" xfId="0">
      <alignment horizontal="center"/>
      <protection locked="0" hidden="0"/>
    </xf>
    <xf numFmtId="0" fontId="41" fillId="22" borderId="4" applyAlignment="1" applyProtection="1" pivotButton="0" quotePrefix="0" xfId="0">
      <alignment horizontal="left" vertical="top" wrapText="1"/>
      <protection locked="0" hidden="0"/>
    </xf>
    <xf numFmtId="1" fontId="41" fillId="22" borderId="1" applyAlignment="1" applyProtection="1" pivotButton="0" quotePrefix="0" xfId="0">
      <alignment horizontal="center"/>
      <protection locked="0" hidden="0"/>
    </xf>
    <xf numFmtId="164" fontId="41" fillId="22" borderId="1" applyAlignment="1" applyProtection="1" pivotButton="0" quotePrefix="0" xfId="0">
      <alignment vertical="top" wrapText="1"/>
      <protection locked="0" hidden="0"/>
    </xf>
    <xf numFmtId="0" fontId="41" fillId="22" borderId="3" applyAlignment="1" applyProtection="1" pivotButton="0" quotePrefix="0" xfId="0">
      <alignment vertical="top" wrapText="1"/>
      <protection locked="0" hidden="0"/>
    </xf>
    <xf numFmtId="0" fontId="41" fillId="22" borderId="1" applyAlignment="1" applyProtection="1" pivotButton="0" quotePrefix="0" xfId="0">
      <alignment horizontal="right"/>
      <protection locked="0" hidden="0"/>
    </xf>
    <xf numFmtId="0" fontId="41" fillId="22" borderId="0" applyProtection="1" pivotButton="0" quotePrefix="0" xfId="0">
      <protection locked="0" hidden="0"/>
    </xf>
    <xf numFmtId="0" fontId="43" fillId="11" borderId="19" applyAlignment="1" pivotButton="0" quotePrefix="0" xfId="0">
      <alignment horizontal="left" vertical="center"/>
    </xf>
    <xf numFmtId="0" fontId="44" fillId="23" borderId="0" pivotButton="0" quotePrefix="0" xfId="0"/>
    <xf numFmtId="3" fontId="43" fillId="23" borderId="0" pivotButton="0" quotePrefix="0" xfId="0"/>
    <xf numFmtId="0" fontId="43" fillId="0" borderId="16" applyAlignment="1" pivotButton="0" quotePrefix="0" xfId="0">
      <alignment horizontal="left" vertical="center"/>
    </xf>
    <xf numFmtId="3" fontId="43" fillId="0" borderId="16" applyAlignment="1" pivotButton="0" quotePrefix="0" xfId="0">
      <alignment horizontal="right" vertical="center"/>
    </xf>
    <xf numFmtId="0" fontId="43" fillId="23" borderId="16" applyAlignment="1" pivotButton="0" quotePrefix="0" xfId="0">
      <alignment horizontal="left" vertical="center"/>
    </xf>
    <xf numFmtId="0" fontId="29" fillId="23" borderId="16" applyAlignment="1" pivotButton="0" quotePrefix="0" xfId="0">
      <alignment horizontal="left" vertical="center"/>
    </xf>
    <xf numFmtId="3" fontId="29" fillId="23" borderId="16" applyAlignment="1" pivotButton="0" quotePrefix="0" xfId="0">
      <alignment horizontal="right" vertical="center"/>
    </xf>
    <xf numFmtId="0" fontId="45" fillId="0" borderId="16" applyAlignment="1" pivotButton="0" quotePrefix="0" xfId="0">
      <alignment horizontal="left" vertical="center"/>
    </xf>
    <xf numFmtId="0" fontId="43" fillId="11" borderId="19" applyAlignment="1" pivotButton="0" quotePrefix="0" xfId="0">
      <alignment horizontal="left" vertical="center" wrapText="1"/>
    </xf>
    <xf numFmtId="3" fontId="0" fillId="24" borderId="27" applyAlignment="1" applyProtection="1" pivotButton="0" quotePrefix="0" xfId="0">
      <alignment horizontal="right" vertical="center"/>
      <protection locked="0" hidden="0"/>
    </xf>
    <xf numFmtId="0" fontId="54" fillId="31" borderId="1" applyAlignment="1" applyProtection="1" pivotButton="0" quotePrefix="0" xfId="0">
      <alignment horizontal="left" vertical="top" wrapText="1"/>
      <protection locked="0" hidden="0"/>
    </xf>
    <xf numFmtId="0" fontId="54" fillId="31" borderId="1" applyAlignment="1" applyProtection="1" pivotButton="0" quotePrefix="0" xfId="0">
      <alignment horizontal="center"/>
      <protection locked="0" hidden="0"/>
    </xf>
    <xf numFmtId="0" fontId="54" fillId="31" borderId="3" applyAlignment="1" applyProtection="1" pivotButton="0" quotePrefix="0" xfId="0">
      <alignment horizontal="center"/>
      <protection locked="0" hidden="0"/>
    </xf>
    <xf numFmtId="0" fontId="54" fillId="31" borderId="4" applyAlignment="1" applyProtection="1" pivotButton="0" quotePrefix="0" xfId="0">
      <alignment horizontal="left" vertical="top" wrapText="1"/>
      <protection locked="0" hidden="0"/>
    </xf>
    <xf numFmtId="1" fontId="54" fillId="31" borderId="1" applyAlignment="1" applyProtection="1" pivotButton="0" quotePrefix="0" xfId="0">
      <alignment horizontal="center"/>
      <protection locked="0" hidden="0"/>
    </xf>
    <xf numFmtId="164" fontId="54" fillId="31" borderId="1" applyAlignment="1" applyProtection="1" pivotButton="0" quotePrefix="0" xfId="0">
      <alignment vertical="top" wrapText="1"/>
      <protection locked="0" hidden="0"/>
    </xf>
    <xf numFmtId="0" fontId="54" fillId="31" borderId="3" applyAlignment="1" applyProtection="1" pivotButton="0" quotePrefix="0" xfId="0">
      <alignment vertical="top" wrapText="1"/>
      <protection locked="0" hidden="0"/>
    </xf>
    <xf numFmtId="0" fontId="54" fillId="31" borderId="1" applyAlignment="1" applyProtection="1" pivotButton="0" quotePrefix="0" xfId="0">
      <alignment horizontal="right"/>
      <protection locked="0" hidden="0"/>
    </xf>
    <xf numFmtId="0" fontId="54" fillId="31" borderId="0" pivotButton="0" quotePrefix="0" xfId="0"/>
    <xf numFmtId="0" fontId="54" fillId="31" borderId="0" applyProtection="1" pivotButton="0" quotePrefix="0" xfId="0">
      <protection locked="0" hidden="0"/>
    </xf>
    <xf numFmtId="0" fontId="4" fillId="33" borderId="1" applyAlignment="1" applyProtection="1" pivotButton="0" quotePrefix="0" xfId="0">
      <alignment horizontal="center"/>
      <protection locked="0" hidden="0"/>
    </xf>
    <xf numFmtId="0" fontId="4" fillId="33" borderId="1" applyAlignment="1" applyProtection="1" pivotButton="0" quotePrefix="0" xfId="0">
      <alignment horizontal="right"/>
      <protection locked="0" hidden="0"/>
    </xf>
    <xf numFmtId="0" fontId="4" fillId="33" borderId="2" applyAlignment="1" applyProtection="1" pivotButton="0" quotePrefix="0" xfId="0">
      <alignment horizontal="right"/>
      <protection locked="0" hidden="0"/>
    </xf>
    <xf numFmtId="0" fontId="55" fillId="32" borderId="21" applyAlignment="1" applyProtection="1" pivotButton="0" quotePrefix="0" xfId="0">
      <alignment horizontal="left" vertical="top" wrapText="1"/>
      <protection locked="0" hidden="0"/>
    </xf>
    <xf numFmtId="0" fontId="55" fillId="32" borderId="21" applyAlignment="1" applyProtection="1" pivotButton="0" quotePrefix="0" xfId="0">
      <alignment horizontal="center"/>
      <protection locked="0" hidden="0"/>
    </xf>
    <xf numFmtId="1" fontId="55" fillId="32" borderId="21" applyAlignment="1" applyProtection="1" pivotButton="0" quotePrefix="0" xfId="0">
      <alignment horizontal="center"/>
      <protection locked="0" hidden="0"/>
    </xf>
    <xf numFmtId="164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horizontal="right"/>
      <protection locked="0" hidden="0"/>
    </xf>
    <xf numFmtId="0" fontId="55" fillId="32" borderId="21" pivotButton="0" quotePrefix="0" xfId="0"/>
    <xf numFmtId="0" fontId="55" fillId="32" borderId="21" applyProtection="1" pivotButton="0" quotePrefix="0" xfId="0">
      <protection locked="0" hidden="0"/>
    </xf>
    <xf numFmtId="0" fontId="47" fillId="25" borderId="0" applyAlignment="1" pivotButton="0" quotePrefix="0" xfId="0">
      <alignment horizontal="left" vertical="center"/>
    </xf>
    <xf numFmtId="0" fontId="46" fillId="25" borderId="0" applyAlignment="1" pivotButton="0" quotePrefix="0" xfId="0">
      <alignment horizontal="left" vertical="center"/>
    </xf>
    <xf numFmtId="0" fontId="49" fillId="26" borderId="0" applyAlignment="1" pivotButton="0" quotePrefix="0" xfId="0">
      <alignment horizontal="left" vertical="center"/>
    </xf>
    <xf numFmtId="0" fontId="48" fillId="26" borderId="0" applyAlignment="1" pivotButton="0" quotePrefix="0" xfId="0">
      <alignment horizontal="left" vertical="center"/>
    </xf>
    <xf numFmtId="0" fontId="0" fillId="27" borderId="0" pivotButton="0" quotePrefix="0" xfId="0"/>
    <xf numFmtId="0" fontId="46" fillId="28" borderId="28" applyAlignment="1" pivotButton="0" quotePrefix="0" xfId="0">
      <alignment horizontal="left" vertical="center"/>
    </xf>
    <xf numFmtId="0" fontId="46" fillId="28" borderId="28" applyAlignment="1" pivotButton="0" quotePrefix="0" xfId="0">
      <alignment horizontal="center" vertical="center"/>
    </xf>
    <xf numFmtId="0" fontId="48" fillId="26" borderId="28" applyAlignment="1" pivotButton="0" quotePrefix="0" xfId="0">
      <alignment horizontal="left" vertical="center"/>
    </xf>
    <xf numFmtId="3" fontId="48" fillId="26" borderId="28" applyAlignment="1" pivotButton="0" quotePrefix="0" xfId="0">
      <alignment horizontal="right" vertical="center"/>
    </xf>
    <xf numFmtId="0" fontId="48" fillId="27" borderId="28" applyAlignment="1" pivotButton="0" quotePrefix="0" xfId="0">
      <alignment horizontal="left" vertical="center"/>
    </xf>
    <xf numFmtId="3" fontId="48" fillId="27" borderId="28" applyAlignment="1" pivotButton="0" quotePrefix="0" xfId="0">
      <alignment horizontal="right" vertical="center"/>
    </xf>
    <xf numFmtId="0" fontId="46" fillId="25" borderId="28" applyAlignment="1" pivotButton="0" quotePrefix="0" xfId="0">
      <alignment horizontal="left" vertical="center"/>
    </xf>
    <xf numFmtId="3" fontId="46" fillId="25" borderId="28" applyAlignment="1" pivotButton="0" quotePrefix="0" xfId="0">
      <alignment horizontal="right" vertical="center"/>
    </xf>
    <xf numFmtId="0" fontId="50" fillId="29" borderId="26" applyAlignment="1" pivotButton="0" quotePrefix="0" xfId="0">
      <alignment horizontal="left" vertical="center"/>
    </xf>
    <xf numFmtId="0" fontId="50" fillId="29" borderId="25" applyAlignment="1" pivotButton="0" quotePrefix="0" xfId="0">
      <alignment horizontal="left" vertical="center"/>
    </xf>
    <xf numFmtId="0" fontId="51" fillId="26" borderId="19" applyAlignment="1" pivotButton="0" quotePrefix="0" xfId="0">
      <alignment horizontal="left" vertical="center"/>
    </xf>
    <xf numFmtId="3" fontId="48" fillId="20" borderId="28" applyAlignment="1" applyProtection="1" pivotButton="0" quotePrefix="0" xfId="0">
      <alignment horizontal="right" vertical="center"/>
      <protection locked="0" hidden="0"/>
    </xf>
    <xf numFmtId="0" fontId="51" fillId="26" borderId="0" applyAlignment="1" pivotButton="0" quotePrefix="0" xfId="0">
      <alignment horizontal="left" vertical="center"/>
    </xf>
    <xf numFmtId="3" fontId="51" fillId="26" borderId="28" applyAlignment="1" pivotButton="0" quotePrefix="0" xfId="0">
      <alignment horizontal="right" vertical="center"/>
    </xf>
    <xf numFmtId="0" fontId="52" fillId="27" borderId="0" applyAlignment="1" pivotButton="0" quotePrefix="0" xfId="0">
      <alignment horizontal="left" vertical="center"/>
    </xf>
    <xf numFmtId="0" fontId="53" fillId="30" borderId="0" applyAlignment="1" pivotButton="0" quotePrefix="0" xfId="0">
      <alignment horizontal="left" vertical="center"/>
    </xf>
    <xf numFmtId="3" fontId="51" fillId="30" borderId="28" applyAlignment="1" pivotButton="0" quotePrefix="0" xfId="0">
      <alignment horizontal="right" vertical="center"/>
    </xf>
    <xf numFmtId="0" fontId="0" fillId="30" borderId="0" pivotButton="0" quotePrefix="0" xfId="0"/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8.5" customHeight="1">
      <c r="A1" s="188">
        <f>+'Invullen groen'!A4</f>
        <v/>
      </c>
      <c r="B1" s="45" t="n"/>
      <c r="F1" s="8">
        <f>+'Invullen groen'!M4</f>
        <v/>
      </c>
      <c r="G1" s="7">
        <f>+'Invullen groen'!N4</f>
        <v/>
      </c>
      <c r="H1" s="7">
        <f>+'Invullen groen'!O4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>
      <c r="A2" s="11">
        <f>+'Invullen groen'!A5</f>
        <v/>
      </c>
      <c r="B2" s="6">
        <f>+'Invullen groen'!C5</f>
        <v/>
      </c>
      <c r="F2" s="8">
        <f>+'Invullen groen'!M5</f>
        <v/>
      </c>
      <c r="G2" s="8">
        <f>+'Invullen groen'!N5</f>
        <v/>
      </c>
      <c r="H2" s="8">
        <f>+'Invullen groen'!O5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groen'!M6</f>
        <v/>
      </c>
      <c r="G3" s="7">
        <f>+'Invullen groen'!N6</f>
        <v/>
      </c>
      <c r="H3" s="7">
        <f>+'Invullen groen'!O6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groen'!L4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groen'!I5</f>
        <v/>
      </c>
      <c r="E7" s="7">
        <f>+'Invullen groen'!L5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groen'!L6</f>
        <v/>
      </c>
      <c r="F10" s="8">
        <f>+'Invullen groen'!M7</f>
        <v/>
      </c>
      <c r="G10" s="7">
        <f>+'Invullen groen'!N7</f>
        <v/>
      </c>
      <c r="H10" s="7">
        <f>+'Invullen groen'!O7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groen'!L7</f>
        <v/>
      </c>
      <c r="F11" s="8">
        <f>+'Invullen groen'!M8</f>
        <v/>
      </c>
      <c r="G11" s="7">
        <f>+'Invullen groen'!N8</f>
        <v/>
      </c>
      <c r="H11" s="7">
        <f>+'Invullen groen'!O8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groen'!I9</f>
        <v/>
      </c>
      <c r="E12" s="8">
        <f>+'Invullen groen'!L9</f>
        <v/>
      </c>
      <c r="F12" s="8">
        <f>+'Invullen groen'!M9</f>
        <v/>
      </c>
      <c r="G12" s="7">
        <f>+'Invullen groen'!N9</f>
        <v/>
      </c>
      <c r="H12" s="7">
        <f>+'Invullen groen'!O9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groen'!I10</f>
        <v/>
      </c>
      <c r="E13" s="8">
        <f>+'Invullen groen'!L10</f>
        <v/>
      </c>
      <c r="F13" s="8">
        <f>+'Invullen groen'!M10</f>
        <v/>
      </c>
      <c r="G13" s="7">
        <f>+'Invullen groen'!N10</f>
        <v/>
      </c>
      <c r="H13" s="7">
        <f>+'Invullen groen'!O10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groen'!I11</f>
        <v/>
      </c>
      <c r="E14" s="8">
        <f>+'Invullen groen'!L11</f>
        <v/>
      </c>
      <c r="F14" s="8">
        <f>+'Invullen groen'!M11</f>
        <v/>
      </c>
      <c r="G14" s="8">
        <f>+'Invullen groen'!N11</f>
        <v/>
      </c>
      <c r="H14" s="7">
        <f>+'Invullen groen'!O11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groen'!I12</f>
        <v/>
      </c>
      <c r="E15" s="8">
        <f>+'Invullen groen'!L12</f>
        <v/>
      </c>
      <c r="F15" s="8">
        <f>+'Invullen groen'!M12</f>
        <v/>
      </c>
      <c r="G15" s="8">
        <f>+'Invullen groen'!N12</f>
        <v/>
      </c>
      <c r="H15" s="7">
        <f>+'Invullen groen'!O12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>
      <c r="A16" s="12">
        <f>+'Invullen groen'!A13</f>
        <v/>
      </c>
      <c r="B16" s="46">
        <f>+'Invullen groen'!C13</f>
        <v/>
      </c>
      <c r="C16" s="13" t="inlineStr">
        <is>
          <t>Omschrijving boekingspost</t>
        </is>
      </c>
      <c r="D16" s="13">
        <f>+'Invullen groen'!I13</f>
        <v/>
      </c>
      <c r="E16" s="14">
        <f>+'Invullen groen'!L13</f>
        <v/>
      </c>
      <c r="F16" s="14">
        <f>+'Invullen groen'!M13</f>
        <v/>
      </c>
      <c r="G16" s="14">
        <f>+'Invullen groen'!N13</f>
        <v/>
      </c>
      <c r="H16" s="14">
        <f>+'Invullen groen'!O13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>
      <c r="A17" s="12">
        <f>+'Invullen groen'!A14</f>
        <v/>
      </c>
      <c r="B17" s="46">
        <f>+'Invullen groen'!C14</f>
        <v/>
      </c>
      <c r="C17" s="25">
        <f>+'Invullen groen'!G14</f>
        <v/>
      </c>
      <c r="D17" s="13">
        <f>+'Invullen groen'!I14</f>
        <v/>
      </c>
      <c r="E17" s="14">
        <f>+'Invullen groen'!L14</f>
        <v/>
      </c>
      <c r="F17" s="14">
        <f>+'Invullen groen'!M14</f>
        <v/>
      </c>
      <c r="G17" s="14">
        <f>+'Invullen groen'!N14</f>
        <v/>
      </c>
      <c r="H17" s="14">
        <f>+'Invullen groen'!O14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groen'!I15</f>
        <v/>
      </c>
      <c r="E18" s="18">
        <f>+'Invullen groen'!L15</f>
        <v/>
      </c>
      <c r="F18" s="18">
        <f>+'Invullen groen'!M15</f>
        <v/>
      </c>
      <c r="G18" s="18">
        <f>+'Invullen groen'!N15</f>
        <v/>
      </c>
      <c r="H18" s="18">
        <f>+'Invullen groen'!O15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5" customHeight="1">
      <c r="A19" s="19">
        <f>+'Invullen groen'!A16</f>
        <v/>
      </c>
      <c r="B19" s="47">
        <f>+'Invullen groen'!C16</f>
        <v/>
      </c>
      <c r="C19" s="27">
        <f>+'Invullen groen'!G16</f>
        <v/>
      </c>
      <c r="D19" s="17">
        <f>+'Invullen groen'!I16</f>
        <v/>
      </c>
      <c r="E19" s="18">
        <f>+'Invullen groen'!L16</f>
        <v/>
      </c>
      <c r="F19" s="18">
        <f>+'Invullen groen'!M16</f>
        <v/>
      </c>
      <c r="G19" s="18">
        <f>+'Invullen groen'!N16</f>
        <v/>
      </c>
      <c r="H19" s="18">
        <f>+'Invullen groen'!O16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15">
        <f>+'Invullen groen'!A17</f>
        <v/>
      </c>
      <c r="B20" s="16">
        <f>+'Invullen groen'!C17</f>
        <v/>
      </c>
      <c r="C20" s="27">
        <f>+'Invullen groen'!G17</f>
        <v/>
      </c>
      <c r="D20" s="17">
        <f>+'Invullen groen'!I17</f>
        <v/>
      </c>
      <c r="E20" s="18">
        <f>+'Invullen groen'!L17</f>
        <v/>
      </c>
      <c r="F20" s="18">
        <f>+'Invullen groen'!M17</f>
        <v/>
      </c>
      <c r="G20" s="18">
        <f>+'Invullen groen'!N17</f>
        <v/>
      </c>
      <c r="H20" s="18">
        <f>+'Invullen groen'!O17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15">
        <f>+'Invullen groen'!A18</f>
        <v/>
      </c>
      <c r="B21" s="16">
        <f>+'Invullen groen'!C18</f>
        <v/>
      </c>
      <c r="C21" s="27">
        <f>+'Invullen groen'!G18</f>
        <v/>
      </c>
      <c r="D21" s="17">
        <f>+'Invullen groen'!I18</f>
        <v/>
      </c>
      <c r="E21" s="18">
        <f>+'Invullen groen'!L18</f>
        <v/>
      </c>
      <c r="F21" s="18">
        <f>+'Invullen groen'!M18</f>
        <v/>
      </c>
      <c r="G21" s="18">
        <f>+'Invullen groen'!N18</f>
        <v/>
      </c>
      <c r="H21" s="18">
        <f>+'Invullen groen'!O18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15">
        <f>+'Invullen groen'!A19</f>
        <v/>
      </c>
      <c r="B22" s="16">
        <f>+'Invullen groen'!C19</f>
        <v/>
      </c>
      <c r="C22" s="27">
        <f>+'Invullen groen'!G19</f>
        <v/>
      </c>
      <c r="D22" s="17">
        <f>+'Invullen groen'!I19</f>
        <v/>
      </c>
      <c r="E22" s="18">
        <f>+'Invullen groen'!L19</f>
        <v/>
      </c>
      <c r="F22" s="18">
        <f>+'Invullen groen'!M19</f>
        <v/>
      </c>
      <c r="G22" s="18">
        <f>+'Invullen groen'!N19</f>
        <v/>
      </c>
      <c r="H22" s="18">
        <f>+'Invullen groen'!O19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15">
        <f>+'Invullen groen'!A20</f>
        <v/>
      </c>
      <c r="B23" s="16">
        <f>+'Invullen groen'!C20</f>
        <v/>
      </c>
      <c r="C23" s="27">
        <f>+'Invullen groen'!G20</f>
        <v/>
      </c>
      <c r="D23" s="17">
        <f>+'Invullen groen'!I20</f>
        <v/>
      </c>
      <c r="E23" s="18">
        <f>+'Invullen groen'!L20</f>
        <v/>
      </c>
      <c r="F23" s="18">
        <f>+'Invullen groen'!M20</f>
        <v/>
      </c>
      <c r="G23" s="18">
        <f>+'Invullen groen'!N20</f>
        <v/>
      </c>
      <c r="H23" s="18">
        <f>+'Invullen groen'!O20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15">
        <f>+'Invullen groen'!A21</f>
        <v/>
      </c>
      <c r="B24" s="16">
        <f>+'Invullen groen'!C21</f>
        <v/>
      </c>
      <c r="C24" s="27">
        <f>+'Invullen groen'!G21</f>
        <v/>
      </c>
      <c r="D24" s="17">
        <f>+'Invullen groen'!I21</f>
        <v/>
      </c>
      <c r="E24" s="18">
        <f>+'Invullen groen'!L21</f>
        <v/>
      </c>
      <c r="F24" s="18">
        <f>+'Invullen groen'!M21</f>
        <v/>
      </c>
      <c r="G24" s="18">
        <f>+'Invullen groen'!N21</f>
        <v/>
      </c>
      <c r="H24" s="18">
        <f>+'Invullen groen'!O21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15">
        <f>+'Invullen groen'!A22</f>
        <v/>
      </c>
      <c r="B25" s="16">
        <f>+'Invullen groen'!C22</f>
        <v/>
      </c>
      <c r="C25" s="27">
        <f>+'Invullen groen'!G22</f>
        <v/>
      </c>
      <c r="D25" s="17">
        <f>+'Invullen groen'!I22</f>
        <v/>
      </c>
      <c r="E25" s="18">
        <f>+'Invullen groen'!L22</f>
        <v/>
      </c>
      <c r="F25" s="18">
        <f>+'Invullen groen'!M22</f>
        <v/>
      </c>
      <c r="G25" s="18">
        <f>+'Invullen groen'!N22</f>
        <v/>
      </c>
      <c r="H25" s="18">
        <f>+'Invullen groen'!O22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15">
        <f>+'Invullen groen'!A23</f>
        <v/>
      </c>
      <c r="B26" s="16">
        <f>+'Invullen groen'!C23</f>
        <v/>
      </c>
      <c r="C26" s="27">
        <f>+'Invullen groen'!G23</f>
        <v/>
      </c>
      <c r="D26" s="17">
        <f>+'Invullen groen'!I23</f>
        <v/>
      </c>
      <c r="E26" s="18">
        <f>+'Invullen groen'!L23</f>
        <v/>
      </c>
      <c r="F26" s="18">
        <f>+'Invullen groen'!M23</f>
        <v/>
      </c>
      <c r="G26" s="18">
        <f>+'Invullen groen'!N23</f>
        <v/>
      </c>
      <c r="H26" s="18">
        <f>+'Invullen groen'!O23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15">
        <f>+'Invullen groen'!A24</f>
        <v/>
      </c>
      <c r="B27" s="16">
        <f>+'Invullen groen'!C24</f>
        <v/>
      </c>
      <c r="C27" s="27">
        <f>+'Invullen groen'!G24</f>
        <v/>
      </c>
      <c r="D27" s="17">
        <f>+'Invullen groen'!I24</f>
        <v/>
      </c>
      <c r="E27" s="18">
        <f>+'Invullen groen'!L24</f>
        <v/>
      </c>
      <c r="F27" s="18">
        <f>+'Invullen groen'!M24</f>
        <v/>
      </c>
      <c r="G27" s="18">
        <f>+'Invullen groen'!N24</f>
        <v/>
      </c>
      <c r="H27" s="18">
        <f>+'Invullen groen'!O24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15">
        <f>+'Invullen groen'!A25</f>
        <v/>
      </c>
      <c r="B28" s="16">
        <f>+'Invullen groen'!C25</f>
        <v/>
      </c>
      <c r="C28" s="27">
        <f>+'Invullen groen'!G25</f>
        <v/>
      </c>
      <c r="D28" s="17">
        <f>+'Invullen groen'!I25</f>
        <v/>
      </c>
      <c r="E28" s="18">
        <f>+'Invullen groen'!L25</f>
        <v/>
      </c>
      <c r="F28" s="18">
        <f>+'Invullen groen'!M25</f>
        <v/>
      </c>
      <c r="G28" s="18">
        <f>+'Invullen groen'!N25</f>
        <v/>
      </c>
      <c r="H28" s="18">
        <f>+'Invullen groen'!O25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15">
        <f>+'Invullen groen'!A26</f>
        <v/>
      </c>
      <c r="B29" s="16">
        <f>+'Invullen groen'!C26</f>
        <v/>
      </c>
      <c r="C29" s="27">
        <f>+'Invullen groen'!G26</f>
        <v/>
      </c>
      <c r="D29" s="17">
        <f>+'Invullen groen'!I26</f>
        <v/>
      </c>
      <c r="E29" s="18">
        <f>+'Invullen groen'!L26</f>
        <v/>
      </c>
      <c r="F29" s="18">
        <f>+'Invullen groen'!M26</f>
        <v/>
      </c>
      <c r="G29" s="18">
        <f>+'Invullen groen'!N26</f>
        <v/>
      </c>
      <c r="H29" s="18">
        <f>+'Invullen groen'!O26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15">
        <f>+'Invullen groen'!A27</f>
        <v/>
      </c>
      <c r="B30" s="16">
        <f>+'Invullen groen'!C27</f>
        <v/>
      </c>
      <c r="C30" s="27">
        <f>+'Invullen groen'!G27</f>
        <v/>
      </c>
      <c r="D30" s="17">
        <f>+'Invullen groen'!I27</f>
        <v/>
      </c>
      <c r="E30" s="18">
        <f>+'Invullen groen'!L27</f>
        <v/>
      </c>
      <c r="F30" s="18">
        <f>+'Invullen groen'!M27</f>
        <v/>
      </c>
      <c r="G30" s="18">
        <f>+'Invullen groen'!N27</f>
        <v/>
      </c>
      <c r="H30" s="18">
        <f>+'Invullen groen'!O27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15">
        <f>+'Invullen groen'!A28</f>
        <v/>
      </c>
      <c r="B31" s="16">
        <f>+'Invullen groen'!C28</f>
        <v/>
      </c>
      <c r="C31" s="27">
        <f>+'Invullen groen'!G28</f>
        <v/>
      </c>
      <c r="D31" s="17">
        <f>+'Invullen groen'!I28</f>
        <v/>
      </c>
      <c r="E31" s="18">
        <f>+'Invullen groen'!L28</f>
        <v/>
      </c>
      <c r="F31" s="18">
        <f>+'Invullen groen'!M28</f>
        <v/>
      </c>
      <c r="G31" s="18">
        <f>+'Invullen groen'!N28</f>
        <v/>
      </c>
      <c r="H31" s="18">
        <f>+'Invullen groen'!O28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15">
        <f>+'Invullen groen'!A29</f>
        <v/>
      </c>
      <c r="B32" s="16">
        <f>+'Invullen groen'!C29</f>
        <v/>
      </c>
      <c r="C32" s="27">
        <f>+'Invullen groen'!G29</f>
        <v/>
      </c>
      <c r="D32" s="17">
        <f>+'Invullen groen'!I29</f>
        <v/>
      </c>
      <c r="E32" s="18">
        <f>+'Invullen groen'!L29</f>
        <v/>
      </c>
      <c r="F32" s="18">
        <f>+'Invullen groen'!M29</f>
        <v/>
      </c>
      <c r="G32" s="18">
        <f>+'Invullen groen'!N29</f>
        <v/>
      </c>
      <c r="H32" s="18">
        <f>+'Invullen groen'!O29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15">
        <f>+'Invullen groen'!A30</f>
        <v/>
      </c>
      <c r="B33" s="16">
        <f>+'Invullen groen'!C30</f>
        <v/>
      </c>
      <c r="C33" s="27">
        <f>+'Invullen groen'!G30</f>
        <v/>
      </c>
      <c r="D33" s="17">
        <f>+'Invullen groen'!I30</f>
        <v/>
      </c>
      <c r="E33" s="18">
        <f>+'Invullen groen'!L30</f>
        <v/>
      </c>
      <c r="F33" s="18">
        <f>+'Invullen groen'!M30</f>
        <v/>
      </c>
      <c r="G33" s="18">
        <f>+'Invullen groen'!N30</f>
        <v/>
      </c>
      <c r="H33" s="18">
        <f>+'Invullen groen'!O30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15">
        <f>+'Invullen groen'!A31</f>
        <v/>
      </c>
      <c r="B34" s="16">
        <f>+'Invullen groen'!C31</f>
        <v/>
      </c>
      <c r="C34" s="27">
        <f>+'Invullen groen'!G31</f>
        <v/>
      </c>
      <c r="D34" s="17">
        <f>+'Invullen groen'!I31</f>
        <v/>
      </c>
      <c r="E34" s="18">
        <f>+'Invullen groen'!L31</f>
        <v/>
      </c>
      <c r="F34" s="18">
        <f>+'Invullen groen'!M31</f>
        <v/>
      </c>
      <c r="G34" s="18">
        <f>+'Invullen groen'!N31</f>
        <v/>
      </c>
      <c r="H34" s="18">
        <f>+'Invullen groen'!O31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15">
        <f>+'Invullen groen'!A32</f>
        <v/>
      </c>
      <c r="B35" s="16">
        <f>+'Invullen groen'!C32</f>
        <v/>
      </c>
      <c r="C35" s="27">
        <f>+'Invullen groen'!G32</f>
        <v/>
      </c>
      <c r="D35" s="17">
        <f>+'Invullen groen'!I32</f>
        <v/>
      </c>
      <c r="E35" s="18">
        <f>+'Invullen groen'!L32</f>
        <v/>
      </c>
      <c r="F35" s="18">
        <f>+'Invullen groen'!M32</f>
        <v/>
      </c>
      <c r="G35" s="18">
        <f>+'Invullen groen'!N32</f>
        <v/>
      </c>
      <c r="H35" s="18">
        <f>+'Invullen groen'!O32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15">
        <f>+'Invullen groen'!A33</f>
        <v/>
      </c>
      <c r="B36" s="16">
        <f>+'Invullen groen'!C33</f>
        <v/>
      </c>
      <c r="C36" s="27">
        <f>+'Invullen groen'!G33</f>
        <v/>
      </c>
      <c r="D36" s="17">
        <f>+'Invullen groen'!I33</f>
        <v/>
      </c>
      <c r="E36" s="18">
        <f>+'Invullen groen'!L33</f>
        <v/>
      </c>
      <c r="F36" s="18">
        <f>+'Invullen groen'!M33</f>
        <v/>
      </c>
      <c r="G36" s="18">
        <f>+'Invullen groen'!N33</f>
        <v/>
      </c>
      <c r="H36" s="18">
        <f>+'Invullen groen'!O33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15">
        <f>+'Invullen groen'!A34</f>
        <v/>
      </c>
      <c r="B37" s="16">
        <f>+'Invullen groen'!C34</f>
        <v/>
      </c>
      <c r="C37" s="27">
        <f>+'Invullen groen'!G34</f>
        <v/>
      </c>
      <c r="D37" s="17">
        <f>+'Invullen groen'!I34</f>
        <v/>
      </c>
      <c r="E37" s="18">
        <f>+'Invullen groen'!L34</f>
        <v/>
      </c>
      <c r="F37" s="18">
        <f>+'Invullen groen'!M34</f>
        <v/>
      </c>
      <c r="G37" s="18">
        <f>+'Invullen groen'!N34</f>
        <v/>
      </c>
      <c r="H37" s="18">
        <f>+'Invullen groen'!O34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15">
        <f>+'Invullen groen'!A35</f>
        <v/>
      </c>
      <c r="B38" s="16">
        <f>+'Invullen groen'!C35</f>
        <v/>
      </c>
      <c r="C38" s="27">
        <f>+'Invullen groen'!G35</f>
        <v/>
      </c>
      <c r="D38" s="17">
        <f>+'Invullen groen'!I35</f>
        <v/>
      </c>
      <c r="E38" s="18">
        <f>+'Invullen groen'!L35</f>
        <v/>
      </c>
      <c r="F38" s="18">
        <f>+'Invullen groen'!M35</f>
        <v/>
      </c>
      <c r="G38" s="18">
        <f>+'Invullen groen'!N35</f>
        <v/>
      </c>
      <c r="H38" s="18">
        <f>+'Invullen groen'!O35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15">
        <f>+'Invullen groen'!A36</f>
        <v/>
      </c>
      <c r="B39" s="16">
        <f>+'Invullen groen'!C36</f>
        <v/>
      </c>
      <c r="C39" s="27">
        <f>+'Invullen groen'!G36</f>
        <v/>
      </c>
      <c r="D39" s="17">
        <f>+'Invullen groen'!I36</f>
        <v/>
      </c>
      <c r="E39" s="18">
        <f>+'Invullen groen'!L36</f>
        <v/>
      </c>
      <c r="F39" s="18">
        <f>+'Invullen groen'!M36</f>
        <v/>
      </c>
      <c r="G39" s="18">
        <f>+'Invullen groen'!N36</f>
        <v/>
      </c>
      <c r="H39" s="18">
        <f>+'Invullen groen'!O36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15">
        <f>+'Invullen groen'!A37</f>
        <v/>
      </c>
      <c r="B40" s="16">
        <f>+'Invullen groen'!C37</f>
        <v/>
      </c>
      <c r="C40" s="27">
        <f>+'Invullen groen'!G37</f>
        <v/>
      </c>
      <c r="D40" s="17">
        <f>+'Invullen groen'!I37</f>
        <v/>
      </c>
      <c r="E40" s="18">
        <f>+'Invullen groen'!L37</f>
        <v/>
      </c>
      <c r="F40" s="18">
        <f>+'Invullen groen'!M37</f>
        <v/>
      </c>
      <c r="G40" s="18">
        <f>+'Invullen groen'!N37</f>
        <v/>
      </c>
      <c r="H40" s="18">
        <f>+'Invullen groen'!O37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15">
        <f>+'Invullen groen'!A38</f>
        <v/>
      </c>
      <c r="B41" s="16">
        <f>+'Invullen groen'!C38</f>
        <v/>
      </c>
      <c r="C41" s="27">
        <f>+'Invullen groen'!G38</f>
        <v/>
      </c>
      <c r="D41" s="17">
        <f>+'Invullen groen'!I38</f>
        <v/>
      </c>
      <c r="E41" s="18">
        <f>+'Invullen groen'!L38</f>
        <v/>
      </c>
      <c r="F41" s="18">
        <f>+'Invullen groen'!M38</f>
        <v/>
      </c>
      <c r="G41" s="18">
        <f>+'Invullen groen'!N38</f>
        <v/>
      </c>
      <c r="H41" s="18">
        <f>+'Invullen groen'!O38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15">
        <f>+'Invullen groen'!A39</f>
        <v/>
      </c>
      <c r="B42" s="16">
        <f>+'Invullen groen'!C39</f>
        <v/>
      </c>
      <c r="C42" s="27">
        <f>+'Invullen groen'!G39</f>
        <v/>
      </c>
      <c r="D42" s="17">
        <f>+'Invullen groen'!I39</f>
        <v/>
      </c>
      <c r="E42" s="18">
        <f>+'Invullen groen'!L39</f>
        <v/>
      </c>
      <c r="F42" s="18">
        <f>+'Invullen groen'!M39</f>
        <v/>
      </c>
      <c r="G42" s="18">
        <f>+'Invullen groen'!N39</f>
        <v/>
      </c>
      <c r="H42" s="18">
        <f>+'Invullen groen'!O39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15">
        <f>+'Invullen groen'!A40</f>
        <v/>
      </c>
      <c r="B43" s="16">
        <f>+'Invullen groen'!C40</f>
        <v/>
      </c>
      <c r="C43" s="27">
        <f>+'Invullen groen'!G40</f>
        <v/>
      </c>
      <c r="D43" s="17">
        <f>+'Invullen groen'!I40</f>
        <v/>
      </c>
      <c r="E43" s="18">
        <f>+'Invullen groen'!L40</f>
        <v/>
      </c>
      <c r="F43" s="18">
        <f>+'Invullen groen'!M40</f>
        <v/>
      </c>
      <c r="G43" s="18">
        <f>+'Invullen groen'!N40</f>
        <v/>
      </c>
      <c r="H43" s="18">
        <f>+'Invullen groen'!O40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15">
        <f>+'Invullen groen'!A41</f>
        <v/>
      </c>
      <c r="B44" s="16">
        <f>+'Invullen groen'!C41</f>
        <v/>
      </c>
      <c r="C44" s="27">
        <f>+'Invullen groen'!G41</f>
        <v/>
      </c>
      <c r="D44" s="17">
        <f>+'Invullen groen'!I41</f>
        <v/>
      </c>
      <c r="E44" s="18">
        <f>+'Invullen groen'!L41</f>
        <v/>
      </c>
      <c r="F44" s="18">
        <f>+'Invullen groen'!M41</f>
        <v/>
      </c>
      <c r="G44" s="18">
        <f>+'Invullen groen'!N41</f>
        <v/>
      </c>
      <c r="H44" s="18">
        <f>+'Invullen groen'!O41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15">
        <f>+'Invullen groen'!A42</f>
        <v/>
      </c>
      <c r="B45" s="16">
        <f>+'Invullen groen'!C42</f>
        <v/>
      </c>
      <c r="C45" s="27">
        <f>+'Invullen groen'!G42</f>
        <v/>
      </c>
      <c r="D45" s="17">
        <f>+'Invullen groen'!I42</f>
        <v/>
      </c>
      <c r="E45" s="18">
        <f>+'Invullen groen'!L42</f>
        <v/>
      </c>
      <c r="F45" s="18">
        <f>+'Invullen groen'!M42</f>
        <v/>
      </c>
      <c r="G45" s="18">
        <f>+'Invullen groen'!N42</f>
        <v/>
      </c>
      <c r="H45" s="18">
        <f>+'Invullen groen'!O42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15">
        <f>+'Invullen groen'!A43</f>
        <v/>
      </c>
      <c r="B46" s="16">
        <f>+'Invullen groen'!C43</f>
        <v/>
      </c>
      <c r="C46" s="27">
        <f>+'Invullen groen'!G43</f>
        <v/>
      </c>
      <c r="D46" s="17">
        <f>+'Invullen groen'!I43</f>
        <v/>
      </c>
      <c r="E46" s="18">
        <f>+'Invullen groen'!L43</f>
        <v/>
      </c>
      <c r="F46" s="18">
        <f>+'Invullen groen'!M43</f>
        <v/>
      </c>
      <c r="G46" s="18">
        <f>+'Invullen groen'!N43</f>
        <v/>
      </c>
      <c r="H46" s="18">
        <f>+'Invullen groen'!O43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15">
        <f>+'Invullen groen'!A44</f>
        <v/>
      </c>
      <c r="B47" s="16">
        <f>+'Invullen groen'!C44</f>
        <v/>
      </c>
      <c r="C47" s="27">
        <f>+'Invullen groen'!G44</f>
        <v/>
      </c>
      <c r="D47" s="17">
        <f>+'Invullen groen'!I44</f>
        <v/>
      </c>
      <c r="E47" s="18">
        <f>+'Invullen groen'!L44</f>
        <v/>
      </c>
      <c r="F47" s="18">
        <f>+'Invullen groen'!M44</f>
        <v/>
      </c>
      <c r="G47" s="18">
        <f>+'Invullen groen'!N44</f>
        <v/>
      </c>
      <c r="H47" s="18">
        <f>+'Invullen groen'!O44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15">
        <f>+'Invullen groen'!A45</f>
        <v/>
      </c>
      <c r="B48" s="16">
        <f>+'Invullen groen'!C45</f>
        <v/>
      </c>
      <c r="C48" s="27">
        <f>+'Invullen groen'!G45</f>
        <v/>
      </c>
      <c r="D48" s="17">
        <f>+'Invullen groen'!I45</f>
        <v/>
      </c>
      <c r="E48" s="18">
        <f>+'Invullen groen'!L45</f>
        <v/>
      </c>
      <c r="F48" s="18">
        <f>+'Invullen groen'!M45</f>
        <v/>
      </c>
      <c r="G48" s="18">
        <f>+'Invullen groen'!N45</f>
        <v/>
      </c>
      <c r="H48" s="18">
        <f>+'Invullen groen'!O45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15">
        <f>+'Invullen groen'!A46</f>
        <v/>
      </c>
      <c r="B49" s="16">
        <f>+'Invullen groen'!C46</f>
        <v/>
      </c>
      <c r="C49" s="27">
        <f>+'Invullen groen'!G46</f>
        <v/>
      </c>
      <c r="D49" s="17">
        <f>+'Invullen groen'!I46</f>
        <v/>
      </c>
      <c r="E49" s="18">
        <f>+'Invullen groen'!L46</f>
        <v/>
      </c>
      <c r="F49" s="18">
        <f>+'Invullen groen'!M46</f>
        <v/>
      </c>
      <c r="G49" s="18">
        <f>+'Invullen groen'!N46</f>
        <v/>
      </c>
      <c r="H49" s="18">
        <f>+'Invullen groen'!O46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15">
        <f>+'Invullen groen'!A47</f>
        <v/>
      </c>
      <c r="B50" s="16">
        <f>+'Invullen groen'!C47</f>
        <v/>
      </c>
      <c r="C50" s="27">
        <f>+'Invullen groen'!G47</f>
        <v/>
      </c>
      <c r="D50" s="17">
        <f>+'Invullen groen'!I47</f>
        <v/>
      </c>
      <c r="E50" s="18">
        <f>+'Invullen groen'!L47</f>
        <v/>
      </c>
      <c r="F50" s="18">
        <f>+'Invullen groen'!M47</f>
        <v/>
      </c>
      <c r="G50" s="18">
        <f>+'Invullen groen'!N47</f>
        <v/>
      </c>
      <c r="H50" s="18">
        <f>+'Invullen groen'!O47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15">
        <f>+'Invullen groen'!A48</f>
        <v/>
      </c>
      <c r="B51" s="16">
        <f>+'Invullen groen'!C48</f>
        <v/>
      </c>
      <c r="C51" s="27">
        <f>+'Invullen groen'!G48</f>
        <v/>
      </c>
      <c r="D51" s="17">
        <f>+'Invullen groen'!I48</f>
        <v/>
      </c>
      <c r="E51" s="18">
        <f>+'Invullen groen'!L48</f>
        <v/>
      </c>
      <c r="F51" s="18">
        <f>+'Invullen groen'!M48</f>
        <v/>
      </c>
      <c r="G51" s="18">
        <f>+'Invullen groen'!N48</f>
        <v/>
      </c>
      <c r="H51" s="18">
        <f>+'Invullen groen'!O48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15">
        <f>+'Invullen groen'!A49</f>
        <v/>
      </c>
      <c r="B52" s="16">
        <f>+'Invullen groen'!C49</f>
        <v/>
      </c>
      <c r="C52" s="27">
        <f>+'Invullen groen'!G49</f>
        <v/>
      </c>
      <c r="D52" s="17">
        <f>+'Invullen groen'!I49</f>
        <v/>
      </c>
      <c r="E52" s="18">
        <f>+'Invullen groen'!L49</f>
        <v/>
      </c>
      <c r="F52" s="18">
        <f>+'Invullen groen'!M49</f>
        <v/>
      </c>
      <c r="G52" s="18">
        <f>+'Invullen groen'!N49</f>
        <v/>
      </c>
      <c r="H52" s="18">
        <f>+'Invullen groen'!O49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15">
        <f>+'Invullen groen'!A50</f>
        <v/>
      </c>
      <c r="B53" s="16">
        <f>+'Invullen groen'!C50</f>
        <v/>
      </c>
      <c r="C53" s="27">
        <f>+'Invullen groen'!G50</f>
        <v/>
      </c>
      <c r="D53" s="17">
        <f>+'Invullen groen'!I50</f>
        <v/>
      </c>
      <c r="E53" s="18">
        <f>+'Invullen groen'!L50</f>
        <v/>
      </c>
      <c r="F53" s="18">
        <f>+'Invullen groen'!M50</f>
        <v/>
      </c>
      <c r="G53" s="18">
        <f>+'Invullen groen'!N50</f>
        <v/>
      </c>
      <c r="H53" s="18">
        <f>+'Invullen groen'!O50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15">
        <f>+'Invullen groen'!A51</f>
        <v/>
      </c>
      <c r="B54" s="16">
        <f>+'Invullen groen'!C51</f>
        <v/>
      </c>
      <c r="C54" s="27">
        <f>+'Invullen groen'!G51</f>
        <v/>
      </c>
      <c r="D54" s="17">
        <f>+'Invullen groen'!I51</f>
        <v/>
      </c>
      <c r="E54" s="18">
        <f>+'Invullen groen'!L51</f>
        <v/>
      </c>
      <c r="F54" s="18">
        <f>+'Invullen groen'!M51</f>
        <v/>
      </c>
      <c r="G54" s="18">
        <f>+'Invullen groen'!N51</f>
        <v/>
      </c>
      <c r="H54" s="18">
        <f>+'Invullen groen'!O51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15">
        <f>+'Invullen groen'!A52</f>
        <v/>
      </c>
      <c r="B55" s="16">
        <f>+'Invullen groen'!C52</f>
        <v/>
      </c>
      <c r="C55" s="27">
        <f>+'Invullen groen'!G52</f>
        <v/>
      </c>
      <c r="D55" s="17">
        <f>+'Invullen groen'!I52</f>
        <v/>
      </c>
      <c r="E55" s="18">
        <f>+'Invullen groen'!L52</f>
        <v/>
      </c>
      <c r="F55" s="18">
        <f>+'Invullen groen'!M52</f>
        <v/>
      </c>
      <c r="G55" s="18">
        <f>+'Invullen groen'!N52</f>
        <v/>
      </c>
      <c r="H55" s="18">
        <f>+'Invullen groen'!O52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15">
        <f>+'Invullen groen'!A53</f>
        <v/>
      </c>
      <c r="B56" s="16">
        <f>+'Invullen groen'!C53</f>
        <v/>
      </c>
      <c r="C56" s="27">
        <f>+'Invullen groen'!G53</f>
        <v/>
      </c>
      <c r="D56" s="17">
        <f>+'Invullen groen'!I53</f>
        <v/>
      </c>
      <c r="E56" s="18">
        <f>+'Invullen groen'!L53</f>
        <v/>
      </c>
      <c r="F56" s="18">
        <f>+'Invullen groen'!M53</f>
        <v/>
      </c>
      <c r="G56" s="18">
        <f>+'Invullen groen'!N53</f>
        <v/>
      </c>
      <c r="H56" s="18">
        <f>+'Invullen groen'!O53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15">
        <f>+'Invullen groen'!A54</f>
        <v/>
      </c>
      <c r="B57" s="16">
        <f>+'Invullen groen'!C54</f>
        <v/>
      </c>
      <c r="C57" s="27">
        <f>+'Invullen groen'!G54</f>
        <v/>
      </c>
      <c r="D57" s="17">
        <f>+'Invullen groen'!I54</f>
        <v/>
      </c>
      <c r="E57" s="18">
        <f>+'Invullen groen'!L54</f>
        <v/>
      </c>
      <c r="F57" s="18">
        <f>+'Invullen groen'!M54</f>
        <v/>
      </c>
      <c r="G57" s="18">
        <f>+'Invullen groen'!N54</f>
        <v/>
      </c>
      <c r="H57" s="18">
        <f>+'Invullen groen'!O54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15">
        <f>+'Invullen groen'!A55</f>
        <v/>
      </c>
      <c r="B58" s="16">
        <f>+'Invullen groen'!C55</f>
        <v/>
      </c>
      <c r="C58" s="27">
        <f>+'Invullen groen'!G55</f>
        <v/>
      </c>
      <c r="D58" s="17">
        <f>+'Invullen groen'!I55</f>
        <v/>
      </c>
      <c r="E58" s="18">
        <f>+'Invullen groen'!L55</f>
        <v/>
      </c>
      <c r="F58" s="18">
        <f>+'Invullen groen'!M55</f>
        <v/>
      </c>
      <c r="G58" s="18">
        <f>+'Invullen groen'!N55</f>
        <v/>
      </c>
      <c r="H58" s="18">
        <f>+'Invullen groen'!O55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15">
        <f>+'Invullen groen'!A56</f>
        <v/>
      </c>
      <c r="B59" s="16">
        <f>+'Invullen groen'!C56</f>
        <v/>
      </c>
      <c r="C59" s="27">
        <f>+'Invullen groen'!G56</f>
        <v/>
      </c>
      <c r="D59" s="17">
        <f>+'Invullen groen'!I56</f>
        <v/>
      </c>
      <c r="E59" s="18">
        <f>+'Invullen groen'!L56</f>
        <v/>
      </c>
      <c r="F59" s="18">
        <f>+'Invullen groen'!M56</f>
        <v/>
      </c>
      <c r="G59" s="18">
        <f>+'Invullen groen'!N56</f>
        <v/>
      </c>
      <c r="H59" s="18">
        <f>+'Invullen groen'!O56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15">
        <f>+'Invullen groen'!A57</f>
        <v/>
      </c>
      <c r="B60" s="16">
        <f>+'Invullen groen'!C57</f>
        <v/>
      </c>
      <c r="C60" s="27">
        <f>+'Invullen groen'!G57</f>
        <v/>
      </c>
      <c r="D60" s="17">
        <f>+'Invullen groen'!I57</f>
        <v/>
      </c>
      <c r="E60" s="18">
        <f>+'Invullen groen'!L57</f>
        <v/>
      </c>
      <c r="F60" s="18">
        <f>+'Invullen groen'!M57</f>
        <v/>
      </c>
      <c r="G60" s="18">
        <f>+'Invullen groen'!N57</f>
        <v/>
      </c>
      <c r="H60" s="18">
        <f>+'Invullen groen'!O57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15">
        <f>+'Invullen groen'!A58</f>
        <v/>
      </c>
      <c r="B61" s="16">
        <f>+'Invullen groen'!C58</f>
        <v/>
      </c>
      <c r="C61" s="27">
        <f>+'Invullen groen'!G58</f>
        <v/>
      </c>
      <c r="D61" s="17">
        <f>+'Invullen groen'!I58</f>
        <v/>
      </c>
      <c r="E61" s="18">
        <f>+'Invullen groen'!L58</f>
        <v/>
      </c>
      <c r="F61" s="18">
        <f>+'Invullen groen'!M58</f>
        <v/>
      </c>
      <c r="G61" s="18">
        <f>+'Invullen groen'!N58</f>
        <v/>
      </c>
      <c r="H61" s="18">
        <f>+'Invullen groen'!O58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15">
        <f>+'Invullen groen'!A59</f>
        <v/>
      </c>
      <c r="B62" s="16">
        <f>+'Invullen groen'!C59</f>
        <v/>
      </c>
      <c r="C62" s="27">
        <f>+'Invullen groen'!G59</f>
        <v/>
      </c>
      <c r="D62" s="17">
        <f>+'Invullen groen'!I59</f>
        <v/>
      </c>
      <c r="E62" s="18">
        <f>+'Invullen groen'!L59</f>
        <v/>
      </c>
      <c r="F62" s="18">
        <f>+'Invullen groen'!M59</f>
        <v/>
      </c>
      <c r="G62" s="18">
        <f>+'Invullen groen'!N59</f>
        <v/>
      </c>
      <c r="H62" s="18">
        <f>+'Invullen groen'!O59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15">
        <f>+'Invullen groen'!A60</f>
        <v/>
      </c>
      <c r="B63" s="16">
        <f>+'Invullen groen'!C60</f>
        <v/>
      </c>
      <c r="C63" s="27">
        <f>+'Invullen groen'!G60</f>
        <v/>
      </c>
      <c r="D63" s="17">
        <f>+'Invullen groen'!I60</f>
        <v/>
      </c>
      <c r="E63" s="18">
        <f>+'Invullen groen'!L60</f>
        <v/>
      </c>
      <c r="F63" s="18">
        <f>+'Invullen groen'!M60</f>
        <v/>
      </c>
      <c r="G63" s="18">
        <f>+'Invullen groen'!N60</f>
        <v/>
      </c>
      <c r="H63" s="18">
        <f>+'Invullen groen'!O60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15">
        <f>+'Invullen groen'!A61</f>
        <v/>
      </c>
      <c r="B64" s="16">
        <f>+'Invullen groen'!C61</f>
        <v/>
      </c>
      <c r="C64" s="27">
        <f>+'Invullen groen'!G61</f>
        <v/>
      </c>
      <c r="D64" s="17">
        <f>+'Invullen groen'!I61</f>
        <v/>
      </c>
      <c r="E64" s="18">
        <f>+'Invullen groen'!L61</f>
        <v/>
      </c>
      <c r="F64" s="18">
        <f>+'Invullen groen'!M61</f>
        <v/>
      </c>
      <c r="G64" s="18">
        <f>+'Invullen groen'!N61</f>
        <v/>
      </c>
      <c r="H64" s="18">
        <f>+'Invullen groen'!O61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15">
        <f>+'Invullen groen'!A62</f>
        <v/>
      </c>
      <c r="B65" s="16">
        <f>+'Invullen groen'!C62</f>
        <v/>
      </c>
      <c r="C65" s="27">
        <f>+'Invullen groen'!G62</f>
        <v/>
      </c>
      <c r="D65" s="17">
        <f>+'Invullen groen'!I62</f>
        <v/>
      </c>
      <c r="E65" s="18">
        <f>+'Invullen groen'!L62</f>
        <v/>
      </c>
      <c r="F65" s="18">
        <f>+'Invullen groen'!M62</f>
        <v/>
      </c>
      <c r="G65" s="18">
        <f>+'Invullen groen'!N62</f>
        <v/>
      </c>
      <c r="H65" s="18">
        <f>+'Invullen groen'!O62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15">
        <f>+'Invullen groen'!A63</f>
        <v/>
      </c>
      <c r="B66" s="16">
        <f>+'Invullen groen'!C63</f>
        <v/>
      </c>
      <c r="C66" s="27">
        <f>+'Invullen groen'!G63</f>
        <v/>
      </c>
      <c r="D66" s="17">
        <f>+'Invullen groen'!I63</f>
        <v/>
      </c>
      <c r="E66" s="18">
        <f>+'Invullen groen'!L63</f>
        <v/>
      </c>
      <c r="F66" s="18">
        <f>+'Invullen groen'!M63</f>
        <v/>
      </c>
      <c r="G66" s="18">
        <f>+'Invullen groen'!N63</f>
        <v/>
      </c>
      <c r="H66" s="18">
        <f>+'Invullen groen'!O63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15">
        <f>+'Invullen groen'!A64</f>
        <v/>
      </c>
      <c r="B67" s="16">
        <f>+'Invullen groen'!C64</f>
        <v/>
      </c>
      <c r="C67" s="27">
        <f>+'Invullen groen'!G64</f>
        <v/>
      </c>
      <c r="D67" s="17">
        <f>+'Invullen groen'!I64</f>
        <v/>
      </c>
      <c r="E67" s="18">
        <f>+'Invullen groen'!L64</f>
        <v/>
      </c>
      <c r="F67" s="18">
        <f>+'Invullen groen'!M64</f>
        <v/>
      </c>
      <c r="G67" s="18">
        <f>+'Invullen groen'!N64</f>
        <v/>
      </c>
      <c r="H67" s="18">
        <f>+'Invullen groen'!O64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15">
        <f>+'Invullen groen'!A65</f>
        <v/>
      </c>
      <c r="B68" s="16">
        <f>+'Invullen groen'!C65</f>
        <v/>
      </c>
      <c r="C68" s="27">
        <f>+'Invullen groen'!G65</f>
        <v/>
      </c>
      <c r="D68" s="17">
        <f>+'Invullen groen'!I65</f>
        <v/>
      </c>
      <c r="E68" s="18">
        <f>+'Invullen groen'!L65</f>
        <v/>
      </c>
      <c r="F68" s="18">
        <f>+'Invullen groen'!M65</f>
        <v/>
      </c>
      <c r="G68" s="18">
        <f>+'Invullen groen'!N65</f>
        <v/>
      </c>
      <c r="H68" s="18">
        <f>+'Invullen groen'!O65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15">
        <f>+'Invullen groen'!A66</f>
        <v/>
      </c>
      <c r="B69" s="16">
        <f>+'Invullen groen'!C66</f>
        <v/>
      </c>
      <c r="C69" s="27">
        <f>+'Invullen groen'!G66</f>
        <v/>
      </c>
      <c r="D69" s="17">
        <f>+'Invullen groen'!I66</f>
        <v/>
      </c>
      <c r="E69" s="18">
        <f>+'Invullen groen'!L66</f>
        <v/>
      </c>
      <c r="F69" s="18">
        <f>+'Invullen groen'!M66</f>
        <v/>
      </c>
      <c r="G69" s="18">
        <f>+'Invullen groen'!N66</f>
        <v/>
      </c>
      <c r="H69" s="18">
        <f>+'Invullen groen'!O66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15">
        <f>+'Invullen groen'!A67</f>
        <v/>
      </c>
      <c r="B70" s="16">
        <f>+'Invullen groen'!C67</f>
        <v/>
      </c>
      <c r="C70" s="27">
        <f>+'Invullen groen'!G67</f>
        <v/>
      </c>
      <c r="D70" s="17">
        <f>+'Invullen groen'!I67</f>
        <v/>
      </c>
      <c r="E70" s="18">
        <f>+'Invullen groen'!L67</f>
        <v/>
      </c>
      <c r="F70" s="18">
        <f>+'Invullen groen'!M67</f>
        <v/>
      </c>
      <c r="G70" s="18">
        <f>+'Invullen groen'!N67</f>
        <v/>
      </c>
      <c r="H70" s="18">
        <f>+'Invullen groen'!O67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15">
        <f>+'Invullen groen'!A68</f>
        <v/>
      </c>
      <c r="B71" s="16">
        <f>+'Invullen groen'!C68</f>
        <v/>
      </c>
      <c r="C71" s="27">
        <f>+'Invullen groen'!G68</f>
        <v/>
      </c>
      <c r="D71" s="17">
        <f>+'Invullen groen'!I68</f>
        <v/>
      </c>
      <c r="E71" s="18">
        <f>+'Invullen groen'!L68</f>
        <v/>
      </c>
      <c r="F71" s="18">
        <f>+'Invullen groen'!M68</f>
        <v/>
      </c>
      <c r="G71" s="18">
        <f>+'Invullen groen'!N68</f>
        <v/>
      </c>
      <c r="H71" s="18">
        <f>+'Invullen groen'!O68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15">
        <f>+'Invullen groen'!A69</f>
        <v/>
      </c>
      <c r="B72" s="16">
        <f>+'Invullen groen'!C69</f>
        <v/>
      </c>
      <c r="C72" s="27">
        <f>+'Invullen groen'!G69</f>
        <v/>
      </c>
      <c r="D72" s="17">
        <f>+'Invullen groen'!I69</f>
        <v/>
      </c>
      <c r="E72" s="18">
        <f>+'Invullen groen'!L69</f>
        <v/>
      </c>
      <c r="F72" s="18">
        <f>+'Invullen groen'!M69</f>
        <v/>
      </c>
      <c r="G72" s="18">
        <f>+'Invullen groen'!N69</f>
        <v/>
      </c>
      <c r="H72" s="18">
        <f>+'Invullen groen'!O69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15">
        <f>+'Invullen groen'!A70</f>
        <v/>
      </c>
      <c r="B73" s="16">
        <f>+'Invullen groen'!C70</f>
        <v/>
      </c>
      <c r="C73" s="27">
        <f>+'Invullen groen'!G70</f>
        <v/>
      </c>
      <c r="D73" s="17">
        <f>+'Invullen groen'!I70</f>
        <v/>
      </c>
      <c r="E73" s="18">
        <f>+'Invullen groen'!L70</f>
        <v/>
      </c>
      <c r="F73" s="18">
        <f>+'Invullen groen'!M70</f>
        <v/>
      </c>
      <c r="G73" s="18">
        <f>+'Invullen groen'!N70</f>
        <v/>
      </c>
      <c r="H73" s="18">
        <f>+'Invullen groen'!O70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15">
        <f>+'Invullen groen'!A71</f>
        <v/>
      </c>
      <c r="B74" s="16">
        <f>+'Invullen groen'!C71</f>
        <v/>
      </c>
      <c r="C74" s="27">
        <f>+'Invullen groen'!G71</f>
        <v/>
      </c>
      <c r="D74" s="17">
        <f>+'Invullen groen'!I71</f>
        <v/>
      </c>
      <c r="E74" s="18">
        <f>+'Invullen groen'!L71</f>
        <v/>
      </c>
      <c r="F74" s="18">
        <f>+'Invullen groen'!M71</f>
        <v/>
      </c>
      <c r="G74" s="18">
        <f>+'Invullen groen'!N71</f>
        <v/>
      </c>
      <c r="H74" s="18">
        <f>+'Invullen groen'!O71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15">
        <f>+'Invullen groen'!A72</f>
        <v/>
      </c>
      <c r="B75" s="16">
        <f>+'Invullen groen'!C72</f>
        <v/>
      </c>
      <c r="C75" s="27">
        <f>+'Invullen groen'!G72</f>
        <v/>
      </c>
      <c r="D75" s="17">
        <f>+'Invullen groen'!I72</f>
        <v/>
      </c>
      <c r="E75" s="18">
        <f>+'Invullen groen'!L72</f>
        <v/>
      </c>
      <c r="F75" s="18">
        <f>+'Invullen groen'!M72</f>
        <v/>
      </c>
      <c r="G75" s="18">
        <f>+'Invullen groen'!N72</f>
        <v/>
      </c>
      <c r="H75" s="18">
        <f>+'Invullen groen'!O72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15">
        <f>+'Invullen groen'!A73</f>
        <v/>
      </c>
      <c r="B76" s="16">
        <f>+'Invullen groen'!C73</f>
        <v/>
      </c>
      <c r="C76" s="27">
        <f>+'Invullen groen'!G73</f>
        <v/>
      </c>
      <c r="D76" s="17">
        <f>+'Invullen groen'!I73</f>
        <v/>
      </c>
      <c r="E76" s="18">
        <f>+'Invullen groen'!L73</f>
        <v/>
      </c>
      <c r="F76" s="18">
        <f>+'Invullen groen'!M73</f>
        <v/>
      </c>
      <c r="G76" s="18">
        <f>+'Invullen groen'!N73</f>
        <v/>
      </c>
      <c r="H76" s="18">
        <f>+'Invullen groen'!O73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15">
        <f>+'Invullen groen'!A74</f>
        <v/>
      </c>
      <c r="B77" s="16">
        <f>+'Invullen groen'!C74</f>
        <v/>
      </c>
      <c r="C77" s="27">
        <f>+'Invullen groen'!G74</f>
        <v/>
      </c>
      <c r="D77" s="17">
        <f>+'Invullen groen'!I74</f>
        <v/>
      </c>
      <c r="E77" s="20">
        <f>+'Invullen groen'!L74</f>
        <v/>
      </c>
      <c r="F77" s="20">
        <f>+'Invullen groen'!M74</f>
        <v/>
      </c>
      <c r="G77" s="20">
        <f>+'Invullen groen'!N74</f>
        <v/>
      </c>
      <c r="H77" s="20">
        <f>+'Invullen groen'!O74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313">
        <f>+'Invullen groen'!A75</f>
        <v/>
      </c>
      <c r="B78" s="314">
        <f>+'Invullen groen'!C75</f>
        <v/>
      </c>
      <c r="C78" s="315">
        <f>+'Invullen groen'!G75</f>
        <v/>
      </c>
      <c r="D78" s="316">
        <f>+'Invullen groen'!I75</f>
        <v/>
      </c>
      <c r="E78" s="317">
        <f>+'Invullen groen'!L75</f>
        <v/>
      </c>
      <c r="F78" s="317">
        <f>+'Invullen groen'!M75</f>
        <v/>
      </c>
      <c r="G78" s="317">
        <f>+'Invullen groen'!N75</f>
        <v/>
      </c>
      <c r="H78" s="317">
        <f>+'Invullen groen'!O75</f>
        <v/>
      </c>
      <c r="I78" s="318">
        <f>+'Invullen groen'!AW75</f>
        <v/>
      </c>
      <c r="J78" s="318">
        <f>+'Invullen groen'!AX75</f>
        <v/>
      </c>
      <c r="K78" s="318">
        <f>+'Invullen groen'!AY75</f>
        <v/>
      </c>
      <c r="L78" s="318">
        <f>+'Invullen groen'!AZ75</f>
        <v/>
      </c>
      <c r="M78" s="318">
        <f>+'Invullen groen'!BA75</f>
        <v/>
      </c>
      <c r="N78" s="318">
        <f>+'Invullen groen'!BB75</f>
        <v/>
      </c>
      <c r="O78" s="318">
        <f>+'Invullen groen'!BC75</f>
        <v/>
      </c>
      <c r="P78" s="318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6" customHeight="1">
      <c r="A79" s="15">
        <f>+'Invullen groen'!A76</f>
        <v/>
      </c>
      <c r="B79" s="16">
        <f>+'Invullen groen'!C76</f>
        <v/>
      </c>
      <c r="C79" s="27">
        <f>+'Invullen groen'!G76</f>
        <v/>
      </c>
      <c r="D79" s="17">
        <f>+'Invullen groen'!I76</f>
        <v/>
      </c>
      <c r="E79" s="18">
        <f>+'Invullen groen'!L76</f>
        <v/>
      </c>
      <c r="F79" s="18">
        <f>+'Invullen groen'!M76</f>
        <v/>
      </c>
      <c r="G79" s="18">
        <f>+'Invullen groen'!N76</f>
        <v/>
      </c>
      <c r="H79" s="18">
        <f>+'Invullen groen'!O76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6" customHeight="1">
      <c r="A80" s="319">
        <f>+'Invullen groen'!A77</f>
        <v/>
      </c>
      <c r="B80" s="320">
        <f>+'Invullen groen'!C77</f>
        <v/>
      </c>
      <c r="C80" s="321">
        <f>+'Invullen groen'!G77</f>
        <v/>
      </c>
      <c r="D80" s="321">
        <f>+'Invullen groen'!I77</f>
        <v/>
      </c>
      <c r="E80" s="322">
        <f>+'Invullen groen'!L77</f>
        <v/>
      </c>
      <c r="F80" s="322">
        <f>+'Invullen groen'!M77</f>
        <v/>
      </c>
      <c r="G80" s="322">
        <f>+'Invullen groen'!N77</f>
        <v/>
      </c>
      <c r="H80" s="322">
        <f>+'Invullen groen'!O77</f>
        <v/>
      </c>
      <c r="I80" s="321">
        <f>+'Invullen groen'!AW77</f>
        <v/>
      </c>
      <c r="J80" s="321">
        <f>+'Invullen groen'!AX77</f>
        <v/>
      </c>
      <c r="K80" s="321">
        <f>+'Invullen groen'!AY77</f>
        <v/>
      </c>
      <c r="L80" s="321">
        <f>+'Invullen groen'!AZ77</f>
        <v/>
      </c>
      <c r="M80" s="321">
        <f>+'Invullen groen'!BA77</f>
        <v/>
      </c>
      <c r="N80" s="321">
        <f>+'Invullen groen'!BB77</f>
        <v/>
      </c>
      <c r="O80" s="321">
        <f>+'Invullen groen'!BC77</f>
        <v/>
      </c>
      <c r="P80" s="321">
        <f>+'Invullen groen'!BD77</f>
        <v/>
      </c>
    </row>
    <row r="81" ht="15" customHeight="1">
      <c r="A81" s="15">
        <f>+'Invullen groen'!A78</f>
        <v/>
      </c>
      <c r="B81" s="16">
        <f>+'Invullen groen'!C78</f>
        <v/>
      </c>
      <c r="C81" s="27">
        <f>+'Invullen groen'!G78</f>
        <v/>
      </c>
      <c r="D81" s="17">
        <f>+'Invullen groen'!I78</f>
        <v/>
      </c>
      <c r="E81" s="18">
        <f>+'Invullen groen'!L78</f>
        <v/>
      </c>
      <c r="F81" s="18">
        <f>+'Invullen groen'!M78</f>
        <v/>
      </c>
      <c r="G81" s="18">
        <f>+'Invullen groen'!N78</f>
        <v/>
      </c>
      <c r="H81" s="18">
        <f>+'Invullen groen'!O78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15">
        <f>+'Invullen groen'!A79</f>
        <v/>
      </c>
      <c r="B82" s="16">
        <f>+'Invullen groen'!C79</f>
        <v/>
      </c>
      <c r="C82" s="27">
        <f>+'Invullen groen'!G79</f>
        <v/>
      </c>
      <c r="D82" s="17">
        <f>+'Invullen groen'!I79</f>
        <v/>
      </c>
      <c r="E82" s="18">
        <f>+'Invullen groen'!L79</f>
        <v/>
      </c>
      <c r="F82" s="18">
        <f>+'Invullen groen'!M79</f>
        <v/>
      </c>
      <c r="G82" s="18">
        <f>+'Invullen groen'!N79</f>
        <v/>
      </c>
      <c r="H82" s="18">
        <f>+'Invullen groen'!O79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15">
        <f>+'Invullen groen'!A80</f>
        <v/>
      </c>
      <c r="B83" s="16">
        <f>+'Invullen groen'!C80</f>
        <v/>
      </c>
      <c r="C83" s="27">
        <f>+'Invullen groen'!G80</f>
        <v/>
      </c>
      <c r="D83" s="17">
        <f>+'Invullen groen'!I80</f>
        <v/>
      </c>
      <c r="E83" s="18">
        <f>+'Invullen groen'!L80</f>
        <v/>
      </c>
      <c r="F83" s="18">
        <f>+'Invullen groen'!M80</f>
        <v/>
      </c>
      <c r="G83" s="18">
        <f>+'Invullen groen'!N80</f>
        <v/>
      </c>
      <c r="H83" s="18">
        <f>+'Invullen groen'!O80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15">
        <f>+'Invullen groen'!A81</f>
        <v/>
      </c>
      <c r="B84" s="16">
        <f>+'Invullen groen'!C81</f>
        <v/>
      </c>
      <c r="C84" s="27">
        <f>+'Invullen groen'!G81</f>
        <v/>
      </c>
      <c r="D84" s="17">
        <f>+'Invullen groen'!I81</f>
        <v/>
      </c>
      <c r="E84" s="18">
        <f>+'Invullen groen'!L81</f>
        <v/>
      </c>
      <c r="F84" s="18">
        <f>+'Invullen groen'!M81</f>
        <v/>
      </c>
      <c r="G84" s="18">
        <f>+'Invullen groen'!N81</f>
        <v/>
      </c>
      <c r="H84" s="18">
        <f>+'Invullen groen'!O81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15">
        <f>+'Invullen groen'!A82</f>
        <v/>
      </c>
      <c r="B85" s="16">
        <f>+'Invullen groen'!C82</f>
        <v/>
      </c>
      <c r="C85" s="27">
        <f>+'Invullen groen'!G82</f>
        <v/>
      </c>
      <c r="D85" s="17">
        <f>+'Invullen groen'!I82</f>
        <v/>
      </c>
      <c r="E85" s="18">
        <f>+'Invullen groen'!L82</f>
        <v/>
      </c>
      <c r="F85" s="18">
        <f>+'Invullen groen'!M82</f>
        <v/>
      </c>
      <c r="G85" s="18">
        <f>+'Invullen groen'!N82</f>
        <v/>
      </c>
      <c r="H85" s="18">
        <f>+'Invullen groen'!O82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15">
        <f>+'Invullen groen'!A83</f>
        <v/>
      </c>
      <c r="B86" s="16">
        <f>+'Invullen groen'!C83</f>
        <v/>
      </c>
      <c r="C86" s="27">
        <f>+'Invullen groen'!G83</f>
        <v/>
      </c>
      <c r="D86" s="17">
        <f>+'Invullen groen'!I83</f>
        <v/>
      </c>
      <c r="E86" s="18">
        <f>+'Invullen groen'!L83</f>
        <v/>
      </c>
      <c r="F86" s="18">
        <f>+'Invullen groen'!M83</f>
        <v/>
      </c>
      <c r="G86" s="18">
        <f>+'Invullen groen'!N83</f>
        <v/>
      </c>
      <c r="H86" s="18">
        <f>+'Invullen groen'!O83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15">
        <f>+'Invullen groen'!A84</f>
        <v/>
      </c>
      <c r="B87" s="16">
        <f>+'Invullen groen'!C84</f>
        <v/>
      </c>
      <c r="C87" s="27">
        <f>+'Invullen groen'!G84</f>
        <v/>
      </c>
      <c r="D87" s="17">
        <f>+'Invullen groen'!I84</f>
        <v/>
      </c>
      <c r="E87" s="18">
        <f>+'Invullen groen'!L84</f>
        <v/>
      </c>
      <c r="F87" s="18">
        <f>+'Invullen groen'!M84</f>
        <v/>
      </c>
      <c r="G87" s="18">
        <f>+'Invullen groen'!N84</f>
        <v/>
      </c>
      <c r="H87" s="18">
        <f>+'Invullen groen'!O84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15">
        <f>+'Invullen groen'!A85</f>
        <v/>
      </c>
      <c r="B88" s="16">
        <f>+'Invullen groen'!C85</f>
        <v/>
      </c>
      <c r="C88" s="27">
        <f>+'Invullen groen'!G85</f>
        <v/>
      </c>
      <c r="D88" s="17">
        <f>+'Invullen groen'!I85</f>
        <v/>
      </c>
      <c r="E88" s="18">
        <f>+'Invullen groen'!L85</f>
        <v/>
      </c>
      <c r="F88" s="18">
        <f>+'Invullen groen'!M85</f>
        <v/>
      </c>
      <c r="G88" s="18">
        <f>+'Invullen groen'!N85</f>
        <v/>
      </c>
      <c r="H88" s="18">
        <f>+'Invullen groen'!O85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15">
        <f>+'Invullen groen'!A86</f>
        <v/>
      </c>
      <c r="B89" s="16">
        <f>+'Invullen groen'!C86</f>
        <v/>
      </c>
      <c r="C89" s="27">
        <f>+'Invullen groen'!G86</f>
        <v/>
      </c>
      <c r="D89" s="17">
        <f>+'Invullen groen'!I86</f>
        <v/>
      </c>
      <c r="E89" s="18">
        <f>+'Invullen groen'!L86</f>
        <v/>
      </c>
      <c r="F89" s="18">
        <f>+'Invullen groen'!M86</f>
        <v/>
      </c>
      <c r="G89" s="18">
        <f>+'Invullen groen'!N86</f>
        <v/>
      </c>
      <c r="H89" s="18">
        <f>+'Invullen groen'!O86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15">
        <f>+'Invullen groen'!A87</f>
        <v/>
      </c>
      <c r="B90" s="16">
        <f>+'Invullen groen'!C87</f>
        <v/>
      </c>
      <c r="C90" s="27">
        <f>+'Invullen groen'!G87</f>
        <v/>
      </c>
      <c r="D90" s="17">
        <f>+'Invullen groen'!I87</f>
        <v/>
      </c>
      <c r="E90" s="18">
        <f>+'Invullen groen'!L87</f>
        <v/>
      </c>
      <c r="F90" s="18">
        <f>+'Invullen groen'!M87</f>
        <v/>
      </c>
      <c r="G90" s="18">
        <f>+'Invullen groen'!N87</f>
        <v/>
      </c>
      <c r="H90" s="18">
        <f>+'Invullen groen'!O87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15">
        <f>+'Invullen groen'!A88</f>
        <v/>
      </c>
      <c r="B91" s="16">
        <f>+'Invullen groen'!C88</f>
        <v/>
      </c>
      <c r="C91" s="27">
        <f>+'Invullen groen'!G88</f>
        <v/>
      </c>
      <c r="D91" s="17">
        <f>+'Invullen groen'!I88</f>
        <v/>
      </c>
      <c r="E91" s="18">
        <f>+'Invullen groen'!L88</f>
        <v/>
      </c>
      <c r="F91" s="18">
        <f>+'Invullen groen'!M88</f>
        <v/>
      </c>
      <c r="G91" s="18">
        <f>+'Invullen groen'!N88</f>
        <v/>
      </c>
      <c r="H91" s="18">
        <f>+'Invullen groen'!O88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15">
        <f>+'Invullen groen'!A89</f>
        <v/>
      </c>
      <c r="B92" s="16">
        <f>+'Invullen groen'!C89</f>
        <v/>
      </c>
      <c r="C92" s="27">
        <f>+'Invullen groen'!G89</f>
        <v/>
      </c>
      <c r="D92" s="17">
        <f>+'Invullen groen'!I89</f>
        <v/>
      </c>
      <c r="E92" s="18">
        <f>+'Invullen groen'!L89</f>
        <v/>
      </c>
      <c r="F92" s="18">
        <f>+'Invullen groen'!M89</f>
        <v/>
      </c>
      <c r="G92" s="18">
        <f>+'Invullen groen'!N89</f>
        <v/>
      </c>
      <c r="H92" s="18">
        <f>+'Invullen groen'!O89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15">
        <f>+'Invullen groen'!A90</f>
        <v/>
      </c>
      <c r="B93" s="16">
        <f>+'Invullen groen'!C90</f>
        <v/>
      </c>
      <c r="C93" s="27">
        <f>+'Invullen groen'!G90</f>
        <v/>
      </c>
      <c r="D93" s="17">
        <f>+'Invullen groen'!I90</f>
        <v/>
      </c>
      <c r="E93" s="18">
        <f>+'Invullen groen'!L90</f>
        <v/>
      </c>
      <c r="F93" s="18">
        <f>+'Invullen groen'!M90</f>
        <v/>
      </c>
      <c r="G93" s="18">
        <f>+'Invullen groen'!N90</f>
        <v/>
      </c>
      <c r="H93" s="18">
        <f>+'Invullen groen'!O90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15">
        <f>+'Invullen groen'!A91</f>
        <v/>
      </c>
      <c r="B94" s="16">
        <f>+'Invullen groen'!C91</f>
        <v/>
      </c>
      <c r="C94" s="27">
        <f>+'Invullen groen'!G91</f>
        <v/>
      </c>
      <c r="D94" s="17">
        <f>+'Invullen groen'!I91</f>
        <v/>
      </c>
      <c r="E94" s="18">
        <f>+'Invullen groen'!L91</f>
        <v/>
      </c>
      <c r="F94" s="18">
        <f>+'Invullen groen'!M91</f>
        <v/>
      </c>
      <c r="G94" s="18">
        <f>+'Invullen groen'!N91</f>
        <v/>
      </c>
      <c r="H94" s="18">
        <f>+'Invullen groen'!O91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15">
        <f>+'Invullen groen'!A92</f>
        <v/>
      </c>
      <c r="B95" s="16">
        <f>+'Invullen groen'!C92</f>
        <v/>
      </c>
      <c r="C95" s="27">
        <f>+'Invullen groen'!G92</f>
        <v/>
      </c>
      <c r="D95" s="17">
        <f>+'Invullen groen'!I92</f>
        <v/>
      </c>
      <c r="E95" s="18">
        <f>+'Invullen groen'!L92</f>
        <v/>
      </c>
      <c r="F95" s="18">
        <f>+'Invullen groen'!M92</f>
        <v/>
      </c>
      <c r="G95" s="18">
        <f>+'Invullen groen'!N92</f>
        <v/>
      </c>
      <c r="H95" s="18">
        <f>+'Invullen groen'!O92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15">
        <f>+'Invullen groen'!A93</f>
        <v/>
      </c>
      <c r="B96" s="16">
        <f>+'Invullen groen'!C93</f>
        <v/>
      </c>
      <c r="C96" s="27">
        <f>+'Invullen groen'!G93</f>
        <v/>
      </c>
      <c r="D96" s="17">
        <f>+'Invullen groen'!I93</f>
        <v/>
      </c>
      <c r="E96" s="18">
        <f>+'Invullen groen'!L93</f>
        <v/>
      </c>
      <c r="F96" s="18">
        <f>+'Invullen groen'!M93</f>
        <v/>
      </c>
      <c r="G96" s="18">
        <f>+'Invullen groen'!N93</f>
        <v/>
      </c>
      <c r="H96" s="18">
        <f>+'Invullen groen'!O93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15">
        <f>+'Invullen groen'!A94</f>
        <v/>
      </c>
      <c r="B97" s="16">
        <f>+'Invullen groen'!C94</f>
        <v/>
      </c>
      <c r="C97" s="27">
        <f>+'Invullen groen'!G94</f>
        <v/>
      </c>
      <c r="D97" s="17">
        <f>+'Invullen groen'!I94</f>
        <v/>
      </c>
      <c r="E97" s="18">
        <f>+'Invullen groen'!L94</f>
        <v/>
      </c>
      <c r="F97" s="18">
        <f>+'Invullen groen'!M94</f>
        <v/>
      </c>
      <c r="G97" s="18">
        <f>+'Invullen groen'!N94</f>
        <v/>
      </c>
      <c r="H97" s="18">
        <f>+'Invullen groen'!O94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15">
        <f>+'Invullen groen'!A95</f>
        <v/>
      </c>
      <c r="B98" s="16">
        <f>+'Invullen groen'!C95</f>
        <v/>
      </c>
      <c r="C98" s="27">
        <f>+'Invullen groen'!G95</f>
        <v/>
      </c>
      <c r="D98" s="17">
        <f>+'Invullen groen'!I95</f>
        <v/>
      </c>
      <c r="E98" s="18">
        <f>+'Invullen groen'!L95</f>
        <v/>
      </c>
      <c r="F98" s="18">
        <f>+'Invullen groen'!M95</f>
        <v/>
      </c>
      <c r="G98" s="18">
        <f>+'Invullen groen'!N95</f>
        <v/>
      </c>
      <c r="H98" s="18">
        <f>+'Invullen groen'!O95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15">
        <f>+'Invullen groen'!A96</f>
        <v/>
      </c>
      <c r="B99" s="16">
        <f>+'Invullen groen'!C96</f>
        <v/>
      </c>
      <c r="C99" s="27">
        <f>+'Invullen groen'!G96</f>
        <v/>
      </c>
      <c r="D99" s="17">
        <f>+'Invullen groen'!I96</f>
        <v/>
      </c>
      <c r="E99" s="18">
        <f>+'Invullen groen'!L96</f>
        <v/>
      </c>
      <c r="F99" s="18">
        <f>+'Invullen groen'!M96</f>
        <v/>
      </c>
      <c r="G99" s="18">
        <f>+'Invullen groen'!N96</f>
        <v/>
      </c>
      <c r="H99" s="18">
        <f>+'Invullen groen'!O96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15">
        <f>+'Invullen groen'!A97</f>
        <v/>
      </c>
      <c r="B100" s="16">
        <f>+'Invullen groen'!C97</f>
        <v/>
      </c>
      <c r="C100" s="27">
        <f>+'Invullen groen'!G97</f>
        <v/>
      </c>
      <c r="D100" s="17">
        <f>+'Invullen groen'!I97</f>
        <v/>
      </c>
      <c r="E100" s="18">
        <f>+'Invullen groen'!L97</f>
        <v/>
      </c>
      <c r="F100" s="18">
        <f>+'Invullen groen'!M97</f>
        <v/>
      </c>
      <c r="G100" s="18">
        <f>+'Invullen groen'!N97</f>
        <v/>
      </c>
      <c r="H100" s="18">
        <f>+'Invullen groen'!O97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15">
        <f>+'Invullen groen'!A98</f>
        <v/>
      </c>
      <c r="B101" s="16">
        <f>+'Invullen groen'!C98</f>
        <v/>
      </c>
      <c r="C101" s="27">
        <f>+'Invullen groen'!G98</f>
        <v/>
      </c>
      <c r="D101" s="17">
        <f>+'Invullen groen'!I98</f>
        <v/>
      </c>
      <c r="E101" s="18">
        <f>+'Invullen groen'!L98</f>
        <v/>
      </c>
      <c r="F101" s="18">
        <f>+'Invullen groen'!M98</f>
        <v/>
      </c>
      <c r="G101" s="18">
        <f>+'Invullen groen'!N98</f>
        <v/>
      </c>
      <c r="H101" s="18">
        <f>+'Invullen groen'!O98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15">
        <f>+'Invullen groen'!A99</f>
        <v/>
      </c>
      <c r="B102" s="16">
        <f>+'Invullen groen'!C99</f>
        <v/>
      </c>
      <c r="C102" s="27">
        <f>+'Invullen groen'!G99</f>
        <v/>
      </c>
      <c r="D102" s="17">
        <f>+'Invullen groen'!I99</f>
        <v/>
      </c>
      <c r="E102" s="18">
        <f>+'Invullen groen'!L99</f>
        <v/>
      </c>
      <c r="F102" s="18">
        <f>+'Invullen groen'!M99</f>
        <v/>
      </c>
      <c r="G102" s="18">
        <f>+'Invullen groen'!N99</f>
        <v/>
      </c>
      <c r="H102" s="18">
        <f>+'Invullen groen'!O99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15">
        <f>+'Invullen groen'!A100</f>
        <v/>
      </c>
      <c r="B103" s="16">
        <f>+'Invullen groen'!C100</f>
        <v/>
      </c>
      <c r="C103" s="27">
        <f>+'Invullen groen'!G100</f>
        <v/>
      </c>
      <c r="D103" s="17">
        <f>+'Invullen groen'!I100</f>
        <v/>
      </c>
      <c r="E103" s="18">
        <f>+'Invullen groen'!L100</f>
        <v/>
      </c>
      <c r="F103" s="18">
        <f>+'Invullen groen'!M100</f>
        <v/>
      </c>
      <c r="G103" s="18">
        <f>+'Invullen groen'!N100</f>
        <v/>
      </c>
      <c r="H103" s="18">
        <f>+'Invullen groen'!O100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15">
        <f>+'Invullen groen'!A101</f>
        <v/>
      </c>
      <c r="B104" s="16">
        <f>+'Invullen groen'!C101</f>
        <v/>
      </c>
      <c r="C104" s="27">
        <f>+'Invullen groen'!G101</f>
        <v/>
      </c>
      <c r="D104" s="17">
        <f>+'Invullen groen'!I101</f>
        <v/>
      </c>
      <c r="E104" s="18">
        <f>+'Invullen groen'!L101</f>
        <v/>
      </c>
      <c r="F104" s="18">
        <f>+'Invullen groen'!M101</f>
        <v/>
      </c>
      <c r="G104" s="18">
        <f>+'Invullen groen'!N101</f>
        <v/>
      </c>
      <c r="H104" s="18">
        <f>+'Invullen groen'!O101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15">
        <f>+'Invullen groen'!A102</f>
        <v/>
      </c>
      <c r="B105" s="16">
        <f>+'Invullen groen'!C102</f>
        <v/>
      </c>
      <c r="C105" s="27">
        <f>+'Invullen groen'!G102</f>
        <v/>
      </c>
      <c r="D105" s="17">
        <f>+'Invullen groen'!I102</f>
        <v/>
      </c>
      <c r="E105" s="18">
        <f>+'Invullen groen'!L102</f>
        <v/>
      </c>
      <c r="F105" s="18">
        <f>+'Invullen groen'!M102</f>
        <v/>
      </c>
      <c r="G105" s="18">
        <f>+'Invullen groen'!N102</f>
        <v/>
      </c>
      <c r="H105" s="18">
        <f>+'Invullen groen'!O102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15">
        <f>+'Invullen groen'!A103</f>
        <v/>
      </c>
      <c r="B106" s="16">
        <f>+'Invullen groen'!C103</f>
        <v/>
      </c>
      <c r="C106" s="27">
        <f>+'Invullen groen'!G103</f>
        <v/>
      </c>
      <c r="D106" s="17">
        <f>+'Invullen groen'!I103</f>
        <v/>
      </c>
      <c r="E106" s="18">
        <f>+'Invullen groen'!L103</f>
        <v/>
      </c>
      <c r="F106" s="18">
        <f>+'Invullen groen'!M103</f>
        <v/>
      </c>
      <c r="G106" s="18">
        <f>+'Invullen groen'!N103</f>
        <v/>
      </c>
      <c r="H106" s="18">
        <f>+'Invullen groen'!O103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15">
        <f>+'Invullen groen'!A104</f>
        <v/>
      </c>
      <c r="B107" s="16">
        <f>+'Invullen groen'!C104</f>
        <v/>
      </c>
      <c r="C107" s="27">
        <f>+'Invullen groen'!G104</f>
        <v/>
      </c>
      <c r="D107" s="17">
        <f>+'Invullen groen'!I104</f>
        <v/>
      </c>
      <c r="E107" s="18">
        <f>+'Invullen groen'!L104</f>
        <v/>
      </c>
      <c r="F107" s="18">
        <f>+'Invullen groen'!M104</f>
        <v/>
      </c>
      <c r="G107" s="18">
        <f>+'Invullen groen'!N104</f>
        <v/>
      </c>
      <c r="H107" s="18">
        <f>+'Invullen groen'!O104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15">
        <f>+'Invullen groen'!A105</f>
        <v/>
      </c>
      <c r="B108" s="16">
        <f>+'Invullen groen'!C105</f>
        <v/>
      </c>
      <c r="C108" s="27">
        <f>+'Invullen groen'!G105</f>
        <v/>
      </c>
      <c r="D108" s="17">
        <f>+'Invullen groen'!I105</f>
        <v/>
      </c>
      <c r="E108" s="18">
        <f>+'Invullen groen'!L105</f>
        <v/>
      </c>
      <c r="F108" s="18">
        <f>+'Invullen groen'!M105</f>
        <v/>
      </c>
      <c r="G108" s="18">
        <f>+'Invullen groen'!N105</f>
        <v/>
      </c>
      <c r="H108" s="18">
        <f>+'Invullen groen'!O105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15">
        <f>+'Invullen groen'!A106</f>
        <v/>
      </c>
      <c r="B109" s="16">
        <f>+'Invullen groen'!C106</f>
        <v/>
      </c>
      <c r="C109" s="27">
        <f>+'Invullen groen'!G106</f>
        <v/>
      </c>
      <c r="D109" s="17">
        <f>+'Invullen groen'!I106</f>
        <v/>
      </c>
      <c r="E109" s="18">
        <f>+'Invullen groen'!L106</f>
        <v/>
      </c>
      <c r="F109" s="18">
        <f>+'Invullen groen'!M106</f>
        <v/>
      </c>
      <c r="G109" s="18">
        <f>+'Invullen groen'!N106</f>
        <v/>
      </c>
      <c r="H109" s="18">
        <f>+'Invullen groen'!O106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15">
        <f>+'Invullen groen'!A107</f>
        <v/>
      </c>
      <c r="B110" s="16">
        <f>+'Invullen groen'!C107</f>
        <v/>
      </c>
      <c r="C110" s="27">
        <f>+'Invullen groen'!G107</f>
        <v/>
      </c>
      <c r="D110" s="17">
        <f>+'Invullen groen'!I107</f>
        <v/>
      </c>
      <c r="E110" s="18">
        <f>+'Invullen groen'!L107</f>
        <v/>
      </c>
      <c r="F110" s="18">
        <f>+'Invullen groen'!M107</f>
        <v/>
      </c>
      <c r="G110" s="18">
        <f>+'Invullen groen'!N107</f>
        <v/>
      </c>
      <c r="H110" s="18">
        <f>+'Invullen groen'!O107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15">
        <f>+'Invullen groen'!A108</f>
        <v/>
      </c>
      <c r="B111" s="16">
        <f>+'Invullen groen'!C108</f>
        <v/>
      </c>
      <c r="C111" s="27">
        <f>+'Invullen groen'!G108</f>
        <v/>
      </c>
      <c r="D111" s="17">
        <f>+'Invullen groen'!I108</f>
        <v/>
      </c>
      <c r="E111" s="18">
        <f>+'Invullen groen'!L108</f>
        <v/>
      </c>
      <c r="F111" s="18">
        <f>+'Invullen groen'!M108</f>
        <v/>
      </c>
      <c r="G111" s="18">
        <f>+'Invullen groen'!N108</f>
        <v/>
      </c>
      <c r="H111" s="18">
        <f>+'Invullen groen'!O108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15">
        <f>+'Invullen groen'!A109</f>
        <v/>
      </c>
      <c r="B112" s="16">
        <f>+'Invullen groen'!C109</f>
        <v/>
      </c>
      <c r="C112" s="27">
        <f>+'Invullen groen'!G109</f>
        <v/>
      </c>
      <c r="D112" s="17">
        <f>+'Invullen groen'!I109</f>
        <v/>
      </c>
      <c r="E112" s="20">
        <f>+'Invullen groen'!L109</f>
        <v/>
      </c>
      <c r="F112" s="20">
        <f>+'Invullen groen'!M109</f>
        <v/>
      </c>
      <c r="G112" s="20">
        <f>+'Invullen groen'!N109</f>
        <v/>
      </c>
      <c r="H112" s="20">
        <f>+'Invullen groen'!O109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323">
        <f>+'Invullen groen'!A110</f>
        <v/>
      </c>
      <c r="B113" s="324" t="n"/>
      <c r="C113" s="325">
        <f>+'Invullen groen'!G110</f>
        <v/>
      </c>
      <c r="D113" s="326">
        <f>+'Invullen groen'!I110</f>
        <v/>
      </c>
      <c r="E113" s="327">
        <f>+'Invullen groen'!L110</f>
        <v/>
      </c>
      <c r="F113" s="327">
        <f>+'Invullen groen'!M110</f>
        <v/>
      </c>
      <c r="G113" s="327">
        <f>+'Invullen groen'!N110</f>
        <v/>
      </c>
      <c r="H113" s="327">
        <f>+'Invullen groen'!O110</f>
        <v/>
      </c>
      <c r="I113" s="328">
        <f>+'Invullen groen'!AW110</f>
        <v/>
      </c>
      <c r="J113" s="328">
        <f>+'Invullen groen'!AX110</f>
        <v/>
      </c>
      <c r="K113" s="328">
        <f>+'Invullen groen'!AY110</f>
        <v/>
      </c>
      <c r="L113" s="328">
        <f>+'Invullen groen'!AZ110</f>
        <v/>
      </c>
      <c r="M113" s="328">
        <f>+'Invullen groen'!BA110</f>
        <v/>
      </c>
      <c r="N113" s="328">
        <f>+'Invullen groen'!BB110</f>
        <v/>
      </c>
      <c r="O113" s="328">
        <f>+'Invullen groen'!BC110</f>
        <v/>
      </c>
      <c r="P113" s="328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387">
        <f>+'Invullen groen'!A112</f>
        <v/>
      </c>
      <c r="B114" s="388">
        <f>+'Invullen groen'!C114</f>
        <v/>
      </c>
      <c r="C114" s="389">
        <f>+'Invullen groen'!G114</f>
        <v/>
      </c>
      <c r="D114" s="390">
        <f>+'Invullen groen'!I114</f>
        <v/>
      </c>
      <c r="E114" s="391">
        <f>+'Invullen groen'!L112</f>
        <v/>
      </c>
      <c r="F114" s="392">
        <f>+'Invullen groen'!M114</f>
        <v/>
      </c>
      <c r="G114" s="392">
        <f>+'Invullen groen'!N114</f>
        <v/>
      </c>
      <c r="H114" s="392">
        <f>+'Invullen groen'!O114</f>
        <v/>
      </c>
      <c r="I114" s="393">
        <f>+'Invullen groen'!AW114</f>
        <v/>
      </c>
      <c r="J114" s="393">
        <f>+'Invullen groen'!AX114</f>
        <v/>
      </c>
      <c r="K114" s="393">
        <f>+'Invullen groen'!AY114</f>
        <v/>
      </c>
      <c r="L114" s="393">
        <f>+'Invullen groen'!AZ114</f>
        <v/>
      </c>
      <c r="M114" s="393">
        <f>+'Invullen groen'!BA114</f>
        <v/>
      </c>
      <c r="N114" s="393">
        <f>+'Invullen groen'!BB114</f>
        <v/>
      </c>
      <c r="O114" s="393">
        <f>+'Invullen groen'!BC114</f>
        <v/>
      </c>
      <c r="P114" s="393">
        <f>+'Invullen groen'!BD114</f>
        <v/>
      </c>
      <c r="Q114" s="394" t="n"/>
    </row>
    <row r="115">
      <c r="A115" s="35">
        <f>+'Invullen groen'!A115</f>
        <v/>
      </c>
      <c r="B115" s="40" t="n"/>
      <c r="C115" s="7" t="n"/>
      <c r="D115" s="7">
        <f>+'Invullen groen'!I115</f>
        <v/>
      </c>
      <c r="E115" s="8">
        <f>+'Invullen groen'!L115</f>
        <v/>
      </c>
      <c r="F115" s="8">
        <f>+'Invullen groen'!M115</f>
        <v/>
      </c>
      <c r="G115" s="8">
        <f>+'Invullen groen'!N115</f>
        <v/>
      </c>
      <c r="H115" s="7">
        <f>+'Invullen groen'!O115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groen'!I116</f>
        <v/>
      </c>
      <c r="E116" s="8">
        <f>+'Invullen groen'!L116</f>
        <v/>
      </c>
      <c r="F116" s="8">
        <f>+'Invullen groen'!M116</f>
        <v/>
      </c>
      <c r="G116" s="8">
        <f>+'Invullen groen'!N116</f>
        <v/>
      </c>
      <c r="H116" s="7">
        <f>+'Invullen groen'!O116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groen'!I117</f>
        <v/>
      </c>
      <c r="E117" s="14">
        <f>+'Invullen groen'!L117</f>
        <v/>
      </c>
      <c r="F117" s="14">
        <f>+'Invullen groen'!M117</f>
        <v/>
      </c>
      <c r="G117" s="14">
        <f>+'Invullen groen'!N117</f>
        <v/>
      </c>
      <c r="H117" s="14">
        <f>+'Invullen groen'!O117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groen'!I118</f>
        <v/>
      </c>
      <c r="E118" s="14">
        <f>+'Invullen groen'!L118</f>
        <v/>
      </c>
      <c r="F118" s="14">
        <f>+'Invullen groen'!M118</f>
        <v/>
      </c>
      <c r="G118" s="14">
        <f>+'Invullen groen'!N118</f>
        <v/>
      </c>
      <c r="H118" s="14">
        <f>+'Invullen groen'!O118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groen'!I119</f>
        <v/>
      </c>
      <c r="E119" s="18">
        <f>+'Invullen groen'!L119</f>
        <v/>
      </c>
      <c r="F119" s="18">
        <f>+'Invullen groen'!M119</f>
        <v/>
      </c>
      <c r="G119" s="18">
        <f>+'Invullen groen'!N119</f>
        <v/>
      </c>
      <c r="H119" s="18">
        <f>+'Invullen groen'!O119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395">
        <f>+'Invullen groen'!A120</f>
        <v/>
      </c>
      <c r="B120" s="396">
        <f>+'Invullen groen'!C120</f>
        <v/>
      </c>
      <c r="C120" s="397">
        <f>+'Invullen groen'!G120</f>
        <v/>
      </c>
      <c r="D120" s="398">
        <f>+'Invullen groen'!I120</f>
        <v/>
      </c>
      <c r="E120" s="399">
        <f>+'Invullen groen'!L120</f>
        <v/>
      </c>
      <c r="F120" s="399">
        <f>+'Invullen groen'!M120</f>
        <v/>
      </c>
      <c r="G120" s="399">
        <f>+'Invullen groen'!N120</f>
        <v/>
      </c>
      <c r="H120" s="399">
        <f>+'Invullen groen'!O120</f>
        <v/>
      </c>
      <c r="I120" s="400">
        <f>+'Invullen groen'!AW120</f>
        <v/>
      </c>
      <c r="J120" s="400">
        <f>+'Invullen groen'!AX120</f>
        <v/>
      </c>
      <c r="K120" s="400">
        <f>+'Invullen groen'!AY120</f>
        <v/>
      </c>
      <c r="L120" s="400">
        <f>+'Invullen groen'!AZ120</f>
        <v/>
      </c>
      <c r="M120" s="400">
        <f>+'Invullen groen'!BA120</f>
        <v/>
      </c>
      <c r="N120" s="400">
        <f>+'Invullen groen'!BB120</f>
        <v/>
      </c>
      <c r="O120" s="400">
        <f>+'Invullen groen'!BC120</f>
        <v/>
      </c>
      <c r="P120" s="400">
        <f>+'Invullen groen'!BD120</f>
        <v/>
      </c>
      <c r="Q120" s="400" t="n"/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groen'!I121</f>
        <v/>
      </c>
      <c r="E121" s="18">
        <f>+'Invullen groen'!L121</f>
        <v/>
      </c>
      <c r="F121" s="18">
        <f>+'Invullen groen'!M121</f>
        <v/>
      </c>
      <c r="G121" s="18">
        <f>+'Invullen groen'!N121</f>
        <v/>
      </c>
      <c r="H121" s="18">
        <f>+'Invullen groen'!O121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groen'!I122</f>
        <v/>
      </c>
      <c r="E122" s="18">
        <f>+'Invullen groen'!L122</f>
        <v/>
      </c>
      <c r="F122" s="18">
        <f>+'Invullen groen'!M122</f>
        <v/>
      </c>
      <c r="G122" s="18">
        <f>+'Invullen groen'!N122</f>
        <v/>
      </c>
      <c r="H122" s="18">
        <f>+'Invullen groen'!O122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groen'!I123</f>
        <v/>
      </c>
      <c r="E123" s="18">
        <f>+'Invullen groen'!L123</f>
        <v/>
      </c>
      <c r="F123" s="18">
        <f>+'Invullen groen'!M123</f>
        <v/>
      </c>
      <c r="G123" s="18">
        <f>+'Invullen groen'!N123</f>
        <v/>
      </c>
      <c r="H123" s="18">
        <f>+'Invullen groen'!O123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groen'!I124</f>
        <v/>
      </c>
      <c r="E124" s="18">
        <f>+'Invullen groen'!L124</f>
        <v/>
      </c>
      <c r="F124" s="18">
        <f>+'Invullen groen'!M124</f>
        <v/>
      </c>
      <c r="G124" s="18">
        <f>+'Invullen groen'!N124</f>
        <v/>
      </c>
      <c r="H124" s="18">
        <f>+'Invullen groen'!O124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groen'!I125</f>
        <v/>
      </c>
      <c r="E125" s="18">
        <f>+'Invullen groen'!L125</f>
        <v/>
      </c>
      <c r="F125" s="18">
        <f>+'Invullen groen'!M125</f>
        <v/>
      </c>
      <c r="G125" s="18">
        <f>+'Invullen groen'!N125</f>
        <v/>
      </c>
      <c r="H125" s="18">
        <f>+'Invullen groen'!O125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groen'!I126</f>
        <v/>
      </c>
      <c r="E126" s="18">
        <f>+'Invullen groen'!L126</f>
        <v/>
      </c>
      <c r="F126" s="18">
        <f>+'Invullen groen'!M126</f>
        <v/>
      </c>
      <c r="G126" s="18">
        <f>+'Invullen groen'!N126</f>
        <v/>
      </c>
      <c r="H126" s="18">
        <f>+'Invullen groen'!O126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groen'!I127</f>
        <v/>
      </c>
      <c r="E127" s="18">
        <f>+'Invullen groen'!L127</f>
        <v/>
      </c>
      <c r="F127" s="18">
        <f>+'Invullen groen'!M127</f>
        <v/>
      </c>
      <c r="G127" s="18">
        <f>+'Invullen groen'!N127</f>
        <v/>
      </c>
      <c r="H127" s="18">
        <f>+'Invullen groen'!O127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groen'!I128</f>
        <v/>
      </c>
      <c r="E128" s="18">
        <f>+'Invullen groen'!L128</f>
        <v/>
      </c>
      <c r="F128" s="18">
        <f>+'Invullen groen'!M128</f>
        <v/>
      </c>
      <c r="G128" s="18">
        <f>+'Invullen groen'!N128</f>
        <v/>
      </c>
      <c r="H128" s="18">
        <f>+'Invullen groen'!O128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groen'!I129</f>
        <v/>
      </c>
      <c r="E129" s="18">
        <f>+'Invullen groen'!L129</f>
        <v/>
      </c>
      <c r="F129" s="18">
        <f>+'Invullen groen'!M129</f>
        <v/>
      </c>
      <c r="G129" s="18">
        <f>+'Invullen groen'!N129</f>
        <v/>
      </c>
      <c r="H129" s="18">
        <f>+'Invullen groen'!O129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groen'!I130</f>
        <v/>
      </c>
      <c r="E130" s="18">
        <f>+'Invullen groen'!L130</f>
        <v/>
      </c>
      <c r="F130" s="18">
        <f>+'Invullen groen'!M130</f>
        <v/>
      </c>
      <c r="G130" s="18">
        <f>+'Invullen groen'!N130</f>
        <v/>
      </c>
      <c r="H130" s="18">
        <f>+'Invullen groen'!O130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groen'!I131</f>
        <v/>
      </c>
      <c r="E131" s="18">
        <f>+'Invullen groen'!L131</f>
        <v/>
      </c>
      <c r="F131" s="18">
        <f>+'Invullen groen'!M131</f>
        <v/>
      </c>
      <c r="G131" s="18">
        <f>+'Invullen groen'!N131</f>
        <v/>
      </c>
      <c r="H131" s="18">
        <f>+'Invullen groen'!O131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groen'!I132</f>
        <v/>
      </c>
      <c r="E132" s="18">
        <f>+'Invullen groen'!L132</f>
        <v/>
      </c>
      <c r="F132" s="18">
        <f>+'Invullen groen'!M132</f>
        <v/>
      </c>
      <c r="G132" s="18">
        <f>+'Invullen groen'!N132</f>
        <v/>
      </c>
      <c r="H132" s="18">
        <f>+'Invullen groen'!O132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groen'!I133</f>
        <v/>
      </c>
      <c r="E133" s="18">
        <f>+'Invullen groen'!L133</f>
        <v/>
      </c>
      <c r="F133" s="18">
        <f>+'Invullen groen'!M133</f>
        <v/>
      </c>
      <c r="G133" s="18">
        <f>+'Invullen groen'!N133</f>
        <v/>
      </c>
      <c r="H133" s="18">
        <f>+'Invullen groen'!O133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groen'!I134</f>
        <v/>
      </c>
      <c r="E134" s="18">
        <f>+'Invullen groen'!L134</f>
        <v/>
      </c>
      <c r="F134" s="18">
        <f>+'Invullen groen'!M134</f>
        <v/>
      </c>
      <c r="G134" s="18">
        <f>+'Invullen groen'!N134</f>
        <v/>
      </c>
      <c r="H134" s="18">
        <f>+'Invullen groen'!O134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groen'!I135</f>
        <v/>
      </c>
      <c r="E135" s="18">
        <f>+'Invullen groen'!L135</f>
        <v/>
      </c>
      <c r="F135" s="18">
        <f>+'Invullen groen'!M135</f>
        <v/>
      </c>
      <c r="G135" s="18">
        <f>+'Invullen groen'!N135</f>
        <v/>
      </c>
      <c r="H135" s="18">
        <f>+'Invullen groen'!O135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groen'!I136</f>
        <v/>
      </c>
      <c r="E136" s="18">
        <f>+'Invullen groen'!L136</f>
        <v/>
      </c>
      <c r="F136" s="18">
        <f>+'Invullen groen'!M136</f>
        <v/>
      </c>
      <c r="G136" s="18">
        <f>+'Invullen groen'!N136</f>
        <v/>
      </c>
      <c r="H136" s="18">
        <f>+'Invullen groen'!O136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groen'!I137</f>
        <v/>
      </c>
      <c r="E137" s="18">
        <f>+'Invullen groen'!L137</f>
        <v/>
      </c>
      <c r="F137" s="18">
        <f>+'Invullen groen'!M137</f>
        <v/>
      </c>
      <c r="G137" s="18">
        <f>+'Invullen groen'!N137</f>
        <v/>
      </c>
      <c r="H137" s="18">
        <f>+'Invullen groen'!O137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groen'!I138</f>
        <v/>
      </c>
      <c r="E138" s="18">
        <f>+'Invullen groen'!L138</f>
        <v/>
      </c>
      <c r="F138" s="18">
        <f>+'Invullen groen'!M138</f>
        <v/>
      </c>
      <c r="G138" s="18">
        <f>+'Invullen groen'!N138</f>
        <v/>
      </c>
      <c r="H138" s="18">
        <f>+'Invullen groen'!O138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groen'!I139</f>
        <v/>
      </c>
      <c r="E139" s="18">
        <f>+'Invullen groen'!L139</f>
        <v/>
      </c>
      <c r="F139" s="18">
        <f>+'Invullen groen'!M139</f>
        <v/>
      </c>
      <c r="G139" s="18">
        <f>+'Invullen groen'!N139</f>
        <v/>
      </c>
      <c r="H139" s="18">
        <f>+'Invullen groen'!O139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groen'!I140</f>
        <v/>
      </c>
      <c r="E140" s="18">
        <f>+'Invullen groen'!L140</f>
        <v/>
      </c>
      <c r="F140" s="18">
        <f>+'Invullen groen'!M140</f>
        <v/>
      </c>
      <c r="G140" s="18">
        <f>+'Invullen groen'!N140</f>
        <v/>
      </c>
      <c r="H140" s="18">
        <f>+'Invullen groen'!O140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groen'!I141</f>
        <v/>
      </c>
      <c r="E141" s="18">
        <f>+'Invullen groen'!L141</f>
        <v/>
      </c>
      <c r="F141" s="18">
        <f>+'Invullen groen'!M141</f>
        <v/>
      </c>
      <c r="G141" s="18">
        <f>+'Invullen groen'!N141</f>
        <v/>
      </c>
      <c r="H141" s="18">
        <f>+'Invullen groen'!O141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groen'!I142</f>
        <v/>
      </c>
      <c r="E142" s="18">
        <f>+'Invullen groen'!L142</f>
        <v/>
      </c>
      <c r="F142" s="18">
        <f>+'Invullen groen'!M142</f>
        <v/>
      </c>
      <c r="G142" s="18">
        <f>+'Invullen groen'!N142</f>
        <v/>
      </c>
      <c r="H142" s="18">
        <f>+'Invullen groen'!O142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groen'!I143</f>
        <v/>
      </c>
      <c r="E143" s="18">
        <f>+'Invullen groen'!L143</f>
        <v/>
      </c>
      <c r="F143" s="18">
        <f>+'Invullen groen'!M143</f>
        <v/>
      </c>
      <c r="G143" s="18">
        <f>+'Invullen groen'!N143</f>
        <v/>
      </c>
      <c r="H143" s="18">
        <f>+'Invullen groen'!O143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groen'!I144</f>
        <v/>
      </c>
      <c r="E144" s="18">
        <f>+'Invullen groen'!L144</f>
        <v/>
      </c>
      <c r="F144" s="18">
        <f>+'Invullen groen'!M144</f>
        <v/>
      </c>
      <c r="G144" s="18">
        <f>+'Invullen groen'!N144</f>
        <v/>
      </c>
      <c r="H144" s="18">
        <f>+'Invullen groen'!O144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groen'!I145</f>
        <v/>
      </c>
      <c r="E145" s="18">
        <f>+'Invullen groen'!L145</f>
        <v/>
      </c>
      <c r="F145" s="18">
        <f>+'Invullen groen'!M145</f>
        <v/>
      </c>
      <c r="G145" s="18">
        <f>+'Invullen groen'!N145</f>
        <v/>
      </c>
      <c r="H145" s="18">
        <f>+'Invullen groen'!O145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groen'!I146</f>
        <v/>
      </c>
      <c r="E146" s="18">
        <f>+'Invullen groen'!L146</f>
        <v/>
      </c>
      <c r="F146" s="18">
        <f>+'Invullen groen'!M146</f>
        <v/>
      </c>
      <c r="G146" s="18">
        <f>+'Invullen groen'!N146</f>
        <v/>
      </c>
      <c r="H146" s="18">
        <f>+'Invullen groen'!O146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groen'!I147</f>
        <v/>
      </c>
      <c r="E147" s="18">
        <f>+'Invullen groen'!L147</f>
        <v/>
      </c>
      <c r="F147" s="18">
        <f>+'Invullen groen'!M147</f>
        <v/>
      </c>
      <c r="G147" s="18">
        <f>+'Invullen groen'!N147</f>
        <v/>
      </c>
      <c r="H147" s="18">
        <f>+'Invullen groen'!O147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groen'!I148</f>
        <v/>
      </c>
      <c r="E148" s="18">
        <f>+'Invullen groen'!L148</f>
        <v/>
      </c>
      <c r="F148" s="18">
        <f>+'Invullen groen'!M148</f>
        <v/>
      </c>
      <c r="G148" s="18">
        <f>+'Invullen groen'!N148</f>
        <v/>
      </c>
      <c r="H148" s="18">
        <f>+'Invullen groen'!O148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groen'!I149</f>
        <v/>
      </c>
      <c r="E149" s="18">
        <f>+'Invullen groen'!L149</f>
        <v/>
      </c>
      <c r="F149" s="18">
        <f>+'Invullen groen'!M149</f>
        <v/>
      </c>
      <c r="G149" s="18">
        <f>+'Invullen groen'!N149</f>
        <v/>
      </c>
      <c r="H149" s="18">
        <f>+'Invullen groen'!O149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groen'!I150</f>
        <v/>
      </c>
      <c r="E150" s="18">
        <f>+'Invullen groen'!L150</f>
        <v/>
      </c>
      <c r="F150" s="18">
        <f>+'Invullen groen'!M150</f>
        <v/>
      </c>
      <c r="G150" s="18">
        <f>+'Invullen groen'!N150</f>
        <v/>
      </c>
      <c r="H150" s="18">
        <f>+'Invullen groen'!O150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groen'!I151</f>
        <v/>
      </c>
      <c r="E151" s="18">
        <f>+'Invullen groen'!L151</f>
        <v/>
      </c>
      <c r="F151" s="18">
        <f>+'Invullen groen'!M151</f>
        <v/>
      </c>
      <c r="G151" s="18">
        <f>+'Invullen groen'!N151</f>
        <v/>
      </c>
      <c r="H151" s="18">
        <f>+'Invullen groen'!O151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groen'!I152</f>
        <v/>
      </c>
      <c r="E152" s="18">
        <f>+'Invullen groen'!L152</f>
        <v/>
      </c>
      <c r="F152" s="18">
        <f>+'Invullen groen'!M152</f>
        <v/>
      </c>
      <c r="G152" s="18">
        <f>+'Invullen groen'!N152</f>
        <v/>
      </c>
      <c r="H152" s="18">
        <f>+'Invullen groen'!O152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groen'!I153</f>
        <v/>
      </c>
      <c r="E153" s="18">
        <f>+'Invullen groen'!L153</f>
        <v/>
      </c>
      <c r="F153" s="18">
        <f>+'Invullen groen'!M153</f>
        <v/>
      </c>
      <c r="G153" s="18">
        <f>+'Invullen groen'!N153</f>
        <v/>
      </c>
      <c r="H153" s="18">
        <f>+'Invullen groen'!O153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groen'!I154</f>
        <v/>
      </c>
      <c r="E154" s="18">
        <f>+'Invullen groen'!L154</f>
        <v/>
      </c>
      <c r="F154" s="18">
        <f>+'Invullen groen'!M154</f>
        <v/>
      </c>
      <c r="G154" s="18">
        <f>+'Invullen groen'!N154</f>
        <v/>
      </c>
      <c r="H154" s="18">
        <f>+'Invullen groen'!O154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groen'!I155</f>
        <v/>
      </c>
      <c r="E155" s="18">
        <f>+'Invullen groen'!L155</f>
        <v/>
      </c>
      <c r="F155" s="18">
        <f>+'Invullen groen'!M155</f>
        <v/>
      </c>
      <c r="G155" s="18">
        <f>+'Invullen groen'!N155</f>
        <v/>
      </c>
      <c r="H155" s="18">
        <f>+'Invullen groen'!O155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groen'!I156</f>
        <v/>
      </c>
      <c r="E156" s="18">
        <f>+'Invullen groen'!L156</f>
        <v/>
      </c>
      <c r="F156" s="18">
        <f>+'Invullen groen'!M156</f>
        <v/>
      </c>
      <c r="G156" s="18">
        <f>+'Invullen groen'!N156</f>
        <v/>
      </c>
      <c r="H156" s="18">
        <f>+'Invullen groen'!O156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groen'!I157</f>
        <v/>
      </c>
      <c r="E157" s="18">
        <f>+'Invullen groen'!L157</f>
        <v/>
      </c>
      <c r="F157" s="18">
        <f>+'Invullen groen'!M157</f>
        <v/>
      </c>
      <c r="G157" s="18">
        <f>+'Invullen groen'!N157</f>
        <v/>
      </c>
      <c r="H157" s="18">
        <f>+'Invullen groen'!O157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groen'!I158</f>
        <v/>
      </c>
      <c r="E158" s="18">
        <f>+'Invullen groen'!L158</f>
        <v/>
      </c>
      <c r="F158" s="18">
        <f>+'Invullen groen'!M158</f>
        <v/>
      </c>
      <c r="G158" s="18">
        <f>+'Invullen groen'!N158</f>
        <v/>
      </c>
      <c r="H158" s="18">
        <f>+'Invullen groen'!O158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groen'!I159</f>
        <v/>
      </c>
      <c r="E159" s="18">
        <f>+'Invullen groen'!L159</f>
        <v/>
      </c>
      <c r="F159" s="18">
        <f>+'Invullen groen'!M159</f>
        <v/>
      </c>
      <c r="G159" s="18">
        <f>+'Invullen groen'!N159</f>
        <v/>
      </c>
      <c r="H159" s="18">
        <f>+'Invullen groen'!O159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groen'!I160</f>
        <v/>
      </c>
      <c r="E160" s="18">
        <f>+'Invullen groen'!L160</f>
        <v/>
      </c>
      <c r="F160" s="18">
        <f>+'Invullen groen'!M160</f>
        <v/>
      </c>
      <c r="G160" s="18">
        <f>+'Invullen groen'!N160</f>
        <v/>
      </c>
      <c r="H160" s="18">
        <f>+'Invullen groen'!O160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groen'!I161</f>
        <v/>
      </c>
      <c r="E161" s="18">
        <f>+'Invullen groen'!L161</f>
        <v/>
      </c>
      <c r="F161" s="18">
        <f>+'Invullen groen'!M161</f>
        <v/>
      </c>
      <c r="G161" s="18">
        <f>+'Invullen groen'!N161</f>
        <v/>
      </c>
      <c r="H161" s="18">
        <f>+'Invullen groen'!O161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groen'!I162</f>
        <v/>
      </c>
      <c r="E162" s="18">
        <f>+'Invullen groen'!L162</f>
        <v/>
      </c>
      <c r="F162" s="18">
        <f>+'Invullen groen'!M162</f>
        <v/>
      </c>
      <c r="G162" s="18">
        <f>+'Invullen groen'!N162</f>
        <v/>
      </c>
      <c r="H162" s="18">
        <f>+'Invullen groen'!O162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groen'!I163</f>
        <v/>
      </c>
      <c r="E163" s="18">
        <f>+'Invullen groen'!L163</f>
        <v/>
      </c>
      <c r="F163" s="18">
        <f>+'Invullen groen'!M163</f>
        <v/>
      </c>
      <c r="G163" s="18">
        <f>+'Invullen groen'!N163</f>
        <v/>
      </c>
      <c r="H163" s="18">
        <f>+'Invullen groen'!O163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groen'!I164</f>
        <v/>
      </c>
      <c r="E164" s="18">
        <f>+'Invullen groen'!L164</f>
        <v/>
      </c>
      <c r="F164" s="18">
        <f>+'Invullen groen'!M164</f>
        <v/>
      </c>
      <c r="G164" s="18">
        <f>+'Invullen groen'!N164</f>
        <v/>
      </c>
      <c r="H164" s="18">
        <f>+'Invullen groen'!O164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groen'!I165</f>
        <v/>
      </c>
      <c r="E165" s="18">
        <f>+'Invullen groen'!L165</f>
        <v/>
      </c>
      <c r="F165" s="18">
        <f>+'Invullen groen'!M165</f>
        <v/>
      </c>
      <c r="G165" s="18">
        <f>+'Invullen groen'!N165</f>
        <v/>
      </c>
      <c r="H165" s="18">
        <f>+'Invullen groen'!O165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groen'!I166</f>
        <v/>
      </c>
      <c r="E166" s="18">
        <f>+'Invullen groen'!L166</f>
        <v/>
      </c>
      <c r="F166" s="18">
        <f>+'Invullen groen'!M166</f>
        <v/>
      </c>
      <c r="G166" s="18">
        <f>+'Invullen groen'!N166</f>
        <v/>
      </c>
      <c r="H166" s="18">
        <f>+'Invullen groen'!O166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groen'!I167</f>
        <v/>
      </c>
      <c r="E167" s="20">
        <f>+'Invullen groen'!L167</f>
        <v/>
      </c>
      <c r="F167" s="20">
        <f>+'Invullen groen'!M167</f>
        <v/>
      </c>
      <c r="G167" s="20">
        <f>+'Invullen groen'!N167</f>
        <v/>
      </c>
      <c r="H167" s="20">
        <f>+'Invullen groen'!O167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groen'!I168</f>
        <v/>
      </c>
      <c r="E168" s="22">
        <f>+'Invullen groen'!L168</f>
        <v/>
      </c>
      <c r="F168" s="22">
        <f>+'Invullen groen'!M168</f>
        <v/>
      </c>
      <c r="G168" s="22">
        <f>+'Invullen groen'!N168</f>
        <v/>
      </c>
      <c r="H168" s="22">
        <f>+'Invullen groen'!O168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groen'!I169</f>
        <v/>
      </c>
      <c r="E169" s="18">
        <f>+'Invullen groen'!L169</f>
        <v/>
      </c>
      <c r="F169" s="18">
        <f>+'Invullen groen'!M169</f>
        <v/>
      </c>
      <c r="G169" s="18">
        <f>+'Invullen groen'!N169</f>
        <v/>
      </c>
      <c r="H169" s="18">
        <f>+'Invullen groen'!O169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401">
        <f>+'Invullen groen'!A170</f>
        <v/>
      </c>
      <c r="B170" s="402">
        <f>+'Invullen groen'!C170</f>
        <v/>
      </c>
      <c r="C170" s="403">
        <f>+'Invullen groen'!G170</f>
        <v/>
      </c>
      <c r="D170" s="404">
        <f>+'Invullen groen'!I170</f>
        <v/>
      </c>
      <c r="E170" s="405">
        <f>+'Invullen groen'!L170</f>
        <v/>
      </c>
      <c r="F170" s="405">
        <f>+'Invullen groen'!M170</f>
        <v/>
      </c>
      <c r="G170" s="405">
        <f>+'Invullen groen'!N170</f>
        <v/>
      </c>
      <c r="H170" s="405">
        <f>+'Invullen groen'!O170</f>
        <v/>
      </c>
      <c r="I170" s="406">
        <f>+'Invullen groen'!AW170</f>
        <v/>
      </c>
      <c r="J170" s="406">
        <f>+'Invullen groen'!AX170</f>
        <v/>
      </c>
      <c r="K170" s="406">
        <f>+'Invullen groen'!AY170</f>
        <v/>
      </c>
      <c r="L170" s="406">
        <f>+'Invullen groen'!AZ170</f>
        <v/>
      </c>
      <c r="M170" s="406">
        <f>+'Invullen groen'!BA170</f>
        <v/>
      </c>
      <c r="N170" s="406">
        <f>+'Invullen groen'!BB170</f>
        <v/>
      </c>
      <c r="O170" s="406">
        <f>+'Invullen groen'!BC170</f>
        <v/>
      </c>
      <c r="P170" s="406">
        <f>+'Invullen groen'!BD170</f>
        <v/>
      </c>
      <c r="Q170" s="406" t="n"/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groen'!I171</f>
        <v/>
      </c>
      <c r="E171" s="18">
        <f>+'Invullen groen'!L171</f>
        <v/>
      </c>
      <c r="F171" s="18">
        <f>+'Invullen groen'!M171</f>
        <v/>
      </c>
      <c r="G171" s="18">
        <f>+'Invullen groen'!N171</f>
        <v/>
      </c>
      <c r="H171" s="18">
        <f>+'Invullen groen'!O171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groen'!I172</f>
        <v/>
      </c>
      <c r="E172" s="18">
        <f>+'Invullen groen'!L172</f>
        <v/>
      </c>
      <c r="F172" s="18">
        <f>+'Invullen groen'!M172</f>
        <v/>
      </c>
      <c r="G172" s="18">
        <f>+'Invullen groen'!N172</f>
        <v/>
      </c>
      <c r="H172" s="18">
        <f>+'Invullen groen'!O172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groen'!I173</f>
        <v/>
      </c>
      <c r="E173" s="18">
        <f>+'Invullen groen'!L173</f>
        <v/>
      </c>
      <c r="F173" s="18">
        <f>+'Invullen groen'!M173</f>
        <v/>
      </c>
      <c r="G173" s="18">
        <f>+'Invullen groen'!N173</f>
        <v/>
      </c>
      <c r="H173" s="18">
        <f>+'Invullen groen'!O173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groen'!I174</f>
        <v/>
      </c>
      <c r="E174" s="18">
        <f>+'Invullen groen'!L174</f>
        <v/>
      </c>
      <c r="F174" s="18">
        <f>+'Invullen groen'!M174</f>
        <v/>
      </c>
      <c r="G174" s="18">
        <f>+'Invullen groen'!N174</f>
        <v/>
      </c>
      <c r="H174" s="18">
        <f>+'Invullen groen'!O174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groen'!I175</f>
        <v/>
      </c>
      <c r="E175" s="18">
        <f>+'Invullen groen'!L175</f>
        <v/>
      </c>
      <c r="F175" s="18">
        <f>+'Invullen groen'!M175</f>
        <v/>
      </c>
      <c r="G175" s="18">
        <f>+'Invullen groen'!N175</f>
        <v/>
      </c>
      <c r="H175" s="18">
        <f>+'Invullen groen'!O175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groen'!I176</f>
        <v/>
      </c>
      <c r="E176" s="18">
        <f>+'Invullen groen'!L176</f>
        <v/>
      </c>
      <c r="F176" s="18">
        <f>+'Invullen groen'!M176</f>
        <v/>
      </c>
      <c r="G176" s="18">
        <f>+'Invullen groen'!N176</f>
        <v/>
      </c>
      <c r="H176" s="18">
        <f>+'Invullen groen'!O176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groen'!I177</f>
        <v/>
      </c>
      <c r="E177" s="18">
        <f>+'Invullen groen'!L177</f>
        <v/>
      </c>
      <c r="F177" s="18">
        <f>+'Invullen groen'!M177</f>
        <v/>
      </c>
      <c r="G177" s="18">
        <f>+'Invullen groen'!N177</f>
        <v/>
      </c>
      <c r="H177" s="18">
        <f>+'Invullen groen'!O177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groen'!I178</f>
        <v/>
      </c>
      <c r="E178" s="18">
        <f>+'Invullen groen'!L178</f>
        <v/>
      </c>
      <c r="F178" s="18">
        <f>+'Invullen groen'!M178</f>
        <v/>
      </c>
      <c r="G178" s="18">
        <f>+'Invullen groen'!N178</f>
        <v/>
      </c>
      <c r="H178" s="18">
        <f>+'Invullen groen'!O178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groen'!I179</f>
        <v/>
      </c>
      <c r="E179" s="18">
        <f>+'Invullen groen'!L179</f>
        <v/>
      </c>
      <c r="F179" s="18">
        <f>+'Invullen groen'!M179</f>
        <v/>
      </c>
      <c r="G179" s="18">
        <f>+'Invullen groen'!N179</f>
        <v/>
      </c>
      <c r="H179" s="18">
        <f>+'Invullen groen'!O179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groen'!I180</f>
        <v/>
      </c>
      <c r="E180" s="18">
        <f>+'Invullen groen'!L180</f>
        <v/>
      </c>
      <c r="F180" s="18">
        <f>+'Invullen groen'!M180</f>
        <v/>
      </c>
      <c r="G180" s="18">
        <f>+'Invullen groen'!N180</f>
        <v/>
      </c>
      <c r="H180" s="18">
        <f>+'Invullen groen'!O180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groen'!I181</f>
        <v/>
      </c>
      <c r="E181" s="18">
        <f>+'Invullen groen'!L181</f>
        <v/>
      </c>
      <c r="F181" s="18">
        <f>+'Invullen groen'!M181</f>
        <v/>
      </c>
      <c r="G181" s="18">
        <f>+'Invullen groen'!N181</f>
        <v/>
      </c>
      <c r="H181" s="18">
        <f>+'Invullen groen'!O181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groen'!I182</f>
        <v/>
      </c>
      <c r="E182" s="18">
        <f>+'Invullen groen'!L182</f>
        <v/>
      </c>
      <c r="F182" s="18">
        <f>+'Invullen groen'!M182</f>
        <v/>
      </c>
      <c r="G182" s="18">
        <f>+'Invullen groen'!N182</f>
        <v/>
      </c>
      <c r="H182" s="18">
        <f>+'Invullen groen'!O182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groen'!I183</f>
        <v/>
      </c>
      <c r="E183" s="18">
        <f>+'Invullen groen'!L183</f>
        <v/>
      </c>
      <c r="F183" s="18">
        <f>+'Invullen groen'!M183</f>
        <v/>
      </c>
      <c r="G183" s="18">
        <f>+'Invullen groen'!N183</f>
        <v/>
      </c>
      <c r="H183" s="18">
        <f>+'Invullen groen'!O183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groen'!I184</f>
        <v/>
      </c>
      <c r="E184" s="18">
        <f>+'Invullen groen'!L184</f>
        <v/>
      </c>
      <c r="F184" s="18">
        <f>+'Invullen groen'!M184</f>
        <v/>
      </c>
      <c r="G184" s="18">
        <f>+'Invullen groen'!N184</f>
        <v/>
      </c>
      <c r="H184" s="18">
        <f>+'Invullen groen'!O184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groen'!I185</f>
        <v/>
      </c>
      <c r="E185" s="18">
        <f>+'Invullen groen'!L185</f>
        <v/>
      </c>
      <c r="F185" s="18">
        <f>+'Invullen groen'!M185</f>
        <v/>
      </c>
      <c r="G185" s="18">
        <f>+'Invullen groen'!N185</f>
        <v/>
      </c>
      <c r="H185" s="18">
        <f>+'Invullen groen'!O185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groen'!I186</f>
        <v/>
      </c>
      <c r="E186" s="18">
        <f>+'Invullen groen'!L186</f>
        <v/>
      </c>
      <c r="F186" s="18">
        <f>+'Invullen groen'!M186</f>
        <v/>
      </c>
      <c r="G186" s="18">
        <f>+'Invullen groen'!N186</f>
        <v/>
      </c>
      <c r="H186" s="18">
        <f>+'Invullen groen'!O186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groen'!I187</f>
        <v/>
      </c>
      <c r="E187" s="18">
        <f>+'Invullen groen'!L187</f>
        <v/>
      </c>
      <c r="F187" s="18">
        <f>+'Invullen groen'!M187</f>
        <v/>
      </c>
      <c r="G187" s="18">
        <f>+'Invullen groen'!N187</f>
        <v/>
      </c>
      <c r="H187" s="18">
        <f>+'Invullen groen'!O187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groen'!I188</f>
        <v/>
      </c>
      <c r="E188" s="18">
        <f>+'Invullen groen'!L188</f>
        <v/>
      </c>
      <c r="F188" s="18">
        <f>+'Invullen groen'!M188</f>
        <v/>
      </c>
      <c r="G188" s="18">
        <f>+'Invullen groen'!N188</f>
        <v/>
      </c>
      <c r="H188" s="18">
        <f>+'Invullen groen'!O188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groen'!I189</f>
        <v/>
      </c>
      <c r="E189" s="18">
        <f>+'Invullen groen'!L189</f>
        <v/>
      </c>
      <c r="F189" s="18">
        <f>+'Invullen groen'!M189</f>
        <v/>
      </c>
      <c r="G189" s="18">
        <f>+'Invullen groen'!N189</f>
        <v/>
      </c>
      <c r="H189" s="18">
        <f>+'Invullen groen'!O189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groen'!I190</f>
        <v/>
      </c>
      <c r="E190" s="18">
        <f>+'Invullen groen'!L190</f>
        <v/>
      </c>
      <c r="F190" s="18">
        <f>+'Invullen groen'!M190</f>
        <v/>
      </c>
      <c r="G190" s="18">
        <f>+'Invullen groen'!N190</f>
        <v/>
      </c>
      <c r="H190" s="18">
        <f>+'Invullen groen'!O190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groen'!I191</f>
        <v/>
      </c>
      <c r="E191" s="18">
        <f>+'Invullen groen'!L191</f>
        <v/>
      </c>
      <c r="F191" s="18">
        <f>+'Invullen groen'!M191</f>
        <v/>
      </c>
      <c r="G191" s="18">
        <f>+'Invullen groen'!N191</f>
        <v/>
      </c>
      <c r="H191" s="18">
        <f>+'Invullen groen'!O191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groen'!I192</f>
        <v/>
      </c>
      <c r="E192" s="18">
        <f>+'Invullen groen'!L192</f>
        <v/>
      </c>
      <c r="F192" s="18">
        <f>+'Invullen groen'!M192</f>
        <v/>
      </c>
      <c r="G192" s="18">
        <f>+'Invullen groen'!N192</f>
        <v/>
      </c>
      <c r="H192" s="18">
        <f>+'Invullen groen'!O192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groen'!I193</f>
        <v/>
      </c>
      <c r="E193" s="18">
        <f>+'Invullen groen'!L193</f>
        <v/>
      </c>
      <c r="F193" s="18">
        <f>+'Invullen groen'!M193</f>
        <v/>
      </c>
      <c r="G193" s="18">
        <f>+'Invullen groen'!N193</f>
        <v/>
      </c>
      <c r="H193" s="18">
        <f>+'Invullen groen'!O193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groen'!I194</f>
        <v/>
      </c>
      <c r="E194" s="18">
        <f>+'Invullen groen'!L194</f>
        <v/>
      </c>
      <c r="F194" s="18">
        <f>+'Invullen groen'!M194</f>
        <v/>
      </c>
      <c r="G194" s="18">
        <f>+'Invullen groen'!N194</f>
        <v/>
      </c>
      <c r="H194" s="18">
        <f>+'Invullen groen'!O194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groen'!I195</f>
        <v/>
      </c>
      <c r="E195" s="18">
        <f>+'Invullen groen'!L195</f>
        <v/>
      </c>
      <c r="F195" s="18">
        <f>+'Invullen groen'!M195</f>
        <v/>
      </c>
      <c r="G195" s="18">
        <f>+'Invullen groen'!N195</f>
        <v/>
      </c>
      <c r="H195" s="18">
        <f>+'Invullen groen'!O195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groen'!I196</f>
        <v/>
      </c>
      <c r="E196" s="18">
        <f>+'Invullen groen'!L196</f>
        <v/>
      </c>
      <c r="F196" s="18">
        <f>+'Invullen groen'!M196</f>
        <v/>
      </c>
      <c r="G196" s="18">
        <f>+'Invullen groen'!N196</f>
        <v/>
      </c>
      <c r="H196" s="18">
        <f>+'Invullen groen'!O196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groen'!I197</f>
        <v/>
      </c>
      <c r="E197" s="18">
        <f>+'Invullen groen'!L197</f>
        <v/>
      </c>
      <c r="F197" s="18">
        <f>+'Invullen groen'!M197</f>
        <v/>
      </c>
      <c r="G197" s="18">
        <f>+'Invullen groen'!N197</f>
        <v/>
      </c>
      <c r="H197" s="18">
        <f>+'Invullen groen'!O197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groen'!I198</f>
        <v/>
      </c>
      <c r="E198" s="18">
        <f>+'Invullen groen'!L198</f>
        <v/>
      </c>
      <c r="F198" s="18">
        <f>+'Invullen groen'!M198</f>
        <v/>
      </c>
      <c r="G198" s="18">
        <f>+'Invullen groen'!N198</f>
        <v/>
      </c>
      <c r="H198" s="18">
        <f>+'Invullen groen'!O198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groen'!I199</f>
        <v/>
      </c>
      <c r="E199" s="18">
        <f>+'Invullen groen'!L199</f>
        <v/>
      </c>
      <c r="F199" s="18">
        <f>+'Invullen groen'!M199</f>
        <v/>
      </c>
      <c r="G199" s="18">
        <f>+'Invullen groen'!N199</f>
        <v/>
      </c>
      <c r="H199" s="18">
        <f>+'Invullen groen'!O199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groen'!I200</f>
        <v/>
      </c>
      <c r="E200" s="18">
        <f>+'Invullen groen'!L200</f>
        <v/>
      </c>
      <c r="F200" s="18">
        <f>+'Invullen groen'!M200</f>
        <v/>
      </c>
      <c r="G200" s="18">
        <f>+'Invullen groen'!N200</f>
        <v/>
      </c>
      <c r="H200" s="18">
        <f>+'Invullen groen'!O200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groen'!I201</f>
        <v/>
      </c>
      <c r="E201" s="18">
        <f>+'Invullen groen'!L201</f>
        <v/>
      </c>
      <c r="F201" s="18">
        <f>+'Invullen groen'!M201</f>
        <v/>
      </c>
      <c r="G201" s="18">
        <f>+'Invullen groen'!N201</f>
        <v/>
      </c>
      <c r="H201" s="18">
        <f>+'Invullen groen'!O201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groen'!I202</f>
        <v/>
      </c>
      <c r="E202" s="18">
        <f>+'Invullen groen'!L202</f>
        <v/>
      </c>
      <c r="F202" s="18">
        <f>+'Invullen groen'!M202</f>
        <v/>
      </c>
      <c r="G202" s="18">
        <f>+'Invullen groen'!N202</f>
        <v/>
      </c>
      <c r="H202" s="18">
        <f>+'Invullen groen'!O202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groen'!I203</f>
        <v/>
      </c>
      <c r="E203" s="18">
        <f>+'Invullen groen'!L203</f>
        <v/>
      </c>
      <c r="F203" s="18">
        <f>+'Invullen groen'!M203</f>
        <v/>
      </c>
      <c r="G203" s="18">
        <f>+'Invullen groen'!N203</f>
        <v/>
      </c>
      <c r="H203" s="18">
        <f>+'Invullen groen'!O203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groen'!I204</f>
        <v/>
      </c>
      <c r="E204" s="18">
        <f>+'Invullen groen'!L204</f>
        <v/>
      </c>
      <c r="F204" s="18">
        <f>+'Invullen groen'!M204</f>
        <v/>
      </c>
      <c r="G204" s="18">
        <f>+'Invullen groen'!N204</f>
        <v/>
      </c>
      <c r="H204" s="18">
        <f>+'Invullen groen'!O204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groen'!I205</f>
        <v/>
      </c>
      <c r="E205" s="18">
        <f>+'Invullen groen'!L205</f>
        <v/>
      </c>
      <c r="F205" s="18">
        <f>+'Invullen groen'!M205</f>
        <v/>
      </c>
      <c r="G205" s="18">
        <f>+'Invullen groen'!N205</f>
        <v/>
      </c>
      <c r="H205" s="18">
        <f>+'Invullen groen'!O205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groen'!I206</f>
        <v/>
      </c>
      <c r="E206" s="18">
        <f>+'Invullen groen'!L206</f>
        <v/>
      </c>
      <c r="F206" s="18">
        <f>+'Invullen groen'!M206</f>
        <v/>
      </c>
      <c r="G206" s="18">
        <f>+'Invullen groen'!N206</f>
        <v/>
      </c>
      <c r="H206" s="18">
        <f>+'Invullen groen'!O206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groen'!I207</f>
        <v/>
      </c>
      <c r="E207" s="18">
        <f>+'Invullen groen'!L207</f>
        <v/>
      </c>
      <c r="F207" s="18">
        <f>+'Invullen groen'!M207</f>
        <v/>
      </c>
      <c r="G207" s="18">
        <f>+'Invullen groen'!N207</f>
        <v/>
      </c>
      <c r="H207" s="18">
        <f>+'Invullen groen'!O207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groen'!I208</f>
        <v/>
      </c>
      <c r="E208" s="18">
        <f>+'Invullen groen'!L208</f>
        <v/>
      </c>
      <c r="F208" s="18">
        <f>+'Invullen groen'!M208</f>
        <v/>
      </c>
      <c r="G208" s="18">
        <f>+'Invullen groen'!N208</f>
        <v/>
      </c>
      <c r="H208" s="18">
        <f>+'Invullen groen'!O208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groen'!I209</f>
        <v/>
      </c>
      <c r="E209" s="18">
        <f>+'Invullen groen'!L209</f>
        <v/>
      </c>
      <c r="F209" s="18">
        <f>+'Invullen groen'!M209</f>
        <v/>
      </c>
      <c r="G209" s="18">
        <f>+'Invullen groen'!N209</f>
        <v/>
      </c>
      <c r="H209" s="18">
        <f>+'Invullen groen'!O209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groen'!I210</f>
        <v/>
      </c>
      <c r="E210" s="18">
        <f>+'Invullen groen'!L210</f>
        <v/>
      </c>
      <c r="F210" s="18">
        <f>+'Invullen groen'!M210</f>
        <v/>
      </c>
      <c r="G210" s="18">
        <f>+'Invullen groen'!N210</f>
        <v/>
      </c>
      <c r="H210" s="18">
        <f>+'Invullen groen'!O210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groen'!I211</f>
        <v/>
      </c>
      <c r="E211" s="18">
        <f>+'Invullen groen'!L211</f>
        <v/>
      </c>
      <c r="F211" s="18">
        <f>+'Invullen groen'!M211</f>
        <v/>
      </c>
      <c r="G211" s="18">
        <f>+'Invullen groen'!N211</f>
        <v/>
      </c>
      <c r="H211" s="18">
        <f>+'Invullen groen'!O211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groen'!I212</f>
        <v/>
      </c>
      <c r="E212" s="18">
        <f>+'Invullen groen'!L212</f>
        <v/>
      </c>
      <c r="F212" s="18">
        <f>+'Invullen groen'!M212</f>
        <v/>
      </c>
      <c r="G212" s="18">
        <f>+'Invullen groen'!N212</f>
        <v/>
      </c>
      <c r="H212" s="18">
        <f>+'Invullen groen'!O212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groen'!I213</f>
        <v/>
      </c>
      <c r="E213" s="18">
        <f>+'Invullen groen'!L213</f>
        <v/>
      </c>
      <c r="F213" s="18">
        <f>+'Invullen groen'!M213</f>
        <v/>
      </c>
      <c r="G213" s="18">
        <f>+'Invullen groen'!N213</f>
        <v/>
      </c>
      <c r="H213" s="18">
        <f>+'Invullen groen'!O213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groen'!I214</f>
        <v/>
      </c>
      <c r="E214" s="18">
        <f>+'Invullen groen'!L214</f>
        <v/>
      </c>
      <c r="F214" s="18">
        <f>+'Invullen groen'!M214</f>
        <v/>
      </c>
      <c r="G214" s="18">
        <f>+'Invullen groen'!N214</f>
        <v/>
      </c>
      <c r="H214" s="18">
        <f>+'Invullen groen'!O214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groen'!I215</f>
        <v/>
      </c>
      <c r="E215" s="18">
        <f>+'Invullen groen'!L215</f>
        <v/>
      </c>
      <c r="F215" s="18">
        <f>+'Invullen groen'!M215</f>
        <v/>
      </c>
      <c r="G215" s="18">
        <f>+'Invullen groen'!N215</f>
        <v/>
      </c>
      <c r="H215" s="18">
        <f>+'Invullen groen'!O215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groen'!I216</f>
        <v/>
      </c>
      <c r="E216" s="20">
        <f>+'Invullen groen'!L216</f>
        <v/>
      </c>
      <c r="F216" s="20">
        <f>+'Invullen groen'!M216</f>
        <v/>
      </c>
      <c r="G216" s="20">
        <f>+'Invullen groen'!N216</f>
        <v/>
      </c>
      <c r="H216" s="20">
        <f>+'Invullen groen'!O216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groen'!I217</f>
        <v/>
      </c>
      <c r="E217" s="22">
        <f>+'Invullen groen'!L217</f>
        <v/>
      </c>
      <c r="F217" s="22">
        <f>+'Invullen groen'!M217</f>
        <v/>
      </c>
      <c r="G217" s="22">
        <f>+'Invullen groen'!N217</f>
        <v/>
      </c>
      <c r="H217" s="22">
        <f>+'Invullen groen'!O217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groen'!I218</f>
        <v/>
      </c>
      <c r="E218" s="18">
        <f>+'Invullen groen'!L218</f>
        <v/>
      </c>
      <c r="F218" s="18">
        <f>+'Invullen groen'!M218</f>
        <v/>
      </c>
      <c r="G218" s="18">
        <f>+'Invullen groen'!N218</f>
        <v/>
      </c>
      <c r="H218" s="18">
        <f>+'Invullen groen'!O218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groen'!I219</f>
        <v/>
      </c>
      <c r="E219" s="18">
        <f>+'Invullen groen'!L219</f>
        <v/>
      </c>
      <c r="F219" s="18">
        <f>+'Invullen groen'!M219</f>
        <v/>
      </c>
      <c r="G219" s="18">
        <f>+'Invullen groen'!N219</f>
        <v/>
      </c>
      <c r="H219" s="18">
        <f>+'Invullen groen'!O219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groen'!I220</f>
        <v/>
      </c>
      <c r="E220" s="18">
        <f>+'Invullen groen'!L220</f>
        <v/>
      </c>
      <c r="F220" s="18">
        <f>+'Invullen groen'!M220</f>
        <v/>
      </c>
      <c r="G220" s="18">
        <f>+'Invullen groen'!N220</f>
        <v/>
      </c>
      <c r="H220" s="18">
        <f>+'Invullen groen'!O220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groen'!I221</f>
        <v/>
      </c>
      <c r="E221" s="18">
        <f>+'Invullen groen'!L221</f>
        <v/>
      </c>
      <c r="F221" s="18">
        <f>+'Invullen groen'!M221</f>
        <v/>
      </c>
      <c r="G221" s="18">
        <f>+'Invullen groen'!N221</f>
        <v/>
      </c>
      <c r="H221" s="18">
        <f>+'Invullen groen'!O221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groen'!I222</f>
        <v/>
      </c>
      <c r="E222" s="18">
        <f>+'Invullen groen'!L222</f>
        <v/>
      </c>
      <c r="F222" s="18">
        <f>+'Invullen groen'!M222</f>
        <v/>
      </c>
      <c r="G222" s="18">
        <f>+'Invullen groen'!N222</f>
        <v/>
      </c>
      <c r="H222" s="18">
        <f>+'Invullen groen'!O222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groen'!I223</f>
        <v/>
      </c>
      <c r="E223" s="18">
        <f>+'Invullen groen'!L223</f>
        <v/>
      </c>
      <c r="F223" s="18">
        <f>+'Invullen groen'!M223</f>
        <v/>
      </c>
      <c r="G223" s="18">
        <f>+'Invullen groen'!N223</f>
        <v/>
      </c>
      <c r="H223" s="18">
        <f>+'Invullen groen'!O223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groen'!I224</f>
        <v/>
      </c>
      <c r="E224" s="18">
        <f>+'Invullen groen'!L224</f>
        <v/>
      </c>
      <c r="F224" s="18">
        <f>+'Invullen groen'!M224</f>
        <v/>
      </c>
      <c r="G224" s="18">
        <f>+'Invullen groen'!N224</f>
        <v/>
      </c>
      <c r="H224" s="18">
        <f>+'Invullen groen'!O224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groen'!I225</f>
        <v/>
      </c>
      <c r="E225" s="18">
        <f>+'Invullen groen'!L225</f>
        <v/>
      </c>
      <c r="F225" s="18">
        <f>+'Invullen groen'!M225</f>
        <v/>
      </c>
      <c r="G225" s="18">
        <f>+'Invullen groen'!N225</f>
        <v/>
      </c>
      <c r="H225" s="18">
        <f>+'Invullen groen'!O225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groen'!I226</f>
        <v/>
      </c>
      <c r="E226" s="18">
        <f>+'Invullen groen'!L226</f>
        <v/>
      </c>
      <c r="F226" s="18">
        <f>+'Invullen groen'!M226</f>
        <v/>
      </c>
      <c r="G226" s="18">
        <f>+'Invullen groen'!N226</f>
        <v/>
      </c>
      <c r="H226" s="18">
        <f>+'Invullen groen'!O226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groen'!I227</f>
        <v/>
      </c>
      <c r="E227" s="18">
        <f>+'Invullen groen'!L227</f>
        <v/>
      </c>
      <c r="F227" s="18">
        <f>+'Invullen groen'!M227</f>
        <v/>
      </c>
      <c r="G227" s="18">
        <f>+'Invullen groen'!N227</f>
        <v/>
      </c>
      <c r="H227" s="18">
        <f>+'Invullen groen'!O227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groen'!I228</f>
        <v/>
      </c>
      <c r="E228" s="18">
        <f>+'Invullen groen'!L228</f>
        <v/>
      </c>
      <c r="F228" s="18">
        <f>+'Invullen groen'!M228</f>
        <v/>
      </c>
      <c r="G228" s="18">
        <f>+'Invullen groen'!N228</f>
        <v/>
      </c>
      <c r="H228" s="18">
        <f>+'Invullen groen'!O228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groen'!I229</f>
        <v/>
      </c>
      <c r="E229" s="18">
        <f>+'Invullen groen'!L229</f>
        <v/>
      </c>
      <c r="F229" s="18">
        <f>+'Invullen groen'!M229</f>
        <v/>
      </c>
      <c r="G229" s="18">
        <f>+'Invullen groen'!N229</f>
        <v/>
      </c>
      <c r="H229" s="18">
        <f>+'Invullen groen'!O229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groen'!I230</f>
        <v/>
      </c>
      <c r="E230" s="18">
        <f>+'Invullen groen'!L230</f>
        <v/>
      </c>
      <c r="F230" s="18">
        <f>+'Invullen groen'!M230</f>
        <v/>
      </c>
      <c r="G230" s="18">
        <f>+'Invullen groen'!N230</f>
        <v/>
      </c>
      <c r="H230" s="18">
        <f>+'Invullen groen'!O230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groen'!I231</f>
        <v/>
      </c>
      <c r="E231" s="18">
        <f>+'Invullen groen'!L231</f>
        <v/>
      </c>
      <c r="F231" s="18">
        <f>+'Invullen groen'!M231</f>
        <v/>
      </c>
      <c r="G231" s="18">
        <f>+'Invullen groen'!N231</f>
        <v/>
      </c>
      <c r="H231" s="18">
        <f>+'Invullen groen'!O231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groen'!I232</f>
        <v/>
      </c>
      <c r="E232" s="18">
        <f>+'Invullen groen'!L232</f>
        <v/>
      </c>
      <c r="F232" s="18">
        <f>+'Invullen groen'!M232</f>
        <v/>
      </c>
      <c r="G232" s="18">
        <f>+'Invullen groen'!N232</f>
        <v/>
      </c>
      <c r="H232" s="18">
        <f>+'Invullen groen'!O232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groen'!I233</f>
        <v/>
      </c>
      <c r="E233" s="18">
        <f>+'Invullen groen'!L233</f>
        <v/>
      </c>
      <c r="F233" s="18">
        <f>+'Invullen groen'!M233</f>
        <v/>
      </c>
      <c r="G233" s="18">
        <f>+'Invullen groen'!N233</f>
        <v/>
      </c>
      <c r="H233" s="18">
        <f>+'Invullen groen'!O233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groen'!I234</f>
        <v/>
      </c>
      <c r="E234" s="18">
        <f>+'Invullen groen'!L234</f>
        <v/>
      </c>
      <c r="F234" s="18">
        <f>+'Invullen groen'!M234</f>
        <v/>
      </c>
      <c r="G234" s="18">
        <f>+'Invullen groen'!N234</f>
        <v/>
      </c>
      <c r="H234" s="18">
        <f>+'Invullen groen'!O234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groen'!I235</f>
        <v/>
      </c>
      <c r="E235" s="18">
        <f>+'Invullen groen'!L235</f>
        <v/>
      </c>
      <c r="F235" s="18">
        <f>+'Invullen groen'!M235</f>
        <v/>
      </c>
      <c r="G235" s="18">
        <f>+'Invullen groen'!N235</f>
        <v/>
      </c>
      <c r="H235" s="18">
        <f>+'Invullen groen'!O235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groen'!I236</f>
        <v/>
      </c>
      <c r="E236" s="18">
        <f>+'Invullen groen'!L236</f>
        <v/>
      </c>
      <c r="F236" s="18">
        <f>+'Invullen groen'!M236</f>
        <v/>
      </c>
      <c r="G236" s="18">
        <f>+'Invullen groen'!N236</f>
        <v/>
      </c>
      <c r="H236" s="18">
        <f>+'Invullen groen'!O236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groen'!I237</f>
        <v/>
      </c>
      <c r="E237" s="18">
        <f>+'Invullen groen'!L237</f>
        <v/>
      </c>
      <c r="F237" s="18">
        <f>+'Invullen groen'!M237</f>
        <v/>
      </c>
      <c r="G237" s="18">
        <f>+'Invullen groen'!N237</f>
        <v/>
      </c>
      <c r="H237" s="18">
        <f>+'Invullen groen'!O237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groen'!I238</f>
        <v/>
      </c>
      <c r="E238" s="18">
        <f>+'Invullen groen'!L238</f>
        <v/>
      </c>
      <c r="F238" s="18">
        <f>+'Invullen groen'!M238</f>
        <v/>
      </c>
      <c r="G238" s="18">
        <f>+'Invullen groen'!N238</f>
        <v/>
      </c>
      <c r="H238" s="18">
        <f>+'Invullen groen'!O238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groen'!I239</f>
        <v/>
      </c>
      <c r="E239" s="18">
        <f>+'Invullen groen'!L239</f>
        <v/>
      </c>
      <c r="F239" s="18">
        <f>+'Invullen groen'!M239</f>
        <v/>
      </c>
      <c r="G239" s="18">
        <f>+'Invullen groen'!N239</f>
        <v/>
      </c>
      <c r="H239" s="18">
        <f>+'Invullen groen'!O239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groen'!I240</f>
        <v/>
      </c>
      <c r="E240" s="18">
        <f>+'Invullen groen'!L240</f>
        <v/>
      </c>
      <c r="F240" s="18">
        <f>+'Invullen groen'!M240</f>
        <v/>
      </c>
      <c r="G240" s="18">
        <f>+'Invullen groen'!N240</f>
        <v/>
      </c>
      <c r="H240" s="18">
        <f>+'Invullen groen'!O240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groen'!I241</f>
        <v/>
      </c>
      <c r="E241" s="18">
        <f>+'Invullen groen'!L241</f>
        <v/>
      </c>
      <c r="F241" s="18">
        <f>+'Invullen groen'!M241</f>
        <v/>
      </c>
      <c r="G241" s="18">
        <f>+'Invullen groen'!N241</f>
        <v/>
      </c>
      <c r="H241" s="18">
        <f>+'Invullen groen'!O241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groen'!I242</f>
        <v/>
      </c>
      <c r="E242" s="18">
        <f>+'Invullen groen'!L242</f>
        <v/>
      </c>
      <c r="F242" s="18">
        <f>+'Invullen groen'!M242</f>
        <v/>
      </c>
      <c r="G242" s="18">
        <f>+'Invullen groen'!N242</f>
        <v/>
      </c>
      <c r="H242" s="18">
        <f>+'Invullen groen'!O242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groen'!I243</f>
        <v/>
      </c>
      <c r="E243" s="18">
        <f>+'Invullen groen'!L243</f>
        <v/>
      </c>
      <c r="F243" s="18">
        <f>+'Invullen groen'!M243</f>
        <v/>
      </c>
      <c r="G243" s="18">
        <f>+'Invullen groen'!N243</f>
        <v/>
      </c>
      <c r="H243" s="18">
        <f>+'Invullen groen'!O243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groen'!I244</f>
        <v/>
      </c>
      <c r="E244" s="18">
        <f>+'Invullen groen'!L244</f>
        <v/>
      </c>
      <c r="F244" s="18">
        <f>+'Invullen groen'!M244</f>
        <v/>
      </c>
      <c r="G244" s="18">
        <f>+'Invullen groen'!N244</f>
        <v/>
      </c>
      <c r="H244" s="18">
        <f>+'Invullen groen'!O244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groen'!I245</f>
        <v/>
      </c>
      <c r="E245" s="18">
        <f>+'Invullen groen'!L245</f>
        <v/>
      </c>
      <c r="F245" s="18">
        <f>+'Invullen groen'!M245</f>
        <v/>
      </c>
      <c r="G245" s="18">
        <f>+'Invullen groen'!N245</f>
        <v/>
      </c>
      <c r="H245" s="18">
        <f>+'Invullen groen'!O245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groen'!I246</f>
        <v/>
      </c>
      <c r="E246" s="18">
        <f>+'Invullen groen'!L246</f>
        <v/>
      </c>
      <c r="F246" s="18">
        <f>+'Invullen groen'!M246</f>
        <v/>
      </c>
      <c r="G246" s="18">
        <f>+'Invullen groen'!N246</f>
        <v/>
      </c>
      <c r="H246" s="18">
        <f>+'Invullen groen'!O246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groen'!I247</f>
        <v/>
      </c>
      <c r="E247" s="18">
        <f>+'Invullen groen'!L247</f>
        <v/>
      </c>
      <c r="F247" s="18">
        <f>+'Invullen groen'!M247</f>
        <v/>
      </c>
      <c r="G247" s="18">
        <f>+'Invullen groen'!N247</f>
        <v/>
      </c>
      <c r="H247" s="18">
        <f>+'Invullen groen'!O247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groen'!I248</f>
        <v/>
      </c>
      <c r="E248" s="18">
        <f>+'Invullen groen'!L248</f>
        <v/>
      </c>
      <c r="F248" s="18">
        <f>+'Invullen groen'!M248</f>
        <v/>
      </c>
      <c r="G248" s="18">
        <f>+'Invullen groen'!N248</f>
        <v/>
      </c>
      <c r="H248" s="18">
        <f>+'Invullen groen'!O248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groen'!I249</f>
        <v/>
      </c>
      <c r="E249" s="18">
        <f>+'Invullen groen'!L249</f>
        <v/>
      </c>
      <c r="F249" s="18">
        <f>+'Invullen groen'!M249</f>
        <v/>
      </c>
      <c r="G249" s="18">
        <f>+'Invullen groen'!N249</f>
        <v/>
      </c>
      <c r="H249" s="18">
        <f>+'Invullen groen'!O249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groen'!I250</f>
        <v/>
      </c>
      <c r="E250" s="18">
        <f>+'Invullen groen'!L250</f>
        <v/>
      </c>
      <c r="F250" s="18">
        <f>+'Invullen groen'!M250</f>
        <v/>
      </c>
      <c r="G250" s="18">
        <f>+'Invullen groen'!N250</f>
        <v/>
      </c>
      <c r="H250" s="18">
        <f>+'Invullen groen'!O250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groen'!I251</f>
        <v/>
      </c>
      <c r="E251" s="18">
        <f>+'Invullen groen'!L251</f>
        <v/>
      </c>
      <c r="F251" s="18">
        <f>+'Invullen groen'!M251</f>
        <v/>
      </c>
      <c r="G251" s="18">
        <f>+'Invullen groen'!N251</f>
        <v/>
      </c>
      <c r="H251" s="18">
        <f>+'Invullen groen'!O251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groen'!I252</f>
        <v/>
      </c>
      <c r="E252" s="18">
        <f>+'Invullen groen'!L252</f>
        <v/>
      </c>
      <c r="F252" s="18">
        <f>+'Invullen groen'!M252</f>
        <v/>
      </c>
      <c r="G252" s="18">
        <f>+'Invullen groen'!N252</f>
        <v/>
      </c>
      <c r="H252" s="18">
        <f>+'Invullen groen'!O252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groen'!I253</f>
        <v/>
      </c>
      <c r="E253" s="18">
        <f>+'Invullen groen'!L253</f>
        <v/>
      </c>
      <c r="F253" s="18">
        <f>+'Invullen groen'!M253</f>
        <v/>
      </c>
      <c r="G253" s="18">
        <f>+'Invullen groen'!N253</f>
        <v/>
      </c>
      <c r="H253" s="18">
        <f>+'Invullen groen'!O253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groen'!I254</f>
        <v/>
      </c>
      <c r="E254" s="18">
        <f>+'Invullen groen'!L254</f>
        <v/>
      </c>
      <c r="F254" s="18">
        <f>+'Invullen groen'!M254</f>
        <v/>
      </c>
      <c r="G254" s="18">
        <f>+'Invullen groen'!N254</f>
        <v/>
      </c>
      <c r="H254" s="18">
        <f>+'Invullen groen'!O254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groen'!I255</f>
        <v/>
      </c>
      <c r="E255" s="18">
        <f>+'Invullen groen'!L255</f>
        <v/>
      </c>
      <c r="F255" s="18">
        <f>+'Invullen groen'!M255</f>
        <v/>
      </c>
      <c r="G255" s="18">
        <f>+'Invullen groen'!N255</f>
        <v/>
      </c>
      <c r="H255" s="18">
        <f>+'Invullen groen'!O255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groen'!I256</f>
        <v/>
      </c>
      <c r="E256" s="18">
        <f>+'Invullen groen'!L256</f>
        <v/>
      </c>
      <c r="F256" s="18">
        <f>+'Invullen groen'!M256</f>
        <v/>
      </c>
      <c r="G256" s="18">
        <f>+'Invullen groen'!N256</f>
        <v/>
      </c>
      <c r="H256" s="18">
        <f>+'Invullen groen'!O256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groen'!I257</f>
        <v/>
      </c>
      <c r="E257" s="18">
        <f>+'Invullen groen'!L257</f>
        <v/>
      </c>
      <c r="F257" s="18">
        <f>+'Invullen groen'!M257</f>
        <v/>
      </c>
      <c r="G257" s="18">
        <f>+'Invullen groen'!N257</f>
        <v/>
      </c>
      <c r="H257" s="18">
        <f>+'Invullen groen'!O257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groen'!I258</f>
        <v/>
      </c>
      <c r="E258" s="18">
        <f>+'Invullen groen'!L258</f>
        <v/>
      </c>
      <c r="F258" s="18">
        <f>+'Invullen groen'!M258</f>
        <v/>
      </c>
      <c r="G258" s="18">
        <f>+'Invullen groen'!N258</f>
        <v/>
      </c>
      <c r="H258" s="18">
        <f>+'Invullen groen'!O258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groen'!I259</f>
        <v/>
      </c>
      <c r="E259" s="18">
        <f>+'Invullen groen'!L259</f>
        <v/>
      </c>
      <c r="F259" s="18">
        <f>+'Invullen groen'!M259</f>
        <v/>
      </c>
      <c r="G259" s="18">
        <f>+'Invullen groen'!N259</f>
        <v/>
      </c>
      <c r="H259" s="18">
        <f>+'Invullen groen'!O259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groen'!I260</f>
        <v/>
      </c>
      <c r="E260" s="18">
        <f>+'Invullen groen'!L260</f>
        <v/>
      </c>
      <c r="F260" s="18">
        <f>+'Invullen groen'!M260</f>
        <v/>
      </c>
      <c r="G260" s="18">
        <f>+'Invullen groen'!N260</f>
        <v/>
      </c>
      <c r="H260" s="18">
        <f>+'Invullen groen'!O260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groen'!I261</f>
        <v/>
      </c>
      <c r="E261" s="18">
        <f>+'Invullen groen'!L261</f>
        <v/>
      </c>
      <c r="F261" s="18">
        <f>+'Invullen groen'!M261</f>
        <v/>
      </c>
      <c r="G261" s="18">
        <f>+'Invullen groen'!N261</f>
        <v/>
      </c>
      <c r="H261" s="18">
        <f>+'Invullen groen'!O261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groen'!I262</f>
        <v/>
      </c>
      <c r="E262" s="18">
        <f>+'Invullen groen'!L262</f>
        <v/>
      </c>
      <c r="F262" s="18">
        <f>+'Invullen groen'!M262</f>
        <v/>
      </c>
      <c r="G262" s="18">
        <f>+'Invullen groen'!N262</f>
        <v/>
      </c>
      <c r="H262" s="18">
        <f>+'Invullen groen'!O262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groen'!I263</f>
        <v/>
      </c>
      <c r="E263" s="18">
        <f>+'Invullen groen'!L263</f>
        <v/>
      </c>
      <c r="F263" s="18">
        <f>+'Invullen groen'!M263</f>
        <v/>
      </c>
      <c r="G263" s="18">
        <f>+'Invullen groen'!N263</f>
        <v/>
      </c>
      <c r="H263" s="18">
        <f>+'Invullen groen'!O263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groen'!I264</f>
        <v/>
      </c>
      <c r="E264" s="18">
        <f>+'Invullen groen'!L264</f>
        <v/>
      </c>
      <c r="F264" s="18">
        <f>+'Invullen groen'!M264</f>
        <v/>
      </c>
      <c r="G264" s="18">
        <f>+'Invullen groen'!N264</f>
        <v/>
      </c>
      <c r="H264" s="18">
        <f>+'Invullen groen'!O264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groen'!I265</f>
        <v/>
      </c>
      <c r="E265" s="18">
        <f>+'Invullen groen'!L265</f>
        <v/>
      </c>
      <c r="F265" s="18">
        <f>+'Invullen groen'!M265</f>
        <v/>
      </c>
      <c r="G265" s="18">
        <f>+'Invullen groen'!N265</f>
        <v/>
      </c>
      <c r="H265" s="18">
        <f>+'Invullen groen'!O265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groen'!I266</f>
        <v/>
      </c>
      <c r="E266" s="18">
        <f>+'Invullen groen'!L266</f>
        <v/>
      </c>
      <c r="F266" s="18">
        <f>+'Invullen groen'!M266</f>
        <v/>
      </c>
      <c r="G266" s="18">
        <f>+'Invullen groen'!N266</f>
        <v/>
      </c>
      <c r="H266" s="18">
        <f>+'Invullen groen'!O266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groen'!I267</f>
        <v/>
      </c>
      <c r="E267" s="18">
        <f>+'Invullen groen'!L267</f>
        <v/>
      </c>
      <c r="F267" s="18">
        <f>+'Invullen groen'!M267</f>
        <v/>
      </c>
      <c r="G267" s="18">
        <f>+'Invullen groen'!N267</f>
        <v/>
      </c>
      <c r="H267" s="18">
        <f>+'Invullen groen'!O267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groen'!I268</f>
        <v/>
      </c>
      <c r="E268" s="18">
        <f>+'Invullen groen'!L268</f>
        <v/>
      </c>
      <c r="F268" s="18">
        <f>+'Invullen groen'!M268</f>
        <v/>
      </c>
      <c r="G268" s="18">
        <f>+'Invullen groen'!N268</f>
        <v/>
      </c>
      <c r="H268" s="18">
        <f>+'Invullen groen'!O268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groen'!I269</f>
        <v/>
      </c>
      <c r="E269" s="18">
        <f>+'Invullen groen'!L269</f>
        <v/>
      </c>
      <c r="F269" s="18">
        <f>+'Invullen groen'!M269</f>
        <v/>
      </c>
      <c r="G269" s="18">
        <f>+'Invullen groen'!N269</f>
        <v/>
      </c>
      <c r="H269" s="18">
        <f>+'Invullen groen'!O269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groen'!I270</f>
        <v/>
      </c>
      <c r="E270" s="18">
        <f>+'Invullen groen'!L270</f>
        <v/>
      </c>
      <c r="F270" s="18">
        <f>+'Invullen groen'!M270</f>
        <v/>
      </c>
      <c r="G270" s="18">
        <f>+'Invullen groen'!N270</f>
        <v/>
      </c>
      <c r="H270" s="18">
        <f>+'Invullen groen'!O270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groen'!I271</f>
        <v/>
      </c>
      <c r="E271" s="18">
        <f>+'Invullen groen'!L271</f>
        <v/>
      </c>
      <c r="F271" s="18">
        <f>+'Invullen groen'!M271</f>
        <v/>
      </c>
      <c r="G271" s="18">
        <f>+'Invullen groen'!N271</f>
        <v/>
      </c>
      <c r="H271" s="18">
        <f>+'Invullen groen'!O271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groen'!I272</f>
        <v/>
      </c>
      <c r="E272" s="20">
        <f>+'Invullen groen'!L272</f>
        <v/>
      </c>
      <c r="F272" s="20">
        <f>+'Invullen groen'!M272</f>
        <v/>
      </c>
      <c r="G272" s="20">
        <f>+'Invullen groen'!N272</f>
        <v/>
      </c>
      <c r="H272" s="20">
        <f>+'Invullen groen'!O272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groen'!I273</f>
        <v/>
      </c>
      <c r="E273" s="22">
        <f>+'Invullen groen'!L273</f>
        <v/>
      </c>
      <c r="F273" s="22">
        <f>+'Invullen groen'!M273</f>
        <v/>
      </c>
      <c r="G273" s="22">
        <f>+'Invullen groen'!N273</f>
        <v/>
      </c>
      <c r="H273" s="22">
        <f>+'Invullen groen'!O273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groen'!I274</f>
        <v/>
      </c>
      <c r="E274" s="18">
        <f>+'Invullen groen'!L274</f>
        <v/>
      </c>
      <c r="F274" s="18">
        <f>+'Invullen groen'!M274</f>
        <v/>
      </c>
      <c r="G274" s="18">
        <f>+'Invullen groen'!N274</f>
        <v/>
      </c>
      <c r="H274" s="18">
        <f>+'Invullen groen'!O274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groen'!I275</f>
        <v/>
      </c>
      <c r="E275" s="18">
        <f>+'Invullen groen'!L275</f>
        <v/>
      </c>
      <c r="F275" s="18">
        <f>+'Invullen groen'!M275</f>
        <v/>
      </c>
      <c r="G275" s="18">
        <f>+'Invullen groen'!N275</f>
        <v/>
      </c>
      <c r="H275" s="18">
        <f>+'Invullen groen'!O275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groen'!I280</f>
        <v/>
      </c>
      <c r="E276" s="8">
        <f>+'Invullen groen'!L280</f>
        <v/>
      </c>
      <c r="F276" s="8">
        <f>+'Invullen groen'!M280</f>
        <v/>
      </c>
      <c r="G276" s="8">
        <f>+'Invullen groen'!N280</f>
        <v/>
      </c>
      <c r="H276" s="8">
        <f>+'Invullen groen'!O280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groen'!I281</f>
        <v/>
      </c>
      <c r="E277" s="3">
        <f>+'Invullen groen'!L281</f>
        <v/>
      </c>
      <c r="F277" s="3">
        <f>+'Invullen groen'!M281</f>
        <v/>
      </c>
      <c r="G277" s="3">
        <f>+'Invullen groen'!N281</f>
        <v/>
      </c>
      <c r="H277" s="3">
        <f>+'Invullen groen'!O281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groen'!C282</f>
        <v/>
      </c>
      <c r="C278" s="56">
        <f>+'Invullen groen'!G282</f>
        <v/>
      </c>
      <c r="D278" s="4">
        <f>+'Invullen groen'!I282</f>
        <v/>
      </c>
      <c r="E278" s="3">
        <f>+'Invullen groen'!L282</f>
        <v/>
      </c>
      <c r="F278" s="3">
        <f>+'Invullen groen'!M282</f>
        <v/>
      </c>
      <c r="G278" s="3">
        <f>+'Invullen groen'!N282</f>
        <v/>
      </c>
      <c r="H278" s="3">
        <f>+'Invullen groen'!O282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groen'!C283</f>
        <v/>
      </c>
      <c r="C279" s="56">
        <f>+'Invullen groen'!G283</f>
        <v/>
      </c>
      <c r="D279" s="4">
        <f>+'Invullen groen'!I283</f>
        <v/>
      </c>
      <c r="E279" s="3">
        <f>+'Invullen groen'!L283</f>
        <v/>
      </c>
      <c r="F279" s="3">
        <f>+'Invullen groen'!M283</f>
        <v/>
      </c>
      <c r="G279" s="3">
        <f>+'Invullen groen'!N283</f>
        <v/>
      </c>
      <c r="H279" s="3">
        <f>+'Invullen groen'!O283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groen'!C284</f>
        <v/>
      </c>
      <c r="C280" s="56">
        <f>+'Invullen groen'!G284</f>
        <v/>
      </c>
      <c r="D280" s="4">
        <f>+'Invullen groen'!I284</f>
        <v/>
      </c>
      <c r="E280" s="3">
        <f>+'Invullen groen'!L284</f>
        <v/>
      </c>
      <c r="F280" s="3">
        <f>+'Invullen groen'!M284</f>
        <v/>
      </c>
      <c r="G280" s="3">
        <f>+'Invullen groen'!N284</f>
        <v/>
      </c>
      <c r="H280" s="3">
        <f>+'Invullen groen'!O284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groen'!C285</f>
        <v/>
      </c>
      <c r="C281" s="193">
        <f>+'Invullen groen'!C285</f>
        <v/>
      </c>
      <c r="D281" s="4">
        <f>+'Invullen groen'!I285</f>
        <v/>
      </c>
      <c r="E281" s="3">
        <f>+'Invullen groen'!L285</f>
        <v/>
      </c>
      <c r="F281" s="3">
        <f>+'Invullen groen'!M285</f>
        <v/>
      </c>
      <c r="G281" s="3">
        <f>+'Invullen groen'!N285</f>
        <v/>
      </c>
      <c r="H281" s="3">
        <f>+'Invullen groen'!O285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groen'!C286</f>
        <v/>
      </c>
      <c r="C282" s="56">
        <f>+'Invullen groen'!G286</f>
        <v/>
      </c>
      <c r="D282" s="4">
        <f>+'Invullen groen'!I286</f>
        <v/>
      </c>
      <c r="E282" s="3">
        <f>+'Invullen groen'!L286</f>
        <v/>
      </c>
      <c r="F282" s="3">
        <f>+'Invullen groen'!M286</f>
        <v/>
      </c>
      <c r="G282" s="3">
        <f>+'Invullen groen'!N286</f>
        <v/>
      </c>
      <c r="H282" s="3">
        <f>+'Invullen groen'!O286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groen'!C287</f>
        <v/>
      </c>
      <c r="C283" s="56">
        <f>+'Invullen groen'!G287</f>
        <v/>
      </c>
      <c r="D283" s="4">
        <f>+'Invullen groen'!I287</f>
        <v/>
      </c>
      <c r="E283" s="3">
        <f>+'Invullen groen'!L287</f>
        <v/>
      </c>
      <c r="F283" s="3">
        <f>+'Invullen groen'!M287</f>
        <v/>
      </c>
      <c r="G283" s="3">
        <f>+'Invullen groen'!N287</f>
        <v/>
      </c>
      <c r="H283" s="3">
        <f>+'Invullen groen'!O287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groen'!C288</f>
        <v/>
      </c>
      <c r="C284" s="56">
        <f>+'Invullen groen'!G288</f>
        <v/>
      </c>
      <c r="D284" s="4">
        <f>+'Invullen groen'!I288</f>
        <v/>
      </c>
      <c r="E284" s="3">
        <f>+'Invullen groen'!L288</f>
        <v/>
      </c>
      <c r="F284" s="3">
        <f>+'Invullen groen'!M288</f>
        <v/>
      </c>
      <c r="G284" s="3">
        <f>+'Invullen groen'!N288</f>
        <v/>
      </c>
      <c r="H284" s="3">
        <f>+'Invullen groen'!O288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groen'!C289</f>
        <v/>
      </c>
      <c r="C285" s="56">
        <f>+'Invullen groen'!G289</f>
        <v/>
      </c>
      <c r="D285" s="4">
        <f>+'Invullen groen'!I289</f>
        <v/>
      </c>
      <c r="E285" s="3">
        <f>+'Invullen groen'!L289</f>
        <v/>
      </c>
      <c r="F285" s="3">
        <f>+'Invullen groen'!M289</f>
        <v/>
      </c>
      <c r="G285" s="3">
        <f>+'Invullen groen'!N289</f>
        <v/>
      </c>
      <c r="H285" s="3">
        <f>+'Invullen groen'!O289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groen'!C290</f>
        <v/>
      </c>
      <c r="C286" s="56">
        <f>+'Invullen groen'!G290</f>
        <v/>
      </c>
      <c r="D286" s="4">
        <f>+'Invullen groen'!I290</f>
        <v/>
      </c>
      <c r="E286" s="3">
        <f>+'Invullen groen'!L290</f>
        <v/>
      </c>
      <c r="F286" s="3">
        <f>+'Invullen groen'!M290</f>
        <v/>
      </c>
      <c r="G286" s="3">
        <f>+'Invullen groen'!N290</f>
        <v/>
      </c>
      <c r="H286" s="3">
        <f>+'Invullen groen'!O290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groen'!C291</f>
        <v/>
      </c>
      <c r="C287" s="56" t="inlineStr">
        <is>
          <t>R. Donders- de Leest</t>
        </is>
      </c>
      <c r="D287" s="4">
        <f>+'Invullen groen'!I291</f>
        <v/>
      </c>
      <c r="E287" s="3">
        <f>+'Invullen groen'!L291</f>
        <v/>
      </c>
      <c r="F287" s="3">
        <f>+'Invullen groen'!M291</f>
        <v/>
      </c>
      <c r="G287" s="3">
        <f>+'Invullen groen'!N291</f>
        <v/>
      </c>
      <c r="H287" s="3">
        <f>+'Invullen groen'!O291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groen'!C292</f>
        <v/>
      </c>
      <c r="C288" s="56">
        <f>+'Invullen groen'!G292</f>
        <v/>
      </c>
      <c r="D288" s="4">
        <f>+'Invullen groen'!I292</f>
        <v/>
      </c>
      <c r="E288" s="3">
        <f>+'Invullen groen'!L292</f>
        <v/>
      </c>
      <c r="F288" s="3">
        <f>+'Invullen groen'!M292</f>
        <v/>
      </c>
      <c r="G288" s="3">
        <f>+'Invullen groen'!N292</f>
        <v/>
      </c>
      <c r="H288" s="3">
        <f>+'Invullen groen'!O292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groen'!C293</f>
        <v/>
      </c>
      <c r="C289" s="56">
        <f>+'Invullen groen'!G293</f>
        <v/>
      </c>
      <c r="D289" s="4">
        <f>+'Invullen groen'!I293</f>
        <v/>
      </c>
      <c r="E289" s="3">
        <f>+'Invullen groen'!L293</f>
        <v/>
      </c>
      <c r="F289" s="3">
        <f>+'Invullen groen'!M293</f>
        <v/>
      </c>
      <c r="G289" s="3">
        <f>+'Invullen groen'!N293</f>
        <v/>
      </c>
      <c r="H289" s="3">
        <f>+'Invullen groen'!O293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groen'!C294</f>
        <v/>
      </c>
      <c r="C290" s="56">
        <f>+'Invullen groen'!G294</f>
        <v/>
      </c>
      <c r="D290" s="4">
        <f>+'Invullen groen'!I294</f>
        <v/>
      </c>
      <c r="E290" s="3">
        <f>+'Invullen groen'!L294</f>
        <v/>
      </c>
      <c r="F290" s="3">
        <f>+'Invullen groen'!M294</f>
        <v/>
      </c>
      <c r="G290" s="3">
        <f>+'Invullen groen'!N294</f>
        <v/>
      </c>
      <c r="H290" s="3">
        <f>+'Invullen groen'!O294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groen'!C295</f>
        <v/>
      </c>
      <c r="C291" s="58">
        <f>+'Invullen groen'!G295</f>
        <v/>
      </c>
      <c r="D291" s="4">
        <f>+'Invullen groen'!I295</f>
        <v/>
      </c>
      <c r="E291" s="3">
        <f>+'Invullen groen'!L295</f>
        <v/>
      </c>
      <c r="F291" s="3">
        <f>+'Invullen groen'!M295</f>
        <v/>
      </c>
      <c r="G291" s="3">
        <f>+'Invullen groen'!N295</f>
        <v/>
      </c>
      <c r="H291" s="3">
        <f>+'Invullen groen'!O295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groen'!C296</f>
        <v/>
      </c>
      <c r="C292" s="1">
        <f>+'Invullen groen'!G296</f>
        <v/>
      </c>
      <c r="D292" s="4">
        <f>+'Invullen groen'!I296</f>
        <v/>
      </c>
      <c r="E292" s="3">
        <f>+'Invullen groen'!L296</f>
        <v/>
      </c>
      <c r="F292" s="3">
        <f>+'Invullen groen'!M296</f>
        <v/>
      </c>
      <c r="G292" s="3">
        <f>+'Invullen groen'!N296</f>
        <v/>
      </c>
      <c r="H292" s="3">
        <f>+'Invullen groen'!O296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groen'!C297</f>
        <v/>
      </c>
      <c r="C293" s="1">
        <f>+'Invullen groen'!G297</f>
        <v/>
      </c>
      <c r="D293" s="4">
        <f>+'Invullen groen'!I297</f>
        <v/>
      </c>
      <c r="E293" s="3">
        <f>+'Invullen groen'!L297</f>
        <v/>
      </c>
      <c r="F293" s="3">
        <f>+'Invullen groen'!M297</f>
        <v/>
      </c>
      <c r="G293" s="3">
        <f>+'Invullen groen'!N297</f>
        <v/>
      </c>
      <c r="H293" s="3">
        <f>+'Invullen groen'!O297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groen'!C298</f>
        <v/>
      </c>
      <c r="C294" s="1">
        <f>+'Invullen groen'!G298</f>
        <v/>
      </c>
      <c r="D294" s="4">
        <f>+'Invullen groen'!I298</f>
        <v/>
      </c>
      <c r="E294" s="3">
        <f>+'Invullen groen'!L298</f>
        <v/>
      </c>
      <c r="F294" s="3">
        <f>+'Invullen groen'!M298</f>
        <v/>
      </c>
      <c r="G294" s="3">
        <f>+'Invullen groen'!N298</f>
        <v/>
      </c>
      <c r="H294" s="3">
        <f>+'Invullen groen'!O298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groen'!C299</f>
        <v/>
      </c>
      <c r="C295" s="1">
        <f>+'Invullen groen'!G299</f>
        <v/>
      </c>
      <c r="D295" s="4">
        <f>+'Invullen groen'!I299</f>
        <v/>
      </c>
      <c r="E295" s="3">
        <f>+'Invullen groen'!L299</f>
        <v/>
      </c>
      <c r="F295" s="3">
        <f>+'Invullen groen'!M299</f>
        <v/>
      </c>
      <c r="G295" s="3">
        <f>+'Invullen groen'!N299</f>
        <v/>
      </c>
      <c r="H295" s="3">
        <f>+'Invullen groen'!O299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groen'!I300</f>
        <v/>
      </c>
      <c r="E296" s="3">
        <f>+'Invullen groen'!L300</f>
        <v/>
      </c>
      <c r="F296" s="3">
        <f>+'Invullen groen'!M300</f>
        <v/>
      </c>
      <c r="G296" s="3">
        <f>+'Invullen groen'!N300</f>
        <v/>
      </c>
      <c r="H296" s="3">
        <f>+'Invullen groen'!O300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groen'!I301</f>
        <v/>
      </c>
      <c r="E297" s="3">
        <f>+'Invullen groen'!L301</f>
        <v/>
      </c>
      <c r="F297" s="3">
        <f>+'Invullen groen'!M301</f>
        <v/>
      </c>
      <c r="G297" s="3">
        <f>+'Invullen groen'!N301</f>
        <v/>
      </c>
      <c r="H297" s="3">
        <f>+'Invullen groen'!O301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groen'!I302</f>
        <v/>
      </c>
      <c r="E298" s="3">
        <f>+'Invullen groen'!L302</f>
        <v/>
      </c>
      <c r="F298" s="3">
        <f>+'Invullen groen'!M302</f>
        <v/>
      </c>
      <c r="G298" s="3">
        <f>+'Invullen groen'!N302</f>
        <v/>
      </c>
      <c r="H298" s="3">
        <f>+'Invullen groen'!O302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groen'!I303</f>
        <v/>
      </c>
      <c r="E299" s="3">
        <f>+'Invullen groen'!L303</f>
        <v/>
      </c>
      <c r="F299" s="3">
        <f>+'Invullen groen'!M303</f>
        <v/>
      </c>
      <c r="G299" s="3">
        <f>+'Invullen groen'!N303</f>
        <v/>
      </c>
      <c r="H299" s="3">
        <f>+'Invullen groen'!O303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groen'!I304</f>
        <v/>
      </c>
      <c r="E300" s="3">
        <f>+'Invullen groen'!L304</f>
        <v/>
      </c>
      <c r="F300" s="3">
        <f>+'Invullen groen'!M304</f>
        <v/>
      </c>
      <c r="G300" s="3">
        <f>+'Invullen groen'!N304</f>
        <v/>
      </c>
      <c r="H300" s="3">
        <f>+'Invullen groen'!O304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groen'!I305</f>
        <v/>
      </c>
      <c r="E301" s="3">
        <f>+'Invullen groen'!L305</f>
        <v/>
      </c>
      <c r="F301" s="3">
        <f>+'Invullen groen'!M305</f>
        <v/>
      </c>
      <c r="G301" s="3">
        <f>+'Invullen groen'!N305</f>
        <v/>
      </c>
      <c r="H301" s="3">
        <f>+'Invullen groen'!O305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groen'!I306</f>
        <v/>
      </c>
      <c r="E302" s="3">
        <f>+'Invullen groen'!L306</f>
        <v/>
      </c>
      <c r="F302" s="3">
        <f>+'Invullen groen'!M306</f>
        <v/>
      </c>
      <c r="G302" s="3">
        <f>+'Invullen groen'!N306</f>
        <v/>
      </c>
      <c r="H302" s="3">
        <f>+'Invullen groen'!O306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groen'!I307</f>
        <v/>
      </c>
      <c r="E303" s="3">
        <f>+'Invullen groen'!L307</f>
        <v/>
      </c>
      <c r="F303" s="3">
        <f>+'Invullen groen'!M307</f>
        <v/>
      </c>
      <c r="G303" s="3">
        <f>+'Invullen groen'!N307</f>
        <v/>
      </c>
      <c r="H303" s="3">
        <f>+'Invullen groen'!O307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groen'!I308</f>
        <v/>
      </c>
      <c r="E304" s="3">
        <f>+'Invullen groen'!L308</f>
        <v/>
      </c>
      <c r="F304" s="3">
        <f>+'Invullen groen'!M308</f>
        <v/>
      </c>
      <c r="G304" s="3">
        <f>+'Invullen groen'!N308</f>
        <v/>
      </c>
      <c r="H304" s="3">
        <f>+'Invullen groen'!O308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groen'!I309</f>
        <v/>
      </c>
      <c r="E305" s="3">
        <f>+'Invullen groen'!L309</f>
        <v/>
      </c>
      <c r="F305" s="3">
        <f>+'Invullen groen'!M309</f>
        <v/>
      </c>
      <c r="G305" s="3">
        <f>+'Invullen groen'!N309</f>
        <v/>
      </c>
      <c r="H305" s="3">
        <f>+'Invullen groen'!O309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groen'!I310</f>
        <v/>
      </c>
      <c r="E306" s="3">
        <f>+'Invullen groen'!L310</f>
        <v/>
      </c>
      <c r="F306" s="3">
        <f>+'Invullen groen'!M310</f>
        <v/>
      </c>
      <c r="G306" s="3">
        <f>+'Invullen groen'!N310</f>
        <v/>
      </c>
      <c r="H306" s="3">
        <f>+'Invullen groen'!O310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groen'!I311</f>
        <v/>
      </c>
      <c r="E307" s="3">
        <f>+'Invullen groen'!L311</f>
        <v/>
      </c>
      <c r="F307" s="3">
        <f>+'Invullen groen'!M311</f>
        <v/>
      </c>
      <c r="G307" s="3">
        <f>+'Invullen groen'!N311</f>
        <v/>
      </c>
      <c r="H307" s="3">
        <f>+'Invullen groen'!O311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groen'!I312</f>
        <v/>
      </c>
      <c r="E308" s="3">
        <f>+'Invullen groen'!L312</f>
        <v/>
      </c>
      <c r="F308" s="3">
        <f>+'Invullen groen'!M312</f>
        <v/>
      </c>
      <c r="G308" s="3">
        <f>+'Invullen groen'!N312</f>
        <v/>
      </c>
      <c r="H308" s="3">
        <f>+'Invullen groen'!O312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groen'!I313</f>
        <v/>
      </c>
      <c r="E309" s="3">
        <f>+'Invullen groen'!L313</f>
        <v/>
      </c>
      <c r="F309" s="3">
        <f>+'Invullen groen'!M313</f>
        <v/>
      </c>
      <c r="G309" s="3">
        <f>+'Invullen groen'!N313</f>
        <v/>
      </c>
      <c r="H309" s="3">
        <f>+'Invullen groen'!O313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groen'!I314</f>
        <v/>
      </c>
      <c r="E310" s="3">
        <f>+'Invullen groen'!L314</f>
        <v/>
      </c>
      <c r="F310" s="3">
        <f>+'Invullen groen'!M314</f>
        <v/>
      </c>
      <c r="G310" s="3">
        <f>+'Invullen groen'!N314</f>
        <v/>
      </c>
      <c r="H310" s="3">
        <f>+'Invullen groen'!O314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groen'!I315</f>
        <v/>
      </c>
      <c r="E311" s="3">
        <f>+'Invullen groen'!L315</f>
        <v/>
      </c>
      <c r="F311" s="3">
        <f>+'Invullen groen'!M315</f>
        <v/>
      </c>
      <c r="G311" s="3">
        <f>+'Invullen groen'!N315</f>
        <v/>
      </c>
      <c r="H311" s="3">
        <f>+'Invullen groen'!O315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groen'!I316</f>
        <v/>
      </c>
      <c r="E312" s="3">
        <f>+'Invullen groen'!L316</f>
        <v/>
      </c>
      <c r="F312" s="3">
        <f>+'Invullen groen'!M316</f>
        <v/>
      </c>
      <c r="G312" s="3">
        <f>+'Invullen groen'!N316</f>
        <v/>
      </c>
      <c r="H312" s="3">
        <f>+'Invullen groen'!O316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groen'!I317</f>
        <v/>
      </c>
      <c r="E313" s="3">
        <f>+'Invullen groen'!L317</f>
        <v/>
      </c>
      <c r="F313" s="3">
        <f>+'Invullen groen'!M317</f>
        <v/>
      </c>
      <c r="G313" s="3">
        <f>+'Invullen groen'!N317</f>
        <v/>
      </c>
      <c r="H313" s="3">
        <f>+'Invullen groen'!O317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groen'!I318</f>
        <v/>
      </c>
      <c r="E314" s="3">
        <f>+'Invullen groen'!L318</f>
        <v/>
      </c>
      <c r="F314" s="3">
        <f>+'Invullen groen'!M318</f>
        <v/>
      </c>
      <c r="G314" s="3">
        <f>+'Invullen groen'!N318</f>
        <v/>
      </c>
      <c r="H314" s="3">
        <f>+'Invullen groen'!O318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groen'!I319</f>
        <v/>
      </c>
      <c r="E315" s="3">
        <f>+'Invullen groen'!L319</f>
        <v/>
      </c>
      <c r="F315" s="3">
        <f>+'Invullen groen'!M319</f>
        <v/>
      </c>
      <c r="G315" s="3">
        <f>+'Invullen groen'!N319</f>
        <v/>
      </c>
      <c r="H315" s="3">
        <f>+'Invullen groen'!O319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groen'!I320</f>
        <v/>
      </c>
      <c r="E316" s="3">
        <f>+'Invullen groen'!L320</f>
        <v/>
      </c>
      <c r="F316" s="3">
        <f>+'Invullen groen'!M320</f>
        <v/>
      </c>
      <c r="G316" s="3">
        <f>+'Invullen groen'!N320</f>
        <v/>
      </c>
      <c r="H316" s="3">
        <f>+'Invullen groen'!O320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groen'!I321</f>
        <v/>
      </c>
      <c r="E317" s="3">
        <f>+'Invullen groen'!L321</f>
        <v/>
      </c>
      <c r="F317" s="3">
        <f>+'Invullen groen'!M321</f>
        <v/>
      </c>
      <c r="G317" s="3">
        <f>+'Invullen groen'!N321</f>
        <v/>
      </c>
      <c r="H317" s="3">
        <f>+'Invullen groen'!O321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groen'!I322</f>
        <v/>
      </c>
      <c r="E318" s="3">
        <f>+'Invullen groen'!L322</f>
        <v/>
      </c>
      <c r="F318" s="3">
        <f>+'Invullen groen'!M322</f>
        <v/>
      </c>
      <c r="G318" s="3">
        <f>+'Invullen groen'!N322</f>
        <v/>
      </c>
      <c r="H318" s="3">
        <f>+'Invullen groen'!O322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groen'!I323</f>
        <v/>
      </c>
      <c r="E319" s="3">
        <f>+'Invullen groen'!L323</f>
        <v/>
      </c>
      <c r="F319" s="3">
        <f>+'Invullen groen'!M323</f>
        <v/>
      </c>
      <c r="G319" s="3">
        <f>+'Invullen groen'!N323</f>
        <v/>
      </c>
      <c r="H319" s="3">
        <f>+'Invullen groen'!O323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groen'!I324</f>
        <v/>
      </c>
      <c r="E320" s="3">
        <f>+'Invullen groen'!L324</f>
        <v/>
      </c>
      <c r="F320" s="3">
        <f>+'Invullen groen'!M324</f>
        <v/>
      </c>
      <c r="G320" s="3">
        <f>+'Invullen groen'!N324</f>
        <v/>
      </c>
      <c r="H320" s="3">
        <f>+'Invullen groen'!O324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groen'!I325</f>
        <v/>
      </c>
      <c r="E321" s="3">
        <f>+'Invullen groen'!L325</f>
        <v/>
      </c>
      <c r="F321" s="3">
        <f>+'Invullen groen'!M325</f>
        <v/>
      </c>
      <c r="G321" s="3">
        <f>+'Invullen groen'!N325</f>
        <v/>
      </c>
      <c r="H321" s="3">
        <f>+'Invullen groen'!O325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groen'!I326</f>
        <v/>
      </c>
      <c r="E322" s="3">
        <f>+'Invullen groen'!L326</f>
        <v/>
      </c>
      <c r="F322" s="3">
        <f>+'Invullen groen'!M326</f>
        <v/>
      </c>
      <c r="G322" s="3">
        <f>+'Invullen groen'!N326</f>
        <v/>
      </c>
      <c r="H322" s="3">
        <f>+'Invullen groen'!O326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groen'!I327</f>
        <v/>
      </c>
      <c r="E323" s="3">
        <f>+'Invullen groen'!L327</f>
        <v/>
      </c>
      <c r="F323" s="3">
        <f>+'Invullen groen'!M327</f>
        <v/>
      </c>
      <c r="G323" s="3">
        <f>+'Invullen groen'!N327</f>
        <v/>
      </c>
      <c r="H323" s="3">
        <f>+'Invullen groen'!O327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groen'!I328</f>
        <v/>
      </c>
      <c r="E324" s="3">
        <f>+'Invullen groen'!L328</f>
        <v/>
      </c>
      <c r="F324" s="3">
        <f>+'Invullen groen'!M328</f>
        <v/>
      </c>
      <c r="G324" s="3">
        <f>+'Invullen groen'!N328</f>
        <v/>
      </c>
      <c r="H324" s="3">
        <f>+'Invullen groen'!O328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groen'!I329</f>
        <v/>
      </c>
      <c r="E325" s="3">
        <f>+'Invullen groen'!L329</f>
        <v/>
      </c>
      <c r="F325" s="3">
        <f>+'Invullen groen'!M329</f>
        <v/>
      </c>
      <c r="G325" s="3">
        <f>+'Invullen groen'!N329</f>
        <v/>
      </c>
      <c r="H325" s="3">
        <f>+'Invullen groen'!O329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groen'!I330</f>
        <v/>
      </c>
      <c r="E326" s="3">
        <f>+'Invullen groen'!L330</f>
        <v/>
      </c>
      <c r="F326" s="3">
        <f>+'Invullen groen'!M330</f>
        <v/>
      </c>
      <c r="G326" s="3">
        <f>+'Invullen groen'!N330</f>
        <v/>
      </c>
      <c r="H326" s="3">
        <f>+'Invullen groen'!O330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groen'!I331</f>
        <v/>
      </c>
      <c r="E327" s="3">
        <f>+'Invullen groen'!L331</f>
        <v/>
      </c>
      <c r="F327" s="3">
        <f>+'Invullen groen'!M331</f>
        <v/>
      </c>
      <c r="G327" s="3">
        <f>+'Invullen groen'!N331</f>
        <v/>
      </c>
      <c r="H327" s="3">
        <f>+'Invullen groen'!O331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groen'!I332</f>
        <v/>
      </c>
      <c r="E328" s="3">
        <f>+'Invullen groen'!L332</f>
        <v/>
      </c>
      <c r="F328" s="3">
        <f>+'Invullen groen'!M332</f>
        <v/>
      </c>
      <c r="G328" s="3">
        <f>+'Invullen groen'!N332</f>
        <v/>
      </c>
      <c r="H328" s="3">
        <f>+'Invullen groen'!O332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groen'!I333</f>
        <v/>
      </c>
      <c r="E329" s="3">
        <f>+'Invullen groen'!L333</f>
        <v/>
      </c>
      <c r="F329" s="3">
        <f>+'Invullen groen'!M333</f>
        <v/>
      </c>
      <c r="G329" s="3">
        <f>+'Invullen groen'!N333</f>
        <v/>
      </c>
      <c r="H329" s="3">
        <f>+'Invullen groen'!O333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groen'!I334</f>
        <v/>
      </c>
      <c r="E330" s="3">
        <f>+'Invullen groen'!L334</f>
        <v/>
      </c>
      <c r="F330" s="3">
        <f>+'Invullen groen'!M334</f>
        <v/>
      </c>
      <c r="G330" s="3">
        <f>+'Invullen groen'!N334</f>
        <v/>
      </c>
      <c r="H330" s="3">
        <f>+'Invullen groen'!O334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groen'!I335</f>
        <v/>
      </c>
      <c r="E331" s="3">
        <f>+'Invullen groen'!L335</f>
        <v/>
      </c>
      <c r="F331" s="3">
        <f>+'Invullen groen'!M335</f>
        <v/>
      </c>
      <c r="G331" s="3">
        <f>+'Invullen groen'!N335</f>
        <v/>
      </c>
      <c r="H331" s="3">
        <f>+'Invullen groen'!O335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groen'!I336</f>
        <v/>
      </c>
      <c r="E332" s="3">
        <f>+'Invullen groen'!L336</f>
        <v/>
      </c>
      <c r="F332" s="3">
        <f>+'Invullen groen'!M336</f>
        <v/>
      </c>
      <c r="G332" s="3">
        <f>+'Invullen groen'!N336</f>
        <v/>
      </c>
      <c r="H332" s="3">
        <f>+'Invullen groen'!O336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groen'!I337</f>
        <v/>
      </c>
      <c r="E333" s="3">
        <f>+'Invullen groen'!L337</f>
        <v/>
      </c>
      <c r="F333" s="3">
        <f>+'Invullen groen'!M337</f>
        <v/>
      </c>
      <c r="G333" s="3">
        <f>+'Invullen groen'!N337</f>
        <v/>
      </c>
      <c r="H333" s="3">
        <f>+'Invullen groen'!O337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groen'!I338</f>
        <v/>
      </c>
      <c r="E334" s="3">
        <f>+'Invullen groen'!L338</f>
        <v/>
      </c>
      <c r="F334" s="3">
        <f>+'Invullen groen'!M338</f>
        <v/>
      </c>
      <c r="G334" s="3">
        <f>+'Invullen groen'!N338</f>
        <v/>
      </c>
      <c r="H334" s="3">
        <f>+'Invullen groen'!O338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groen'!I339</f>
        <v/>
      </c>
      <c r="E335" s="3">
        <f>+'Invullen groen'!L339</f>
        <v/>
      </c>
      <c r="F335" s="3">
        <f>+'Invullen groen'!M339</f>
        <v/>
      </c>
      <c r="G335" s="3">
        <f>+'Invullen groen'!N339</f>
        <v/>
      </c>
      <c r="H335" s="3">
        <f>+'Invullen groen'!O339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groen'!I340</f>
        <v/>
      </c>
      <c r="E336" s="3">
        <f>+'Invullen groen'!L340</f>
        <v/>
      </c>
      <c r="F336" s="3">
        <f>+'Invullen groen'!M340</f>
        <v/>
      </c>
      <c r="G336" s="3">
        <f>+'Invullen groen'!N340</f>
        <v/>
      </c>
      <c r="H336" s="3">
        <f>+'Invullen groen'!O340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groen'!I341</f>
        <v/>
      </c>
      <c r="E337" s="3">
        <f>+'Invullen groen'!L341</f>
        <v/>
      </c>
      <c r="F337" s="3">
        <f>+'Invullen groen'!M341</f>
        <v/>
      </c>
      <c r="G337" s="3">
        <f>+'Invullen groen'!N341</f>
        <v/>
      </c>
      <c r="H337" s="3">
        <f>+'Invullen groen'!O341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groen'!I342</f>
        <v/>
      </c>
      <c r="E338" s="3">
        <f>+'Invullen groen'!L342</f>
        <v/>
      </c>
      <c r="F338" s="3">
        <f>+'Invullen groen'!M342</f>
        <v/>
      </c>
      <c r="G338" s="3">
        <f>+'Invullen groen'!N342</f>
        <v/>
      </c>
      <c r="H338" s="3">
        <f>+'Invullen groen'!O342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groen'!I343</f>
        <v/>
      </c>
      <c r="E339" s="3">
        <f>+'Invullen groen'!L343</f>
        <v/>
      </c>
      <c r="F339" s="3">
        <f>+'Invullen groen'!M343</f>
        <v/>
      </c>
      <c r="G339" s="3">
        <f>+'Invullen groen'!N343</f>
        <v/>
      </c>
      <c r="H339" s="3">
        <f>+'Invullen groen'!O343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groen'!I344</f>
        <v/>
      </c>
      <c r="E340" s="3">
        <f>+'Invullen groen'!L344</f>
        <v/>
      </c>
      <c r="F340" s="3">
        <f>+'Invullen groen'!M344</f>
        <v/>
      </c>
      <c r="G340" s="3">
        <f>+'Invullen groen'!N344</f>
        <v/>
      </c>
      <c r="H340" s="3">
        <f>+'Invullen groen'!O344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groen'!I345</f>
        <v/>
      </c>
      <c r="E341" s="3">
        <f>+'Invullen groen'!L345</f>
        <v/>
      </c>
      <c r="F341" s="3">
        <f>+'Invullen groen'!M345</f>
        <v/>
      </c>
      <c r="G341" s="3">
        <f>+'Invullen groen'!N345</f>
        <v/>
      </c>
      <c r="H341" s="3">
        <f>+'Invullen groen'!O345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groen'!I346</f>
        <v/>
      </c>
      <c r="E342" s="3">
        <f>+'Invullen groen'!L346</f>
        <v/>
      </c>
      <c r="F342" s="3">
        <f>+'Invullen groen'!M346</f>
        <v/>
      </c>
      <c r="G342" s="3">
        <f>+'Invullen groen'!N346</f>
        <v/>
      </c>
      <c r="H342" s="3">
        <f>+'Invullen groen'!O346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groen'!I347</f>
        <v/>
      </c>
      <c r="E343" s="3">
        <f>+'Invullen groen'!L347</f>
        <v/>
      </c>
      <c r="F343" s="3">
        <f>+'Invullen groen'!M347</f>
        <v/>
      </c>
      <c r="G343" s="3">
        <f>+'Invullen groen'!N347</f>
        <v/>
      </c>
      <c r="H343" s="3">
        <f>+'Invullen groen'!O347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groen'!I348</f>
        <v/>
      </c>
      <c r="E344" s="3">
        <f>+'Invullen groen'!L348</f>
        <v/>
      </c>
      <c r="F344" s="3">
        <f>+'Invullen groen'!M348</f>
        <v/>
      </c>
      <c r="G344" s="3">
        <f>+'Invullen groen'!N348</f>
        <v/>
      </c>
      <c r="H344" s="3">
        <f>+'Invullen groen'!O348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groen'!I349</f>
        <v/>
      </c>
      <c r="E345" s="3">
        <f>+'Invullen groen'!L349</f>
        <v/>
      </c>
      <c r="F345" s="3">
        <f>+'Invullen groen'!M349</f>
        <v/>
      </c>
      <c r="G345" s="3">
        <f>+'Invullen groen'!N349</f>
        <v/>
      </c>
      <c r="H345" s="3">
        <f>+'Invullen groen'!O349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groen'!I350</f>
        <v/>
      </c>
      <c r="E346" s="3">
        <f>+'Invullen groen'!L350</f>
        <v/>
      </c>
      <c r="F346" s="3">
        <f>+'Invullen groen'!M350</f>
        <v/>
      </c>
      <c r="G346" s="3">
        <f>+'Invullen groen'!N350</f>
        <v/>
      </c>
      <c r="H346" s="3">
        <f>+'Invullen groen'!O350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groen'!I351</f>
        <v/>
      </c>
      <c r="E347" s="3">
        <f>+'Invullen groen'!L351</f>
        <v/>
      </c>
      <c r="F347" s="3">
        <f>+'Invullen groen'!M351</f>
        <v/>
      </c>
      <c r="G347" s="3">
        <f>+'Invullen groen'!N351</f>
        <v/>
      </c>
      <c r="H347" s="3">
        <f>+'Invullen groen'!O351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groen'!I352</f>
        <v/>
      </c>
      <c r="E348" s="3">
        <f>+'Invullen groen'!L352</f>
        <v/>
      </c>
      <c r="F348" s="3">
        <f>+'Invullen groen'!M352</f>
        <v/>
      </c>
      <c r="G348" s="3">
        <f>+'Invullen groen'!N352</f>
        <v/>
      </c>
      <c r="H348" s="3">
        <f>+'Invullen groen'!O352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groen'!I353</f>
        <v/>
      </c>
      <c r="E349" s="3">
        <f>+'Invullen groen'!L353</f>
        <v/>
      </c>
      <c r="F349" s="3">
        <f>+'Invullen groen'!M353</f>
        <v/>
      </c>
      <c r="G349" s="3">
        <f>+'Invullen groen'!N353</f>
        <v/>
      </c>
      <c r="H349" s="3">
        <f>+'Invullen groen'!O353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groen'!I354</f>
        <v/>
      </c>
      <c r="E350" s="3">
        <f>+'Invullen groen'!L354</f>
        <v/>
      </c>
      <c r="F350" s="3">
        <f>+'Invullen groen'!M354</f>
        <v/>
      </c>
      <c r="G350" s="3">
        <f>+'Invullen groen'!N354</f>
        <v/>
      </c>
      <c r="H350" s="3">
        <f>+'Invullen groen'!O354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groen'!I355</f>
        <v/>
      </c>
      <c r="E351" s="3">
        <f>+'Invullen groen'!L355</f>
        <v/>
      </c>
      <c r="F351" s="3">
        <f>+'Invullen groen'!M355</f>
        <v/>
      </c>
      <c r="G351" s="3">
        <f>+'Invullen groen'!N355</f>
        <v/>
      </c>
      <c r="H351" s="3">
        <f>+'Invullen groen'!O355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groen'!I356</f>
        <v/>
      </c>
      <c r="E352" s="3">
        <f>+'Invullen groen'!L356</f>
        <v/>
      </c>
      <c r="F352" s="3">
        <f>+'Invullen groen'!M356</f>
        <v/>
      </c>
      <c r="G352" s="3">
        <f>+'Invullen groen'!N356</f>
        <v/>
      </c>
      <c r="H352" s="3">
        <f>+'Invullen groen'!O356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groen'!I357</f>
        <v/>
      </c>
      <c r="E353" s="3">
        <f>+'Invullen groen'!L357</f>
        <v/>
      </c>
      <c r="F353" s="3">
        <f>+'Invullen groen'!M357</f>
        <v/>
      </c>
      <c r="G353" s="3">
        <f>+'Invullen groen'!N357</f>
        <v/>
      </c>
      <c r="H353" s="3">
        <f>+'Invullen groen'!O357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groen'!I358</f>
        <v/>
      </c>
      <c r="E354" s="3">
        <f>+'Invullen groen'!L358</f>
        <v/>
      </c>
      <c r="F354" s="3">
        <f>+'Invullen groen'!M358</f>
        <v/>
      </c>
      <c r="G354" s="3">
        <f>+'Invullen groen'!N358</f>
        <v/>
      </c>
      <c r="H354" s="3">
        <f>+'Invullen groen'!O358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groen'!I359</f>
        <v/>
      </c>
      <c r="E355" s="3">
        <f>+'Invullen groen'!L359</f>
        <v/>
      </c>
      <c r="F355" s="3">
        <f>+'Invullen groen'!M359</f>
        <v/>
      </c>
      <c r="G355" s="3">
        <f>+'Invullen groen'!N359</f>
        <v/>
      </c>
      <c r="H355" s="3">
        <f>+'Invullen groen'!O359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groen'!I360</f>
        <v/>
      </c>
      <c r="E356" s="3">
        <f>+'Invullen groen'!L360</f>
        <v/>
      </c>
      <c r="F356" s="3">
        <f>+'Invullen groen'!M360</f>
        <v/>
      </c>
      <c r="G356" s="3">
        <f>+'Invullen groen'!N360</f>
        <v/>
      </c>
      <c r="H356" s="3">
        <f>+'Invullen groen'!O360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groen'!I361</f>
        <v/>
      </c>
      <c r="E357" s="3">
        <f>+'Invullen groen'!L361</f>
        <v/>
      </c>
      <c r="F357" s="3">
        <f>+'Invullen groen'!M361</f>
        <v/>
      </c>
      <c r="G357" s="3">
        <f>+'Invullen groen'!N361</f>
        <v/>
      </c>
      <c r="H357" s="3">
        <f>+'Invullen groen'!O361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groen'!I362</f>
        <v/>
      </c>
      <c r="E358" s="3">
        <f>+'Invullen groen'!L362</f>
        <v/>
      </c>
      <c r="F358" s="3">
        <f>+'Invullen groen'!M362</f>
        <v/>
      </c>
      <c r="G358" s="3">
        <f>+'Invullen groen'!N362</f>
        <v/>
      </c>
      <c r="H358" s="3">
        <f>+'Invullen groen'!O362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groen'!I363</f>
        <v/>
      </c>
      <c r="E359" s="3">
        <f>+'Invullen groen'!L363</f>
        <v/>
      </c>
      <c r="F359" s="3">
        <f>+'Invullen groen'!M363</f>
        <v/>
      </c>
      <c r="G359" s="3">
        <f>+'Invullen groen'!N363</f>
        <v/>
      </c>
      <c r="H359" s="3">
        <f>+'Invullen groen'!O363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groen'!I364</f>
        <v/>
      </c>
      <c r="E360" s="3">
        <f>+'Invullen groen'!L364</f>
        <v/>
      </c>
      <c r="F360" s="3">
        <f>+'Invullen groen'!M364</f>
        <v/>
      </c>
      <c r="G360" s="3">
        <f>+'Invullen groen'!N364</f>
        <v/>
      </c>
      <c r="H360" s="3">
        <f>+'Invullen groen'!O364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groen'!I365</f>
        <v/>
      </c>
      <c r="E361" s="3">
        <f>+'Invullen groen'!L365</f>
        <v/>
      </c>
      <c r="F361" s="3">
        <f>+'Invullen groen'!M365</f>
        <v/>
      </c>
      <c r="G361" s="3">
        <f>+'Invullen groen'!N365</f>
        <v/>
      </c>
      <c r="H361" s="3">
        <f>+'Invullen groen'!O365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groen'!I366</f>
        <v/>
      </c>
      <c r="E362" s="3">
        <f>+'Invullen groen'!L366</f>
        <v/>
      </c>
      <c r="F362" s="3">
        <f>+'Invullen groen'!M366</f>
        <v/>
      </c>
      <c r="G362" s="3">
        <f>+'Invullen groen'!N366</f>
        <v/>
      </c>
      <c r="H362" s="3">
        <f>+'Invullen groen'!O366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groen'!I367</f>
        <v/>
      </c>
      <c r="E363" s="3">
        <f>+'Invullen groen'!L367</f>
        <v/>
      </c>
      <c r="F363" s="3">
        <f>+'Invullen groen'!M367</f>
        <v/>
      </c>
      <c r="G363" s="3">
        <f>+'Invullen groen'!N367</f>
        <v/>
      </c>
      <c r="H363" s="3">
        <f>+'Invullen groen'!O367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groen'!I368</f>
        <v/>
      </c>
      <c r="E364" s="3">
        <f>+'Invullen groen'!L368</f>
        <v/>
      </c>
      <c r="F364" s="3">
        <f>+'Invullen groen'!M368</f>
        <v/>
      </c>
      <c r="G364" s="3">
        <f>+'Invullen groen'!N368</f>
        <v/>
      </c>
      <c r="H364" s="3">
        <f>+'Invullen groen'!O368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groen'!I369</f>
        <v/>
      </c>
      <c r="E365" s="3">
        <f>+'Invullen groen'!L369</f>
        <v/>
      </c>
      <c r="F365" s="3">
        <f>+'Invullen groen'!M369</f>
        <v/>
      </c>
      <c r="G365" s="3">
        <f>+'Invullen groen'!N369</f>
        <v/>
      </c>
      <c r="H365" s="3">
        <f>+'Invullen groen'!O369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groen'!I370</f>
        <v/>
      </c>
      <c r="E366" s="3">
        <f>+'Invullen groen'!L370</f>
        <v/>
      </c>
      <c r="F366" s="3">
        <f>+'Invullen groen'!M370</f>
        <v/>
      </c>
      <c r="G366" s="3">
        <f>+'Invullen groen'!N370</f>
        <v/>
      </c>
      <c r="H366" s="3">
        <f>+'Invullen groen'!O370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groen'!I371</f>
        <v/>
      </c>
      <c r="E367" s="3">
        <f>+'Invullen groen'!L371</f>
        <v/>
      </c>
      <c r="F367" s="3">
        <f>+'Invullen groen'!M371</f>
        <v/>
      </c>
      <c r="G367" s="3">
        <f>+'Invullen groen'!N371</f>
        <v/>
      </c>
      <c r="H367" s="3">
        <f>+'Invullen groen'!O371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groen'!I372</f>
        <v/>
      </c>
      <c r="E368" s="3">
        <f>+'Invullen groen'!L372</f>
        <v/>
      </c>
      <c r="F368" s="3">
        <f>+'Invullen groen'!M372</f>
        <v/>
      </c>
      <c r="G368" s="3">
        <f>+'Invullen groen'!N372</f>
        <v/>
      </c>
      <c r="H368" s="3">
        <f>+'Invullen groen'!O372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groen'!I373</f>
        <v/>
      </c>
      <c r="E369" s="3">
        <f>+'Invullen groen'!L373</f>
        <v/>
      </c>
      <c r="F369" s="3">
        <f>+'Invullen groen'!M373</f>
        <v/>
      </c>
      <c r="G369" s="3">
        <f>+'Invullen groen'!N373</f>
        <v/>
      </c>
      <c r="H369" s="3">
        <f>+'Invullen groen'!O373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groen'!I374</f>
        <v/>
      </c>
      <c r="E370" s="3">
        <f>+'Invullen groen'!L374</f>
        <v/>
      </c>
      <c r="F370" s="3">
        <f>+'Invullen groen'!M374</f>
        <v/>
      </c>
      <c r="G370" s="3">
        <f>+'Invullen groen'!N374</f>
        <v/>
      </c>
      <c r="H370" s="3">
        <f>+'Invullen groen'!O374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groen'!I375</f>
        <v/>
      </c>
      <c r="E371" s="3">
        <f>+'Invullen groen'!L375</f>
        <v/>
      </c>
      <c r="F371" s="3">
        <f>+'Invullen groen'!M375</f>
        <v/>
      </c>
      <c r="G371" s="3">
        <f>+'Invullen groen'!N375</f>
        <v/>
      </c>
      <c r="H371" s="3">
        <f>+'Invullen groen'!O375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groen'!I376</f>
        <v/>
      </c>
      <c r="E372" s="3">
        <f>+'Invullen groen'!L376</f>
        <v/>
      </c>
      <c r="F372" s="3">
        <f>+'Invullen groen'!M376</f>
        <v/>
      </c>
      <c r="G372" s="3">
        <f>+'Invullen groen'!N376</f>
        <v/>
      </c>
      <c r="H372" s="3">
        <f>+'Invullen groen'!O376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groen'!I377</f>
        <v/>
      </c>
      <c r="E373" s="3">
        <f>+'Invullen groen'!L377</f>
        <v/>
      </c>
      <c r="F373" s="3">
        <f>+'Invullen groen'!M377</f>
        <v/>
      </c>
      <c r="G373" s="3">
        <f>+'Invullen groen'!N377</f>
        <v/>
      </c>
      <c r="H373" s="3">
        <f>+'Invullen groen'!O377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groen'!I378</f>
        <v/>
      </c>
      <c r="E374" s="3">
        <f>+'Invullen groen'!L378</f>
        <v/>
      </c>
      <c r="F374" s="3">
        <f>+'Invullen groen'!M378</f>
        <v/>
      </c>
      <c r="G374" s="3">
        <f>+'Invullen groen'!N378</f>
        <v/>
      </c>
      <c r="H374" s="3">
        <f>+'Invullen groen'!O378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groen'!I379</f>
        <v/>
      </c>
      <c r="E375" s="3">
        <f>+'Invullen groen'!L379</f>
        <v/>
      </c>
      <c r="F375" s="3">
        <f>+'Invullen groen'!M379</f>
        <v/>
      </c>
      <c r="G375" s="3">
        <f>+'Invullen groen'!N379</f>
        <v/>
      </c>
      <c r="H375" s="3">
        <f>+'Invullen groen'!O379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groen'!I380</f>
        <v/>
      </c>
      <c r="E376" s="3">
        <f>+'Invullen groen'!L380</f>
        <v/>
      </c>
      <c r="F376" s="3">
        <f>+'Invullen groen'!M380</f>
        <v/>
      </c>
      <c r="G376" s="3">
        <f>+'Invullen groen'!N380</f>
        <v/>
      </c>
      <c r="H376" s="3">
        <f>+'Invullen groen'!O380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groen'!I381</f>
        <v/>
      </c>
      <c r="E377" s="3">
        <f>+'Invullen groen'!L381</f>
        <v/>
      </c>
      <c r="F377" s="3">
        <f>+'Invullen groen'!M381</f>
        <v/>
      </c>
      <c r="G377" s="3">
        <f>+'Invullen groen'!N381</f>
        <v/>
      </c>
      <c r="H377" s="3">
        <f>+'Invullen groen'!O381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groen'!I382</f>
        <v/>
      </c>
      <c r="E378" s="3">
        <f>+'Invullen groen'!L382</f>
        <v/>
      </c>
      <c r="F378" s="3">
        <f>+'Invullen groen'!M382</f>
        <v/>
      </c>
      <c r="G378" s="3">
        <f>+'Invullen groen'!N382</f>
        <v/>
      </c>
      <c r="H378" s="3">
        <f>+'Invullen groen'!O382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groen'!I383</f>
        <v/>
      </c>
      <c r="E379" s="3">
        <f>+'Invullen groen'!L383</f>
        <v/>
      </c>
      <c r="F379" s="3">
        <f>+'Invullen groen'!M383</f>
        <v/>
      </c>
      <c r="G379" s="3">
        <f>+'Invullen groen'!N383</f>
        <v/>
      </c>
      <c r="H379" s="3">
        <f>+'Invullen groen'!O383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groen'!I384</f>
        <v/>
      </c>
      <c r="E380" s="3">
        <f>+'Invullen groen'!L384</f>
        <v/>
      </c>
      <c r="F380" s="3">
        <f>+'Invullen groen'!M384</f>
        <v/>
      </c>
      <c r="G380" s="3">
        <f>+'Invullen groen'!N384</f>
        <v/>
      </c>
      <c r="H380" s="3">
        <f>+'Invullen groen'!O384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groen'!I385</f>
        <v/>
      </c>
      <c r="E381" s="3">
        <f>+'Invullen groen'!L385</f>
        <v/>
      </c>
      <c r="F381" s="3">
        <f>+'Invullen groen'!M385</f>
        <v/>
      </c>
      <c r="G381" s="3">
        <f>+'Invullen groen'!N385</f>
        <v/>
      </c>
      <c r="H381" s="3">
        <f>+'Invullen groen'!O385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groen'!I386</f>
        <v/>
      </c>
      <c r="E382" s="3">
        <f>+'Invullen groen'!L386</f>
        <v/>
      </c>
      <c r="F382" s="3">
        <f>+'Invullen groen'!M386</f>
        <v/>
      </c>
      <c r="G382" s="3">
        <f>+'Invullen groen'!N386</f>
        <v/>
      </c>
      <c r="H382" s="3">
        <f>+'Invullen groen'!O386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groen'!I387</f>
        <v/>
      </c>
      <c r="E383" s="3">
        <f>+'Invullen groen'!L387</f>
        <v/>
      </c>
      <c r="F383" s="3">
        <f>+'Invullen groen'!M387</f>
        <v/>
      </c>
      <c r="G383" s="3">
        <f>+'Invullen groen'!N387</f>
        <v/>
      </c>
      <c r="H383" s="3">
        <f>+'Invullen groen'!O387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groen'!I388</f>
        <v/>
      </c>
      <c r="E384" s="3">
        <f>+'Invullen groen'!L388</f>
        <v/>
      </c>
      <c r="F384" s="3">
        <f>+'Invullen groen'!M388</f>
        <v/>
      </c>
      <c r="G384" s="3">
        <f>+'Invullen groen'!N388</f>
        <v/>
      </c>
      <c r="H384" s="3">
        <f>+'Invullen groen'!O388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groen'!I389</f>
        <v/>
      </c>
      <c r="E385" s="3">
        <f>+'Invullen groen'!L389</f>
        <v/>
      </c>
      <c r="F385" s="3">
        <f>+'Invullen groen'!M389</f>
        <v/>
      </c>
      <c r="G385" s="3">
        <f>+'Invullen groen'!N389</f>
        <v/>
      </c>
      <c r="H385" s="3">
        <f>+'Invullen groen'!O389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groen'!I390</f>
        <v/>
      </c>
      <c r="E386" s="3">
        <f>+'Invullen groen'!L390</f>
        <v/>
      </c>
      <c r="F386" s="3">
        <f>+'Invullen groen'!M390</f>
        <v/>
      </c>
      <c r="G386" s="3">
        <f>+'Invullen groen'!N390</f>
        <v/>
      </c>
      <c r="H386" s="3">
        <f>+'Invullen groen'!O390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groen'!I391</f>
        <v/>
      </c>
      <c r="E387" s="3">
        <f>+'Invullen groen'!L391</f>
        <v/>
      </c>
      <c r="F387" s="3">
        <f>+'Invullen groen'!M391</f>
        <v/>
      </c>
      <c r="G387" s="3">
        <f>+'Invullen groen'!N391</f>
        <v/>
      </c>
      <c r="H387" s="3">
        <f>+'Invullen groen'!O391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groen'!I392</f>
        <v/>
      </c>
      <c r="E388" s="3">
        <f>+'Invullen groen'!L392</f>
        <v/>
      </c>
      <c r="F388" s="3">
        <f>+'Invullen groen'!M392</f>
        <v/>
      </c>
      <c r="G388" s="3">
        <f>+'Invullen groen'!N392</f>
        <v/>
      </c>
      <c r="H388" s="3">
        <f>+'Invullen groen'!O392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groen'!I393</f>
        <v/>
      </c>
      <c r="E389" s="3">
        <f>+'Invullen groen'!L393</f>
        <v/>
      </c>
      <c r="F389" s="3">
        <f>+'Invullen groen'!M393</f>
        <v/>
      </c>
      <c r="G389" s="3">
        <f>+'Invullen groen'!N393</f>
        <v/>
      </c>
      <c r="H389" s="3">
        <f>+'Invullen groen'!O393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groen'!I394</f>
        <v/>
      </c>
      <c r="E390" s="3">
        <f>+'Invullen groen'!L394</f>
        <v/>
      </c>
      <c r="F390" s="3">
        <f>+'Invullen groen'!M394</f>
        <v/>
      </c>
      <c r="G390" s="3">
        <f>+'Invullen groen'!N394</f>
        <v/>
      </c>
      <c r="H390" s="3">
        <f>+'Invullen groen'!O394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groen'!I395</f>
        <v/>
      </c>
      <c r="E391" s="3">
        <f>+'Invullen groen'!L395</f>
        <v/>
      </c>
      <c r="F391" s="3">
        <f>+'Invullen groen'!M395</f>
        <v/>
      </c>
      <c r="G391" s="3">
        <f>+'Invullen groen'!N395</f>
        <v/>
      </c>
      <c r="H391" s="3">
        <f>+'Invullen groen'!O395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groen'!I396</f>
        <v/>
      </c>
      <c r="E392" s="3">
        <f>+'Invullen groen'!L396</f>
        <v/>
      </c>
      <c r="F392" s="3">
        <f>+'Invullen groen'!M396</f>
        <v/>
      </c>
      <c r="G392" s="3">
        <f>+'Invullen groen'!N396</f>
        <v/>
      </c>
      <c r="H392" s="3">
        <f>+'Invullen groen'!O396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groen'!I397</f>
        <v/>
      </c>
      <c r="E393" s="3">
        <f>+'Invullen groen'!L397</f>
        <v/>
      </c>
      <c r="F393" s="3">
        <f>+'Invullen groen'!M397</f>
        <v/>
      </c>
      <c r="G393" s="3">
        <f>+'Invullen groen'!N397</f>
        <v/>
      </c>
      <c r="H393" s="3">
        <f>+'Invullen groen'!O397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groen'!I398</f>
        <v/>
      </c>
      <c r="E394" s="3">
        <f>+'Invullen groen'!L398</f>
        <v/>
      </c>
      <c r="F394" s="3">
        <f>+'Invullen groen'!M398</f>
        <v/>
      </c>
      <c r="G394" s="3">
        <f>+'Invullen groen'!N398</f>
        <v/>
      </c>
      <c r="H394" s="3">
        <f>+'Invullen groen'!O398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groen'!I399</f>
        <v/>
      </c>
      <c r="E395" s="3">
        <f>+'Invullen groen'!L399</f>
        <v/>
      </c>
      <c r="F395" s="3">
        <f>+'Invullen groen'!M399</f>
        <v/>
      </c>
      <c r="G395" s="3">
        <f>+'Invullen groen'!N399</f>
        <v/>
      </c>
      <c r="H395" s="3">
        <f>+'Invullen groen'!O399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groen'!I400</f>
        <v/>
      </c>
      <c r="E396" s="3">
        <f>+'Invullen groen'!L400</f>
        <v/>
      </c>
      <c r="F396" s="3">
        <f>+'Invullen groen'!M400</f>
        <v/>
      </c>
      <c r="G396" s="3">
        <f>+'Invullen groen'!N400</f>
        <v/>
      </c>
      <c r="H396" s="3">
        <f>+'Invullen groen'!O400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groen'!I401</f>
        <v/>
      </c>
      <c r="E397" s="3">
        <f>+'Invullen groen'!L401</f>
        <v/>
      </c>
      <c r="F397" s="3">
        <f>+'Invullen groen'!M401</f>
        <v/>
      </c>
      <c r="G397" s="3">
        <f>+'Invullen groen'!N401</f>
        <v/>
      </c>
      <c r="H397" s="3">
        <f>+'Invullen groen'!O401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groen'!I402</f>
        <v/>
      </c>
      <c r="E398" s="3">
        <f>+'Invullen groen'!L402</f>
        <v/>
      </c>
      <c r="F398" s="3">
        <f>+'Invullen groen'!M402</f>
        <v/>
      </c>
      <c r="G398" s="3">
        <f>+'Invullen groen'!N402</f>
        <v/>
      </c>
      <c r="H398" s="3">
        <f>+'Invullen groen'!O402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groen'!I403</f>
        <v/>
      </c>
      <c r="E399" s="3">
        <f>+'Invullen groen'!L403</f>
        <v/>
      </c>
      <c r="F399" s="3">
        <f>+'Invullen groen'!M403</f>
        <v/>
      </c>
      <c r="G399" s="3">
        <f>+'Invullen groen'!N403</f>
        <v/>
      </c>
      <c r="H399" s="3">
        <f>+'Invullen groen'!O403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groen'!I404</f>
        <v/>
      </c>
      <c r="E400" s="3">
        <f>+'Invullen groen'!L404</f>
        <v/>
      </c>
      <c r="F400" s="3">
        <f>+'Invullen groen'!M404</f>
        <v/>
      </c>
      <c r="G400" s="3">
        <f>+'Invullen groen'!N404</f>
        <v/>
      </c>
      <c r="H400" s="3">
        <f>+'Invullen groen'!O404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groen'!I405</f>
        <v/>
      </c>
      <c r="E401" s="3">
        <f>+'Invullen groen'!L405</f>
        <v/>
      </c>
      <c r="F401" s="3">
        <f>+'Invullen groen'!M405</f>
        <v/>
      </c>
      <c r="G401" s="3">
        <f>+'Invullen groen'!N405</f>
        <v/>
      </c>
      <c r="H401" s="3">
        <f>+'Invullen groen'!O405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groen'!I406</f>
        <v/>
      </c>
      <c r="E402" s="3">
        <f>+'Invullen groen'!L406</f>
        <v/>
      </c>
      <c r="F402" s="3">
        <f>+'Invullen groen'!M406</f>
        <v/>
      </c>
      <c r="G402" s="3">
        <f>+'Invullen groen'!N406</f>
        <v/>
      </c>
      <c r="H402" s="3">
        <f>+'Invullen groen'!O406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groen'!I407</f>
        <v/>
      </c>
      <c r="E403" s="3">
        <f>+'Invullen groen'!L407</f>
        <v/>
      </c>
      <c r="F403" s="3">
        <f>+'Invullen groen'!M407</f>
        <v/>
      </c>
      <c r="G403" s="3">
        <f>+'Invullen groen'!N407</f>
        <v/>
      </c>
      <c r="H403" s="3">
        <f>+'Invullen groen'!O407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groen'!I408</f>
        <v/>
      </c>
      <c r="E404" s="3">
        <f>+'Invullen groen'!L408</f>
        <v/>
      </c>
      <c r="F404" s="3">
        <f>+'Invullen groen'!M408</f>
        <v/>
      </c>
      <c r="G404" s="3">
        <f>+'Invullen groen'!N408</f>
        <v/>
      </c>
      <c r="H404" s="3">
        <f>+'Invullen groen'!O408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groen'!I409</f>
        <v/>
      </c>
      <c r="E405" s="3">
        <f>+'Invullen groen'!L409</f>
        <v/>
      </c>
      <c r="F405" s="3">
        <f>+'Invullen groen'!M409</f>
        <v/>
      </c>
      <c r="G405" s="3">
        <f>+'Invullen groen'!N409</f>
        <v/>
      </c>
      <c r="H405" s="3">
        <f>+'Invullen groen'!O409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groen'!I410</f>
        <v/>
      </c>
      <c r="E406" s="3">
        <f>+'Invullen groen'!L410</f>
        <v/>
      </c>
      <c r="F406" s="3">
        <f>+'Invullen groen'!M410</f>
        <v/>
      </c>
      <c r="G406" s="3">
        <f>+'Invullen groen'!N410</f>
        <v/>
      </c>
      <c r="H406" s="3">
        <f>+'Invullen groen'!O410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groen'!I411</f>
        <v/>
      </c>
      <c r="E407" s="3">
        <f>+'Invullen groen'!L411</f>
        <v/>
      </c>
      <c r="F407" s="3">
        <f>+'Invullen groen'!M411</f>
        <v/>
      </c>
      <c r="G407" s="3">
        <f>+'Invullen groen'!N411</f>
        <v/>
      </c>
      <c r="H407" s="3">
        <f>+'Invullen groen'!O411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groen'!I412</f>
        <v/>
      </c>
      <c r="E408" s="3">
        <f>+'Invullen groen'!L412</f>
        <v/>
      </c>
      <c r="F408" s="3">
        <f>+'Invullen groen'!M412</f>
        <v/>
      </c>
      <c r="G408" s="3">
        <f>+'Invullen groen'!N412</f>
        <v/>
      </c>
      <c r="H408" s="3">
        <f>+'Invullen groen'!O412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groen'!I413</f>
        <v/>
      </c>
      <c r="E409" s="3">
        <f>+'Invullen groen'!L413</f>
        <v/>
      </c>
      <c r="F409" s="3">
        <f>+'Invullen groen'!M413</f>
        <v/>
      </c>
      <c r="G409" s="3">
        <f>+'Invullen groen'!N413</f>
        <v/>
      </c>
      <c r="H409" s="3">
        <f>+'Invullen groen'!O413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groen'!I414</f>
        <v/>
      </c>
      <c r="E410" s="3">
        <f>+'Invullen groen'!L414</f>
        <v/>
      </c>
      <c r="F410" s="3">
        <f>+'Invullen groen'!M414</f>
        <v/>
      </c>
      <c r="G410" s="3">
        <f>+'Invullen groen'!N414</f>
        <v/>
      </c>
      <c r="H410" s="3">
        <f>+'Invullen groen'!O414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groen'!I415</f>
        <v/>
      </c>
      <c r="E411" s="3">
        <f>+'Invullen groen'!L415</f>
        <v/>
      </c>
      <c r="F411" s="3">
        <f>+'Invullen groen'!M415</f>
        <v/>
      </c>
      <c r="G411" s="3">
        <f>+'Invullen groen'!N415</f>
        <v/>
      </c>
      <c r="H411" s="3">
        <f>+'Invullen groen'!O415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groen'!I416</f>
        <v/>
      </c>
      <c r="E412" s="3">
        <f>+'Invullen groen'!L416</f>
        <v/>
      </c>
      <c r="F412" s="3">
        <f>+'Invullen groen'!M416</f>
        <v/>
      </c>
      <c r="G412" s="3">
        <f>+'Invullen groen'!N416</f>
        <v/>
      </c>
      <c r="H412" s="3">
        <f>+'Invullen groen'!O416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groen'!I417</f>
        <v/>
      </c>
      <c r="E413" s="3">
        <f>+'Invullen groen'!L417</f>
        <v/>
      </c>
      <c r="F413" s="3">
        <f>+'Invullen groen'!M417</f>
        <v/>
      </c>
      <c r="G413" s="3">
        <f>+'Invullen groen'!N417</f>
        <v/>
      </c>
      <c r="H413" s="3">
        <f>+'Invullen groen'!O417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groen'!I418</f>
        <v/>
      </c>
      <c r="E414" s="3">
        <f>+'Invullen groen'!L418</f>
        <v/>
      </c>
      <c r="F414" s="3">
        <f>+'Invullen groen'!M418</f>
        <v/>
      </c>
      <c r="G414" s="3">
        <f>+'Invullen groen'!N418</f>
        <v/>
      </c>
      <c r="H414" s="3">
        <f>+'Invullen groen'!O418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groen'!I419</f>
        <v/>
      </c>
      <c r="E415" s="3">
        <f>+'Invullen groen'!L419</f>
        <v/>
      </c>
      <c r="F415" s="3">
        <f>+'Invullen groen'!M419</f>
        <v/>
      </c>
      <c r="G415" s="3">
        <f>+'Invullen groen'!N419</f>
        <v/>
      </c>
      <c r="H415" s="3">
        <f>+'Invullen groen'!O419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groen'!I420</f>
        <v/>
      </c>
      <c r="E416" s="3">
        <f>+'Invullen groen'!L420</f>
        <v/>
      </c>
      <c r="F416" s="3">
        <f>+'Invullen groen'!M420</f>
        <v/>
      </c>
      <c r="G416" s="3">
        <f>+'Invullen groen'!N420</f>
        <v/>
      </c>
      <c r="H416" s="3">
        <f>+'Invullen groen'!O420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groen'!I421</f>
        <v/>
      </c>
      <c r="E417" s="3">
        <f>+'Invullen groen'!L421</f>
        <v/>
      </c>
      <c r="F417" s="3">
        <f>+'Invullen groen'!M421</f>
        <v/>
      </c>
      <c r="G417" s="3">
        <f>+'Invullen groen'!N421</f>
        <v/>
      </c>
      <c r="H417" s="3">
        <f>+'Invullen groen'!O421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groen'!I422</f>
        <v/>
      </c>
      <c r="E418" s="3">
        <f>+'Invullen groen'!L422</f>
        <v/>
      </c>
      <c r="F418" s="3">
        <f>+'Invullen groen'!M422</f>
        <v/>
      </c>
      <c r="G418" s="3">
        <f>+'Invullen groen'!N422</f>
        <v/>
      </c>
      <c r="H418" s="3">
        <f>+'Invullen groen'!O422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groen'!I423</f>
        <v/>
      </c>
      <c r="E419" s="3">
        <f>+'Invullen groen'!L423</f>
        <v/>
      </c>
      <c r="F419" s="3">
        <f>+'Invullen groen'!M423</f>
        <v/>
      </c>
      <c r="G419" s="3">
        <f>+'Invullen groen'!N423</f>
        <v/>
      </c>
      <c r="H419" s="3">
        <f>+'Invullen groen'!O423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groen'!I424</f>
        <v/>
      </c>
      <c r="E420" s="3">
        <f>+'Invullen groen'!L424</f>
        <v/>
      </c>
      <c r="F420" s="3">
        <f>+'Invullen groen'!M424</f>
        <v/>
      </c>
      <c r="G420" s="3">
        <f>+'Invullen groen'!N424</f>
        <v/>
      </c>
      <c r="H420" s="3">
        <f>+'Invullen groen'!O424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groen'!I425</f>
        <v/>
      </c>
      <c r="E421" s="3">
        <f>+'Invullen groen'!L425</f>
        <v/>
      </c>
      <c r="F421" s="3">
        <f>+'Invullen groen'!M425</f>
        <v/>
      </c>
      <c r="G421" s="3">
        <f>+'Invullen groen'!N425</f>
        <v/>
      </c>
      <c r="H421" s="3">
        <f>+'Invullen groen'!O425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groen'!I426</f>
        <v/>
      </c>
      <c r="E422" s="3">
        <f>+'Invullen groen'!L426</f>
        <v/>
      </c>
      <c r="F422" s="3">
        <f>+'Invullen groen'!M426</f>
        <v/>
      </c>
      <c r="G422" s="3">
        <f>+'Invullen groen'!N426</f>
        <v/>
      </c>
      <c r="H422" s="3">
        <f>+'Invullen groen'!O426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groen'!I427</f>
        <v/>
      </c>
      <c r="E423" s="3">
        <f>+'Invullen groen'!L427</f>
        <v/>
      </c>
      <c r="F423" s="3">
        <f>+'Invullen groen'!M427</f>
        <v/>
      </c>
      <c r="G423" s="3">
        <f>+'Invullen groen'!N427</f>
        <v/>
      </c>
      <c r="H423" s="3">
        <f>+'Invullen groen'!O427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groen'!I428</f>
        <v/>
      </c>
      <c r="E424" s="3">
        <f>+'Invullen groen'!L428</f>
        <v/>
      </c>
      <c r="F424" s="3">
        <f>+'Invullen groen'!M428</f>
        <v/>
      </c>
      <c r="G424" s="3">
        <f>+'Invullen groen'!N428</f>
        <v/>
      </c>
      <c r="H424" s="3">
        <f>+'Invullen groen'!O428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groen'!I429</f>
        <v/>
      </c>
      <c r="E425" s="3">
        <f>+'Invullen groen'!L429</f>
        <v/>
      </c>
      <c r="F425" s="3">
        <f>+'Invullen groen'!M429</f>
        <v/>
      </c>
      <c r="G425" s="3">
        <f>+'Invullen groen'!N429</f>
        <v/>
      </c>
      <c r="H425" s="3">
        <f>+'Invullen groen'!O429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groen'!I430</f>
        <v/>
      </c>
      <c r="E426" s="3">
        <f>+'Invullen groen'!L430</f>
        <v/>
      </c>
      <c r="F426" s="3">
        <f>+'Invullen groen'!M430</f>
        <v/>
      </c>
      <c r="G426" s="3">
        <f>+'Invullen groen'!N430</f>
        <v/>
      </c>
      <c r="H426" s="3">
        <f>+'Invullen groen'!O430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groen'!I431</f>
        <v/>
      </c>
      <c r="E427" s="3">
        <f>+'Invullen groen'!L431</f>
        <v/>
      </c>
      <c r="F427" s="3">
        <f>+'Invullen groen'!M431</f>
        <v/>
      </c>
      <c r="G427" s="3">
        <f>+'Invullen groen'!N431</f>
        <v/>
      </c>
      <c r="H427" s="3">
        <f>+'Invullen groen'!O431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groen'!I432</f>
        <v/>
      </c>
      <c r="E428" s="3">
        <f>+'Invullen groen'!L432</f>
        <v/>
      </c>
      <c r="F428" s="3">
        <f>+'Invullen groen'!M432</f>
        <v/>
      </c>
      <c r="G428" s="3">
        <f>+'Invullen groen'!N432</f>
        <v/>
      </c>
      <c r="H428" s="3">
        <f>+'Invullen groen'!O432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groen'!I433</f>
        <v/>
      </c>
      <c r="E429" s="3">
        <f>+'Invullen groen'!L433</f>
        <v/>
      </c>
      <c r="F429" s="3">
        <f>+'Invullen groen'!M433</f>
        <v/>
      </c>
      <c r="G429" s="3">
        <f>+'Invullen groen'!N433</f>
        <v/>
      </c>
      <c r="H429" s="3">
        <f>+'Invullen groen'!O433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groen'!I434</f>
        <v/>
      </c>
      <c r="E430" s="3">
        <f>+'Invullen groen'!L434</f>
        <v/>
      </c>
      <c r="F430" s="3">
        <f>+'Invullen groen'!M434</f>
        <v/>
      </c>
      <c r="G430" s="3">
        <f>+'Invullen groen'!N434</f>
        <v/>
      </c>
      <c r="H430" s="3">
        <f>+'Invullen groen'!O434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groen'!I435</f>
        <v/>
      </c>
      <c r="E431" s="3">
        <f>+'Invullen groen'!L435</f>
        <v/>
      </c>
      <c r="F431" s="3">
        <f>+'Invullen groen'!M435</f>
        <v/>
      </c>
      <c r="G431" s="3">
        <f>+'Invullen groen'!N435</f>
        <v/>
      </c>
      <c r="H431" s="3">
        <f>+'Invullen groen'!O435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groen'!I436</f>
        <v/>
      </c>
      <c r="E432" s="3">
        <f>+'Invullen groen'!L436</f>
        <v/>
      </c>
      <c r="F432" s="3">
        <f>+'Invullen groen'!M436</f>
        <v/>
      </c>
      <c r="G432" s="3">
        <f>+'Invullen groen'!N436</f>
        <v/>
      </c>
      <c r="H432" s="3">
        <f>+'Invullen groen'!O436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groen'!I437</f>
        <v/>
      </c>
      <c r="E433" s="3">
        <f>+'Invullen groen'!L437</f>
        <v/>
      </c>
      <c r="F433" s="3">
        <f>+'Invullen groen'!M437</f>
        <v/>
      </c>
      <c r="G433" s="3">
        <f>+'Invullen groen'!N437</f>
        <v/>
      </c>
      <c r="H433" s="3">
        <f>+'Invullen groen'!O437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groen'!I438</f>
        <v/>
      </c>
      <c r="E434" s="3">
        <f>+'Invullen groen'!L438</f>
        <v/>
      </c>
      <c r="F434" s="3">
        <f>+'Invullen groen'!M438</f>
        <v/>
      </c>
      <c r="G434" s="3">
        <f>+'Invullen groen'!N438</f>
        <v/>
      </c>
      <c r="H434" s="3">
        <f>+'Invullen groen'!O438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groen'!I439</f>
        <v/>
      </c>
      <c r="E435" s="3">
        <f>+'Invullen groen'!L439</f>
        <v/>
      </c>
      <c r="F435" s="3">
        <f>+'Invullen groen'!M439</f>
        <v/>
      </c>
      <c r="G435" s="3">
        <f>+'Invullen groen'!N439</f>
        <v/>
      </c>
      <c r="H435" s="3">
        <f>+'Invullen groen'!O439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groen'!I440</f>
        <v/>
      </c>
      <c r="E436" s="3">
        <f>+'Invullen groen'!L440</f>
        <v/>
      </c>
      <c r="F436" s="3">
        <f>+'Invullen groen'!M440</f>
        <v/>
      </c>
      <c r="G436" s="3">
        <f>+'Invullen groen'!N440</f>
        <v/>
      </c>
      <c r="H436" s="3">
        <f>+'Invullen groen'!O440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groen'!I441</f>
        <v/>
      </c>
      <c r="E437" s="3">
        <f>+'Invullen groen'!L441</f>
        <v/>
      </c>
      <c r="F437" s="3">
        <f>+'Invullen groen'!M441</f>
        <v/>
      </c>
      <c r="G437" s="3">
        <f>+'Invullen groen'!N441</f>
        <v/>
      </c>
      <c r="H437" s="3">
        <f>+'Invullen groen'!O441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groen'!I442</f>
        <v/>
      </c>
      <c r="E438" s="3">
        <f>+'Invullen groen'!L442</f>
        <v/>
      </c>
      <c r="F438" s="3">
        <f>+'Invullen groen'!M442</f>
        <v/>
      </c>
      <c r="G438" s="3">
        <f>+'Invullen groen'!N442</f>
        <v/>
      </c>
      <c r="H438" s="3">
        <f>+'Invullen groen'!O442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groen'!I443</f>
        <v/>
      </c>
      <c r="E439" s="3">
        <f>+'Invullen groen'!L443</f>
        <v/>
      </c>
      <c r="F439" s="3">
        <f>+'Invullen groen'!M443</f>
        <v/>
      </c>
      <c r="G439" s="3">
        <f>+'Invullen groen'!N443</f>
        <v/>
      </c>
      <c r="H439" s="3">
        <f>+'Invullen groen'!O443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groen'!I444</f>
        <v/>
      </c>
      <c r="E440" s="3">
        <f>+'Invullen groen'!L444</f>
        <v/>
      </c>
      <c r="F440" s="3">
        <f>+'Invullen groen'!M444</f>
        <v/>
      </c>
      <c r="G440" s="3">
        <f>+'Invullen groen'!N444</f>
        <v/>
      </c>
      <c r="H440" s="3">
        <f>+'Invullen groen'!O444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groen'!I445</f>
        <v/>
      </c>
      <c r="E441" s="3">
        <f>+'Invullen groen'!L445</f>
        <v/>
      </c>
      <c r="F441" s="3">
        <f>+'Invullen groen'!M445</f>
        <v/>
      </c>
      <c r="G441" s="3">
        <f>+'Invullen groen'!N445</f>
        <v/>
      </c>
      <c r="H441" s="3">
        <f>+'Invullen groen'!O445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groen'!I446</f>
        <v/>
      </c>
      <c r="E442" s="3">
        <f>+'Invullen groen'!L446</f>
        <v/>
      </c>
      <c r="F442" s="3">
        <f>+'Invullen groen'!M446</f>
        <v/>
      </c>
      <c r="G442" s="3">
        <f>+'Invullen groen'!N446</f>
        <v/>
      </c>
      <c r="H442" s="3">
        <f>+'Invullen groen'!O446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groen'!I447</f>
        <v/>
      </c>
      <c r="E443" s="3">
        <f>+'Invullen groen'!L447</f>
        <v/>
      </c>
      <c r="F443" s="3">
        <f>+'Invullen groen'!M447</f>
        <v/>
      </c>
      <c r="G443" s="3">
        <f>+'Invullen groen'!N447</f>
        <v/>
      </c>
      <c r="H443" s="3">
        <f>+'Invullen groen'!O447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groen'!I448</f>
        <v/>
      </c>
      <c r="E444" s="3">
        <f>+'Invullen groen'!L448</f>
        <v/>
      </c>
      <c r="F444" s="3">
        <f>+'Invullen groen'!M448</f>
        <v/>
      </c>
      <c r="G444" s="3">
        <f>+'Invullen groen'!N448</f>
        <v/>
      </c>
      <c r="H444" s="3">
        <f>+'Invullen groen'!O448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groen'!I449</f>
        <v/>
      </c>
      <c r="E445" s="3">
        <f>+'Invullen groen'!L449</f>
        <v/>
      </c>
      <c r="F445" s="3">
        <f>+'Invullen groen'!M449</f>
        <v/>
      </c>
      <c r="G445" s="3">
        <f>+'Invullen groen'!N449</f>
        <v/>
      </c>
      <c r="H445" s="3">
        <f>+'Invullen groen'!O449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groen'!I450</f>
        <v/>
      </c>
      <c r="E446" s="3">
        <f>+'Invullen groen'!L450</f>
        <v/>
      </c>
      <c r="F446" s="3">
        <f>+'Invullen groen'!M450</f>
        <v/>
      </c>
      <c r="G446" s="3">
        <f>+'Invullen groen'!N450</f>
        <v/>
      </c>
      <c r="H446" s="3">
        <f>+'Invullen groen'!O450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groen'!I451</f>
        <v/>
      </c>
      <c r="E447" s="3">
        <f>+'Invullen groen'!L451</f>
        <v/>
      </c>
      <c r="F447" s="3">
        <f>+'Invullen groen'!M451</f>
        <v/>
      </c>
      <c r="G447" s="3">
        <f>+'Invullen groen'!N451</f>
        <v/>
      </c>
      <c r="H447" s="3">
        <f>+'Invullen groen'!O451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groen'!I452</f>
        <v/>
      </c>
      <c r="E448" s="3">
        <f>+'Invullen groen'!L452</f>
        <v/>
      </c>
      <c r="F448" s="3">
        <f>+'Invullen groen'!M452</f>
        <v/>
      </c>
      <c r="G448" s="3">
        <f>+'Invullen groen'!N452</f>
        <v/>
      </c>
      <c r="H448" s="3">
        <f>+'Invullen groen'!O452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groen'!I453</f>
        <v/>
      </c>
      <c r="E449" s="3">
        <f>+'Invullen groen'!L453</f>
        <v/>
      </c>
      <c r="F449" s="3">
        <f>+'Invullen groen'!M453</f>
        <v/>
      </c>
      <c r="G449" s="3">
        <f>+'Invullen groen'!N453</f>
        <v/>
      </c>
      <c r="H449" s="3">
        <f>+'Invullen groen'!O453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groen'!I454</f>
        <v/>
      </c>
      <c r="E450" s="3">
        <f>+'Invullen groen'!L454</f>
        <v/>
      </c>
      <c r="F450" s="3">
        <f>+'Invullen groen'!M454</f>
        <v/>
      </c>
      <c r="G450" s="3">
        <f>+'Invullen groen'!N454</f>
        <v/>
      </c>
      <c r="H450" s="3">
        <f>+'Invullen groen'!O454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groen'!I455</f>
        <v/>
      </c>
      <c r="E451" s="3">
        <f>+'Invullen groen'!L455</f>
        <v/>
      </c>
      <c r="F451" s="3">
        <f>+'Invullen groen'!M455</f>
        <v/>
      </c>
      <c r="G451" s="3">
        <f>+'Invullen groen'!N455</f>
        <v/>
      </c>
      <c r="H451" s="3">
        <f>+'Invullen groen'!O455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groen'!I456</f>
        <v/>
      </c>
      <c r="E452" s="3">
        <f>+'Invullen groen'!L456</f>
        <v/>
      </c>
      <c r="F452" s="3">
        <f>+'Invullen groen'!M456</f>
        <v/>
      </c>
      <c r="G452" s="3">
        <f>+'Invullen groen'!N456</f>
        <v/>
      </c>
      <c r="H452" s="3">
        <f>+'Invullen groen'!O456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groen'!I457</f>
        <v/>
      </c>
      <c r="E453" s="3">
        <f>+'Invullen groen'!L457</f>
        <v/>
      </c>
      <c r="F453" s="3">
        <f>+'Invullen groen'!M457</f>
        <v/>
      </c>
      <c r="G453" s="3">
        <f>+'Invullen groen'!N457</f>
        <v/>
      </c>
      <c r="H453" s="3">
        <f>+'Invullen groen'!O457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groen'!I458</f>
        <v/>
      </c>
      <c r="E454" s="3">
        <f>+'Invullen groen'!L458</f>
        <v/>
      </c>
      <c r="F454" s="3">
        <f>+'Invullen groen'!M458</f>
        <v/>
      </c>
      <c r="G454" s="3">
        <f>+'Invullen groen'!N458</f>
        <v/>
      </c>
      <c r="H454" s="3">
        <f>+'Invullen groen'!O458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groen'!I459</f>
        <v/>
      </c>
      <c r="E455" s="3">
        <f>+'Invullen groen'!L459</f>
        <v/>
      </c>
      <c r="F455" s="3">
        <f>+'Invullen groen'!M459</f>
        <v/>
      </c>
      <c r="G455" s="3">
        <f>+'Invullen groen'!N459</f>
        <v/>
      </c>
      <c r="H455" s="3">
        <f>+'Invullen groen'!O459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groen'!I460</f>
        <v/>
      </c>
      <c r="E456" s="3">
        <f>+'Invullen groen'!L460</f>
        <v/>
      </c>
      <c r="F456" s="3">
        <f>+'Invullen groen'!M460</f>
        <v/>
      </c>
      <c r="G456" s="3">
        <f>+'Invullen groen'!N460</f>
        <v/>
      </c>
      <c r="H456" s="3">
        <f>+'Invullen groen'!O460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groen'!I461</f>
        <v/>
      </c>
      <c r="E457" s="3">
        <f>+'Invullen groen'!L461</f>
        <v/>
      </c>
      <c r="F457" s="3">
        <f>+'Invullen groen'!M461</f>
        <v/>
      </c>
      <c r="G457" s="3">
        <f>+'Invullen groen'!N461</f>
        <v/>
      </c>
      <c r="H457" s="3">
        <f>+'Invullen groen'!O461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groen'!I462</f>
        <v/>
      </c>
      <c r="E458" s="3">
        <f>+'Invullen groen'!L462</f>
        <v/>
      </c>
      <c r="F458" s="3">
        <f>+'Invullen groen'!M462</f>
        <v/>
      </c>
      <c r="G458" s="3">
        <f>+'Invullen groen'!N462</f>
        <v/>
      </c>
      <c r="H458" s="3">
        <f>+'Invullen groen'!O462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groen'!I463</f>
        <v/>
      </c>
      <c r="E459" s="3">
        <f>+'Invullen groen'!L463</f>
        <v/>
      </c>
      <c r="F459" s="3">
        <f>+'Invullen groen'!M463</f>
        <v/>
      </c>
      <c r="G459" s="3">
        <f>+'Invullen groen'!N463</f>
        <v/>
      </c>
      <c r="H459" s="3">
        <f>+'Invullen groen'!O463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groen'!I464</f>
        <v/>
      </c>
      <c r="E460" s="3">
        <f>+'Invullen groen'!L464</f>
        <v/>
      </c>
      <c r="F460" s="3">
        <f>+'Invullen groen'!M464</f>
        <v/>
      </c>
      <c r="G460" s="3">
        <f>+'Invullen groen'!N464</f>
        <v/>
      </c>
      <c r="H460" s="3">
        <f>+'Invullen groen'!O464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groen'!I465</f>
        <v/>
      </c>
      <c r="E461" s="3">
        <f>+'Invullen groen'!L465</f>
        <v/>
      </c>
      <c r="F461" s="3">
        <f>+'Invullen groen'!M465</f>
        <v/>
      </c>
      <c r="G461" s="3">
        <f>+'Invullen groen'!N465</f>
        <v/>
      </c>
      <c r="H461" s="3">
        <f>+'Invullen groen'!O465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groen'!I466</f>
        <v/>
      </c>
      <c r="E462" s="3">
        <f>+'Invullen groen'!L466</f>
        <v/>
      </c>
      <c r="F462" s="3">
        <f>+'Invullen groen'!M466</f>
        <v/>
      </c>
      <c r="G462" s="3">
        <f>+'Invullen groen'!N466</f>
        <v/>
      </c>
      <c r="H462" s="3">
        <f>+'Invullen groen'!O466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groen'!I467</f>
        <v/>
      </c>
      <c r="E463" s="3">
        <f>+'Invullen groen'!L467</f>
        <v/>
      </c>
      <c r="F463" s="3">
        <f>+'Invullen groen'!M467</f>
        <v/>
      </c>
      <c r="G463" s="3">
        <f>+'Invullen groen'!N467</f>
        <v/>
      </c>
      <c r="H463" s="3">
        <f>+'Invullen groen'!O467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groen'!I468</f>
        <v/>
      </c>
      <c r="E464" s="3">
        <f>+'Invullen groen'!L468</f>
        <v/>
      </c>
      <c r="F464" s="3">
        <f>+'Invullen groen'!M468</f>
        <v/>
      </c>
      <c r="G464" s="3">
        <f>+'Invullen groen'!N468</f>
        <v/>
      </c>
      <c r="H464" s="3">
        <f>+'Invullen groen'!O468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groen'!I469</f>
        <v/>
      </c>
      <c r="E465" s="3">
        <f>+'Invullen groen'!L469</f>
        <v/>
      </c>
      <c r="F465" s="3">
        <f>+'Invullen groen'!M469</f>
        <v/>
      </c>
      <c r="G465" s="3">
        <f>+'Invullen groen'!N469</f>
        <v/>
      </c>
      <c r="H465" s="3">
        <f>+'Invullen groen'!O469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groen'!I470</f>
        <v/>
      </c>
      <c r="E466" s="3">
        <f>+'Invullen groen'!L470</f>
        <v/>
      </c>
      <c r="F466" s="3">
        <f>+'Invullen groen'!M470</f>
        <v/>
      </c>
      <c r="G466" s="3">
        <f>+'Invullen groen'!N470</f>
        <v/>
      </c>
      <c r="H466" s="3">
        <f>+'Invullen groen'!O470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groen'!I471</f>
        <v/>
      </c>
      <c r="E467" s="3">
        <f>+'Invullen groen'!L471</f>
        <v/>
      </c>
      <c r="F467" s="3">
        <f>+'Invullen groen'!M471</f>
        <v/>
      </c>
      <c r="G467" s="3">
        <f>+'Invullen groen'!N471</f>
        <v/>
      </c>
      <c r="H467" s="3">
        <f>+'Invullen groen'!O471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groen'!I472</f>
        <v/>
      </c>
      <c r="E468" s="3">
        <f>+'Invullen groen'!L472</f>
        <v/>
      </c>
      <c r="F468" s="3">
        <f>+'Invullen groen'!M472</f>
        <v/>
      </c>
      <c r="G468" s="3">
        <f>+'Invullen groen'!N472</f>
        <v/>
      </c>
      <c r="H468" s="3">
        <f>+'Invullen groen'!O472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groen'!I473</f>
        <v/>
      </c>
      <c r="E469" s="3">
        <f>+'Invullen groen'!L473</f>
        <v/>
      </c>
      <c r="F469" s="3">
        <f>+'Invullen groen'!M473</f>
        <v/>
      </c>
      <c r="G469" s="3">
        <f>+'Invullen groen'!N473</f>
        <v/>
      </c>
      <c r="H469" s="3">
        <f>+'Invullen groen'!O473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groen'!I474</f>
        <v/>
      </c>
      <c r="E470" s="3">
        <f>+'Invullen groen'!L474</f>
        <v/>
      </c>
      <c r="F470" s="3">
        <f>+'Invullen groen'!M474</f>
        <v/>
      </c>
      <c r="G470" s="3">
        <f>+'Invullen groen'!N474</f>
        <v/>
      </c>
      <c r="H470" s="3">
        <f>+'Invullen groen'!O474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groen'!I475</f>
        <v/>
      </c>
      <c r="E471" s="3">
        <f>+'Invullen groen'!L475</f>
        <v/>
      </c>
      <c r="F471" s="3">
        <f>+'Invullen groen'!M475</f>
        <v/>
      </c>
      <c r="G471" s="3">
        <f>+'Invullen groen'!N475</f>
        <v/>
      </c>
      <c r="H471" s="3">
        <f>+'Invullen groen'!O475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groen'!I476</f>
        <v/>
      </c>
      <c r="E472" s="3">
        <f>+'Invullen groen'!L476</f>
        <v/>
      </c>
      <c r="F472" s="3">
        <f>+'Invullen groen'!M476</f>
        <v/>
      </c>
      <c r="G472" s="3">
        <f>+'Invullen groen'!N476</f>
        <v/>
      </c>
      <c r="H472" s="3">
        <f>+'Invullen groen'!O476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groen'!I477</f>
        <v/>
      </c>
      <c r="E473" s="3">
        <f>+'Invullen groen'!L477</f>
        <v/>
      </c>
      <c r="F473" s="3">
        <f>+'Invullen groen'!M477</f>
        <v/>
      </c>
      <c r="G473" s="3">
        <f>+'Invullen groen'!N477</f>
        <v/>
      </c>
      <c r="H473" s="3">
        <f>+'Invullen groen'!O477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groen'!I478</f>
        <v/>
      </c>
      <c r="E474" s="3">
        <f>+'Invullen groen'!L478</f>
        <v/>
      </c>
      <c r="F474" s="3">
        <f>+'Invullen groen'!M478</f>
        <v/>
      </c>
      <c r="G474" s="3">
        <f>+'Invullen groen'!N478</f>
        <v/>
      </c>
      <c r="H474" s="3">
        <f>+'Invullen groen'!O478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groen'!I479</f>
        <v/>
      </c>
      <c r="E475" s="3">
        <f>+'Invullen groen'!L479</f>
        <v/>
      </c>
      <c r="F475" s="3">
        <f>+'Invullen groen'!M479</f>
        <v/>
      </c>
      <c r="G475" s="3">
        <f>+'Invullen groen'!N479</f>
        <v/>
      </c>
      <c r="H475" s="3">
        <f>+'Invullen groen'!O479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groen'!I480</f>
        <v/>
      </c>
      <c r="E476" s="3">
        <f>+'Invullen groen'!L480</f>
        <v/>
      </c>
      <c r="F476" s="3">
        <f>+'Invullen groen'!M480</f>
        <v/>
      </c>
      <c r="G476" s="3">
        <f>+'Invullen groen'!N480</f>
        <v/>
      </c>
      <c r="H476" s="3">
        <f>+'Invullen groen'!O480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groen'!I481</f>
        <v/>
      </c>
      <c r="E477" s="3">
        <f>+'Invullen groen'!L481</f>
        <v/>
      </c>
      <c r="F477" s="3">
        <f>+'Invullen groen'!M481</f>
        <v/>
      </c>
      <c r="G477" s="3">
        <f>+'Invullen groen'!N481</f>
        <v/>
      </c>
      <c r="H477" s="3">
        <f>+'Invullen groen'!O481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groen'!I482</f>
        <v/>
      </c>
      <c r="E478" s="3">
        <f>+'Invullen groen'!L482</f>
        <v/>
      </c>
      <c r="F478" s="3">
        <f>+'Invullen groen'!M482</f>
        <v/>
      </c>
      <c r="G478" s="3">
        <f>+'Invullen groen'!N482</f>
        <v/>
      </c>
      <c r="H478" s="3">
        <f>+'Invullen groen'!O482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groen'!I483</f>
        <v/>
      </c>
      <c r="E479" s="3">
        <f>+'Invullen groen'!L483</f>
        <v/>
      </c>
      <c r="F479" s="3">
        <f>+'Invullen groen'!M483</f>
        <v/>
      </c>
      <c r="G479" s="3">
        <f>+'Invullen groen'!N483</f>
        <v/>
      </c>
      <c r="H479" s="3">
        <f>+'Invullen groen'!O483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groen'!I484</f>
        <v/>
      </c>
      <c r="E480" s="3">
        <f>+'Invullen groen'!L484</f>
        <v/>
      </c>
      <c r="F480" s="3">
        <f>+'Invullen groen'!M484</f>
        <v/>
      </c>
      <c r="G480" s="3">
        <f>+'Invullen groen'!N484</f>
        <v/>
      </c>
      <c r="H480" s="3">
        <f>+'Invullen groen'!O484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groen'!I485</f>
        <v/>
      </c>
      <c r="E481" s="3">
        <f>+'Invullen groen'!L485</f>
        <v/>
      </c>
      <c r="F481" s="3">
        <f>+'Invullen groen'!M485</f>
        <v/>
      </c>
      <c r="G481" s="3">
        <f>+'Invullen groen'!N485</f>
        <v/>
      </c>
      <c r="H481" s="3">
        <f>+'Invullen groen'!O485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groen'!I486</f>
        <v/>
      </c>
      <c r="E482" s="3">
        <f>+'Invullen groen'!L486</f>
        <v/>
      </c>
      <c r="F482" s="3">
        <f>+'Invullen groen'!M486</f>
        <v/>
      </c>
      <c r="G482" s="3">
        <f>+'Invullen groen'!N486</f>
        <v/>
      </c>
      <c r="H482" s="3">
        <f>+'Invullen groen'!O486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groen'!I487</f>
        <v/>
      </c>
      <c r="E483" s="3">
        <f>+'Invullen groen'!L487</f>
        <v/>
      </c>
      <c r="F483" s="3">
        <f>+'Invullen groen'!M487</f>
        <v/>
      </c>
      <c r="G483" s="3">
        <f>+'Invullen groen'!N487</f>
        <v/>
      </c>
      <c r="H483" s="3">
        <f>+'Invullen groen'!O487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groen'!I488</f>
        <v/>
      </c>
      <c r="E484" s="3">
        <f>+'Invullen groen'!L488</f>
        <v/>
      </c>
      <c r="F484" s="3">
        <f>+'Invullen groen'!M488</f>
        <v/>
      </c>
      <c r="G484" s="3">
        <f>+'Invullen groen'!N488</f>
        <v/>
      </c>
      <c r="H484" s="3">
        <f>+'Invullen groen'!O488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groen'!I489</f>
        <v/>
      </c>
      <c r="E485" s="3">
        <f>+'Invullen groen'!L489</f>
        <v/>
      </c>
      <c r="F485" s="3">
        <f>+'Invullen groen'!M489</f>
        <v/>
      </c>
      <c r="G485" s="3">
        <f>+'Invullen groen'!N489</f>
        <v/>
      </c>
      <c r="H485" s="3">
        <f>+'Invullen groen'!O489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groen'!I490</f>
        <v/>
      </c>
      <c r="E486" s="3">
        <f>+'Invullen groen'!L490</f>
        <v/>
      </c>
      <c r="F486" s="3">
        <f>+'Invullen groen'!M490</f>
        <v/>
      </c>
      <c r="G486" s="3">
        <f>+'Invullen groen'!N490</f>
        <v/>
      </c>
      <c r="H486" s="3">
        <f>+'Invullen groen'!O490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groen'!I491</f>
        <v/>
      </c>
      <c r="E487" s="3">
        <f>+'Invullen groen'!L491</f>
        <v/>
      </c>
      <c r="F487" s="3">
        <f>+'Invullen groen'!M491</f>
        <v/>
      </c>
      <c r="G487" s="3">
        <f>+'Invullen groen'!N491</f>
        <v/>
      </c>
      <c r="H487" s="3">
        <f>+'Invullen groen'!O491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groen'!I492</f>
        <v/>
      </c>
      <c r="E488" s="3">
        <f>+'Invullen groen'!L492</f>
        <v/>
      </c>
      <c r="F488" s="3">
        <f>+'Invullen groen'!M492</f>
        <v/>
      </c>
      <c r="G488" s="3">
        <f>+'Invullen groen'!N492</f>
        <v/>
      </c>
      <c r="H488" s="3">
        <f>+'Invullen groen'!O492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groen'!I493</f>
        <v/>
      </c>
      <c r="E489" s="3">
        <f>+'Invullen groen'!L493</f>
        <v/>
      </c>
      <c r="F489" s="3">
        <f>+'Invullen groen'!M493</f>
        <v/>
      </c>
      <c r="G489" s="3">
        <f>+'Invullen groen'!N493</f>
        <v/>
      </c>
      <c r="H489" s="3">
        <f>+'Invullen groen'!O493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groen'!I494</f>
        <v/>
      </c>
      <c r="E490" s="3">
        <f>+'Invullen groen'!L494</f>
        <v/>
      </c>
      <c r="F490" s="3">
        <f>+'Invullen groen'!M494</f>
        <v/>
      </c>
      <c r="G490" s="3">
        <f>+'Invullen groen'!N494</f>
        <v/>
      </c>
      <c r="H490" s="3">
        <f>+'Invullen groen'!O494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groen'!I495</f>
        <v/>
      </c>
      <c r="E491" s="3">
        <f>+'Invullen groen'!L495</f>
        <v/>
      </c>
      <c r="F491" s="3">
        <f>+'Invullen groen'!M495</f>
        <v/>
      </c>
      <c r="G491" s="3">
        <f>+'Invullen groen'!N495</f>
        <v/>
      </c>
      <c r="H491" s="3">
        <f>+'Invullen groen'!O495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groen'!I496</f>
        <v/>
      </c>
      <c r="E492" s="3">
        <f>+'Invullen groen'!L496</f>
        <v/>
      </c>
      <c r="F492" s="3">
        <f>+'Invullen groen'!M496</f>
        <v/>
      </c>
      <c r="G492" s="3">
        <f>+'Invullen groen'!N496</f>
        <v/>
      </c>
      <c r="H492" s="3">
        <f>+'Invullen groen'!O496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groen'!I497</f>
        <v/>
      </c>
      <c r="E493" s="3">
        <f>+'Invullen groen'!L497</f>
        <v/>
      </c>
      <c r="F493" s="3">
        <f>+'Invullen groen'!M497</f>
        <v/>
      </c>
      <c r="G493" s="3">
        <f>+'Invullen groen'!N497</f>
        <v/>
      </c>
      <c r="H493" s="3">
        <f>+'Invullen groen'!O497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groen'!I498</f>
        <v/>
      </c>
      <c r="E494" s="3">
        <f>+'Invullen groen'!L498</f>
        <v/>
      </c>
      <c r="F494" s="3">
        <f>+'Invullen groen'!M498</f>
        <v/>
      </c>
      <c r="G494" s="3">
        <f>+'Invullen groen'!N498</f>
        <v/>
      </c>
      <c r="H494" s="3">
        <f>+'Invullen groen'!O498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groen'!I499</f>
        <v/>
      </c>
      <c r="E495" s="3">
        <f>+'Invullen groen'!L499</f>
        <v/>
      </c>
      <c r="F495" s="3">
        <f>+'Invullen groen'!M499</f>
        <v/>
      </c>
      <c r="G495" s="3">
        <f>+'Invullen groen'!N499</f>
        <v/>
      </c>
      <c r="H495" s="3">
        <f>+'Invullen groen'!O499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groen'!I500</f>
        <v/>
      </c>
      <c r="E496" s="3">
        <f>+'Invullen groen'!L500</f>
        <v/>
      </c>
      <c r="F496" s="3">
        <f>+'Invullen groen'!M500</f>
        <v/>
      </c>
      <c r="G496" s="3">
        <f>+'Invullen groen'!N500</f>
        <v/>
      </c>
      <c r="H496" s="3">
        <f>+'Invullen groen'!O500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groen'!I501</f>
        <v/>
      </c>
      <c r="E497" s="3">
        <f>+'Invullen groen'!L501</f>
        <v/>
      </c>
      <c r="F497" s="3">
        <f>+'Invullen groen'!M501</f>
        <v/>
      </c>
      <c r="G497" s="3">
        <f>+'Invullen groen'!N501</f>
        <v/>
      </c>
      <c r="H497" s="3">
        <f>+'Invullen groen'!O501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groen'!I502</f>
        <v/>
      </c>
      <c r="E498" s="3">
        <f>+'Invullen groen'!L502</f>
        <v/>
      </c>
      <c r="F498" s="3">
        <f>+'Invullen groen'!M502</f>
        <v/>
      </c>
      <c r="G498" s="3">
        <f>+'Invullen groen'!N502</f>
        <v/>
      </c>
      <c r="H498" s="3">
        <f>+'Invullen groen'!O502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groen'!I503</f>
        <v/>
      </c>
      <c r="E499" s="3">
        <f>+'Invullen groen'!L503</f>
        <v/>
      </c>
      <c r="F499" s="3">
        <f>+'Invullen groen'!M503</f>
        <v/>
      </c>
      <c r="G499" s="3">
        <f>+'Invullen groen'!N503</f>
        <v/>
      </c>
      <c r="H499" s="3">
        <f>+'Invullen groen'!O503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groen'!I504</f>
        <v/>
      </c>
      <c r="E500" s="3">
        <f>+'Invullen groen'!L504</f>
        <v/>
      </c>
      <c r="F500" s="3">
        <f>+'Invullen groen'!M504</f>
        <v/>
      </c>
      <c r="G500" s="3">
        <f>+'Invullen groen'!N504</f>
        <v/>
      </c>
      <c r="H500" s="3">
        <f>+'Invullen groen'!O504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groen'!I505</f>
        <v/>
      </c>
      <c r="E501" s="3">
        <f>+'Invullen groen'!L505</f>
        <v/>
      </c>
      <c r="F501" s="3">
        <f>+'Invullen groen'!M505</f>
        <v/>
      </c>
      <c r="G501" s="3">
        <f>+'Invullen groen'!N505</f>
        <v/>
      </c>
      <c r="H501" s="3">
        <f>+'Invullen groen'!O505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groen'!I506</f>
        <v/>
      </c>
      <c r="E502" s="3">
        <f>+'Invullen groen'!L506</f>
        <v/>
      </c>
      <c r="F502" s="3">
        <f>+'Invullen groen'!M506</f>
        <v/>
      </c>
      <c r="G502" s="3">
        <f>+'Invullen groen'!N506</f>
        <v/>
      </c>
      <c r="H502" s="3">
        <f>+'Invullen groen'!O506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groen'!I507</f>
        <v/>
      </c>
      <c r="E503" s="3">
        <f>+'Invullen groen'!L507</f>
        <v/>
      </c>
      <c r="F503" s="3">
        <f>+'Invullen groen'!M507</f>
        <v/>
      </c>
      <c r="G503" s="3">
        <f>+'Invullen groen'!N507</f>
        <v/>
      </c>
      <c r="H503" s="3">
        <f>+'Invullen groen'!O507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groen'!I508</f>
        <v/>
      </c>
      <c r="E504" s="3">
        <f>+'Invullen groen'!L508</f>
        <v/>
      </c>
      <c r="F504" s="3">
        <f>+'Invullen groen'!M508</f>
        <v/>
      </c>
      <c r="G504" s="3">
        <f>+'Invullen groen'!N508</f>
        <v/>
      </c>
      <c r="H504" s="3">
        <f>+'Invullen groen'!O508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groen'!I509</f>
        <v/>
      </c>
      <c r="E505" s="3">
        <f>+'Invullen groen'!L509</f>
        <v/>
      </c>
      <c r="F505" s="3">
        <f>+'Invullen groen'!M509</f>
        <v/>
      </c>
      <c r="G505" s="3">
        <f>+'Invullen groen'!N509</f>
        <v/>
      </c>
      <c r="H505" s="3">
        <f>+'Invullen groen'!O509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groen'!I510</f>
        <v/>
      </c>
      <c r="E506" s="3">
        <f>+'Invullen groen'!L510</f>
        <v/>
      </c>
      <c r="F506" s="3">
        <f>+'Invullen groen'!M510</f>
        <v/>
      </c>
      <c r="G506" s="3">
        <f>+'Invullen groen'!N510</f>
        <v/>
      </c>
      <c r="H506" s="3">
        <f>+'Invullen groen'!O510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groen'!I511</f>
        <v/>
      </c>
      <c r="E507" s="3">
        <f>+'Invullen groen'!L511</f>
        <v/>
      </c>
      <c r="F507" s="3">
        <f>+'Invullen groen'!M511</f>
        <v/>
      </c>
      <c r="G507" s="3">
        <f>+'Invullen groen'!N511</f>
        <v/>
      </c>
      <c r="H507" s="3">
        <f>+'Invullen groen'!O511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groen'!I512</f>
        <v/>
      </c>
      <c r="E508" s="3">
        <f>+'Invullen groen'!L512</f>
        <v/>
      </c>
      <c r="F508" s="3">
        <f>+'Invullen groen'!M512</f>
        <v/>
      </c>
      <c r="G508" s="3">
        <f>+'Invullen groen'!N512</f>
        <v/>
      </c>
      <c r="H508" s="3">
        <f>+'Invullen groen'!O512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groen'!I513</f>
        <v/>
      </c>
      <c r="E509" s="3">
        <f>+'Invullen groen'!L513</f>
        <v/>
      </c>
      <c r="F509" s="3">
        <f>+'Invullen groen'!M513</f>
        <v/>
      </c>
      <c r="G509" s="3">
        <f>+'Invullen groen'!N513</f>
        <v/>
      </c>
      <c r="H509" s="3">
        <f>+'Invullen groen'!O513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groen'!I514</f>
        <v/>
      </c>
      <c r="E510" s="3">
        <f>+'Invullen groen'!L514</f>
        <v/>
      </c>
      <c r="F510" s="3">
        <f>+'Invullen groen'!M514</f>
        <v/>
      </c>
      <c r="G510" s="3">
        <f>+'Invullen groen'!N514</f>
        <v/>
      </c>
      <c r="H510" s="3">
        <f>+'Invullen groen'!O514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groen'!I515</f>
        <v/>
      </c>
      <c r="E511" s="3">
        <f>+'Invullen groen'!L515</f>
        <v/>
      </c>
      <c r="F511" s="3">
        <f>+'Invullen groen'!M515</f>
        <v/>
      </c>
      <c r="G511" s="3">
        <f>+'Invullen groen'!N515</f>
        <v/>
      </c>
      <c r="H511" s="3">
        <f>+'Invullen groen'!O515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groen'!I516</f>
        <v/>
      </c>
      <c r="E512" s="3">
        <f>+'Invullen groen'!L516</f>
        <v/>
      </c>
      <c r="F512" s="3">
        <f>+'Invullen groen'!M516</f>
        <v/>
      </c>
      <c r="G512" s="3">
        <f>+'Invullen groen'!N516</f>
        <v/>
      </c>
      <c r="H512" s="3">
        <f>+'Invullen groen'!O516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groen'!I517</f>
        <v/>
      </c>
      <c r="E513" s="3">
        <f>+'Invullen groen'!L517</f>
        <v/>
      </c>
      <c r="F513" s="3">
        <f>+'Invullen groen'!M517</f>
        <v/>
      </c>
      <c r="G513" s="3">
        <f>+'Invullen groen'!N517</f>
        <v/>
      </c>
      <c r="H513" s="3">
        <f>+'Invullen groen'!O517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groen'!I518</f>
        <v/>
      </c>
      <c r="E514" s="3">
        <f>+'Invullen groen'!L518</f>
        <v/>
      </c>
      <c r="F514" s="3">
        <f>+'Invullen groen'!M518</f>
        <v/>
      </c>
      <c r="G514" s="3">
        <f>+'Invullen groen'!N518</f>
        <v/>
      </c>
      <c r="H514" s="3">
        <f>+'Invullen groen'!O518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groen'!I519</f>
        <v/>
      </c>
      <c r="E515" s="3">
        <f>+'Invullen groen'!L519</f>
        <v/>
      </c>
      <c r="F515" s="3">
        <f>+'Invullen groen'!M519</f>
        <v/>
      </c>
      <c r="G515" s="3">
        <f>+'Invullen groen'!N519</f>
        <v/>
      </c>
      <c r="H515" s="3">
        <f>+'Invullen groen'!O519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groen'!I520</f>
        <v/>
      </c>
      <c r="E516" s="3">
        <f>+'Invullen groen'!L520</f>
        <v/>
      </c>
      <c r="F516" s="3">
        <f>+'Invullen groen'!M520</f>
        <v/>
      </c>
      <c r="G516" s="3">
        <f>+'Invullen groen'!N520</f>
        <v/>
      </c>
      <c r="H516" s="3">
        <f>+'Invullen groen'!O520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groen'!I521</f>
        <v/>
      </c>
      <c r="E517" s="3">
        <f>+'Invullen groen'!L521</f>
        <v/>
      </c>
      <c r="F517" s="3">
        <f>+'Invullen groen'!M521</f>
        <v/>
      </c>
      <c r="G517" s="3">
        <f>+'Invullen groen'!N521</f>
        <v/>
      </c>
      <c r="H517" s="3">
        <f>+'Invullen groen'!O521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groen'!I522</f>
        <v/>
      </c>
      <c r="E518" s="3">
        <f>+'Invullen groen'!L522</f>
        <v/>
      </c>
      <c r="F518" s="3">
        <f>+'Invullen groen'!M522</f>
        <v/>
      </c>
      <c r="G518" s="3">
        <f>+'Invullen groen'!N522</f>
        <v/>
      </c>
      <c r="H518" s="3">
        <f>+'Invullen groen'!O522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groen'!I523</f>
        <v/>
      </c>
      <c r="E519" s="3">
        <f>+'Invullen groen'!L523</f>
        <v/>
      </c>
      <c r="F519" s="3">
        <f>+'Invullen groen'!M523</f>
        <v/>
      </c>
      <c r="G519" s="3">
        <f>+'Invullen groen'!N523</f>
        <v/>
      </c>
      <c r="H519" s="3">
        <f>+'Invullen groen'!O523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groen'!I524</f>
        <v/>
      </c>
      <c r="E520" s="3">
        <f>+'Invullen groen'!L524</f>
        <v/>
      </c>
      <c r="F520" s="3">
        <f>+'Invullen groen'!M524</f>
        <v/>
      </c>
      <c r="G520" s="3">
        <f>+'Invullen groen'!N524</f>
        <v/>
      </c>
      <c r="H520" s="3">
        <f>+'Invullen groen'!O524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groen'!I525</f>
        <v/>
      </c>
      <c r="E521" s="3">
        <f>+'Invullen groen'!L525</f>
        <v/>
      </c>
      <c r="F521" s="3">
        <f>+'Invullen groen'!M525</f>
        <v/>
      </c>
      <c r="G521" s="3">
        <f>+'Invullen groen'!N525</f>
        <v/>
      </c>
      <c r="H521" s="3">
        <f>+'Invullen groen'!O525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groen'!I526</f>
        <v/>
      </c>
      <c r="E522" s="3">
        <f>+'Invullen groen'!L526</f>
        <v/>
      </c>
      <c r="F522" s="3">
        <f>+'Invullen groen'!M526</f>
        <v/>
      </c>
      <c r="G522" s="3">
        <f>+'Invullen groen'!N526</f>
        <v/>
      </c>
      <c r="H522" s="3">
        <f>+'Invullen groen'!O526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groen'!I527</f>
        <v/>
      </c>
      <c r="E523" s="3">
        <f>+'Invullen groen'!L527</f>
        <v/>
      </c>
      <c r="F523" s="3">
        <f>+'Invullen groen'!M527</f>
        <v/>
      </c>
      <c r="G523" s="3">
        <f>+'Invullen groen'!N527</f>
        <v/>
      </c>
      <c r="H523" s="3">
        <f>+'Invullen groen'!O527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groen'!I528</f>
        <v/>
      </c>
      <c r="E524" s="3">
        <f>+'Invullen groen'!L528</f>
        <v/>
      </c>
      <c r="F524" s="3">
        <f>+'Invullen groen'!M528</f>
        <v/>
      </c>
      <c r="G524" s="3">
        <f>+'Invullen groen'!N528</f>
        <v/>
      </c>
      <c r="H524" s="3">
        <f>+'Invullen groen'!O528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groen'!I529</f>
        <v/>
      </c>
      <c r="E525" s="3">
        <f>+'Invullen groen'!L529</f>
        <v/>
      </c>
      <c r="F525" s="3">
        <f>+'Invullen groen'!M529</f>
        <v/>
      </c>
      <c r="G525" s="3">
        <f>+'Invullen groen'!N529</f>
        <v/>
      </c>
      <c r="H525" s="3">
        <f>+'Invullen groen'!O529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groen'!I530</f>
        <v/>
      </c>
      <c r="E526" s="3">
        <f>+'Invullen groen'!L530</f>
        <v/>
      </c>
      <c r="F526" s="3">
        <f>+'Invullen groen'!M530</f>
        <v/>
      </c>
      <c r="G526" s="3">
        <f>+'Invullen groen'!N530</f>
        <v/>
      </c>
      <c r="H526" s="3">
        <f>+'Invullen groen'!O530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groen'!I531</f>
        <v/>
      </c>
      <c r="E527" s="3">
        <f>+'Invullen groen'!L531</f>
        <v/>
      </c>
      <c r="F527" s="3">
        <f>+'Invullen groen'!M531</f>
        <v/>
      </c>
      <c r="G527" s="3">
        <f>+'Invullen groen'!N531</f>
        <v/>
      </c>
      <c r="H527" s="3">
        <f>+'Invullen groen'!O531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groen'!I532</f>
        <v/>
      </c>
      <c r="E528" s="3">
        <f>+'Invullen groen'!L532</f>
        <v/>
      </c>
      <c r="F528" s="3">
        <f>+'Invullen groen'!M532</f>
        <v/>
      </c>
      <c r="G528" s="3">
        <f>+'Invullen groen'!N532</f>
        <v/>
      </c>
      <c r="H528" s="3">
        <f>+'Invullen groen'!O532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groen'!I533</f>
        <v/>
      </c>
      <c r="E529" s="3">
        <f>+'Invullen groen'!L533</f>
        <v/>
      </c>
      <c r="F529" s="3">
        <f>+'Invullen groen'!M533</f>
        <v/>
      </c>
      <c r="G529" s="3">
        <f>+'Invullen groen'!N533</f>
        <v/>
      </c>
      <c r="H529" s="3">
        <f>+'Invullen groen'!O533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groen'!I534</f>
        <v/>
      </c>
      <c r="E530" s="3">
        <f>+'Invullen groen'!L534</f>
        <v/>
      </c>
      <c r="F530" s="3">
        <f>+'Invullen groen'!M534</f>
        <v/>
      </c>
      <c r="G530" s="3">
        <f>+'Invullen groen'!N534</f>
        <v/>
      </c>
      <c r="H530" s="3">
        <f>+'Invullen groen'!O534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groen'!I535</f>
        <v/>
      </c>
      <c r="E531" s="3">
        <f>+'Invullen groen'!L535</f>
        <v/>
      </c>
      <c r="F531" s="3">
        <f>+'Invullen groen'!M535</f>
        <v/>
      </c>
      <c r="G531" s="3">
        <f>+'Invullen groen'!N535</f>
        <v/>
      </c>
      <c r="H531" s="3">
        <f>+'Invullen groen'!O535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groen'!I536</f>
        <v/>
      </c>
      <c r="E532" s="3">
        <f>+'Invullen groen'!L536</f>
        <v/>
      </c>
      <c r="F532" s="3">
        <f>+'Invullen groen'!M536</f>
        <v/>
      </c>
      <c r="G532" s="3">
        <f>+'Invullen groen'!N536</f>
        <v/>
      </c>
      <c r="H532" s="3">
        <f>+'Invullen groen'!O536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groen'!I537</f>
        <v/>
      </c>
      <c r="E533" s="3">
        <f>+'Invullen groen'!L537</f>
        <v/>
      </c>
      <c r="F533" s="3">
        <f>+'Invullen groen'!M537</f>
        <v/>
      </c>
      <c r="G533" s="3">
        <f>+'Invullen groen'!N537</f>
        <v/>
      </c>
      <c r="H533" s="3">
        <f>+'Invullen groen'!O537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groen'!I538</f>
        <v/>
      </c>
      <c r="E534" s="3">
        <f>+'Invullen groen'!L538</f>
        <v/>
      </c>
      <c r="F534" s="3">
        <f>+'Invullen groen'!M538</f>
        <v/>
      </c>
      <c r="G534" s="3">
        <f>+'Invullen groen'!N538</f>
        <v/>
      </c>
      <c r="H534" s="3">
        <f>+'Invullen groen'!O538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groen'!I539</f>
        <v/>
      </c>
      <c r="E535" s="3">
        <f>+'Invullen groen'!L539</f>
        <v/>
      </c>
      <c r="F535" s="3">
        <f>+'Invullen groen'!M539</f>
        <v/>
      </c>
      <c r="G535" s="3">
        <f>+'Invullen groen'!N539</f>
        <v/>
      </c>
      <c r="H535" s="3">
        <f>+'Invullen groen'!O539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groen'!I540</f>
        <v/>
      </c>
      <c r="E536" s="3">
        <f>+'Invullen groen'!L540</f>
        <v/>
      </c>
      <c r="F536" s="3">
        <f>+'Invullen groen'!M540</f>
        <v/>
      </c>
      <c r="G536" s="3">
        <f>+'Invullen groen'!N540</f>
        <v/>
      </c>
      <c r="H536" s="3">
        <f>+'Invullen groen'!O540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groen'!I541</f>
        <v/>
      </c>
      <c r="E537" s="3">
        <f>+'Invullen groen'!L541</f>
        <v/>
      </c>
      <c r="F537" s="3">
        <f>+'Invullen groen'!M541</f>
        <v/>
      </c>
      <c r="G537" s="3">
        <f>+'Invullen groen'!N541</f>
        <v/>
      </c>
      <c r="H537" s="3">
        <f>+'Invullen groen'!O541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groen'!I542</f>
        <v/>
      </c>
      <c r="E538" s="3">
        <f>+'Invullen groen'!L542</f>
        <v/>
      </c>
      <c r="F538" s="3">
        <f>+'Invullen groen'!M542</f>
        <v/>
      </c>
      <c r="G538" s="3">
        <f>+'Invullen groen'!N542</f>
        <v/>
      </c>
      <c r="H538" s="3">
        <f>+'Invullen groen'!O542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groen'!I543</f>
        <v/>
      </c>
      <c r="E539" s="3">
        <f>+'Invullen groen'!L543</f>
        <v/>
      </c>
      <c r="F539" s="3">
        <f>+'Invullen groen'!M543</f>
        <v/>
      </c>
      <c r="G539" s="3">
        <f>+'Invullen groen'!N543</f>
        <v/>
      </c>
      <c r="H539" s="3">
        <f>+'Invullen groen'!O543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groen'!I544</f>
        <v/>
      </c>
      <c r="E540" s="3">
        <f>+'Invullen groen'!L544</f>
        <v/>
      </c>
      <c r="F540" s="3">
        <f>+'Invullen groen'!M544</f>
        <v/>
      </c>
      <c r="G540" s="3">
        <f>+'Invullen groen'!N544</f>
        <v/>
      </c>
      <c r="H540" s="3">
        <f>+'Invullen groen'!O544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groen'!I545</f>
        <v/>
      </c>
      <c r="E541" s="3">
        <f>+'Invullen groen'!L545</f>
        <v/>
      </c>
      <c r="F541" s="3">
        <f>+'Invullen groen'!M545</f>
        <v/>
      </c>
      <c r="G541" s="3">
        <f>+'Invullen groen'!N545</f>
        <v/>
      </c>
      <c r="H541" s="3">
        <f>+'Invullen groen'!O545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groen'!I546</f>
        <v/>
      </c>
      <c r="E542" s="3">
        <f>+'Invullen groen'!L546</f>
        <v/>
      </c>
      <c r="F542" s="3">
        <f>+'Invullen groen'!M546</f>
        <v/>
      </c>
      <c r="G542" s="3">
        <f>+'Invullen groen'!N546</f>
        <v/>
      </c>
      <c r="H542" s="3">
        <f>+'Invullen groen'!O546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groen'!I547</f>
        <v/>
      </c>
      <c r="E543" s="3">
        <f>+'Invullen groen'!L547</f>
        <v/>
      </c>
      <c r="F543" s="3">
        <f>+'Invullen groen'!M547</f>
        <v/>
      </c>
      <c r="G543" s="3">
        <f>+'Invullen groen'!N547</f>
        <v/>
      </c>
      <c r="H543" s="3">
        <f>+'Invullen groen'!O547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groen'!I548</f>
        <v/>
      </c>
      <c r="E544" s="3">
        <f>+'Invullen groen'!L548</f>
        <v/>
      </c>
      <c r="F544" s="3">
        <f>+'Invullen groen'!M548</f>
        <v/>
      </c>
      <c r="G544" s="3">
        <f>+'Invullen groen'!N548</f>
        <v/>
      </c>
      <c r="H544" s="3">
        <f>+'Invullen groen'!O548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groen'!I549</f>
        <v/>
      </c>
      <c r="E545" s="3">
        <f>+'Invullen groen'!L549</f>
        <v/>
      </c>
      <c r="F545" s="3">
        <f>+'Invullen groen'!M549</f>
        <v/>
      </c>
      <c r="G545" s="3">
        <f>+'Invullen groen'!N549</f>
        <v/>
      </c>
      <c r="H545" s="3">
        <f>+'Invullen groen'!O549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groen'!I550</f>
        <v/>
      </c>
      <c r="E546" s="3">
        <f>+'Invullen groen'!L550</f>
        <v/>
      </c>
      <c r="F546" s="3">
        <f>+'Invullen groen'!M550</f>
        <v/>
      </c>
      <c r="G546" s="3">
        <f>+'Invullen groen'!N550</f>
        <v/>
      </c>
      <c r="H546" s="3">
        <f>+'Invullen groen'!O550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groen'!I551</f>
        <v/>
      </c>
      <c r="E547" s="3">
        <f>+'Invullen groen'!L551</f>
        <v/>
      </c>
      <c r="F547" s="3">
        <f>+'Invullen groen'!M551</f>
        <v/>
      </c>
      <c r="G547" s="3">
        <f>+'Invullen groen'!N551</f>
        <v/>
      </c>
      <c r="H547" s="3">
        <f>+'Invullen groen'!O551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groen'!I552</f>
        <v/>
      </c>
      <c r="E548" s="3">
        <f>+'Invullen groen'!L552</f>
        <v/>
      </c>
      <c r="F548" s="3">
        <f>+'Invullen groen'!M552</f>
        <v/>
      </c>
      <c r="G548" s="3">
        <f>+'Invullen groen'!N552</f>
        <v/>
      </c>
      <c r="H548" s="3">
        <f>+'Invullen groen'!O552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groen'!I553</f>
        <v/>
      </c>
      <c r="E549" s="3">
        <f>+'Invullen groen'!L553</f>
        <v/>
      </c>
      <c r="F549" s="3">
        <f>+'Invullen groen'!M553</f>
        <v/>
      </c>
      <c r="G549" s="3">
        <f>+'Invullen groen'!N553</f>
        <v/>
      </c>
      <c r="H549" s="3">
        <f>+'Invullen groen'!O553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groen'!I554</f>
        <v/>
      </c>
      <c r="E550" s="3">
        <f>+'Invullen groen'!L554</f>
        <v/>
      </c>
      <c r="F550" s="3">
        <f>+'Invullen groen'!M554</f>
        <v/>
      </c>
      <c r="G550" s="3">
        <f>+'Invullen groen'!N554</f>
        <v/>
      </c>
      <c r="H550" s="3">
        <f>+'Invullen groen'!O554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groen'!I555</f>
        <v/>
      </c>
      <c r="E551" s="3">
        <f>+'Invullen groen'!L555</f>
        <v/>
      </c>
      <c r="F551" s="3">
        <f>+'Invullen groen'!M555</f>
        <v/>
      </c>
      <c r="G551" s="3">
        <f>+'Invullen groen'!N555</f>
        <v/>
      </c>
      <c r="H551" s="3">
        <f>+'Invullen groen'!O555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groen'!I556</f>
        <v/>
      </c>
      <c r="E552" s="3">
        <f>+'Invullen groen'!L556</f>
        <v/>
      </c>
      <c r="F552" s="3">
        <f>+'Invullen groen'!M556</f>
        <v/>
      </c>
      <c r="G552" s="3">
        <f>+'Invullen groen'!N556</f>
        <v/>
      </c>
      <c r="H552" s="3">
        <f>+'Invullen groen'!O556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groen'!I557</f>
        <v/>
      </c>
      <c r="E553" s="3">
        <f>+'Invullen groen'!L557</f>
        <v/>
      </c>
      <c r="F553" s="3">
        <f>+'Invullen groen'!M557</f>
        <v/>
      </c>
      <c r="G553" s="3">
        <f>+'Invullen groen'!N557</f>
        <v/>
      </c>
      <c r="H553" s="3">
        <f>+'Invullen groen'!O557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groen'!I558</f>
        <v/>
      </c>
      <c r="E554" s="3">
        <f>+'Invullen groen'!L558</f>
        <v/>
      </c>
      <c r="F554" s="3">
        <f>+'Invullen groen'!M558</f>
        <v/>
      </c>
      <c r="G554" s="3">
        <f>+'Invullen groen'!N558</f>
        <v/>
      </c>
      <c r="H554" s="3">
        <f>+'Invullen groen'!O558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groen'!I559</f>
        <v/>
      </c>
      <c r="E555" s="3">
        <f>+'Invullen groen'!L559</f>
        <v/>
      </c>
      <c r="F555" s="3">
        <f>+'Invullen groen'!M559</f>
        <v/>
      </c>
      <c r="G555" s="3">
        <f>+'Invullen groen'!N559</f>
        <v/>
      </c>
      <c r="H555" s="3">
        <f>+'Invullen groen'!O559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groen'!I560</f>
        <v/>
      </c>
      <c r="E556" s="3">
        <f>+'Invullen groen'!L560</f>
        <v/>
      </c>
      <c r="F556" s="3">
        <f>+'Invullen groen'!M560</f>
        <v/>
      </c>
      <c r="G556" s="3">
        <f>+'Invullen groen'!N560</f>
        <v/>
      </c>
      <c r="H556" s="3">
        <f>+'Invullen groen'!O560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groen'!I561</f>
        <v/>
      </c>
      <c r="E557" s="3">
        <f>+'Invullen groen'!L561</f>
        <v/>
      </c>
      <c r="F557" s="3">
        <f>+'Invullen groen'!M561</f>
        <v/>
      </c>
      <c r="G557" s="3">
        <f>+'Invullen groen'!N561</f>
        <v/>
      </c>
      <c r="H557" s="3">
        <f>+'Invullen groen'!O561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groen'!I562</f>
        <v/>
      </c>
      <c r="E558" s="3">
        <f>+'Invullen groen'!L562</f>
        <v/>
      </c>
      <c r="F558" s="3">
        <f>+'Invullen groen'!M562</f>
        <v/>
      </c>
      <c r="G558" s="3">
        <f>+'Invullen groen'!N562</f>
        <v/>
      </c>
      <c r="H558" s="3">
        <f>+'Invullen groen'!O562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groen'!I563</f>
        <v/>
      </c>
      <c r="E559" s="3">
        <f>+'Invullen groen'!L563</f>
        <v/>
      </c>
      <c r="F559" s="3">
        <f>+'Invullen groen'!M563</f>
        <v/>
      </c>
      <c r="G559" s="3">
        <f>+'Invullen groen'!N563</f>
        <v/>
      </c>
      <c r="H559" s="3">
        <f>+'Invullen groen'!O563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groen'!I564</f>
        <v/>
      </c>
      <c r="E560" s="3">
        <f>+'Invullen groen'!L564</f>
        <v/>
      </c>
      <c r="F560" s="3">
        <f>+'Invullen groen'!M564</f>
        <v/>
      </c>
      <c r="G560" s="3">
        <f>+'Invullen groen'!N564</f>
        <v/>
      </c>
      <c r="H560" s="3">
        <f>+'Invullen groen'!O564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groen'!I565</f>
        <v/>
      </c>
      <c r="E561" s="3">
        <f>+'Invullen groen'!L565</f>
        <v/>
      </c>
      <c r="F561" s="3">
        <f>+'Invullen groen'!M565</f>
        <v/>
      </c>
      <c r="G561" s="3">
        <f>+'Invullen groen'!N565</f>
        <v/>
      </c>
      <c r="H561" s="3">
        <f>+'Invullen groen'!O565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groen'!I566</f>
        <v/>
      </c>
      <c r="E562" s="3">
        <f>+'Invullen groen'!L566</f>
        <v/>
      </c>
      <c r="F562" s="3">
        <f>+'Invullen groen'!M566</f>
        <v/>
      </c>
      <c r="G562" s="3">
        <f>+'Invullen groen'!N566</f>
        <v/>
      </c>
      <c r="H562" s="3">
        <f>+'Invullen groen'!O566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groen'!I567</f>
        <v/>
      </c>
      <c r="E563" s="3">
        <f>+'Invullen groen'!L567</f>
        <v/>
      </c>
      <c r="F563" s="3">
        <f>+'Invullen groen'!M567</f>
        <v/>
      </c>
      <c r="G563" s="3">
        <f>+'Invullen groen'!N567</f>
        <v/>
      </c>
      <c r="H563" s="3">
        <f>+'Invullen groen'!O567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groen'!I568</f>
        <v/>
      </c>
      <c r="E564" s="3">
        <f>+'Invullen groen'!L568</f>
        <v/>
      </c>
      <c r="F564" s="3">
        <f>+'Invullen groen'!M568</f>
        <v/>
      </c>
      <c r="G564" s="3">
        <f>+'Invullen groen'!N568</f>
        <v/>
      </c>
      <c r="H564" s="3">
        <f>+'Invullen groen'!O568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groen'!I569</f>
        <v/>
      </c>
      <c r="E565" s="3">
        <f>+'Invullen groen'!L569</f>
        <v/>
      </c>
      <c r="F565" s="3">
        <f>+'Invullen groen'!M569</f>
        <v/>
      </c>
      <c r="G565" s="3">
        <f>+'Invullen groen'!N569</f>
        <v/>
      </c>
      <c r="H565" s="3">
        <f>+'Invullen groen'!O569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groen'!I570</f>
        <v/>
      </c>
      <c r="E566" s="3">
        <f>+'Invullen groen'!L570</f>
        <v/>
      </c>
      <c r="F566" s="3">
        <f>+'Invullen groen'!M570</f>
        <v/>
      </c>
      <c r="G566" s="3">
        <f>+'Invullen groen'!N570</f>
        <v/>
      </c>
      <c r="H566" s="3">
        <f>+'Invullen groen'!O570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groen'!I571</f>
        <v/>
      </c>
      <c r="E567" s="3">
        <f>+'Invullen groen'!L571</f>
        <v/>
      </c>
      <c r="F567" s="3">
        <f>+'Invullen groen'!M571</f>
        <v/>
      </c>
      <c r="G567" s="3">
        <f>+'Invullen groen'!N571</f>
        <v/>
      </c>
      <c r="H567" s="3">
        <f>+'Invullen groen'!O571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groen'!I572</f>
        <v/>
      </c>
      <c r="E568" s="3">
        <f>+'Invullen groen'!L572</f>
        <v/>
      </c>
      <c r="F568" s="3">
        <f>+'Invullen groen'!M572</f>
        <v/>
      </c>
      <c r="G568" s="3">
        <f>+'Invullen groen'!N572</f>
        <v/>
      </c>
      <c r="H568" s="3">
        <f>+'Invullen groen'!O572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groen'!I573</f>
        <v/>
      </c>
      <c r="E569" s="3">
        <f>+'Invullen groen'!L573</f>
        <v/>
      </c>
      <c r="F569" s="3">
        <f>+'Invullen groen'!M573</f>
        <v/>
      </c>
      <c r="G569" s="3">
        <f>+'Invullen groen'!N573</f>
        <v/>
      </c>
      <c r="H569" s="3">
        <f>+'Invullen groen'!O573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groen'!I574</f>
        <v/>
      </c>
      <c r="E570" s="3">
        <f>+'Invullen groen'!L574</f>
        <v/>
      </c>
      <c r="F570" s="3">
        <f>+'Invullen groen'!M574</f>
        <v/>
      </c>
      <c r="G570" s="3">
        <f>+'Invullen groen'!N574</f>
        <v/>
      </c>
      <c r="H570" s="3">
        <f>+'Invullen groen'!O574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groen'!I575</f>
        <v/>
      </c>
      <c r="E571" s="3">
        <f>+'Invullen groen'!L575</f>
        <v/>
      </c>
      <c r="F571" s="3">
        <f>+'Invullen groen'!M575</f>
        <v/>
      </c>
      <c r="G571" s="3">
        <f>+'Invullen groen'!N575</f>
        <v/>
      </c>
      <c r="H571" s="3">
        <f>+'Invullen groen'!O575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groen'!I576</f>
        <v/>
      </c>
      <c r="E572" s="3">
        <f>+'Invullen groen'!L576</f>
        <v/>
      </c>
      <c r="F572" s="3">
        <f>+'Invullen groen'!M576</f>
        <v/>
      </c>
      <c r="G572" s="3">
        <f>+'Invullen groen'!N576</f>
        <v/>
      </c>
      <c r="H572" s="3">
        <f>+'Invullen groen'!O576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groen'!I577</f>
        <v/>
      </c>
      <c r="E573" s="3">
        <f>+'Invullen groen'!L577</f>
        <v/>
      </c>
      <c r="F573" s="3">
        <f>+'Invullen groen'!M577</f>
        <v/>
      </c>
      <c r="G573" s="3">
        <f>+'Invullen groen'!N577</f>
        <v/>
      </c>
      <c r="H573" s="3">
        <f>+'Invullen groen'!O577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groen'!I578</f>
        <v/>
      </c>
      <c r="E574" s="3">
        <f>+'Invullen groen'!L578</f>
        <v/>
      </c>
      <c r="F574" s="3">
        <f>+'Invullen groen'!M578</f>
        <v/>
      </c>
      <c r="G574" s="3">
        <f>+'Invullen groen'!N578</f>
        <v/>
      </c>
      <c r="H574" s="3">
        <f>+'Invullen groen'!O578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groen'!I579</f>
        <v/>
      </c>
      <c r="E575" s="3">
        <f>+'Invullen groen'!L579</f>
        <v/>
      </c>
      <c r="F575" s="3">
        <f>+'Invullen groen'!M579</f>
        <v/>
      </c>
      <c r="G575" s="3">
        <f>+'Invullen groen'!N579</f>
        <v/>
      </c>
      <c r="H575" s="3">
        <f>+'Invullen groen'!O579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groen'!I580</f>
        <v/>
      </c>
      <c r="E576" s="3">
        <f>+'Invullen groen'!L580</f>
        <v/>
      </c>
      <c r="F576" s="3">
        <f>+'Invullen groen'!M580</f>
        <v/>
      </c>
      <c r="G576" s="3">
        <f>+'Invullen groen'!N580</f>
        <v/>
      </c>
      <c r="H576" s="3">
        <f>+'Invullen groen'!O580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groen'!I581</f>
        <v/>
      </c>
      <c r="E577" s="3">
        <f>+'Invullen groen'!L581</f>
        <v/>
      </c>
      <c r="F577" s="3">
        <f>+'Invullen groen'!M581</f>
        <v/>
      </c>
      <c r="G577" s="3">
        <f>+'Invullen groen'!N581</f>
        <v/>
      </c>
      <c r="H577" s="3">
        <f>+'Invullen groen'!O581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groen'!I582</f>
        <v/>
      </c>
      <c r="E578" s="3">
        <f>+'Invullen groen'!L582</f>
        <v/>
      </c>
      <c r="F578" s="3">
        <f>+'Invullen groen'!M582</f>
        <v/>
      </c>
      <c r="G578" s="3">
        <f>+'Invullen groen'!N582</f>
        <v/>
      </c>
      <c r="H578" s="3">
        <f>+'Invullen groen'!O582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groen'!I583</f>
        <v/>
      </c>
      <c r="E579" s="3">
        <f>+'Invullen groen'!L583</f>
        <v/>
      </c>
      <c r="F579" s="3">
        <f>+'Invullen groen'!M583</f>
        <v/>
      </c>
      <c r="G579" s="3">
        <f>+'Invullen groen'!N583</f>
        <v/>
      </c>
      <c r="H579" s="3">
        <f>+'Invullen groen'!O583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groen'!I584</f>
        <v/>
      </c>
      <c r="E580" s="3">
        <f>+'Invullen groen'!L584</f>
        <v/>
      </c>
      <c r="F580" s="3">
        <f>+'Invullen groen'!M584</f>
        <v/>
      </c>
      <c r="G580" s="3">
        <f>+'Invullen groen'!N584</f>
        <v/>
      </c>
      <c r="H580" s="3">
        <f>+'Invullen groen'!O584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groen'!I585</f>
        <v/>
      </c>
      <c r="E581" s="3">
        <f>+'Invullen groen'!L585</f>
        <v/>
      </c>
      <c r="F581" s="3">
        <f>+'Invullen groen'!M585</f>
        <v/>
      </c>
      <c r="G581" s="3">
        <f>+'Invullen groen'!N585</f>
        <v/>
      </c>
      <c r="H581" s="3">
        <f>+'Invullen groen'!O585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groen'!I586</f>
        <v/>
      </c>
      <c r="E582" s="3">
        <f>+'Invullen groen'!L586</f>
        <v/>
      </c>
      <c r="F582" s="3">
        <f>+'Invullen groen'!M586</f>
        <v/>
      </c>
      <c r="G582" s="3">
        <f>+'Invullen groen'!N586</f>
        <v/>
      </c>
      <c r="H582" s="3">
        <f>+'Invullen groen'!O586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groen'!I587</f>
        <v/>
      </c>
      <c r="E583" s="3">
        <f>+'Invullen groen'!L587</f>
        <v/>
      </c>
      <c r="F583" s="3">
        <f>+'Invullen groen'!M587</f>
        <v/>
      </c>
      <c r="G583" s="3">
        <f>+'Invullen groen'!N587</f>
        <v/>
      </c>
      <c r="H583" s="3">
        <f>+'Invullen groen'!O587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groen'!I588</f>
        <v/>
      </c>
      <c r="E584" s="3">
        <f>+'Invullen groen'!L588</f>
        <v/>
      </c>
      <c r="F584" s="3">
        <f>+'Invullen groen'!M588</f>
        <v/>
      </c>
      <c r="G584" s="3">
        <f>+'Invullen groen'!N588</f>
        <v/>
      </c>
      <c r="H584" s="3">
        <f>+'Invullen groen'!O588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groen'!I589</f>
        <v/>
      </c>
      <c r="E585" s="3">
        <f>+'Invullen groen'!L589</f>
        <v/>
      </c>
      <c r="F585" s="3">
        <f>+'Invullen groen'!M589</f>
        <v/>
      </c>
      <c r="G585" s="3">
        <f>+'Invullen groen'!N589</f>
        <v/>
      </c>
      <c r="H585" s="3">
        <f>+'Invullen groen'!O589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groen'!I590</f>
        <v/>
      </c>
      <c r="E586" s="3">
        <f>+'Invullen groen'!L590</f>
        <v/>
      </c>
      <c r="F586" s="3">
        <f>+'Invullen groen'!M590</f>
        <v/>
      </c>
      <c r="G586" s="3">
        <f>+'Invullen groen'!N590</f>
        <v/>
      </c>
      <c r="H586" s="3">
        <f>+'Invullen groen'!O590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groen'!I591</f>
        <v/>
      </c>
      <c r="E587" s="3">
        <f>+'Invullen groen'!L591</f>
        <v/>
      </c>
      <c r="F587" s="3">
        <f>+'Invullen groen'!M591</f>
        <v/>
      </c>
      <c r="G587" s="3">
        <f>+'Invullen groen'!N591</f>
        <v/>
      </c>
      <c r="H587" s="3">
        <f>+'Invullen groen'!O591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groen'!I592</f>
        <v/>
      </c>
      <c r="E588" s="3">
        <f>+'Invullen groen'!L592</f>
        <v/>
      </c>
      <c r="F588" s="3">
        <f>+'Invullen groen'!M592</f>
        <v/>
      </c>
      <c r="G588" s="3">
        <f>+'Invullen groen'!N592</f>
        <v/>
      </c>
      <c r="H588" s="3">
        <f>+'Invullen groen'!O592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groen'!I593</f>
        <v/>
      </c>
      <c r="E589" s="3">
        <f>+'Invullen groen'!L593</f>
        <v/>
      </c>
      <c r="F589" s="3">
        <f>+'Invullen groen'!M593</f>
        <v/>
      </c>
      <c r="G589" s="3">
        <f>+'Invullen groen'!N593</f>
        <v/>
      </c>
      <c r="H589" s="3">
        <f>+'Invullen groen'!O593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groen'!I594</f>
        <v/>
      </c>
      <c r="E590" s="3">
        <f>+'Invullen groen'!L594</f>
        <v/>
      </c>
      <c r="F590" s="3">
        <f>+'Invullen groen'!M594</f>
        <v/>
      </c>
      <c r="G590" s="3">
        <f>+'Invullen groen'!N594</f>
        <v/>
      </c>
      <c r="H590" s="3">
        <f>+'Invullen groen'!O594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groen'!I595</f>
        <v/>
      </c>
      <c r="E591" s="3">
        <f>+'Invullen groen'!L595</f>
        <v/>
      </c>
      <c r="F591" s="3">
        <f>+'Invullen groen'!M595</f>
        <v/>
      </c>
      <c r="G591" s="3">
        <f>+'Invullen groen'!N595</f>
        <v/>
      </c>
      <c r="H591" s="3">
        <f>+'Invullen groen'!O595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groen'!I596</f>
        <v/>
      </c>
      <c r="E592" s="3">
        <f>+'Invullen groen'!L596</f>
        <v/>
      </c>
      <c r="F592" s="3">
        <f>+'Invullen groen'!M596</f>
        <v/>
      </c>
      <c r="G592" s="3">
        <f>+'Invullen groen'!N596</f>
        <v/>
      </c>
      <c r="H592" s="3">
        <f>+'Invullen groen'!O596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groen'!I597</f>
        <v/>
      </c>
      <c r="E593" s="3">
        <f>+'Invullen groen'!L597</f>
        <v/>
      </c>
      <c r="F593" s="3">
        <f>+'Invullen groen'!M597</f>
        <v/>
      </c>
      <c r="G593" s="3">
        <f>+'Invullen groen'!N597</f>
        <v/>
      </c>
      <c r="H593" s="3">
        <f>+'Invullen groen'!O597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groen'!I598</f>
        <v/>
      </c>
      <c r="E594" s="3">
        <f>+'Invullen groen'!L598</f>
        <v/>
      </c>
      <c r="F594" s="3">
        <f>+'Invullen groen'!M598</f>
        <v/>
      </c>
      <c r="G594" s="3">
        <f>+'Invullen groen'!N598</f>
        <v/>
      </c>
      <c r="H594" s="3">
        <f>+'Invullen groen'!O598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groen'!I599</f>
        <v/>
      </c>
      <c r="E595" s="3">
        <f>+'Invullen groen'!L599</f>
        <v/>
      </c>
      <c r="F595" s="3">
        <f>+'Invullen groen'!M599</f>
        <v/>
      </c>
      <c r="G595" s="3">
        <f>+'Invullen groen'!N599</f>
        <v/>
      </c>
      <c r="H595" s="3">
        <f>+'Invullen groen'!O599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groen'!I600</f>
        <v/>
      </c>
      <c r="E596" s="3">
        <f>+'Invullen groen'!L600</f>
        <v/>
      </c>
      <c r="F596" s="3">
        <f>+'Invullen groen'!M600</f>
        <v/>
      </c>
      <c r="G596" s="3">
        <f>+'Invullen groen'!N600</f>
        <v/>
      </c>
      <c r="H596" s="3">
        <f>+'Invullen groen'!O600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groen'!I601</f>
        <v/>
      </c>
      <c r="E597" s="3">
        <f>+'Invullen groen'!L601</f>
        <v/>
      </c>
      <c r="F597" s="3">
        <f>+'Invullen groen'!M601</f>
        <v/>
      </c>
      <c r="G597" s="3">
        <f>+'Invullen groen'!N601</f>
        <v/>
      </c>
      <c r="H597" s="3">
        <f>+'Invullen groen'!O601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groen'!I602</f>
        <v/>
      </c>
      <c r="E598" s="3">
        <f>+'Invullen groen'!L602</f>
        <v/>
      </c>
      <c r="F598" s="3">
        <f>+'Invullen groen'!M602</f>
        <v/>
      </c>
      <c r="G598" s="3">
        <f>+'Invullen groen'!N602</f>
        <v/>
      </c>
      <c r="H598" s="3">
        <f>+'Invullen groen'!O602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groen'!I603</f>
        <v/>
      </c>
      <c r="E599" s="3">
        <f>+'Invullen groen'!L603</f>
        <v/>
      </c>
      <c r="F599" s="3">
        <f>+'Invullen groen'!M603</f>
        <v/>
      </c>
      <c r="G599" s="3">
        <f>+'Invullen groen'!N603</f>
        <v/>
      </c>
      <c r="H599" s="3">
        <f>+'Invullen groen'!O603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groen'!I604</f>
        <v/>
      </c>
      <c r="E600" s="3">
        <f>+'Invullen groen'!L604</f>
        <v/>
      </c>
      <c r="F600" s="3">
        <f>+'Invullen groen'!M604</f>
        <v/>
      </c>
      <c r="G600" s="3">
        <f>+'Invullen groen'!N604</f>
        <v/>
      </c>
      <c r="H600" s="3">
        <f>+'Invullen groen'!O604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groen'!I605</f>
        <v/>
      </c>
      <c r="E601" s="3">
        <f>+'Invullen groen'!L605</f>
        <v/>
      </c>
      <c r="F601" s="3">
        <f>+'Invullen groen'!M605</f>
        <v/>
      </c>
      <c r="G601" s="3">
        <f>+'Invullen groen'!N605</f>
        <v/>
      </c>
      <c r="H601" s="3">
        <f>+'Invullen groen'!O605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groen'!I606</f>
        <v/>
      </c>
      <c r="E602" s="3">
        <f>+'Invullen groen'!L606</f>
        <v/>
      </c>
      <c r="F602" s="3">
        <f>+'Invullen groen'!M606</f>
        <v/>
      </c>
      <c r="G602" s="3">
        <f>+'Invullen groen'!N606</f>
        <v/>
      </c>
      <c r="H602" s="3">
        <f>+'Invullen groen'!O606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groen'!I607</f>
        <v/>
      </c>
      <c r="E603" s="3">
        <f>+'Invullen groen'!L607</f>
        <v/>
      </c>
      <c r="F603" s="3">
        <f>+'Invullen groen'!M607</f>
        <v/>
      </c>
      <c r="G603" s="3">
        <f>+'Invullen groen'!N607</f>
        <v/>
      </c>
      <c r="H603" s="3">
        <f>+'Invullen groen'!O607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groen'!I608</f>
        <v/>
      </c>
      <c r="E604" s="3">
        <f>+'Invullen groen'!L608</f>
        <v/>
      </c>
      <c r="F604" s="3">
        <f>+'Invullen groen'!M608</f>
        <v/>
      </c>
      <c r="G604" s="3">
        <f>+'Invullen groen'!N608</f>
        <v/>
      </c>
      <c r="H604" s="3">
        <f>+'Invullen groen'!O608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groen'!I609</f>
        <v/>
      </c>
      <c r="E605" s="3">
        <f>+'Invullen groen'!L609</f>
        <v/>
      </c>
      <c r="F605" s="3">
        <f>+'Invullen groen'!M609</f>
        <v/>
      </c>
      <c r="G605" s="3">
        <f>+'Invullen groen'!N609</f>
        <v/>
      </c>
      <c r="H605" s="3">
        <f>+'Invullen groen'!O609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groen'!I610</f>
        <v/>
      </c>
      <c r="E606" s="3">
        <f>+'Invullen groen'!L610</f>
        <v/>
      </c>
      <c r="F606" s="3">
        <f>+'Invullen groen'!M610</f>
        <v/>
      </c>
      <c r="G606" s="3">
        <f>+'Invullen groen'!N610</f>
        <v/>
      </c>
      <c r="H606" s="3">
        <f>+'Invullen groen'!O610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groen'!I611</f>
        <v/>
      </c>
      <c r="E607" s="3">
        <f>+'Invullen groen'!L611</f>
        <v/>
      </c>
      <c r="F607" s="3">
        <f>+'Invullen groen'!M611</f>
        <v/>
      </c>
      <c r="G607" s="3">
        <f>+'Invullen groen'!N611</f>
        <v/>
      </c>
      <c r="H607" s="3">
        <f>+'Invullen groen'!O611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groen'!I612</f>
        <v/>
      </c>
      <c r="E608" s="3">
        <f>+'Invullen groen'!L612</f>
        <v/>
      </c>
      <c r="F608" s="3">
        <f>+'Invullen groen'!M612</f>
        <v/>
      </c>
      <c r="G608" s="3">
        <f>+'Invullen groen'!N612</f>
        <v/>
      </c>
      <c r="H608" s="3">
        <f>+'Invullen groen'!O612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groen'!I613</f>
        <v/>
      </c>
      <c r="E609" s="3">
        <f>+'Invullen groen'!L613</f>
        <v/>
      </c>
      <c r="F609" s="3">
        <f>+'Invullen groen'!M613</f>
        <v/>
      </c>
      <c r="G609" s="3">
        <f>+'Invullen groen'!N613</f>
        <v/>
      </c>
      <c r="H609" s="3">
        <f>+'Invullen groen'!O613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groen'!I614</f>
        <v/>
      </c>
      <c r="E610" s="3">
        <f>+'Invullen groen'!L614</f>
        <v/>
      </c>
      <c r="F610" s="3">
        <f>+'Invullen groen'!M614</f>
        <v/>
      </c>
      <c r="G610" s="3">
        <f>+'Invullen groen'!N614</f>
        <v/>
      </c>
      <c r="H610" s="3">
        <f>+'Invullen groen'!O614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groen'!I615</f>
        <v/>
      </c>
      <c r="E611" s="3">
        <f>+'Invullen groen'!L615</f>
        <v/>
      </c>
      <c r="F611" s="3">
        <f>+'Invullen groen'!M615</f>
        <v/>
      </c>
      <c r="G611" s="3">
        <f>+'Invullen groen'!N615</f>
        <v/>
      </c>
      <c r="H611" s="3">
        <f>+'Invullen groen'!O615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groen'!I616</f>
        <v/>
      </c>
      <c r="E612" s="3">
        <f>+'Invullen groen'!L616</f>
        <v/>
      </c>
      <c r="F612" s="3">
        <f>+'Invullen groen'!M616</f>
        <v/>
      </c>
      <c r="G612" s="3">
        <f>+'Invullen groen'!N616</f>
        <v/>
      </c>
      <c r="H612" s="3">
        <f>+'Invullen groen'!O616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groen'!I617</f>
        <v/>
      </c>
      <c r="E613" s="3">
        <f>+'Invullen groen'!L617</f>
        <v/>
      </c>
      <c r="F613" s="3">
        <f>+'Invullen groen'!M617</f>
        <v/>
      </c>
      <c r="G613" s="3">
        <f>+'Invullen groen'!N617</f>
        <v/>
      </c>
      <c r="H613" s="3">
        <f>+'Invullen groen'!O617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groen'!I618</f>
        <v/>
      </c>
      <c r="E614" s="3">
        <f>+'Invullen groen'!L618</f>
        <v/>
      </c>
      <c r="F614" s="3">
        <f>+'Invullen groen'!M618</f>
        <v/>
      </c>
      <c r="G614" s="3">
        <f>+'Invullen groen'!N618</f>
        <v/>
      </c>
      <c r="H614" s="3">
        <f>+'Invullen groen'!O618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groen'!I619</f>
        <v/>
      </c>
      <c r="E615" s="3">
        <f>+'Invullen groen'!L619</f>
        <v/>
      </c>
      <c r="F615" s="3">
        <f>+'Invullen groen'!M619</f>
        <v/>
      </c>
      <c r="G615" s="3">
        <f>+'Invullen groen'!N619</f>
        <v/>
      </c>
      <c r="H615" s="3">
        <f>+'Invullen groen'!O619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groen'!I620</f>
        <v/>
      </c>
      <c r="E616" s="3">
        <f>+'Invullen groen'!L620</f>
        <v/>
      </c>
      <c r="F616" s="3">
        <f>+'Invullen groen'!M620</f>
        <v/>
      </c>
      <c r="G616" s="3">
        <f>+'Invullen groen'!N620</f>
        <v/>
      </c>
      <c r="H616" s="3">
        <f>+'Invullen groen'!O620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groen'!I621</f>
        <v/>
      </c>
      <c r="E617" s="3">
        <f>+'Invullen groen'!L621</f>
        <v/>
      </c>
      <c r="F617" s="3">
        <f>+'Invullen groen'!M621</f>
        <v/>
      </c>
      <c r="G617" s="3">
        <f>+'Invullen groen'!N621</f>
        <v/>
      </c>
      <c r="H617" s="3">
        <f>+'Invullen groen'!O621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groen'!I622</f>
        <v/>
      </c>
      <c r="E618" s="3">
        <f>+'Invullen groen'!L622</f>
        <v/>
      </c>
      <c r="F618" s="3">
        <f>+'Invullen groen'!M622</f>
        <v/>
      </c>
      <c r="G618" s="3">
        <f>+'Invullen groen'!N622</f>
        <v/>
      </c>
      <c r="H618" s="3">
        <f>+'Invullen groen'!O622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groen'!I623</f>
        <v/>
      </c>
      <c r="E619" s="3">
        <f>+'Invullen groen'!L623</f>
        <v/>
      </c>
      <c r="F619" s="3">
        <f>+'Invullen groen'!M623</f>
        <v/>
      </c>
      <c r="G619" s="3">
        <f>+'Invullen groen'!N623</f>
        <v/>
      </c>
      <c r="H619" s="3">
        <f>+'Invullen groen'!O623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groen'!I624</f>
        <v/>
      </c>
      <c r="E620" s="3">
        <f>+'Invullen groen'!L624</f>
        <v/>
      </c>
      <c r="F620" s="3">
        <f>+'Invullen groen'!M624</f>
        <v/>
      </c>
      <c r="G620" s="3">
        <f>+'Invullen groen'!N624</f>
        <v/>
      </c>
      <c r="H620" s="3">
        <f>+'Invullen groen'!O624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groen'!I625</f>
        <v/>
      </c>
      <c r="E621" s="3">
        <f>+'Invullen groen'!L625</f>
        <v/>
      </c>
      <c r="F621" s="3">
        <f>+'Invullen groen'!M625</f>
        <v/>
      </c>
      <c r="G621" s="3">
        <f>+'Invullen groen'!N625</f>
        <v/>
      </c>
      <c r="H621" s="3">
        <f>+'Invullen groen'!O625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groen'!I626</f>
        <v/>
      </c>
      <c r="E622" s="3">
        <f>+'Invullen groen'!L626</f>
        <v/>
      </c>
      <c r="F622" s="3">
        <f>+'Invullen groen'!M626</f>
        <v/>
      </c>
      <c r="G622" s="3">
        <f>+'Invullen groen'!N626</f>
        <v/>
      </c>
      <c r="H622" s="3">
        <f>+'Invullen groen'!O626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groen'!I627</f>
        <v/>
      </c>
      <c r="E623" s="3">
        <f>+'Invullen groen'!L627</f>
        <v/>
      </c>
      <c r="F623" s="3">
        <f>+'Invullen groen'!M627</f>
        <v/>
      </c>
      <c r="G623" s="3">
        <f>+'Invullen groen'!N627</f>
        <v/>
      </c>
      <c r="H623" s="3">
        <f>+'Invullen groen'!O627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groen'!I628</f>
        <v/>
      </c>
      <c r="E624" s="3">
        <f>+'Invullen groen'!L628</f>
        <v/>
      </c>
      <c r="F624" s="3">
        <f>+'Invullen groen'!M628</f>
        <v/>
      </c>
      <c r="G624" s="3">
        <f>+'Invullen groen'!N628</f>
        <v/>
      </c>
      <c r="H624" s="3">
        <f>+'Invullen groen'!O628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groen'!I629</f>
        <v/>
      </c>
      <c r="E625" s="3">
        <f>+'Invullen groen'!L629</f>
        <v/>
      </c>
      <c r="F625" s="3">
        <f>+'Invullen groen'!M629</f>
        <v/>
      </c>
      <c r="G625" s="3">
        <f>+'Invullen groen'!N629</f>
        <v/>
      </c>
      <c r="H625" s="3">
        <f>+'Invullen groen'!O629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groen'!I630</f>
        <v/>
      </c>
      <c r="E626" s="3">
        <f>+'Invullen groen'!L630</f>
        <v/>
      </c>
      <c r="F626" s="3">
        <f>+'Invullen groen'!M630</f>
        <v/>
      </c>
      <c r="G626" s="3">
        <f>+'Invullen groen'!N630</f>
        <v/>
      </c>
      <c r="H626" s="3">
        <f>+'Invullen groen'!O630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groen'!I631</f>
        <v/>
      </c>
      <c r="E627" s="3">
        <f>+'Invullen groen'!L631</f>
        <v/>
      </c>
      <c r="F627" s="3">
        <f>+'Invullen groen'!M631</f>
        <v/>
      </c>
      <c r="G627" s="3">
        <f>+'Invullen groen'!N631</f>
        <v/>
      </c>
      <c r="H627" s="3">
        <f>+'Invullen groen'!O631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groen'!I632</f>
        <v/>
      </c>
      <c r="E628" s="3">
        <f>+'Invullen groen'!L632</f>
        <v/>
      </c>
      <c r="F628" s="3">
        <f>+'Invullen groen'!M632</f>
        <v/>
      </c>
      <c r="G628" s="3">
        <f>+'Invullen groen'!N632</f>
        <v/>
      </c>
      <c r="H628" s="3">
        <f>+'Invullen groen'!O632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groen'!I633</f>
        <v/>
      </c>
      <c r="E629" s="3">
        <f>+'Invullen groen'!L633</f>
        <v/>
      </c>
      <c r="F629" s="3">
        <f>+'Invullen groen'!M633</f>
        <v/>
      </c>
      <c r="G629" s="3">
        <f>+'Invullen groen'!N633</f>
        <v/>
      </c>
      <c r="H629" s="3">
        <f>+'Invullen groen'!O633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groen'!I634</f>
        <v/>
      </c>
      <c r="E630" s="3">
        <f>+'Invullen groen'!L634</f>
        <v/>
      </c>
      <c r="F630" s="3">
        <f>+'Invullen groen'!M634</f>
        <v/>
      </c>
      <c r="G630" s="3">
        <f>+'Invullen groen'!N634</f>
        <v/>
      </c>
      <c r="H630" s="3">
        <f>+'Invullen groen'!O634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groen'!I635</f>
        <v/>
      </c>
      <c r="E631" s="3">
        <f>+'Invullen groen'!L635</f>
        <v/>
      </c>
      <c r="F631" s="3">
        <f>+'Invullen groen'!M635</f>
        <v/>
      </c>
      <c r="G631" s="3">
        <f>+'Invullen groen'!N635</f>
        <v/>
      </c>
      <c r="H631" s="3">
        <f>+'Invullen groen'!O635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groen'!I636</f>
        <v/>
      </c>
      <c r="E632" s="3">
        <f>+'Invullen groen'!L636</f>
        <v/>
      </c>
      <c r="F632" s="3">
        <f>+'Invullen groen'!M636</f>
        <v/>
      </c>
      <c r="G632" s="3">
        <f>+'Invullen groen'!N636</f>
        <v/>
      </c>
      <c r="H632" s="3">
        <f>+'Invullen groen'!O636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groen'!I637</f>
        <v/>
      </c>
      <c r="E633" s="3">
        <f>+'Invullen groen'!L637</f>
        <v/>
      </c>
      <c r="F633" s="3">
        <f>+'Invullen groen'!M637</f>
        <v/>
      </c>
      <c r="G633" s="3">
        <f>+'Invullen groen'!N637</f>
        <v/>
      </c>
      <c r="H633" s="3">
        <f>+'Invullen groen'!O637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groen'!I638</f>
        <v/>
      </c>
      <c r="E634" s="3">
        <f>+'Invullen groen'!L638</f>
        <v/>
      </c>
      <c r="F634" s="3">
        <f>+'Invullen groen'!M638</f>
        <v/>
      </c>
      <c r="G634" s="3">
        <f>+'Invullen groen'!N638</f>
        <v/>
      </c>
      <c r="H634" s="3">
        <f>+'Invullen groen'!O638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groen'!I639</f>
        <v/>
      </c>
      <c r="E635" s="3">
        <f>+'Invullen groen'!L639</f>
        <v/>
      </c>
      <c r="F635" s="3">
        <f>+'Invullen groen'!M639</f>
        <v/>
      </c>
      <c r="G635" s="3">
        <f>+'Invullen groen'!N639</f>
        <v/>
      </c>
      <c r="H635" s="3">
        <f>+'Invullen groen'!O639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groen'!I640</f>
        <v/>
      </c>
      <c r="E636" s="3">
        <f>+'Invullen groen'!L640</f>
        <v/>
      </c>
      <c r="F636" s="3">
        <f>+'Invullen groen'!M640</f>
        <v/>
      </c>
      <c r="G636" s="3">
        <f>+'Invullen groen'!N640</f>
        <v/>
      </c>
      <c r="H636" s="3">
        <f>+'Invullen groen'!O640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groen'!I641</f>
        <v/>
      </c>
      <c r="E637" s="3">
        <f>+'Invullen groen'!L641</f>
        <v/>
      </c>
      <c r="F637" s="3">
        <f>+'Invullen groen'!M641</f>
        <v/>
      </c>
      <c r="G637" s="3">
        <f>+'Invullen groen'!N641</f>
        <v/>
      </c>
      <c r="H637" s="3">
        <f>+'Invullen groen'!O641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groen'!I642</f>
        <v/>
      </c>
      <c r="E638" s="3">
        <f>+'Invullen groen'!L642</f>
        <v/>
      </c>
      <c r="F638" s="3">
        <f>+'Invullen groen'!M642</f>
        <v/>
      </c>
      <c r="G638" s="3">
        <f>+'Invullen groen'!N642</f>
        <v/>
      </c>
      <c r="H638" s="3">
        <f>+'Invullen groen'!O642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groen'!I643</f>
        <v/>
      </c>
      <c r="E639" s="3">
        <f>+'Invullen groen'!L643</f>
        <v/>
      </c>
      <c r="F639" s="3">
        <f>+'Invullen groen'!M643</f>
        <v/>
      </c>
      <c r="G639" s="3">
        <f>+'Invullen groen'!N643</f>
        <v/>
      </c>
      <c r="H639" s="3">
        <f>+'Invullen groen'!O643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groen'!I644</f>
        <v/>
      </c>
      <c r="E640" s="3">
        <f>+'Invullen groen'!L644</f>
        <v/>
      </c>
      <c r="F640" s="3">
        <f>+'Invullen groen'!M644</f>
        <v/>
      </c>
      <c r="G640" s="3">
        <f>+'Invullen groen'!N644</f>
        <v/>
      </c>
      <c r="H640" s="3">
        <f>+'Invullen groen'!O644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groen'!I645</f>
        <v/>
      </c>
      <c r="E641" s="3">
        <f>+'Invullen groen'!L645</f>
        <v/>
      </c>
      <c r="F641" s="3">
        <f>+'Invullen groen'!M645</f>
        <v/>
      </c>
      <c r="G641" s="3">
        <f>+'Invullen groen'!N645</f>
        <v/>
      </c>
      <c r="H641" s="3">
        <f>+'Invullen groen'!O645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groen'!I646</f>
        <v/>
      </c>
      <c r="E642" s="3">
        <f>+'Invullen groen'!L646</f>
        <v/>
      </c>
      <c r="F642" s="3">
        <f>+'Invullen groen'!M646</f>
        <v/>
      </c>
      <c r="G642" s="3">
        <f>+'Invullen groen'!N646</f>
        <v/>
      </c>
      <c r="H642" s="3">
        <f>+'Invullen groen'!O646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groen'!I647</f>
        <v/>
      </c>
      <c r="E643" s="3">
        <f>+'Invullen groen'!L647</f>
        <v/>
      </c>
      <c r="F643" s="3">
        <f>+'Invullen groen'!M647</f>
        <v/>
      </c>
      <c r="G643" s="3">
        <f>+'Invullen groen'!N647</f>
        <v/>
      </c>
      <c r="H643" s="3">
        <f>+'Invullen groen'!O647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groen'!I648</f>
        <v/>
      </c>
      <c r="E644" s="3">
        <f>+'Invullen groen'!L648</f>
        <v/>
      </c>
      <c r="F644" s="3">
        <f>+'Invullen groen'!M648</f>
        <v/>
      </c>
      <c r="G644" s="3">
        <f>+'Invullen groen'!N648</f>
        <v/>
      </c>
      <c r="H644" s="3">
        <f>+'Invullen groen'!O648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groen'!I649</f>
        <v/>
      </c>
      <c r="E645" s="3">
        <f>+'Invullen groen'!L649</f>
        <v/>
      </c>
      <c r="F645" s="3">
        <f>+'Invullen groen'!M649</f>
        <v/>
      </c>
      <c r="G645" s="3">
        <f>+'Invullen groen'!N649</f>
        <v/>
      </c>
      <c r="H645" s="3">
        <f>+'Invullen groen'!O649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groen'!I650</f>
        <v/>
      </c>
      <c r="E646" s="3">
        <f>+'Invullen groen'!L650</f>
        <v/>
      </c>
      <c r="F646" s="3">
        <f>+'Invullen groen'!M650</f>
        <v/>
      </c>
      <c r="G646" s="3">
        <f>+'Invullen groen'!N650</f>
        <v/>
      </c>
      <c r="H646" s="3">
        <f>+'Invullen groen'!O650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groen'!I651</f>
        <v/>
      </c>
      <c r="E647" s="3">
        <f>+'Invullen groen'!L651</f>
        <v/>
      </c>
      <c r="F647" s="3">
        <f>+'Invullen groen'!M651</f>
        <v/>
      </c>
      <c r="G647" s="3">
        <f>+'Invullen groen'!N651</f>
        <v/>
      </c>
      <c r="H647" s="3">
        <f>+'Invullen groen'!O651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groen'!I652</f>
        <v/>
      </c>
      <c r="E648" s="3">
        <f>+'Invullen groen'!L652</f>
        <v/>
      </c>
      <c r="F648" s="3">
        <f>+'Invullen groen'!M652</f>
        <v/>
      </c>
      <c r="G648" s="3">
        <f>+'Invullen groen'!N652</f>
        <v/>
      </c>
      <c r="H648" s="3">
        <f>+'Invullen groen'!O652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groen'!I653</f>
        <v/>
      </c>
      <c r="E649" s="3">
        <f>+'Invullen groen'!L653</f>
        <v/>
      </c>
      <c r="F649" s="3">
        <f>+'Invullen groen'!M653</f>
        <v/>
      </c>
      <c r="G649" s="3">
        <f>+'Invullen groen'!N653</f>
        <v/>
      </c>
      <c r="H649" s="3">
        <f>+'Invullen groen'!O653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groen'!I654</f>
        <v/>
      </c>
      <c r="E650" s="3">
        <f>+'Invullen groen'!L654</f>
        <v/>
      </c>
      <c r="F650" s="3">
        <f>+'Invullen groen'!M654</f>
        <v/>
      </c>
      <c r="G650" s="3">
        <f>+'Invullen groen'!N654</f>
        <v/>
      </c>
      <c r="H650" s="3">
        <f>+'Invullen groen'!O654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groen'!I655</f>
        <v/>
      </c>
      <c r="E651" s="3">
        <f>+'Invullen groen'!L655</f>
        <v/>
      </c>
      <c r="F651" s="3">
        <f>+'Invullen groen'!M655</f>
        <v/>
      </c>
      <c r="G651" s="3">
        <f>+'Invullen groen'!N655</f>
        <v/>
      </c>
      <c r="H651" s="3">
        <f>+'Invullen groen'!O655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groen'!I656</f>
        <v/>
      </c>
      <c r="E652" s="3">
        <f>+'Invullen groen'!L656</f>
        <v/>
      </c>
      <c r="F652" s="3">
        <f>+'Invullen groen'!M656</f>
        <v/>
      </c>
      <c r="G652" s="3">
        <f>+'Invullen groen'!N656</f>
        <v/>
      </c>
      <c r="H652" s="3">
        <f>+'Invullen groen'!O656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groen'!I657</f>
        <v/>
      </c>
      <c r="E653" s="3">
        <f>+'Invullen groen'!L657</f>
        <v/>
      </c>
      <c r="F653" s="3">
        <f>+'Invullen groen'!M657</f>
        <v/>
      </c>
      <c r="G653" s="3">
        <f>+'Invullen groen'!N657</f>
        <v/>
      </c>
      <c r="H653" s="3">
        <f>+'Invullen groen'!O657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groen'!I658</f>
        <v/>
      </c>
      <c r="E654" s="3">
        <f>+'Invullen groen'!L658</f>
        <v/>
      </c>
      <c r="F654" s="3">
        <f>+'Invullen groen'!M658</f>
        <v/>
      </c>
      <c r="G654" s="3">
        <f>+'Invullen groen'!N658</f>
        <v/>
      </c>
      <c r="H654" s="3">
        <f>+'Invullen groen'!O658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groen'!I659</f>
        <v/>
      </c>
      <c r="E655" s="3">
        <f>+'Invullen groen'!L659</f>
        <v/>
      </c>
      <c r="F655" s="3">
        <f>+'Invullen groen'!M659</f>
        <v/>
      </c>
      <c r="G655" s="3">
        <f>+'Invullen groen'!N659</f>
        <v/>
      </c>
      <c r="H655" s="3">
        <f>+'Invullen groen'!O659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groen'!I660</f>
        <v/>
      </c>
      <c r="E656" s="3">
        <f>+'Invullen groen'!L660</f>
        <v/>
      </c>
      <c r="F656" s="3">
        <f>+'Invullen groen'!M660</f>
        <v/>
      </c>
      <c r="G656" s="3">
        <f>+'Invullen groen'!N660</f>
        <v/>
      </c>
      <c r="H656" s="3">
        <f>+'Invullen groen'!O660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groen'!I661</f>
        <v/>
      </c>
      <c r="E657" s="3">
        <f>+'Invullen groen'!L661</f>
        <v/>
      </c>
      <c r="F657" s="3">
        <f>+'Invullen groen'!M661</f>
        <v/>
      </c>
      <c r="G657" s="3">
        <f>+'Invullen groen'!N661</f>
        <v/>
      </c>
      <c r="H657" s="3">
        <f>+'Invullen groen'!O661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groen'!I662</f>
        <v/>
      </c>
      <c r="E658" s="3">
        <f>+'Invullen groen'!L662</f>
        <v/>
      </c>
      <c r="F658" s="3">
        <f>+'Invullen groen'!M662</f>
        <v/>
      </c>
      <c r="G658" s="3">
        <f>+'Invullen groen'!N662</f>
        <v/>
      </c>
      <c r="H658" s="3">
        <f>+'Invullen groen'!O662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groen'!I663</f>
        <v/>
      </c>
      <c r="E659" s="3">
        <f>+'Invullen groen'!L663</f>
        <v/>
      </c>
      <c r="F659" s="3">
        <f>+'Invullen groen'!M663</f>
        <v/>
      </c>
      <c r="G659" s="3">
        <f>+'Invullen groen'!N663</f>
        <v/>
      </c>
      <c r="H659" s="3">
        <f>+'Invullen groen'!O663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groen'!I664</f>
        <v/>
      </c>
      <c r="E660" s="3">
        <f>+'Invullen groen'!L664</f>
        <v/>
      </c>
      <c r="F660" s="3">
        <f>+'Invullen groen'!M664</f>
        <v/>
      </c>
      <c r="G660" s="3">
        <f>+'Invullen groen'!N664</f>
        <v/>
      </c>
      <c r="H660" s="3">
        <f>+'Invullen groen'!O664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groen'!I665</f>
        <v/>
      </c>
      <c r="E661" s="3">
        <f>+'Invullen groen'!L665</f>
        <v/>
      </c>
      <c r="F661" s="3">
        <f>+'Invullen groen'!M665</f>
        <v/>
      </c>
      <c r="G661" s="3">
        <f>+'Invullen groen'!N665</f>
        <v/>
      </c>
      <c r="H661" s="3">
        <f>+'Invullen groen'!O665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groen'!I666</f>
        <v/>
      </c>
      <c r="E662" s="3">
        <f>+'Invullen groen'!L666</f>
        <v/>
      </c>
      <c r="F662" s="3">
        <f>+'Invullen groen'!M666</f>
        <v/>
      </c>
      <c r="G662" s="3">
        <f>+'Invullen groen'!N666</f>
        <v/>
      </c>
      <c r="H662" s="3">
        <f>+'Invullen groen'!O666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groen'!I667</f>
        <v/>
      </c>
      <c r="E663" s="3">
        <f>+'Invullen groen'!L667</f>
        <v/>
      </c>
      <c r="F663" s="3">
        <f>+'Invullen groen'!M667</f>
        <v/>
      </c>
      <c r="G663" s="3">
        <f>+'Invullen groen'!N667</f>
        <v/>
      </c>
      <c r="H663" s="3">
        <f>+'Invullen groen'!O667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groen'!I668</f>
        <v/>
      </c>
      <c r="E664" s="3">
        <f>+'Invullen groen'!L668</f>
        <v/>
      </c>
      <c r="F664" s="3">
        <f>+'Invullen groen'!M668</f>
        <v/>
      </c>
      <c r="G664" s="3">
        <f>+'Invullen groen'!N668</f>
        <v/>
      </c>
      <c r="H664" s="3">
        <f>+'Invullen groen'!O668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groen'!I669</f>
        <v/>
      </c>
      <c r="E665" s="3">
        <f>+'Invullen groen'!L669</f>
        <v/>
      </c>
      <c r="F665" s="3">
        <f>+'Invullen groen'!M669</f>
        <v/>
      </c>
      <c r="G665" s="3">
        <f>+'Invullen groen'!N669</f>
        <v/>
      </c>
      <c r="H665" s="3">
        <f>+'Invullen groen'!O669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groen'!I670</f>
        <v/>
      </c>
      <c r="E666" s="3">
        <f>+'Invullen groen'!L670</f>
        <v/>
      </c>
      <c r="F666" s="3">
        <f>+'Invullen groen'!M670</f>
        <v/>
      </c>
      <c r="G666" s="3">
        <f>+'Invullen groen'!N670</f>
        <v/>
      </c>
      <c r="H666" s="3">
        <f>+'Invullen groen'!O670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groen'!I671</f>
        <v/>
      </c>
      <c r="E667" s="3">
        <f>+'Invullen groen'!L671</f>
        <v/>
      </c>
      <c r="F667" s="3">
        <f>+'Invullen groen'!M671</f>
        <v/>
      </c>
      <c r="G667" s="3">
        <f>+'Invullen groen'!N671</f>
        <v/>
      </c>
      <c r="H667" s="3">
        <f>+'Invullen groen'!O671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groen'!I672</f>
        <v/>
      </c>
      <c r="E668" s="3">
        <f>+'Invullen groen'!L672</f>
        <v/>
      </c>
      <c r="F668" s="3">
        <f>+'Invullen groen'!M672</f>
        <v/>
      </c>
      <c r="G668" s="3">
        <f>+'Invullen groen'!N672</f>
        <v/>
      </c>
      <c r="H668" s="3">
        <f>+'Invullen groen'!O672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groen'!I673</f>
        <v/>
      </c>
      <c r="E669" s="3">
        <f>+'Invullen groen'!L673</f>
        <v/>
      </c>
      <c r="F669" s="3">
        <f>+'Invullen groen'!M673</f>
        <v/>
      </c>
      <c r="G669" s="3">
        <f>+'Invullen groen'!N673</f>
        <v/>
      </c>
      <c r="H669" s="3">
        <f>+'Invullen groen'!O673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groen'!I674</f>
        <v/>
      </c>
      <c r="E670" s="3">
        <f>+'Invullen groen'!L674</f>
        <v/>
      </c>
      <c r="F670" s="3">
        <f>+'Invullen groen'!M674</f>
        <v/>
      </c>
      <c r="G670" s="3">
        <f>+'Invullen groen'!N674</f>
        <v/>
      </c>
      <c r="H670" s="3">
        <f>+'Invullen groen'!O674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groen'!I675</f>
        <v/>
      </c>
      <c r="E671" s="3">
        <f>+'Invullen groen'!L675</f>
        <v/>
      </c>
      <c r="F671" s="3">
        <f>+'Invullen groen'!M675</f>
        <v/>
      </c>
      <c r="G671" s="3">
        <f>+'Invullen groen'!N675</f>
        <v/>
      </c>
      <c r="H671" s="3">
        <f>+'Invullen groen'!O675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groen'!I676</f>
        <v/>
      </c>
      <c r="E672" s="3">
        <f>+'Invullen groen'!L676</f>
        <v/>
      </c>
      <c r="F672" s="3">
        <f>+'Invullen groen'!M676</f>
        <v/>
      </c>
      <c r="G672" s="3">
        <f>+'Invullen groen'!N676</f>
        <v/>
      </c>
      <c r="H672" s="3">
        <f>+'Invullen groen'!O676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groen'!I677</f>
        <v/>
      </c>
      <c r="E673" s="3">
        <f>+'Invullen groen'!L677</f>
        <v/>
      </c>
      <c r="F673" s="3">
        <f>+'Invullen groen'!M677</f>
        <v/>
      </c>
      <c r="G673" s="3">
        <f>+'Invullen groen'!N677</f>
        <v/>
      </c>
      <c r="H673" s="3">
        <f>+'Invullen groen'!O677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groen'!I678</f>
        <v/>
      </c>
      <c r="E674" s="3">
        <f>+'Invullen groen'!L678</f>
        <v/>
      </c>
      <c r="F674" s="3">
        <f>+'Invullen groen'!M678</f>
        <v/>
      </c>
      <c r="G674" s="3">
        <f>+'Invullen groen'!N678</f>
        <v/>
      </c>
      <c r="H674" s="3">
        <f>+'Invullen groen'!O678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groen'!I679</f>
        <v/>
      </c>
      <c r="E675" s="3">
        <f>+'Invullen groen'!L679</f>
        <v/>
      </c>
      <c r="F675" s="3">
        <f>+'Invullen groen'!M679</f>
        <v/>
      </c>
      <c r="G675" s="3">
        <f>+'Invullen groen'!N679</f>
        <v/>
      </c>
      <c r="H675" s="3">
        <f>+'Invullen groen'!O679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groen'!I680</f>
        <v/>
      </c>
      <c r="E676" s="3">
        <f>+'Invullen groen'!L680</f>
        <v/>
      </c>
      <c r="F676" s="3">
        <f>+'Invullen groen'!M680</f>
        <v/>
      </c>
      <c r="G676" s="3">
        <f>+'Invullen groen'!N680</f>
        <v/>
      </c>
      <c r="H676" s="3">
        <f>+'Invullen groen'!O680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groen'!I681</f>
        <v/>
      </c>
      <c r="E677" s="3">
        <f>+'Invullen groen'!L681</f>
        <v/>
      </c>
      <c r="F677" s="3">
        <f>+'Invullen groen'!M681</f>
        <v/>
      </c>
      <c r="G677" s="3">
        <f>+'Invullen groen'!N681</f>
        <v/>
      </c>
      <c r="H677" s="3">
        <f>+'Invullen groen'!O681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groen'!I682</f>
        <v/>
      </c>
      <c r="E678" s="3">
        <f>+'Invullen groen'!L682</f>
        <v/>
      </c>
      <c r="F678" s="3">
        <f>+'Invullen groen'!M682</f>
        <v/>
      </c>
      <c r="G678" s="3">
        <f>+'Invullen groen'!N682</f>
        <v/>
      </c>
      <c r="H678" s="3">
        <f>+'Invullen groen'!O682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groen'!I683</f>
        <v/>
      </c>
      <c r="E679" s="3">
        <f>+'Invullen groen'!L683</f>
        <v/>
      </c>
      <c r="F679" s="3">
        <f>+'Invullen groen'!M683</f>
        <v/>
      </c>
      <c r="G679" s="3">
        <f>+'Invullen groen'!N683</f>
        <v/>
      </c>
      <c r="H679" s="3">
        <f>+'Invullen groen'!O683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groen'!I684</f>
        <v/>
      </c>
      <c r="E680" s="3">
        <f>+'Invullen groen'!L684</f>
        <v/>
      </c>
      <c r="F680" s="3">
        <f>+'Invullen groen'!M684</f>
        <v/>
      </c>
      <c r="G680" s="3">
        <f>+'Invullen groen'!N684</f>
        <v/>
      </c>
      <c r="H680" s="3">
        <f>+'Invullen groen'!O684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groen'!I685</f>
        <v/>
      </c>
      <c r="E681" s="3">
        <f>+'Invullen groen'!L685</f>
        <v/>
      </c>
      <c r="F681" s="3">
        <f>+'Invullen groen'!M685</f>
        <v/>
      </c>
      <c r="G681" s="3">
        <f>+'Invullen groen'!N685</f>
        <v/>
      </c>
      <c r="H681" s="3">
        <f>+'Invullen groen'!O685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groen'!I686</f>
        <v/>
      </c>
      <c r="E682" s="3">
        <f>+'Invullen groen'!L686</f>
        <v/>
      </c>
      <c r="F682" s="3">
        <f>+'Invullen groen'!M686</f>
        <v/>
      </c>
      <c r="G682" s="3">
        <f>+'Invullen groen'!N686</f>
        <v/>
      </c>
      <c r="H682" s="3">
        <f>+'Invullen groen'!O686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groen'!I687</f>
        <v/>
      </c>
      <c r="E683" s="3">
        <f>+'Invullen groen'!L687</f>
        <v/>
      </c>
      <c r="F683" s="3">
        <f>+'Invullen groen'!M687</f>
        <v/>
      </c>
      <c r="G683" s="3">
        <f>+'Invullen groen'!N687</f>
        <v/>
      </c>
      <c r="H683" s="3">
        <f>+'Invullen groen'!O687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groen'!I688</f>
        <v/>
      </c>
      <c r="E684" s="3">
        <f>+'Invullen groen'!L688</f>
        <v/>
      </c>
      <c r="F684" s="3">
        <f>+'Invullen groen'!M688</f>
        <v/>
      </c>
      <c r="G684" s="3">
        <f>+'Invullen groen'!N688</f>
        <v/>
      </c>
      <c r="H684" s="3">
        <f>+'Invullen groen'!O688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groen'!I689</f>
        <v/>
      </c>
      <c r="E685" s="3">
        <f>+'Invullen groen'!L689</f>
        <v/>
      </c>
      <c r="F685" s="3">
        <f>+'Invullen groen'!M689</f>
        <v/>
      </c>
      <c r="G685" s="3">
        <f>+'Invullen groen'!N689</f>
        <v/>
      </c>
      <c r="H685" s="3">
        <f>+'Invullen groen'!O689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groen'!I690</f>
        <v/>
      </c>
      <c r="E686" s="3">
        <f>+'Invullen groen'!L690</f>
        <v/>
      </c>
      <c r="F686" s="3">
        <f>+'Invullen groen'!M690</f>
        <v/>
      </c>
      <c r="G686" s="3">
        <f>+'Invullen groen'!N690</f>
        <v/>
      </c>
      <c r="H686" s="3">
        <f>+'Invullen groen'!O690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groen'!I691</f>
        <v/>
      </c>
      <c r="E687" s="3">
        <f>+'Invullen groen'!L691</f>
        <v/>
      </c>
      <c r="F687" s="3">
        <f>+'Invullen groen'!M691</f>
        <v/>
      </c>
      <c r="G687" s="3">
        <f>+'Invullen groen'!N691</f>
        <v/>
      </c>
      <c r="H687" s="3">
        <f>+'Invullen groen'!O691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groen'!I692</f>
        <v/>
      </c>
      <c r="E688" s="3">
        <f>+'Invullen groen'!L692</f>
        <v/>
      </c>
      <c r="F688" s="3">
        <f>+'Invullen groen'!M692</f>
        <v/>
      </c>
      <c r="G688" s="3">
        <f>+'Invullen groen'!N692</f>
        <v/>
      </c>
      <c r="H688" s="3">
        <f>+'Invullen groen'!O692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groen'!I693</f>
        <v/>
      </c>
      <c r="E689" s="3">
        <f>+'Invullen groen'!L693</f>
        <v/>
      </c>
      <c r="F689" s="3">
        <f>+'Invullen groen'!M693</f>
        <v/>
      </c>
      <c r="G689" s="3">
        <f>+'Invullen groen'!N693</f>
        <v/>
      </c>
      <c r="H689" s="3">
        <f>+'Invullen groen'!O693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groen'!I694</f>
        <v/>
      </c>
      <c r="E690" s="3">
        <f>+'Invullen groen'!L694</f>
        <v/>
      </c>
      <c r="F690" s="3">
        <f>+'Invullen groen'!M694</f>
        <v/>
      </c>
      <c r="G690" s="3">
        <f>+'Invullen groen'!N694</f>
        <v/>
      </c>
      <c r="H690" s="3">
        <f>+'Invullen groen'!O694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groen'!I695</f>
        <v/>
      </c>
      <c r="E691" s="3">
        <f>+'Invullen groen'!L695</f>
        <v/>
      </c>
      <c r="F691" s="3">
        <f>+'Invullen groen'!M695</f>
        <v/>
      </c>
      <c r="G691" s="3">
        <f>+'Invullen groen'!N695</f>
        <v/>
      </c>
      <c r="H691" s="3">
        <f>+'Invullen groen'!O695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groen'!I696</f>
        <v/>
      </c>
      <c r="E692" s="3">
        <f>+'Invullen groen'!L696</f>
        <v/>
      </c>
      <c r="F692" s="3">
        <f>+'Invullen groen'!M696</f>
        <v/>
      </c>
      <c r="G692" s="3">
        <f>+'Invullen groen'!N696</f>
        <v/>
      </c>
      <c r="H692" s="3">
        <f>+'Invullen groen'!O696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groen'!I697</f>
        <v/>
      </c>
      <c r="E693" s="3">
        <f>+'Invullen groen'!L697</f>
        <v/>
      </c>
      <c r="F693" s="3">
        <f>+'Invullen groen'!M697</f>
        <v/>
      </c>
      <c r="G693" s="3">
        <f>+'Invullen groen'!N697</f>
        <v/>
      </c>
      <c r="H693" s="3">
        <f>+'Invullen groen'!O697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groen'!I698</f>
        <v/>
      </c>
      <c r="E694" s="3">
        <f>+'Invullen groen'!L698</f>
        <v/>
      </c>
      <c r="F694" s="3">
        <f>+'Invullen groen'!M698</f>
        <v/>
      </c>
      <c r="G694" s="3">
        <f>+'Invullen groen'!N698</f>
        <v/>
      </c>
      <c r="H694" s="3">
        <f>+'Invullen groen'!O698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groen'!I699</f>
        <v/>
      </c>
      <c r="E695" s="3">
        <f>+'Invullen groen'!L699</f>
        <v/>
      </c>
      <c r="F695" s="3">
        <f>+'Invullen groen'!M699</f>
        <v/>
      </c>
      <c r="G695" s="3">
        <f>+'Invullen groen'!N699</f>
        <v/>
      </c>
      <c r="H695" s="3">
        <f>+'Invullen groen'!O699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groen'!I700</f>
        <v/>
      </c>
      <c r="E696" s="3">
        <f>+'Invullen groen'!L700</f>
        <v/>
      </c>
      <c r="F696" s="3">
        <f>+'Invullen groen'!M700</f>
        <v/>
      </c>
      <c r="G696" s="3">
        <f>+'Invullen groen'!N700</f>
        <v/>
      </c>
      <c r="H696" s="3">
        <f>+'Invullen groen'!O700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groen'!I701</f>
        <v/>
      </c>
      <c r="E697" s="3">
        <f>+'Invullen groen'!L701</f>
        <v/>
      </c>
      <c r="F697" s="3">
        <f>+'Invullen groen'!M701</f>
        <v/>
      </c>
      <c r="G697" s="3">
        <f>+'Invullen groen'!N701</f>
        <v/>
      </c>
      <c r="H697" s="3">
        <f>+'Invullen groen'!O701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groen'!I702</f>
        <v/>
      </c>
      <c r="E698" s="3">
        <f>+'Invullen groen'!L702</f>
        <v/>
      </c>
      <c r="F698" s="3">
        <f>+'Invullen groen'!M702</f>
        <v/>
      </c>
      <c r="G698" s="3">
        <f>+'Invullen groen'!N702</f>
        <v/>
      </c>
      <c r="H698" s="3">
        <f>+'Invullen groen'!O702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groen'!I703</f>
        <v/>
      </c>
      <c r="E699" s="3">
        <f>+'Invullen groen'!L703</f>
        <v/>
      </c>
      <c r="F699" s="3">
        <f>+'Invullen groen'!M703</f>
        <v/>
      </c>
      <c r="G699" s="3">
        <f>+'Invullen groen'!N703</f>
        <v/>
      </c>
      <c r="H699" s="3">
        <f>+'Invullen groen'!O703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groen'!I704</f>
        <v/>
      </c>
      <c r="E700" s="3">
        <f>+'Invullen groen'!L704</f>
        <v/>
      </c>
      <c r="F700" s="3">
        <f>+'Invullen groen'!M704</f>
        <v/>
      </c>
      <c r="G700" s="3">
        <f>+'Invullen groen'!N704</f>
        <v/>
      </c>
      <c r="H700" s="3">
        <f>+'Invullen groen'!O704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groen'!I705</f>
        <v/>
      </c>
      <c r="E701" s="3">
        <f>+'Invullen groen'!L705</f>
        <v/>
      </c>
      <c r="F701" s="3">
        <f>+'Invullen groen'!M705</f>
        <v/>
      </c>
      <c r="G701" s="3">
        <f>+'Invullen groen'!N705</f>
        <v/>
      </c>
      <c r="H701" s="3">
        <f>+'Invullen groen'!O705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groen'!I706</f>
        <v/>
      </c>
      <c r="E702" s="3">
        <f>+'Invullen groen'!L706</f>
        <v/>
      </c>
      <c r="F702" s="3">
        <f>+'Invullen groen'!M706</f>
        <v/>
      </c>
      <c r="G702" s="3">
        <f>+'Invullen groen'!N706</f>
        <v/>
      </c>
      <c r="H702" s="3">
        <f>+'Invullen groen'!O706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groen'!I707</f>
        <v/>
      </c>
      <c r="E703" s="3">
        <f>+'Invullen groen'!L707</f>
        <v/>
      </c>
      <c r="F703" s="3">
        <f>+'Invullen groen'!M707</f>
        <v/>
      </c>
      <c r="G703" s="3">
        <f>+'Invullen groen'!N707</f>
        <v/>
      </c>
      <c r="H703" s="3">
        <f>+'Invullen groen'!O707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groen'!I708</f>
        <v/>
      </c>
      <c r="E704" s="3">
        <f>+'Invullen groen'!L708</f>
        <v/>
      </c>
      <c r="F704" s="3">
        <f>+'Invullen groen'!M708</f>
        <v/>
      </c>
      <c r="G704" s="3">
        <f>+'Invullen groen'!N708</f>
        <v/>
      </c>
      <c r="H704" s="3">
        <f>+'Invullen groen'!O708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groen'!I709</f>
        <v/>
      </c>
      <c r="E705" s="3">
        <f>+'Invullen groen'!L709</f>
        <v/>
      </c>
      <c r="F705" s="3">
        <f>+'Invullen groen'!M709</f>
        <v/>
      </c>
      <c r="G705" s="3">
        <f>+'Invullen groen'!N709</f>
        <v/>
      </c>
      <c r="H705" s="3">
        <f>+'Invullen groen'!O709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groen'!I710</f>
        <v/>
      </c>
      <c r="E706" s="3">
        <f>+'Invullen groen'!L710</f>
        <v/>
      </c>
      <c r="F706" s="3">
        <f>+'Invullen groen'!M710</f>
        <v/>
      </c>
      <c r="G706" s="3">
        <f>+'Invullen groen'!N710</f>
        <v/>
      </c>
      <c r="H706" s="3">
        <f>+'Invullen groen'!O710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groen'!I711</f>
        <v/>
      </c>
      <c r="E707" s="3">
        <f>+'Invullen groen'!L711</f>
        <v/>
      </c>
      <c r="F707" s="3">
        <f>+'Invullen groen'!M711</f>
        <v/>
      </c>
      <c r="G707" s="3">
        <f>+'Invullen groen'!N711</f>
        <v/>
      </c>
      <c r="H707" s="3">
        <f>+'Invullen groen'!O711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groen'!I712</f>
        <v/>
      </c>
      <c r="E708" s="3">
        <f>+'Invullen groen'!L712</f>
        <v/>
      </c>
      <c r="F708" s="3">
        <f>+'Invullen groen'!M712</f>
        <v/>
      </c>
      <c r="G708" s="3">
        <f>+'Invullen groen'!N712</f>
        <v/>
      </c>
      <c r="H708" s="3">
        <f>+'Invullen groen'!O712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groen'!I713</f>
        <v/>
      </c>
      <c r="E709" s="3">
        <f>+'Invullen groen'!L713</f>
        <v/>
      </c>
      <c r="F709" s="3">
        <f>+'Invullen groen'!M713</f>
        <v/>
      </c>
      <c r="G709" s="3">
        <f>+'Invullen groen'!N713</f>
        <v/>
      </c>
      <c r="H709" s="3">
        <f>+'Invullen groen'!O713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groen'!I714</f>
        <v/>
      </c>
      <c r="E710" s="3">
        <f>+'Invullen groen'!L714</f>
        <v/>
      </c>
      <c r="F710" s="3">
        <f>+'Invullen groen'!M714</f>
        <v/>
      </c>
      <c r="G710" s="3">
        <f>+'Invullen groen'!N714</f>
        <v/>
      </c>
      <c r="H710" s="3">
        <f>+'Invullen groen'!O714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groen'!I715</f>
        <v/>
      </c>
      <c r="E711" s="3">
        <f>+'Invullen groen'!L715</f>
        <v/>
      </c>
      <c r="F711" s="3">
        <f>+'Invullen groen'!M715</f>
        <v/>
      </c>
      <c r="G711" s="3">
        <f>+'Invullen groen'!N715</f>
        <v/>
      </c>
      <c r="H711" s="3">
        <f>+'Invullen groen'!O715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groen'!I716</f>
        <v/>
      </c>
      <c r="E712" s="3">
        <f>+'Invullen groen'!L716</f>
        <v/>
      </c>
      <c r="F712" s="3">
        <f>+'Invullen groen'!M716</f>
        <v/>
      </c>
      <c r="G712" s="3">
        <f>+'Invullen groen'!N716</f>
        <v/>
      </c>
      <c r="H712" s="3">
        <f>+'Invullen groen'!O716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groen'!I717</f>
        <v/>
      </c>
      <c r="E713" s="3">
        <f>+'Invullen groen'!L717</f>
        <v/>
      </c>
      <c r="F713" s="3">
        <f>+'Invullen groen'!M717</f>
        <v/>
      </c>
      <c r="G713" s="3">
        <f>+'Invullen groen'!N717</f>
        <v/>
      </c>
      <c r="H713" s="3">
        <f>+'Invullen groen'!O717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groen'!I718</f>
        <v/>
      </c>
      <c r="E714" s="3">
        <f>+'Invullen groen'!L718</f>
        <v/>
      </c>
      <c r="F714" s="3">
        <f>+'Invullen groen'!M718</f>
        <v/>
      </c>
      <c r="G714" s="3">
        <f>+'Invullen groen'!N718</f>
        <v/>
      </c>
      <c r="H714" s="3">
        <f>+'Invullen groen'!O718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groen'!I719</f>
        <v/>
      </c>
      <c r="E715" s="3">
        <f>+'Invullen groen'!L719</f>
        <v/>
      </c>
      <c r="F715" s="3">
        <f>+'Invullen groen'!M719</f>
        <v/>
      </c>
      <c r="G715" s="3">
        <f>+'Invullen groen'!N719</f>
        <v/>
      </c>
      <c r="H715" s="3">
        <f>+'Invullen groen'!O719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groen'!I720</f>
        <v/>
      </c>
      <c r="E716" s="3">
        <f>+'Invullen groen'!L720</f>
        <v/>
      </c>
      <c r="F716" s="3">
        <f>+'Invullen groen'!M720</f>
        <v/>
      </c>
      <c r="G716" s="3">
        <f>+'Invullen groen'!N720</f>
        <v/>
      </c>
      <c r="H716" s="3">
        <f>+'Invullen groen'!O720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groen'!I721</f>
        <v/>
      </c>
      <c r="E717" s="3">
        <f>+'Invullen groen'!L721</f>
        <v/>
      </c>
      <c r="F717" s="3">
        <f>+'Invullen groen'!M721</f>
        <v/>
      </c>
      <c r="G717" s="3">
        <f>+'Invullen groen'!N721</f>
        <v/>
      </c>
      <c r="H717" s="3">
        <f>+'Invullen groen'!O721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groen'!I722</f>
        <v/>
      </c>
      <c r="E718" s="3">
        <f>+'Invullen groen'!L722</f>
        <v/>
      </c>
      <c r="F718" s="3">
        <f>+'Invullen groen'!M722</f>
        <v/>
      </c>
      <c r="G718" s="3">
        <f>+'Invullen groen'!N722</f>
        <v/>
      </c>
      <c r="H718" s="3">
        <f>+'Invullen groen'!O722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groen'!I723</f>
        <v/>
      </c>
      <c r="E719" s="3">
        <f>+'Invullen groen'!L723</f>
        <v/>
      </c>
      <c r="F719" s="3">
        <f>+'Invullen groen'!M723</f>
        <v/>
      </c>
      <c r="G719" s="3">
        <f>+'Invullen groen'!N723</f>
        <v/>
      </c>
      <c r="H719" s="3">
        <f>+'Invullen groen'!O723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groen'!I724</f>
        <v/>
      </c>
      <c r="E720" s="3">
        <f>+'Invullen groen'!L724</f>
        <v/>
      </c>
      <c r="F720" s="3">
        <f>+'Invullen groen'!M724</f>
        <v/>
      </c>
      <c r="G720" s="3">
        <f>+'Invullen groen'!N724</f>
        <v/>
      </c>
      <c r="H720" s="3">
        <f>+'Invullen groen'!O724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groen'!I725</f>
        <v/>
      </c>
      <c r="E721" s="3">
        <f>+'Invullen groen'!L725</f>
        <v/>
      </c>
      <c r="F721" s="3">
        <f>+'Invullen groen'!M725</f>
        <v/>
      </c>
      <c r="G721" s="3">
        <f>+'Invullen groen'!N725</f>
        <v/>
      </c>
      <c r="H721" s="3">
        <f>+'Invullen groen'!O725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groen'!I726</f>
        <v/>
      </c>
      <c r="E722" s="3">
        <f>+'Invullen groen'!L726</f>
        <v/>
      </c>
      <c r="F722" s="3">
        <f>+'Invullen groen'!M726</f>
        <v/>
      </c>
      <c r="G722" s="3">
        <f>+'Invullen groen'!N726</f>
        <v/>
      </c>
      <c r="H722" s="3">
        <f>+'Invullen groen'!O726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groen'!I727</f>
        <v/>
      </c>
      <c r="E723" s="3">
        <f>+'Invullen groen'!L727</f>
        <v/>
      </c>
      <c r="F723" s="3">
        <f>+'Invullen groen'!M727</f>
        <v/>
      </c>
      <c r="G723" s="3">
        <f>+'Invullen groen'!N727</f>
        <v/>
      </c>
      <c r="H723" s="3">
        <f>+'Invullen groen'!O727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groen'!I728</f>
        <v/>
      </c>
      <c r="E724" s="3">
        <f>+'Invullen groen'!L728</f>
        <v/>
      </c>
      <c r="F724" s="3">
        <f>+'Invullen groen'!M728</f>
        <v/>
      </c>
      <c r="G724" s="3">
        <f>+'Invullen groen'!N728</f>
        <v/>
      </c>
      <c r="H724" s="3">
        <f>+'Invullen groen'!O728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groen'!I729</f>
        <v/>
      </c>
      <c r="E725" s="3">
        <f>+'Invullen groen'!L729</f>
        <v/>
      </c>
      <c r="F725" s="3">
        <f>+'Invullen groen'!M729</f>
        <v/>
      </c>
      <c r="G725" s="3">
        <f>+'Invullen groen'!N729</f>
        <v/>
      </c>
      <c r="H725" s="3">
        <f>+'Invullen groen'!O729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groen'!I730</f>
        <v/>
      </c>
      <c r="E726" s="3">
        <f>+'Invullen groen'!L730</f>
        <v/>
      </c>
      <c r="F726" s="3">
        <f>+'Invullen groen'!M730</f>
        <v/>
      </c>
      <c r="G726" s="3">
        <f>+'Invullen groen'!N730</f>
        <v/>
      </c>
      <c r="H726" s="3">
        <f>+'Invullen groen'!O730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groen'!I731</f>
        <v/>
      </c>
      <c r="E727" s="3">
        <f>+'Invullen groen'!L731</f>
        <v/>
      </c>
      <c r="F727" s="3">
        <f>+'Invullen groen'!M731</f>
        <v/>
      </c>
      <c r="G727" s="3">
        <f>+'Invullen groen'!N731</f>
        <v/>
      </c>
      <c r="H727" s="3">
        <f>+'Invullen groen'!O731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groen'!I732</f>
        <v/>
      </c>
      <c r="E728" s="3">
        <f>+'Invullen groen'!L732</f>
        <v/>
      </c>
      <c r="F728" s="3">
        <f>+'Invullen groen'!M732</f>
        <v/>
      </c>
      <c r="G728" s="3">
        <f>+'Invullen groen'!N732</f>
        <v/>
      </c>
      <c r="H728" s="3">
        <f>+'Invullen groen'!O732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groen'!I733</f>
        <v/>
      </c>
      <c r="E729" s="3">
        <f>+'Invullen groen'!L733</f>
        <v/>
      </c>
      <c r="F729" s="3">
        <f>+'Invullen groen'!M733</f>
        <v/>
      </c>
      <c r="G729" s="3">
        <f>+'Invullen groen'!N733</f>
        <v/>
      </c>
      <c r="H729" s="3">
        <f>+'Invullen groen'!O733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groen'!I734</f>
        <v/>
      </c>
      <c r="E730" s="3">
        <f>+'Invullen groen'!L734</f>
        <v/>
      </c>
      <c r="F730" s="3">
        <f>+'Invullen groen'!M734</f>
        <v/>
      </c>
      <c r="G730" s="3">
        <f>+'Invullen groen'!N734</f>
        <v/>
      </c>
      <c r="H730" s="3">
        <f>+'Invullen groen'!O734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groen'!I735</f>
        <v/>
      </c>
      <c r="E731" s="3">
        <f>+'Invullen groen'!L735</f>
        <v/>
      </c>
      <c r="F731" s="3">
        <f>+'Invullen groen'!M735</f>
        <v/>
      </c>
      <c r="G731" s="3">
        <f>+'Invullen groen'!N735</f>
        <v/>
      </c>
      <c r="H731" s="3">
        <f>+'Invullen groen'!O735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groen'!I736</f>
        <v/>
      </c>
      <c r="E732" s="3">
        <f>+'Invullen groen'!L736</f>
        <v/>
      </c>
      <c r="F732" s="3">
        <f>+'Invullen groen'!M736</f>
        <v/>
      </c>
      <c r="G732" s="3">
        <f>+'Invullen groen'!N736</f>
        <v/>
      </c>
      <c r="H732" s="3">
        <f>+'Invullen groen'!O736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groen'!I737</f>
        <v/>
      </c>
      <c r="E733" s="3">
        <f>+'Invullen groen'!L737</f>
        <v/>
      </c>
      <c r="F733" s="3">
        <f>+'Invullen groen'!M737</f>
        <v/>
      </c>
      <c r="G733" s="3">
        <f>+'Invullen groen'!N737</f>
        <v/>
      </c>
      <c r="H733" s="3">
        <f>+'Invullen groen'!O737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groen'!I738</f>
        <v/>
      </c>
      <c r="E734" s="3">
        <f>+'Invullen groen'!L738</f>
        <v/>
      </c>
      <c r="F734" s="3">
        <f>+'Invullen groen'!M738</f>
        <v/>
      </c>
      <c r="G734" s="3">
        <f>+'Invullen groen'!N738</f>
        <v/>
      </c>
      <c r="H734" s="3">
        <f>+'Invullen groen'!O738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groen'!I739</f>
        <v/>
      </c>
      <c r="E735" s="3">
        <f>+'Invullen groen'!L739</f>
        <v/>
      </c>
      <c r="F735" s="3">
        <f>+'Invullen groen'!M739</f>
        <v/>
      </c>
      <c r="G735" s="3">
        <f>+'Invullen groen'!N739</f>
        <v/>
      </c>
      <c r="H735" s="3">
        <f>+'Invullen groen'!O739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groen'!I740</f>
        <v/>
      </c>
      <c r="E736" s="3">
        <f>+'Invullen groen'!L740</f>
        <v/>
      </c>
      <c r="F736" s="3">
        <f>+'Invullen groen'!M740</f>
        <v/>
      </c>
      <c r="G736" s="3">
        <f>+'Invullen groen'!N740</f>
        <v/>
      </c>
      <c r="H736" s="3">
        <f>+'Invullen groen'!O740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groen'!I741</f>
        <v/>
      </c>
      <c r="E737" s="3">
        <f>+'Invullen groen'!L741</f>
        <v/>
      </c>
      <c r="F737" s="3">
        <f>+'Invullen groen'!M741</f>
        <v/>
      </c>
      <c r="G737" s="3">
        <f>+'Invullen groen'!N741</f>
        <v/>
      </c>
      <c r="H737" s="3">
        <f>+'Invullen groen'!O741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groen'!I742</f>
        <v/>
      </c>
      <c r="E738" s="3">
        <f>+'Invullen groen'!L742</f>
        <v/>
      </c>
      <c r="F738" s="3">
        <f>+'Invullen groen'!M742</f>
        <v/>
      </c>
      <c r="G738" s="3">
        <f>+'Invullen groen'!N742</f>
        <v/>
      </c>
      <c r="H738" s="3">
        <f>+'Invullen groen'!O742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groen'!I743</f>
        <v/>
      </c>
      <c r="E739" s="3">
        <f>+'Invullen groen'!L743</f>
        <v/>
      </c>
      <c r="F739" s="3">
        <f>+'Invullen groen'!M743</f>
        <v/>
      </c>
      <c r="G739" s="3">
        <f>+'Invullen groen'!N743</f>
        <v/>
      </c>
      <c r="H739" s="3">
        <f>+'Invullen groen'!O743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groen'!I744</f>
        <v/>
      </c>
      <c r="E740" s="3">
        <f>+'Invullen groen'!L744</f>
        <v/>
      </c>
      <c r="F740" s="3">
        <f>+'Invullen groen'!M744</f>
        <v/>
      </c>
      <c r="G740" s="3">
        <f>+'Invullen groen'!N744</f>
        <v/>
      </c>
      <c r="H740" s="3">
        <f>+'Invullen groen'!O744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groen'!I745</f>
        <v/>
      </c>
      <c r="E741" s="3">
        <f>+'Invullen groen'!L745</f>
        <v/>
      </c>
      <c r="F741" s="3">
        <f>+'Invullen groen'!M745</f>
        <v/>
      </c>
      <c r="G741" s="3">
        <f>+'Invullen groen'!N745</f>
        <v/>
      </c>
      <c r="H741" s="3">
        <f>+'Invullen groen'!O745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groen'!I746</f>
        <v/>
      </c>
      <c r="E742" s="3">
        <f>+'Invullen groen'!L746</f>
        <v/>
      </c>
      <c r="F742" s="3">
        <f>+'Invullen groen'!M746</f>
        <v/>
      </c>
      <c r="G742" s="3">
        <f>+'Invullen groen'!N746</f>
        <v/>
      </c>
      <c r="H742" s="3">
        <f>+'Invullen groen'!O746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groen'!I747</f>
        <v/>
      </c>
      <c r="E743" s="3">
        <f>+'Invullen groen'!L747</f>
        <v/>
      </c>
      <c r="F743" s="3">
        <f>+'Invullen groen'!M747</f>
        <v/>
      </c>
      <c r="G743" s="3">
        <f>+'Invullen groen'!N747</f>
        <v/>
      </c>
      <c r="H743" s="3">
        <f>+'Invullen groen'!O747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groen'!I748</f>
        <v/>
      </c>
      <c r="E744" s="3">
        <f>+'Invullen groen'!L748</f>
        <v/>
      </c>
      <c r="F744" s="3">
        <f>+'Invullen groen'!M748</f>
        <v/>
      </c>
      <c r="G744" s="3">
        <f>+'Invullen groen'!N748</f>
        <v/>
      </c>
      <c r="H744" s="3">
        <f>+'Invullen groen'!O748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groen'!I749</f>
        <v/>
      </c>
      <c r="E745" s="3">
        <f>+'Invullen groen'!L749</f>
        <v/>
      </c>
      <c r="F745" s="3">
        <f>+'Invullen groen'!M749</f>
        <v/>
      </c>
      <c r="G745" s="3">
        <f>+'Invullen groen'!N749</f>
        <v/>
      </c>
      <c r="H745" s="3">
        <f>+'Invullen groen'!O749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groen'!I750</f>
        <v/>
      </c>
      <c r="E746" s="3">
        <f>+'Invullen groen'!L750</f>
        <v/>
      </c>
      <c r="F746" s="3">
        <f>+'Invullen groen'!M750</f>
        <v/>
      </c>
      <c r="G746" s="3">
        <f>+'Invullen groen'!N750</f>
        <v/>
      </c>
      <c r="H746" s="3">
        <f>+'Invullen groen'!O750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groen'!I751</f>
        <v/>
      </c>
      <c r="E747" s="3">
        <f>+'Invullen groen'!L751</f>
        <v/>
      </c>
      <c r="F747" s="3">
        <f>+'Invullen groen'!M751</f>
        <v/>
      </c>
      <c r="G747" s="3">
        <f>+'Invullen groen'!N751</f>
        <v/>
      </c>
      <c r="H747" s="3">
        <f>+'Invullen groen'!O751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groen'!I752</f>
        <v/>
      </c>
      <c r="E748" s="3">
        <f>+'Invullen groen'!L752</f>
        <v/>
      </c>
      <c r="F748" s="3">
        <f>+'Invullen groen'!M752</f>
        <v/>
      </c>
      <c r="G748" s="3">
        <f>+'Invullen groen'!N752</f>
        <v/>
      </c>
      <c r="H748" s="3">
        <f>+'Invullen groen'!O752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groen'!I753</f>
        <v/>
      </c>
      <c r="E749" s="3">
        <f>+'Invullen groen'!L753</f>
        <v/>
      </c>
      <c r="F749" s="3">
        <f>+'Invullen groen'!M753</f>
        <v/>
      </c>
      <c r="G749" s="3">
        <f>+'Invullen groen'!N753</f>
        <v/>
      </c>
      <c r="H749" s="3">
        <f>+'Invullen groen'!O753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groen'!I754</f>
        <v/>
      </c>
      <c r="E750" s="3">
        <f>+'Invullen groen'!L754</f>
        <v/>
      </c>
      <c r="F750" s="3">
        <f>+'Invullen groen'!M754</f>
        <v/>
      </c>
      <c r="G750" s="3">
        <f>+'Invullen groen'!N754</f>
        <v/>
      </c>
      <c r="H750" s="3">
        <f>+'Invullen groen'!O754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groen'!I755</f>
        <v/>
      </c>
      <c r="E751" s="3">
        <f>+'Invullen groen'!L755</f>
        <v/>
      </c>
      <c r="F751" s="3">
        <f>+'Invullen groen'!M755</f>
        <v/>
      </c>
      <c r="G751" s="3">
        <f>+'Invullen groen'!N755</f>
        <v/>
      </c>
      <c r="H751" s="3">
        <f>+'Invullen groen'!O755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groen'!I756</f>
        <v/>
      </c>
      <c r="E752" s="3">
        <f>+'Invullen groen'!L756</f>
        <v/>
      </c>
      <c r="F752" s="3">
        <f>+'Invullen groen'!M756</f>
        <v/>
      </c>
      <c r="G752" s="3">
        <f>+'Invullen groen'!N756</f>
        <v/>
      </c>
      <c r="H752" s="3">
        <f>+'Invullen groen'!O756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groen'!I757</f>
        <v/>
      </c>
      <c r="E753" s="3">
        <f>+'Invullen groen'!L757</f>
        <v/>
      </c>
      <c r="F753" s="3">
        <f>+'Invullen groen'!M757</f>
        <v/>
      </c>
      <c r="G753" s="3">
        <f>+'Invullen groen'!N757</f>
        <v/>
      </c>
      <c r="H753" s="3">
        <f>+'Invullen groen'!O757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groen'!I758</f>
        <v/>
      </c>
      <c r="E754" s="3">
        <f>+'Invullen groen'!L758</f>
        <v/>
      </c>
      <c r="F754" s="3">
        <f>+'Invullen groen'!M758</f>
        <v/>
      </c>
      <c r="G754" s="3">
        <f>+'Invullen groen'!N758</f>
        <v/>
      </c>
      <c r="H754" s="3">
        <f>+'Invullen groen'!O758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groen'!I759</f>
        <v/>
      </c>
      <c r="E755" s="3">
        <f>+'Invullen groen'!L759</f>
        <v/>
      </c>
      <c r="F755" s="3">
        <f>+'Invullen groen'!M759</f>
        <v/>
      </c>
      <c r="G755" s="3">
        <f>+'Invullen groen'!N759</f>
        <v/>
      </c>
      <c r="H755" s="3">
        <f>+'Invullen groen'!O759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groen'!I760</f>
        <v/>
      </c>
      <c r="E756" s="3">
        <f>+'Invullen groen'!L760</f>
        <v/>
      </c>
      <c r="F756" s="3">
        <f>+'Invullen groen'!M760</f>
        <v/>
      </c>
      <c r="G756" s="3">
        <f>+'Invullen groen'!N760</f>
        <v/>
      </c>
      <c r="H756" s="3">
        <f>+'Invullen groen'!O760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groen'!I761</f>
        <v/>
      </c>
      <c r="E757" s="3">
        <f>+'Invullen groen'!L761</f>
        <v/>
      </c>
      <c r="F757" s="3">
        <f>+'Invullen groen'!M761</f>
        <v/>
      </c>
      <c r="G757" s="3">
        <f>+'Invullen groen'!N761</f>
        <v/>
      </c>
      <c r="H757" s="3">
        <f>+'Invullen groen'!O761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groen'!I762</f>
        <v/>
      </c>
      <c r="E758" s="3">
        <f>+'Invullen groen'!L762</f>
        <v/>
      </c>
      <c r="F758" s="3">
        <f>+'Invullen groen'!M762</f>
        <v/>
      </c>
      <c r="G758" s="3">
        <f>+'Invullen groen'!N762</f>
        <v/>
      </c>
      <c r="H758" s="3">
        <f>+'Invullen groen'!O762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groen'!I763</f>
        <v/>
      </c>
      <c r="E759" s="3">
        <f>+'Invullen groen'!L763</f>
        <v/>
      </c>
      <c r="F759" s="3">
        <f>+'Invullen groen'!M763</f>
        <v/>
      </c>
      <c r="G759" s="3">
        <f>+'Invullen groen'!N763</f>
        <v/>
      </c>
      <c r="H759" s="3">
        <f>+'Invullen groen'!O763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groen'!I764</f>
        <v/>
      </c>
      <c r="E760" s="3">
        <f>+'Invullen groen'!L764</f>
        <v/>
      </c>
      <c r="F760" s="3">
        <f>+'Invullen groen'!M764</f>
        <v/>
      </c>
      <c r="G760" s="3">
        <f>+'Invullen groen'!N764</f>
        <v/>
      </c>
      <c r="H760" s="3">
        <f>+'Invullen groen'!O764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groen'!I765</f>
        <v/>
      </c>
      <c r="E761" s="3">
        <f>+'Invullen groen'!L765</f>
        <v/>
      </c>
      <c r="F761" s="3">
        <f>+'Invullen groen'!M765</f>
        <v/>
      </c>
      <c r="G761" s="3">
        <f>+'Invullen groen'!N765</f>
        <v/>
      </c>
      <c r="H761" s="3">
        <f>+'Invullen groen'!O765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groen'!I766</f>
        <v/>
      </c>
      <c r="E762" s="3">
        <f>+'Invullen groen'!L766</f>
        <v/>
      </c>
      <c r="F762" s="3">
        <f>+'Invullen groen'!M766</f>
        <v/>
      </c>
      <c r="G762" s="3">
        <f>+'Invullen groen'!N766</f>
        <v/>
      </c>
      <c r="H762" s="3">
        <f>+'Invullen groen'!O766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groen'!I767</f>
        <v/>
      </c>
      <c r="E763" s="3">
        <f>+'Invullen groen'!L767</f>
        <v/>
      </c>
      <c r="F763" s="3">
        <f>+'Invullen groen'!M767</f>
        <v/>
      </c>
      <c r="G763" s="3">
        <f>+'Invullen groen'!N767</f>
        <v/>
      </c>
      <c r="H763" s="3">
        <f>+'Invullen groen'!O767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groen'!I768</f>
        <v/>
      </c>
      <c r="E764" s="3">
        <f>+'Invullen groen'!L768</f>
        <v/>
      </c>
      <c r="F764" s="3">
        <f>+'Invullen groen'!M768</f>
        <v/>
      </c>
      <c r="G764" s="3">
        <f>+'Invullen groen'!N768</f>
        <v/>
      </c>
      <c r="H764" s="3">
        <f>+'Invullen groen'!O768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groen'!I769</f>
        <v/>
      </c>
      <c r="E765" s="3">
        <f>+'Invullen groen'!L769</f>
        <v/>
      </c>
      <c r="F765" s="3">
        <f>+'Invullen groen'!M769</f>
        <v/>
      </c>
      <c r="G765" s="3">
        <f>+'Invullen groen'!N769</f>
        <v/>
      </c>
      <c r="H765" s="3">
        <f>+'Invullen groen'!O769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groen'!I770</f>
        <v/>
      </c>
      <c r="E766" s="3">
        <f>+'Invullen groen'!L770</f>
        <v/>
      </c>
      <c r="F766" s="3">
        <f>+'Invullen groen'!M770</f>
        <v/>
      </c>
      <c r="G766" s="3">
        <f>+'Invullen groen'!N770</f>
        <v/>
      </c>
      <c r="H766" s="3">
        <f>+'Invullen groen'!O770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groen'!I771</f>
        <v/>
      </c>
      <c r="E767" s="3">
        <f>+'Invullen groen'!L771</f>
        <v/>
      </c>
      <c r="F767" s="3">
        <f>+'Invullen groen'!M771</f>
        <v/>
      </c>
      <c r="G767" s="3">
        <f>+'Invullen groen'!N771</f>
        <v/>
      </c>
      <c r="H767" s="3">
        <f>+'Invullen groen'!O771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groen'!I772</f>
        <v/>
      </c>
      <c r="E768" s="3">
        <f>+'Invullen groen'!L772</f>
        <v/>
      </c>
      <c r="F768" s="3">
        <f>+'Invullen groen'!M772</f>
        <v/>
      </c>
      <c r="G768" s="3">
        <f>+'Invullen groen'!N772</f>
        <v/>
      </c>
      <c r="H768" s="3">
        <f>+'Invullen groen'!O772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groen'!I773</f>
        <v/>
      </c>
      <c r="E769" s="3">
        <f>+'Invullen groen'!L773</f>
        <v/>
      </c>
      <c r="F769" s="3">
        <f>+'Invullen groen'!M773</f>
        <v/>
      </c>
      <c r="G769" s="3">
        <f>+'Invullen groen'!N773</f>
        <v/>
      </c>
      <c r="H769" s="3">
        <f>+'Invullen groen'!O773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groen'!I774</f>
        <v/>
      </c>
      <c r="E770" s="3">
        <f>+'Invullen groen'!L774</f>
        <v/>
      </c>
      <c r="F770" s="3">
        <f>+'Invullen groen'!M774</f>
        <v/>
      </c>
      <c r="G770" s="3">
        <f>+'Invullen groen'!N774</f>
        <v/>
      </c>
      <c r="H770" s="3">
        <f>+'Invullen groen'!O774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groen'!I775</f>
        <v/>
      </c>
      <c r="E771" s="3">
        <f>+'Invullen groen'!L775</f>
        <v/>
      </c>
      <c r="F771" s="3">
        <f>+'Invullen groen'!M775</f>
        <v/>
      </c>
      <c r="G771" s="3">
        <f>+'Invullen groen'!N775</f>
        <v/>
      </c>
      <c r="H771" s="3">
        <f>+'Invullen groen'!O775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groen'!I776</f>
        <v/>
      </c>
      <c r="E772" s="3">
        <f>+'Invullen groen'!L776</f>
        <v/>
      </c>
      <c r="F772" s="3">
        <f>+'Invullen groen'!M776</f>
        <v/>
      </c>
      <c r="G772" s="3">
        <f>+'Invullen groen'!N776</f>
        <v/>
      </c>
      <c r="H772" s="3">
        <f>+'Invullen groen'!O776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groen'!I777</f>
        <v/>
      </c>
      <c r="E773" s="3">
        <f>+'Invullen groen'!L777</f>
        <v/>
      </c>
      <c r="F773" s="3">
        <f>+'Invullen groen'!M777</f>
        <v/>
      </c>
      <c r="G773" s="3">
        <f>+'Invullen groen'!N777</f>
        <v/>
      </c>
      <c r="H773" s="3">
        <f>+'Invullen groen'!O777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groen'!I778</f>
        <v/>
      </c>
      <c r="E774" s="3">
        <f>+'Invullen groen'!L778</f>
        <v/>
      </c>
      <c r="F774" s="3">
        <f>+'Invullen groen'!M778</f>
        <v/>
      </c>
      <c r="G774" s="3">
        <f>+'Invullen groen'!N778</f>
        <v/>
      </c>
      <c r="H774" s="3">
        <f>+'Invullen groen'!O778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groen'!I779</f>
        <v/>
      </c>
      <c r="E775" s="3">
        <f>+'Invullen groen'!L779</f>
        <v/>
      </c>
      <c r="F775" s="3">
        <f>+'Invullen groen'!M779</f>
        <v/>
      </c>
      <c r="G775" s="3">
        <f>+'Invullen groen'!N779</f>
        <v/>
      </c>
      <c r="H775" s="3">
        <f>+'Invullen groen'!O779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groen'!I780</f>
        <v/>
      </c>
      <c r="E776" s="3">
        <f>+'Invullen groen'!L780</f>
        <v/>
      </c>
      <c r="F776" s="3">
        <f>+'Invullen groen'!M780</f>
        <v/>
      </c>
      <c r="G776" s="3">
        <f>+'Invullen groen'!N780</f>
        <v/>
      </c>
      <c r="H776" s="3">
        <f>+'Invullen groen'!O780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groen'!I781</f>
        <v/>
      </c>
      <c r="E777" s="3">
        <f>+'Invullen groen'!L781</f>
        <v/>
      </c>
      <c r="F777" s="3">
        <f>+'Invullen groen'!M781</f>
        <v/>
      </c>
      <c r="G777" s="3">
        <f>+'Invullen groen'!N781</f>
        <v/>
      </c>
      <c r="H777" s="3">
        <f>+'Invullen groen'!O781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groen'!I782</f>
        <v/>
      </c>
      <c r="E778" s="3">
        <f>+'Invullen groen'!L782</f>
        <v/>
      </c>
      <c r="F778" s="3">
        <f>+'Invullen groen'!M782</f>
        <v/>
      </c>
      <c r="G778" s="3">
        <f>+'Invullen groen'!N782</f>
        <v/>
      </c>
      <c r="H778" s="3">
        <f>+'Invullen groen'!O782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groen'!I783</f>
        <v/>
      </c>
      <c r="E779" s="3">
        <f>+'Invullen groen'!L783</f>
        <v/>
      </c>
      <c r="F779" s="3">
        <f>+'Invullen groen'!M783</f>
        <v/>
      </c>
      <c r="G779" s="3">
        <f>+'Invullen groen'!N783</f>
        <v/>
      </c>
      <c r="H779" s="3">
        <f>+'Invullen groen'!O783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groen'!I784</f>
        <v/>
      </c>
      <c r="E780" s="3">
        <f>+'Invullen groen'!L784</f>
        <v/>
      </c>
      <c r="F780" s="3">
        <f>+'Invullen groen'!M784</f>
        <v/>
      </c>
      <c r="G780" s="3">
        <f>+'Invullen groen'!N784</f>
        <v/>
      </c>
      <c r="H780" s="3">
        <f>+'Invullen groen'!O784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groen'!I785</f>
        <v/>
      </c>
      <c r="E781" s="3">
        <f>+'Invullen groen'!L785</f>
        <v/>
      </c>
      <c r="F781" s="3">
        <f>+'Invullen groen'!M785</f>
        <v/>
      </c>
      <c r="G781" s="3">
        <f>+'Invullen groen'!N785</f>
        <v/>
      </c>
      <c r="H781" s="3">
        <f>+'Invullen groen'!O785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groen'!I786</f>
        <v/>
      </c>
      <c r="E782" s="3">
        <f>+'Invullen groen'!L786</f>
        <v/>
      </c>
      <c r="F782" s="3">
        <f>+'Invullen groen'!M786</f>
        <v/>
      </c>
      <c r="G782" s="3">
        <f>+'Invullen groen'!N786</f>
        <v/>
      </c>
      <c r="H782" s="3">
        <f>+'Invullen groen'!O786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groen'!I787</f>
        <v/>
      </c>
      <c r="E783" s="3">
        <f>+'Invullen groen'!L787</f>
        <v/>
      </c>
      <c r="F783" s="3">
        <f>+'Invullen groen'!M787</f>
        <v/>
      </c>
      <c r="G783" s="3">
        <f>+'Invullen groen'!N787</f>
        <v/>
      </c>
      <c r="H783" s="3">
        <f>+'Invullen groen'!O787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groen'!I788</f>
        <v/>
      </c>
      <c r="E784" s="3">
        <f>+'Invullen groen'!L788</f>
        <v/>
      </c>
      <c r="F784" s="3">
        <f>+'Invullen groen'!M788</f>
        <v/>
      </c>
      <c r="G784" s="3">
        <f>+'Invullen groen'!N788</f>
        <v/>
      </c>
      <c r="H784" s="3">
        <f>+'Invullen groen'!O788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groen'!I789</f>
        <v/>
      </c>
      <c r="E785" s="3">
        <f>+'Invullen groen'!L789</f>
        <v/>
      </c>
      <c r="F785" s="3">
        <f>+'Invullen groen'!M789</f>
        <v/>
      </c>
      <c r="G785" s="3">
        <f>+'Invullen groen'!N789</f>
        <v/>
      </c>
      <c r="H785" s="3">
        <f>+'Invullen groen'!O789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groen'!I790</f>
        <v/>
      </c>
      <c r="E786" s="3">
        <f>+'Invullen groen'!L790</f>
        <v/>
      </c>
      <c r="F786" s="3">
        <f>+'Invullen groen'!M790</f>
        <v/>
      </c>
      <c r="G786" s="3">
        <f>+'Invullen groen'!N790</f>
        <v/>
      </c>
      <c r="H786" s="3">
        <f>+'Invullen groen'!O790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groen'!I791</f>
        <v/>
      </c>
      <c r="E787" s="3">
        <f>+'Invullen groen'!L791</f>
        <v/>
      </c>
      <c r="F787" s="3">
        <f>+'Invullen groen'!M791</f>
        <v/>
      </c>
      <c r="G787" s="3">
        <f>+'Invullen groen'!N791</f>
        <v/>
      </c>
      <c r="H787" s="3">
        <f>+'Invullen groen'!O791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groen'!I792</f>
        <v/>
      </c>
      <c r="E788" s="3">
        <f>+'Invullen groen'!L792</f>
        <v/>
      </c>
      <c r="F788" s="3">
        <f>+'Invullen groen'!M792</f>
        <v/>
      </c>
      <c r="G788" s="3">
        <f>+'Invullen groen'!N792</f>
        <v/>
      </c>
      <c r="H788" s="3">
        <f>+'Invullen groen'!O792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groen'!I793</f>
        <v/>
      </c>
      <c r="E789" s="3">
        <f>+'Invullen groen'!L793</f>
        <v/>
      </c>
      <c r="F789" s="3">
        <f>+'Invullen groen'!M793</f>
        <v/>
      </c>
      <c r="G789" s="3">
        <f>+'Invullen groen'!N793</f>
        <v/>
      </c>
      <c r="H789" s="3">
        <f>+'Invullen groen'!O793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groen'!I794</f>
        <v/>
      </c>
      <c r="E790" s="3">
        <f>+'Invullen groen'!L794</f>
        <v/>
      </c>
      <c r="F790" s="3">
        <f>+'Invullen groen'!M794</f>
        <v/>
      </c>
      <c r="G790" s="3">
        <f>+'Invullen groen'!N794</f>
        <v/>
      </c>
      <c r="H790" s="3">
        <f>+'Invullen groen'!O794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groen'!I795</f>
        <v/>
      </c>
      <c r="E791" s="3">
        <f>+'Invullen groen'!L795</f>
        <v/>
      </c>
      <c r="F791" s="3">
        <f>+'Invullen groen'!M795</f>
        <v/>
      </c>
      <c r="G791" s="3">
        <f>+'Invullen groen'!N795</f>
        <v/>
      </c>
      <c r="H791" s="3">
        <f>+'Invullen groen'!O795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groen'!I796</f>
        <v/>
      </c>
      <c r="E792" s="3">
        <f>+'Invullen groen'!L796</f>
        <v/>
      </c>
      <c r="F792" s="3">
        <f>+'Invullen groen'!M796</f>
        <v/>
      </c>
      <c r="G792" s="3">
        <f>+'Invullen groen'!N796</f>
        <v/>
      </c>
      <c r="H792" s="3">
        <f>+'Invullen groen'!O796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groen'!I797</f>
        <v/>
      </c>
      <c r="E793" s="3">
        <f>+'Invullen groen'!L797</f>
        <v/>
      </c>
      <c r="F793" s="3">
        <f>+'Invullen groen'!M797</f>
        <v/>
      </c>
      <c r="G793" s="3">
        <f>+'Invullen groen'!N797</f>
        <v/>
      </c>
      <c r="H793" s="3">
        <f>+'Invullen groen'!O797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groen'!I798</f>
        <v/>
      </c>
      <c r="E794" s="3">
        <f>+'Invullen groen'!L798</f>
        <v/>
      </c>
      <c r="F794" s="3">
        <f>+'Invullen groen'!M798</f>
        <v/>
      </c>
      <c r="G794" s="3">
        <f>+'Invullen groen'!N798</f>
        <v/>
      </c>
      <c r="H794" s="3">
        <f>+'Invullen groen'!O798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groen'!I799</f>
        <v/>
      </c>
      <c r="E795" s="3">
        <f>+'Invullen groen'!L799</f>
        <v/>
      </c>
      <c r="F795" s="3">
        <f>+'Invullen groen'!M799</f>
        <v/>
      </c>
      <c r="G795" s="3">
        <f>+'Invullen groen'!N799</f>
        <v/>
      </c>
      <c r="H795" s="3">
        <f>+'Invullen groen'!O799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groen'!I800</f>
        <v/>
      </c>
      <c r="E796" s="3">
        <f>+'Invullen groen'!L800</f>
        <v/>
      </c>
      <c r="F796" s="3">
        <f>+'Invullen groen'!M800</f>
        <v/>
      </c>
      <c r="G796" s="3">
        <f>+'Invullen groen'!N800</f>
        <v/>
      </c>
      <c r="H796" s="3">
        <f>+'Invullen groen'!O800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groen'!I801</f>
        <v/>
      </c>
      <c r="E797" s="3">
        <f>+'Invullen groen'!L801</f>
        <v/>
      </c>
      <c r="F797" s="3">
        <f>+'Invullen groen'!M801</f>
        <v/>
      </c>
      <c r="G797" s="3">
        <f>+'Invullen groen'!N801</f>
        <v/>
      </c>
      <c r="H797" s="3">
        <f>+'Invullen groen'!O801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groen'!I802</f>
        <v/>
      </c>
      <c r="E798" s="3">
        <f>+'Invullen groen'!L802</f>
        <v/>
      </c>
      <c r="F798" s="3">
        <f>+'Invullen groen'!M802</f>
        <v/>
      </c>
      <c r="G798" s="3">
        <f>+'Invullen groen'!N802</f>
        <v/>
      </c>
      <c r="H798" s="3">
        <f>+'Invullen groen'!O802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groen'!I803</f>
        <v/>
      </c>
      <c r="E799" s="3">
        <f>+'Invullen groen'!L803</f>
        <v/>
      </c>
      <c r="F799" s="3">
        <f>+'Invullen groen'!M803</f>
        <v/>
      </c>
      <c r="G799" s="3">
        <f>+'Invullen groen'!N803</f>
        <v/>
      </c>
      <c r="H799" s="3">
        <f>+'Invullen groen'!O803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groen'!I804</f>
        <v/>
      </c>
      <c r="E800" s="3">
        <f>+'Invullen groen'!L804</f>
        <v/>
      </c>
      <c r="F800" s="3">
        <f>+'Invullen groen'!M804</f>
        <v/>
      </c>
      <c r="G800" s="3">
        <f>+'Invullen groen'!N804</f>
        <v/>
      </c>
      <c r="H800" s="3">
        <f>+'Invullen groen'!O804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groen'!I805</f>
        <v/>
      </c>
      <c r="E801" s="3">
        <f>+'Invullen groen'!L805</f>
        <v/>
      </c>
      <c r="F801" s="3">
        <f>+'Invullen groen'!M805</f>
        <v/>
      </c>
      <c r="G801" s="3">
        <f>+'Invullen groen'!N805</f>
        <v/>
      </c>
      <c r="H801" s="3">
        <f>+'Invullen groen'!O805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groen'!I806</f>
        <v/>
      </c>
      <c r="E802" s="3">
        <f>+'Invullen groen'!L806</f>
        <v/>
      </c>
      <c r="F802" s="3">
        <f>+'Invullen groen'!M806</f>
        <v/>
      </c>
      <c r="G802" s="3">
        <f>+'Invullen groen'!N806</f>
        <v/>
      </c>
      <c r="H802" s="3">
        <f>+'Invullen groen'!O806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groen'!I807</f>
        <v/>
      </c>
      <c r="E803" s="3">
        <f>+'Invullen groen'!L807</f>
        <v/>
      </c>
      <c r="F803" s="3">
        <f>+'Invullen groen'!M807</f>
        <v/>
      </c>
      <c r="G803" s="3">
        <f>+'Invullen groen'!N807</f>
        <v/>
      </c>
      <c r="H803" s="3">
        <f>+'Invullen groen'!O807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groen'!I808</f>
        <v/>
      </c>
      <c r="E804" s="3">
        <f>+'Invullen groen'!L808</f>
        <v/>
      </c>
      <c r="F804" s="3">
        <f>+'Invullen groen'!M808</f>
        <v/>
      </c>
      <c r="G804" s="3">
        <f>+'Invullen groen'!N808</f>
        <v/>
      </c>
      <c r="H804" s="3">
        <f>+'Invullen groen'!O808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groen'!I809</f>
        <v/>
      </c>
      <c r="E805" s="3">
        <f>+'Invullen groen'!L809</f>
        <v/>
      </c>
      <c r="F805" s="3">
        <f>+'Invullen groen'!M809</f>
        <v/>
      </c>
      <c r="G805" s="3">
        <f>+'Invullen groen'!N809</f>
        <v/>
      </c>
      <c r="H805" s="3">
        <f>+'Invullen groen'!O809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groen'!I810</f>
        <v/>
      </c>
      <c r="E806" s="3">
        <f>+'Invullen groen'!L810</f>
        <v/>
      </c>
      <c r="F806" s="3">
        <f>+'Invullen groen'!M810</f>
        <v/>
      </c>
      <c r="G806" s="3">
        <f>+'Invullen groen'!N810</f>
        <v/>
      </c>
      <c r="H806" s="3">
        <f>+'Invullen groen'!O810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groen'!I811</f>
        <v/>
      </c>
      <c r="E807" s="3">
        <f>+'Invullen groen'!L811</f>
        <v/>
      </c>
      <c r="F807" s="3">
        <f>+'Invullen groen'!M811</f>
        <v/>
      </c>
      <c r="G807" s="3">
        <f>+'Invullen groen'!N811</f>
        <v/>
      </c>
      <c r="H807" s="3">
        <f>+'Invullen groen'!O811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groen'!I812</f>
        <v/>
      </c>
      <c r="E808" s="3">
        <f>+'Invullen groen'!L812</f>
        <v/>
      </c>
      <c r="F808" s="3">
        <f>+'Invullen groen'!M812</f>
        <v/>
      </c>
      <c r="G808" s="3">
        <f>+'Invullen groen'!N812</f>
        <v/>
      </c>
      <c r="H808" s="3">
        <f>+'Invullen groen'!O812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groen'!I813</f>
        <v/>
      </c>
      <c r="E809" s="3">
        <f>+'Invullen groen'!L813</f>
        <v/>
      </c>
      <c r="F809" s="3">
        <f>+'Invullen groen'!M813</f>
        <v/>
      </c>
      <c r="G809" s="3">
        <f>+'Invullen groen'!N813</f>
        <v/>
      </c>
      <c r="H809" s="3">
        <f>+'Invullen groen'!O813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groen'!I814</f>
        <v/>
      </c>
      <c r="E810" s="3">
        <f>+'Invullen groen'!L814</f>
        <v/>
      </c>
      <c r="F810" s="3">
        <f>+'Invullen groen'!M814</f>
        <v/>
      </c>
      <c r="G810" s="3">
        <f>+'Invullen groen'!N814</f>
        <v/>
      </c>
      <c r="H810" s="3">
        <f>+'Invullen groen'!O814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groen'!I815</f>
        <v/>
      </c>
      <c r="E811" s="3">
        <f>+'Invullen groen'!L815</f>
        <v/>
      </c>
      <c r="F811" s="3">
        <f>+'Invullen groen'!M815</f>
        <v/>
      </c>
      <c r="G811" s="3">
        <f>+'Invullen groen'!N815</f>
        <v/>
      </c>
      <c r="H811" s="3">
        <f>+'Invullen groen'!O815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groen'!I816</f>
        <v/>
      </c>
      <c r="E812" s="3">
        <f>+'Invullen groen'!L816</f>
        <v/>
      </c>
      <c r="F812" s="3">
        <f>+'Invullen groen'!M816</f>
        <v/>
      </c>
      <c r="G812" s="3">
        <f>+'Invullen groen'!N816</f>
        <v/>
      </c>
      <c r="H812" s="3">
        <f>+'Invullen groen'!O816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groen'!I817</f>
        <v/>
      </c>
      <c r="E813" s="3">
        <f>+'Invullen groen'!L817</f>
        <v/>
      </c>
      <c r="F813" s="3">
        <f>+'Invullen groen'!M817</f>
        <v/>
      </c>
      <c r="G813" s="3">
        <f>+'Invullen groen'!N817</f>
        <v/>
      </c>
      <c r="H813" s="3">
        <f>+'Invullen groen'!O817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groen'!I818</f>
        <v/>
      </c>
      <c r="E814" s="3">
        <f>+'Invullen groen'!L818</f>
        <v/>
      </c>
      <c r="F814" s="3">
        <f>+'Invullen groen'!M818</f>
        <v/>
      </c>
      <c r="G814" s="3">
        <f>+'Invullen groen'!N818</f>
        <v/>
      </c>
      <c r="H814" s="3">
        <f>+'Invullen groen'!O818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groen'!I819</f>
        <v/>
      </c>
      <c r="E815" s="3">
        <f>+'Invullen groen'!L819</f>
        <v/>
      </c>
      <c r="F815" s="3">
        <f>+'Invullen groen'!M819</f>
        <v/>
      </c>
      <c r="G815" s="3">
        <f>+'Invullen groen'!N819</f>
        <v/>
      </c>
      <c r="H815" s="3">
        <f>+'Invullen groen'!O819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groen'!I820</f>
        <v/>
      </c>
      <c r="E816" s="3">
        <f>+'Invullen groen'!L820</f>
        <v/>
      </c>
      <c r="F816" s="3">
        <f>+'Invullen groen'!M820</f>
        <v/>
      </c>
      <c r="G816" s="3">
        <f>+'Invullen groen'!N820</f>
        <v/>
      </c>
      <c r="H816" s="3">
        <f>+'Invullen groen'!O820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groen'!I821</f>
        <v/>
      </c>
      <c r="E817" s="3">
        <f>+'Invullen groen'!L821</f>
        <v/>
      </c>
      <c r="F817" s="3">
        <f>+'Invullen groen'!M821</f>
        <v/>
      </c>
      <c r="G817" s="3">
        <f>+'Invullen groen'!N821</f>
        <v/>
      </c>
      <c r="H817" s="3">
        <f>+'Invullen groen'!O821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groen'!I822</f>
        <v/>
      </c>
      <c r="E818" s="3">
        <f>+'Invullen groen'!L822</f>
        <v/>
      </c>
      <c r="F818" s="3">
        <f>+'Invullen groen'!M822</f>
        <v/>
      </c>
      <c r="G818" s="3">
        <f>+'Invullen groen'!N822</f>
        <v/>
      </c>
      <c r="H818" s="3">
        <f>+'Invullen groen'!O822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groen'!I823</f>
        <v/>
      </c>
      <c r="E819" s="3">
        <f>+'Invullen groen'!L823</f>
        <v/>
      </c>
      <c r="F819" s="3">
        <f>+'Invullen groen'!M823</f>
        <v/>
      </c>
      <c r="G819" s="3">
        <f>+'Invullen groen'!N823</f>
        <v/>
      </c>
      <c r="H819" s="3">
        <f>+'Invullen groen'!O823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groen'!I824</f>
        <v/>
      </c>
      <c r="E820" s="3">
        <f>+'Invullen groen'!L824</f>
        <v/>
      </c>
      <c r="F820" s="3">
        <f>+'Invullen groen'!M824</f>
        <v/>
      </c>
      <c r="G820" s="3">
        <f>+'Invullen groen'!N824</f>
        <v/>
      </c>
      <c r="H820" s="3">
        <f>+'Invullen groen'!O824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groen'!I825</f>
        <v/>
      </c>
      <c r="E821" s="3">
        <f>+'Invullen groen'!L825</f>
        <v/>
      </c>
      <c r="F821" s="3">
        <f>+'Invullen groen'!M825</f>
        <v/>
      </c>
      <c r="G821" s="3">
        <f>+'Invullen groen'!N825</f>
        <v/>
      </c>
      <c r="H821" s="3">
        <f>+'Invullen groen'!O825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groen'!I826</f>
        <v/>
      </c>
      <c r="E822" s="3">
        <f>+'Invullen groen'!L826</f>
        <v/>
      </c>
      <c r="F822" s="3">
        <f>+'Invullen groen'!M826</f>
        <v/>
      </c>
      <c r="G822" s="3">
        <f>+'Invullen groen'!N826</f>
        <v/>
      </c>
      <c r="H822" s="3">
        <f>+'Invullen groen'!O826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groen'!I827</f>
        <v/>
      </c>
      <c r="E823" s="3">
        <f>+'Invullen groen'!L827</f>
        <v/>
      </c>
      <c r="F823" s="3">
        <f>+'Invullen groen'!M827</f>
        <v/>
      </c>
      <c r="G823" s="3">
        <f>+'Invullen groen'!N827</f>
        <v/>
      </c>
      <c r="H823" s="3">
        <f>+'Invullen groen'!O827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groen'!I828</f>
        <v/>
      </c>
      <c r="E824" s="3">
        <f>+'Invullen groen'!L828</f>
        <v/>
      </c>
      <c r="F824" s="3">
        <f>+'Invullen groen'!M828</f>
        <v/>
      </c>
      <c r="G824" s="3">
        <f>+'Invullen groen'!N828</f>
        <v/>
      </c>
      <c r="H824" s="3">
        <f>+'Invullen groen'!O828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groen'!I829</f>
        <v/>
      </c>
      <c r="E825" s="3">
        <f>+'Invullen groen'!L829</f>
        <v/>
      </c>
      <c r="F825" s="3">
        <f>+'Invullen groen'!M829</f>
        <v/>
      </c>
      <c r="G825" s="3">
        <f>+'Invullen groen'!N829</f>
        <v/>
      </c>
      <c r="H825" s="3">
        <f>+'Invullen groen'!O829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groen'!I830</f>
        <v/>
      </c>
      <c r="E826" s="3">
        <f>+'Invullen groen'!L830</f>
        <v/>
      </c>
      <c r="F826" s="3">
        <f>+'Invullen groen'!M830</f>
        <v/>
      </c>
      <c r="G826" s="3">
        <f>+'Invullen groen'!N830</f>
        <v/>
      </c>
      <c r="H826" s="3">
        <f>+'Invullen groen'!O830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groen'!I831</f>
        <v/>
      </c>
      <c r="E827" s="3">
        <f>+'Invullen groen'!L831</f>
        <v/>
      </c>
      <c r="F827" s="3">
        <f>+'Invullen groen'!M831</f>
        <v/>
      </c>
      <c r="G827" s="3">
        <f>+'Invullen groen'!N831</f>
        <v/>
      </c>
      <c r="H827" s="3">
        <f>+'Invullen groen'!O831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groen'!I832</f>
        <v/>
      </c>
      <c r="E828" s="3">
        <f>+'Invullen groen'!L832</f>
        <v/>
      </c>
      <c r="F828" s="3">
        <f>+'Invullen groen'!M832</f>
        <v/>
      </c>
      <c r="G828" s="3">
        <f>+'Invullen groen'!N832</f>
        <v/>
      </c>
      <c r="H828" s="3">
        <f>+'Invullen groen'!O832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groen'!I833</f>
        <v/>
      </c>
      <c r="E829" s="3">
        <f>+'Invullen groen'!L833</f>
        <v/>
      </c>
      <c r="F829" s="3">
        <f>+'Invullen groen'!M833</f>
        <v/>
      </c>
      <c r="G829" s="3">
        <f>+'Invullen groen'!N833</f>
        <v/>
      </c>
      <c r="H829" s="3">
        <f>+'Invullen groen'!O833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groen'!I834</f>
        <v/>
      </c>
      <c r="E830" s="3">
        <f>+'Invullen groen'!L834</f>
        <v/>
      </c>
      <c r="F830" s="3">
        <f>+'Invullen groen'!M834</f>
        <v/>
      </c>
      <c r="G830" s="3">
        <f>+'Invullen groen'!N834</f>
        <v/>
      </c>
      <c r="H830" s="3">
        <f>+'Invullen groen'!O834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groen'!I835</f>
        <v/>
      </c>
      <c r="E831" s="3">
        <f>+'Invullen groen'!L835</f>
        <v/>
      </c>
      <c r="F831" s="3">
        <f>+'Invullen groen'!M835</f>
        <v/>
      </c>
      <c r="G831" s="3">
        <f>+'Invullen groen'!N835</f>
        <v/>
      </c>
      <c r="H831" s="3">
        <f>+'Invullen groen'!O835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groen'!I836</f>
        <v/>
      </c>
      <c r="E832" s="3">
        <f>+'Invullen groen'!L836</f>
        <v/>
      </c>
      <c r="F832" s="3">
        <f>+'Invullen groen'!M836</f>
        <v/>
      </c>
      <c r="G832" s="3">
        <f>+'Invullen groen'!N836</f>
        <v/>
      </c>
      <c r="H832" s="3">
        <f>+'Invullen groen'!O836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groen'!I837</f>
        <v/>
      </c>
      <c r="E833" s="3">
        <f>+'Invullen groen'!L837</f>
        <v/>
      </c>
      <c r="F833" s="3">
        <f>+'Invullen groen'!M837</f>
        <v/>
      </c>
      <c r="G833" s="3">
        <f>+'Invullen groen'!N837</f>
        <v/>
      </c>
      <c r="H833" s="3">
        <f>+'Invullen groen'!O837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groen'!I838</f>
        <v/>
      </c>
      <c r="E834" s="3">
        <f>+'Invullen groen'!L838</f>
        <v/>
      </c>
      <c r="F834" s="3">
        <f>+'Invullen groen'!M838</f>
        <v/>
      </c>
      <c r="G834" s="3">
        <f>+'Invullen groen'!N838</f>
        <v/>
      </c>
      <c r="H834" s="3">
        <f>+'Invullen groen'!O838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groen'!I839</f>
        <v/>
      </c>
      <c r="E835" s="3">
        <f>+'Invullen groen'!L839</f>
        <v/>
      </c>
      <c r="F835" s="3">
        <f>+'Invullen groen'!M839</f>
        <v/>
      </c>
      <c r="G835" s="3">
        <f>+'Invullen groen'!N839</f>
        <v/>
      </c>
      <c r="H835" s="3">
        <f>+'Invullen groen'!O839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groen'!I840</f>
        <v/>
      </c>
      <c r="E836" s="3">
        <f>+'Invullen groen'!L840</f>
        <v/>
      </c>
      <c r="F836" s="3">
        <f>+'Invullen groen'!M840</f>
        <v/>
      </c>
      <c r="G836" s="3">
        <f>+'Invullen groen'!N840</f>
        <v/>
      </c>
      <c r="H836" s="3">
        <f>+'Invullen groen'!O840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groen'!I841</f>
        <v/>
      </c>
      <c r="E837" s="3">
        <f>+'Invullen groen'!L841</f>
        <v/>
      </c>
      <c r="F837" s="3">
        <f>+'Invullen groen'!M841</f>
        <v/>
      </c>
      <c r="G837" s="3">
        <f>+'Invullen groen'!N841</f>
        <v/>
      </c>
      <c r="H837" s="3">
        <f>+'Invullen groen'!O841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groen'!I842</f>
        <v/>
      </c>
      <c r="E838" s="3">
        <f>+'Invullen groen'!L842</f>
        <v/>
      </c>
      <c r="F838" s="3">
        <f>+'Invullen groen'!M842</f>
        <v/>
      </c>
      <c r="G838" s="3">
        <f>+'Invullen groen'!N842</f>
        <v/>
      </c>
      <c r="H838" s="3">
        <f>+'Invullen groen'!O842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groen'!I843</f>
        <v/>
      </c>
      <c r="E839" s="3">
        <f>+'Invullen groen'!L843</f>
        <v/>
      </c>
      <c r="F839" s="3">
        <f>+'Invullen groen'!M843</f>
        <v/>
      </c>
      <c r="G839" s="3">
        <f>+'Invullen groen'!N843</f>
        <v/>
      </c>
      <c r="H839" s="3">
        <f>+'Invullen groen'!O843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groen'!I844</f>
        <v/>
      </c>
      <c r="E840" s="3">
        <f>+'Invullen groen'!L844</f>
        <v/>
      </c>
      <c r="F840" s="3">
        <f>+'Invullen groen'!M844</f>
        <v/>
      </c>
      <c r="G840" s="3">
        <f>+'Invullen groen'!N844</f>
        <v/>
      </c>
      <c r="H840" s="3">
        <f>+'Invullen groen'!O844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groen'!I845</f>
        <v/>
      </c>
      <c r="E841" s="3">
        <f>+'Invullen groen'!L845</f>
        <v/>
      </c>
      <c r="F841" s="3">
        <f>+'Invullen groen'!M845</f>
        <v/>
      </c>
      <c r="G841" s="3">
        <f>+'Invullen groen'!N845</f>
        <v/>
      </c>
      <c r="H841" s="3">
        <f>+'Invullen groen'!O845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groen'!I846</f>
        <v/>
      </c>
      <c r="E842" s="3">
        <f>+'Invullen groen'!L846</f>
        <v/>
      </c>
      <c r="F842" s="3">
        <f>+'Invullen groen'!M846</f>
        <v/>
      </c>
      <c r="G842" s="3">
        <f>+'Invullen groen'!N846</f>
        <v/>
      </c>
      <c r="H842" s="3">
        <f>+'Invullen groen'!O846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groen'!I847</f>
        <v/>
      </c>
      <c r="E843" s="3">
        <f>+'Invullen groen'!L847</f>
        <v/>
      </c>
      <c r="F843" s="3">
        <f>+'Invullen groen'!M847</f>
        <v/>
      </c>
      <c r="G843" s="3">
        <f>+'Invullen groen'!N847</f>
        <v/>
      </c>
      <c r="H843" s="3">
        <f>+'Invullen groen'!O847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groen'!I848</f>
        <v/>
      </c>
      <c r="E844" s="3">
        <f>+'Invullen groen'!L848</f>
        <v/>
      </c>
      <c r="F844" s="3">
        <f>+'Invullen groen'!M848</f>
        <v/>
      </c>
      <c r="G844" s="3">
        <f>+'Invullen groen'!N848</f>
        <v/>
      </c>
      <c r="H844" s="3">
        <f>+'Invullen groen'!O848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groen'!I849</f>
        <v/>
      </c>
      <c r="E845" s="3">
        <f>+'Invullen groen'!L849</f>
        <v/>
      </c>
      <c r="F845" s="3">
        <f>+'Invullen groen'!M849</f>
        <v/>
      </c>
      <c r="G845" s="3">
        <f>+'Invullen groen'!N849</f>
        <v/>
      </c>
      <c r="H845" s="3">
        <f>+'Invullen groen'!O849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groen'!I850</f>
        <v/>
      </c>
      <c r="E846" s="3">
        <f>+'Invullen groen'!L850</f>
        <v/>
      </c>
      <c r="F846" s="3">
        <f>+'Invullen groen'!M850</f>
        <v/>
      </c>
      <c r="G846" s="3">
        <f>+'Invullen groen'!N850</f>
        <v/>
      </c>
      <c r="H846" s="3">
        <f>+'Invullen groen'!O850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groen'!I851</f>
        <v/>
      </c>
      <c r="E847" s="3">
        <f>+'Invullen groen'!L851</f>
        <v/>
      </c>
      <c r="F847" s="3">
        <f>+'Invullen groen'!M851</f>
        <v/>
      </c>
      <c r="G847" s="3">
        <f>+'Invullen groen'!N851</f>
        <v/>
      </c>
      <c r="H847" s="3">
        <f>+'Invullen groen'!O851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groen'!I852</f>
        <v/>
      </c>
      <c r="E848" s="3">
        <f>+'Invullen groen'!L852</f>
        <v/>
      </c>
      <c r="F848" s="3">
        <f>+'Invullen groen'!M852</f>
        <v/>
      </c>
      <c r="G848" s="3">
        <f>+'Invullen groen'!N852</f>
        <v/>
      </c>
      <c r="H848" s="3">
        <f>+'Invullen groen'!O852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groen'!I853</f>
        <v/>
      </c>
      <c r="E849" s="3">
        <f>+'Invullen groen'!L853</f>
        <v/>
      </c>
      <c r="F849" s="3">
        <f>+'Invullen groen'!M853</f>
        <v/>
      </c>
      <c r="G849" s="3">
        <f>+'Invullen groen'!N853</f>
        <v/>
      </c>
      <c r="H849" s="3">
        <f>+'Invullen groen'!O853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groen'!I854</f>
        <v/>
      </c>
      <c r="E850" s="3">
        <f>+'Invullen groen'!L854</f>
        <v/>
      </c>
      <c r="F850" s="3">
        <f>+'Invullen groen'!M854</f>
        <v/>
      </c>
      <c r="G850" s="3">
        <f>+'Invullen groen'!N854</f>
        <v/>
      </c>
      <c r="H850" s="3">
        <f>+'Invullen groen'!O854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groen'!I855</f>
        <v/>
      </c>
      <c r="E851" s="3">
        <f>+'Invullen groen'!L855</f>
        <v/>
      </c>
      <c r="F851" s="3">
        <f>+'Invullen groen'!M855</f>
        <v/>
      </c>
      <c r="G851" s="3">
        <f>+'Invullen groen'!N855</f>
        <v/>
      </c>
      <c r="H851" s="3">
        <f>+'Invullen groen'!O855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groen'!I856</f>
        <v/>
      </c>
      <c r="E852" s="3">
        <f>+'Invullen groen'!L856</f>
        <v/>
      </c>
      <c r="F852" s="3">
        <f>+'Invullen groen'!M856</f>
        <v/>
      </c>
      <c r="G852" s="3">
        <f>+'Invullen groen'!N856</f>
        <v/>
      </c>
      <c r="H852" s="3">
        <f>+'Invullen groen'!O856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groen'!I857</f>
        <v/>
      </c>
      <c r="E853" s="3">
        <f>+'Invullen groen'!L857</f>
        <v/>
      </c>
      <c r="F853" s="3">
        <f>+'Invullen groen'!M857</f>
        <v/>
      </c>
      <c r="G853" s="3">
        <f>+'Invullen groen'!N857</f>
        <v/>
      </c>
      <c r="H853" s="3">
        <f>+'Invullen groen'!O857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groen'!I858</f>
        <v/>
      </c>
      <c r="E854" s="3">
        <f>+'Invullen groen'!L858</f>
        <v/>
      </c>
      <c r="F854" s="3">
        <f>+'Invullen groen'!M858</f>
        <v/>
      </c>
      <c r="G854" s="3">
        <f>+'Invullen groen'!N858</f>
        <v/>
      </c>
      <c r="H854" s="3">
        <f>+'Invullen groen'!O858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groen'!I859</f>
        <v/>
      </c>
      <c r="E855" s="3">
        <f>+'Invullen groen'!L859</f>
        <v/>
      </c>
      <c r="F855" s="3">
        <f>+'Invullen groen'!M859</f>
        <v/>
      </c>
      <c r="G855" s="3">
        <f>+'Invullen groen'!N859</f>
        <v/>
      </c>
      <c r="H855" s="3">
        <f>+'Invullen groen'!O859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groen'!I860</f>
        <v/>
      </c>
      <c r="E856" s="3">
        <f>+'Invullen groen'!L860</f>
        <v/>
      </c>
      <c r="F856" s="3">
        <f>+'Invullen groen'!M860</f>
        <v/>
      </c>
      <c r="G856" s="3">
        <f>+'Invullen groen'!N860</f>
        <v/>
      </c>
      <c r="H856" s="3">
        <f>+'Invullen groen'!O860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groen'!I861</f>
        <v/>
      </c>
      <c r="E857" s="3">
        <f>+'Invullen groen'!L861</f>
        <v/>
      </c>
      <c r="F857" s="3">
        <f>+'Invullen groen'!M861</f>
        <v/>
      </c>
      <c r="G857" s="3">
        <f>+'Invullen groen'!N861</f>
        <v/>
      </c>
      <c r="H857" s="3">
        <f>+'Invullen groen'!O861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groen'!I862</f>
        <v/>
      </c>
      <c r="E858" s="3">
        <f>+'Invullen groen'!L862</f>
        <v/>
      </c>
      <c r="F858" s="3">
        <f>+'Invullen groen'!M862</f>
        <v/>
      </c>
      <c r="G858" s="3">
        <f>+'Invullen groen'!N862</f>
        <v/>
      </c>
      <c r="H858" s="3">
        <f>+'Invullen groen'!O862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groen'!I863</f>
        <v/>
      </c>
      <c r="E859" s="3">
        <f>+'Invullen groen'!L863</f>
        <v/>
      </c>
      <c r="F859" s="3">
        <f>+'Invullen groen'!M863</f>
        <v/>
      </c>
      <c r="G859" s="3">
        <f>+'Invullen groen'!N863</f>
        <v/>
      </c>
      <c r="H859" s="3">
        <f>+'Invullen groen'!O863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groen'!I864</f>
        <v/>
      </c>
      <c r="E860" s="3">
        <f>+'Invullen groen'!L864</f>
        <v/>
      </c>
      <c r="F860" s="3">
        <f>+'Invullen groen'!M864</f>
        <v/>
      </c>
      <c r="G860" s="3">
        <f>+'Invullen groen'!N864</f>
        <v/>
      </c>
      <c r="H860" s="3">
        <f>+'Invullen groen'!O864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groen'!I865</f>
        <v/>
      </c>
      <c r="E861" s="3">
        <f>+'Invullen groen'!L865</f>
        <v/>
      </c>
      <c r="F861" s="3">
        <f>+'Invullen groen'!M865</f>
        <v/>
      </c>
      <c r="G861" s="3">
        <f>+'Invullen groen'!N865</f>
        <v/>
      </c>
      <c r="H861" s="3">
        <f>+'Invullen groen'!O865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groen'!I866</f>
        <v/>
      </c>
      <c r="E862" s="3">
        <f>+'Invullen groen'!L866</f>
        <v/>
      </c>
      <c r="F862" s="3">
        <f>+'Invullen groen'!M866</f>
        <v/>
      </c>
      <c r="G862" s="3">
        <f>+'Invullen groen'!N866</f>
        <v/>
      </c>
      <c r="H862" s="3">
        <f>+'Invullen groen'!O866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groen'!I867</f>
        <v/>
      </c>
      <c r="E863" s="3">
        <f>+'Invullen groen'!L867</f>
        <v/>
      </c>
      <c r="F863" s="3">
        <f>+'Invullen groen'!M867</f>
        <v/>
      </c>
      <c r="G863" s="3">
        <f>+'Invullen groen'!N867</f>
        <v/>
      </c>
      <c r="H863" s="3">
        <f>+'Invullen groen'!O867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groen'!I868</f>
        <v/>
      </c>
      <c r="E864" s="3">
        <f>+'Invullen groen'!L868</f>
        <v/>
      </c>
      <c r="F864" s="3">
        <f>+'Invullen groen'!M868</f>
        <v/>
      </c>
      <c r="G864" s="3">
        <f>+'Invullen groen'!N868</f>
        <v/>
      </c>
      <c r="H864" s="3">
        <f>+'Invullen groen'!O868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groen'!I869</f>
        <v/>
      </c>
      <c r="E865" s="3">
        <f>+'Invullen groen'!L869</f>
        <v/>
      </c>
      <c r="F865" s="3">
        <f>+'Invullen groen'!M869</f>
        <v/>
      </c>
      <c r="G865" s="3">
        <f>+'Invullen groen'!N869</f>
        <v/>
      </c>
      <c r="H865" s="3">
        <f>+'Invullen groen'!O869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groen'!I870</f>
        <v/>
      </c>
      <c r="E866" s="3">
        <f>+'Invullen groen'!L870</f>
        <v/>
      </c>
      <c r="F866" s="3">
        <f>+'Invullen groen'!M870</f>
        <v/>
      </c>
      <c r="G866" s="3">
        <f>+'Invullen groen'!N870</f>
        <v/>
      </c>
      <c r="H866" s="3">
        <f>+'Invullen groen'!O870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groen'!I871</f>
        <v/>
      </c>
      <c r="E867" s="3">
        <f>+'Invullen groen'!L871</f>
        <v/>
      </c>
      <c r="F867" s="3">
        <f>+'Invullen groen'!M871</f>
        <v/>
      </c>
      <c r="G867" s="3">
        <f>+'Invullen groen'!N871</f>
        <v/>
      </c>
      <c r="H867" s="3">
        <f>+'Invullen groen'!O871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groen'!I872</f>
        <v/>
      </c>
      <c r="E868" s="3">
        <f>+'Invullen groen'!L872</f>
        <v/>
      </c>
      <c r="F868" s="3">
        <f>+'Invullen groen'!M872</f>
        <v/>
      </c>
      <c r="G868" s="3">
        <f>+'Invullen groen'!N872</f>
        <v/>
      </c>
      <c r="H868" s="3">
        <f>+'Invullen groen'!O872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groen'!I873</f>
        <v/>
      </c>
      <c r="E869" s="3">
        <f>+'Invullen groen'!L873</f>
        <v/>
      </c>
      <c r="F869" s="3">
        <f>+'Invullen groen'!M873</f>
        <v/>
      </c>
      <c r="G869" s="3">
        <f>+'Invullen groen'!N873</f>
        <v/>
      </c>
      <c r="H869" s="3">
        <f>+'Invullen groen'!O873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groen'!I874</f>
        <v/>
      </c>
      <c r="E870" s="3">
        <f>+'Invullen groen'!L874</f>
        <v/>
      </c>
      <c r="F870" s="3">
        <f>+'Invullen groen'!M874</f>
        <v/>
      </c>
      <c r="G870" s="3">
        <f>+'Invullen groen'!N874</f>
        <v/>
      </c>
      <c r="H870" s="3">
        <f>+'Invullen groen'!O874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groen'!I875</f>
        <v/>
      </c>
      <c r="E871" s="3">
        <f>+'Invullen groen'!L875</f>
        <v/>
      </c>
      <c r="F871" s="3">
        <f>+'Invullen groen'!M875</f>
        <v/>
      </c>
      <c r="G871" s="3">
        <f>+'Invullen groen'!N875</f>
        <v/>
      </c>
      <c r="H871" s="3">
        <f>+'Invullen groen'!O875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groen'!I876</f>
        <v/>
      </c>
      <c r="E872" s="3">
        <f>+'Invullen groen'!L876</f>
        <v/>
      </c>
      <c r="F872" s="3">
        <f>+'Invullen groen'!M876</f>
        <v/>
      </c>
      <c r="G872" s="3">
        <f>+'Invullen groen'!N876</f>
        <v/>
      </c>
      <c r="H872" s="3">
        <f>+'Invullen groen'!O876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groen'!I877</f>
        <v/>
      </c>
      <c r="E873" s="3">
        <f>+'Invullen groen'!L877</f>
        <v/>
      </c>
      <c r="F873" s="3">
        <f>+'Invullen groen'!M877</f>
        <v/>
      </c>
      <c r="G873" s="3">
        <f>+'Invullen groen'!N877</f>
        <v/>
      </c>
      <c r="H873" s="3">
        <f>+'Invullen groen'!O877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groen'!I878</f>
        <v/>
      </c>
      <c r="E874" s="3">
        <f>+'Invullen groen'!L878</f>
        <v/>
      </c>
      <c r="F874" s="3">
        <f>+'Invullen groen'!M878</f>
        <v/>
      </c>
      <c r="G874" s="3">
        <f>+'Invullen groen'!N878</f>
        <v/>
      </c>
      <c r="H874" s="3">
        <f>+'Invullen groen'!O878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groen'!I879</f>
        <v/>
      </c>
      <c r="E875" s="3">
        <f>+'Invullen groen'!L879</f>
        <v/>
      </c>
      <c r="F875" s="3">
        <f>+'Invullen groen'!M879</f>
        <v/>
      </c>
      <c r="G875" s="3">
        <f>+'Invullen groen'!N879</f>
        <v/>
      </c>
      <c r="H875" s="3">
        <f>+'Invullen groen'!O879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groen'!I880</f>
        <v/>
      </c>
      <c r="E876" s="3">
        <f>+'Invullen groen'!L880</f>
        <v/>
      </c>
      <c r="F876" s="3">
        <f>+'Invullen groen'!M880</f>
        <v/>
      </c>
      <c r="G876" s="3">
        <f>+'Invullen groen'!N880</f>
        <v/>
      </c>
      <c r="H876" s="3">
        <f>+'Invullen groen'!O880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groen'!I881</f>
        <v/>
      </c>
      <c r="E877" s="3">
        <f>+'Invullen groen'!L881</f>
        <v/>
      </c>
      <c r="F877" s="3">
        <f>+'Invullen groen'!M881</f>
        <v/>
      </c>
      <c r="G877" s="3">
        <f>+'Invullen groen'!N881</f>
        <v/>
      </c>
      <c r="H877" s="3">
        <f>+'Invullen groen'!O881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groen'!I882</f>
        <v/>
      </c>
      <c r="E878" s="3">
        <f>+'Invullen groen'!L882</f>
        <v/>
      </c>
      <c r="F878" s="3">
        <f>+'Invullen groen'!M882</f>
        <v/>
      </c>
      <c r="G878" s="3">
        <f>+'Invullen groen'!N882</f>
        <v/>
      </c>
      <c r="H878" s="3">
        <f>+'Invullen groen'!O882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groen'!I883</f>
        <v/>
      </c>
      <c r="E879" s="3">
        <f>+'Invullen groen'!L883</f>
        <v/>
      </c>
      <c r="F879" s="3">
        <f>+'Invullen groen'!M883</f>
        <v/>
      </c>
      <c r="G879" s="3">
        <f>+'Invullen groen'!N883</f>
        <v/>
      </c>
      <c r="H879" s="3">
        <f>+'Invullen groen'!O883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groen'!I884</f>
        <v/>
      </c>
      <c r="E880" s="3">
        <f>+'Invullen groen'!L884</f>
        <v/>
      </c>
      <c r="F880" s="3">
        <f>+'Invullen groen'!M884</f>
        <v/>
      </c>
      <c r="G880" s="3">
        <f>+'Invullen groen'!N884</f>
        <v/>
      </c>
      <c r="H880" s="3">
        <f>+'Invullen groen'!O884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groen'!I885</f>
        <v/>
      </c>
      <c r="E881" s="3">
        <f>+'Invullen groen'!L885</f>
        <v/>
      </c>
      <c r="F881" s="3">
        <f>+'Invullen groen'!M885</f>
        <v/>
      </c>
      <c r="G881" s="3">
        <f>+'Invullen groen'!N885</f>
        <v/>
      </c>
      <c r="H881" s="3">
        <f>+'Invullen groen'!O885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groen'!I886</f>
        <v/>
      </c>
      <c r="E882" s="3">
        <f>+'Invullen groen'!L886</f>
        <v/>
      </c>
      <c r="F882" s="3">
        <f>+'Invullen groen'!M886</f>
        <v/>
      </c>
      <c r="G882" s="3">
        <f>+'Invullen groen'!N886</f>
        <v/>
      </c>
      <c r="H882" s="3">
        <f>+'Invullen groen'!O886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groen'!I887</f>
        <v/>
      </c>
      <c r="E883" s="3">
        <f>+'Invullen groen'!L887</f>
        <v/>
      </c>
      <c r="F883" s="3">
        <f>+'Invullen groen'!M887</f>
        <v/>
      </c>
      <c r="G883" s="3">
        <f>+'Invullen groen'!N887</f>
        <v/>
      </c>
      <c r="H883" s="3">
        <f>+'Invullen groen'!O887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groen'!I888</f>
        <v/>
      </c>
      <c r="E884" s="3">
        <f>+'Invullen groen'!L888</f>
        <v/>
      </c>
      <c r="F884" s="3">
        <f>+'Invullen groen'!M888</f>
        <v/>
      </c>
      <c r="G884" s="3">
        <f>+'Invullen groen'!N888</f>
        <v/>
      </c>
      <c r="H884" s="3">
        <f>+'Invullen groen'!O888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groen'!I889</f>
        <v/>
      </c>
      <c r="E885" s="3">
        <f>+'Invullen groen'!L889</f>
        <v/>
      </c>
      <c r="F885" s="3">
        <f>+'Invullen groen'!M889</f>
        <v/>
      </c>
      <c r="G885" s="3">
        <f>+'Invullen groen'!N889</f>
        <v/>
      </c>
      <c r="H885" s="3">
        <f>+'Invullen groen'!O889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groen'!I890</f>
        <v/>
      </c>
      <c r="E886" s="3">
        <f>+'Invullen groen'!L890</f>
        <v/>
      </c>
      <c r="F886" s="3">
        <f>+'Invullen groen'!M890</f>
        <v/>
      </c>
      <c r="G886" s="3">
        <f>+'Invullen groen'!N890</f>
        <v/>
      </c>
      <c r="H886" s="3">
        <f>+'Invullen groen'!O890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groen'!I891</f>
        <v/>
      </c>
      <c r="E887" s="3">
        <f>+'Invullen groen'!L891</f>
        <v/>
      </c>
      <c r="F887" s="3">
        <f>+'Invullen groen'!M891</f>
        <v/>
      </c>
      <c r="G887" s="3">
        <f>+'Invullen groen'!N891</f>
        <v/>
      </c>
      <c r="H887" s="3">
        <f>+'Invullen groen'!O891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groen'!I892</f>
        <v/>
      </c>
      <c r="E888" s="3">
        <f>+'Invullen groen'!L892</f>
        <v/>
      </c>
      <c r="F888" s="3">
        <f>+'Invullen groen'!M892</f>
        <v/>
      </c>
      <c r="G888" s="3">
        <f>+'Invullen groen'!N892</f>
        <v/>
      </c>
      <c r="H888" s="3">
        <f>+'Invullen groen'!O892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groen'!I893</f>
        <v/>
      </c>
      <c r="E889" s="3">
        <f>+'Invullen groen'!L893</f>
        <v/>
      </c>
      <c r="F889" s="3">
        <f>+'Invullen groen'!M893</f>
        <v/>
      </c>
      <c r="G889" s="3">
        <f>+'Invullen groen'!N893</f>
        <v/>
      </c>
      <c r="H889" s="3">
        <f>+'Invullen groen'!O893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groen'!I894</f>
        <v/>
      </c>
      <c r="E890" s="3">
        <f>+'Invullen groen'!L894</f>
        <v/>
      </c>
      <c r="F890" s="3">
        <f>+'Invullen groen'!M894</f>
        <v/>
      </c>
      <c r="G890" s="3">
        <f>+'Invullen groen'!N894</f>
        <v/>
      </c>
      <c r="H890" s="3">
        <f>+'Invullen groen'!O894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groen'!I895</f>
        <v/>
      </c>
      <c r="E891" s="3">
        <f>+'Invullen groen'!L895</f>
        <v/>
      </c>
      <c r="F891" s="3">
        <f>+'Invullen groen'!M895</f>
        <v/>
      </c>
      <c r="G891" s="3">
        <f>+'Invullen groen'!N895</f>
        <v/>
      </c>
      <c r="H891" s="3">
        <f>+'Invullen groen'!O895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groen'!I896</f>
        <v/>
      </c>
      <c r="E892" s="3">
        <f>+'Invullen groen'!L896</f>
        <v/>
      </c>
      <c r="F892" s="3">
        <f>+'Invullen groen'!M896</f>
        <v/>
      </c>
      <c r="G892" s="3">
        <f>+'Invullen groen'!N896</f>
        <v/>
      </c>
      <c r="H892" s="3">
        <f>+'Invullen groen'!O896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groen'!I897</f>
        <v/>
      </c>
      <c r="E893" s="3">
        <f>+'Invullen groen'!L897</f>
        <v/>
      </c>
      <c r="F893" s="3">
        <f>+'Invullen groen'!M897</f>
        <v/>
      </c>
      <c r="G893" s="3">
        <f>+'Invullen groen'!N897</f>
        <v/>
      </c>
      <c r="H893" s="3">
        <f>+'Invullen groen'!O897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groen'!I898</f>
        <v/>
      </c>
      <c r="E894" s="3">
        <f>+'Invullen groen'!L898</f>
        <v/>
      </c>
      <c r="F894" s="3">
        <f>+'Invullen groen'!M898</f>
        <v/>
      </c>
      <c r="G894" s="3">
        <f>+'Invullen groen'!N898</f>
        <v/>
      </c>
      <c r="H894" s="3">
        <f>+'Invullen groen'!O898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groen'!I899</f>
        <v/>
      </c>
      <c r="E895" s="3">
        <f>+'Invullen groen'!L899</f>
        <v/>
      </c>
      <c r="F895" s="3">
        <f>+'Invullen groen'!M899</f>
        <v/>
      </c>
      <c r="G895" s="3">
        <f>+'Invullen groen'!N899</f>
        <v/>
      </c>
      <c r="H895" s="3">
        <f>+'Invullen groen'!O899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groen'!I900</f>
        <v/>
      </c>
      <c r="E896" s="3">
        <f>+'Invullen groen'!L900</f>
        <v/>
      </c>
      <c r="F896" s="3">
        <f>+'Invullen groen'!M900</f>
        <v/>
      </c>
      <c r="G896" s="3">
        <f>+'Invullen groen'!N900</f>
        <v/>
      </c>
      <c r="H896" s="3">
        <f>+'Invullen groen'!O900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groen'!I901</f>
        <v/>
      </c>
      <c r="E897" s="3">
        <f>+'Invullen groen'!L901</f>
        <v/>
      </c>
      <c r="F897" s="3">
        <f>+'Invullen groen'!M901</f>
        <v/>
      </c>
      <c r="G897" s="3">
        <f>+'Invullen groen'!N901</f>
        <v/>
      </c>
      <c r="H897" s="3">
        <f>+'Invullen groen'!O901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groen'!I902</f>
        <v/>
      </c>
      <c r="E898" s="3">
        <f>+'Invullen groen'!L902</f>
        <v/>
      </c>
      <c r="F898" s="3">
        <f>+'Invullen groen'!M902</f>
        <v/>
      </c>
      <c r="G898" s="3">
        <f>+'Invullen groen'!N902</f>
        <v/>
      </c>
      <c r="H898" s="3">
        <f>+'Invullen groen'!O902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groen'!I903</f>
        <v/>
      </c>
      <c r="E899" s="3">
        <f>+'Invullen groen'!L903</f>
        <v/>
      </c>
      <c r="F899" s="3">
        <f>+'Invullen groen'!M903</f>
        <v/>
      </c>
      <c r="G899" s="3">
        <f>+'Invullen groen'!N903</f>
        <v/>
      </c>
      <c r="H899" s="3">
        <f>+'Invullen groen'!O903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groen'!I904</f>
        <v/>
      </c>
      <c r="E900" s="3">
        <f>+'Invullen groen'!L904</f>
        <v/>
      </c>
      <c r="F900" s="3">
        <f>+'Invullen groen'!M904</f>
        <v/>
      </c>
      <c r="G900" s="3">
        <f>+'Invullen groen'!N904</f>
        <v/>
      </c>
      <c r="H900" s="3">
        <f>+'Invullen groen'!O904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groen'!I905</f>
        <v/>
      </c>
      <c r="E901" s="3">
        <f>+'Invullen groen'!L905</f>
        <v/>
      </c>
      <c r="F901" s="3">
        <f>+'Invullen groen'!M905</f>
        <v/>
      </c>
      <c r="G901" s="3">
        <f>+'Invullen groen'!N905</f>
        <v/>
      </c>
      <c r="H901" s="3">
        <f>+'Invullen groen'!O905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groen'!I906</f>
        <v/>
      </c>
      <c r="E902" s="3">
        <f>+'Invullen groen'!L906</f>
        <v/>
      </c>
      <c r="F902" s="3">
        <f>+'Invullen groen'!M906</f>
        <v/>
      </c>
      <c r="G902" s="3">
        <f>+'Invullen groen'!N906</f>
        <v/>
      </c>
      <c r="H902" s="3">
        <f>+'Invullen groen'!O906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groen'!I907</f>
        <v/>
      </c>
      <c r="E903" s="3">
        <f>+'Invullen groen'!L907</f>
        <v/>
      </c>
      <c r="F903" s="3">
        <f>+'Invullen groen'!M907</f>
        <v/>
      </c>
      <c r="G903" s="3">
        <f>+'Invullen groen'!N907</f>
        <v/>
      </c>
      <c r="H903" s="3">
        <f>+'Invullen groen'!O907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groen'!I908</f>
        <v/>
      </c>
      <c r="E904" s="3">
        <f>+'Invullen groen'!L908</f>
        <v/>
      </c>
      <c r="F904" s="3">
        <f>+'Invullen groen'!M908</f>
        <v/>
      </c>
      <c r="G904" s="3">
        <f>+'Invullen groen'!N908</f>
        <v/>
      </c>
      <c r="H904" s="3">
        <f>+'Invullen groen'!O908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groen'!I909</f>
        <v/>
      </c>
      <c r="E905" s="3">
        <f>+'Invullen groen'!L909</f>
        <v/>
      </c>
      <c r="F905" s="3">
        <f>+'Invullen groen'!M909</f>
        <v/>
      </c>
      <c r="G905" s="3">
        <f>+'Invullen groen'!N909</f>
        <v/>
      </c>
      <c r="H905" s="3">
        <f>+'Invullen groen'!O909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groen'!I910</f>
        <v/>
      </c>
      <c r="E906" s="3">
        <f>+'Invullen groen'!L910</f>
        <v/>
      </c>
      <c r="F906" s="3">
        <f>+'Invullen groen'!M910</f>
        <v/>
      </c>
      <c r="G906" s="3">
        <f>+'Invullen groen'!N910</f>
        <v/>
      </c>
      <c r="H906" s="3">
        <f>+'Invullen groen'!O910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groen'!I911</f>
        <v/>
      </c>
      <c r="E907" s="3">
        <f>+'Invullen groen'!L911</f>
        <v/>
      </c>
      <c r="F907" s="3">
        <f>+'Invullen groen'!M911</f>
        <v/>
      </c>
      <c r="G907" s="3">
        <f>+'Invullen groen'!N911</f>
        <v/>
      </c>
      <c r="H907" s="3">
        <f>+'Invullen groen'!O911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groen'!I912</f>
        <v/>
      </c>
      <c r="E908" s="3">
        <f>+'Invullen groen'!L912</f>
        <v/>
      </c>
      <c r="F908" s="3">
        <f>+'Invullen groen'!M912</f>
        <v/>
      </c>
      <c r="G908" s="3">
        <f>+'Invullen groen'!N912</f>
        <v/>
      </c>
      <c r="H908" s="3">
        <f>+'Invullen groen'!O912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groen'!I913</f>
        <v/>
      </c>
      <c r="E909" s="3">
        <f>+'Invullen groen'!L913</f>
        <v/>
      </c>
      <c r="F909" s="3">
        <f>+'Invullen groen'!M913</f>
        <v/>
      </c>
      <c r="G909" s="3">
        <f>+'Invullen groen'!N913</f>
        <v/>
      </c>
      <c r="H909" s="3">
        <f>+'Invullen groen'!O913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groen'!I914</f>
        <v/>
      </c>
      <c r="E910" s="3">
        <f>+'Invullen groen'!L914</f>
        <v/>
      </c>
      <c r="F910" s="3">
        <f>+'Invullen groen'!M914</f>
        <v/>
      </c>
      <c r="G910" s="3">
        <f>+'Invullen groen'!N914</f>
        <v/>
      </c>
      <c r="H910" s="3">
        <f>+'Invullen groen'!O914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groen'!I915</f>
        <v/>
      </c>
      <c r="E911" s="3">
        <f>+'Invullen groen'!L915</f>
        <v/>
      </c>
      <c r="F911" s="3">
        <f>+'Invullen groen'!M915</f>
        <v/>
      </c>
      <c r="G911" s="3">
        <f>+'Invullen groen'!N915</f>
        <v/>
      </c>
      <c r="H911" s="3">
        <f>+'Invullen groen'!O915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groen'!I916</f>
        <v/>
      </c>
      <c r="E912" s="3">
        <f>+'Invullen groen'!L916</f>
        <v/>
      </c>
      <c r="F912" s="3">
        <f>+'Invullen groen'!M916</f>
        <v/>
      </c>
      <c r="G912" s="3">
        <f>+'Invullen groen'!N916</f>
        <v/>
      </c>
      <c r="H912" s="3">
        <f>+'Invullen groen'!O916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groen'!I917</f>
        <v/>
      </c>
      <c r="E913" s="3">
        <f>+'Invullen groen'!L917</f>
        <v/>
      </c>
      <c r="F913" s="3">
        <f>+'Invullen groen'!M917</f>
        <v/>
      </c>
      <c r="G913" s="3">
        <f>+'Invullen groen'!N917</f>
        <v/>
      </c>
      <c r="H913" s="3">
        <f>+'Invullen groen'!O917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groen'!I918</f>
        <v/>
      </c>
      <c r="E914" s="3">
        <f>+'Invullen groen'!L918</f>
        <v/>
      </c>
      <c r="F914" s="3">
        <f>+'Invullen groen'!M918</f>
        <v/>
      </c>
      <c r="G914" s="3">
        <f>+'Invullen groen'!N918</f>
        <v/>
      </c>
      <c r="H914" s="3">
        <f>+'Invullen groen'!O918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groen'!I919</f>
        <v/>
      </c>
      <c r="E915" s="3">
        <f>+'Invullen groen'!L919</f>
        <v/>
      </c>
      <c r="F915" s="3">
        <f>+'Invullen groen'!M919</f>
        <v/>
      </c>
      <c r="G915" s="3">
        <f>+'Invullen groen'!N919</f>
        <v/>
      </c>
      <c r="H915" s="3">
        <f>+'Invullen groen'!O919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groen'!I920</f>
        <v/>
      </c>
      <c r="E916" s="3">
        <f>+'Invullen groen'!L920</f>
        <v/>
      </c>
      <c r="F916" s="3">
        <f>+'Invullen groen'!M920</f>
        <v/>
      </c>
      <c r="G916" s="3">
        <f>+'Invullen groen'!N920</f>
        <v/>
      </c>
      <c r="H916" s="3">
        <f>+'Invullen groen'!O920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groen'!I921</f>
        <v/>
      </c>
      <c r="E917" s="3">
        <f>+'Invullen groen'!L921</f>
        <v/>
      </c>
      <c r="F917" s="3">
        <f>+'Invullen groen'!M921</f>
        <v/>
      </c>
      <c r="G917" s="3">
        <f>+'Invullen groen'!N921</f>
        <v/>
      </c>
      <c r="H917" s="3">
        <f>+'Invullen groen'!O921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groen'!I922</f>
        <v/>
      </c>
      <c r="E918" s="3">
        <f>+'Invullen groen'!L922</f>
        <v/>
      </c>
      <c r="F918" s="3">
        <f>+'Invullen groen'!M922</f>
        <v/>
      </c>
      <c r="G918" s="3">
        <f>+'Invullen groen'!N922</f>
        <v/>
      </c>
      <c r="H918" s="3">
        <f>+'Invullen groen'!O922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groen'!I923</f>
        <v/>
      </c>
      <c r="E919" s="3">
        <f>+'Invullen groen'!L923</f>
        <v/>
      </c>
      <c r="F919" s="3">
        <f>+'Invullen groen'!M923</f>
        <v/>
      </c>
      <c r="G919" s="3">
        <f>+'Invullen groen'!N923</f>
        <v/>
      </c>
      <c r="H919" s="3">
        <f>+'Invullen groen'!O923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groen'!I924</f>
        <v/>
      </c>
      <c r="E920" s="3">
        <f>+'Invullen groen'!L924</f>
        <v/>
      </c>
      <c r="F920" s="3">
        <f>+'Invullen groen'!M924</f>
        <v/>
      </c>
      <c r="G920" s="3">
        <f>+'Invullen groen'!N924</f>
        <v/>
      </c>
      <c r="H920" s="3">
        <f>+'Invullen groen'!O924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groen'!I925</f>
        <v/>
      </c>
      <c r="E921" s="3">
        <f>+'Invullen groen'!L925</f>
        <v/>
      </c>
      <c r="F921" s="3">
        <f>+'Invullen groen'!M925</f>
        <v/>
      </c>
      <c r="G921" s="3">
        <f>+'Invullen groen'!N925</f>
        <v/>
      </c>
      <c r="H921" s="3">
        <f>+'Invullen groen'!O925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groen'!I926</f>
        <v/>
      </c>
      <c r="E922" s="3">
        <f>+'Invullen groen'!L926</f>
        <v/>
      </c>
      <c r="F922" s="3">
        <f>+'Invullen groen'!M926</f>
        <v/>
      </c>
      <c r="G922" s="3">
        <f>+'Invullen groen'!N926</f>
        <v/>
      </c>
      <c r="H922" s="3">
        <f>+'Invullen groen'!O926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groen'!I927</f>
        <v/>
      </c>
      <c r="E923" s="3">
        <f>+'Invullen groen'!L927</f>
        <v/>
      </c>
      <c r="F923" s="3">
        <f>+'Invullen groen'!M927</f>
        <v/>
      </c>
      <c r="G923" s="3">
        <f>+'Invullen groen'!N927</f>
        <v/>
      </c>
      <c r="H923" s="3">
        <f>+'Invullen groen'!O927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groen'!I928</f>
        <v/>
      </c>
      <c r="E924" s="3">
        <f>+'Invullen groen'!L928</f>
        <v/>
      </c>
      <c r="F924" s="3">
        <f>+'Invullen groen'!M928</f>
        <v/>
      </c>
      <c r="G924" s="3">
        <f>+'Invullen groen'!N928</f>
        <v/>
      </c>
      <c r="H924" s="3">
        <f>+'Invullen groen'!O928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groen'!I929</f>
        <v/>
      </c>
      <c r="E925" s="3">
        <f>+'Invullen groen'!L929</f>
        <v/>
      </c>
      <c r="F925" s="3">
        <f>+'Invullen groen'!M929</f>
        <v/>
      </c>
      <c r="G925" s="3">
        <f>+'Invullen groen'!N929</f>
        <v/>
      </c>
      <c r="H925" s="3">
        <f>+'Invullen groen'!O929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groen'!I930</f>
        <v/>
      </c>
      <c r="E926" s="3">
        <f>+'Invullen groen'!L930</f>
        <v/>
      </c>
      <c r="F926" s="3">
        <f>+'Invullen groen'!M930</f>
        <v/>
      </c>
      <c r="G926" s="3">
        <f>+'Invullen groen'!N930</f>
        <v/>
      </c>
      <c r="H926" s="3">
        <f>+'Invullen groen'!O930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groen'!I931</f>
        <v/>
      </c>
      <c r="E927" s="3">
        <f>+'Invullen groen'!L931</f>
        <v/>
      </c>
      <c r="F927" s="3">
        <f>+'Invullen groen'!M931</f>
        <v/>
      </c>
      <c r="G927" s="3">
        <f>+'Invullen groen'!N931</f>
        <v/>
      </c>
      <c r="H927" s="3">
        <f>+'Invullen groen'!O931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groen'!I932</f>
        <v/>
      </c>
      <c r="E928" s="3">
        <f>+'Invullen groen'!L932</f>
        <v/>
      </c>
      <c r="F928" s="3">
        <f>+'Invullen groen'!M932</f>
        <v/>
      </c>
      <c r="G928" s="3">
        <f>+'Invullen groen'!N932</f>
        <v/>
      </c>
      <c r="H928" s="3">
        <f>+'Invullen groen'!O932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groen'!I933</f>
        <v/>
      </c>
      <c r="E929" s="3">
        <f>+'Invullen groen'!L933</f>
        <v/>
      </c>
      <c r="F929" s="3">
        <f>+'Invullen groen'!M933</f>
        <v/>
      </c>
      <c r="G929" s="3">
        <f>+'Invullen groen'!N933</f>
        <v/>
      </c>
      <c r="H929" s="3">
        <f>+'Invullen groen'!O933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groen'!I934</f>
        <v/>
      </c>
      <c r="E930" s="3">
        <f>+'Invullen groen'!L934</f>
        <v/>
      </c>
      <c r="F930" s="3">
        <f>+'Invullen groen'!M934</f>
        <v/>
      </c>
      <c r="G930" s="3">
        <f>+'Invullen groen'!N934</f>
        <v/>
      </c>
      <c r="H930" s="3">
        <f>+'Invullen groen'!O934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groen'!I935</f>
        <v/>
      </c>
      <c r="E931" s="3">
        <f>+'Invullen groen'!L935</f>
        <v/>
      </c>
      <c r="F931" s="3">
        <f>+'Invullen groen'!M935</f>
        <v/>
      </c>
      <c r="G931" s="3">
        <f>+'Invullen groen'!N935</f>
        <v/>
      </c>
      <c r="H931" s="3">
        <f>+'Invullen groen'!O935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groen'!I936</f>
        <v/>
      </c>
      <c r="E932" s="3">
        <f>+'Invullen groen'!L936</f>
        <v/>
      </c>
      <c r="F932" s="3">
        <f>+'Invullen groen'!M936</f>
        <v/>
      </c>
      <c r="G932" s="3">
        <f>+'Invullen groen'!N936</f>
        <v/>
      </c>
      <c r="H932" s="3">
        <f>+'Invullen groen'!O936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groen'!I937</f>
        <v/>
      </c>
      <c r="E933" s="3">
        <f>+'Invullen groen'!L937</f>
        <v/>
      </c>
      <c r="F933" s="3">
        <f>+'Invullen groen'!M937</f>
        <v/>
      </c>
      <c r="G933" s="3">
        <f>+'Invullen groen'!N937</f>
        <v/>
      </c>
      <c r="H933" s="3">
        <f>+'Invullen groen'!O937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groen'!I938</f>
        <v/>
      </c>
      <c r="E934" s="3">
        <f>+'Invullen groen'!L938</f>
        <v/>
      </c>
      <c r="F934" s="3">
        <f>+'Invullen groen'!M938</f>
        <v/>
      </c>
      <c r="G934" s="3">
        <f>+'Invullen groen'!N938</f>
        <v/>
      </c>
      <c r="H934" s="3">
        <f>+'Invullen groen'!O938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groen'!I939</f>
        <v/>
      </c>
      <c r="E935" s="3">
        <f>+'Invullen groen'!L939</f>
        <v/>
      </c>
      <c r="F935" s="3">
        <f>+'Invullen groen'!M939</f>
        <v/>
      </c>
      <c r="G935" s="3">
        <f>+'Invullen groen'!N939</f>
        <v/>
      </c>
      <c r="H935" s="3">
        <f>+'Invullen groen'!O939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groen'!I940</f>
        <v/>
      </c>
      <c r="E936" s="3">
        <f>+'Invullen groen'!L940</f>
        <v/>
      </c>
      <c r="F936" s="3">
        <f>+'Invullen groen'!M940</f>
        <v/>
      </c>
      <c r="G936" s="3">
        <f>+'Invullen groen'!N940</f>
        <v/>
      </c>
      <c r="H936" s="3">
        <f>+'Invullen groen'!O940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groen'!I941</f>
        <v/>
      </c>
      <c r="E937" s="3">
        <f>+'Invullen groen'!L941</f>
        <v/>
      </c>
      <c r="F937" s="3">
        <f>+'Invullen groen'!M941</f>
        <v/>
      </c>
      <c r="G937" s="3">
        <f>+'Invullen groen'!N941</f>
        <v/>
      </c>
      <c r="H937" s="3">
        <f>+'Invullen groen'!O941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groen'!I942</f>
        <v/>
      </c>
      <c r="E938" s="3">
        <f>+'Invullen groen'!L942</f>
        <v/>
      </c>
      <c r="F938" s="3">
        <f>+'Invullen groen'!M942</f>
        <v/>
      </c>
      <c r="G938" s="3">
        <f>+'Invullen groen'!N942</f>
        <v/>
      </c>
      <c r="H938" s="3">
        <f>+'Invullen groen'!O942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groen'!I943</f>
        <v/>
      </c>
      <c r="E939" s="3">
        <f>+'Invullen groen'!L943</f>
        <v/>
      </c>
      <c r="F939" s="3">
        <f>+'Invullen groen'!M943</f>
        <v/>
      </c>
      <c r="G939" s="3">
        <f>+'Invullen groen'!N943</f>
        <v/>
      </c>
      <c r="H939" s="3">
        <f>+'Invullen groen'!O943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groen'!I944</f>
        <v/>
      </c>
      <c r="E940" s="3">
        <f>+'Invullen groen'!L944</f>
        <v/>
      </c>
      <c r="F940" s="3">
        <f>+'Invullen groen'!M944</f>
        <v/>
      </c>
      <c r="G940" s="3">
        <f>+'Invullen groen'!N944</f>
        <v/>
      </c>
      <c r="H940" s="3">
        <f>+'Invullen groen'!O944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groen'!I945</f>
        <v/>
      </c>
      <c r="E941" s="3">
        <f>+'Invullen groen'!L945</f>
        <v/>
      </c>
      <c r="F941" s="3">
        <f>+'Invullen groen'!M945</f>
        <v/>
      </c>
      <c r="G941" s="3">
        <f>+'Invullen groen'!N945</f>
        <v/>
      </c>
      <c r="H941" s="3">
        <f>+'Invullen groen'!O945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groen'!I946</f>
        <v/>
      </c>
      <c r="E942" s="3">
        <f>+'Invullen groen'!L946</f>
        <v/>
      </c>
      <c r="F942" s="3">
        <f>+'Invullen groen'!M946</f>
        <v/>
      </c>
      <c r="G942" s="3">
        <f>+'Invullen groen'!N946</f>
        <v/>
      </c>
      <c r="H942" s="3">
        <f>+'Invullen groen'!O946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groen'!I947</f>
        <v/>
      </c>
      <c r="E943" s="3">
        <f>+'Invullen groen'!L947</f>
        <v/>
      </c>
      <c r="F943" s="3">
        <f>+'Invullen groen'!M947</f>
        <v/>
      </c>
      <c r="G943" s="3">
        <f>+'Invullen groen'!N947</f>
        <v/>
      </c>
      <c r="H943" s="3">
        <f>+'Invullen groen'!O947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groen'!I948</f>
        <v/>
      </c>
      <c r="E944" s="3">
        <f>+'Invullen groen'!L948</f>
        <v/>
      </c>
      <c r="F944" s="3">
        <f>+'Invullen groen'!M948</f>
        <v/>
      </c>
      <c r="G944" s="3">
        <f>+'Invullen groen'!N948</f>
        <v/>
      </c>
      <c r="H944" s="3">
        <f>+'Invullen groen'!O948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groen'!I949</f>
        <v/>
      </c>
      <c r="E945" s="3">
        <f>+'Invullen groen'!L949</f>
        <v/>
      </c>
      <c r="F945" s="3">
        <f>+'Invullen groen'!M949</f>
        <v/>
      </c>
      <c r="G945" s="3">
        <f>+'Invullen groen'!N949</f>
        <v/>
      </c>
      <c r="H945" s="3">
        <f>+'Invullen groen'!O949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groen'!I950</f>
        <v/>
      </c>
      <c r="E946" s="3">
        <f>+'Invullen groen'!L950</f>
        <v/>
      </c>
      <c r="F946" s="3">
        <f>+'Invullen groen'!M950</f>
        <v/>
      </c>
      <c r="G946" s="3">
        <f>+'Invullen groen'!N950</f>
        <v/>
      </c>
      <c r="H946" s="3">
        <f>+'Invullen groen'!O950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groen'!I951</f>
        <v/>
      </c>
      <c r="E947" s="3">
        <f>+'Invullen groen'!L951</f>
        <v/>
      </c>
      <c r="F947" s="3">
        <f>+'Invullen groen'!M951</f>
        <v/>
      </c>
      <c r="G947" s="3">
        <f>+'Invullen groen'!N951</f>
        <v/>
      </c>
      <c r="H947" s="3">
        <f>+'Invullen groen'!O951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groen'!I952</f>
        <v/>
      </c>
      <c r="E948" s="3">
        <f>+'Invullen groen'!L952</f>
        <v/>
      </c>
      <c r="F948" s="3">
        <f>+'Invullen groen'!M952</f>
        <v/>
      </c>
      <c r="G948" s="3">
        <f>+'Invullen groen'!N952</f>
        <v/>
      </c>
      <c r="H948" s="3">
        <f>+'Invullen groen'!O952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groen'!I953</f>
        <v/>
      </c>
      <c r="E949" s="3">
        <f>+'Invullen groen'!L953</f>
        <v/>
      </c>
      <c r="F949" s="3">
        <f>+'Invullen groen'!M953</f>
        <v/>
      </c>
      <c r="G949" s="3">
        <f>+'Invullen groen'!N953</f>
        <v/>
      </c>
      <c r="H949" s="3">
        <f>+'Invullen groen'!O953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groen'!I954</f>
        <v/>
      </c>
      <c r="E950" s="3">
        <f>+'Invullen groen'!L954</f>
        <v/>
      </c>
      <c r="F950" s="3">
        <f>+'Invullen groen'!M954</f>
        <v/>
      </c>
      <c r="G950" s="3">
        <f>+'Invullen groen'!N954</f>
        <v/>
      </c>
      <c r="H950" s="3">
        <f>+'Invullen groen'!O954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groen'!I955</f>
        <v/>
      </c>
      <c r="E951" s="3">
        <f>+'Invullen groen'!L955</f>
        <v/>
      </c>
      <c r="F951" s="3">
        <f>+'Invullen groen'!M955</f>
        <v/>
      </c>
      <c r="G951" s="3">
        <f>+'Invullen groen'!N955</f>
        <v/>
      </c>
      <c r="H951" s="3">
        <f>+'Invullen groen'!O955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groen'!I956</f>
        <v/>
      </c>
      <c r="E952" s="3">
        <f>+'Invullen groen'!L956</f>
        <v/>
      </c>
      <c r="F952" s="3">
        <f>+'Invullen groen'!M956</f>
        <v/>
      </c>
      <c r="G952" s="3">
        <f>+'Invullen groen'!N956</f>
        <v/>
      </c>
      <c r="H952" s="3">
        <f>+'Invullen groen'!O956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groen'!I957</f>
        <v/>
      </c>
      <c r="E953" s="3">
        <f>+'Invullen groen'!L957</f>
        <v/>
      </c>
      <c r="F953" s="3">
        <f>+'Invullen groen'!M957</f>
        <v/>
      </c>
      <c r="G953" s="3">
        <f>+'Invullen groen'!N957</f>
        <v/>
      </c>
      <c r="H953" s="3">
        <f>+'Invullen groen'!O957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groen'!I958</f>
        <v/>
      </c>
      <c r="E954" s="3">
        <f>+'Invullen groen'!L958</f>
        <v/>
      </c>
      <c r="F954" s="3">
        <f>+'Invullen groen'!M958</f>
        <v/>
      </c>
      <c r="G954" s="3">
        <f>+'Invullen groen'!N958</f>
        <v/>
      </c>
      <c r="H954" s="3">
        <f>+'Invullen groen'!O958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groen'!I959</f>
        <v/>
      </c>
      <c r="E955" s="3">
        <f>+'Invullen groen'!L959</f>
        <v/>
      </c>
      <c r="F955" s="3">
        <f>+'Invullen groen'!M959</f>
        <v/>
      </c>
      <c r="G955" s="3">
        <f>+'Invullen groen'!N959</f>
        <v/>
      </c>
      <c r="H955" s="3">
        <f>+'Invullen groen'!O959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groen'!I960</f>
        <v/>
      </c>
      <c r="E956" s="3">
        <f>+'Invullen groen'!L960</f>
        <v/>
      </c>
      <c r="F956" s="3">
        <f>+'Invullen groen'!M960</f>
        <v/>
      </c>
      <c r="G956" s="3">
        <f>+'Invullen groen'!N960</f>
        <v/>
      </c>
      <c r="H956" s="3">
        <f>+'Invullen groen'!O960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groen'!I961</f>
        <v/>
      </c>
      <c r="E957" s="3">
        <f>+'Invullen groen'!L961</f>
        <v/>
      </c>
      <c r="F957" s="3">
        <f>+'Invullen groen'!M961</f>
        <v/>
      </c>
      <c r="G957" s="3">
        <f>+'Invullen groen'!N961</f>
        <v/>
      </c>
      <c r="H957" s="3">
        <f>+'Invullen groen'!O961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groen'!I962</f>
        <v/>
      </c>
      <c r="E958" s="3">
        <f>+'Invullen groen'!L962</f>
        <v/>
      </c>
      <c r="F958" s="3">
        <f>+'Invullen groen'!M962</f>
        <v/>
      </c>
      <c r="G958" s="3">
        <f>+'Invullen groen'!N962</f>
        <v/>
      </c>
      <c r="H958" s="3">
        <f>+'Invullen groen'!O962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groen'!I963</f>
        <v/>
      </c>
      <c r="E959" s="3">
        <f>+'Invullen groen'!L963</f>
        <v/>
      </c>
      <c r="F959" s="3">
        <f>+'Invullen groen'!M963</f>
        <v/>
      </c>
      <c r="G959" s="3">
        <f>+'Invullen groen'!N963</f>
        <v/>
      </c>
      <c r="H959" s="3">
        <f>+'Invullen groen'!O963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groen'!I964</f>
        <v/>
      </c>
      <c r="E960" s="3">
        <f>+'Invullen groen'!L964</f>
        <v/>
      </c>
      <c r="F960" s="3">
        <f>+'Invullen groen'!M964</f>
        <v/>
      </c>
      <c r="G960" s="3">
        <f>+'Invullen groen'!N964</f>
        <v/>
      </c>
      <c r="H960" s="3">
        <f>+'Invullen groen'!O964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groen'!I965</f>
        <v/>
      </c>
      <c r="E961" s="3">
        <f>+'Invullen groen'!L965</f>
        <v/>
      </c>
      <c r="F961" s="3">
        <f>+'Invullen groen'!M965</f>
        <v/>
      </c>
      <c r="G961" s="3">
        <f>+'Invullen groen'!N965</f>
        <v/>
      </c>
      <c r="H961" s="3">
        <f>+'Invullen groen'!O965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groen'!I966</f>
        <v/>
      </c>
      <c r="E962" s="3">
        <f>+'Invullen groen'!L966</f>
        <v/>
      </c>
      <c r="F962" s="3">
        <f>+'Invullen groen'!M966</f>
        <v/>
      </c>
      <c r="G962" s="3">
        <f>+'Invullen groen'!N966</f>
        <v/>
      </c>
      <c r="H962" s="3">
        <f>+'Invullen groen'!O966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groen'!I967</f>
        <v/>
      </c>
      <c r="E963" s="3">
        <f>+'Invullen groen'!L967</f>
        <v/>
      </c>
      <c r="F963" s="3">
        <f>+'Invullen groen'!M967</f>
        <v/>
      </c>
      <c r="G963" s="3">
        <f>+'Invullen groen'!N967</f>
        <v/>
      </c>
      <c r="H963" s="3">
        <f>+'Invullen groen'!O967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groen'!I968</f>
        <v/>
      </c>
      <c r="E964" s="3">
        <f>+'Invullen groen'!L968</f>
        <v/>
      </c>
      <c r="F964" s="3">
        <f>+'Invullen groen'!M968</f>
        <v/>
      </c>
      <c r="G964" s="3">
        <f>+'Invullen groen'!N968</f>
        <v/>
      </c>
      <c r="H964" s="3">
        <f>+'Invullen groen'!O968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groen'!I969</f>
        <v/>
      </c>
      <c r="E965" s="3">
        <f>+'Invullen groen'!L969</f>
        <v/>
      </c>
      <c r="F965" s="3">
        <f>+'Invullen groen'!M969</f>
        <v/>
      </c>
      <c r="G965" s="3">
        <f>+'Invullen groen'!N969</f>
        <v/>
      </c>
      <c r="H965" s="3">
        <f>+'Invullen groen'!O969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groen'!I970</f>
        <v/>
      </c>
      <c r="E966" s="3">
        <f>+'Invullen groen'!L970</f>
        <v/>
      </c>
      <c r="F966" s="3">
        <f>+'Invullen groen'!M970</f>
        <v/>
      </c>
      <c r="G966" s="3">
        <f>+'Invullen groen'!N970</f>
        <v/>
      </c>
      <c r="H966" s="3">
        <f>+'Invullen groen'!O970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groen'!I971</f>
        <v/>
      </c>
      <c r="E967" s="3">
        <f>+'Invullen groen'!L971</f>
        <v/>
      </c>
      <c r="F967" s="3">
        <f>+'Invullen groen'!M971</f>
        <v/>
      </c>
      <c r="G967" s="3">
        <f>+'Invullen groen'!N971</f>
        <v/>
      </c>
      <c r="H967" s="3">
        <f>+'Invullen groen'!O971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groen'!I972</f>
        <v/>
      </c>
      <c r="E968" s="3">
        <f>+'Invullen groen'!L972</f>
        <v/>
      </c>
      <c r="F968" s="3">
        <f>+'Invullen groen'!M972</f>
        <v/>
      </c>
      <c r="G968" s="3">
        <f>+'Invullen groen'!N972</f>
        <v/>
      </c>
      <c r="H968" s="3">
        <f>+'Invullen groen'!O972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groen'!I973</f>
        <v/>
      </c>
      <c r="E969" s="3">
        <f>+'Invullen groen'!L973</f>
        <v/>
      </c>
      <c r="F969" s="3">
        <f>+'Invullen groen'!M973</f>
        <v/>
      </c>
      <c r="G969" s="3">
        <f>+'Invullen groen'!N973</f>
        <v/>
      </c>
      <c r="H969" s="3">
        <f>+'Invullen groen'!O973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groen'!I974</f>
        <v/>
      </c>
      <c r="E970" s="3">
        <f>+'Invullen groen'!L974</f>
        <v/>
      </c>
      <c r="F970" s="3">
        <f>+'Invullen groen'!M974</f>
        <v/>
      </c>
      <c r="G970" s="3">
        <f>+'Invullen groen'!N974</f>
        <v/>
      </c>
      <c r="H970" s="3">
        <f>+'Invullen groen'!O974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groen'!I975</f>
        <v/>
      </c>
      <c r="E971" s="3">
        <f>+'Invullen groen'!L975</f>
        <v/>
      </c>
      <c r="F971" s="3">
        <f>+'Invullen groen'!M975</f>
        <v/>
      </c>
      <c r="G971" s="3">
        <f>+'Invullen groen'!N975</f>
        <v/>
      </c>
      <c r="H971" s="3">
        <f>+'Invullen groen'!O975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groen'!I976</f>
        <v/>
      </c>
      <c r="E972" s="3">
        <f>+'Invullen groen'!L976</f>
        <v/>
      </c>
      <c r="F972" s="3">
        <f>+'Invullen groen'!M976</f>
        <v/>
      </c>
      <c r="G972" s="3">
        <f>+'Invullen groen'!N976</f>
        <v/>
      </c>
      <c r="H972" s="3">
        <f>+'Invullen groen'!O976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groen'!I977</f>
        <v/>
      </c>
      <c r="E973" s="3">
        <f>+'Invullen groen'!L977</f>
        <v/>
      </c>
      <c r="F973" s="3">
        <f>+'Invullen groen'!M977</f>
        <v/>
      </c>
      <c r="G973" s="3">
        <f>+'Invullen groen'!N977</f>
        <v/>
      </c>
      <c r="H973" s="3">
        <f>+'Invullen groen'!O977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groen'!I978</f>
        <v/>
      </c>
      <c r="E974" s="3">
        <f>+'Invullen groen'!L978</f>
        <v/>
      </c>
      <c r="F974" s="3">
        <f>+'Invullen groen'!M978</f>
        <v/>
      </c>
      <c r="G974" s="3">
        <f>+'Invullen groen'!N978</f>
        <v/>
      </c>
      <c r="H974" s="3">
        <f>+'Invullen groen'!O978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groen'!I979</f>
        <v/>
      </c>
      <c r="E975" s="3">
        <f>+'Invullen groen'!L979</f>
        <v/>
      </c>
      <c r="F975" s="3">
        <f>+'Invullen groen'!M979</f>
        <v/>
      </c>
      <c r="G975" s="3">
        <f>+'Invullen groen'!N979</f>
        <v/>
      </c>
      <c r="H975" s="3">
        <f>+'Invullen groen'!O979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groen'!I980</f>
        <v/>
      </c>
      <c r="E976" s="3">
        <f>+'Invullen groen'!L980</f>
        <v/>
      </c>
      <c r="F976" s="3">
        <f>+'Invullen groen'!M980</f>
        <v/>
      </c>
      <c r="G976" s="3">
        <f>+'Invullen groen'!N980</f>
        <v/>
      </c>
      <c r="H976" s="3">
        <f>+'Invullen groen'!O980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groen'!I981</f>
        <v/>
      </c>
      <c r="E977" s="3">
        <f>+'Invullen groen'!L981</f>
        <v/>
      </c>
      <c r="F977" s="3">
        <f>+'Invullen groen'!M981</f>
        <v/>
      </c>
      <c r="G977" s="3">
        <f>+'Invullen groen'!N981</f>
        <v/>
      </c>
      <c r="H977" s="3">
        <f>+'Invullen groen'!O981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groen'!I982</f>
        <v/>
      </c>
      <c r="E978" s="3">
        <f>+'Invullen groen'!L982</f>
        <v/>
      </c>
      <c r="F978" s="3">
        <f>+'Invullen groen'!M982</f>
        <v/>
      </c>
      <c r="G978" s="3">
        <f>+'Invullen groen'!N982</f>
        <v/>
      </c>
      <c r="H978" s="3">
        <f>+'Invullen groen'!O982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groen'!I983</f>
        <v/>
      </c>
      <c r="E979" s="3">
        <f>+'Invullen groen'!L983</f>
        <v/>
      </c>
      <c r="F979" s="3">
        <f>+'Invullen groen'!M983</f>
        <v/>
      </c>
      <c r="G979" s="3">
        <f>+'Invullen groen'!N983</f>
        <v/>
      </c>
      <c r="H979" s="3">
        <f>+'Invullen groen'!O983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groen'!I984</f>
        <v/>
      </c>
      <c r="E980" s="3">
        <f>+'Invullen groen'!L984</f>
        <v/>
      </c>
      <c r="F980" s="3">
        <f>+'Invullen groen'!M984</f>
        <v/>
      </c>
      <c r="G980" s="3">
        <f>+'Invullen groen'!N984</f>
        <v/>
      </c>
      <c r="H980" s="3">
        <f>+'Invullen groen'!O984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groen'!I985</f>
        <v/>
      </c>
      <c r="E981" s="3">
        <f>+'Invullen groen'!L985</f>
        <v/>
      </c>
      <c r="F981" s="3">
        <f>+'Invullen groen'!M985</f>
        <v/>
      </c>
      <c r="G981" s="3">
        <f>+'Invullen groen'!N985</f>
        <v/>
      </c>
      <c r="H981" s="3">
        <f>+'Invullen groen'!O985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groen'!I986</f>
        <v/>
      </c>
      <c r="E982" s="3">
        <f>+'Invullen groen'!L986</f>
        <v/>
      </c>
      <c r="F982" s="3">
        <f>+'Invullen groen'!M986</f>
        <v/>
      </c>
      <c r="G982" s="3">
        <f>+'Invullen groen'!N986</f>
        <v/>
      </c>
      <c r="H982" s="3">
        <f>+'Invullen groen'!O986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groen'!I987</f>
        <v/>
      </c>
      <c r="E983" s="3">
        <f>+'Invullen groen'!L987</f>
        <v/>
      </c>
      <c r="F983" s="3">
        <f>+'Invullen groen'!M987</f>
        <v/>
      </c>
      <c r="G983" s="3">
        <f>+'Invullen groen'!N987</f>
        <v/>
      </c>
      <c r="H983" s="3">
        <f>+'Invullen groen'!O987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groen'!I988</f>
        <v/>
      </c>
      <c r="E984" s="3">
        <f>+'Invullen groen'!L988</f>
        <v/>
      </c>
      <c r="F984" s="3">
        <f>+'Invullen groen'!M988</f>
        <v/>
      </c>
      <c r="G984" s="3">
        <f>+'Invullen groen'!N988</f>
        <v/>
      </c>
      <c r="H984" s="3">
        <f>+'Invullen groen'!O988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groen'!I989</f>
        <v/>
      </c>
      <c r="E985" s="3">
        <f>+'Invullen groen'!L989</f>
        <v/>
      </c>
      <c r="F985" s="3">
        <f>+'Invullen groen'!M989</f>
        <v/>
      </c>
      <c r="G985" s="3">
        <f>+'Invullen groen'!N989</f>
        <v/>
      </c>
      <c r="H985" s="3">
        <f>+'Invullen groen'!O989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groen'!I990</f>
        <v/>
      </c>
      <c r="E986" s="3">
        <f>+'Invullen groen'!L990</f>
        <v/>
      </c>
      <c r="F986" s="3">
        <f>+'Invullen groen'!M990</f>
        <v/>
      </c>
      <c r="G986" s="3">
        <f>+'Invullen groen'!N990</f>
        <v/>
      </c>
      <c r="H986" s="3">
        <f>+'Invullen groen'!O990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groen'!I991</f>
        <v/>
      </c>
      <c r="E987" s="3">
        <f>+'Invullen groen'!L991</f>
        <v/>
      </c>
      <c r="F987" s="3">
        <f>+'Invullen groen'!M991</f>
        <v/>
      </c>
      <c r="G987" s="3">
        <f>+'Invullen groen'!N991</f>
        <v/>
      </c>
      <c r="H987" s="3">
        <f>+'Invullen groen'!O991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groen'!I992</f>
        <v/>
      </c>
      <c r="E988" s="3">
        <f>+'Invullen groen'!L992</f>
        <v/>
      </c>
      <c r="F988" s="3">
        <f>+'Invullen groen'!M992</f>
        <v/>
      </c>
      <c r="G988" s="3">
        <f>+'Invullen groen'!N992</f>
        <v/>
      </c>
      <c r="H988" s="3">
        <f>+'Invullen groen'!O992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groen'!I993</f>
        <v/>
      </c>
      <c r="E989" s="3">
        <f>+'Invullen groen'!L993</f>
        <v/>
      </c>
      <c r="F989" s="3">
        <f>+'Invullen groen'!M993</f>
        <v/>
      </c>
      <c r="G989" s="3">
        <f>+'Invullen groen'!N993</f>
        <v/>
      </c>
      <c r="H989" s="3">
        <f>+'Invullen groen'!O993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groen'!I994</f>
        <v/>
      </c>
      <c r="E990" s="3">
        <f>+'Invullen groen'!L994</f>
        <v/>
      </c>
      <c r="F990" s="3">
        <f>+'Invullen groen'!M994</f>
        <v/>
      </c>
      <c r="G990" s="3">
        <f>+'Invullen groen'!N994</f>
        <v/>
      </c>
      <c r="H990" s="3">
        <f>+'Invullen groen'!O994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groen'!I995</f>
        <v/>
      </c>
      <c r="E991" s="3">
        <f>+'Invullen groen'!L995</f>
        <v/>
      </c>
      <c r="F991" s="3">
        <f>+'Invullen groen'!M995</f>
        <v/>
      </c>
      <c r="G991" s="3">
        <f>+'Invullen groen'!N995</f>
        <v/>
      </c>
      <c r="H991" s="3">
        <f>+'Invullen groen'!O995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groen'!I996</f>
        <v/>
      </c>
      <c r="E992" s="3">
        <f>+'Invullen groen'!L996</f>
        <v/>
      </c>
      <c r="F992" s="3">
        <f>+'Invullen groen'!M996</f>
        <v/>
      </c>
      <c r="G992" s="3">
        <f>+'Invullen groen'!N996</f>
        <v/>
      </c>
      <c r="H992" s="3">
        <f>+'Invullen groen'!O996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groen'!I997</f>
        <v/>
      </c>
      <c r="E993" s="3">
        <f>+'Invullen groen'!L997</f>
        <v/>
      </c>
      <c r="F993" s="3">
        <f>+'Invullen groen'!M997</f>
        <v/>
      </c>
      <c r="G993" s="3">
        <f>+'Invullen groen'!N997</f>
        <v/>
      </c>
      <c r="H993" s="3">
        <f>+'Invullen groen'!O997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groen'!I998</f>
        <v/>
      </c>
      <c r="E994" s="3">
        <f>+'Invullen groen'!L998</f>
        <v/>
      </c>
      <c r="F994" s="3">
        <f>+'Invullen groen'!M998</f>
        <v/>
      </c>
      <c r="G994" s="3">
        <f>+'Invullen groen'!N998</f>
        <v/>
      </c>
      <c r="H994" s="3">
        <f>+'Invullen groen'!O998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groen'!I999</f>
        <v/>
      </c>
      <c r="E995" s="3">
        <f>+'Invullen groen'!L999</f>
        <v/>
      </c>
      <c r="F995" s="3">
        <f>+'Invullen groen'!M999</f>
        <v/>
      </c>
      <c r="G995" s="3">
        <f>+'Invullen groen'!N999</f>
        <v/>
      </c>
      <c r="H995" s="3">
        <f>+'Invullen groen'!O999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groen'!I1000</f>
        <v/>
      </c>
      <c r="E996" s="3">
        <f>+'Invullen groen'!L1000</f>
        <v/>
      </c>
      <c r="F996" s="3">
        <f>+'Invullen groen'!M1000</f>
        <v/>
      </c>
      <c r="G996" s="3">
        <f>+'Invullen groen'!N1000</f>
        <v/>
      </c>
      <c r="H996" s="3">
        <f>+'Invullen groen'!O1000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groen'!I1001</f>
        <v/>
      </c>
      <c r="E997" s="3">
        <f>+'Invullen groen'!L1001</f>
        <v/>
      </c>
      <c r="F997" s="3">
        <f>+'Invullen groen'!M1001</f>
        <v/>
      </c>
      <c r="G997" s="3">
        <f>+'Invullen groen'!N1001</f>
        <v/>
      </c>
      <c r="H997" s="3">
        <f>+'Invullen groen'!O1001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groen'!I1002</f>
        <v/>
      </c>
      <c r="E998" s="3">
        <f>+'Invullen groen'!L1002</f>
        <v/>
      </c>
      <c r="F998" s="3">
        <f>+'Invullen groen'!M1002</f>
        <v/>
      </c>
      <c r="G998" s="3">
        <f>+'Invullen groen'!N1002</f>
        <v/>
      </c>
      <c r="H998" s="3">
        <f>+'Invullen groen'!O1002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groen'!I1003</f>
        <v/>
      </c>
      <c r="E999" s="3">
        <f>+'Invullen groen'!L1003</f>
        <v/>
      </c>
      <c r="F999" s="3">
        <f>+'Invullen groen'!M1003</f>
        <v/>
      </c>
      <c r="G999" s="3">
        <f>+'Invullen groen'!N1003</f>
        <v/>
      </c>
      <c r="H999" s="3">
        <f>+'Invullen groen'!O1003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groen'!I1004</f>
        <v/>
      </c>
      <c r="E1000" s="3">
        <f>+'Invullen groen'!L1004</f>
        <v/>
      </c>
      <c r="F1000" s="3">
        <f>+'Invullen groen'!M1004</f>
        <v/>
      </c>
      <c r="G1000" s="3">
        <f>+'Invullen groen'!N1004</f>
        <v/>
      </c>
      <c r="H1000" s="3">
        <f>+'Invullen groen'!O1004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groen'!I1005</f>
        <v/>
      </c>
      <c r="E1001" s="3">
        <f>+'Invullen groen'!L1005</f>
        <v/>
      </c>
      <c r="F1001" s="3">
        <f>+'Invullen groen'!M1005</f>
        <v/>
      </c>
      <c r="G1001" s="3">
        <f>+'Invullen groen'!N1005</f>
        <v/>
      </c>
      <c r="H1001" s="3">
        <f>+'Invullen groen'!O1005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groen'!I1006</f>
        <v/>
      </c>
      <c r="E1002" s="3">
        <f>+'Invullen groen'!L1006</f>
        <v/>
      </c>
      <c r="F1002" s="3">
        <f>+'Invullen groen'!M1006</f>
        <v/>
      </c>
      <c r="G1002" s="3">
        <f>+'Invullen groen'!N1006</f>
        <v/>
      </c>
      <c r="H1002" s="3">
        <f>+'Invullen groen'!O1006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groen'!I1007</f>
        <v/>
      </c>
      <c r="E1003" s="3">
        <f>+'Invullen groen'!L1007</f>
        <v/>
      </c>
      <c r="F1003" s="3">
        <f>+'Invullen groen'!M1007</f>
        <v/>
      </c>
      <c r="G1003" s="3">
        <f>+'Invullen groen'!N1007</f>
        <v/>
      </c>
      <c r="H1003" s="3">
        <f>+'Invullen groen'!O1007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groen'!I1008</f>
        <v/>
      </c>
      <c r="E1004" s="3">
        <f>+'Invullen groen'!L1008</f>
        <v/>
      </c>
      <c r="F1004" s="3">
        <f>+'Invullen groen'!M1008</f>
        <v/>
      </c>
      <c r="G1004" s="3">
        <f>+'Invullen groen'!N1008</f>
        <v/>
      </c>
      <c r="H1004" s="3">
        <f>+'Invullen groen'!O1008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groen'!I1009</f>
        <v/>
      </c>
      <c r="E1005" s="3">
        <f>+'Invullen groen'!L1009</f>
        <v/>
      </c>
      <c r="F1005" s="3">
        <f>+'Invullen groen'!M1009</f>
        <v/>
      </c>
      <c r="G1005" s="3">
        <f>+'Invullen groen'!N1009</f>
        <v/>
      </c>
      <c r="H1005" s="3">
        <f>+'Invullen groen'!O1009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groen'!I1010</f>
        <v/>
      </c>
      <c r="E1006" s="3">
        <f>+'Invullen groen'!L1010</f>
        <v/>
      </c>
      <c r="F1006" s="3">
        <f>+'Invullen groen'!M1010</f>
        <v/>
      </c>
      <c r="G1006" s="3">
        <f>+'Invullen groen'!N1010</f>
        <v/>
      </c>
      <c r="H1006" s="3">
        <f>+'Invullen groen'!O1010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groen'!I1011</f>
        <v/>
      </c>
      <c r="E1007" s="3">
        <f>+'Invullen groen'!L1011</f>
        <v/>
      </c>
      <c r="F1007" s="3">
        <f>+'Invullen groen'!M1011</f>
        <v/>
      </c>
      <c r="G1007" s="3">
        <f>+'Invullen groen'!N1011</f>
        <v/>
      </c>
      <c r="H1007" s="3">
        <f>+'Invullen groen'!O1011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groen'!I1012</f>
        <v/>
      </c>
      <c r="E1008" s="3">
        <f>+'Invullen groen'!L1012</f>
        <v/>
      </c>
      <c r="F1008" s="3">
        <f>+'Invullen groen'!M1012</f>
        <v/>
      </c>
      <c r="G1008" s="3">
        <f>+'Invullen groen'!N1012</f>
        <v/>
      </c>
      <c r="H1008" s="3">
        <f>+'Invullen groen'!O1012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groen'!I1013</f>
        <v/>
      </c>
      <c r="E1009" s="3">
        <f>+'Invullen groen'!L1013</f>
        <v/>
      </c>
      <c r="F1009" s="3">
        <f>+'Invullen groen'!M1013</f>
        <v/>
      </c>
      <c r="G1009" s="3">
        <f>+'Invullen groen'!N1013</f>
        <v/>
      </c>
      <c r="H1009" s="3">
        <f>+'Invullen groen'!O1013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groen'!I1014</f>
        <v/>
      </c>
      <c r="E1010" s="3">
        <f>+'Invullen groen'!L1014</f>
        <v/>
      </c>
      <c r="F1010" s="3">
        <f>+'Invullen groen'!M1014</f>
        <v/>
      </c>
      <c r="G1010" s="3">
        <f>+'Invullen groen'!N1014</f>
        <v/>
      </c>
      <c r="H1010" s="3">
        <f>+'Invullen groen'!O1014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groen'!I1015</f>
        <v/>
      </c>
      <c r="E1011" s="3">
        <f>+'Invullen groen'!L1015</f>
        <v/>
      </c>
      <c r="F1011" s="3">
        <f>+'Invullen groen'!M1015</f>
        <v/>
      </c>
      <c r="G1011" s="3">
        <f>+'Invullen groen'!N1015</f>
        <v/>
      </c>
      <c r="H1011" s="3">
        <f>+'Invullen groen'!O1015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groen'!I1016</f>
        <v/>
      </c>
      <c r="E1012" s="3">
        <f>+'Invullen groen'!L1016</f>
        <v/>
      </c>
      <c r="F1012" s="3">
        <f>+'Invullen groen'!M1016</f>
        <v/>
      </c>
      <c r="G1012" s="3">
        <f>+'Invullen groen'!N1016</f>
        <v/>
      </c>
      <c r="H1012" s="3">
        <f>+'Invullen groen'!O1016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groen'!I1017</f>
        <v/>
      </c>
      <c r="E1013" s="3">
        <f>+'Invullen groen'!L1017</f>
        <v/>
      </c>
      <c r="F1013" s="3">
        <f>+'Invullen groen'!M1017</f>
        <v/>
      </c>
      <c r="G1013" s="3">
        <f>+'Invullen groen'!N1017</f>
        <v/>
      </c>
      <c r="H1013" s="3">
        <f>+'Invullen groen'!O1017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groen'!I1018</f>
        <v/>
      </c>
      <c r="E1014" s="3">
        <f>+'Invullen groen'!L1018</f>
        <v/>
      </c>
      <c r="F1014" s="3">
        <f>+'Invullen groen'!M1018</f>
        <v/>
      </c>
      <c r="G1014" s="3">
        <f>+'Invullen groen'!N1018</f>
        <v/>
      </c>
      <c r="H1014" s="3">
        <f>+'Invullen groen'!O1018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groen'!I1019</f>
        <v/>
      </c>
      <c r="E1015" s="3">
        <f>+'Invullen groen'!L1019</f>
        <v/>
      </c>
      <c r="F1015" s="3">
        <f>+'Invullen groen'!M1019</f>
        <v/>
      </c>
      <c r="G1015" s="3">
        <f>+'Invullen groen'!N1019</f>
        <v/>
      </c>
      <c r="H1015" s="3">
        <f>+'Invullen groen'!O1019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groen'!I1020</f>
        <v/>
      </c>
      <c r="E1016" s="3">
        <f>+'Invullen groen'!L1020</f>
        <v/>
      </c>
      <c r="F1016" s="3">
        <f>+'Invullen groen'!M1020</f>
        <v/>
      </c>
      <c r="G1016" s="3">
        <f>+'Invullen groen'!N1020</f>
        <v/>
      </c>
      <c r="H1016" s="3">
        <f>+'Invullen groen'!O1020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groen'!I1021</f>
        <v/>
      </c>
      <c r="E1017" s="3">
        <f>+'Invullen groen'!L1021</f>
        <v/>
      </c>
      <c r="F1017" s="3">
        <f>+'Invullen groen'!M1021</f>
        <v/>
      </c>
      <c r="G1017" s="3">
        <f>+'Invullen groen'!N1021</f>
        <v/>
      </c>
      <c r="H1017" s="3">
        <f>+'Invullen groen'!O1021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groen'!I1022</f>
        <v/>
      </c>
      <c r="E1018" s="3">
        <f>+'Invullen groen'!L1022</f>
        <v/>
      </c>
      <c r="F1018" s="3">
        <f>+'Invullen groen'!M1022</f>
        <v/>
      </c>
      <c r="G1018" s="3">
        <f>+'Invullen groen'!N1022</f>
        <v/>
      </c>
      <c r="H1018" s="3">
        <f>+'Invullen groen'!O1022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groen'!I1023</f>
        <v/>
      </c>
      <c r="E1019" s="3">
        <f>+'Invullen groen'!L1023</f>
        <v/>
      </c>
      <c r="F1019" s="3">
        <f>+'Invullen groen'!M1023</f>
        <v/>
      </c>
      <c r="G1019" s="3">
        <f>+'Invullen groen'!N1023</f>
        <v/>
      </c>
      <c r="H1019" s="3">
        <f>+'Invullen groen'!O1023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groen'!I1024</f>
        <v/>
      </c>
      <c r="E1020" s="3">
        <f>+'Invullen groen'!L1024</f>
        <v/>
      </c>
      <c r="F1020" s="3">
        <f>+'Invullen groen'!M1024</f>
        <v/>
      </c>
      <c r="G1020" s="3">
        <f>+'Invullen groen'!N1024</f>
        <v/>
      </c>
      <c r="H1020" s="3">
        <f>+'Invullen groen'!O1024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groen'!I1025</f>
        <v/>
      </c>
      <c r="E1021" s="3">
        <f>+'Invullen groen'!L1025</f>
        <v/>
      </c>
      <c r="F1021" s="3">
        <f>+'Invullen groen'!M1025</f>
        <v/>
      </c>
      <c r="G1021" s="3">
        <f>+'Invullen groen'!N1025</f>
        <v/>
      </c>
      <c r="H1021" s="3">
        <f>+'Invullen groen'!O1025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groen'!I1026</f>
        <v/>
      </c>
      <c r="E1022" s="3">
        <f>+'Invullen groen'!L1026</f>
        <v/>
      </c>
      <c r="F1022" s="3">
        <f>+'Invullen groen'!M1026</f>
        <v/>
      </c>
      <c r="G1022" s="3">
        <f>+'Invullen groen'!N1026</f>
        <v/>
      </c>
      <c r="H1022" s="3">
        <f>+'Invullen groen'!O1026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groen'!I1027</f>
        <v/>
      </c>
      <c r="E1023" s="3">
        <f>+'Invullen groen'!L1027</f>
        <v/>
      </c>
      <c r="F1023" s="3">
        <f>+'Invullen groen'!M1027</f>
        <v/>
      </c>
      <c r="G1023" s="3">
        <f>+'Invullen groen'!N1027</f>
        <v/>
      </c>
      <c r="H1023" s="3">
        <f>+'Invullen groen'!O1027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groen'!I1028</f>
        <v/>
      </c>
      <c r="E1024" s="3">
        <f>+'Invullen groen'!L1028</f>
        <v/>
      </c>
      <c r="F1024" s="3">
        <f>+'Invullen groen'!M1028</f>
        <v/>
      </c>
      <c r="G1024" s="3">
        <f>+'Invullen groen'!N1028</f>
        <v/>
      </c>
      <c r="H1024" s="3">
        <f>+'Invullen groen'!O1028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groen'!I1029</f>
        <v/>
      </c>
      <c r="E1025" s="3">
        <f>+'Invullen groen'!L1029</f>
        <v/>
      </c>
      <c r="F1025" s="3">
        <f>+'Invullen groen'!M1029</f>
        <v/>
      </c>
      <c r="G1025" s="3">
        <f>+'Invullen groen'!N1029</f>
        <v/>
      </c>
      <c r="H1025" s="3">
        <f>+'Invullen groen'!O1029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groen'!I1030</f>
        <v/>
      </c>
      <c r="E1026" s="3">
        <f>+'Invullen groen'!L1030</f>
        <v/>
      </c>
      <c r="F1026" s="3">
        <f>+'Invullen groen'!M1030</f>
        <v/>
      </c>
      <c r="G1026" s="3">
        <f>+'Invullen groen'!N1030</f>
        <v/>
      </c>
      <c r="H1026" s="3">
        <f>+'Invullen groen'!O1030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groen'!I1031</f>
        <v/>
      </c>
      <c r="E1027" s="3">
        <f>+'Invullen groen'!L1031</f>
        <v/>
      </c>
      <c r="F1027" s="3">
        <f>+'Invullen groen'!M1031</f>
        <v/>
      </c>
      <c r="G1027" s="3">
        <f>+'Invullen groen'!N1031</f>
        <v/>
      </c>
      <c r="H1027" s="3">
        <f>+'Invullen groen'!O1031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groen'!I1032</f>
        <v/>
      </c>
      <c r="E1028" s="3">
        <f>+'Invullen groen'!L1032</f>
        <v/>
      </c>
      <c r="F1028" s="3">
        <f>+'Invullen groen'!M1032</f>
        <v/>
      </c>
      <c r="G1028" s="3">
        <f>+'Invullen groen'!N1032</f>
        <v/>
      </c>
      <c r="H1028" s="3">
        <f>+'Invullen groen'!O1032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groen'!I1033</f>
        <v/>
      </c>
      <c r="E1029" s="3">
        <f>+'Invullen groen'!L1033</f>
        <v/>
      </c>
      <c r="F1029" s="3">
        <f>+'Invullen groen'!M1033</f>
        <v/>
      </c>
      <c r="G1029" s="3">
        <f>+'Invullen groen'!N1033</f>
        <v/>
      </c>
      <c r="H1029" s="3">
        <f>+'Invullen groen'!O1033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groen'!I1034</f>
        <v/>
      </c>
      <c r="E1030" s="3">
        <f>+'Invullen groen'!L1034</f>
        <v/>
      </c>
      <c r="F1030" s="3">
        <f>+'Invullen groen'!M1034</f>
        <v/>
      </c>
      <c r="G1030" s="3">
        <f>+'Invullen groen'!N1034</f>
        <v/>
      </c>
      <c r="H1030" s="3">
        <f>+'Invullen groen'!O1034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groen'!I1035</f>
        <v/>
      </c>
      <c r="E1031" s="3">
        <f>+'Invullen groen'!L1035</f>
        <v/>
      </c>
      <c r="F1031" s="3">
        <f>+'Invullen groen'!M1035</f>
        <v/>
      </c>
      <c r="G1031" s="3">
        <f>+'Invullen groen'!N1035</f>
        <v/>
      </c>
      <c r="H1031" s="3">
        <f>+'Invullen groen'!O1035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groen'!I1036</f>
        <v/>
      </c>
      <c r="E1032" s="3">
        <f>+'Invullen groen'!L1036</f>
        <v/>
      </c>
      <c r="F1032" s="3">
        <f>+'Invullen groen'!M1036</f>
        <v/>
      </c>
      <c r="G1032" s="3">
        <f>+'Invullen groen'!N1036</f>
        <v/>
      </c>
      <c r="H1032" s="3">
        <f>+'Invullen groen'!O1036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groen'!I1037</f>
        <v/>
      </c>
      <c r="E1033" s="3">
        <f>+'Invullen groen'!L1037</f>
        <v/>
      </c>
      <c r="F1033" s="3">
        <f>+'Invullen groen'!M1037</f>
        <v/>
      </c>
      <c r="G1033" s="3">
        <f>+'Invullen groen'!N1037</f>
        <v/>
      </c>
      <c r="H1033" s="3">
        <f>+'Invullen groen'!O1037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groen'!I1038</f>
        <v/>
      </c>
      <c r="E1034" s="3">
        <f>+'Invullen groen'!L1038</f>
        <v/>
      </c>
      <c r="F1034" s="3">
        <f>+'Invullen groen'!M1038</f>
        <v/>
      </c>
      <c r="G1034" s="3">
        <f>+'Invullen groen'!N1038</f>
        <v/>
      </c>
      <c r="H1034" s="3">
        <f>+'Invullen groen'!O1038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groen'!I1039</f>
        <v/>
      </c>
      <c r="E1035" s="3">
        <f>+'Invullen groen'!L1039</f>
        <v/>
      </c>
      <c r="F1035" s="3">
        <f>+'Invullen groen'!M1039</f>
        <v/>
      </c>
      <c r="G1035" s="3">
        <f>+'Invullen groen'!N1039</f>
        <v/>
      </c>
      <c r="H1035" s="3">
        <f>+'Invullen groen'!O1039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groen'!I1040</f>
        <v/>
      </c>
      <c r="E1036" s="3">
        <f>+'Invullen groen'!L1040</f>
        <v/>
      </c>
      <c r="F1036" s="3">
        <f>+'Invullen groen'!M1040</f>
        <v/>
      </c>
      <c r="G1036" s="3">
        <f>+'Invullen groen'!N1040</f>
        <v/>
      </c>
      <c r="H1036" s="3">
        <f>+'Invullen groen'!O1040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groen'!I1041</f>
        <v/>
      </c>
      <c r="E1037" s="3">
        <f>+'Invullen groen'!L1041</f>
        <v/>
      </c>
      <c r="F1037" s="3">
        <f>+'Invullen groen'!M1041</f>
        <v/>
      </c>
      <c r="G1037" s="3">
        <f>+'Invullen groen'!N1041</f>
        <v/>
      </c>
      <c r="H1037" s="3">
        <f>+'Invullen groen'!O1041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groen'!I1042</f>
        <v/>
      </c>
      <c r="E1038" s="3">
        <f>+'Invullen groen'!L1042</f>
        <v/>
      </c>
      <c r="F1038" s="3">
        <f>+'Invullen groen'!M1042</f>
        <v/>
      </c>
      <c r="G1038" s="3">
        <f>+'Invullen groen'!N1042</f>
        <v/>
      </c>
      <c r="H1038" s="3">
        <f>+'Invullen groen'!O1042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groen'!I1043</f>
        <v/>
      </c>
      <c r="E1039" s="3">
        <f>+'Invullen groen'!L1043</f>
        <v/>
      </c>
      <c r="F1039" s="3">
        <f>+'Invullen groen'!M1043</f>
        <v/>
      </c>
      <c r="G1039" s="3">
        <f>+'Invullen groen'!N1043</f>
        <v/>
      </c>
      <c r="H1039" s="3">
        <f>+'Invullen groen'!O1043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groen'!I1044</f>
        <v/>
      </c>
      <c r="E1040" s="3">
        <f>+'Invullen groen'!L1044</f>
        <v/>
      </c>
      <c r="F1040" s="3">
        <f>+'Invullen groen'!M1044</f>
        <v/>
      </c>
      <c r="G1040" s="3">
        <f>+'Invullen groen'!N1044</f>
        <v/>
      </c>
      <c r="H1040" s="3">
        <f>+'Invullen groen'!O1044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groen'!I1045</f>
        <v/>
      </c>
      <c r="E1041" s="3">
        <f>+'Invullen groen'!L1045</f>
        <v/>
      </c>
      <c r="F1041" s="3">
        <f>+'Invullen groen'!M1045</f>
        <v/>
      </c>
      <c r="G1041" s="3">
        <f>+'Invullen groen'!N1045</f>
        <v/>
      </c>
      <c r="H1041" s="3">
        <f>+'Invullen groen'!O1045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groen'!I1046</f>
        <v/>
      </c>
      <c r="E1042" s="3">
        <f>+'Invullen groen'!L1046</f>
        <v/>
      </c>
      <c r="F1042" s="3">
        <f>+'Invullen groen'!M1046</f>
        <v/>
      </c>
      <c r="G1042" s="3">
        <f>+'Invullen groen'!N1046</f>
        <v/>
      </c>
      <c r="H1042" s="3">
        <f>+'Invullen groen'!O1046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groen'!I1047</f>
        <v/>
      </c>
      <c r="E1043" s="3">
        <f>+'Invullen groen'!L1047</f>
        <v/>
      </c>
      <c r="F1043" s="3">
        <f>+'Invullen groen'!M1047</f>
        <v/>
      </c>
      <c r="G1043" s="3">
        <f>+'Invullen groen'!N1047</f>
        <v/>
      </c>
      <c r="H1043" s="3">
        <f>+'Invullen groen'!O1047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groen'!I1048</f>
        <v/>
      </c>
      <c r="E1044" s="3">
        <f>+'Invullen groen'!L1048</f>
        <v/>
      </c>
      <c r="F1044" s="3">
        <f>+'Invullen groen'!M1048</f>
        <v/>
      </c>
      <c r="G1044" s="3">
        <f>+'Invullen groen'!N1048</f>
        <v/>
      </c>
      <c r="H1044" s="3">
        <f>+'Invullen groen'!O1048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groen'!I1049</f>
        <v/>
      </c>
      <c r="E1045" s="3">
        <f>+'Invullen groen'!L1049</f>
        <v/>
      </c>
      <c r="F1045" s="3">
        <f>+'Invullen groen'!M1049</f>
        <v/>
      </c>
      <c r="G1045" s="3">
        <f>+'Invullen groen'!N1049</f>
        <v/>
      </c>
      <c r="H1045" s="3">
        <f>+'Invullen groen'!O1049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groen'!I1050</f>
        <v/>
      </c>
      <c r="E1046" s="3">
        <f>+'Invullen groen'!L1050</f>
        <v/>
      </c>
      <c r="F1046" s="3">
        <f>+'Invullen groen'!M1050</f>
        <v/>
      </c>
      <c r="G1046" s="3">
        <f>+'Invullen groen'!N1050</f>
        <v/>
      </c>
      <c r="H1046" s="3">
        <f>+'Invullen groen'!O1050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groen'!I1051</f>
        <v/>
      </c>
      <c r="E1047" s="3">
        <f>+'Invullen groen'!L1051</f>
        <v/>
      </c>
      <c r="F1047" s="3">
        <f>+'Invullen groen'!M1051</f>
        <v/>
      </c>
      <c r="G1047" s="3">
        <f>+'Invullen groen'!N1051</f>
        <v/>
      </c>
      <c r="H1047" s="3">
        <f>+'Invullen groen'!O1051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groen'!I1052</f>
        <v/>
      </c>
      <c r="E1048" s="3">
        <f>+'Invullen groen'!L1052</f>
        <v/>
      </c>
      <c r="F1048" s="3">
        <f>+'Invullen groen'!M1052</f>
        <v/>
      </c>
      <c r="G1048" s="3">
        <f>+'Invullen groen'!N1052</f>
        <v/>
      </c>
      <c r="H1048" s="3">
        <f>+'Invullen groen'!O1052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groen'!I1053</f>
        <v/>
      </c>
      <c r="E1049" s="3">
        <f>+'Invullen groen'!L1053</f>
        <v/>
      </c>
      <c r="F1049" s="3">
        <f>+'Invullen groen'!M1053</f>
        <v/>
      </c>
      <c r="G1049" s="3">
        <f>+'Invullen groen'!N1053</f>
        <v/>
      </c>
      <c r="H1049" s="3">
        <f>+'Invullen groen'!O1053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groen'!I1054</f>
        <v/>
      </c>
      <c r="E1050" s="3">
        <f>+'Invullen groen'!L1054</f>
        <v/>
      </c>
      <c r="F1050" s="3">
        <f>+'Invullen groen'!M1054</f>
        <v/>
      </c>
      <c r="G1050" s="3">
        <f>+'Invullen groen'!N1054</f>
        <v/>
      </c>
      <c r="H1050" s="3">
        <f>+'Invullen groen'!O1054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groen'!I1055</f>
        <v/>
      </c>
      <c r="E1051" s="3">
        <f>+'Invullen groen'!L1055</f>
        <v/>
      </c>
      <c r="F1051" s="3">
        <f>+'Invullen groen'!M1055</f>
        <v/>
      </c>
      <c r="G1051" s="3">
        <f>+'Invullen groen'!N1055</f>
        <v/>
      </c>
      <c r="H1051" s="3">
        <f>+'Invullen groen'!O1055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groen'!I1056</f>
        <v/>
      </c>
      <c r="E1052" s="3">
        <f>+'Invullen groen'!L1056</f>
        <v/>
      </c>
      <c r="F1052" s="3">
        <f>+'Invullen groen'!M1056</f>
        <v/>
      </c>
      <c r="G1052" s="3">
        <f>+'Invullen groen'!N1056</f>
        <v/>
      </c>
      <c r="H1052" s="3">
        <f>+'Invullen groen'!O1056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groen'!I1057</f>
        <v/>
      </c>
      <c r="E1053" s="3">
        <f>+'Invullen groen'!L1057</f>
        <v/>
      </c>
      <c r="F1053" s="3">
        <f>+'Invullen groen'!M1057</f>
        <v/>
      </c>
      <c r="G1053" s="3">
        <f>+'Invullen groen'!N1057</f>
        <v/>
      </c>
      <c r="H1053" s="3">
        <f>+'Invullen groen'!O1057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groen'!I1058</f>
        <v/>
      </c>
      <c r="E1054" s="3">
        <f>+'Invullen groen'!L1058</f>
        <v/>
      </c>
      <c r="F1054" s="3">
        <f>+'Invullen groen'!M1058</f>
        <v/>
      </c>
      <c r="G1054" s="3">
        <f>+'Invullen groen'!N1058</f>
        <v/>
      </c>
      <c r="H1054" s="3">
        <f>+'Invullen groen'!O1058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groen'!I1059</f>
        <v/>
      </c>
      <c r="E1055" s="3">
        <f>+'Invullen groen'!L1059</f>
        <v/>
      </c>
      <c r="F1055" s="3">
        <f>+'Invullen groen'!M1059</f>
        <v/>
      </c>
      <c r="G1055" s="3">
        <f>+'Invullen groen'!N1059</f>
        <v/>
      </c>
      <c r="H1055" s="3">
        <f>+'Invullen groen'!O1059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groen'!I1060</f>
        <v/>
      </c>
      <c r="E1056" s="3">
        <f>+'Invullen groen'!L1060</f>
        <v/>
      </c>
      <c r="F1056" s="3">
        <f>+'Invullen groen'!M1060</f>
        <v/>
      </c>
      <c r="G1056" s="3">
        <f>+'Invullen groen'!N1060</f>
        <v/>
      </c>
      <c r="H1056" s="3">
        <f>+'Invullen groen'!O1060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groen'!I1061</f>
        <v/>
      </c>
      <c r="E1057" s="3">
        <f>+'Invullen groen'!L1061</f>
        <v/>
      </c>
      <c r="F1057" s="3">
        <f>+'Invullen groen'!M1061</f>
        <v/>
      </c>
      <c r="G1057" s="3">
        <f>+'Invullen groen'!N1061</f>
        <v/>
      </c>
      <c r="H1057" s="3">
        <f>+'Invullen groen'!O1061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groen'!I1062</f>
        <v/>
      </c>
      <c r="E1058" s="3">
        <f>+'Invullen groen'!L1062</f>
        <v/>
      </c>
      <c r="F1058" s="3">
        <f>+'Invullen groen'!M1062</f>
        <v/>
      </c>
      <c r="G1058" s="3">
        <f>+'Invullen groen'!N1062</f>
        <v/>
      </c>
      <c r="H1058" s="3">
        <f>+'Invullen groen'!O1062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groen'!I1063</f>
        <v/>
      </c>
      <c r="E1059" s="3">
        <f>+'Invullen groen'!L1063</f>
        <v/>
      </c>
      <c r="F1059" s="3">
        <f>+'Invullen groen'!M1063</f>
        <v/>
      </c>
      <c r="G1059" s="3">
        <f>+'Invullen groen'!N1063</f>
        <v/>
      </c>
      <c r="H1059" s="3">
        <f>+'Invullen groen'!O1063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groen'!I1064</f>
        <v/>
      </c>
      <c r="E1060" s="3">
        <f>+'Invullen groen'!L1064</f>
        <v/>
      </c>
      <c r="F1060" s="3">
        <f>+'Invullen groen'!M1064</f>
        <v/>
      </c>
      <c r="G1060" s="3">
        <f>+'Invullen groen'!N1064</f>
        <v/>
      </c>
      <c r="H1060" s="3">
        <f>+'Invullen groen'!O1064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groen'!I1065</f>
        <v/>
      </c>
      <c r="E1061" s="3">
        <f>+'Invullen groen'!L1065</f>
        <v/>
      </c>
      <c r="F1061" s="3">
        <f>+'Invullen groen'!M1065</f>
        <v/>
      </c>
      <c r="G1061" s="3">
        <f>+'Invullen groen'!N1065</f>
        <v/>
      </c>
      <c r="H1061" s="3">
        <f>+'Invullen groen'!O1065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groen'!I1066</f>
        <v/>
      </c>
      <c r="E1062" s="3">
        <f>+'Invullen groen'!L1066</f>
        <v/>
      </c>
      <c r="F1062" s="3">
        <f>+'Invullen groen'!M1066</f>
        <v/>
      </c>
      <c r="G1062" s="3">
        <f>+'Invullen groen'!N1066</f>
        <v/>
      </c>
      <c r="H1062" s="3">
        <f>+'Invullen groen'!O1066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groen'!I1067</f>
        <v/>
      </c>
      <c r="E1063" s="3">
        <f>+'Invullen groen'!L1067</f>
        <v/>
      </c>
      <c r="F1063" s="3">
        <f>+'Invullen groen'!M1067</f>
        <v/>
      </c>
      <c r="G1063" s="3">
        <f>+'Invullen groen'!N1067</f>
        <v/>
      </c>
      <c r="H1063" s="3">
        <f>+'Invullen groen'!O1067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groen'!I1068</f>
        <v/>
      </c>
      <c r="E1064" s="3">
        <f>+'Invullen groen'!L1068</f>
        <v/>
      </c>
      <c r="F1064" s="3">
        <f>+'Invullen groen'!M1068</f>
        <v/>
      </c>
      <c r="G1064" s="3">
        <f>+'Invullen groen'!N1068</f>
        <v/>
      </c>
      <c r="H1064" s="3">
        <f>+'Invullen groen'!O1068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groen'!I1069</f>
        <v/>
      </c>
      <c r="E1065" s="3">
        <f>+'Invullen groen'!L1069</f>
        <v/>
      </c>
      <c r="F1065" s="3">
        <f>+'Invullen groen'!M1069</f>
        <v/>
      </c>
      <c r="G1065" s="3">
        <f>+'Invullen groen'!N1069</f>
        <v/>
      </c>
      <c r="H1065" s="3">
        <f>+'Invullen groen'!O1069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groen'!I1070</f>
        <v/>
      </c>
      <c r="E1066" s="3">
        <f>+'Invullen groen'!L1070</f>
        <v/>
      </c>
      <c r="F1066" s="3">
        <f>+'Invullen groen'!M1070</f>
        <v/>
      </c>
      <c r="G1066" s="3">
        <f>+'Invullen groen'!N1070</f>
        <v/>
      </c>
      <c r="H1066" s="3">
        <f>+'Invullen groen'!O1070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groen'!I1071</f>
        <v/>
      </c>
      <c r="E1067" s="3">
        <f>+'Invullen groen'!L1071</f>
        <v/>
      </c>
      <c r="F1067" s="3">
        <f>+'Invullen groen'!M1071</f>
        <v/>
      </c>
      <c r="G1067" s="3">
        <f>+'Invullen groen'!N1071</f>
        <v/>
      </c>
      <c r="H1067" s="3">
        <f>+'Invullen groen'!O1071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groen'!I1072</f>
        <v/>
      </c>
      <c r="E1068" s="3">
        <f>+'Invullen groen'!L1072</f>
        <v/>
      </c>
      <c r="F1068" s="3">
        <f>+'Invullen groen'!M1072</f>
        <v/>
      </c>
      <c r="G1068" s="3">
        <f>+'Invullen groen'!N1072</f>
        <v/>
      </c>
      <c r="H1068" s="3">
        <f>+'Invullen groen'!O1072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groen'!I1073</f>
        <v/>
      </c>
      <c r="E1069" s="3">
        <f>+'Invullen groen'!L1073</f>
        <v/>
      </c>
      <c r="F1069" s="3">
        <f>+'Invullen groen'!M1073</f>
        <v/>
      </c>
      <c r="G1069" s="3">
        <f>+'Invullen groen'!N1073</f>
        <v/>
      </c>
      <c r="H1069" s="3">
        <f>+'Invullen groen'!O1073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groen'!I1074</f>
        <v/>
      </c>
      <c r="E1070" s="3">
        <f>+'Invullen groen'!L1074</f>
        <v/>
      </c>
      <c r="F1070" s="3">
        <f>+'Invullen groen'!M1074</f>
        <v/>
      </c>
      <c r="G1070" s="3">
        <f>+'Invullen groen'!N1074</f>
        <v/>
      </c>
      <c r="H1070" s="3">
        <f>+'Invullen groen'!O1074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groen'!I1075</f>
        <v/>
      </c>
      <c r="E1071" s="3">
        <f>+'Invullen groen'!L1075</f>
        <v/>
      </c>
      <c r="F1071" s="3">
        <f>+'Invullen groen'!M1075</f>
        <v/>
      </c>
      <c r="G1071" s="3">
        <f>+'Invullen groen'!N1075</f>
        <v/>
      </c>
      <c r="H1071" s="3">
        <f>+'Invullen groen'!O1075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groen'!I1076</f>
        <v/>
      </c>
      <c r="E1072" s="3">
        <f>+'Invullen groen'!L1076</f>
        <v/>
      </c>
      <c r="F1072" s="3">
        <f>+'Invullen groen'!M1076</f>
        <v/>
      </c>
      <c r="G1072" s="3">
        <f>+'Invullen groen'!N1076</f>
        <v/>
      </c>
      <c r="H1072" s="3">
        <f>+'Invullen groen'!O1076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groen'!I1077</f>
        <v/>
      </c>
      <c r="E1073" s="3">
        <f>+'Invullen groen'!L1077</f>
        <v/>
      </c>
      <c r="F1073" s="3">
        <f>+'Invullen groen'!M1077</f>
        <v/>
      </c>
      <c r="G1073" s="3">
        <f>+'Invullen groen'!N1077</f>
        <v/>
      </c>
      <c r="H1073" s="3">
        <f>+'Invullen groen'!O1077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groen'!I1078</f>
        <v/>
      </c>
      <c r="E1074" s="3">
        <f>+'Invullen groen'!L1078</f>
        <v/>
      </c>
      <c r="F1074" s="3">
        <f>+'Invullen groen'!M1078</f>
        <v/>
      </c>
      <c r="G1074" s="3">
        <f>+'Invullen groen'!N1078</f>
        <v/>
      </c>
      <c r="H1074" s="3">
        <f>+'Invullen groen'!O1078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groen'!I1079</f>
        <v/>
      </c>
      <c r="E1075" s="3">
        <f>+'Invullen groen'!L1079</f>
        <v/>
      </c>
      <c r="F1075" s="3">
        <f>+'Invullen groen'!M1079</f>
        <v/>
      </c>
      <c r="G1075" s="3">
        <f>+'Invullen groen'!N1079</f>
        <v/>
      </c>
      <c r="H1075" s="3">
        <f>+'Invullen groen'!O1079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groen'!I1080</f>
        <v/>
      </c>
      <c r="E1076" s="3">
        <f>+'Invullen groen'!L1080</f>
        <v/>
      </c>
      <c r="F1076" s="3">
        <f>+'Invullen groen'!M1080</f>
        <v/>
      </c>
      <c r="G1076" s="3">
        <f>+'Invullen groen'!N1080</f>
        <v/>
      </c>
      <c r="H1076" s="3">
        <f>+'Invullen groen'!O1080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groen'!I1081</f>
        <v/>
      </c>
      <c r="E1077" s="3">
        <f>+'Invullen groen'!L1081</f>
        <v/>
      </c>
      <c r="F1077" s="3">
        <f>+'Invullen groen'!M1081</f>
        <v/>
      </c>
      <c r="G1077" s="3">
        <f>+'Invullen groen'!N1081</f>
        <v/>
      </c>
      <c r="H1077" s="3">
        <f>+'Invullen groen'!O1081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groen'!I1082</f>
        <v/>
      </c>
      <c r="E1078" s="3">
        <f>+'Invullen groen'!L1082</f>
        <v/>
      </c>
      <c r="F1078" s="3">
        <f>+'Invullen groen'!M1082</f>
        <v/>
      </c>
      <c r="G1078" s="3">
        <f>+'Invullen groen'!N1082</f>
        <v/>
      </c>
      <c r="H1078" s="3">
        <f>+'Invullen groen'!O1082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groen'!I1083</f>
        <v/>
      </c>
      <c r="E1079" s="3">
        <f>+'Invullen groen'!L1083</f>
        <v/>
      </c>
      <c r="F1079" s="3">
        <f>+'Invullen groen'!M1083</f>
        <v/>
      </c>
      <c r="G1079" s="3">
        <f>+'Invullen groen'!N1083</f>
        <v/>
      </c>
      <c r="H1079" s="3">
        <f>+'Invullen groen'!O1083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groen'!I1084</f>
        <v/>
      </c>
      <c r="E1080" s="3">
        <f>+'Invullen groen'!L1084</f>
        <v/>
      </c>
      <c r="F1080" s="3">
        <f>+'Invullen groen'!M1084</f>
        <v/>
      </c>
      <c r="G1080" s="3">
        <f>+'Invullen groen'!N1084</f>
        <v/>
      </c>
      <c r="H1080" s="3">
        <f>+'Invullen groen'!O1084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groen'!I1085</f>
        <v/>
      </c>
      <c r="E1081" s="3">
        <f>+'Invullen groen'!L1085</f>
        <v/>
      </c>
      <c r="F1081" s="3">
        <f>+'Invullen groen'!M1085</f>
        <v/>
      </c>
      <c r="G1081" s="3">
        <f>+'Invullen groen'!N1085</f>
        <v/>
      </c>
      <c r="H1081" s="3">
        <f>+'Invullen groen'!O1085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groen'!I1086</f>
        <v/>
      </c>
      <c r="E1082" s="3">
        <f>+'Invullen groen'!L1086</f>
        <v/>
      </c>
      <c r="F1082" s="3">
        <f>+'Invullen groen'!M1086</f>
        <v/>
      </c>
      <c r="G1082" s="3">
        <f>+'Invullen groen'!N1086</f>
        <v/>
      </c>
      <c r="H1082" s="3">
        <f>+'Invullen groen'!O1086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groen'!I1087</f>
        <v/>
      </c>
      <c r="E1083" s="3">
        <f>+'Invullen groen'!L1087</f>
        <v/>
      </c>
      <c r="F1083" s="3">
        <f>+'Invullen groen'!M1087</f>
        <v/>
      </c>
      <c r="G1083" s="3">
        <f>+'Invullen groen'!N1087</f>
        <v/>
      </c>
      <c r="H1083" s="3">
        <f>+'Invullen groen'!O1087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groen'!I1088</f>
        <v/>
      </c>
      <c r="E1084" s="3">
        <f>+'Invullen groen'!L1088</f>
        <v/>
      </c>
      <c r="F1084" s="3">
        <f>+'Invullen groen'!M1088</f>
        <v/>
      </c>
      <c r="G1084" s="3">
        <f>+'Invullen groen'!N1088</f>
        <v/>
      </c>
      <c r="H1084" s="3">
        <f>+'Invullen groen'!O1088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groen'!I1089</f>
        <v/>
      </c>
      <c r="E1085" s="3">
        <f>+'Invullen groen'!L1089</f>
        <v/>
      </c>
      <c r="F1085" s="3">
        <f>+'Invullen groen'!M1089</f>
        <v/>
      </c>
      <c r="G1085" s="3">
        <f>+'Invullen groen'!N1089</f>
        <v/>
      </c>
      <c r="H1085" s="3">
        <f>+'Invullen groen'!O1089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groen'!I1090</f>
        <v/>
      </c>
      <c r="E1086" s="3">
        <f>+'Invullen groen'!L1090</f>
        <v/>
      </c>
      <c r="F1086" s="3">
        <f>+'Invullen groen'!M1090</f>
        <v/>
      </c>
      <c r="G1086" s="3">
        <f>+'Invullen groen'!N1090</f>
        <v/>
      </c>
      <c r="H1086" s="3">
        <f>+'Invullen groen'!O1090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groen'!I1091</f>
        <v/>
      </c>
      <c r="E1087" s="3">
        <f>+'Invullen groen'!L1091</f>
        <v/>
      </c>
      <c r="F1087" s="3">
        <f>+'Invullen groen'!M1091</f>
        <v/>
      </c>
      <c r="G1087" s="3">
        <f>+'Invullen groen'!N1091</f>
        <v/>
      </c>
      <c r="H1087" s="3">
        <f>+'Invullen groen'!O1091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groen'!I1092</f>
        <v/>
      </c>
      <c r="E1088" s="3">
        <f>+'Invullen groen'!L1092</f>
        <v/>
      </c>
      <c r="F1088" s="3">
        <f>+'Invullen groen'!M1092</f>
        <v/>
      </c>
      <c r="G1088" s="3">
        <f>+'Invullen groen'!N1092</f>
        <v/>
      </c>
      <c r="H1088" s="3">
        <f>+'Invullen groen'!O1092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groen'!I1093</f>
        <v/>
      </c>
      <c r="E1089" s="3">
        <f>+'Invullen groen'!L1093</f>
        <v/>
      </c>
      <c r="F1089" s="3">
        <f>+'Invullen groen'!M1093</f>
        <v/>
      </c>
      <c r="G1089" s="3">
        <f>+'Invullen groen'!N1093</f>
        <v/>
      </c>
      <c r="H1089" s="3">
        <f>+'Invullen groen'!O1093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groen'!I1094</f>
        <v/>
      </c>
      <c r="E1090" s="3">
        <f>+'Invullen groen'!L1094</f>
        <v/>
      </c>
      <c r="F1090" s="3">
        <f>+'Invullen groen'!M1094</f>
        <v/>
      </c>
      <c r="G1090" s="3">
        <f>+'Invullen groen'!N1094</f>
        <v/>
      </c>
      <c r="H1090" s="3">
        <f>+'Invullen groen'!O1094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groen'!I1095</f>
        <v/>
      </c>
      <c r="E1091" s="3">
        <f>+'Invullen groen'!L1095</f>
        <v/>
      </c>
      <c r="F1091" s="3">
        <f>+'Invullen groen'!M1095</f>
        <v/>
      </c>
      <c r="G1091" s="3">
        <f>+'Invullen groen'!N1095</f>
        <v/>
      </c>
      <c r="H1091" s="3">
        <f>+'Invullen groen'!O1095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groen'!I1096</f>
        <v/>
      </c>
      <c r="E1092" s="3">
        <f>+'Invullen groen'!L1096</f>
        <v/>
      </c>
      <c r="F1092" s="3">
        <f>+'Invullen groen'!M1096</f>
        <v/>
      </c>
      <c r="G1092" s="3">
        <f>+'Invullen groen'!N1096</f>
        <v/>
      </c>
      <c r="H1092" s="3">
        <f>+'Invullen groen'!O1096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groen'!I1097</f>
        <v/>
      </c>
      <c r="E1093" s="3">
        <f>+'Invullen groen'!L1097</f>
        <v/>
      </c>
      <c r="F1093" s="3">
        <f>+'Invullen groen'!M1097</f>
        <v/>
      </c>
      <c r="G1093" s="3">
        <f>+'Invullen groen'!N1097</f>
        <v/>
      </c>
      <c r="H1093" s="3">
        <f>+'Invullen groen'!O1097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groen'!I1098</f>
        <v/>
      </c>
      <c r="E1094" s="3">
        <f>+'Invullen groen'!L1098</f>
        <v/>
      </c>
      <c r="F1094" s="3">
        <f>+'Invullen groen'!M1098</f>
        <v/>
      </c>
      <c r="G1094" s="3">
        <f>+'Invullen groen'!N1098</f>
        <v/>
      </c>
      <c r="H1094" s="3">
        <f>+'Invullen groen'!O1098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groen'!I1099</f>
        <v/>
      </c>
      <c r="E1095" s="3">
        <f>+'Invullen groen'!L1099</f>
        <v/>
      </c>
      <c r="F1095" s="3">
        <f>+'Invullen groen'!M1099</f>
        <v/>
      </c>
      <c r="G1095" s="3">
        <f>+'Invullen groen'!N1099</f>
        <v/>
      </c>
      <c r="H1095" s="3">
        <f>+'Invullen groen'!O1099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groen'!I1100</f>
        <v/>
      </c>
      <c r="E1096" s="3">
        <f>+'Invullen groen'!L1100</f>
        <v/>
      </c>
      <c r="F1096" s="3">
        <f>+'Invullen groen'!M1100</f>
        <v/>
      </c>
      <c r="G1096" s="3">
        <f>+'Invullen groen'!N1100</f>
        <v/>
      </c>
      <c r="H1096" s="3">
        <f>+'Invullen groen'!O1100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groen'!I1101</f>
        <v/>
      </c>
      <c r="E1097" s="3">
        <f>+'Invullen groen'!L1101</f>
        <v/>
      </c>
      <c r="F1097" s="3">
        <f>+'Invullen groen'!M1101</f>
        <v/>
      </c>
      <c r="G1097" s="3">
        <f>+'Invullen groen'!N1101</f>
        <v/>
      </c>
      <c r="H1097" s="3">
        <f>+'Invullen groen'!O1101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groen'!I1102</f>
        <v/>
      </c>
      <c r="E1098" s="3">
        <f>+'Invullen groen'!L1102</f>
        <v/>
      </c>
      <c r="F1098" s="3">
        <f>+'Invullen groen'!M1102</f>
        <v/>
      </c>
      <c r="G1098" s="3">
        <f>+'Invullen groen'!N1102</f>
        <v/>
      </c>
      <c r="H1098" s="3">
        <f>+'Invullen groen'!O1102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groen'!I1103</f>
        <v/>
      </c>
      <c r="E1099" s="3">
        <f>+'Invullen groen'!L1103</f>
        <v/>
      </c>
      <c r="F1099" s="3">
        <f>+'Invullen groen'!M1103</f>
        <v/>
      </c>
      <c r="G1099" s="3">
        <f>+'Invullen groen'!N1103</f>
        <v/>
      </c>
      <c r="H1099" s="3">
        <f>+'Invullen groen'!O1103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groen'!I1104</f>
        <v/>
      </c>
      <c r="E1100" s="3">
        <f>+'Invullen groen'!L1104</f>
        <v/>
      </c>
      <c r="F1100" s="3">
        <f>+'Invullen groen'!M1104</f>
        <v/>
      </c>
      <c r="G1100" s="3">
        <f>+'Invullen groen'!N1104</f>
        <v/>
      </c>
      <c r="H1100" s="3">
        <f>+'Invullen groen'!O1104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groen'!I1105</f>
        <v/>
      </c>
      <c r="E1101" s="3">
        <f>+'Invullen groen'!L1105</f>
        <v/>
      </c>
      <c r="F1101" s="3">
        <f>+'Invullen groen'!M1105</f>
        <v/>
      </c>
      <c r="G1101" s="3">
        <f>+'Invullen groen'!N1105</f>
        <v/>
      </c>
      <c r="H1101" s="3">
        <f>+'Invullen groen'!O1105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groen'!I1106</f>
        <v/>
      </c>
      <c r="E1102" s="3">
        <f>+'Invullen groen'!L1106</f>
        <v/>
      </c>
      <c r="F1102" s="3">
        <f>+'Invullen groen'!M1106</f>
        <v/>
      </c>
      <c r="G1102" s="3">
        <f>+'Invullen groen'!N1106</f>
        <v/>
      </c>
      <c r="H1102" s="3">
        <f>+'Invullen groen'!O1106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groen'!I1107</f>
        <v/>
      </c>
      <c r="E1103" s="3">
        <f>+'Invullen groen'!L1107</f>
        <v/>
      </c>
      <c r="F1103" s="3">
        <f>+'Invullen groen'!M1107</f>
        <v/>
      </c>
      <c r="G1103" s="3">
        <f>+'Invullen groen'!N1107</f>
        <v/>
      </c>
      <c r="H1103" s="3">
        <f>+'Invullen groen'!O1107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groen'!I1108</f>
        <v/>
      </c>
      <c r="E1104" s="3">
        <f>+'Invullen groen'!L1108</f>
        <v/>
      </c>
      <c r="F1104" s="3">
        <f>+'Invullen groen'!M1108</f>
        <v/>
      </c>
      <c r="G1104" s="3">
        <f>+'Invullen groen'!N1108</f>
        <v/>
      </c>
      <c r="H1104" s="3">
        <f>+'Invullen groen'!O1108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groen'!I1109</f>
        <v/>
      </c>
      <c r="E1105" s="3">
        <f>+'Invullen groen'!L1109</f>
        <v/>
      </c>
      <c r="F1105" s="3">
        <f>+'Invullen groen'!M1109</f>
        <v/>
      </c>
      <c r="G1105" s="3">
        <f>+'Invullen groen'!N1109</f>
        <v/>
      </c>
      <c r="H1105" s="3">
        <f>+'Invullen groen'!O1109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groen'!I1110</f>
        <v/>
      </c>
      <c r="E1106" s="3">
        <f>+'Invullen groen'!L1110</f>
        <v/>
      </c>
      <c r="F1106" s="3">
        <f>+'Invullen groen'!M1110</f>
        <v/>
      </c>
      <c r="G1106" s="3">
        <f>+'Invullen groen'!N1110</f>
        <v/>
      </c>
      <c r="H1106" s="3">
        <f>+'Invullen groen'!O1110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groen'!I1111</f>
        <v/>
      </c>
      <c r="E1107" s="3">
        <f>+'Invullen groen'!L1111</f>
        <v/>
      </c>
      <c r="F1107" s="3">
        <f>+'Invullen groen'!M1111</f>
        <v/>
      </c>
      <c r="G1107" s="3">
        <f>+'Invullen groen'!N1111</f>
        <v/>
      </c>
      <c r="H1107" s="3">
        <f>+'Invullen groen'!O1111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groen'!I1112</f>
        <v/>
      </c>
      <c r="E1108" s="3">
        <f>+'Invullen groen'!L1112</f>
        <v/>
      </c>
      <c r="F1108" s="3">
        <f>+'Invullen groen'!M1112</f>
        <v/>
      </c>
      <c r="G1108" s="3">
        <f>+'Invullen groen'!N1112</f>
        <v/>
      </c>
      <c r="H1108" s="3">
        <f>+'Invullen groen'!O1112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groen'!I1113</f>
        <v/>
      </c>
      <c r="E1109" s="3">
        <f>+'Invullen groen'!L1113</f>
        <v/>
      </c>
      <c r="F1109" s="3">
        <f>+'Invullen groen'!M1113</f>
        <v/>
      </c>
      <c r="G1109" s="3">
        <f>+'Invullen groen'!N1113</f>
        <v/>
      </c>
      <c r="H1109" s="3">
        <f>+'Invullen groen'!O1113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groen'!I1114</f>
        <v/>
      </c>
      <c r="E1110" s="3">
        <f>+'Invullen groen'!L1114</f>
        <v/>
      </c>
      <c r="F1110" s="3">
        <f>+'Invullen groen'!M1114</f>
        <v/>
      </c>
      <c r="G1110" s="3">
        <f>+'Invullen groen'!N1114</f>
        <v/>
      </c>
      <c r="H1110" s="3">
        <f>+'Invullen groen'!O1114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groen'!I1115</f>
        <v/>
      </c>
      <c r="E1111" s="3">
        <f>+'Invullen groen'!L1115</f>
        <v/>
      </c>
      <c r="F1111" s="3">
        <f>+'Invullen groen'!M1115</f>
        <v/>
      </c>
      <c r="G1111" s="3">
        <f>+'Invullen groen'!N1115</f>
        <v/>
      </c>
      <c r="H1111" s="3">
        <f>+'Invullen groen'!O1115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groen'!I1116</f>
        <v/>
      </c>
      <c r="E1112" s="3">
        <f>+'Invullen groen'!L1116</f>
        <v/>
      </c>
      <c r="F1112" s="3">
        <f>+'Invullen groen'!M1116</f>
        <v/>
      </c>
      <c r="G1112" s="3">
        <f>+'Invullen groen'!N1116</f>
        <v/>
      </c>
      <c r="H1112" s="3">
        <f>+'Invullen groen'!O1116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groen'!I1117</f>
        <v/>
      </c>
      <c r="E1113" s="3">
        <f>+'Invullen groen'!L1117</f>
        <v/>
      </c>
      <c r="F1113" s="3">
        <f>+'Invullen groen'!M1117</f>
        <v/>
      </c>
      <c r="G1113" s="3">
        <f>+'Invullen groen'!N1117</f>
        <v/>
      </c>
      <c r="H1113" s="3">
        <f>+'Invullen groen'!O1117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groen'!I1118</f>
        <v/>
      </c>
      <c r="E1114" s="3">
        <f>+'Invullen groen'!L1118</f>
        <v/>
      </c>
      <c r="F1114" s="3">
        <f>+'Invullen groen'!M1118</f>
        <v/>
      </c>
      <c r="G1114" s="3">
        <f>+'Invullen groen'!N1118</f>
        <v/>
      </c>
      <c r="H1114" s="3">
        <f>+'Invullen groen'!O1118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groen'!I1119</f>
        <v/>
      </c>
      <c r="E1115" s="3">
        <f>+'Invullen groen'!L1119</f>
        <v/>
      </c>
      <c r="F1115" s="3">
        <f>+'Invullen groen'!M1119</f>
        <v/>
      </c>
      <c r="G1115" s="3">
        <f>+'Invullen groen'!N1119</f>
        <v/>
      </c>
      <c r="H1115" s="3">
        <f>+'Invullen groen'!O1119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groen'!I1120</f>
        <v/>
      </c>
      <c r="E1116" s="3">
        <f>+'Invullen groen'!L1120</f>
        <v/>
      </c>
      <c r="F1116" s="3">
        <f>+'Invullen groen'!M1120</f>
        <v/>
      </c>
      <c r="G1116" s="3">
        <f>+'Invullen groen'!N1120</f>
        <v/>
      </c>
      <c r="H1116" s="3">
        <f>+'Invullen groen'!O1120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groen'!I1121</f>
        <v/>
      </c>
      <c r="E1117" s="3">
        <f>+'Invullen groen'!L1121</f>
        <v/>
      </c>
      <c r="F1117" s="3">
        <f>+'Invullen groen'!M1121</f>
        <v/>
      </c>
      <c r="G1117" s="3">
        <f>+'Invullen groen'!N1121</f>
        <v/>
      </c>
      <c r="H1117" s="3">
        <f>+'Invullen groen'!O1121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groen'!I1122</f>
        <v/>
      </c>
      <c r="E1118" s="3">
        <f>+'Invullen groen'!L1122</f>
        <v/>
      </c>
      <c r="F1118" s="3">
        <f>+'Invullen groen'!M1122</f>
        <v/>
      </c>
      <c r="G1118" s="3">
        <f>+'Invullen groen'!N1122</f>
        <v/>
      </c>
      <c r="H1118" s="3">
        <f>+'Invullen groen'!O1122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groen'!I1123</f>
        <v/>
      </c>
      <c r="E1119" s="3">
        <f>+'Invullen groen'!L1123</f>
        <v/>
      </c>
      <c r="F1119" s="3">
        <f>+'Invullen groen'!M1123</f>
        <v/>
      </c>
      <c r="G1119" s="3">
        <f>+'Invullen groen'!N1123</f>
        <v/>
      </c>
      <c r="H1119" s="3">
        <f>+'Invullen groen'!O1123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groen'!I1124</f>
        <v/>
      </c>
      <c r="E1120" s="3">
        <f>+'Invullen groen'!L1124</f>
        <v/>
      </c>
      <c r="F1120" s="3">
        <f>+'Invullen groen'!M1124</f>
        <v/>
      </c>
      <c r="G1120" s="3">
        <f>+'Invullen groen'!N1124</f>
        <v/>
      </c>
      <c r="H1120" s="3">
        <f>+'Invullen groen'!O1124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groen'!I1125</f>
        <v/>
      </c>
      <c r="E1121" s="3">
        <f>+'Invullen groen'!L1125</f>
        <v/>
      </c>
      <c r="F1121" s="3">
        <f>+'Invullen groen'!M1125</f>
        <v/>
      </c>
      <c r="G1121" s="3">
        <f>+'Invullen groen'!N1125</f>
        <v/>
      </c>
      <c r="H1121" s="3">
        <f>+'Invullen groen'!O1125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groen'!I1126</f>
        <v/>
      </c>
      <c r="E1122" s="3">
        <f>+'Invullen groen'!L1126</f>
        <v/>
      </c>
      <c r="F1122" s="3">
        <f>+'Invullen groen'!M1126</f>
        <v/>
      </c>
      <c r="G1122" s="3">
        <f>+'Invullen groen'!N1126</f>
        <v/>
      </c>
      <c r="H1122" s="3">
        <f>+'Invullen groen'!O1126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groen'!I1127</f>
        <v/>
      </c>
      <c r="E1123" s="3">
        <f>+'Invullen groen'!L1127</f>
        <v/>
      </c>
      <c r="F1123" s="3">
        <f>+'Invullen groen'!M1127</f>
        <v/>
      </c>
      <c r="G1123" s="3">
        <f>+'Invullen groen'!N1127</f>
        <v/>
      </c>
      <c r="H1123" s="3">
        <f>+'Invullen groen'!O1127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groen'!I1128</f>
        <v/>
      </c>
      <c r="E1124" s="3">
        <f>+'Invullen groen'!L1128</f>
        <v/>
      </c>
      <c r="F1124" s="3">
        <f>+'Invullen groen'!M1128</f>
        <v/>
      </c>
      <c r="G1124" s="3">
        <f>+'Invullen groen'!N1128</f>
        <v/>
      </c>
      <c r="H1124" s="3">
        <f>+'Invullen groen'!O1128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groen'!I1129</f>
        <v/>
      </c>
      <c r="E1125" s="3">
        <f>+'Invullen groen'!L1129</f>
        <v/>
      </c>
      <c r="F1125" s="3">
        <f>+'Invullen groen'!M1129</f>
        <v/>
      </c>
      <c r="G1125" s="3">
        <f>+'Invullen groen'!N1129</f>
        <v/>
      </c>
      <c r="H1125" s="3">
        <f>+'Invullen groen'!O1129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groen'!I1130</f>
        <v/>
      </c>
      <c r="E1126" s="3">
        <f>+'Invullen groen'!L1130</f>
        <v/>
      </c>
      <c r="F1126" s="3">
        <f>+'Invullen groen'!M1130</f>
        <v/>
      </c>
      <c r="G1126" s="3">
        <f>+'Invullen groen'!N1130</f>
        <v/>
      </c>
      <c r="H1126" s="3">
        <f>+'Invullen groen'!O1130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groen'!I1131</f>
        <v/>
      </c>
      <c r="E1127" s="3">
        <f>+'Invullen groen'!L1131</f>
        <v/>
      </c>
      <c r="F1127" s="3">
        <f>+'Invullen groen'!M1131</f>
        <v/>
      </c>
      <c r="G1127" s="3">
        <f>+'Invullen groen'!N1131</f>
        <v/>
      </c>
      <c r="H1127" s="3">
        <f>+'Invullen groen'!O1131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groen'!I1132</f>
        <v/>
      </c>
      <c r="E1128" s="3">
        <f>+'Invullen groen'!L1132</f>
        <v/>
      </c>
      <c r="F1128" s="3">
        <f>+'Invullen groen'!M1132</f>
        <v/>
      </c>
      <c r="G1128" s="3">
        <f>+'Invullen groen'!N1132</f>
        <v/>
      </c>
      <c r="H1128" s="3">
        <f>+'Invullen groen'!O1132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groen'!I1133</f>
        <v/>
      </c>
      <c r="E1129" s="3">
        <f>+'Invullen groen'!L1133</f>
        <v/>
      </c>
      <c r="F1129" s="3">
        <f>+'Invullen groen'!M1133</f>
        <v/>
      </c>
      <c r="G1129" s="3">
        <f>+'Invullen groen'!N1133</f>
        <v/>
      </c>
      <c r="H1129" s="3">
        <f>+'Invullen groen'!O1133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groen'!I1134</f>
        <v/>
      </c>
      <c r="E1130" s="3">
        <f>+'Invullen groen'!L1134</f>
        <v/>
      </c>
      <c r="F1130" s="3">
        <f>+'Invullen groen'!M1134</f>
        <v/>
      </c>
      <c r="G1130" s="3">
        <f>+'Invullen groen'!N1134</f>
        <v/>
      </c>
      <c r="H1130" s="3">
        <f>+'Invullen groen'!O1134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groen'!I1135</f>
        <v/>
      </c>
      <c r="E1131" s="3">
        <f>+'Invullen groen'!L1135</f>
        <v/>
      </c>
      <c r="F1131" s="3">
        <f>+'Invullen groen'!M1135</f>
        <v/>
      </c>
      <c r="G1131" s="3">
        <f>+'Invullen groen'!N1135</f>
        <v/>
      </c>
      <c r="H1131" s="3">
        <f>+'Invullen groen'!O1135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groen'!I1136</f>
        <v/>
      </c>
      <c r="E1132" s="3">
        <f>+'Invullen groen'!L1136</f>
        <v/>
      </c>
      <c r="F1132" s="3">
        <f>+'Invullen groen'!M1136</f>
        <v/>
      </c>
      <c r="G1132" s="3">
        <f>+'Invullen groen'!N1136</f>
        <v/>
      </c>
      <c r="H1132" s="3">
        <f>+'Invullen groen'!O1136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groen'!I1137</f>
        <v/>
      </c>
      <c r="E1133" s="3">
        <f>+'Invullen groen'!L1137</f>
        <v/>
      </c>
      <c r="F1133" s="3">
        <f>+'Invullen groen'!M1137</f>
        <v/>
      </c>
      <c r="G1133" s="3">
        <f>+'Invullen groen'!N1137</f>
        <v/>
      </c>
      <c r="H1133" s="3">
        <f>+'Invullen groen'!O1137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groen'!I1138</f>
        <v/>
      </c>
      <c r="E1134" s="3">
        <f>+'Invullen groen'!L1138</f>
        <v/>
      </c>
      <c r="F1134" s="3">
        <f>+'Invullen groen'!M1138</f>
        <v/>
      </c>
      <c r="G1134" s="3">
        <f>+'Invullen groen'!N1138</f>
        <v/>
      </c>
      <c r="H1134" s="3">
        <f>+'Invullen groen'!O1138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groen'!I1139</f>
        <v/>
      </c>
      <c r="E1135" s="3">
        <f>+'Invullen groen'!L1139</f>
        <v/>
      </c>
      <c r="F1135" s="3">
        <f>+'Invullen groen'!M1139</f>
        <v/>
      </c>
      <c r="G1135" s="3">
        <f>+'Invullen groen'!N1139</f>
        <v/>
      </c>
      <c r="H1135" s="3">
        <f>+'Invullen groen'!O1139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groen'!I1140</f>
        <v/>
      </c>
      <c r="E1136" s="3">
        <f>+'Invullen groen'!L1140</f>
        <v/>
      </c>
      <c r="F1136" s="3">
        <f>+'Invullen groen'!M1140</f>
        <v/>
      </c>
      <c r="G1136" s="3">
        <f>+'Invullen groen'!N1140</f>
        <v/>
      </c>
      <c r="H1136" s="3">
        <f>+'Invullen groen'!O1140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groen'!I1141</f>
        <v/>
      </c>
      <c r="E1137" s="3">
        <f>+'Invullen groen'!L1141</f>
        <v/>
      </c>
      <c r="F1137" s="3">
        <f>+'Invullen groen'!M1141</f>
        <v/>
      </c>
      <c r="G1137" s="3">
        <f>+'Invullen groen'!N1141</f>
        <v/>
      </c>
      <c r="H1137" s="3">
        <f>+'Invullen groen'!O1141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groen'!I1142</f>
        <v/>
      </c>
      <c r="E1138" s="3">
        <f>+'Invullen groen'!L1142</f>
        <v/>
      </c>
      <c r="F1138" s="3">
        <f>+'Invullen groen'!M1142</f>
        <v/>
      </c>
      <c r="G1138" s="3">
        <f>+'Invullen groen'!N1142</f>
        <v/>
      </c>
      <c r="H1138" s="3">
        <f>+'Invullen groen'!O1142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groen'!I1143</f>
        <v/>
      </c>
      <c r="E1139" s="3">
        <f>+'Invullen groen'!L1143</f>
        <v/>
      </c>
      <c r="F1139" s="3">
        <f>+'Invullen groen'!M1143</f>
        <v/>
      </c>
      <c r="G1139" s="3">
        <f>+'Invullen groen'!N1143</f>
        <v/>
      </c>
      <c r="H1139" s="3">
        <f>+'Invullen groen'!O1143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groen'!I1144</f>
        <v/>
      </c>
      <c r="E1140" s="3">
        <f>+'Invullen groen'!L1144</f>
        <v/>
      </c>
      <c r="F1140" s="3">
        <f>+'Invullen groen'!M1144</f>
        <v/>
      </c>
      <c r="G1140" s="3">
        <f>+'Invullen groen'!N1144</f>
        <v/>
      </c>
      <c r="H1140" s="3">
        <f>+'Invullen groen'!O1144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groen'!I1145</f>
        <v/>
      </c>
      <c r="E1141" s="3">
        <f>+'Invullen groen'!L1145</f>
        <v/>
      </c>
      <c r="F1141" s="3">
        <f>+'Invullen groen'!M1145</f>
        <v/>
      </c>
      <c r="G1141" s="3">
        <f>+'Invullen groen'!N1145</f>
        <v/>
      </c>
      <c r="H1141" s="3">
        <f>+'Invullen groen'!O1145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groen'!I1146</f>
        <v/>
      </c>
      <c r="E1142" s="3">
        <f>+'Invullen groen'!L1146</f>
        <v/>
      </c>
      <c r="F1142" s="3">
        <f>+'Invullen groen'!M1146</f>
        <v/>
      </c>
      <c r="G1142" s="3">
        <f>+'Invullen groen'!N1146</f>
        <v/>
      </c>
      <c r="H1142" s="3">
        <f>+'Invullen groen'!O1146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>
      <c r="A1" s="221" t="inlineStr">
        <is>
          <t>Begrotingswijziging</t>
        </is>
      </c>
      <c r="B1" s="222" t="n"/>
      <c r="C1" s="222">
        <f>'Invullen groen'!L4</f>
        <v/>
      </c>
      <c r="D1" s="222" t="n"/>
      <c r="E1" s="197" t="n"/>
      <c r="F1" s="223" t="n"/>
      <c r="G1" s="223" t="n"/>
      <c r="H1" s="223" t="n"/>
      <c r="I1" s="223" t="n"/>
      <c r="J1" s="214" t="n"/>
      <c r="K1" s="214">
        <f>IFERROR(LEFT('Invullen groen'!L4,FIND("/",'Invullen groen'!L4)-1)&amp;"-"&amp;RIGHT('Invullen groen'!L4,2),"")</f>
        <v/>
      </c>
      <c r="L1" s="214" t="n"/>
      <c r="M1" s="214" t="n"/>
      <c r="N1" s="214" t="n"/>
    </row>
    <row r="2">
      <c r="A2" s="7" t="n"/>
      <c r="B2" s="224" t="n"/>
      <c r="C2" s="224" t="n"/>
      <c r="D2" s="224" t="n"/>
      <c r="E2" s="197" t="n"/>
      <c r="F2" s="225" t="inlineStr">
        <is>
          <t>Baten en lasten:</t>
        </is>
      </c>
      <c r="G2" s="225" t="inlineStr">
        <is>
          <t>Baten en lasten:</t>
        </is>
      </c>
      <c r="H2" s="225" t="inlineStr">
        <is>
          <t>Baten en lasten:</t>
        </is>
      </c>
      <c r="I2" s="225" t="inlineStr">
        <is>
          <t>Baten en lasten:</t>
        </is>
      </c>
      <c r="J2" s="214" t="n"/>
      <c r="K2" s="214" t="n"/>
      <c r="L2" s="214" t="n"/>
      <c r="M2" s="214" t="n"/>
      <c r="N2" s="214" t="n"/>
    </row>
    <row r="3">
      <c r="A3" s="224" t="n"/>
      <c r="B3" s="224" t="n"/>
      <c r="C3" s="224" t="n"/>
      <c r="D3" s="224" t="n"/>
      <c r="E3" s="197" t="n"/>
      <c r="F3" s="224" t="n">
        <v>2026</v>
      </c>
      <c r="G3" s="224" t="n">
        <v>2027</v>
      </c>
      <c r="H3" s="224" t="n">
        <v>2028</v>
      </c>
      <c r="I3" s="224" t="n">
        <v>2029</v>
      </c>
      <c r="J3" s="214" t="n"/>
      <c r="K3" s="214" t="n"/>
      <c r="L3" s="214" t="n"/>
      <c r="M3" s="214" t="n"/>
      <c r="N3" s="214" t="n"/>
    </row>
    <row r="4">
      <c r="A4" s="226" t="inlineStr">
        <is>
          <t>Grootboek</t>
        </is>
      </c>
      <c r="B4" s="226" t="inlineStr">
        <is>
          <t>Econ.Categorie</t>
        </is>
      </c>
      <c r="C4" s="226" t="inlineStr">
        <is>
          <t>Verbijzondering</t>
        </is>
      </c>
      <c r="D4" s="226" t="inlineStr">
        <is>
          <t>Verdere verbijz.</t>
        </is>
      </c>
      <c r="E4" s="227" t="inlineStr">
        <is>
          <t>Omschrijving</t>
        </is>
      </c>
      <c r="F4" s="228" t="inlineStr">
        <is>
          <t>Bedrag:</t>
        </is>
      </c>
      <c r="G4" s="228" t="inlineStr">
        <is>
          <t>Bedrag:</t>
        </is>
      </c>
      <c r="H4" s="228" t="inlineStr">
        <is>
          <t>Bedrag:</t>
        </is>
      </c>
      <c r="I4" s="228" t="inlineStr">
        <is>
          <t>Bedrag:</t>
        </is>
      </c>
      <c r="J4" s="214" t="n"/>
      <c r="K4" s="214" t="n"/>
      <c r="L4" s="214" t="n"/>
      <c r="M4" s="214" t="n"/>
      <c r="N4" s="214" t="n"/>
    </row>
    <row r="5">
      <c r="A5" s="234">
        <f>IFERROR(IF('Invullen groen'!E17&gt;0,'Invullen groen'!E17,""),"")</f>
        <v/>
      </c>
      <c r="B5" s="234">
        <f>IFERROR(IF('Invullen groen'!H17&gt;0,'Invullen groen'!H17,""),"")</f>
        <v/>
      </c>
      <c r="C5" s="234">
        <f>IFERROR(IF('Invullen groen'!J17&gt;0,'Invullen groen'!J17,""),"")</f>
        <v/>
      </c>
      <c r="D5" s="234" t="n"/>
      <c r="E5" s="234">
        <f>IFERROR(IF(LEN(J5)&lt;=36,J5,IFERROR(LEFT(J5,FIND(CHAR(1),SUBSTITUTE(LEFT(J5,36)," ",CHAR(1),LEN(LEFT(J5,36))-LEN(SUBSTITUTE(LEFT(J5,36)," ",""))))-1),LEFT(J5,36))),"")</f>
        <v/>
      </c>
      <c r="F5" s="235">
        <f>IFERROR(IF('Invullen groen'!L17=0,"",INT('Invullen groen'!L17)),"")</f>
        <v/>
      </c>
      <c r="G5" s="235">
        <f>IFERROR(IF('Invullen groen'!M17=0,"",INT('Invullen groen'!M17)),"")</f>
        <v/>
      </c>
      <c r="H5" s="235">
        <f>IFERROR(IF('Invullen groen'!N17=0,"",INT('Invullen groen'!N17)),"")</f>
        <v/>
      </c>
      <c r="I5" s="235">
        <f>IFERROR(IF('Invullen groen'!O17=0,"",INT('Invullen groen'!O17)),"")</f>
        <v/>
      </c>
      <c r="J5" s="234">
        <f>IF('Invullen groen'!E17&gt;0,IFERROR($K$1&amp;" "&amp;TRIM(SUBSTITUTE(SUBSTITUTE(SUBSTITUTE(SUBSTITUTE(SUBSTITUTE(SUBSTITUTE(SUBSTITUTE(SUBSTITUTE(SUBSTITUTE(SUBSTITUTE(SUBSTITUTE(SUBSTITUTE(LOWER(IF(LEFT(TEXT('Invullen groen'!E17,"0"),1)="6",'Invullen groen'!K17,IF('Invullen groen'!J17&gt;0,'Invullen groen'!G17,'Invullen groen'!K17))),"2024",""),"2025",""),"2026",""),"2027",""),"2028",""),"2029",""),"taakveld ",""),"installaties","inst"),"ruwbouw","ruwb"),"afbouw","afb"),"bijstelling","bijst"),"investeringen","invest")),""),"")</f>
        <v/>
      </c>
      <c r="K5" s="234" t="n"/>
      <c r="L5" s="234" t="n"/>
      <c r="M5" s="234" t="n"/>
      <c r="N5" s="234" t="n"/>
    </row>
    <row r="6">
      <c r="A6" s="234">
        <f>IFERROR(IF('Invullen groen'!E18&gt;0,'Invullen groen'!E18,""),"")</f>
        <v/>
      </c>
      <c r="B6" s="234">
        <f>IFERROR(IF('Invullen groen'!H18&gt;0,'Invullen groen'!H18,""),"")</f>
        <v/>
      </c>
      <c r="C6" s="234">
        <f>IFERROR(IF('Invullen groen'!J18&gt;0,'Invullen groen'!J18,""),"")</f>
        <v/>
      </c>
      <c r="D6" s="234" t="n"/>
      <c r="E6" s="234">
        <f>IFERROR(IF(LEN(J6)&lt;=36,J6,IFERROR(LEFT(J6,FIND(CHAR(1),SUBSTITUTE(LEFT(J6,36)," ",CHAR(1),LEN(LEFT(J6,36))-LEN(SUBSTITUTE(LEFT(J6,36)," ",""))))-1),LEFT(J6,36))),"")</f>
        <v/>
      </c>
      <c r="F6" s="235">
        <f>IFERROR(IF('Invullen groen'!L18=0,"",INT('Invullen groen'!L18)),"")</f>
        <v/>
      </c>
      <c r="G6" s="235">
        <f>IFERROR(IF('Invullen groen'!M18=0,"",INT('Invullen groen'!M18)),"")</f>
        <v/>
      </c>
      <c r="H6" s="235">
        <f>IFERROR(IF('Invullen groen'!N18=0,"",INT('Invullen groen'!N18)),"")</f>
        <v/>
      </c>
      <c r="I6" s="235">
        <f>IFERROR(IF('Invullen groen'!O18=0,"",INT('Invullen groen'!O18)),"")</f>
        <v/>
      </c>
      <c r="J6" s="234">
        <f>IF('Invullen groen'!E18&gt;0,IFERROR($K$1&amp;" "&amp;TRIM(SUBSTITUTE(SUBSTITUTE(SUBSTITUTE(SUBSTITUTE(SUBSTITUTE(SUBSTITUTE(SUBSTITUTE(SUBSTITUTE(SUBSTITUTE(SUBSTITUTE(SUBSTITUTE(SUBSTITUTE(LOWER(IF(LEFT(TEXT('Invullen groen'!E18,"0"),1)="6",'Invullen groen'!K18,IF('Invullen groen'!J18&gt;0,'Invullen groen'!G18,'Invullen groen'!K18))),"2024",""),"2025",""),"2026",""),"2027",""),"2028",""),"2029",""),"taakveld ",""),"installaties","inst"),"ruwbouw","ruwb"),"afbouw","afb"),"bijstelling","bijst"),"investeringen","invest")),""),"")</f>
        <v/>
      </c>
      <c r="K6" s="234" t="n"/>
      <c r="L6" s="234" t="n"/>
      <c r="M6" s="234" t="n"/>
      <c r="N6" s="234" t="n"/>
    </row>
    <row r="7">
      <c r="A7" s="234">
        <f>IFERROR(IF('Invullen groen'!E19&gt;0,'Invullen groen'!E19,""),"")</f>
        <v/>
      </c>
      <c r="B7" s="234">
        <f>IFERROR(IF('Invullen groen'!H19&gt;0,'Invullen groen'!H19,""),"")</f>
        <v/>
      </c>
      <c r="C7" s="234">
        <f>IFERROR(IF('Invullen groen'!J19&gt;0,'Invullen groen'!J19,""),"")</f>
        <v/>
      </c>
      <c r="D7" s="234" t="n"/>
      <c r="E7" s="234">
        <f>IFERROR(IF(LEN(J7)&lt;=36,J7,IFERROR(LEFT(J7,FIND(CHAR(1),SUBSTITUTE(LEFT(J7,36)," ",CHAR(1),LEN(LEFT(J7,36))-LEN(SUBSTITUTE(LEFT(J7,36)," ",""))))-1),LEFT(J7,36))),"")</f>
        <v/>
      </c>
      <c r="F7" s="235">
        <f>IFERROR(IF('Invullen groen'!L19=0,"",INT('Invullen groen'!L19)),"")</f>
        <v/>
      </c>
      <c r="G7" s="235">
        <f>IFERROR(IF('Invullen groen'!M19=0,"",INT('Invullen groen'!M19)),"")</f>
        <v/>
      </c>
      <c r="H7" s="235">
        <f>IFERROR(IF('Invullen groen'!N19=0,"",INT('Invullen groen'!N19)),"")</f>
        <v/>
      </c>
      <c r="I7" s="235">
        <f>IFERROR(IF('Invullen groen'!O19=0,"",INT('Invullen groen'!O19)),"")</f>
        <v/>
      </c>
      <c r="J7" s="234">
        <f>IF('Invullen groen'!E19&gt;0,IFERROR($K$1&amp;" "&amp;TRIM(SUBSTITUTE(SUBSTITUTE(SUBSTITUTE(SUBSTITUTE(SUBSTITUTE(SUBSTITUTE(SUBSTITUTE(SUBSTITUTE(SUBSTITUTE(SUBSTITUTE(SUBSTITUTE(SUBSTITUTE(LOWER(IF(LEFT(TEXT('Invullen groen'!E19,"0"),1)="6",'Invullen groen'!K19,IF('Invullen groen'!J19&gt;0,'Invullen groen'!G19,'Invullen groen'!K19))),"2024",""),"2025",""),"2026",""),"2027",""),"2028",""),"2029",""),"taakveld ",""),"installaties","inst"),"ruwbouw","ruwb"),"afbouw","afb"),"bijstelling","bijst"),"investeringen","invest")),""),"")</f>
        <v/>
      </c>
      <c r="K7" s="234" t="n"/>
      <c r="L7" s="234" t="n"/>
      <c r="M7" s="234" t="n"/>
      <c r="N7" s="234" t="n"/>
    </row>
    <row r="8">
      <c r="A8" s="234">
        <f>IFERROR(IF('Invullen groen'!E20&gt;0,'Invullen groen'!E20,""),"")</f>
        <v/>
      </c>
      <c r="B8" s="234">
        <f>IFERROR(IF('Invullen groen'!H20&gt;0,'Invullen groen'!H20,""),"")</f>
        <v/>
      </c>
      <c r="C8" s="234">
        <f>IFERROR(IF('Invullen groen'!J20&gt;0,'Invullen groen'!J20,""),"")</f>
        <v/>
      </c>
      <c r="D8" s="234" t="n"/>
      <c r="E8" s="234">
        <f>IFERROR(IF(LEN(J8)&lt;=36,J8,IFERROR(LEFT(J8,FIND(CHAR(1),SUBSTITUTE(LEFT(J8,36)," ",CHAR(1),LEN(LEFT(J8,36))-LEN(SUBSTITUTE(LEFT(J8,36)," ",""))))-1),LEFT(J8,36))),"")</f>
        <v/>
      </c>
      <c r="F8" s="235">
        <f>IFERROR(IF('Invullen groen'!L20=0,"",INT('Invullen groen'!L20)),"")</f>
        <v/>
      </c>
      <c r="G8" s="235">
        <f>IFERROR(IF('Invullen groen'!M20=0,"",INT('Invullen groen'!M20)),"")</f>
        <v/>
      </c>
      <c r="H8" s="235">
        <f>IFERROR(IF('Invullen groen'!N20=0,"",INT('Invullen groen'!N20)),"")</f>
        <v/>
      </c>
      <c r="I8" s="235">
        <f>IFERROR(IF('Invullen groen'!O20=0,"",INT('Invullen groen'!O20)),"")</f>
        <v/>
      </c>
      <c r="J8" s="234">
        <f>IF('Invullen groen'!E20&gt;0,IFERROR($K$1&amp;" "&amp;TRIM(SUBSTITUTE(SUBSTITUTE(SUBSTITUTE(SUBSTITUTE(SUBSTITUTE(SUBSTITUTE(SUBSTITUTE(SUBSTITUTE(SUBSTITUTE(SUBSTITUTE(SUBSTITUTE(SUBSTITUTE(LOWER(IF(LEFT(TEXT('Invullen groen'!E20,"0"),1)="6",'Invullen groen'!K20,IF('Invullen groen'!J20&gt;0,'Invullen groen'!G20,'Invullen groen'!K20))),"2024",""),"2025",""),"2026",""),"2027",""),"2028",""),"2029",""),"taakveld ",""),"installaties","inst"),"ruwbouw","ruwb"),"afbouw","afb"),"bijstelling","bijst"),"investeringen","invest")),""),"")</f>
        <v/>
      </c>
      <c r="K8" s="234" t="n"/>
      <c r="L8" s="234" t="n"/>
      <c r="M8" s="234" t="n"/>
      <c r="N8" s="234" t="n"/>
    </row>
    <row r="9">
      <c r="A9" s="234">
        <f>IFERROR(IF('Invullen groen'!E21&gt;0,'Invullen groen'!E21,""),"")</f>
        <v/>
      </c>
      <c r="B9" s="234">
        <f>IFERROR(IF('Invullen groen'!H21&gt;0,'Invullen groen'!H21,""),"")</f>
        <v/>
      </c>
      <c r="C9" s="234">
        <f>IFERROR(IF('Invullen groen'!J21&gt;0,'Invullen groen'!J21,""),"")</f>
        <v/>
      </c>
      <c r="D9" s="234" t="n"/>
      <c r="E9" s="234">
        <f>IFERROR(IF(LEN(J9)&lt;=36,J9,IFERROR(LEFT(J9,FIND(CHAR(1),SUBSTITUTE(LEFT(J9,36)," ",CHAR(1),LEN(LEFT(J9,36))-LEN(SUBSTITUTE(LEFT(J9,36)," ",""))))-1),LEFT(J9,36))),"")</f>
        <v/>
      </c>
      <c r="F9" s="235">
        <f>IFERROR(IF('Invullen groen'!L21=0,"",INT('Invullen groen'!L21)),"")</f>
        <v/>
      </c>
      <c r="G9" s="235">
        <f>IFERROR(IF('Invullen groen'!M21=0,"",INT('Invullen groen'!M21)),"")</f>
        <v/>
      </c>
      <c r="H9" s="235">
        <f>IFERROR(IF('Invullen groen'!N21=0,"",INT('Invullen groen'!N21)),"")</f>
        <v/>
      </c>
      <c r="I9" s="235">
        <f>IFERROR(IF('Invullen groen'!O21=0,"",INT('Invullen groen'!O21)),"")</f>
        <v/>
      </c>
      <c r="J9" s="234">
        <f>IF('Invullen groen'!E21&gt;0,IFERROR($K$1&amp;" "&amp;TRIM(SUBSTITUTE(SUBSTITUTE(SUBSTITUTE(SUBSTITUTE(SUBSTITUTE(SUBSTITUTE(SUBSTITUTE(SUBSTITUTE(SUBSTITUTE(SUBSTITUTE(SUBSTITUTE(SUBSTITUTE(LOWER(IF(LEFT(TEXT('Invullen groen'!E21,"0"),1)="6",'Invullen groen'!K21,IF('Invullen groen'!J21&gt;0,'Invullen groen'!G21,'Invullen groen'!K21))),"2024",""),"2025",""),"2026",""),"2027",""),"2028",""),"2029",""),"taakveld ",""),"installaties","inst"),"ruwbouw","ruwb"),"afbouw","afb"),"bijstelling","bijst"),"investeringen","invest")),""),"")</f>
        <v/>
      </c>
      <c r="K9" s="234" t="n"/>
      <c r="L9" s="234" t="n"/>
      <c r="M9" s="234" t="n"/>
      <c r="N9" s="234" t="n"/>
    </row>
    <row r="10">
      <c r="A10" s="234">
        <f>IFERROR(IF('Invullen groen'!E22&gt;0,'Invullen groen'!E22,""),"")</f>
        <v/>
      </c>
      <c r="B10" s="234">
        <f>IFERROR(IF('Invullen groen'!H22&gt;0,'Invullen groen'!H22,""),"")</f>
        <v/>
      </c>
      <c r="C10" s="234">
        <f>IFERROR(IF('Invullen groen'!J22&gt;0,'Invullen groen'!J22,""),"")</f>
        <v/>
      </c>
      <c r="D10" s="234" t="n"/>
      <c r="E10" s="234">
        <f>IFERROR(IF(LEN(J10)&lt;=36,J10,IFERROR(LEFT(J10,FIND(CHAR(1),SUBSTITUTE(LEFT(J10,36)," ",CHAR(1),LEN(LEFT(J10,36))-LEN(SUBSTITUTE(LEFT(J10,36)," ",""))))-1),LEFT(J10,36))),"")</f>
        <v/>
      </c>
      <c r="F10" s="235">
        <f>IFERROR(IF('Invullen groen'!L22=0,"",INT('Invullen groen'!L22)),"")</f>
        <v/>
      </c>
      <c r="G10" s="235">
        <f>IFERROR(IF('Invullen groen'!M22=0,"",INT('Invullen groen'!M22)),"")</f>
        <v/>
      </c>
      <c r="H10" s="235">
        <f>IFERROR(IF('Invullen groen'!N22=0,"",INT('Invullen groen'!N22)),"")</f>
        <v/>
      </c>
      <c r="I10" s="235">
        <f>IFERROR(IF('Invullen groen'!O22=0,"",INT('Invullen groen'!O22)),"")</f>
        <v/>
      </c>
      <c r="J10" s="234">
        <f>IF('Invullen groen'!E22&gt;0,IFERROR($K$1&amp;" "&amp;TRIM(SUBSTITUTE(SUBSTITUTE(SUBSTITUTE(SUBSTITUTE(SUBSTITUTE(SUBSTITUTE(SUBSTITUTE(SUBSTITUTE(SUBSTITUTE(SUBSTITUTE(SUBSTITUTE(SUBSTITUTE(LOWER(IF(LEFT(TEXT('Invullen groen'!E22,"0"),1)="6",'Invullen groen'!K22,IF('Invullen groen'!J22&gt;0,'Invullen groen'!G22,'Invullen groen'!K22))),"2024",""),"2025",""),"2026",""),"2027",""),"2028",""),"2029",""),"taakveld ",""),"installaties","inst"),"ruwbouw","ruwb"),"afbouw","afb"),"bijstelling","bijst"),"investeringen","invest")),""),"")</f>
        <v/>
      </c>
      <c r="K10" s="234" t="n"/>
      <c r="L10" s="234" t="n"/>
      <c r="M10" s="234" t="n"/>
      <c r="N10" s="234" t="n"/>
    </row>
    <row r="11">
      <c r="A11" s="234">
        <f>IFERROR(IF('Invullen groen'!E23&gt;0,'Invullen groen'!E23,""),"")</f>
        <v/>
      </c>
      <c r="B11" s="234">
        <f>IFERROR(IF('Invullen groen'!H23&gt;0,'Invullen groen'!H23,""),"")</f>
        <v/>
      </c>
      <c r="C11" s="234">
        <f>IFERROR(IF('Invullen groen'!J23&gt;0,'Invullen groen'!J23,""),"")</f>
        <v/>
      </c>
      <c r="D11" s="234" t="n"/>
      <c r="E11" s="234">
        <f>IFERROR(IF(LEN(J11)&lt;=36,J11,IFERROR(LEFT(J11,FIND(CHAR(1),SUBSTITUTE(LEFT(J11,36)," ",CHAR(1),LEN(LEFT(J11,36))-LEN(SUBSTITUTE(LEFT(J11,36)," ",""))))-1),LEFT(J11,36))),"")</f>
        <v/>
      </c>
      <c r="F11" s="235">
        <f>IFERROR(IF('Invullen groen'!L23=0,"",INT('Invullen groen'!L23)),"")</f>
        <v/>
      </c>
      <c r="G11" s="235">
        <f>IFERROR(IF('Invullen groen'!M23=0,"",INT('Invullen groen'!M23)),"")</f>
        <v/>
      </c>
      <c r="H11" s="235">
        <f>IFERROR(IF('Invullen groen'!N23=0,"",INT('Invullen groen'!N23)),"")</f>
        <v/>
      </c>
      <c r="I11" s="235">
        <f>IFERROR(IF('Invullen groen'!O23=0,"",INT('Invullen groen'!O23)),"")</f>
        <v/>
      </c>
      <c r="J11" s="234">
        <f>IF('Invullen groen'!E23&gt;0,IFERROR($K$1&amp;" "&amp;TRIM(SUBSTITUTE(SUBSTITUTE(SUBSTITUTE(SUBSTITUTE(SUBSTITUTE(SUBSTITUTE(SUBSTITUTE(SUBSTITUTE(SUBSTITUTE(SUBSTITUTE(SUBSTITUTE(SUBSTITUTE(LOWER(IF(LEFT(TEXT('Invullen groen'!E23,"0"),1)="6",'Invullen groen'!K23,IF('Invullen groen'!J23&gt;0,'Invullen groen'!G23,'Invullen groen'!K23))),"2024",""),"2025",""),"2026",""),"2027",""),"2028",""),"2029",""),"taakveld ",""),"installaties","inst"),"ruwbouw","ruwb"),"afbouw","afb"),"bijstelling","bijst"),"investeringen","invest")),""),"")</f>
        <v/>
      </c>
      <c r="K11" s="234" t="n"/>
      <c r="L11" s="234" t="n"/>
      <c r="M11" s="234" t="n"/>
      <c r="N11" s="234" t="n"/>
    </row>
    <row r="12">
      <c r="A12" s="234">
        <f>IFERROR(IF('Invullen groen'!E24&gt;0,'Invullen groen'!E24,""),"")</f>
        <v/>
      </c>
      <c r="B12" s="234">
        <f>IFERROR(IF('Invullen groen'!H24&gt;0,'Invullen groen'!H24,""),"")</f>
        <v/>
      </c>
      <c r="C12" s="234">
        <f>IFERROR(IF('Invullen groen'!J24&gt;0,'Invullen groen'!J24,""),"")</f>
        <v/>
      </c>
      <c r="D12" s="234" t="n"/>
      <c r="E12" s="234">
        <f>IFERROR(IF(LEN(J12)&lt;=36,J12,IFERROR(LEFT(J12,FIND(CHAR(1),SUBSTITUTE(LEFT(J12,36)," ",CHAR(1),LEN(LEFT(J12,36))-LEN(SUBSTITUTE(LEFT(J12,36)," ",""))))-1),LEFT(J12,36))),"")</f>
        <v/>
      </c>
      <c r="F12" s="235">
        <f>IFERROR(IF('Invullen groen'!L24=0,"",INT('Invullen groen'!L24)),"")</f>
        <v/>
      </c>
      <c r="G12" s="235">
        <f>IFERROR(IF('Invullen groen'!M24=0,"",INT('Invullen groen'!M24)),"")</f>
        <v/>
      </c>
      <c r="H12" s="235">
        <f>IFERROR(IF('Invullen groen'!N24=0,"",INT('Invullen groen'!N24)),"")</f>
        <v/>
      </c>
      <c r="I12" s="235">
        <f>IFERROR(IF('Invullen groen'!O24=0,"",INT('Invullen groen'!O24)),"")</f>
        <v/>
      </c>
      <c r="J12" s="234">
        <f>IF('Invullen groen'!E24&gt;0,IFERROR($K$1&amp;" "&amp;TRIM(SUBSTITUTE(SUBSTITUTE(SUBSTITUTE(SUBSTITUTE(SUBSTITUTE(SUBSTITUTE(SUBSTITUTE(SUBSTITUTE(SUBSTITUTE(SUBSTITUTE(SUBSTITUTE(SUBSTITUTE(LOWER(IF(LEFT(TEXT('Invullen groen'!E24,"0"),1)="6",'Invullen groen'!K24,IF('Invullen groen'!J24&gt;0,'Invullen groen'!G24,'Invullen groen'!K24))),"2024",""),"2025",""),"2026",""),"2027",""),"2028",""),"2029",""),"taakveld ",""),"installaties","inst"),"ruwbouw","ruwb"),"afbouw","afb"),"bijstelling","bijst"),"investeringen","invest")),""),"")</f>
        <v/>
      </c>
      <c r="K12" s="234" t="n"/>
      <c r="L12" s="234" t="n"/>
      <c r="M12" s="234" t="n"/>
      <c r="N12" s="234" t="n"/>
    </row>
    <row r="13">
      <c r="A13" s="234">
        <f>IFERROR(IF('Invullen groen'!E25&gt;0,'Invullen groen'!E25,""),"")</f>
        <v/>
      </c>
      <c r="B13" s="234">
        <f>IFERROR(IF('Invullen groen'!H25&gt;0,'Invullen groen'!H25,""),"")</f>
        <v/>
      </c>
      <c r="C13" s="234">
        <f>IFERROR(IF('Invullen groen'!J25&gt;0,'Invullen groen'!J25,""),"")</f>
        <v/>
      </c>
      <c r="D13" s="234" t="n"/>
      <c r="E13" s="234">
        <f>IFERROR(IF(LEN(J13)&lt;=36,J13,IFERROR(LEFT(J13,FIND(CHAR(1),SUBSTITUTE(LEFT(J13,36)," ",CHAR(1),LEN(LEFT(J13,36))-LEN(SUBSTITUTE(LEFT(J13,36)," ",""))))-1),LEFT(J13,36))),"")</f>
        <v/>
      </c>
      <c r="F13" s="235">
        <f>IFERROR(IF('Invullen groen'!L25=0,"",INT('Invullen groen'!L25)),"")</f>
        <v/>
      </c>
      <c r="G13" s="235">
        <f>IFERROR(IF('Invullen groen'!M25=0,"",INT('Invullen groen'!M25)),"")</f>
        <v/>
      </c>
      <c r="H13" s="235">
        <f>IFERROR(IF('Invullen groen'!N25=0,"",INT('Invullen groen'!N25)),"")</f>
        <v/>
      </c>
      <c r="I13" s="235">
        <f>IFERROR(IF('Invullen groen'!O25=0,"",INT('Invullen groen'!O25)),"")</f>
        <v/>
      </c>
      <c r="J13" s="234">
        <f>IF('Invullen groen'!E25&gt;0,IFERROR($K$1&amp;" "&amp;TRIM(SUBSTITUTE(SUBSTITUTE(SUBSTITUTE(SUBSTITUTE(SUBSTITUTE(SUBSTITUTE(SUBSTITUTE(SUBSTITUTE(SUBSTITUTE(SUBSTITUTE(SUBSTITUTE(SUBSTITUTE(LOWER(IF(LEFT(TEXT('Invullen groen'!E25,"0"),1)="6",'Invullen groen'!K25,IF('Invullen groen'!J25&gt;0,'Invullen groen'!G25,'Invullen groen'!K25))),"2024",""),"2025",""),"2026",""),"2027",""),"2028",""),"2029",""),"taakveld ",""),"installaties","inst"),"ruwbouw","ruwb"),"afbouw","afb"),"bijstelling","bijst"),"investeringen","invest")),""),"")</f>
        <v/>
      </c>
      <c r="K13" s="234" t="n"/>
      <c r="L13" s="234" t="n"/>
      <c r="M13" s="234" t="n"/>
      <c r="N13" s="234" t="n"/>
    </row>
    <row r="14">
      <c r="A14" s="234">
        <f>IFERROR(IF('Invullen groen'!E26&gt;0,'Invullen groen'!E26,""),"")</f>
        <v/>
      </c>
      <c r="B14" s="234">
        <f>IFERROR(IF('Invullen groen'!H26&gt;0,'Invullen groen'!H26,""),"")</f>
        <v/>
      </c>
      <c r="C14" s="234">
        <f>IFERROR(IF('Invullen groen'!J26&gt;0,'Invullen groen'!J26,""),"")</f>
        <v/>
      </c>
      <c r="D14" s="234" t="n"/>
      <c r="E14" s="234">
        <f>IFERROR(IF(LEN(J14)&lt;=36,J14,IFERROR(LEFT(J14,FIND(CHAR(1),SUBSTITUTE(LEFT(J14,36)," ",CHAR(1),LEN(LEFT(J14,36))-LEN(SUBSTITUTE(LEFT(J14,36)," ",""))))-1),LEFT(J14,36))),"")</f>
        <v/>
      </c>
      <c r="F14" s="235">
        <f>IFERROR(IF('Invullen groen'!L26=0,"",INT('Invullen groen'!L26)),"")</f>
        <v/>
      </c>
      <c r="G14" s="235">
        <f>IFERROR(IF('Invullen groen'!M26=0,"",INT('Invullen groen'!M26)),"")</f>
        <v/>
      </c>
      <c r="H14" s="235">
        <f>IFERROR(IF('Invullen groen'!N26=0,"",INT('Invullen groen'!N26)),"")</f>
        <v/>
      </c>
      <c r="I14" s="235">
        <f>IFERROR(IF('Invullen groen'!O26=0,"",INT('Invullen groen'!O26)),"")</f>
        <v/>
      </c>
      <c r="J14" s="234">
        <f>IF('Invullen groen'!E26&gt;0,IFERROR($K$1&amp;" "&amp;TRIM(SUBSTITUTE(SUBSTITUTE(SUBSTITUTE(SUBSTITUTE(SUBSTITUTE(SUBSTITUTE(SUBSTITUTE(SUBSTITUTE(SUBSTITUTE(SUBSTITUTE(SUBSTITUTE(SUBSTITUTE(LOWER(IF(LEFT(TEXT('Invullen groen'!E26,"0"),1)="6",'Invullen groen'!K26,IF('Invullen groen'!J26&gt;0,'Invullen groen'!G26,'Invullen groen'!K26))),"2024",""),"2025",""),"2026",""),"2027",""),"2028",""),"2029",""),"taakveld ",""),"installaties","inst"),"ruwbouw","ruwb"),"afbouw","afb"),"bijstelling","bijst"),"investeringen","invest")),""),"")</f>
        <v/>
      </c>
      <c r="K14" s="234" t="n"/>
      <c r="L14" s="234" t="n"/>
      <c r="M14" s="234" t="n"/>
      <c r="N14" s="234" t="n"/>
    </row>
    <row r="15">
      <c r="A15" s="234">
        <f>IFERROR(IF('Invullen groen'!E27&gt;0,'Invullen groen'!E27,""),"")</f>
        <v/>
      </c>
      <c r="B15" s="234">
        <f>IFERROR(IF('Invullen groen'!H27&gt;0,'Invullen groen'!H27,""),"")</f>
        <v/>
      </c>
      <c r="C15" s="234">
        <f>IFERROR(IF('Invullen groen'!J27&gt;0,'Invullen groen'!J27,""),"")</f>
        <v/>
      </c>
      <c r="D15" s="234" t="n"/>
      <c r="E15" s="234">
        <f>IFERROR(IF(LEN(J15)&lt;=36,J15,IFERROR(LEFT(J15,FIND(CHAR(1),SUBSTITUTE(LEFT(J15,36)," ",CHAR(1),LEN(LEFT(J15,36))-LEN(SUBSTITUTE(LEFT(J15,36)," ",""))))-1),LEFT(J15,36))),"")</f>
        <v/>
      </c>
      <c r="F15" s="235">
        <f>IFERROR(IF('Invullen groen'!L27=0,"",INT('Invullen groen'!L27)),"")</f>
        <v/>
      </c>
      <c r="G15" s="235">
        <f>IFERROR(IF('Invullen groen'!M27=0,"",INT('Invullen groen'!M27)),"")</f>
        <v/>
      </c>
      <c r="H15" s="235">
        <f>IFERROR(IF('Invullen groen'!N27=0,"",INT('Invullen groen'!N27)),"")</f>
        <v/>
      </c>
      <c r="I15" s="235">
        <f>IFERROR(IF('Invullen groen'!O27=0,"",INT('Invullen groen'!O27)),"")</f>
        <v/>
      </c>
      <c r="J15" s="234">
        <f>IF('Invullen groen'!E27&gt;0,IFERROR($K$1&amp;" "&amp;TRIM(SUBSTITUTE(SUBSTITUTE(SUBSTITUTE(SUBSTITUTE(SUBSTITUTE(SUBSTITUTE(SUBSTITUTE(SUBSTITUTE(SUBSTITUTE(SUBSTITUTE(SUBSTITUTE(SUBSTITUTE(LOWER(IF(LEFT(TEXT('Invullen groen'!E27,"0"),1)="6",'Invullen groen'!K27,IF('Invullen groen'!J27&gt;0,'Invullen groen'!G27,'Invullen groen'!K27))),"2024",""),"2025",""),"2026",""),"2027",""),"2028",""),"2029",""),"taakveld ",""),"installaties","inst"),"ruwbouw","ruwb"),"afbouw","afb"),"bijstelling","bijst"),"investeringen","invest")),""),"")</f>
        <v/>
      </c>
      <c r="K15" s="234" t="n"/>
      <c r="L15" s="234" t="n"/>
      <c r="M15" s="234" t="n"/>
      <c r="N15" s="234" t="n"/>
    </row>
    <row r="16">
      <c r="A16" s="234">
        <f>IFERROR(IF('Invullen groen'!E28&gt;0,'Invullen groen'!E28,""),"")</f>
        <v/>
      </c>
      <c r="B16" s="234">
        <f>IFERROR(IF('Invullen groen'!H28&gt;0,'Invullen groen'!H28,""),"")</f>
        <v/>
      </c>
      <c r="C16" s="234">
        <f>IFERROR(IF('Invullen groen'!J28&gt;0,'Invullen groen'!J28,""),"")</f>
        <v/>
      </c>
      <c r="D16" s="234" t="n"/>
      <c r="E16" s="234">
        <f>IFERROR(IF(LEN(J16)&lt;=36,J16,IFERROR(LEFT(J16,FIND(CHAR(1),SUBSTITUTE(LEFT(J16,36)," ",CHAR(1),LEN(LEFT(J16,36))-LEN(SUBSTITUTE(LEFT(J16,36)," ",""))))-1),LEFT(J16,36))),"")</f>
        <v/>
      </c>
      <c r="F16" s="235">
        <f>IFERROR(IF('Invullen groen'!L28=0,"",INT('Invullen groen'!L28)),"")</f>
        <v/>
      </c>
      <c r="G16" s="235">
        <f>IFERROR(IF('Invullen groen'!M28=0,"",INT('Invullen groen'!M28)),"")</f>
        <v/>
      </c>
      <c r="H16" s="235">
        <f>IFERROR(IF('Invullen groen'!N28=0,"",INT('Invullen groen'!N28)),"")</f>
        <v/>
      </c>
      <c r="I16" s="235">
        <f>IFERROR(IF('Invullen groen'!O28=0,"",INT('Invullen groen'!O28)),"")</f>
        <v/>
      </c>
      <c r="J16" s="234">
        <f>IF('Invullen groen'!E28&gt;0,IFERROR($K$1&amp;" "&amp;TRIM(SUBSTITUTE(SUBSTITUTE(SUBSTITUTE(SUBSTITUTE(SUBSTITUTE(SUBSTITUTE(SUBSTITUTE(SUBSTITUTE(SUBSTITUTE(SUBSTITUTE(SUBSTITUTE(SUBSTITUTE(LOWER(IF(LEFT(TEXT('Invullen groen'!E28,"0"),1)="6",'Invullen groen'!K28,IF('Invullen groen'!J28&gt;0,'Invullen groen'!G28,'Invullen groen'!K28))),"2024",""),"2025",""),"2026",""),"2027",""),"2028",""),"2029",""),"taakveld ",""),"installaties","inst"),"ruwbouw","ruwb"),"afbouw","afb"),"bijstelling","bijst"),"investeringen","invest")),""),"")</f>
        <v/>
      </c>
      <c r="K16" s="234" t="n"/>
      <c r="L16" s="234" t="n"/>
      <c r="M16" s="234" t="n"/>
      <c r="N16" s="234" t="n"/>
    </row>
    <row r="17">
      <c r="A17" s="234">
        <f>IFERROR(IF('Invullen groen'!E29&gt;0,'Invullen groen'!E29,""),"")</f>
        <v/>
      </c>
      <c r="B17" s="234">
        <f>IFERROR(IF('Invullen groen'!H29&gt;0,'Invullen groen'!H29,""),"")</f>
        <v/>
      </c>
      <c r="C17" s="234">
        <f>IFERROR(IF('Invullen groen'!J29&gt;0,'Invullen groen'!J29,""),"")</f>
        <v/>
      </c>
      <c r="D17" s="234" t="n"/>
      <c r="E17" s="234">
        <f>IFERROR(IF(LEN(J17)&lt;=36,J17,IFERROR(LEFT(J17,FIND(CHAR(1),SUBSTITUTE(LEFT(J17,36)," ",CHAR(1),LEN(LEFT(J17,36))-LEN(SUBSTITUTE(LEFT(J17,36)," ",""))))-1),LEFT(J17,36))),"")</f>
        <v/>
      </c>
      <c r="F17" s="235">
        <f>IFERROR(IF('Invullen groen'!L29=0,"",INT('Invullen groen'!L29)),"")</f>
        <v/>
      </c>
      <c r="G17" s="235">
        <f>IFERROR(IF('Invullen groen'!M29=0,"",INT('Invullen groen'!M29)),"")</f>
        <v/>
      </c>
      <c r="H17" s="235">
        <f>IFERROR(IF('Invullen groen'!N29=0,"",INT('Invullen groen'!N29)),"")</f>
        <v/>
      </c>
      <c r="I17" s="235">
        <f>IFERROR(IF('Invullen groen'!O29=0,"",INT('Invullen groen'!O29)),"")</f>
        <v/>
      </c>
      <c r="J17" s="234">
        <f>IF('Invullen groen'!E29&gt;0,IFERROR($K$1&amp;" "&amp;TRIM(SUBSTITUTE(SUBSTITUTE(SUBSTITUTE(SUBSTITUTE(SUBSTITUTE(SUBSTITUTE(SUBSTITUTE(SUBSTITUTE(SUBSTITUTE(SUBSTITUTE(SUBSTITUTE(SUBSTITUTE(LOWER(IF(LEFT(TEXT('Invullen groen'!E29,"0"),1)="6",'Invullen groen'!K29,IF('Invullen groen'!J29&gt;0,'Invullen groen'!G29,'Invullen groen'!K29))),"2024",""),"2025",""),"2026",""),"2027",""),"2028",""),"2029",""),"taakveld ",""),"installaties","inst"),"ruwbouw","ruwb"),"afbouw","afb"),"bijstelling","bijst"),"investeringen","invest")),""),"")</f>
        <v/>
      </c>
      <c r="K17" s="234" t="n"/>
      <c r="L17" s="234" t="n"/>
      <c r="M17" s="234" t="n"/>
      <c r="N17" s="234" t="n"/>
    </row>
    <row r="18">
      <c r="A18" s="234">
        <f>IFERROR(IF('Invullen groen'!E30&gt;0,'Invullen groen'!E30,""),"")</f>
        <v/>
      </c>
      <c r="B18" s="234">
        <f>IFERROR(IF('Invullen groen'!H30&gt;0,'Invullen groen'!H30,""),"")</f>
        <v/>
      </c>
      <c r="C18" s="234">
        <f>IFERROR(IF('Invullen groen'!J30&gt;0,'Invullen groen'!J30,""),"")</f>
        <v/>
      </c>
      <c r="D18" s="234" t="n"/>
      <c r="E18" s="234">
        <f>IFERROR(IF(LEN(J18)&lt;=36,J18,IFERROR(LEFT(J18,FIND(CHAR(1),SUBSTITUTE(LEFT(J18,36)," ",CHAR(1),LEN(LEFT(J18,36))-LEN(SUBSTITUTE(LEFT(J18,36)," ",""))))-1),LEFT(J18,36))),"")</f>
        <v/>
      </c>
      <c r="F18" s="235">
        <f>IFERROR(IF('Invullen groen'!L30=0,"",INT('Invullen groen'!L30)),"")</f>
        <v/>
      </c>
      <c r="G18" s="235">
        <f>IFERROR(IF('Invullen groen'!M30=0,"",INT('Invullen groen'!M30)),"")</f>
        <v/>
      </c>
      <c r="H18" s="235">
        <f>IFERROR(IF('Invullen groen'!N30=0,"",INT('Invullen groen'!N30)),"")</f>
        <v/>
      </c>
      <c r="I18" s="235">
        <f>IFERROR(IF('Invullen groen'!O30=0,"",INT('Invullen groen'!O30)),"")</f>
        <v/>
      </c>
      <c r="J18" s="234">
        <f>IF('Invullen groen'!E30&gt;0,IFERROR($K$1&amp;" "&amp;TRIM(SUBSTITUTE(SUBSTITUTE(SUBSTITUTE(SUBSTITUTE(SUBSTITUTE(SUBSTITUTE(SUBSTITUTE(SUBSTITUTE(SUBSTITUTE(SUBSTITUTE(SUBSTITUTE(SUBSTITUTE(LOWER(IF(LEFT(TEXT('Invullen groen'!E30,"0"),1)="6",'Invullen groen'!K30,IF('Invullen groen'!J30&gt;0,'Invullen groen'!G30,'Invullen groen'!K30))),"2024",""),"2025",""),"2026",""),"2027",""),"2028",""),"2029",""),"taakveld ",""),"installaties","inst"),"ruwbouw","ruwb"),"afbouw","afb"),"bijstelling","bijst"),"investeringen","invest")),""),"")</f>
        <v/>
      </c>
      <c r="K18" s="234" t="n"/>
      <c r="L18" s="234" t="n"/>
      <c r="M18" s="234" t="n"/>
      <c r="N18" s="234" t="n"/>
    </row>
    <row r="19">
      <c r="A19" s="234">
        <f>IFERROR(IF('Invullen groen'!E31&gt;0,'Invullen groen'!E31,""),"")</f>
        <v/>
      </c>
      <c r="B19" s="234">
        <f>IFERROR(IF('Invullen groen'!H31&gt;0,'Invullen groen'!H31,""),"")</f>
        <v/>
      </c>
      <c r="C19" s="234">
        <f>IFERROR(IF('Invullen groen'!J31&gt;0,'Invullen groen'!J31,""),"")</f>
        <v/>
      </c>
      <c r="D19" s="234" t="n"/>
      <c r="E19" s="234">
        <f>IFERROR(IF(LEN(J19)&lt;=36,J19,IFERROR(LEFT(J19,FIND(CHAR(1),SUBSTITUTE(LEFT(J19,36)," ",CHAR(1),LEN(LEFT(J19,36))-LEN(SUBSTITUTE(LEFT(J19,36)," ",""))))-1),LEFT(J19,36))),"")</f>
        <v/>
      </c>
      <c r="F19" s="235">
        <f>IFERROR(IF('Invullen groen'!L31=0,"",INT('Invullen groen'!L31)),"")</f>
        <v/>
      </c>
      <c r="G19" s="235">
        <f>IFERROR(IF('Invullen groen'!M31=0,"",INT('Invullen groen'!M31)),"")</f>
        <v/>
      </c>
      <c r="H19" s="235">
        <f>IFERROR(IF('Invullen groen'!N31=0,"",INT('Invullen groen'!N31)),"")</f>
        <v/>
      </c>
      <c r="I19" s="235">
        <f>IFERROR(IF('Invullen groen'!O31=0,"",INT('Invullen groen'!O31)),"")</f>
        <v/>
      </c>
      <c r="J19" s="234">
        <f>IF('Invullen groen'!E31&gt;0,IFERROR($K$1&amp;" "&amp;TRIM(SUBSTITUTE(SUBSTITUTE(SUBSTITUTE(SUBSTITUTE(SUBSTITUTE(SUBSTITUTE(SUBSTITUTE(SUBSTITUTE(SUBSTITUTE(SUBSTITUTE(SUBSTITUTE(SUBSTITUTE(LOWER(IF(LEFT(TEXT('Invullen groen'!E31,"0"),1)="6",'Invullen groen'!K31,IF('Invullen groen'!J31&gt;0,'Invullen groen'!G31,'Invullen groen'!K31))),"2024",""),"2025",""),"2026",""),"2027",""),"2028",""),"2029",""),"taakveld ",""),"installaties","inst"),"ruwbouw","ruwb"),"afbouw","afb"),"bijstelling","bijst"),"investeringen","invest")),""),"")</f>
        <v/>
      </c>
      <c r="K19" s="234" t="n"/>
      <c r="L19" s="234" t="n"/>
      <c r="M19" s="234" t="n"/>
      <c r="N19" s="234" t="n"/>
    </row>
    <row r="20">
      <c r="A20" s="234">
        <f>IFERROR(IF('Invullen groen'!E32&gt;0,'Invullen groen'!E32,""),"")</f>
        <v/>
      </c>
      <c r="B20" s="234">
        <f>IFERROR(IF('Invullen groen'!H32&gt;0,'Invullen groen'!H32,""),"")</f>
        <v/>
      </c>
      <c r="C20" s="234">
        <f>IFERROR(IF('Invullen groen'!J32&gt;0,'Invullen groen'!J32,""),"")</f>
        <v/>
      </c>
      <c r="D20" s="234" t="n"/>
      <c r="E20" s="234">
        <f>IFERROR(IF(LEN(J20)&lt;=36,J20,IFERROR(LEFT(J20,FIND(CHAR(1),SUBSTITUTE(LEFT(J20,36)," ",CHAR(1),LEN(LEFT(J20,36))-LEN(SUBSTITUTE(LEFT(J20,36)," ",""))))-1),LEFT(J20,36))),"")</f>
        <v/>
      </c>
      <c r="F20" s="235">
        <f>IFERROR(IF('Invullen groen'!L32=0,"",INT('Invullen groen'!L32)),"")</f>
        <v/>
      </c>
      <c r="G20" s="235">
        <f>IFERROR(IF('Invullen groen'!M32=0,"",INT('Invullen groen'!M32)),"")</f>
        <v/>
      </c>
      <c r="H20" s="235">
        <f>IFERROR(IF('Invullen groen'!N32=0,"",INT('Invullen groen'!N32)),"")</f>
        <v/>
      </c>
      <c r="I20" s="235">
        <f>IFERROR(IF('Invullen groen'!O32=0,"",INT('Invullen groen'!O32)),"")</f>
        <v/>
      </c>
      <c r="J20" s="234">
        <f>IF('Invullen groen'!E32&gt;0,IFERROR($K$1&amp;" "&amp;TRIM(SUBSTITUTE(SUBSTITUTE(SUBSTITUTE(SUBSTITUTE(SUBSTITUTE(SUBSTITUTE(SUBSTITUTE(SUBSTITUTE(SUBSTITUTE(SUBSTITUTE(SUBSTITUTE(SUBSTITUTE(LOWER(IF(LEFT(TEXT('Invullen groen'!E32,"0"),1)="6",'Invullen groen'!K32,IF('Invullen groen'!J32&gt;0,'Invullen groen'!G32,'Invullen groen'!K32))),"2024",""),"2025",""),"2026",""),"2027",""),"2028",""),"2029",""),"taakveld ",""),"installaties","inst"),"ruwbouw","ruwb"),"afbouw","afb"),"bijstelling","bijst"),"investeringen","invest")),""),"")</f>
        <v/>
      </c>
      <c r="K20" s="234" t="n"/>
      <c r="L20" s="234" t="n"/>
      <c r="M20" s="234" t="n"/>
      <c r="N20" s="234" t="n"/>
    </row>
    <row r="21">
      <c r="A21" s="234">
        <f>IFERROR(IF('Invullen groen'!E33&gt;0,'Invullen groen'!E33,""),"")</f>
        <v/>
      </c>
      <c r="B21" s="234">
        <f>IFERROR(IF('Invullen groen'!H33&gt;0,'Invullen groen'!H33,""),"")</f>
        <v/>
      </c>
      <c r="C21" s="234">
        <f>IFERROR(IF('Invullen groen'!J33&gt;0,'Invullen groen'!J33,""),"")</f>
        <v/>
      </c>
      <c r="D21" s="234" t="n"/>
      <c r="E21" s="234">
        <f>IFERROR(IF(LEN(J21)&lt;=36,J21,IFERROR(LEFT(J21,FIND(CHAR(1),SUBSTITUTE(LEFT(J21,36)," ",CHAR(1),LEN(LEFT(J21,36))-LEN(SUBSTITUTE(LEFT(J21,36)," ",""))))-1),LEFT(J21,36))),"")</f>
        <v/>
      </c>
      <c r="F21" s="235">
        <f>IFERROR(IF('Invullen groen'!L33=0,"",INT('Invullen groen'!L33)),"")</f>
        <v/>
      </c>
      <c r="G21" s="235">
        <f>IFERROR(IF('Invullen groen'!M33=0,"",INT('Invullen groen'!M33)),"")</f>
        <v/>
      </c>
      <c r="H21" s="235">
        <f>IFERROR(IF('Invullen groen'!N33=0,"",INT('Invullen groen'!N33)),"")</f>
        <v/>
      </c>
      <c r="I21" s="235">
        <f>IFERROR(IF('Invullen groen'!O33=0,"",INT('Invullen groen'!O33)),"")</f>
        <v/>
      </c>
      <c r="J21" s="234">
        <f>IF('Invullen groen'!E33&gt;0,IFERROR($K$1&amp;" "&amp;TRIM(SUBSTITUTE(SUBSTITUTE(SUBSTITUTE(SUBSTITUTE(SUBSTITUTE(SUBSTITUTE(SUBSTITUTE(SUBSTITUTE(SUBSTITUTE(SUBSTITUTE(SUBSTITUTE(SUBSTITUTE(LOWER(IF(LEFT(TEXT('Invullen groen'!E33,"0"),1)="6",'Invullen groen'!K33,IF('Invullen groen'!J33&gt;0,'Invullen groen'!G33,'Invullen groen'!K33))),"2024",""),"2025",""),"2026",""),"2027",""),"2028",""),"2029",""),"taakveld ",""),"installaties","inst"),"ruwbouw","ruwb"),"afbouw","afb"),"bijstelling","bijst"),"investeringen","invest")),""),"")</f>
        <v/>
      </c>
      <c r="K21" s="234" t="n"/>
      <c r="L21" s="234" t="n"/>
      <c r="M21" s="234" t="n"/>
      <c r="N21" s="234" t="n"/>
    </row>
    <row r="22">
      <c r="A22" s="234">
        <f>IFERROR(IF('Invullen groen'!E34&gt;0,'Invullen groen'!E34,""),"")</f>
        <v/>
      </c>
      <c r="B22" s="234">
        <f>IFERROR(IF('Invullen groen'!H34&gt;0,'Invullen groen'!H34,""),"")</f>
        <v/>
      </c>
      <c r="C22" s="234">
        <f>IFERROR(IF('Invullen groen'!J34&gt;0,'Invullen groen'!J34,""),"")</f>
        <v/>
      </c>
      <c r="D22" s="234" t="n"/>
      <c r="E22" s="234">
        <f>IFERROR(IF(LEN(J22)&lt;=36,J22,IFERROR(LEFT(J22,FIND(CHAR(1),SUBSTITUTE(LEFT(J22,36)," ",CHAR(1),LEN(LEFT(J22,36))-LEN(SUBSTITUTE(LEFT(J22,36)," ",""))))-1),LEFT(J22,36))),"")</f>
        <v/>
      </c>
      <c r="F22" s="235">
        <f>IFERROR(IF('Invullen groen'!L34=0,"",INT('Invullen groen'!L34)),"")</f>
        <v/>
      </c>
      <c r="G22" s="235">
        <f>IFERROR(IF('Invullen groen'!M34=0,"",INT('Invullen groen'!M34)),"")</f>
        <v/>
      </c>
      <c r="H22" s="235">
        <f>IFERROR(IF('Invullen groen'!N34=0,"",INT('Invullen groen'!N34)),"")</f>
        <v/>
      </c>
      <c r="I22" s="235">
        <f>IFERROR(IF('Invullen groen'!O34=0,"",INT('Invullen groen'!O34)),"")</f>
        <v/>
      </c>
      <c r="J22" s="234">
        <f>IF('Invullen groen'!E34&gt;0,IFERROR($K$1&amp;" "&amp;TRIM(SUBSTITUTE(SUBSTITUTE(SUBSTITUTE(SUBSTITUTE(SUBSTITUTE(SUBSTITUTE(SUBSTITUTE(SUBSTITUTE(SUBSTITUTE(SUBSTITUTE(SUBSTITUTE(SUBSTITUTE(LOWER(IF(LEFT(TEXT('Invullen groen'!E34,"0"),1)="6",'Invullen groen'!K34,IF('Invullen groen'!J34&gt;0,'Invullen groen'!G34,'Invullen groen'!K34))),"2024",""),"2025",""),"2026",""),"2027",""),"2028",""),"2029",""),"taakveld ",""),"installaties","inst"),"ruwbouw","ruwb"),"afbouw","afb"),"bijstelling","bijst"),"investeringen","invest")),""),"")</f>
        <v/>
      </c>
      <c r="K22" s="234" t="n"/>
      <c r="L22" s="234" t="n"/>
      <c r="M22" s="234" t="n"/>
      <c r="N22" s="234" t="n"/>
    </row>
    <row r="23">
      <c r="A23" s="234">
        <f>IFERROR(IF('Invullen groen'!E35&gt;0,'Invullen groen'!E35,""),"")</f>
        <v/>
      </c>
      <c r="B23" s="234">
        <f>IFERROR(IF('Invullen groen'!H35&gt;0,'Invullen groen'!H35,""),"")</f>
        <v/>
      </c>
      <c r="C23" s="234">
        <f>IFERROR(IF('Invullen groen'!J35&gt;0,'Invullen groen'!J35,""),"")</f>
        <v/>
      </c>
      <c r="D23" s="234" t="n"/>
      <c r="E23" s="234">
        <f>IFERROR(IF(LEN(J23)&lt;=36,J23,IFERROR(LEFT(J23,FIND(CHAR(1),SUBSTITUTE(LEFT(J23,36)," ",CHAR(1),LEN(LEFT(J23,36))-LEN(SUBSTITUTE(LEFT(J23,36)," ",""))))-1),LEFT(J23,36))),"")</f>
        <v/>
      </c>
      <c r="F23" s="235">
        <f>IFERROR(IF('Invullen groen'!L35=0,"",INT('Invullen groen'!L35)),"")</f>
        <v/>
      </c>
      <c r="G23" s="235">
        <f>IFERROR(IF('Invullen groen'!M35=0,"",INT('Invullen groen'!M35)),"")</f>
        <v/>
      </c>
      <c r="H23" s="235">
        <f>IFERROR(IF('Invullen groen'!N35=0,"",INT('Invullen groen'!N35)),"")</f>
        <v/>
      </c>
      <c r="I23" s="235">
        <f>IFERROR(IF('Invullen groen'!O35=0,"",INT('Invullen groen'!O35)),"")</f>
        <v/>
      </c>
      <c r="J23" s="234">
        <f>IF('Invullen groen'!E35&gt;0,IFERROR($K$1&amp;" "&amp;TRIM(SUBSTITUTE(SUBSTITUTE(SUBSTITUTE(SUBSTITUTE(SUBSTITUTE(SUBSTITUTE(SUBSTITUTE(SUBSTITUTE(SUBSTITUTE(SUBSTITUTE(SUBSTITUTE(SUBSTITUTE(LOWER(IF(LEFT(TEXT('Invullen groen'!E35,"0"),1)="6",'Invullen groen'!K35,IF('Invullen groen'!J35&gt;0,'Invullen groen'!G35,'Invullen groen'!K35))),"2024",""),"2025",""),"2026",""),"2027",""),"2028",""),"2029",""),"taakveld ",""),"installaties","inst"),"ruwbouw","ruwb"),"afbouw","afb"),"bijstelling","bijst"),"investeringen","invest")),""),"")</f>
        <v/>
      </c>
      <c r="K23" s="234" t="n"/>
      <c r="L23" s="234" t="n"/>
      <c r="M23" s="234" t="n"/>
      <c r="N23" s="234" t="n"/>
    </row>
    <row r="24">
      <c r="A24" s="234">
        <f>IFERROR(IF('Invullen groen'!E36&gt;0,'Invullen groen'!E36,""),"")</f>
        <v/>
      </c>
      <c r="B24" s="234">
        <f>IFERROR(IF('Invullen groen'!H36&gt;0,'Invullen groen'!H36,""),"")</f>
        <v/>
      </c>
      <c r="C24" s="234">
        <f>IFERROR(IF('Invullen groen'!J36&gt;0,'Invullen groen'!J36,""),"")</f>
        <v/>
      </c>
      <c r="D24" s="234" t="n"/>
      <c r="E24" s="234">
        <f>IFERROR(IF(LEN(J24)&lt;=36,J24,IFERROR(LEFT(J24,FIND(CHAR(1),SUBSTITUTE(LEFT(J24,36)," ",CHAR(1),LEN(LEFT(J24,36))-LEN(SUBSTITUTE(LEFT(J24,36)," ",""))))-1),LEFT(J24,36))),"")</f>
        <v/>
      </c>
      <c r="F24" s="235">
        <f>IFERROR(IF('Invullen groen'!L36=0,"",INT('Invullen groen'!L36)),"")</f>
        <v/>
      </c>
      <c r="G24" s="235">
        <f>IFERROR(IF('Invullen groen'!M36=0,"",INT('Invullen groen'!M36)),"")</f>
        <v/>
      </c>
      <c r="H24" s="235">
        <f>IFERROR(IF('Invullen groen'!N36=0,"",INT('Invullen groen'!N36)),"")</f>
        <v/>
      </c>
      <c r="I24" s="235">
        <f>IFERROR(IF('Invullen groen'!O36=0,"",INT('Invullen groen'!O36)),"")</f>
        <v/>
      </c>
      <c r="J24" s="234">
        <f>IF('Invullen groen'!E36&gt;0,IFERROR($K$1&amp;" "&amp;TRIM(SUBSTITUTE(SUBSTITUTE(SUBSTITUTE(SUBSTITUTE(SUBSTITUTE(SUBSTITUTE(SUBSTITUTE(SUBSTITUTE(SUBSTITUTE(SUBSTITUTE(SUBSTITUTE(SUBSTITUTE(LOWER(IF(LEFT(TEXT('Invullen groen'!E36,"0"),1)="6",'Invullen groen'!K36,IF('Invullen groen'!J36&gt;0,'Invullen groen'!G36,'Invullen groen'!K36))),"2024",""),"2025",""),"2026",""),"2027",""),"2028",""),"2029",""),"taakveld ",""),"installaties","inst"),"ruwbouw","ruwb"),"afbouw","afb"),"bijstelling","bijst"),"investeringen","invest")),""),"")</f>
        <v/>
      </c>
      <c r="K24" s="234" t="n"/>
      <c r="L24" s="234" t="n"/>
      <c r="M24" s="234" t="n"/>
      <c r="N24" s="234" t="n"/>
    </row>
    <row r="25">
      <c r="A25" s="234">
        <f>IFERROR(IF('Invullen groen'!E37&gt;0,'Invullen groen'!E37,""),"")</f>
        <v/>
      </c>
      <c r="B25" s="234">
        <f>IFERROR(IF('Invullen groen'!H37&gt;0,'Invullen groen'!H37,""),"")</f>
        <v/>
      </c>
      <c r="C25" s="234">
        <f>IFERROR(IF('Invullen groen'!J37&gt;0,'Invullen groen'!J37,""),"")</f>
        <v/>
      </c>
      <c r="D25" s="234" t="n"/>
      <c r="E25" s="234">
        <f>IFERROR(IF(LEN(J25)&lt;=36,J25,IFERROR(LEFT(J25,FIND(CHAR(1),SUBSTITUTE(LEFT(J25,36)," ",CHAR(1),LEN(LEFT(J25,36))-LEN(SUBSTITUTE(LEFT(J25,36)," ",""))))-1),LEFT(J25,36))),"")</f>
        <v/>
      </c>
      <c r="F25" s="235">
        <f>IFERROR(IF('Invullen groen'!L37=0,"",INT('Invullen groen'!L37)),"")</f>
        <v/>
      </c>
      <c r="G25" s="235">
        <f>IFERROR(IF('Invullen groen'!M37=0,"",INT('Invullen groen'!M37)),"")</f>
        <v/>
      </c>
      <c r="H25" s="235">
        <f>IFERROR(IF('Invullen groen'!N37=0,"",INT('Invullen groen'!N37)),"")</f>
        <v/>
      </c>
      <c r="I25" s="235">
        <f>IFERROR(IF('Invullen groen'!O37=0,"",INT('Invullen groen'!O37)),"")</f>
        <v/>
      </c>
      <c r="J25" s="234">
        <f>IF('Invullen groen'!E37&gt;0,IFERROR($K$1&amp;" "&amp;TRIM(SUBSTITUTE(SUBSTITUTE(SUBSTITUTE(SUBSTITUTE(SUBSTITUTE(SUBSTITUTE(SUBSTITUTE(SUBSTITUTE(SUBSTITUTE(SUBSTITUTE(SUBSTITUTE(SUBSTITUTE(LOWER(IF(LEFT(TEXT('Invullen groen'!E37,"0"),1)="6",'Invullen groen'!K37,IF('Invullen groen'!J37&gt;0,'Invullen groen'!G37,'Invullen groen'!K37))),"2024",""),"2025",""),"2026",""),"2027",""),"2028",""),"2029",""),"taakveld ",""),"installaties","inst"),"ruwbouw","ruwb"),"afbouw","afb"),"bijstelling","bijst"),"investeringen","invest")),""),"")</f>
        <v/>
      </c>
      <c r="K25" s="234" t="n"/>
      <c r="L25" s="234" t="n"/>
      <c r="M25" s="234" t="n"/>
      <c r="N25" s="234" t="n"/>
    </row>
    <row r="26">
      <c r="A26" s="234">
        <f>IFERROR(IF('Invullen groen'!E38&gt;0,'Invullen groen'!E38,""),"")</f>
        <v/>
      </c>
      <c r="B26" s="234">
        <f>IFERROR(IF('Invullen groen'!H38&gt;0,'Invullen groen'!H38,""),"")</f>
        <v/>
      </c>
      <c r="C26" s="234">
        <f>IFERROR(IF('Invullen groen'!J38&gt;0,'Invullen groen'!J38,""),"")</f>
        <v/>
      </c>
      <c r="D26" s="234" t="n"/>
      <c r="E26" s="234">
        <f>IFERROR(IF(LEN(J26)&lt;=36,J26,IFERROR(LEFT(J26,FIND(CHAR(1),SUBSTITUTE(LEFT(J26,36)," ",CHAR(1),LEN(LEFT(J26,36))-LEN(SUBSTITUTE(LEFT(J26,36)," ",""))))-1),LEFT(J26,36))),"")</f>
        <v/>
      </c>
      <c r="F26" s="235">
        <f>IFERROR(IF('Invullen groen'!L38=0,"",INT('Invullen groen'!L38)),"")</f>
        <v/>
      </c>
      <c r="G26" s="235">
        <f>IFERROR(IF('Invullen groen'!M38=0,"",INT('Invullen groen'!M38)),"")</f>
        <v/>
      </c>
      <c r="H26" s="235">
        <f>IFERROR(IF('Invullen groen'!N38=0,"",INT('Invullen groen'!N38)),"")</f>
        <v/>
      </c>
      <c r="I26" s="235">
        <f>IFERROR(IF('Invullen groen'!O38=0,"",INT('Invullen groen'!O38)),"")</f>
        <v/>
      </c>
      <c r="J26" s="234">
        <f>IF('Invullen groen'!E38&gt;0,IFERROR($K$1&amp;" "&amp;TRIM(SUBSTITUTE(SUBSTITUTE(SUBSTITUTE(SUBSTITUTE(SUBSTITUTE(SUBSTITUTE(SUBSTITUTE(SUBSTITUTE(SUBSTITUTE(SUBSTITUTE(SUBSTITUTE(SUBSTITUTE(LOWER(IF(LEFT(TEXT('Invullen groen'!E38,"0"),1)="6",'Invullen groen'!K38,IF('Invullen groen'!J38&gt;0,'Invullen groen'!G38,'Invullen groen'!K38))),"2024",""),"2025",""),"2026",""),"2027",""),"2028",""),"2029",""),"taakveld ",""),"installaties","inst"),"ruwbouw","ruwb"),"afbouw","afb"),"bijstelling","bijst"),"investeringen","invest")),""),"")</f>
        <v/>
      </c>
      <c r="K26" s="234" t="n"/>
      <c r="L26" s="234" t="n"/>
      <c r="M26" s="234" t="n"/>
      <c r="N26" s="234" t="n"/>
    </row>
    <row r="27">
      <c r="A27" s="234">
        <f>IFERROR(IF('Invullen groen'!E39&gt;0,'Invullen groen'!E39,""),"")</f>
        <v/>
      </c>
      <c r="B27" s="234">
        <f>IFERROR(IF('Invullen groen'!H39&gt;0,'Invullen groen'!H39,""),"")</f>
        <v/>
      </c>
      <c r="C27" s="234">
        <f>IFERROR(IF('Invullen groen'!J39&gt;0,'Invullen groen'!J39,""),"")</f>
        <v/>
      </c>
      <c r="D27" s="234" t="n"/>
      <c r="E27" s="234">
        <f>IFERROR(IF(LEN(J27)&lt;=36,J27,IFERROR(LEFT(J27,FIND(CHAR(1),SUBSTITUTE(LEFT(J27,36)," ",CHAR(1),LEN(LEFT(J27,36))-LEN(SUBSTITUTE(LEFT(J27,36)," ",""))))-1),LEFT(J27,36))),"")</f>
        <v/>
      </c>
      <c r="F27" s="235">
        <f>IFERROR(IF('Invullen groen'!L39=0,"",INT('Invullen groen'!L39)),"")</f>
        <v/>
      </c>
      <c r="G27" s="235">
        <f>IFERROR(IF('Invullen groen'!M39=0,"",INT('Invullen groen'!M39)),"")</f>
        <v/>
      </c>
      <c r="H27" s="235">
        <f>IFERROR(IF('Invullen groen'!N39=0,"",INT('Invullen groen'!N39)),"")</f>
        <v/>
      </c>
      <c r="I27" s="235">
        <f>IFERROR(IF('Invullen groen'!O39=0,"",INT('Invullen groen'!O39)),"")</f>
        <v/>
      </c>
      <c r="J27" s="234">
        <f>IF('Invullen groen'!E39&gt;0,IFERROR($K$1&amp;" "&amp;TRIM(SUBSTITUTE(SUBSTITUTE(SUBSTITUTE(SUBSTITUTE(SUBSTITUTE(SUBSTITUTE(SUBSTITUTE(SUBSTITUTE(SUBSTITUTE(SUBSTITUTE(SUBSTITUTE(SUBSTITUTE(LOWER(IF(LEFT(TEXT('Invullen groen'!E39,"0"),1)="6",'Invullen groen'!K39,IF('Invullen groen'!J39&gt;0,'Invullen groen'!G39,'Invullen groen'!K39))),"2024",""),"2025",""),"2026",""),"2027",""),"2028",""),"2029",""),"taakveld ",""),"installaties","inst"),"ruwbouw","ruwb"),"afbouw","afb"),"bijstelling","bijst"),"investeringen","invest")),""),"")</f>
        <v/>
      </c>
      <c r="K27" s="234" t="n"/>
      <c r="L27" s="234" t="n"/>
      <c r="M27" s="234" t="n"/>
      <c r="N27" s="234" t="n"/>
    </row>
    <row r="28">
      <c r="A28" s="234">
        <f>IFERROR(IF('Invullen groen'!E40&gt;0,'Invullen groen'!E40,""),"")</f>
        <v/>
      </c>
      <c r="B28" s="234">
        <f>IFERROR(IF('Invullen groen'!H40&gt;0,'Invullen groen'!H40,""),"")</f>
        <v/>
      </c>
      <c r="C28" s="234">
        <f>IFERROR(IF('Invullen groen'!J40&gt;0,'Invullen groen'!J40,""),"")</f>
        <v/>
      </c>
      <c r="D28" s="234" t="n"/>
      <c r="E28" s="234">
        <f>IFERROR(IF(LEN(J28)&lt;=36,J28,IFERROR(LEFT(J28,FIND(CHAR(1),SUBSTITUTE(LEFT(J28,36)," ",CHAR(1),LEN(LEFT(J28,36))-LEN(SUBSTITUTE(LEFT(J28,36)," ",""))))-1),LEFT(J28,36))),"")</f>
        <v/>
      </c>
      <c r="F28" s="235">
        <f>IFERROR(IF('Invullen groen'!L40=0,"",INT('Invullen groen'!L40)),"")</f>
        <v/>
      </c>
      <c r="G28" s="235">
        <f>IFERROR(IF('Invullen groen'!M40=0,"",INT('Invullen groen'!M40)),"")</f>
        <v/>
      </c>
      <c r="H28" s="235">
        <f>IFERROR(IF('Invullen groen'!N40=0,"",INT('Invullen groen'!N40)),"")</f>
        <v/>
      </c>
      <c r="I28" s="235">
        <f>IFERROR(IF('Invullen groen'!O40=0,"",INT('Invullen groen'!O40)),"")</f>
        <v/>
      </c>
      <c r="J28" s="234">
        <f>IF('Invullen groen'!E40&gt;0,IFERROR($K$1&amp;" "&amp;TRIM(SUBSTITUTE(SUBSTITUTE(SUBSTITUTE(SUBSTITUTE(SUBSTITUTE(SUBSTITUTE(SUBSTITUTE(SUBSTITUTE(SUBSTITUTE(SUBSTITUTE(SUBSTITUTE(SUBSTITUTE(LOWER(IF(LEFT(TEXT('Invullen groen'!E40,"0"),1)="6",'Invullen groen'!K40,IF('Invullen groen'!J40&gt;0,'Invullen groen'!G40,'Invullen groen'!K40))),"2024",""),"2025",""),"2026",""),"2027",""),"2028",""),"2029",""),"taakveld ",""),"installaties","inst"),"ruwbouw","ruwb"),"afbouw","afb"),"bijstelling","bijst"),"investeringen","invest")),""),"")</f>
        <v/>
      </c>
      <c r="K28" s="234" t="n"/>
      <c r="L28" s="234" t="n"/>
      <c r="M28" s="234" t="n"/>
      <c r="N28" s="234" t="n"/>
    </row>
    <row r="29">
      <c r="A29" s="234">
        <f>IFERROR(IF('Invullen groen'!E41&gt;0,'Invullen groen'!E41,""),"")</f>
        <v/>
      </c>
      <c r="B29" s="234">
        <f>IFERROR(IF('Invullen groen'!H41&gt;0,'Invullen groen'!H41,""),"")</f>
        <v/>
      </c>
      <c r="C29" s="234">
        <f>IFERROR(IF('Invullen groen'!J41&gt;0,'Invullen groen'!J41,""),"")</f>
        <v/>
      </c>
      <c r="D29" s="234" t="n"/>
      <c r="E29" s="234">
        <f>IFERROR(IF(LEN(J29)&lt;=36,J29,IFERROR(LEFT(J29,FIND(CHAR(1),SUBSTITUTE(LEFT(J29,36)," ",CHAR(1),LEN(LEFT(J29,36))-LEN(SUBSTITUTE(LEFT(J29,36)," ",""))))-1),LEFT(J29,36))),"")</f>
        <v/>
      </c>
      <c r="F29" s="235">
        <f>IFERROR(IF('Invullen groen'!L41=0,"",INT('Invullen groen'!L41)),"")</f>
        <v/>
      </c>
      <c r="G29" s="235">
        <f>IFERROR(IF('Invullen groen'!M41=0,"",INT('Invullen groen'!M41)),"")</f>
        <v/>
      </c>
      <c r="H29" s="235">
        <f>IFERROR(IF('Invullen groen'!N41=0,"",INT('Invullen groen'!N41)),"")</f>
        <v/>
      </c>
      <c r="I29" s="235">
        <f>IFERROR(IF('Invullen groen'!O41=0,"",INT('Invullen groen'!O41)),"")</f>
        <v/>
      </c>
      <c r="J29" s="234">
        <f>IF('Invullen groen'!E41&gt;0,IFERROR($K$1&amp;" "&amp;TRIM(SUBSTITUTE(SUBSTITUTE(SUBSTITUTE(SUBSTITUTE(SUBSTITUTE(SUBSTITUTE(SUBSTITUTE(SUBSTITUTE(SUBSTITUTE(SUBSTITUTE(SUBSTITUTE(SUBSTITUTE(LOWER(IF(LEFT(TEXT('Invullen groen'!E41,"0"),1)="6",'Invullen groen'!K41,IF('Invullen groen'!J41&gt;0,'Invullen groen'!G41,'Invullen groen'!K41))),"2024",""),"2025",""),"2026",""),"2027",""),"2028",""),"2029",""),"taakveld ",""),"installaties","inst"),"ruwbouw","ruwb"),"afbouw","afb"),"bijstelling","bijst"),"investeringen","invest")),""),"")</f>
        <v/>
      </c>
      <c r="K29" s="234" t="n"/>
      <c r="L29" s="234" t="n"/>
      <c r="M29" s="234" t="n"/>
      <c r="N29" s="234" t="n"/>
    </row>
    <row r="30">
      <c r="A30" s="234">
        <f>IFERROR(IF('Invullen groen'!E42&gt;0,'Invullen groen'!E42,""),"")</f>
        <v/>
      </c>
      <c r="B30" s="234">
        <f>IFERROR(IF('Invullen groen'!H42&gt;0,'Invullen groen'!H42,""),"")</f>
        <v/>
      </c>
      <c r="C30" s="234">
        <f>IFERROR(IF('Invullen groen'!J42&gt;0,'Invullen groen'!J42,""),"")</f>
        <v/>
      </c>
      <c r="D30" s="234" t="n"/>
      <c r="E30" s="234">
        <f>IFERROR(IF(LEN(J30)&lt;=36,J30,IFERROR(LEFT(J30,FIND(CHAR(1),SUBSTITUTE(LEFT(J30,36)," ",CHAR(1),LEN(LEFT(J30,36))-LEN(SUBSTITUTE(LEFT(J30,36)," ",""))))-1),LEFT(J30,36))),"")</f>
        <v/>
      </c>
      <c r="F30" s="235">
        <f>IFERROR(IF('Invullen groen'!L42=0,"",INT('Invullen groen'!L42)),"")</f>
        <v/>
      </c>
      <c r="G30" s="235">
        <f>IFERROR(IF('Invullen groen'!M42=0,"",INT('Invullen groen'!M42)),"")</f>
        <v/>
      </c>
      <c r="H30" s="235">
        <f>IFERROR(IF('Invullen groen'!N42=0,"",INT('Invullen groen'!N42)),"")</f>
        <v/>
      </c>
      <c r="I30" s="235">
        <f>IFERROR(IF('Invullen groen'!O42=0,"",INT('Invullen groen'!O42)),"")</f>
        <v/>
      </c>
      <c r="J30" s="234">
        <f>IF('Invullen groen'!E42&gt;0,IFERROR($K$1&amp;" "&amp;TRIM(SUBSTITUTE(SUBSTITUTE(SUBSTITUTE(SUBSTITUTE(SUBSTITUTE(SUBSTITUTE(SUBSTITUTE(SUBSTITUTE(SUBSTITUTE(SUBSTITUTE(SUBSTITUTE(SUBSTITUTE(LOWER(IF(LEFT(TEXT('Invullen groen'!E42,"0"),1)="6",'Invullen groen'!K42,IF('Invullen groen'!J42&gt;0,'Invullen groen'!G42,'Invullen groen'!K42))),"2024",""),"2025",""),"2026",""),"2027",""),"2028",""),"2029",""),"taakveld ",""),"installaties","inst"),"ruwbouw","ruwb"),"afbouw","afb"),"bijstelling","bijst"),"investeringen","invest")),""),"")</f>
        <v/>
      </c>
      <c r="K30" s="234" t="n"/>
      <c r="L30" s="234" t="n"/>
      <c r="M30" s="234" t="n"/>
      <c r="N30" s="234" t="n"/>
    </row>
    <row r="31">
      <c r="A31" s="234">
        <f>IFERROR(IF('Invullen groen'!E43&gt;0,'Invullen groen'!E43,""),"")</f>
        <v/>
      </c>
      <c r="B31" s="234">
        <f>IFERROR(IF('Invullen groen'!H43&gt;0,'Invullen groen'!H43,""),"")</f>
        <v/>
      </c>
      <c r="C31" s="234">
        <f>IFERROR(IF('Invullen groen'!J43&gt;0,'Invullen groen'!J43,""),"")</f>
        <v/>
      </c>
      <c r="D31" s="234" t="n"/>
      <c r="E31" s="234">
        <f>IFERROR(IF(LEN(J31)&lt;=36,J31,IFERROR(LEFT(J31,FIND(CHAR(1),SUBSTITUTE(LEFT(J31,36)," ",CHAR(1),LEN(LEFT(J31,36))-LEN(SUBSTITUTE(LEFT(J31,36)," ",""))))-1),LEFT(J31,36))),"")</f>
        <v/>
      </c>
      <c r="F31" s="235">
        <f>IFERROR(IF('Invullen groen'!L43=0,"",INT('Invullen groen'!L43)),"")</f>
        <v/>
      </c>
      <c r="G31" s="235">
        <f>IFERROR(IF('Invullen groen'!M43=0,"",INT('Invullen groen'!M43)),"")</f>
        <v/>
      </c>
      <c r="H31" s="235">
        <f>IFERROR(IF('Invullen groen'!N43=0,"",INT('Invullen groen'!N43)),"")</f>
        <v/>
      </c>
      <c r="I31" s="235">
        <f>IFERROR(IF('Invullen groen'!O43=0,"",INT('Invullen groen'!O43)),"")</f>
        <v/>
      </c>
      <c r="J31" s="234">
        <f>IF('Invullen groen'!E43&gt;0,IFERROR($K$1&amp;" "&amp;TRIM(SUBSTITUTE(SUBSTITUTE(SUBSTITUTE(SUBSTITUTE(SUBSTITUTE(SUBSTITUTE(SUBSTITUTE(SUBSTITUTE(SUBSTITUTE(SUBSTITUTE(SUBSTITUTE(SUBSTITUTE(LOWER(IF(LEFT(TEXT('Invullen groen'!E43,"0"),1)="6",'Invullen groen'!K43,IF('Invullen groen'!J43&gt;0,'Invullen groen'!G43,'Invullen groen'!K43))),"2024",""),"2025",""),"2026",""),"2027",""),"2028",""),"2029",""),"taakveld ",""),"installaties","inst"),"ruwbouw","ruwb"),"afbouw","afb"),"bijstelling","bijst"),"investeringen","invest")),""),"")</f>
        <v/>
      </c>
      <c r="K31" s="234" t="n"/>
      <c r="L31" s="234" t="n"/>
      <c r="M31" s="234" t="n"/>
      <c r="N31" s="234" t="n"/>
    </row>
    <row r="32">
      <c r="A32" s="234">
        <f>IFERROR(IF('Invullen groen'!E44&gt;0,'Invullen groen'!E44,""),"")</f>
        <v/>
      </c>
      <c r="B32" s="234">
        <f>IFERROR(IF('Invullen groen'!H44&gt;0,'Invullen groen'!H44,""),"")</f>
        <v/>
      </c>
      <c r="C32" s="234">
        <f>IFERROR(IF('Invullen groen'!J44&gt;0,'Invullen groen'!J44,""),"")</f>
        <v/>
      </c>
      <c r="D32" s="234" t="n"/>
      <c r="E32" s="234">
        <f>IFERROR(IF(LEN(J32)&lt;=36,J32,IFERROR(LEFT(J32,FIND(CHAR(1),SUBSTITUTE(LEFT(J32,36)," ",CHAR(1),LEN(LEFT(J32,36))-LEN(SUBSTITUTE(LEFT(J32,36)," ",""))))-1),LEFT(J32,36))),"")</f>
        <v/>
      </c>
      <c r="F32" s="235">
        <f>IFERROR(IF('Invullen groen'!L44=0,"",INT('Invullen groen'!L44)),"")</f>
        <v/>
      </c>
      <c r="G32" s="235">
        <f>IFERROR(IF('Invullen groen'!M44=0,"",INT('Invullen groen'!M44)),"")</f>
        <v/>
      </c>
      <c r="H32" s="235">
        <f>IFERROR(IF('Invullen groen'!N44=0,"",INT('Invullen groen'!N44)),"")</f>
        <v/>
      </c>
      <c r="I32" s="235">
        <f>IFERROR(IF('Invullen groen'!O44=0,"",INT('Invullen groen'!O44)),"")</f>
        <v/>
      </c>
      <c r="J32" s="234">
        <f>IF('Invullen groen'!E44&gt;0,IFERROR($K$1&amp;" "&amp;TRIM(SUBSTITUTE(SUBSTITUTE(SUBSTITUTE(SUBSTITUTE(SUBSTITUTE(SUBSTITUTE(SUBSTITUTE(SUBSTITUTE(SUBSTITUTE(SUBSTITUTE(SUBSTITUTE(SUBSTITUTE(LOWER(IF(LEFT(TEXT('Invullen groen'!E44,"0"),1)="6",'Invullen groen'!K44,IF('Invullen groen'!J44&gt;0,'Invullen groen'!G44,'Invullen groen'!K44))),"2024",""),"2025",""),"2026",""),"2027",""),"2028",""),"2029",""),"taakveld ",""),"installaties","inst"),"ruwbouw","ruwb"),"afbouw","afb"),"bijstelling","bijst"),"investeringen","invest")),""),"")</f>
        <v/>
      </c>
      <c r="K32" s="234" t="n"/>
      <c r="L32" s="234" t="n"/>
      <c r="M32" s="234" t="n"/>
      <c r="N32" s="234" t="n"/>
    </row>
    <row r="33">
      <c r="A33" s="234">
        <f>IFERROR(IF('Invullen groen'!E45&gt;0,'Invullen groen'!E45,""),"")</f>
        <v/>
      </c>
      <c r="B33" s="234">
        <f>IFERROR(IF('Invullen groen'!H45&gt;0,'Invullen groen'!H45,""),"")</f>
        <v/>
      </c>
      <c r="C33" s="234">
        <f>IFERROR(IF('Invullen groen'!J45&gt;0,'Invullen groen'!J45,""),"")</f>
        <v/>
      </c>
      <c r="D33" s="234" t="n"/>
      <c r="E33" s="234">
        <f>IFERROR(IF(LEN(J33)&lt;=36,J33,IFERROR(LEFT(J33,FIND(CHAR(1),SUBSTITUTE(LEFT(J33,36)," ",CHAR(1),LEN(LEFT(J33,36))-LEN(SUBSTITUTE(LEFT(J33,36)," ",""))))-1),LEFT(J33,36))),"")</f>
        <v/>
      </c>
      <c r="F33" s="235">
        <f>IFERROR(IF('Invullen groen'!L45=0,"",INT('Invullen groen'!L45)),"")</f>
        <v/>
      </c>
      <c r="G33" s="235">
        <f>IFERROR(IF('Invullen groen'!M45=0,"",INT('Invullen groen'!M45)),"")</f>
        <v/>
      </c>
      <c r="H33" s="235">
        <f>IFERROR(IF('Invullen groen'!N45=0,"",INT('Invullen groen'!N45)),"")</f>
        <v/>
      </c>
      <c r="I33" s="235">
        <f>IFERROR(IF('Invullen groen'!O45=0,"",INT('Invullen groen'!O45)),"")</f>
        <v/>
      </c>
      <c r="J33" s="234">
        <f>IF('Invullen groen'!E45&gt;0,IFERROR($K$1&amp;" "&amp;TRIM(SUBSTITUTE(SUBSTITUTE(SUBSTITUTE(SUBSTITUTE(SUBSTITUTE(SUBSTITUTE(SUBSTITUTE(SUBSTITUTE(SUBSTITUTE(SUBSTITUTE(SUBSTITUTE(SUBSTITUTE(LOWER(IF(LEFT(TEXT('Invullen groen'!E45,"0"),1)="6",'Invullen groen'!K45,IF('Invullen groen'!J45&gt;0,'Invullen groen'!G45,'Invullen groen'!K45))),"2024",""),"2025",""),"2026",""),"2027",""),"2028",""),"2029",""),"taakveld ",""),"installaties","inst"),"ruwbouw","ruwb"),"afbouw","afb"),"bijstelling","bijst"),"investeringen","invest")),""),"")</f>
        <v/>
      </c>
      <c r="K33" s="234" t="n"/>
      <c r="L33" s="234" t="n"/>
      <c r="M33" s="234" t="n"/>
      <c r="N33" s="234" t="n"/>
    </row>
    <row r="34">
      <c r="A34" s="234">
        <f>IFERROR(IF('Invullen groen'!E46&gt;0,'Invullen groen'!E46,""),"")</f>
        <v/>
      </c>
      <c r="B34" s="234">
        <f>IFERROR(IF('Invullen groen'!H46&gt;0,'Invullen groen'!H46,""),"")</f>
        <v/>
      </c>
      <c r="C34" s="234">
        <f>IFERROR(IF('Invullen groen'!J46&gt;0,'Invullen groen'!J46,""),"")</f>
        <v/>
      </c>
      <c r="D34" s="234" t="n"/>
      <c r="E34" s="234">
        <f>IFERROR(IF(LEN(J34)&lt;=36,J34,IFERROR(LEFT(J34,FIND(CHAR(1),SUBSTITUTE(LEFT(J34,36)," ",CHAR(1),LEN(LEFT(J34,36))-LEN(SUBSTITUTE(LEFT(J34,36)," ",""))))-1),LEFT(J34,36))),"")</f>
        <v/>
      </c>
      <c r="F34" s="235">
        <f>IFERROR(IF('Invullen groen'!L46=0,"",INT('Invullen groen'!L46)),"")</f>
        <v/>
      </c>
      <c r="G34" s="235">
        <f>IFERROR(IF('Invullen groen'!M46=0,"",INT('Invullen groen'!M46)),"")</f>
        <v/>
      </c>
      <c r="H34" s="235">
        <f>IFERROR(IF('Invullen groen'!N46=0,"",INT('Invullen groen'!N46)),"")</f>
        <v/>
      </c>
      <c r="I34" s="235">
        <f>IFERROR(IF('Invullen groen'!O46=0,"",INT('Invullen groen'!O46)),"")</f>
        <v/>
      </c>
      <c r="J34" s="234">
        <f>IF('Invullen groen'!E46&gt;0,IFERROR($K$1&amp;" "&amp;TRIM(SUBSTITUTE(SUBSTITUTE(SUBSTITUTE(SUBSTITUTE(SUBSTITUTE(SUBSTITUTE(SUBSTITUTE(SUBSTITUTE(SUBSTITUTE(SUBSTITUTE(SUBSTITUTE(SUBSTITUTE(LOWER(IF(LEFT(TEXT('Invullen groen'!E46,"0"),1)="6",'Invullen groen'!K46,IF('Invullen groen'!J46&gt;0,'Invullen groen'!G46,'Invullen groen'!K46))),"2024",""),"2025",""),"2026",""),"2027",""),"2028",""),"2029",""),"taakveld ",""),"installaties","inst"),"ruwbouw","ruwb"),"afbouw","afb"),"bijstelling","bijst"),"investeringen","invest")),""),"")</f>
        <v/>
      </c>
      <c r="K34" s="234" t="n"/>
      <c r="L34" s="234" t="n"/>
      <c r="M34" s="234" t="n"/>
      <c r="N34" s="234" t="n"/>
    </row>
    <row r="35">
      <c r="A35" s="234">
        <f>IFERROR(IF('Invullen groen'!E47&gt;0,'Invullen groen'!E47,""),"")</f>
        <v/>
      </c>
      <c r="B35" s="234">
        <f>IFERROR(IF('Invullen groen'!H47&gt;0,'Invullen groen'!H47,""),"")</f>
        <v/>
      </c>
      <c r="C35" s="234">
        <f>IFERROR(IF('Invullen groen'!J47&gt;0,'Invullen groen'!J47,""),"")</f>
        <v/>
      </c>
      <c r="D35" s="234" t="n"/>
      <c r="E35" s="234">
        <f>IFERROR(IF(LEN(J35)&lt;=36,J35,IFERROR(LEFT(J35,FIND(CHAR(1),SUBSTITUTE(LEFT(J35,36)," ",CHAR(1),LEN(LEFT(J35,36))-LEN(SUBSTITUTE(LEFT(J35,36)," ",""))))-1),LEFT(J35,36))),"")</f>
        <v/>
      </c>
      <c r="F35" s="235">
        <f>IFERROR(IF('Invullen groen'!L47=0,"",INT('Invullen groen'!L47)),"")</f>
        <v/>
      </c>
      <c r="G35" s="235">
        <f>IFERROR(IF('Invullen groen'!M47=0,"",INT('Invullen groen'!M47)),"")</f>
        <v/>
      </c>
      <c r="H35" s="235">
        <f>IFERROR(IF('Invullen groen'!N47=0,"",INT('Invullen groen'!N47)),"")</f>
        <v/>
      </c>
      <c r="I35" s="235">
        <f>IFERROR(IF('Invullen groen'!O47=0,"",INT('Invullen groen'!O47)),"")</f>
        <v/>
      </c>
      <c r="J35" s="234">
        <f>IF('Invullen groen'!E47&gt;0,IFERROR($K$1&amp;" "&amp;TRIM(SUBSTITUTE(SUBSTITUTE(SUBSTITUTE(SUBSTITUTE(SUBSTITUTE(SUBSTITUTE(SUBSTITUTE(SUBSTITUTE(SUBSTITUTE(SUBSTITUTE(SUBSTITUTE(SUBSTITUTE(LOWER(IF(LEFT(TEXT('Invullen groen'!E47,"0"),1)="6",'Invullen groen'!K47,IF('Invullen groen'!J47&gt;0,'Invullen groen'!G47,'Invullen groen'!K47))),"2024",""),"2025",""),"2026",""),"2027",""),"2028",""),"2029",""),"taakveld ",""),"installaties","inst"),"ruwbouw","ruwb"),"afbouw","afb"),"bijstelling","bijst"),"investeringen","invest")),""),"")</f>
        <v/>
      </c>
      <c r="K35" s="234" t="n"/>
      <c r="L35" s="234" t="n"/>
      <c r="M35" s="234" t="n"/>
      <c r="N35" s="234" t="n"/>
    </row>
    <row r="36">
      <c r="A36" s="234">
        <f>IFERROR(IF('Invullen groen'!E48&gt;0,'Invullen groen'!E48,""),"")</f>
        <v/>
      </c>
      <c r="B36" s="234">
        <f>IFERROR(IF('Invullen groen'!H48&gt;0,'Invullen groen'!H48,""),"")</f>
        <v/>
      </c>
      <c r="C36" s="234">
        <f>IFERROR(IF('Invullen groen'!J48&gt;0,'Invullen groen'!J48,""),"")</f>
        <v/>
      </c>
      <c r="D36" s="234" t="n"/>
      <c r="E36" s="234">
        <f>IFERROR(IF(LEN(J36)&lt;=36,J36,IFERROR(LEFT(J36,FIND(CHAR(1),SUBSTITUTE(LEFT(J36,36)," ",CHAR(1),LEN(LEFT(J36,36))-LEN(SUBSTITUTE(LEFT(J36,36)," ",""))))-1),LEFT(J36,36))),"")</f>
        <v/>
      </c>
      <c r="F36" s="235">
        <f>IFERROR(IF('Invullen groen'!L48=0,"",INT('Invullen groen'!L48)),"")</f>
        <v/>
      </c>
      <c r="G36" s="235">
        <f>IFERROR(IF('Invullen groen'!M48=0,"",INT('Invullen groen'!M48)),"")</f>
        <v/>
      </c>
      <c r="H36" s="235">
        <f>IFERROR(IF('Invullen groen'!N48=0,"",INT('Invullen groen'!N48)),"")</f>
        <v/>
      </c>
      <c r="I36" s="235">
        <f>IFERROR(IF('Invullen groen'!O48=0,"",INT('Invullen groen'!O48)),"")</f>
        <v/>
      </c>
      <c r="J36" s="234">
        <f>IF('Invullen groen'!E48&gt;0,IFERROR($K$1&amp;" "&amp;TRIM(SUBSTITUTE(SUBSTITUTE(SUBSTITUTE(SUBSTITUTE(SUBSTITUTE(SUBSTITUTE(SUBSTITUTE(SUBSTITUTE(SUBSTITUTE(SUBSTITUTE(SUBSTITUTE(SUBSTITUTE(LOWER(IF(LEFT(TEXT('Invullen groen'!E48,"0"),1)="6",'Invullen groen'!K48,IF('Invullen groen'!J48&gt;0,'Invullen groen'!G48,'Invullen groen'!K48))),"2024",""),"2025",""),"2026",""),"2027",""),"2028",""),"2029",""),"taakveld ",""),"installaties","inst"),"ruwbouw","ruwb"),"afbouw","afb"),"bijstelling","bijst"),"investeringen","invest")),""),"")</f>
        <v/>
      </c>
      <c r="K36" s="234" t="n"/>
      <c r="L36" s="234" t="n"/>
      <c r="M36" s="234" t="n"/>
      <c r="N36" s="234" t="n"/>
    </row>
    <row r="37">
      <c r="A37" s="234">
        <f>IFERROR(IF('Invullen groen'!E49&gt;0,'Invullen groen'!E49,""),"")</f>
        <v/>
      </c>
      <c r="B37" s="234">
        <f>IFERROR(IF('Invullen groen'!H49&gt;0,'Invullen groen'!H49,""),"")</f>
        <v/>
      </c>
      <c r="C37" s="234">
        <f>IFERROR(IF('Invullen groen'!J49&gt;0,'Invullen groen'!J49,""),"")</f>
        <v/>
      </c>
      <c r="D37" s="234" t="n"/>
      <c r="E37" s="234">
        <f>IFERROR(IF(LEN(J37)&lt;=36,J37,IFERROR(LEFT(J37,FIND(CHAR(1),SUBSTITUTE(LEFT(J37,36)," ",CHAR(1),LEN(LEFT(J37,36))-LEN(SUBSTITUTE(LEFT(J37,36)," ",""))))-1),LEFT(J37,36))),"")</f>
        <v/>
      </c>
      <c r="F37" s="235">
        <f>IFERROR(IF('Invullen groen'!L49=0,"",INT('Invullen groen'!L49)),"")</f>
        <v/>
      </c>
      <c r="G37" s="235">
        <f>IFERROR(IF('Invullen groen'!M49=0,"",INT('Invullen groen'!M49)),"")</f>
        <v/>
      </c>
      <c r="H37" s="235">
        <f>IFERROR(IF('Invullen groen'!N49=0,"",INT('Invullen groen'!N49)),"")</f>
        <v/>
      </c>
      <c r="I37" s="235">
        <f>IFERROR(IF('Invullen groen'!O49=0,"",INT('Invullen groen'!O49)),"")</f>
        <v/>
      </c>
      <c r="J37" s="234">
        <f>IF('Invullen groen'!E49&gt;0,IFERROR($K$1&amp;" "&amp;TRIM(SUBSTITUTE(SUBSTITUTE(SUBSTITUTE(SUBSTITUTE(SUBSTITUTE(SUBSTITUTE(SUBSTITUTE(SUBSTITUTE(SUBSTITUTE(SUBSTITUTE(SUBSTITUTE(SUBSTITUTE(LOWER(IF(LEFT(TEXT('Invullen groen'!E49,"0"),1)="6",'Invullen groen'!K49,IF('Invullen groen'!J49&gt;0,'Invullen groen'!G49,'Invullen groen'!K49))),"2024",""),"2025",""),"2026",""),"2027",""),"2028",""),"2029",""),"taakveld ",""),"installaties","inst"),"ruwbouw","ruwb"),"afbouw","afb"),"bijstelling","bijst"),"investeringen","invest")),""),"")</f>
        <v/>
      </c>
      <c r="K37" s="234" t="n"/>
      <c r="L37" s="234" t="n"/>
      <c r="M37" s="234" t="n"/>
      <c r="N37" s="234" t="n"/>
    </row>
    <row r="38">
      <c r="A38" s="234">
        <f>IFERROR(IF('Invullen groen'!E50&gt;0,'Invullen groen'!E50,""),"")</f>
        <v/>
      </c>
      <c r="B38" s="234">
        <f>IFERROR(IF('Invullen groen'!H50&gt;0,'Invullen groen'!H50,""),"")</f>
        <v/>
      </c>
      <c r="C38" s="234">
        <f>IFERROR(IF('Invullen groen'!J50&gt;0,'Invullen groen'!J50,""),"")</f>
        <v/>
      </c>
      <c r="D38" s="234" t="n"/>
      <c r="E38" s="234">
        <f>IFERROR(IF(LEN(J38)&lt;=36,J38,IFERROR(LEFT(J38,FIND(CHAR(1),SUBSTITUTE(LEFT(J38,36)," ",CHAR(1),LEN(LEFT(J38,36))-LEN(SUBSTITUTE(LEFT(J38,36)," ",""))))-1),LEFT(J38,36))),"")</f>
        <v/>
      </c>
      <c r="F38" s="235">
        <f>IFERROR(IF('Invullen groen'!L50=0,"",INT('Invullen groen'!L50)),"")</f>
        <v/>
      </c>
      <c r="G38" s="235">
        <f>IFERROR(IF('Invullen groen'!M50=0,"",INT('Invullen groen'!M50)),"")</f>
        <v/>
      </c>
      <c r="H38" s="235">
        <f>IFERROR(IF('Invullen groen'!N50=0,"",INT('Invullen groen'!N50)),"")</f>
        <v/>
      </c>
      <c r="I38" s="235">
        <f>IFERROR(IF('Invullen groen'!O50=0,"",INT('Invullen groen'!O50)),"")</f>
        <v/>
      </c>
      <c r="J38" s="234">
        <f>IF('Invullen groen'!E50&gt;0,IFERROR($K$1&amp;" "&amp;TRIM(SUBSTITUTE(SUBSTITUTE(SUBSTITUTE(SUBSTITUTE(SUBSTITUTE(SUBSTITUTE(SUBSTITUTE(SUBSTITUTE(SUBSTITUTE(SUBSTITUTE(SUBSTITUTE(SUBSTITUTE(LOWER(IF(LEFT(TEXT('Invullen groen'!E50,"0"),1)="6",'Invullen groen'!K50,IF('Invullen groen'!J50&gt;0,'Invullen groen'!G50,'Invullen groen'!K50))),"2024",""),"2025",""),"2026",""),"2027",""),"2028",""),"2029",""),"taakveld ",""),"installaties","inst"),"ruwbouw","ruwb"),"afbouw","afb"),"bijstelling","bijst"),"investeringen","invest")),""),"")</f>
        <v/>
      </c>
      <c r="K38" s="234" t="n"/>
      <c r="L38" s="234" t="n"/>
      <c r="M38" s="234" t="n"/>
      <c r="N38" s="234" t="n"/>
    </row>
    <row r="39">
      <c r="A39" s="234">
        <f>IFERROR(IF('Invullen groen'!E51&gt;0,'Invullen groen'!E51,""),"")</f>
        <v/>
      </c>
      <c r="B39" s="234">
        <f>IFERROR(IF('Invullen groen'!H51&gt;0,'Invullen groen'!H51,""),"")</f>
        <v/>
      </c>
      <c r="C39" s="234">
        <f>IFERROR(IF('Invullen groen'!J51&gt;0,'Invullen groen'!J51,""),"")</f>
        <v/>
      </c>
      <c r="D39" s="234" t="n"/>
      <c r="E39" s="234">
        <f>IFERROR(IF(LEN(J39)&lt;=36,J39,IFERROR(LEFT(J39,FIND(CHAR(1),SUBSTITUTE(LEFT(J39,36)," ",CHAR(1),LEN(LEFT(J39,36))-LEN(SUBSTITUTE(LEFT(J39,36)," ",""))))-1),LEFT(J39,36))),"")</f>
        <v/>
      </c>
      <c r="F39" s="235">
        <f>IFERROR(IF('Invullen groen'!L51=0,"",INT('Invullen groen'!L51)),"")</f>
        <v/>
      </c>
      <c r="G39" s="235">
        <f>IFERROR(IF('Invullen groen'!M51=0,"",INT('Invullen groen'!M51)),"")</f>
        <v/>
      </c>
      <c r="H39" s="235">
        <f>IFERROR(IF('Invullen groen'!N51=0,"",INT('Invullen groen'!N51)),"")</f>
        <v/>
      </c>
      <c r="I39" s="235">
        <f>IFERROR(IF('Invullen groen'!O51=0,"",INT('Invullen groen'!O51)),"")</f>
        <v/>
      </c>
      <c r="J39" s="234">
        <f>IF('Invullen groen'!E51&gt;0,IFERROR($K$1&amp;" "&amp;TRIM(SUBSTITUTE(SUBSTITUTE(SUBSTITUTE(SUBSTITUTE(SUBSTITUTE(SUBSTITUTE(SUBSTITUTE(SUBSTITUTE(SUBSTITUTE(SUBSTITUTE(SUBSTITUTE(SUBSTITUTE(LOWER(IF(LEFT(TEXT('Invullen groen'!E51,"0"),1)="6",'Invullen groen'!K51,IF('Invullen groen'!J51&gt;0,'Invullen groen'!G51,'Invullen groen'!K51))),"2024",""),"2025",""),"2026",""),"2027",""),"2028",""),"2029",""),"taakveld ",""),"installaties","inst"),"ruwbouw","ruwb"),"afbouw","afb"),"bijstelling","bijst"),"investeringen","invest")),""),"")</f>
        <v/>
      </c>
      <c r="K39" s="234" t="n"/>
      <c r="L39" s="234" t="n"/>
      <c r="M39" s="234" t="n"/>
      <c r="N39" s="234" t="n"/>
    </row>
    <row r="40">
      <c r="A40" s="234">
        <f>IFERROR(IF('Invullen groen'!E52&gt;0,'Invullen groen'!E52,""),"")</f>
        <v/>
      </c>
      <c r="B40" s="234">
        <f>IFERROR(IF('Invullen groen'!H52&gt;0,'Invullen groen'!H52,""),"")</f>
        <v/>
      </c>
      <c r="C40" s="234">
        <f>IFERROR(IF('Invullen groen'!J52&gt;0,'Invullen groen'!J52,""),"")</f>
        <v/>
      </c>
      <c r="D40" s="234" t="n"/>
      <c r="E40" s="234">
        <f>IFERROR(IF(LEN(J40)&lt;=36,J40,IFERROR(LEFT(J40,FIND(CHAR(1),SUBSTITUTE(LEFT(J40,36)," ",CHAR(1),LEN(LEFT(J40,36))-LEN(SUBSTITUTE(LEFT(J40,36)," ",""))))-1),LEFT(J40,36))),"")</f>
        <v/>
      </c>
      <c r="F40" s="235">
        <f>IFERROR(IF('Invullen groen'!L52=0,"",INT('Invullen groen'!L52)),"")</f>
        <v/>
      </c>
      <c r="G40" s="235">
        <f>IFERROR(IF('Invullen groen'!M52=0,"",INT('Invullen groen'!M52)),"")</f>
        <v/>
      </c>
      <c r="H40" s="235">
        <f>IFERROR(IF('Invullen groen'!N52=0,"",INT('Invullen groen'!N52)),"")</f>
        <v/>
      </c>
      <c r="I40" s="235">
        <f>IFERROR(IF('Invullen groen'!O52=0,"",INT('Invullen groen'!O52)),"")</f>
        <v/>
      </c>
      <c r="J40" s="234">
        <f>IF('Invullen groen'!E52&gt;0,IFERROR($K$1&amp;" "&amp;TRIM(SUBSTITUTE(SUBSTITUTE(SUBSTITUTE(SUBSTITUTE(SUBSTITUTE(SUBSTITUTE(SUBSTITUTE(SUBSTITUTE(SUBSTITUTE(SUBSTITUTE(SUBSTITUTE(SUBSTITUTE(LOWER(IF(LEFT(TEXT('Invullen groen'!E52,"0"),1)="6",'Invullen groen'!K52,IF('Invullen groen'!J52&gt;0,'Invullen groen'!G52,'Invullen groen'!K52))),"2024",""),"2025",""),"2026",""),"2027",""),"2028",""),"2029",""),"taakveld ",""),"installaties","inst"),"ruwbouw","ruwb"),"afbouw","afb"),"bijstelling","bijst"),"investeringen","invest")),""),"")</f>
        <v/>
      </c>
      <c r="K40" s="234" t="n"/>
      <c r="L40" s="234" t="n"/>
      <c r="M40" s="234" t="n"/>
      <c r="N40" s="234" t="n"/>
    </row>
    <row r="41">
      <c r="A41" s="234">
        <f>IFERROR(IF('Invullen groen'!E53&gt;0,'Invullen groen'!E53,""),"")</f>
        <v/>
      </c>
      <c r="B41" s="234">
        <f>IFERROR(IF('Invullen groen'!H53&gt;0,'Invullen groen'!H53,""),"")</f>
        <v/>
      </c>
      <c r="C41" s="234">
        <f>IFERROR(IF('Invullen groen'!J53&gt;0,'Invullen groen'!J53,""),"")</f>
        <v/>
      </c>
      <c r="D41" s="234" t="n"/>
      <c r="E41" s="234">
        <f>IFERROR(IF(LEN(J41)&lt;=36,J41,IFERROR(LEFT(J41,FIND(CHAR(1),SUBSTITUTE(LEFT(J41,36)," ",CHAR(1),LEN(LEFT(J41,36))-LEN(SUBSTITUTE(LEFT(J41,36)," ",""))))-1),LEFT(J41,36))),"")</f>
        <v/>
      </c>
      <c r="F41" s="235">
        <f>IFERROR(IF('Invullen groen'!L53=0,"",INT('Invullen groen'!L53)),"")</f>
        <v/>
      </c>
      <c r="G41" s="235">
        <f>IFERROR(IF('Invullen groen'!M53=0,"",INT('Invullen groen'!M53)),"")</f>
        <v/>
      </c>
      <c r="H41" s="235">
        <f>IFERROR(IF('Invullen groen'!N53=0,"",INT('Invullen groen'!N53)),"")</f>
        <v/>
      </c>
      <c r="I41" s="235">
        <f>IFERROR(IF('Invullen groen'!O53=0,"",INT('Invullen groen'!O53)),"")</f>
        <v/>
      </c>
      <c r="J41" s="234">
        <f>IF('Invullen groen'!E53&gt;0,IFERROR($K$1&amp;" "&amp;TRIM(SUBSTITUTE(SUBSTITUTE(SUBSTITUTE(SUBSTITUTE(SUBSTITUTE(SUBSTITUTE(SUBSTITUTE(SUBSTITUTE(SUBSTITUTE(SUBSTITUTE(SUBSTITUTE(SUBSTITUTE(LOWER(IF(LEFT(TEXT('Invullen groen'!E53,"0"),1)="6",'Invullen groen'!K53,IF('Invullen groen'!J53&gt;0,'Invullen groen'!G53,'Invullen groen'!K53))),"2024",""),"2025",""),"2026",""),"2027",""),"2028",""),"2029",""),"taakveld ",""),"installaties","inst"),"ruwbouw","ruwb"),"afbouw","afb"),"bijstelling","bijst"),"investeringen","invest")),""),"")</f>
        <v/>
      </c>
      <c r="K41" s="234" t="n"/>
      <c r="L41" s="234" t="n"/>
      <c r="M41" s="234" t="n"/>
      <c r="N41" s="234" t="n"/>
    </row>
    <row r="42">
      <c r="A42" s="234">
        <f>IFERROR(IF('Invullen groen'!E54&gt;0,'Invullen groen'!E54,""),"")</f>
        <v/>
      </c>
      <c r="B42" s="234">
        <f>IFERROR(IF('Invullen groen'!H54&gt;0,'Invullen groen'!H54,""),"")</f>
        <v/>
      </c>
      <c r="C42" s="234">
        <f>IFERROR(IF('Invullen groen'!J54&gt;0,'Invullen groen'!J54,""),"")</f>
        <v/>
      </c>
      <c r="D42" s="234" t="n"/>
      <c r="E42" s="234">
        <f>IFERROR(IF(LEN(J42)&lt;=36,J42,IFERROR(LEFT(J42,FIND(CHAR(1),SUBSTITUTE(LEFT(J42,36)," ",CHAR(1),LEN(LEFT(J42,36))-LEN(SUBSTITUTE(LEFT(J42,36)," ",""))))-1),LEFT(J42,36))),"")</f>
        <v/>
      </c>
      <c r="F42" s="235">
        <f>IFERROR(IF('Invullen groen'!L54=0,"",INT('Invullen groen'!L54)),"")</f>
        <v/>
      </c>
      <c r="G42" s="235">
        <f>IFERROR(IF('Invullen groen'!M54=0,"",INT('Invullen groen'!M54)),"")</f>
        <v/>
      </c>
      <c r="H42" s="235">
        <f>IFERROR(IF('Invullen groen'!N54=0,"",INT('Invullen groen'!N54)),"")</f>
        <v/>
      </c>
      <c r="I42" s="235">
        <f>IFERROR(IF('Invullen groen'!O54=0,"",INT('Invullen groen'!O54)),"")</f>
        <v/>
      </c>
      <c r="J42" s="234">
        <f>IF('Invullen groen'!E54&gt;0,IFERROR($K$1&amp;" "&amp;TRIM(SUBSTITUTE(SUBSTITUTE(SUBSTITUTE(SUBSTITUTE(SUBSTITUTE(SUBSTITUTE(SUBSTITUTE(SUBSTITUTE(SUBSTITUTE(SUBSTITUTE(SUBSTITUTE(SUBSTITUTE(LOWER(IF(LEFT(TEXT('Invullen groen'!E54,"0"),1)="6",'Invullen groen'!K54,IF('Invullen groen'!J54&gt;0,'Invullen groen'!G54,'Invullen groen'!K54))),"2024",""),"2025",""),"2026",""),"2027",""),"2028",""),"2029",""),"taakveld ",""),"installaties","inst"),"ruwbouw","ruwb"),"afbouw","afb"),"bijstelling","bijst"),"investeringen","invest")),""),"")</f>
        <v/>
      </c>
      <c r="K42" s="234" t="n"/>
      <c r="L42" s="234" t="n"/>
      <c r="M42" s="234" t="n"/>
      <c r="N42" s="234" t="n"/>
    </row>
    <row r="43">
      <c r="A43" s="234">
        <f>IFERROR(IF('Invullen groen'!E55&gt;0,'Invullen groen'!E55,""),"")</f>
        <v/>
      </c>
      <c r="B43" s="234">
        <f>IFERROR(IF('Invullen groen'!H55&gt;0,'Invullen groen'!H55,""),"")</f>
        <v/>
      </c>
      <c r="C43" s="234">
        <f>IFERROR(IF('Invullen groen'!J55&gt;0,'Invullen groen'!J55,""),"")</f>
        <v/>
      </c>
      <c r="D43" s="234" t="n"/>
      <c r="E43" s="234">
        <f>IFERROR(IF(LEN(J43)&lt;=36,J43,IFERROR(LEFT(J43,FIND(CHAR(1),SUBSTITUTE(LEFT(J43,36)," ",CHAR(1),LEN(LEFT(J43,36))-LEN(SUBSTITUTE(LEFT(J43,36)," ",""))))-1),LEFT(J43,36))),"")</f>
        <v/>
      </c>
      <c r="F43" s="235">
        <f>IFERROR(IF('Invullen groen'!L55=0,"",INT('Invullen groen'!L55)),"")</f>
        <v/>
      </c>
      <c r="G43" s="235">
        <f>IFERROR(IF('Invullen groen'!M55=0,"",INT('Invullen groen'!M55)),"")</f>
        <v/>
      </c>
      <c r="H43" s="235">
        <f>IFERROR(IF('Invullen groen'!N55=0,"",INT('Invullen groen'!N55)),"")</f>
        <v/>
      </c>
      <c r="I43" s="235">
        <f>IFERROR(IF('Invullen groen'!O55=0,"",INT('Invullen groen'!O55)),"")</f>
        <v/>
      </c>
      <c r="J43" s="234">
        <f>IF('Invullen groen'!E55&gt;0,IFERROR($K$1&amp;" "&amp;TRIM(SUBSTITUTE(SUBSTITUTE(SUBSTITUTE(SUBSTITUTE(SUBSTITUTE(SUBSTITUTE(SUBSTITUTE(SUBSTITUTE(SUBSTITUTE(SUBSTITUTE(SUBSTITUTE(SUBSTITUTE(LOWER(IF(LEFT(TEXT('Invullen groen'!E55,"0"),1)="6",'Invullen groen'!K55,IF('Invullen groen'!J55&gt;0,'Invullen groen'!G55,'Invullen groen'!K55))),"2024",""),"2025",""),"2026",""),"2027",""),"2028",""),"2029",""),"taakveld ",""),"installaties","inst"),"ruwbouw","ruwb"),"afbouw","afb"),"bijstelling","bijst"),"investeringen","invest")),""),"")</f>
        <v/>
      </c>
      <c r="K43" s="234" t="n"/>
      <c r="L43" s="234" t="n"/>
      <c r="M43" s="234" t="n"/>
      <c r="N43" s="234" t="n"/>
    </row>
    <row r="44">
      <c r="A44" s="234">
        <f>IFERROR(IF('Invullen groen'!E56&gt;0,'Invullen groen'!E56,""),"")</f>
        <v/>
      </c>
      <c r="B44" s="234">
        <f>IFERROR(IF('Invullen groen'!H56&gt;0,'Invullen groen'!H56,""),"")</f>
        <v/>
      </c>
      <c r="C44" s="234">
        <f>IFERROR(IF('Invullen groen'!J56&gt;0,'Invullen groen'!J56,""),"")</f>
        <v/>
      </c>
      <c r="D44" s="234" t="n"/>
      <c r="E44" s="234">
        <f>IFERROR(IF(LEN(J44)&lt;=36,J44,IFERROR(LEFT(J44,FIND(CHAR(1),SUBSTITUTE(LEFT(J44,36)," ",CHAR(1),LEN(LEFT(J44,36))-LEN(SUBSTITUTE(LEFT(J44,36)," ",""))))-1),LEFT(J44,36))),"")</f>
        <v/>
      </c>
      <c r="F44" s="235">
        <f>IFERROR(IF('Invullen groen'!L56=0,"",INT('Invullen groen'!L56)),"")</f>
        <v/>
      </c>
      <c r="G44" s="235">
        <f>IFERROR(IF('Invullen groen'!M56=0,"",INT('Invullen groen'!M56)),"")</f>
        <v/>
      </c>
      <c r="H44" s="235">
        <f>IFERROR(IF('Invullen groen'!N56=0,"",INT('Invullen groen'!N56)),"")</f>
        <v/>
      </c>
      <c r="I44" s="235">
        <f>IFERROR(IF('Invullen groen'!O56=0,"",INT('Invullen groen'!O56)),"")</f>
        <v/>
      </c>
      <c r="J44" s="234">
        <f>IF('Invullen groen'!E56&gt;0,IFERROR($K$1&amp;" "&amp;TRIM(SUBSTITUTE(SUBSTITUTE(SUBSTITUTE(SUBSTITUTE(SUBSTITUTE(SUBSTITUTE(SUBSTITUTE(SUBSTITUTE(SUBSTITUTE(SUBSTITUTE(SUBSTITUTE(SUBSTITUTE(LOWER(IF(LEFT(TEXT('Invullen groen'!E56,"0"),1)="6",'Invullen groen'!K56,IF('Invullen groen'!J56&gt;0,'Invullen groen'!G56,'Invullen groen'!K56))),"2024",""),"2025",""),"2026",""),"2027",""),"2028",""),"2029",""),"taakveld ",""),"installaties","inst"),"ruwbouw","ruwb"),"afbouw","afb"),"bijstelling","bijst"),"investeringen","invest")),""),"")</f>
        <v/>
      </c>
      <c r="K44" s="234" t="n"/>
      <c r="L44" s="234" t="n"/>
      <c r="M44" s="234" t="n"/>
      <c r="N44" s="234" t="n"/>
    </row>
    <row r="45">
      <c r="A45" s="234">
        <f>IFERROR(IF('Invullen groen'!E57&gt;0,'Invullen groen'!E57,""),"")</f>
        <v/>
      </c>
      <c r="B45" s="234">
        <f>IFERROR(IF('Invullen groen'!H57&gt;0,'Invullen groen'!H57,""),"")</f>
        <v/>
      </c>
      <c r="C45" s="234">
        <f>IFERROR(IF('Invullen groen'!J57&gt;0,'Invullen groen'!J57,""),"")</f>
        <v/>
      </c>
      <c r="D45" s="234" t="n"/>
      <c r="E45" s="234">
        <f>IFERROR(IF(LEN(J45)&lt;=36,J45,IFERROR(LEFT(J45,FIND(CHAR(1),SUBSTITUTE(LEFT(J45,36)," ",CHAR(1),LEN(LEFT(J45,36))-LEN(SUBSTITUTE(LEFT(J45,36)," ",""))))-1),LEFT(J45,36))),"")</f>
        <v/>
      </c>
      <c r="F45" s="235">
        <f>IFERROR(IF('Invullen groen'!L57=0,"",INT('Invullen groen'!L57)),"")</f>
        <v/>
      </c>
      <c r="G45" s="235">
        <f>IFERROR(IF('Invullen groen'!M57=0,"",INT('Invullen groen'!M57)),"")</f>
        <v/>
      </c>
      <c r="H45" s="235">
        <f>IFERROR(IF('Invullen groen'!N57=0,"",INT('Invullen groen'!N57)),"")</f>
        <v/>
      </c>
      <c r="I45" s="235">
        <f>IFERROR(IF('Invullen groen'!O57=0,"",INT('Invullen groen'!O57)),"")</f>
        <v/>
      </c>
      <c r="J45" s="234">
        <f>IF('Invullen groen'!E57&gt;0,IFERROR($K$1&amp;" "&amp;TRIM(SUBSTITUTE(SUBSTITUTE(SUBSTITUTE(SUBSTITUTE(SUBSTITUTE(SUBSTITUTE(SUBSTITUTE(SUBSTITUTE(SUBSTITUTE(SUBSTITUTE(SUBSTITUTE(SUBSTITUTE(LOWER(IF(LEFT(TEXT('Invullen groen'!E57,"0"),1)="6",'Invullen groen'!K57,IF('Invullen groen'!J57&gt;0,'Invullen groen'!G57,'Invullen groen'!K57))),"2024",""),"2025",""),"2026",""),"2027",""),"2028",""),"2029",""),"taakveld ",""),"installaties","inst"),"ruwbouw","ruwb"),"afbouw","afb"),"bijstelling","bijst"),"investeringen","invest")),""),"")</f>
        <v/>
      </c>
      <c r="K45" s="234" t="n"/>
      <c r="L45" s="234" t="n"/>
      <c r="M45" s="234" t="n"/>
      <c r="N45" s="234" t="n"/>
    </row>
    <row r="46">
      <c r="A46" s="234">
        <f>IFERROR(IF('Invullen groen'!E58&gt;0,'Invullen groen'!E58,""),"")</f>
        <v/>
      </c>
      <c r="B46" s="234">
        <f>IFERROR(IF('Invullen groen'!H58&gt;0,'Invullen groen'!H58,""),"")</f>
        <v/>
      </c>
      <c r="C46" s="234">
        <f>IFERROR(IF('Invullen groen'!J58&gt;0,'Invullen groen'!J58,""),"")</f>
        <v/>
      </c>
      <c r="D46" s="234" t="n"/>
      <c r="E46" s="234">
        <f>IFERROR(IF(LEN(J46)&lt;=36,J46,IFERROR(LEFT(J46,FIND(CHAR(1),SUBSTITUTE(LEFT(J46,36)," ",CHAR(1),LEN(LEFT(J46,36))-LEN(SUBSTITUTE(LEFT(J46,36)," ",""))))-1),LEFT(J46,36))),"")</f>
        <v/>
      </c>
      <c r="F46" s="235">
        <f>IFERROR(IF('Invullen groen'!L58=0,"",INT('Invullen groen'!L58)),"")</f>
        <v/>
      </c>
      <c r="G46" s="235">
        <f>IFERROR(IF('Invullen groen'!M58=0,"",INT('Invullen groen'!M58)),"")</f>
        <v/>
      </c>
      <c r="H46" s="235">
        <f>IFERROR(IF('Invullen groen'!N58=0,"",INT('Invullen groen'!N58)),"")</f>
        <v/>
      </c>
      <c r="I46" s="235">
        <f>IFERROR(IF('Invullen groen'!O58=0,"",INT('Invullen groen'!O58)),"")</f>
        <v/>
      </c>
      <c r="J46" s="234">
        <f>IF('Invullen groen'!E58&gt;0,IFERROR($K$1&amp;" "&amp;TRIM(SUBSTITUTE(SUBSTITUTE(SUBSTITUTE(SUBSTITUTE(SUBSTITUTE(SUBSTITUTE(SUBSTITUTE(SUBSTITUTE(SUBSTITUTE(SUBSTITUTE(SUBSTITUTE(SUBSTITUTE(LOWER(IF(LEFT(TEXT('Invullen groen'!E58,"0"),1)="6",'Invullen groen'!K58,IF('Invullen groen'!J58&gt;0,'Invullen groen'!G58,'Invullen groen'!K58))),"2024",""),"2025",""),"2026",""),"2027",""),"2028",""),"2029",""),"taakveld ",""),"installaties","inst"),"ruwbouw","ruwb"),"afbouw","afb"),"bijstelling","bijst"),"investeringen","invest")),""),"")</f>
        <v/>
      </c>
      <c r="K46" s="234" t="n"/>
      <c r="L46" s="234" t="n"/>
      <c r="M46" s="234" t="n"/>
      <c r="N46" s="234" t="n"/>
    </row>
    <row r="47">
      <c r="A47" s="234">
        <f>IFERROR(IF('Invullen groen'!E59&gt;0,'Invullen groen'!E59,""),"")</f>
        <v/>
      </c>
      <c r="B47" s="234">
        <f>IFERROR(IF('Invullen groen'!H59&gt;0,'Invullen groen'!H59,""),"")</f>
        <v/>
      </c>
      <c r="C47" s="234">
        <f>IFERROR(IF('Invullen groen'!J59&gt;0,'Invullen groen'!J59,""),"")</f>
        <v/>
      </c>
      <c r="D47" s="234" t="n"/>
      <c r="E47" s="234">
        <f>IFERROR(IF(LEN(J47)&lt;=36,J47,IFERROR(LEFT(J47,FIND(CHAR(1),SUBSTITUTE(LEFT(J47,36)," ",CHAR(1),LEN(LEFT(J47,36))-LEN(SUBSTITUTE(LEFT(J47,36)," ",""))))-1),LEFT(J47,36))),"")</f>
        <v/>
      </c>
      <c r="F47" s="235">
        <f>IFERROR(IF('Invullen groen'!L59=0,"",INT('Invullen groen'!L59)),"")</f>
        <v/>
      </c>
      <c r="G47" s="235">
        <f>IFERROR(IF('Invullen groen'!M59=0,"",INT('Invullen groen'!M59)),"")</f>
        <v/>
      </c>
      <c r="H47" s="235">
        <f>IFERROR(IF('Invullen groen'!N59=0,"",INT('Invullen groen'!N59)),"")</f>
        <v/>
      </c>
      <c r="I47" s="235">
        <f>IFERROR(IF('Invullen groen'!O59=0,"",INT('Invullen groen'!O59)),"")</f>
        <v/>
      </c>
      <c r="J47" s="234">
        <f>IF('Invullen groen'!E59&gt;0,IFERROR($K$1&amp;" "&amp;TRIM(SUBSTITUTE(SUBSTITUTE(SUBSTITUTE(SUBSTITUTE(SUBSTITUTE(SUBSTITUTE(SUBSTITUTE(SUBSTITUTE(SUBSTITUTE(SUBSTITUTE(SUBSTITUTE(SUBSTITUTE(LOWER(IF(LEFT(TEXT('Invullen groen'!E59,"0"),1)="6",'Invullen groen'!K59,IF('Invullen groen'!J59&gt;0,'Invullen groen'!G59,'Invullen groen'!K59))),"2024",""),"2025",""),"2026",""),"2027",""),"2028",""),"2029",""),"taakveld ",""),"installaties","inst"),"ruwbouw","ruwb"),"afbouw","afb"),"bijstelling","bijst"),"investeringen","invest")),""),"")</f>
        <v/>
      </c>
      <c r="K47" s="234" t="n"/>
      <c r="L47" s="234" t="n"/>
      <c r="M47" s="234" t="n"/>
      <c r="N47" s="234" t="n"/>
    </row>
    <row r="48">
      <c r="A48" s="234">
        <f>IFERROR(IF('Invullen groen'!E60&gt;0,'Invullen groen'!E60,""),"")</f>
        <v/>
      </c>
      <c r="B48" s="234">
        <f>IFERROR(IF('Invullen groen'!H60&gt;0,'Invullen groen'!H60,""),"")</f>
        <v/>
      </c>
      <c r="C48" s="234">
        <f>IFERROR(IF('Invullen groen'!J60&gt;0,'Invullen groen'!J60,""),"")</f>
        <v/>
      </c>
      <c r="D48" s="234" t="n"/>
      <c r="E48" s="234">
        <f>IFERROR(IF(LEN(J48)&lt;=36,J48,IFERROR(LEFT(J48,FIND(CHAR(1),SUBSTITUTE(LEFT(J48,36)," ",CHAR(1),LEN(LEFT(J48,36))-LEN(SUBSTITUTE(LEFT(J48,36)," ",""))))-1),LEFT(J48,36))),"")</f>
        <v/>
      </c>
      <c r="F48" s="235">
        <f>IFERROR(IF('Invullen groen'!L60=0,"",INT('Invullen groen'!L60)),"")</f>
        <v/>
      </c>
      <c r="G48" s="235">
        <f>IFERROR(IF('Invullen groen'!M60=0,"",INT('Invullen groen'!M60)),"")</f>
        <v/>
      </c>
      <c r="H48" s="235">
        <f>IFERROR(IF('Invullen groen'!N60=0,"",INT('Invullen groen'!N60)),"")</f>
        <v/>
      </c>
      <c r="I48" s="235">
        <f>IFERROR(IF('Invullen groen'!O60=0,"",INT('Invullen groen'!O60)),"")</f>
        <v/>
      </c>
      <c r="J48" s="234">
        <f>IF('Invullen groen'!E60&gt;0,IFERROR($K$1&amp;" "&amp;TRIM(SUBSTITUTE(SUBSTITUTE(SUBSTITUTE(SUBSTITUTE(SUBSTITUTE(SUBSTITUTE(SUBSTITUTE(SUBSTITUTE(SUBSTITUTE(SUBSTITUTE(SUBSTITUTE(SUBSTITUTE(LOWER(IF(LEFT(TEXT('Invullen groen'!E60,"0"),1)="6",'Invullen groen'!K60,IF('Invullen groen'!J60&gt;0,'Invullen groen'!G60,'Invullen groen'!K60))),"2024",""),"2025",""),"2026",""),"2027",""),"2028",""),"2029",""),"taakveld ",""),"installaties","inst"),"ruwbouw","ruwb"),"afbouw","afb"),"bijstelling","bijst"),"investeringen","invest")),""),"")</f>
        <v/>
      </c>
      <c r="K48" s="234" t="n"/>
      <c r="L48" s="234" t="n"/>
      <c r="M48" s="234" t="n"/>
      <c r="N48" s="234" t="n"/>
    </row>
    <row r="49">
      <c r="A49" s="234">
        <f>IFERROR(IF('Invullen groen'!E61&gt;0,'Invullen groen'!E61,""),"")</f>
        <v/>
      </c>
      <c r="B49" s="234">
        <f>IFERROR(IF('Invullen groen'!H61&gt;0,'Invullen groen'!H61,""),"")</f>
        <v/>
      </c>
      <c r="C49" s="234">
        <f>IFERROR(IF('Invullen groen'!J61&gt;0,'Invullen groen'!J61,""),"")</f>
        <v/>
      </c>
      <c r="D49" s="234" t="n"/>
      <c r="E49" s="234">
        <f>IFERROR(IF(LEN(J49)&lt;=36,J49,IFERROR(LEFT(J49,FIND(CHAR(1),SUBSTITUTE(LEFT(J49,36)," ",CHAR(1),LEN(LEFT(J49,36))-LEN(SUBSTITUTE(LEFT(J49,36)," ",""))))-1),LEFT(J49,36))),"")</f>
        <v/>
      </c>
      <c r="F49" s="235">
        <f>IFERROR(IF('Invullen groen'!L61=0,"",INT('Invullen groen'!L61)),"")</f>
        <v/>
      </c>
      <c r="G49" s="235">
        <f>IFERROR(IF('Invullen groen'!M61=0,"",INT('Invullen groen'!M61)),"")</f>
        <v/>
      </c>
      <c r="H49" s="235">
        <f>IFERROR(IF('Invullen groen'!N61=0,"",INT('Invullen groen'!N61)),"")</f>
        <v/>
      </c>
      <c r="I49" s="235">
        <f>IFERROR(IF('Invullen groen'!O61=0,"",INT('Invullen groen'!O61)),"")</f>
        <v/>
      </c>
      <c r="J49" s="234">
        <f>IF('Invullen groen'!E61&gt;0,IFERROR($K$1&amp;" "&amp;TRIM(SUBSTITUTE(SUBSTITUTE(SUBSTITUTE(SUBSTITUTE(SUBSTITUTE(SUBSTITUTE(SUBSTITUTE(SUBSTITUTE(SUBSTITUTE(SUBSTITUTE(SUBSTITUTE(SUBSTITUTE(LOWER(IF(LEFT(TEXT('Invullen groen'!E61,"0"),1)="6",'Invullen groen'!K61,IF('Invullen groen'!J61&gt;0,'Invullen groen'!G61,'Invullen groen'!K61))),"2024",""),"2025",""),"2026",""),"2027",""),"2028",""),"2029",""),"taakveld ",""),"installaties","inst"),"ruwbouw","ruwb"),"afbouw","afb"),"bijstelling","bijst"),"investeringen","invest")),""),"")</f>
        <v/>
      </c>
      <c r="K49" s="234" t="n"/>
      <c r="L49" s="234" t="n"/>
      <c r="M49" s="234" t="n"/>
      <c r="N49" s="234" t="n"/>
    </row>
    <row r="50">
      <c r="A50" s="234">
        <f>IFERROR(IF('Invullen groen'!E62&gt;0,'Invullen groen'!E62,""),"")</f>
        <v/>
      </c>
      <c r="B50" s="234">
        <f>IFERROR(IF('Invullen groen'!H62&gt;0,'Invullen groen'!H62,""),"")</f>
        <v/>
      </c>
      <c r="C50" s="234">
        <f>IFERROR(IF('Invullen groen'!J62&gt;0,'Invullen groen'!J62,""),"")</f>
        <v/>
      </c>
      <c r="D50" s="234" t="n"/>
      <c r="E50" s="234">
        <f>IFERROR(IF(LEN(J50)&lt;=36,J50,IFERROR(LEFT(J50,FIND(CHAR(1),SUBSTITUTE(LEFT(J50,36)," ",CHAR(1),LEN(LEFT(J50,36))-LEN(SUBSTITUTE(LEFT(J50,36)," ",""))))-1),LEFT(J50,36))),"")</f>
        <v/>
      </c>
      <c r="F50" s="235">
        <f>IFERROR(IF('Invullen groen'!L62=0,"",INT('Invullen groen'!L62)),"")</f>
        <v/>
      </c>
      <c r="G50" s="235">
        <f>IFERROR(IF('Invullen groen'!M62=0,"",INT('Invullen groen'!M62)),"")</f>
        <v/>
      </c>
      <c r="H50" s="235">
        <f>IFERROR(IF('Invullen groen'!N62=0,"",INT('Invullen groen'!N62)),"")</f>
        <v/>
      </c>
      <c r="I50" s="235">
        <f>IFERROR(IF('Invullen groen'!O62=0,"",INT('Invullen groen'!O62)),"")</f>
        <v/>
      </c>
      <c r="J50" s="234">
        <f>IF('Invullen groen'!E62&gt;0,IFERROR($K$1&amp;" "&amp;TRIM(SUBSTITUTE(SUBSTITUTE(SUBSTITUTE(SUBSTITUTE(SUBSTITUTE(SUBSTITUTE(SUBSTITUTE(SUBSTITUTE(SUBSTITUTE(SUBSTITUTE(SUBSTITUTE(SUBSTITUTE(LOWER(IF(LEFT(TEXT('Invullen groen'!E62,"0"),1)="6",'Invullen groen'!K62,IF('Invullen groen'!J62&gt;0,'Invullen groen'!G62,'Invullen groen'!K62))),"2024",""),"2025",""),"2026",""),"2027",""),"2028",""),"2029",""),"taakveld ",""),"installaties","inst"),"ruwbouw","ruwb"),"afbouw","afb"),"bijstelling","bijst"),"investeringen","invest")),""),"")</f>
        <v/>
      </c>
      <c r="K50" s="234" t="n"/>
      <c r="L50" s="234" t="n"/>
      <c r="M50" s="234" t="n"/>
      <c r="N50" s="234" t="n"/>
    </row>
    <row r="51">
      <c r="A51" s="234">
        <f>IFERROR(IF('Invullen groen'!E63&gt;0,'Invullen groen'!E63,""),"")</f>
        <v/>
      </c>
      <c r="B51" s="234">
        <f>IFERROR(IF('Invullen groen'!H63&gt;0,'Invullen groen'!H63,""),"")</f>
        <v/>
      </c>
      <c r="C51" s="234">
        <f>IFERROR(IF('Invullen groen'!J63&gt;0,'Invullen groen'!J63,""),"")</f>
        <v/>
      </c>
      <c r="D51" s="234" t="n"/>
      <c r="E51" s="234">
        <f>IFERROR(IF(LEN(J51)&lt;=36,J51,IFERROR(LEFT(J51,FIND(CHAR(1),SUBSTITUTE(LEFT(J51,36)," ",CHAR(1),LEN(LEFT(J51,36))-LEN(SUBSTITUTE(LEFT(J51,36)," ",""))))-1),LEFT(J51,36))),"")</f>
        <v/>
      </c>
      <c r="F51" s="235">
        <f>IFERROR(IF('Invullen groen'!L63=0,"",INT('Invullen groen'!L63)),"")</f>
        <v/>
      </c>
      <c r="G51" s="235">
        <f>IFERROR(IF('Invullen groen'!M63=0,"",INT('Invullen groen'!M63)),"")</f>
        <v/>
      </c>
      <c r="H51" s="235">
        <f>IFERROR(IF('Invullen groen'!N63=0,"",INT('Invullen groen'!N63)),"")</f>
        <v/>
      </c>
      <c r="I51" s="235">
        <f>IFERROR(IF('Invullen groen'!O63=0,"",INT('Invullen groen'!O63)),"")</f>
        <v/>
      </c>
      <c r="J51" s="234">
        <f>IF('Invullen groen'!E63&gt;0,IFERROR($K$1&amp;" "&amp;TRIM(SUBSTITUTE(SUBSTITUTE(SUBSTITUTE(SUBSTITUTE(SUBSTITUTE(SUBSTITUTE(SUBSTITUTE(SUBSTITUTE(SUBSTITUTE(SUBSTITUTE(SUBSTITUTE(SUBSTITUTE(LOWER(IF(LEFT(TEXT('Invullen groen'!E63,"0"),1)="6",'Invullen groen'!K63,IF('Invullen groen'!J63&gt;0,'Invullen groen'!G63,'Invullen groen'!K63))),"2024",""),"2025",""),"2026",""),"2027",""),"2028",""),"2029",""),"taakveld ",""),"installaties","inst"),"ruwbouw","ruwb"),"afbouw","afb"),"bijstelling","bijst"),"investeringen","invest")),""),"")</f>
        <v/>
      </c>
      <c r="K51" s="234" t="n"/>
      <c r="L51" s="234" t="n"/>
      <c r="M51" s="234" t="n"/>
      <c r="N51" s="234" t="n"/>
    </row>
    <row r="52">
      <c r="A52" s="234">
        <f>IFERROR(IF('Invullen groen'!E64&gt;0,'Invullen groen'!E64,""),"")</f>
        <v/>
      </c>
      <c r="B52" s="234">
        <f>IFERROR(IF('Invullen groen'!H64&gt;0,'Invullen groen'!H64,""),"")</f>
        <v/>
      </c>
      <c r="C52" s="234">
        <f>IFERROR(IF('Invullen groen'!J64&gt;0,'Invullen groen'!J64,""),"")</f>
        <v/>
      </c>
      <c r="D52" s="234" t="n"/>
      <c r="E52" s="234">
        <f>IFERROR(IF(LEN(J52)&lt;=36,J52,IFERROR(LEFT(J52,FIND(CHAR(1),SUBSTITUTE(LEFT(J52,36)," ",CHAR(1),LEN(LEFT(J52,36))-LEN(SUBSTITUTE(LEFT(J52,36)," ",""))))-1),LEFT(J52,36))),"")</f>
        <v/>
      </c>
      <c r="F52" s="235">
        <f>IFERROR(IF('Invullen groen'!L64=0,"",INT('Invullen groen'!L64)),"")</f>
        <v/>
      </c>
      <c r="G52" s="235">
        <f>IFERROR(IF('Invullen groen'!M64=0,"",INT('Invullen groen'!M64)),"")</f>
        <v/>
      </c>
      <c r="H52" s="235">
        <f>IFERROR(IF('Invullen groen'!N64=0,"",INT('Invullen groen'!N64)),"")</f>
        <v/>
      </c>
      <c r="I52" s="235">
        <f>IFERROR(IF('Invullen groen'!O64=0,"",INT('Invullen groen'!O64)),"")</f>
        <v/>
      </c>
      <c r="J52" s="234">
        <f>IF('Invullen groen'!E64&gt;0,IFERROR($K$1&amp;" "&amp;TRIM(SUBSTITUTE(SUBSTITUTE(SUBSTITUTE(SUBSTITUTE(SUBSTITUTE(SUBSTITUTE(SUBSTITUTE(SUBSTITUTE(SUBSTITUTE(SUBSTITUTE(SUBSTITUTE(SUBSTITUTE(LOWER(IF(LEFT(TEXT('Invullen groen'!E64,"0"),1)="6",'Invullen groen'!K64,IF('Invullen groen'!J64&gt;0,'Invullen groen'!G64,'Invullen groen'!K64))),"2024",""),"2025",""),"2026",""),"2027",""),"2028",""),"2029",""),"taakveld ",""),"installaties","inst"),"ruwbouw","ruwb"),"afbouw","afb"),"bijstelling","bijst"),"investeringen","invest")),""),"")</f>
        <v/>
      </c>
      <c r="K52" s="234" t="n"/>
      <c r="L52" s="234" t="n"/>
      <c r="M52" s="234" t="n"/>
      <c r="N52" s="234" t="n"/>
    </row>
    <row r="53">
      <c r="A53" s="234">
        <f>IFERROR(IF('Invullen groen'!E65&gt;0,'Invullen groen'!E65,""),"")</f>
        <v/>
      </c>
      <c r="B53" s="234">
        <f>IFERROR(IF('Invullen groen'!H65&gt;0,'Invullen groen'!H65,""),"")</f>
        <v/>
      </c>
      <c r="C53" s="234">
        <f>IFERROR(IF('Invullen groen'!J65&gt;0,'Invullen groen'!J65,""),"")</f>
        <v/>
      </c>
      <c r="D53" s="234" t="n"/>
      <c r="E53" s="234">
        <f>IFERROR(IF(LEN(J53)&lt;=36,J53,IFERROR(LEFT(J53,FIND(CHAR(1),SUBSTITUTE(LEFT(J53,36)," ",CHAR(1),LEN(LEFT(J53,36))-LEN(SUBSTITUTE(LEFT(J53,36)," ",""))))-1),LEFT(J53,36))),"")</f>
        <v/>
      </c>
      <c r="F53" s="235">
        <f>IFERROR(IF('Invullen groen'!L65=0,"",INT('Invullen groen'!L65)),"")</f>
        <v/>
      </c>
      <c r="G53" s="235">
        <f>IFERROR(IF('Invullen groen'!M65=0,"",INT('Invullen groen'!M65)),"")</f>
        <v/>
      </c>
      <c r="H53" s="235">
        <f>IFERROR(IF('Invullen groen'!N65=0,"",INT('Invullen groen'!N65)),"")</f>
        <v/>
      </c>
      <c r="I53" s="235">
        <f>IFERROR(IF('Invullen groen'!O65=0,"",INT('Invullen groen'!O65)),"")</f>
        <v/>
      </c>
      <c r="J53" s="234">
        <f>IF('Invullen groen'!E65&gt;0,IFERROR($K$1&amp;" "&amp;TRIM(SUBSTITUTE(SUBSTITUTE(SUBSTITUTE(SUBSTITUTE(SUBSTITUTE(SUBSTITUTE(SUBSTITUTE(SUBSTITUTE(SUBSTITUTE(SUBSTITUTE(SUBSTITUTE(SUBSTITUTE(LOWER(IF(LEFT(TEXT('Invullen groen'!E65,"0"),1)="6",'Invullen groen'!K65,IF('Invullen groen'!J65&gt;0,'Invullen groen'!G65,'Invullen groen'!K65))),"2024",""),"2025",""),"2026",""),"2027",""),"2028",""),"2029",""),"taakveld ",""),"installaties","inst"),"ruwbouw","ruwb"),"afbouw","afb"),"bijstelling","bijst"),"investeringen","invest")),""),"")</f>
        <v/>
      </c>
      <c r="K53" s="234" t="n"/>
      <c r="L53" s="234" t="n"/>
      <c r="M53" s="234" t="n"/>
      <c r="N53" s="234" t="n"/>
    </row>
    <row r="54">
      <c r="A54" s="234">
        <f>IFERROR(IF('Invullen groen'!E66&gt;0,'Invullen groen'!E66,""),"")</f>
        <v/>
      </c>
      <c r="B54" s="234">
        <f>IFERROR(IF('Invullen groen'!H66&gt;0,'Invullen groen'!H66,""),"")</f>
        <v/>
      </c>
      <c r="C54" s="234">
        <f>IFERROR(IF('Invullen groen'!J66&gt;0,'Invullen groen'!J66,""),"")</f>
        <v/>
      </c>
      <c r="D54" s="234" t="n"/>
      <c r="E54" s="234">
        <f>IFERROR(IF(LEN(J54)&lt;=36,J54,IFERROR(LEFT(J54,FIND(CHAR(1),SUBSTITUTE(LEFT(J54,36)," ",CHAR(1),LEN(LEFT(J54,36))-LEN(SUBSTITUTE(LEFT(J54,36)," ",""))))-1),LEFT(J54,36))),"")</f>
        <v/>
      </c>
      <c r="F54" s="235">
        <f>IFERROR(IF('Invullen groen'!L66=0,"",INT('Invullen groen'!L66)),"")</f>
        <v/>
      </c>
      <c r="G54" s="235">
        <f>IFERROR(IF('Invullen groen'!M66=0,"",INT('Invullen groen'!M66)),"")</f>
        <v/>
      </c>
      <c r="H54" s="235">
        <f>IFERROR(IF('Invullen groen'!N66=0,"",INT('Invullen groen'!N66)),"")</f>
        <v/>
      </c>
      <c r="I54" s="235">
        <f>IFERROR(IF('Invullen groen'!O66=0,"",INT('Invullen groen'!O66)),"")</f>
        <v/>
      </c>
      <c r="J54" s="234">
        <f>IF('Invullen groen'!E66&gt;0,IFERROR($K$1&amp;" "&amp;TRIM(SUBSTITUTE(SUBSTITUTE(SUBSTITUTE(SUBSTITUTE(SUBSTITUTE(SUBSTITUTE(SUBSTITUTE(SUBSTITUTE(SUBSTITUTE(SUBSTITUTE(SUBSTITUTE(SUBSTITUTE(LOWER(IF(LEFT(TEXT('Invullen groen'!E66,"0"),1)="6",'Invullen groen'!K66,IF('Invullen groen'!J66&gt;0,'Invullen groen'!G66,'Invullen groen'!K66))),"2024",""),"2025",""),"2026",""),"2027",""),"2028",""),"2029",""),"taakveld ",""),"installaties","inst"),"ruwbouw","ruwb"),"afbouw","afb"),"bijstelling","bijst"),"investeringen","invest")),""),"")</f>
        <v/>
      </c>
      <c r="K54" s="234" t="n"/>
      <c r="L54" s="234" t="n"/>
      <c r="M54" s="234" t="n"/>
      <c r="N54" s="234" t="n"/>
    </row>
    <row r="55">
      <c r="A55" s="234">
        <f>IFERROR(IF('Invullen groen'!E67&gt;0,'Invullen groen'!E67,""),"")</f>
        <v/>
      </c>
      <c r="B55" s="234">
        <f>IFERROR(IF('Invullen groen'!H67&gt;0,'Invullen groen'!H67,""),"")</f>
        <v/>
      </c>
      <c r="C55" s="234">
        <f>IFERROR(IF('Invullen groen'!J67&gt;0,'Invullen groen'!J67,""),"")</f>
        <v/>
      </c>
      <c r="D55" s="234" t="n"/>
      <c r="E55" s="234">
        <f>IFERROR(IF(LEN(J55)&lt;=36,J55,IFERROR(LEFT(J55,FIND(CHAR(1),SUBSTITUTE(LEFT(J55,36)," ",CHAR(1),LEN(LEFT(J55,36))-LEN(SUBSTITUTE(LEFT(J55,36)," ",""))))-1),LEFT(J55,36))),"")</f>
        <v/>
      </c>
      <c r="F55" s="235">
        <f>IFERROR(IF('Invullen groen'!L67=0,"",INT('Invullen groen'!L67)),"")</f>
        <v/>
      </c>
      <c r="G55" s="235">
        <f>IFERROR(IF('Invullen groen'!M67=0,"",INT('Invullen groen'!M67)),"")</f>
        <v/>
      </c>
      <c r="H55" s="235">
        <f>IFERROR(IF('Invullen groen'!N67=0,"",INT('Invullen groen'!N67)),"")</f>
        <v/>
      </c>
      <c r="I55" s="235">
        <f>IFERROR(IF('Invullen groen'!O67=0,"",INT('Invullen groen'!O67)),"")</f>
        <v/>
      </c>
      <c r="J55" s="234">
        <f>IF('Invullen groen'!E67&gt;0,IFERROR($K$1&amp;" "&amp;TRIM(SUBSTITUTE(SUBSTITUTE(SUBSTITUTE(SUBSTITUTE(SUBSTITUTE(SUBSTITUTE(SUBSTITUTE(SUBSTITUTE(SUBSTITUTE(SUBSTITUTE(SUBSTITUTE(SUBSTITUTE(LOWER(IF(LEFT(TEXT('Invullen groen'!E67,"0"),1)="6",'Invullen groen'!K67,IF('Invullen groen'!J67&gt;0,'Invullen groen'!G67,'Invullen groen'!K67))),"2024",""),"2025",""),"2026",""),"2027",""),"2028",""),"2029",""),"taakveld ",""),"installaties","inst"),"ruwbouw","ruwb"),"afbouw","afb"),"bijstelling","bijst"),"investeringen","invest")),""),"")</f>
        <v/>
      </c>
      <c r="K55" s="234" t="n"/>
      <c r="L55" s="234" t="n"/>
      <c r="M55" s="234" t="n"/>
      <c r="N55" s="234" t="n"/>
    </row>
    <row r="56">
      <c r="A56" s="234">
        <f>IFERROR(IF('Invullen groen'!E68&gt;0,'Invullen groen'!E68,""),"")</f>
        <v/>
      </c>
      <c r="B56" s="234">
        <f>IFERROR(IF('Invullen groen'!H68&gt;0,'Invullen groen'!H68,""),"")</f>
        <v/>
      </c>
      <c r="C56" s="234">
        <f>IFERROR(IF('Invullen groen'!J68&gt;0,'Invullen groen'!J68,""),"")</f>
        <v/>
      </c>
      <c r="D56" s="234" t="n"/>
      <c r="E56" s="234">
        <f>IFERROR(IF(LEN(J56)&lt;=36,J56,IFERROR(LEFT(J56,FIND(CHAR(1),SUBSTITUTE(LEFT(J56,36)," ",CHAR(1),LEN(LEFT(J56,36))-LEN(SUBSTITUTE(LEFT(J56,36)," ",""))))-1),LEFT(J56,36))),"")</f>
        <v/>
      </c>
      <c r="F56" s="235">
        <f>IFERROR(IF('Invullen groen'!L68=0,"",INT('Invullen groen'!L68)),"")</f>
        <v/>
      </c>
      <c r="G56" s="235">
        <f>IFERROR(IF('Invullen groen'!M68=0,"",INT('Invullen groen'!M68)),"")</f>
        <v/>
      </c>
      <c r="H56" s="235">
        <f>IFERROR(IF('Invullen groen'!N68=0,"",INT('Invullen groen'!N68)),"")</f>
        <v/>
      </c>
      <c r="I56" s="235">
        <f>IFERROR(IF('Invullen groen'!O68=0,"",INT('Invullen groen'!O68)),"")</f>
        <v/>
      </c>
      <c r="J56" s="234">
        <f>IF('Invullen groen'!E68&gt;0,IFERROR($K$1&amp;" "&amp;TRIM(SUBSTITUTE(SUBSTITUTE(SUBSTITUTE(SUBSTITUTE(SUBSTITUTE(SUBSTITUTE(SUBSTITUTE(SUBSTITUTE(SUBSTITUTE(SUBSTITUTE(SUBSTITUTE(SUBSTITUTE(LOWER(IF(LEFT(TEXT('Invullen groen'!E68,"0"),1)="6",'Invullen groen'!K68,IF('Invullen groen'!J68&gt;0,'Invullen groen'!G68,'Invullen groen'!K68))),"2024",""),"2025",""),"2026",""),"2027",""),"2028",""),"2029",""),"taakveld ",""),"installaties","inst"),"ruwbouw","ruwb"),"afbouw","afb"),"bijstelling","bijst"),"investeringen","invest")),""),"")</f>
        <v/>
      </c>
      <c r="K56" s="234" t="n"/>
      <c r="L56" s="234" t="n"/>
      <c r="M56" s="234" t="n"/>
      <c r="N56" s="234" t="n"/>
    </row>
    <row r="57">
      <c r="A57" s="234">
        <f>IFERROR(IF('Invullen groen'!E69&gt;0,'Invullen groen'!E69,""),"")</f>
        <v/>
      </c>
      <c r="B57" s="234">
        <f>IFERROR(IF('Invullen groen'!H69&gt;0,'Invullen groen'!H69,""),"")</f>
        <v/>
      </c>
      <c r="C57" s="234">
        <f>IFERROR(IF('Invullen groen'!J69&gt;0,'Invullen groen'!J69,""),"")</f>
        <v/>
      </c>
      <c r="D57" s="234" t="n"/>
      <c r="E57" s="234">
        <f>IFERROR(IF(LEN(J57)&lt;=36,J57,IFERROR(LEFT(J57,FIND(CHAR(1),SUBSTITUTE(LEFT(J57,36)," ",CHAR(1),LEN(LEFT(J57,36))-LEN(SUBSTITUTE(LEFT(J57,36)," ",""))))-1),LEFT(J57,36))),"")</f>
        <v/>
      </c>
      <c r="F57" s="235">
        <f>IFERROR(IF('Invullen groen'!L69=0,"",INT('Invullen groen'!L69)),"")</f>
        <v/>
      </c>
      <c r="G57" s="235">
        <f>IFERROR(IF('Invullen groen'!M69=0,"",INT('Invullen groen'!M69)),"")</f>
        <v/>
      </c>
      <c r="H57" s="235">
        <f>IFERROR(IF('Invullen groen'!N69=0,"",INT('Invullen groen'!N69)),"")</f>
        <v/>
      </c>
      <c r="I57" s="235">
        <f>IFERROR(IF('Invullen groen'!O69=0,"",INT('Invullen groen'!O69)),"")</f>
        <v/>
      </c>
      <c r="J57" s="234">
        <f>IF('Invullen groen'!E69&gt;0,IFERROR($K$1&amp;" "&amp;TRIM(SUBSTITUTE(SUBSTITUTE(SUBSTITUTE(SUBSTITUTE(SUBSTITUTE(SUBSTITUTE(SUBSTITUTE(SUBSTITUTE(SUBSTITUTE(SUBSTITUTE(SUBSTITUTE(SUBSTITUTE(LOWER(IF(LEFT(TEXT('Invullen groen'!E69,"0"),1)="6",'Invullen groen'!K69,IF('Invullen groen'!J69&gt;0,'Invullen groen'!G69,'Invullen groen'!K69))),"2024",""),"2025",""),"2026",""),"2027",""),"2028",""),"2029",""),"taakveld ",""),"installaties","inst"),"ruwbouw","ruwb"),"afbouw","afb"),"bijstelling","bijst"),"investeringen","invest")),""),"")</f>
        <v/>
      </c>
      <c r="K57" s="234" t="n"/>
      <c r="L57" s="234" t="n"/>
      <c r="M57" s="234" t="n"/>
      <c r="N57" s="234" t="n"/>
    </row>
    <row r="58">
      <c r="A58" s="234">
        <f>IFERROR(IF('Invullen groen'!E70&gt;0,'Invullen groen'!E70,""),"")</f>
        <v/>
      </c>
      <c r="B58" s="234">
        <f>IFERROR(IF('Invullen groen'!H70&gt;0,'Invullen groen'!H70,""),"")</f>
        <v/>
      </c>
      <c r="C58" s="234">
        <f>IFERROR(IF('Invullen groen'!J70&gt;0,'Invullen groen'!J70,""),"")</f>
        <v/>
      </c>
      <c r="D58" s="234" t="n"/>
      <c r="E58" s="234">
        <f>IFERROR(IF(LEN(J58)&lt;=36,J58,IFERROR(LEFT(J58,FIND(CHAR(1),SUBSTITUTE(LEFT(J58,36)," ",CHAR(1),LEN(LEFT(J58,36))-LEN(SUBSTITUTE(LEFT(J58,36)," ",""))))-1),LEFT(J58,36))),"")</f>
        <v/>
      </c>
      <c r="F58" s="235">
        <f>IFERROR(IF('Invullen groen'!L70=0,"",INT('Invullen groen'!L70)),"")</f>
        <v/>
      </c>
      <c r="G58" s="235">
        <f>IFERROR(IF('Invullen groen'!M70=0,"",INT('Invullen groen'!M70)),"")</f>
        <v/>
      </c>
      <c r="H58" s="235">
        <f>IFERROR(IF('Invullen groen'!N70=0,"",INT('Invullen groen'!N70)),"")</f>
        <v/>
      </c>
      <c r="I58" s="235">
        <f>IFERROR(IF('Invullen groen'!O70=0,"",INT('Invullen groen'!O70)),"")</f>
        <v/>
      </c>
      <c r="J58" s="234">
        <f>IF('Invullen groen'!E70&gt;0,IFERROR($K$1&amp;" "&amp;TRIM(SUBSTITUTE(SUBSTITUTE(SUBSTITUTE(SUBSTITUTE(SUBSTITUTE(SUBSTITUTE(SUBSTITUTE(SUBSTITUTE(SUBSTITUTE(SUBSTITUTE(SUBSTITUTE(SUBSTITUTE(LOWER(IF(LEFT(TEXT('Invullen groen'!E70,"0"),1)="6",'Invullen groen'!K70,IF('Invullen groen'!J70&gt;0,'Invullen groen'!G70,'Invullen groen'!K70))),"2024",""),"2025",""),"2026",""),"2027",""),"2028",""),"2029",""),"taakveld ",""),"installaties","inst"),"ruwbouw","ruwb"),"afbouw","afb"),"bijstelling","bijst"),"investeringen","invest")),""),"")</f>
        <v/>
      </c>
      <c r="K58" s="234" t="n"/>
      <c r="L58" s="234" t="n"/>
      <c r="M58" s="234" t="n"/>
      <c r="N58" s="234" t="n"/>
    </row>
    <row r="59">
      <c r="A59" s="234">
        <f>IFERROR(IF('Invullen groen'!E71&gt;0,'Invullen groen'!E71,""),"")</f>
        <v/>
      </c>
      <c r="B59" s="234">
        <f>IFERROR(IF('Invullen groen'!H71&gt;0,'Invullen groen'!H71,""),"")</f>
        <v/>
      </c>
      <c r="C59" s="234">
        <f>IFERROR(IF('Invullen groen'!J71&gt;0,'Invullen groen'!J71,""),"")</f>
        <v/>
      </c>
      <c r="D59" s="234" t="n"/>
      <c r="E59" s="234">
        <f>IFERROR(IF(LEN(J59)&lt;=36,J59,IFERROR(LEFT(J59,FIND(CHAR(1),SUBSTITUTE(LEFT(J59,36)," ",CHAR(1),LEN(LEFT(J59,36))-LEN(SUBSTITUTE(LEFT(J59,36)," ",""))))-1),LEFT(J59,36))),"")</f>
        <v/>
      </c>
      <c r="F59" s="235">
        <f>IFERROR(IF('Invullen groen'!L71=0,"",INT('Invullen groen'!L71)),"")</f>
        <v/>
      </c>
      <c r="G59" s="235">
        <f>IFERROR(IF('Invullen groen'!M71=0,"",INT('Invullen groen'!M71)),"")</f>
        <v/>
      </c>
      <c r="H59" s="235">
        <f>IFERROR(IF('Invullen groen'!N71=0,"",INT('Invullen groen'!N71)),"")</f>
        <v/>
      </c>
      <c r="I59" s="235">
        <f>IFERROR(IF('Invullen groen'!O71=0,"",INT('Invullen groen'!O71)),"")</f>
        <v/>
      </c>
      <c r="J59" s="234">
        <f>IF('Invullen groen'!E71&gt;0,IFERROR($K$1&amp;" "&amp;TRIM(SUBSTITUTE(SUBSTITUTE(SUBSTITUTE(SUBSTITUTE(SUBSTITUTE(SUBSTITUTE(SUBSTITUTE(SUBSTITUTE(SUBSTITUTE(SUBSTITUTE(SUBSTITUTE(SUBSTITUTE(LOWER(IF(LEFT(TEXT('Invullen groen'!E71,"0"),1)="6",'Invullen groen'!K71,IF('Invullen groen'!J71&gt;0,'Invullen groen'!G71,'Invullen groen'!K71))),"2024",""),"2025",""),"2026",""),"2027",""),"2028",""),"2029",""),"taakveld ",""),"installaties","inst"),"ruwbouw","ruwb"),"afbouw","afb"),"bijstelling","bijst"),"investeringen","invest")),""),"")</f>
        <v/>
      </c>
      <c r="K59" s="234" t="n"/>
      <c r="L59" s="234" t="n"/>
      <c r="M59" s="234" t="n"/>
      <c r="N59" s="234" t="n"/>
    </row>
    <row r="60">
      <c r="A60" s="234">
        <f>IFERROR(IF('Invullen groen'!E72&gt;0,'Invullen groen'!E72,""),"")</f>
        <v/>
      </c>
      <c r="B60" s="234">
        <f>IFERROR(IF('Invullen groen'!H72&gt;0,'Invullen groen'!H72,""),"")</f>
        <v/>
      </c>
      <c r="C60" s="234">
        <f>IFERROR(IF('Invullen groen'!J72&gt;0,'Invullen groen'!J72,""),"")</f>
        <v/>
      </c>
      <c r="D60" s="234" t="n"/>
      <c r="E60" s="234">
        <f>IFERROR(IF(LEN(J60)&lt;=36,J60,IFERROR(LEFT(J60,FIND(CHAR(1),SUBSTITUTE(LEFT(J60,36)," ",CHAR(1),LEN(LEFT(J60,36))-LEN(SUBSTITUTE(LEFT(J60,36)," ",""))))-1),LEFT(J60,36))),"")</f>
        <v/>
      </c>
      <c r="F60" s="235">
        <f>IFERROR(IF('Invullen groen'!L72=0,"",INT('Invullen groen'!L72)),"")</f>
        <v/>
      </c>
      <c r="G60" s="235">
        <f>IFERROR(IF('Invullen groen'!M72=0,"",INT('Invullen groen'!M72)),"")</f>
        <v/>
      </c>
      <c r="H60" s="235">
        <f>IFERROR(IF('Invullen groen'!N72=0,"",INT('Invullen groen'!N72)),"")</f>
        <v/>
      </c>
      <c r="I60" s="235">
        <f>IFERROR(IF('Invullen groen'!O72=0,"",INT('Invullen groen'!O72)),"")</f>
        <v/>
      </c>
      <c r="J60" s="234">
        <f>IF('Invullen groen'!E72&gt;0,IFERROR($K$1&amp;" "&amp;TRIM(SUBSTITUTE(SUBSTITUTE(SUBSTITUTE(SUBSTITUTE(SUBSTITUTE(SUBSTITUTE(SUBSTITUTE(SUBSTITUTE(SUBSTITUTE(SUBSTITUTE(SUBSTITUTE(SUBSTITUTE(LOWER(IF(LEFT(TEXT('Invullen groen'!E72,"0"),1)="6",'Invullen groen'!K72,IF('Invullen groen'!J72&gt;0,'Invullen groen'!G72,'Invullen groen'!K72))),"2024",""),"2025",""),"2026",""),"2027",""),"2028",""),"2029",""),"taakveld ",""),"installaties","inst"),"ruwbouw","ruwb"),"afbouw","afb"),"bijstelling","bijst"),"investeringen","invest")),""),"")</f>
        <v/>
      </c>
      <c r="K60" s="234" t="n"/>
      <c r="L60" s="234" t="n"/>
      <c r="M60" s="234" t="n"/>
      <c r="N60" s="234" t="n"/>
    </row>
    <row r="61">
      <c r="A61" s="234">
        <f>IFERROR(IF('Invullen groen'!E73&gt;0,'Invullen groen'!E73,""),"")</f>
        <v/>
      </c>
      <c r="B61" s="234">
        <f>IFERROR(IF('Invullen groen'!H73&gt;0,'Invullen groen'!H73,""),"")</f>
        <v/>
      </c>
      <c r="C61" s="234">
        <f>IFERROR(IF('Invullen groen'!J73&gt;0,'Invullen groen'!J73,""),"")</f>
        <v/>
      </c>
      <c r="D61" s="234" t="n"/>
      <c r="E61" s="234">
        <f>IFERROR(IF(LEN(J61)&lt;=36,J61,IFERROR(LEFT(J61,FIND(CHAR(1),SUBSTITUTE(LEFT(J61,36)," ",CHAR(1),LEN(LEFT(J61,36))-LEN(SUBSTITUTE(LEFT(J61,36)," ",""))))-1),LEFT(J61,36))),"")</f>
        <v/>
      </c>
      <c r="F61" s="235">
        <f>IFERROR(IF('Invullen groen'!L73=0,"",INT('Invullen groen'!L73)),"")</f>
        <v/>
      </c>
      <c r="G61" s="235">
        <f>IFERROR(IF('Invullen groen'!M73=0,"",INT('Invullen groen'!M73)),"")</f>
        <v/>
      </c>
      <c r="H61" s="235">
        <f>IFERROR(IF('Invullen groen'!N73=0,"",INT('Invullen groen'!N73)),"")</f>
        <v/>
      </c>
      <c r="I61" s="235">
        <f>IFERROR(IF('Invullen groen'!O73=0,"",INT('Invullen groen'!O73)),"")</f>
        <v/>
      </c>
      <c r="J61" s="234">
        <f>IF('Invullen groen'!E73&gt;0,IFERROR($K$1&amp;" "&amp;TRIM(SUBSTITUTE(SUBSTITUTE(SUBSTITUTE(SUBSTITUTE(SUBSTITUTE(SUBSTITUTE(SUBSTITUTE(SUBSTITUTE(SUBSTITUTE(SUBSTITUTE(SUBSTITUTE(SUBSTITUTE(LOWER(IF(LEFT(TEXT('Invullen groen'!E73,"0"),1)="6",'Invullen groen'!K73,IF('Invullen groen'!J73&gt;0,'Invullen groen'!G73,'Invullen groen'!K73))),"2024",""),"2025",""),"2026",""),"2027",""),"2028",""),"2029",""),"taakveld ",""),"installaties","inst"),"ruwbouw","ruwb"),"afbouw","afb"),"bijstelling","bijst"),"investeringen","invest")),""),"")</f>
        <v/>
      </c>
      <c r="K61" s="234" t="n"/>
      <c r="L61" s="234" t="n"/>
      <c r="M61" s="234" t="n"/>
      <c r="N61" s="234" t="n"/>
    </row>
    <row r="62">
      <c r="A62" s="234">
        <f>IFERROR(IF('Invullen groen'!E74&gt;0,'Invullen groen'!E74,""),"")</f>
        <v/>
      </c>
      <c r="B62" s="234">
        <f>IFERROR(IF('Invullen groen'!H74&gt;0,'Invullen groen'!H74,""),"")</f>
        <v/>
      </c>
      <c r="C62" s="234">
        <f>IFERROR(IF('Invullen groen'!J74&gt;0,'Invullen groen'!J74,""),"")</f>
        <v/>
      </c>
      <c r="D62" s="234" t="n"/>
      <c r="E62" s="234">
        <f>IFERROR(IF(LEN(J62)&lt;=36,J62,IFERROR(LEFT(J62,FIND(CHAR(1),SUBSTITUTE(LEFT(J62,36)," ",CHAR(1),LEN(LEFT(J62,36))-LEN(SUBSTITUTE(LEFT(J62,36)," ",""))))-1),LEFT(J62,36))),"")</f>
        <v/>
      </c>
      <c r="F62" s="235">
        <f>IFERROR(IF('Invullen groen'!L74=0,"",INT('Invullen groen'!L74)),"")</f>
        <v/>
      </c>
      <c r="G62" s="235">
        <f>IFERROR(IF('Invullen groen'!M74=0,"",INT('Invullen groen'!M74)),"")</f>
        <v/>
      </c>
      <c r="H62" s="235">
        <f>IFERROR(IF('Invullen groen'!N74=0,"",INT('Invullen groen'!N74)),"")</f>
        <v/>
      </c>
      <c r="I62" s="235">
        <f>IFERROR(IF('Invullen groen'!O74=0,"",INT('Invullen groen'!O74)),"")</f>
        <v/>
      </c>
      <c r="J62" s="234">
        <f>IF('Invullen groen'!E74&gt;0,IFERROR($K$1&amp;" "&amp;TRIM(SUBSTITUTE(SUBSTITUTE(SUBSTITUTE(SUBSTITUTE(SUBSTITUTE(SUBSTITUTE(SUBSTITUTE(SUBSTITUTE(SUBSTITUTE(SUBSTITUTE(SUBSTITUTE(SUBSTITUTE(LOWER(IF(LEFT(TEXT('Invullen groen'!E74,"0"),1)="6",'Invullen groen'!K74,IF('Invullen groen'!J74&gt;0,'Invullen groen'!G74,'Invullen groen'!K74))),"2024",""),"2025",""),"2026",""),"2027",""),"2028",""),"2029",""),"taakveld ",""),"installaties","inst"),"ruwbouw","ruwb"),"afbouw","afb"),"bijstelling","bijst"),"investeringen","invest")),""),"")</f>
        <v/>
      </c>
      <c r="K62" s="234" t="n"/>
      <c r="L62" s="234" t="n"/>
      <c r="M62" s="234" t="n"/>
      <c r="N62" s="234" t="n"/>
    </row>
    <row r="63">
      <c r="A63" s="234">
        <f>IFERROR(IF('Invullen groen'!E78&gt;0,'Invullen groen'!E78,""),"")</f>
        <v/>
      </c>
      <c r="B63" s="234">
        <f>IFERROR(IF('Invullen groen'!H78&gt;0,'Invullen groen'!H78,""),"")</f>
        <v/>
      </c>
      <c r="C63" s="234">
        <f>IFERROR(IF('Invullen groen'!J78&gt;0,'Invullen groen'!J78,""),"")</f>
        <v/>
      </c>
      <c r="D63" s="234" t="n"/>
      <c r="E63" s="234">
        <f>IFERROR(IF(LEN(J63)&lt;=36,J63,IFERROR(LEFT(J63,FIND(CHAR(1),SUBSTITUTE(LEFT(J63,36)," ",CHAR(1),LEN(LEFT(J63,36))-LEN(SUBSTITUTE(LEFT(J63,36)," ",""))))-1),LEFT(J63,36))),"")</f>
        <v/>
      </c>
      <c r="F63" s="235">
        <f>IFERROR(IF('Invullen groen'!L78=0,"",INT('Invullen groen'!L78)),"")</f>
        <v/>
      </c>
      <c r="G63" s="235">
        <f>IFERROR(IF('Invullen groen'!M78=0,"",INT('Invullen groen'!M78)),"")</f>
        <v/>
      </c>
      <c r="H63" s="235">
        <f>IFERROR(IF('Invullen groen'!N78=0,"",INT('Invullen groen'!N78)),"")</f>
        <v/>
      </c>
      <c r="I63" s="235">
        <f>IFERROR(IF('Invullen groen'!O78=0,"",INT('Invullen groen'!O78)),"")</f>
        <v/>
      </c>
      <c r="J63" s="234">
        <f>IF('Invullen groen'!E78&gt;0,IFERROR($K$1&amp;" "&amp;TRIM(SUBSTITUTE(SUBSTITUTE(SUBSTITUTE(SUBSTITUTE(SUBSTITUTE(SUBSTITUTE(SUBSTITUTE(SUBSTITUTE(SUBSTITUTE(SUBSTITUTE(SUBSTITUTE(SUBSTITUTE(LOWER(IF(LEFT(TEXT('Invullen groen'!E78,"0"),1)="6",'Invullen groen'!K78,IF('Invullen groen'!J78&gt;0,'Invullen groen'!G78,'Invullen groen'!K78))),"2024",""),"2025",""),"2026",""),"2027",""),"2028",""),"2029",""),"taakveld ",""),"installaties","inst"),"ruwbouw","ruwb"),"afbouw","afb"),"bijstelling","bijst"),"investeringen","invest")),""),"")</f>
        <v/>
      </c>
      <c r="K63" s="234" t="n"/>
      <c r="L63" s="234" t="n"/>
      <c r="M63" s="234" t="n"/>
      <c r="N63" s="234" t="n"/>
    </row>
    <row r="64">
      <c r="A64" s="234">
        <f>IFERROR(IF('Invullen groen'!E79&gt;0,'Invullen groen'!E79,""),"")</f>
        <v/>
      </c>
      <c r="B64" s="234">
        <f>IFERROR(IF('Invullen groen'!H79&gt;0,'Invullen groen'!H79,""),"")</f>
        <v/>
      </c>
      <c r="C64" s="234">
        <f>IFERROR(IF('Invullen groen'!J79&gt;0,'Invullen groen'!J79,""),"")</f>
        <v/>
      </c>
      <c r="D64" s="234" t="n"/>
      <c r="E64" s="234">
        <f>IFERROR(IF(LEN(J64)&lt;=36,J64,IFERROR(LEFT(J64,FIND(CHAR(1),SUBSTITUTE(LEFT(J64,36)," ",CHAR(1),LEN(LEFT(J64,36))-LEN(SUBSTITUTE(LEFT(J64,36)," ",""))))-1),LEFT(J64,36))),"")</f>
        <v/>
      </c>
      <c r="F64" s="235">
        <f>IFERROR(IF('Invullen groen'!L79=0,"",INT('Invullen groen'!L79)),"")</f>
        <v/>
      </c>
      <c r="G64" s="235">
        <f>IFERROR(IF('Invullen groen'!M79=0,"",INT('Invullen groen'!M79)),"")</f>
        <v/>
      </c>
      <c r="H64" s="235">
        <f>IFERROR(IF('Invullen groen'!N79=0,"",INT('Invullen groen'!N79)),"")</f>
        <v/>
      </c>
      <c r="I64" s="235">
        <f>IFERROR(IF('Invullen groen'!O79=0,"",INT('Invullen groen'!O79)),"")</f>
        <v/>
      </c>
      <c r="J64" s="234">
        <f>IF('Invullen groen'!E79&gt;0,IFERROR($K$1&amp;" "&amp;TRIM(SUBSTITUTE(SUBSTITUTE(SUBSTITUTE(SUBSTITUTE(SUBSTITUTE(SUBSTITUTE(SUBSTITUTE(SUBSTITUTE(SUBSTITUTE(SUBSTITUTE(SUBSTITUTE(SUBSTITUTE(LOWER(IF(LEFT(TEXT('Invullen groen'!E79,"0"),1)="6",'Invullen groen'!K79,IF('Invullen groen'!J79&gt;0,'Invullen groen'!G79,'Invullen groen'!K79))),"2024",""),"2025",""),"2026",""),"2027",""),"2028",""),"2029",""),"taakveld ",""),"installaties","inst"),"ruwbouw","ruwb"),"afbouw","afb"),"bijstelling","bijst"),"investeringen","invest")),""),"")</f>
        <v/>
      </c>
      <c r="K64" s="234" t="n"/>
      <c r="L64" s="234" t="n"/>
      <c r="M64" s="234" t="n"/>
      <c r="N64" s="234" t="n"/>
    </row>
    <row r="65">
      <c r="A65" s="234">
        <f>IFERROR(IF('Invullen groen'!E80&gt;0,'Invullen groen'!E80,""),"")</f>
        <v/>
      </c>
      <c r="B65" s="234">
        <f>IFERROR(IF('Invullen groen'!H80&gt;0,'Invullen groen'!H80,""),"")</f>
        <v/>
      </c>
      <c r="C65" s="234">
        <f>IFERROR(IF('Invullen groen'!J80&gt;0,'Invullen groen'!J80,""),"")</f>
        <v/>
      </c>
      <c r="D65" s="234" t="n"/>
      <c r="E65" s="234">
        <f>IFERROR(IF(LEN(J65)&lt;=36,J65,IFERROR(LEFT(J65,FIND(CHAR(1),SUBSTITUTE(LEFT(J65,36)," ",CHAR(1),LEN(LEFT(J65,36))-LEN(SUBSTITUTE(LEFT(J65,36)," ",""))))-1),LEFT(J65,36))),"")</f>
        <v/>
      </c>
      <c r="F65" s="235">
        <f>IFERROR(IF('Invullen groen'!L80=0,"",INT('Invullen groen'!L80)),"")</f>
        <v/>
      </c>
      <c r="G65" s="235">
        <f>IFERROR(IF('Invullen groen'!M80=0,"",INT('Invullen groen'!M80)),"")</f>
        <v/>
      </c>
      <c r="H65" s="235">
        <f>IFERROR(IF('Invullen groen'!N80=0,"",INT('Invullen groen'!N80)),"")</f>
        <v/>
      </c>
      <c r="I65" s="235">
        <f>IFERROR(IF('Invullen groen'!O80=0,"",INT('Invullen groen'!O80)),"")</f>
        <v/>
      </c>
      <c r="J65" s="234">
        <f>IF('Invullen groen'!E80&gt;0,IFERROR($K$1&amp;" "&amp;TRIM(SUBSTITUTE(SUBSTITUTE(SUBSTITUTE(SUBSTITUTE(SUBSTITUTE(SUBSTITUTE(SUBSTITUTE(SUBSTITUTE(SUBSTITUTE(SUBSTITUTE(SUBSTITUTE(SUBSTITUTE(LOWER(IF(LEFT(TEXT('Invullen groen'!E80,"0"),1)="6",'Invullen groen'!K80,IF('Invullen groen'!J80&gt;0,'Invullen groen'!G80,'Invullen groen'!K80))),"2024",""),"2025",""),"2026",""),"2027",""),"2028",""),"2029",""),"taakveld ",""),"installaties","inst"),"ruwbouw","ruwb"),"afbouw","afb"),"bijstelling","bijst"),"investeringen","invest")),""),"")</f>
        <v/>
      </c>
      <c r="K65" s="234" t="n"/>
      <c r="L65" s="234" t="n"/>
      <c r="M65" s="234" t="n"/>
      <c r="N65" s="234" t="n"/>
    </row>
    <row r="66">
      <c r="A66" s="234">
        <f>IFERROR(IF('Invullen groen'!E81&gt;0,'Invullen groen'!E81,""),"")</f>
        <v/>
      </c>
      <c r="B66" s="234">
        <f>IFERROR(IF('Invullen groen'!H81&gt;0,'Invullen groen'!H81,""),"")</f>
        <v/>
      </c>
      <c r="C66" s="234">
        <f>IFERROR(IF('Invullen groen'!J81&gt;0,'Invullen groen'!J81,""),"")</f>
        <v/>
      </c>
      <c r="D66" s="234" t="n"/>
      <c r="E66" s="234">
        <f>IFERROR(IF(LEN(J66)&lt;=36,J66,IFERROR(LEFT(J66,FIND(CHAR(1),SUBSTITUTE(LEFT(J66,36)," ",CHAR(1),LEN(LEFT(J66,36))-LEN(SUBSTITUTE(LEFT(J66,36)," ",""))))-1),LEFT(J66,36))),"")</f>
        <v/>
      </c>
      <c r="F66" s="235">
        <f>IFERROR(IF('Invullen groen'!L81=0,"",INT('Invullen groen'!L81)),"")</f>
        <v/>
      </c>
      <c r="G66" s="235">
        <f>IFERROR(IF('Invullen groen'!M81=0,"",INT('Invullen groen'!M81)),"")</f>
        <v/>
      </c>
      <c r="H66" s="235">
        <f>IFERROR(IF('Invullen groen'!N81=0,"",INT('Invullen groen'!N81)),"")</f>
        <v/>
      </c>
      <c r="I66" s="235">
        <f>IFERROR(IF('Invullen groen'!O81=0,"",INT('Invullen groen'!O81)),"")</f>
        <v/>
      </c>
      <c r="J66" s="234">
        <f>IF('Invullen groen'!E81&gt;0,IFERROR($K$1&amp;" "&amp;TRIM(SUBSTITUTE(SUBSTITUTE(SUBSTITUTE(SUBSTITUTE(SUBSTITUTE(SUBSTITUTE(SUBSTITUTE(SUBSTITUTE(SUBSTITUTE(SUBSTITUTE(SUBSTITUTE(SUBSTITUTE(LOWER(IF(LEFT(TEXT('Invullen groen'!E81,"0"),1)="6",'Invullen groen'!K81,IF('Invullen groen'!J81&gt;0,'Invullen groen'!G81,'Invullen groen'!K81))),"2024",""),"2025",""),"2026",""),"2027",""),"2028",""),"2029",""),"taakveld ",""),"installaties","inst"),"ruwbouw","ruwb"),"afbouw","afb"),"bijstelling","bijst"),"investeringen","invest")),""),"")</f>
        <v/>
      </c>
      <c r="K66" s="234" t="n"/>
      <c r="L66" s="234" t="n"/>
      <c r="M66" s="234" t="n"/>
      <c r="N66" s="234" t="n"/>
    </row>
    <row r="67">
      <c r="A67" s="234">
        <f>IFERROR(IF('Invullen groen'!E82&gt;0,'Invullen groen'!E82,""),"")</f>
        <v/>
      </c>
      <c r="B67" s="234">
        <f>IFERROR(IF('Invullen groen'!H82&gt;0,'Invullen groen'!H82,""),"")</f>
        <v/>
      </c>
      <c r="C67" s="234">
        <f>IFERROR(IF('Invullen groen'!J82&gt;0,'Invullen groen'!J82,""),"")</f>
        <v/>
      </c>
      <c r="D67" s="234" t="n"/>
      <c r="E67" s="234">
        <f>IFERROR(IF(LEN(J67)&lt;=36,J67,IFERROR(LEFT(J67,FIND(CHAR(1),SUBSTITUTE(LEFT(J67,36)," ",CHAR(1),LEN(LEFT(J67,36))-LEN(SUBSTITUTE(LEFT(J67,36)," ",""))))-1),LEFT(J67,36))),"")</f>
        <v/>
      </c>
      <c r="F67" s="235">
        <f>IFERROR(IF('Invullen groen'!L82=0,"",INT('Invullen groen'!L82)),"")</f>
        <v/>
      </c>
      <c r="G67" s="235">
        <f>IFERROR(IF('Invullen groen'!M82=0,"",INT('Invullen groen'!M82)),"")</f>
        <v/>
      </c>
      <c r="H67" s="235">
        <f>IFERROR(IF('Invullen groen'!N82=0,"",INT('Invullen groen'!N82)),"")</f>
        <v/>
      </c>
      <c r="I67" s="235">
        <f>IFERROR(IF('Invullen groen'!O82=0,"",INT('Invullen groen'!O82)),"")</f>
        <v/>
      </c>
      <c r="J67" s="234">
        <f>IF('Invullen groen'!E82&gt;0,IFERROR($K$1&amp;" "&amp;TRIM(SUBSTITUTE(SUBSTITUTE(SUBSTITUTE(SUBSTITUTE(SUBSTITUTE(SUBSTITUTE(SUBSTITUTE(SUBSTITUTE(SUBSTITUTE(SUBSTITUTE(SUBSTITUTE(SUBSTITUTE(LOWER(IF(LEFT(TEXT('Invullen groen'!E82,"0"),1)="6",'Invullen groen'!K82,IF('Invullen groen'!J82&gt;0,'Invullen groen'!G82,'Invullen groen'!K82))),"2024",""),"2025",""),"2026",""),"2027",""),"2028",""),"2029",""),"taakveld ",""),"installaties","inst"),"ruwbouw","ruwb"),"afbouw","afb"),"bijstelling","bijst"),"investeringen","invest")),""),"")</f>
        <v/>
      </c>
      <c r="K67" s="234" t="n"/>
      <c r="L67" s="234" t="n"/>
      <c r="M67" s="234" t="n"/>
      <c r="N67" s="234" t="n"/>
    </row>
    <row r="68">
      <c r="A68" s="234">
        <f>IFERROR(IF('Invullen groen'!E83&gt;0,'Invullen groen'!E83,""),"")</f>
        <v/>
      </c>
      <c r="B68" s="234">
        <f>IFERROR(IF('Invullen groen'!H83&gt;0,'Invullen groen'!H83,""),"")</f>
        <v/>
      </c>
      <c r="C68" s="234">
        <f>IFERROR(IF('Invullen groen'!J83&gt;0,'Invullen groen'!J83,""),"")</f>
        <v/>
      </c>
      <c r="D68" s="234" t="n"/>
      <c r="E68" s="234">
        <f>IFERROR(IF(LEN(J68)&lt;=36,J68,IFERROR(LEFT(J68,FIND(CHAR(1),SUBSTITUTE(LEFT(J68,36)," ",CHAR(1),LEN(LEFT(J68,36))-LEN(SUBSTITUTE(LEFT(J68,36)," ",""))))-1),LEFT(J68,36))),"")</f>
        <v/>
      </c>
      <c r="F68" s="235">
        <f>IFERROR(IF('Invullen groen'!L83=0,"",INT('Invullen groen'!L83)),"")</f>
        <v/>
      </c>
      <c r="G68" s="235">
        <f>IFERROR(IF('Invullen groen'!M83=0,"",INT('Invullen groen'!M83)),"")</f>
        <v/>
      </c>
      <c r="H68" s="235">
        <f>IFERROR(IF('Invullen groen'!N83=0,"",INT('Invullen groen'!N83)),"")</f>
        <v/>
      </c>
      <c r="I68" s="235">
        <f>IFERROR(IF('Invullen groen'!O83=0,"",INT('Invullen groen'!O83)),"")</f>
        <v/>
      </c>
      <c r="J68" s="234">
        <f>IF('Invullen groen'!E83&gt;0,IFERROR($K$1&amp;" "&amp;TRIM(SUBSTITUTE(SUBSTITUTE(SUBSTITUTE(SUBSTITUTE(SUBSTITUTE(SUBSTITUTE(SUBSTITUTE(SUBSTITUTE(SUBSTITUTE(SUBSTITUTE(SUBSTITUTE(SUBSTITUTE(LOWER(IF(LEFT(TEXT('Invullen groen'!E83,"0"),1)="6",'Invullen groen'!K83,IF('Invullen groen'!J83&gt;0,'Invullen groen'!G83,'Invullen groen'!K83))),"2024",""),"2025",""),"2026",""),"2027",""),"2028",""),"2029",""),"taakveld ",""),"installaties","inst"),"ruwbouw","ruwb"),"afbouw","afb"),"bijstelling","bijst"),"investeringen","invest")),""),"")</f>
        <v/>
      </c>
      <c r="K68" s="234" t="n"/>
      <c r="L68" s="234" t="n"/>
      <c r="M68" s="234" t="n"/>
      <c r="N68" s="234" t="n"/>
    </row>
    <row r="69">
      <c r="A69" s="234">
        <f>IFERROR(IF('Invullen groen'!E84&gt;0,'Invullen groen'!E84,""),"")</f>
        <v/>
      </c>
      <c r="B69" s="234">
        <f>IFERROR(IF('Invullen groen'!H84&gt;0,'Invullen groen'!H84,""),"")</f>
        <v/>
      </c>
      <c r="C69" s="234">
        <f>IFERROR(IF('Invullen groen'!J84&gt;0,'Invullen groen'!J84,""),"")</f>
        <v/>
      </c>
      <c r="D69" s="234" t="n"/>
      <c r="E69" s="234">
        <f>IFERROR(IF(LEN(J69)&lt;=36,J69,IFERROR(LEFT(J69,FIND(CHAR(1),SUBSTITUTE(LEFT(J69,36)," ",CHAR(1),LEN(LEFT(J69,36))-LEN(SUBSTITUTE(LEFT(J69,36)," ",""))))-1),LEFT(J69,36))),"")</f>
        <v/>
      </c>
      <c r="F69" s="235">
        <f>IFERROR(IF('Invullen groen'!L84=0,"",INT('Invullen groen'!L84)),"")</f>
        <v/>
      </c>
      <c r="G69" s="235">
        <f>IFERROR(IF('Invullen groen'!M84=0,"",INT('Invullen groen'!M84)),"")</f>
        <v/>
      </c>
      <c r="H69" s="235">
        <f>IFERROR(IF('Invullen groen'!N84=0,"",INT('Invullen groen'!N84)),"")</f>
        <v/>
      </c>
      <c r="I69" s="235">
        <f>IFERROR(IF('Invullen groen'!O84=0,"",INT('Invullen groen'!O84)),"")</f>
        <v/>
      </c>
      <c r="J69" s="234">
        <f>IF('Invullen groen'!E84&gt;0,IFERROR($K$1&amp;" "&amp;TRIM(SUBSTITUTE(SUBSTITUTE(SUBSTITUTE(SUBSTITUTE(SUBSTITUTE(SUBSTITUTE(SUBSTITUTE(SUBSTITUTE(SUBSTITUTE(SUBSTITUTE(SUBSTITUTE(SUBSTITUTE(LOWER(IF(LEFT(TEXT('Invullen groen'!E84,"0"),1)="6",'Invullen groen'!K84,IF('Invullen groen'!J84&gt;0,'Invullen groen'!G84,'Invullen groen'!K84))),"2024",""),"2025",""),"2026",""),"2027",""),"2028",""),"2029",""),"taakveld ",""),"installaties","inst"),"ruwbouw","ruwb"),"afbouw","afb"),"bijstelling","bijst"),"investeringen","invest")),""),"")</f>
        <v/>
      </c>
      <c r="K69" s="234" t="n"/>
      <c r="L69" s="234" t="n"/>
      <c r="M69" s="234" t="n"/>
      <c r="N69" s="234" t="n"/>
    </row>
    <row r="70">
      <c r="A70" s="234">
        <f>IFERROR(IF('Invullen groen'!E85&gt;0,'Invullen groen'!E85,""),"")</f>
        <v/>
      </c>
      <c r="B70" s="234">
        <f>IFERROR(IF('Invullen groen'!H85&gt;0,'Invullen groen'!H85,""),"")</f>
        <v/>
      </c>
      <c r="C70" s="234">
        <f>IFERROR(IF('Invullen groen'!J85&gt;0,'Invullen groen'!J85,""),"")</f>
        <v/>
      </c>
      <c r="D70" s="234" t="n"/>
      <c r="E70" s="234">
        <f>IFERROR(IF(LEN(J70)&lt;=36,J70,IFERROR(LEFT(J70,FIND(CHAR(1),SUBSTITUTE(LEFT(J70,36)," ",CHAR(1),LEN(LEFT(J70,36))-LEN(SUBSTITUTE(LEFT(J70,36)," ",""))))-1),LEFT(J70,36))),"")</f>
        <v/>
      </c>
      <c r="F70" s="235">
        <f>IFERROR(IF('Invullen groen'!L85=0,"",INT('Invullen groen'!L85)),"")</f>
        <v/>
      </c>
      <c r="G70" s="235">
        <f>IFERROR(IF('Invullen groen'!M85=0,"",INT('Invullen groen'!M85)),"")</f>
        <v/>
      </c>
      <c r="H70" s="235">
        <f>IFERROR(IF('Invullen groen'!N85=0,"",INT('Invullen groen'!N85)),"")</f>
        <v/>
      </c>
      <c r="I70" s="235">
        <f>IFERROR(IF('Invullen groen'!O85=0,"",INT('Invullen groen'!O85)),"")</f>
        <v/>
      </c>
      <c r="J70" s="234">
        <f>IF('Invullen groen'!E85&gt;0,IFERROR($K$1&amp;" "&amp;TRIM(SUBSTITUTE(SUBSTITUTE(SUBSTITUTE(SUBSTITUTE(SUBSTITUTE(SUBSTITUTE(SUBSTITUTE(SUBSTITUTE(SUBSTITUTE(SUBSTITUTE(SUBSTITUTE(SUBSTITUTE(LOWER(IF(LEFT(TEXT('Invullen groen'!E85,"0"),1)="6",'Invullen groen'!K85,IF('Invullen groen'!J85&gt;0,'Invullen groen'!G85,'Invullen groen'!K85))),"2024",""),"2025",""),"2026",""),"2027",""),"2028",""),"2029",""),"taakveld ",""),"installaties","inst"),"ruwbouw","ruwb"),"afbouw","afb"),"bijstelling","bijst"),"investeringen","invest")),""),"")</f>
        <v/>
      </c>
      <c r="K70" s="234" t="n"/>
      <c r="L70" s="234" t="n"/>
      <c r="M70" s="234" t="n"/>
      <c r="N70" s="234" t="n"/>
    </row>
    <row r="71">
      <c r="A71" s="234">
        <f>IFERROR(IF('Invullen groen'!E86&gt;0,'Invullen groen'!E86,""),"")</f>
        <v/>
      </c>
      <c r="B71" s="234">
        <f>IFERROR(IF('Invullen groen'!H86&gt;0,'Invullen groen'!H86,""),"")</f>
        <v/>
      </c>
      <c r="C71" s="234">
        <f>IFERROR(IF('Invullen groen'!J86&gt;0,'Invullen groen'!J86,""),"")</f>
        <v/>
      </c>
      <c r="D71" s="234" t="n"/>
      <c r="E71" s="234">
        <f>IFERROR(IF(LEN(J71)&lt;=36,J71,IFERROR(LEFT(J71,FIND(CHAR(1),SUBSTITUTE(LEFT(J71,36)," ",CHAR(1),LEN(LEFT(J71,36))-LEN(SUBSTITUTE(LEFT(J71,36)," ",""))))-1),LEFT(J71,36))),"")</f>
        <v/>
      </c>
      <c r="F71" s="235">
        <f>IFERROR(IF('Invullen groen'!L86=0,"",INT('Invullen groen'!L86)),"")</f>
        <v/>
      </c>
      <c r="G71" s="235">
        <f>IFERROR(IF('Invullen groen'!M86=0,"",INT('Invullen groen'!M86)),"")</f>
        <v/>
      </c>
      <c r="H71" s="235">
        <f>IFERROR(IF('Invullen groen'!N86=0,"",INT('Invullen groen'!N86)),"")</f>
        <v/>
      </c>
      <c r="I71" s="235">
        <f>IFERROR(IF('Invullen groen'!O86=0,"",INT('Invullen groen'!O86)),"")</f>
        <v/>
      </c>
      <c r="J71" s="234">
        <f>IF('Invullen groen'!E86&gt;0,IFERROR($K$1&amp;" "&amp;TRIM(SUBSTITUTE(SUBSTITUTE(SUBSTITUTE(SUBSTITUTE(SUBSTITUTE(SUBSTITUTE(SUBSTITUTE(SUBSTITUTE(SUBSTITUTE(SUBSTITUTE(SUBSTITUTE(SUBSTITUTE(LOWER(IF(LEFT(TEXT('Invullen groen'!E86,"0"),1)="6",'Invullen groen'!K86,IF('Invullen groen'!J86&gt;0,'Invullen groen'!G86,'Invullen groen'!K86))),"2024",""),"2025",""),"2026",""),"2027",""),"2028",""),"2029",""),"taakveld ",""),"installaties","inst"),"ruwbouw","ruwb"),"afbouw","afb"),"bijstelling","bijst"),"investeringen","invest")),""),"")</f>
        <v/>
      </c>
      <c r="K71" s="234" t="n"/>
      <c r="L71" s="234" t="n"/>
      <c r="M71" s="234" t="n"/>
      <c r="N71" s="234" t="n"/>
    </row>
    <row r="72">
      <c r="A72" s="234">
        <f>IFERROR(IF('Invullen groen'!E87&gt;0,'Invullen groen'!E87,""),"")</f>
        <v/>
      </c>
      <c r="B72" s="234">
        <f>IFERROR(IF('Invullen groen'!H87&gt;0,'Invullen groen'!H87,""),"")</f>
        <v/>
      </c>
      <c r="C72" s="234">
        <f>IFERROR(IF('Invullen groen'!J87&gt;0,'Invullen groen'!J87,""),"")</f>
        <v/>
      </c>
      <c r="D72" s="234" t="n"/>
      <c r="E72" s="234">
        <f>IFERROR(IF(LEN(J72)&lt;=36,J72,IFERROR(LEFT(J72,FIND(CHAR(1),SUBSTITUTE(LEFT(J72,36)," ",CHAR(1),LEN(LEFT(J72,36))-LEN(SUBSTITUTE(LEFT(J72,36)," ",""))))-1),LEFT(J72,36))),"")</f>
        <v/>
      </c>
      <c r="F72" s="235">
        <f>IFERROR(IF('Invullen groen'!L87=0,"",INT('Invullen groen'!L87)),"")</f>
        <v/>
      </c>
      <c r="G72" s="235">
        <f>IFERROR(IF('Invullen groen'!M87=0,"",INT('Invullen groen'!M87)),"")</f>
        <v/>
      </c>
      <c r="H72" s="235">
        <f>IFERROR(IF('Invullen groen'!N87=0,"",INT('Invullen groen'!N87)),"")</f>
        <v/>
      </c>
      <c r="I72" s="235">
        <f>IFERROR(IF('Invullen groen'!O87=0,"",INT('Invullen groen'!O87)),"")</f>
        <v/>
      </c>
      <c r="J72" s="234">
        <f>IF('Invullen groen'!E87&gt;0,IFERROR($K$1&amp;" "&amp;TRIM(SUBSTITUTE(SUBSTITUTE(SUBSTITUTE(SUBSTITUTE(SUBSTITUTE(SUBSTITUTE(SUBSTITUTE(SUBSTITUTE(SUBSTITUTE(SUBSTITUTE(SUBSTITUTE(SUBSTITUTE(LOWER(IF(LEFT(TEXT('Invullen groen'!E87,"0"),1)="6",'Invullen groen'!K87,IF('Invullen groen'!J87&gt;0,'Invullen groen'!G87,'Invullen groen'!K87))),"2024",""),"2025",""),"2026",""),"2027",""),"2028",""),"2029",""),"taakveld ",""),"installaties","inst"),"ruwbouw","ruwb"),"afbouw","afb"),"bijstelling","bijst"),"investeringen","invest")),""),"")</f>
        <v/>
      </c>
      <c r="K72" s="234" t="n"/>
      <c r="L72" s="234" t="n"/>
      <c r="M72" s="234" t="n"/>
      <c r="N72" s="234" t="n"/>
    </row>
    <row r="73">
      <c r="A73" s="234">
        <f>IFERROR(IF('Invullen groen'!E88&gt;0,'Invullen groen'!E88,""),"")</f>
        <v/>
      </c>
      <c r="B73" s="234">
        <f>IFERROR(IF('Invullen groen'!H88&gt;0,'Invullen groen'!H88,""),"")</f>
        <v/>
      </c>
      <c r="C73" s="234">
        <f>IFERROR(IF('Invullen groen'!J88&gt;0,'Invullen groen'!J88,""),"")</f>
        <v/>
      </c>
      <c r="D73" s="234" t="n"/>
      <c r="E73" s="234">
        <f>IFERROR(IF(LEN(J73)&lt;=36,J73,IFERROR(LEFT(J73,FIND(CHAR(1),SUBSTITUTE(LEFT(J73,36)," ",CHAR(1),LEN(LEFT(J73,36))-LEN(SUBSTITUTE(LEFT(J73,36)," ",""))))-1),LEFT(J73,36))),"")</f>
        <v/>
      </c>
      <c r="F73" s="235">
        <f>IFERROR(IF('Invullen groen'!L88=0,"",INT('Invullen groen'!L88)),"")</f>
        <v/>
      </c>
      <c r="G73" s="235">
        <f>IFERROR(IF('Invullen groen'!M88=0,"",INT('Invullen groen'!M88)),"")</f>
        <v/>
      </c>
      <c r="H73" s="235">
        <f>IFERROR(IF('Invullen groen'!N88=0,"",INT('Invullen groen'!N88)),"")</f>
        <v/>
      </c>
      <c r="I73" s="235">
        <f>IFERROR(IF('Invullen groen'!O88=0,"",INT('Invullen groen'!O88)),"")</f>
        <v/>
      </c>
      <c r="J73" s="234">
        <f>IF('Invullen groen'!E88&gt;0,IFERROR($K$1&amp;" "&amp;TRIM(SUBSTITUTE(SUBSTITUTE(SUBSTITUTE(SUBSTITUTE(SUBSTITUTE(SUBSTITUTE(SUBSTITUTE(SUBSTITUTE(SUBSTITUTE(SUBSTITUTE(SUBSTITUTE(SUBSTITUTE(LOWER(IF(LEFT(TEXT('Invullen groen'!E88,"0"),1)="6",'Invullen groen'!K88,IF('Invullen groen'!J88&gt;0,'Invullen groen'!G88,'Invullen groen'!K88))),"2024",""),"2025",""),"2026",""),"2027",""),"2028",""),"2029",""),"taakveld ",""),"installaties","inst"),"ruwbouw","ruwb"),"afbouw","afb"),"bijstelling","bijst"),"investeringen","invest")),""),"")</f>
        <v/>
      </c>
      <c r="K73" s="234" t="n"/>
      <c r="L73" s="234" t="n"/>
      <c r="M73" s="234" t="n"/>
      <c r="N73" s="234" t="n"/>
    </row>
    <row r="74">
      <c r="A74" s="234">
        <f>IFERROR(IF('Invullen groen'!E89&gt;0,'Invullen groen'!E89,""),"")</f>
        <v/>
      </c>
      <c r="B74" s="234">
        <f>IFERROR(IF('Invullen groen'!H89&gt;0,'Invullen groen'!H89,""),"")</f>
        <v/>
      </c>
      <c r="C74" s="234">
        <f>IFERROR(IF('Invullen groen'!J89&gt;0,'Invullen groen'!J89,""),"")</f>
        <v/>
      </c>
      <c r="D74" s="234" t="n"/>
      <c r="E74" s="234">
        <f>IFERROR(IF(LEN(J74)&lt;=36,J74,IFERROR(LEFT(J74,FIND(CHAR(1),SUBSTITUTE(LEFT(J74,36)," ",CHAR(1),LEN(LEFT(J74,36))-LEN(SUBSTITUTE(LEFT(J74,36)," ",""))))-1),LEFT(J74,36))),"")</f>
        <v/>
      </c>
      <c r="F74" s="235">
        <f>IFERROR(IF('Invullen groen'!L89=0,"",INT('Invullen groen'!L89)),"")</f>
        <v/>
      </c>
      <c r="G74" s="235">
        <f>IFERROR(IF('Invullen groen'!M89=0,"",INT('Invullen groen'!M89)),"")</f>
        <v/>
      </c>
      <c r="H74" s="235">
        <f>IFERROR(IF('Invullen groen'!N89=0,"",INT('Invullen groen'!N89)),"")</f>
        <v/>
      </c>
      <c r="I74" s="235">
        <f>IFERROR(IF('Invullen groen'!O89=0,"",INT('Invullen groen'!O89)),"")</f>
        <v/>
      </c>
      <c r="J74" s="234">
        <f>IF('Invullen groen'!E89&gt;0,IFERROR($K$1&amp;" "&amp;TRIM(SUBSTITUTE(SUBSTITUTE(SUBSTITUTE(SUBSTITUTE(SUBSTITUTE(SUBSTITUTE(SUBSTITUTE(SUBSTITUTE(SUBSTITUTE(SUBSTITUTE(SUBSTITUTE(SUBSTITUTE(LOWER(IF(LEFT(TEXT('Invullen groen'!E89,"0"),1)="6",'Invullen groen'!K89,IF('Invullen groen'!J89&gt;0,'Invullen groen'!G89,'Invullen groen'!K89))),"2024",""),"2025",""),"2026",""),"2027",""),"2028",""),"2029",""),"taakveld ",""),"installaties","inst"),"ruwbouw","ruwb"),"afbouw","afb"),"bijstelling","bijst"),"investeringen","invest")),""),"")</f>
        <v/>
      </c>
      <c r="K74" s="234" t="n"/>
      <c r="L74" s="234" t="n"/>
      <c r="M74" s="234" t="n"/>
      <c r="N74" s="234" t="n"/>
    </row>
    <row r="75">
      <c r="A75" s="234">
        <f>IFERROR(IF('Invullen groen'!E90&gt;0,'Invullen groen'!E90,""),"")</f>
        <v/>
      </c>
      <c r="B75" s="234">
        <f>IFERROR(IF('Invullen groen'!H90&gt;0,'Invullen groen'!H90,""),"")</f>
        <v/>
      </c>
      <c r="C75" s="234">
        <f>IFERROR(IF('Invullen groen'!J90&gt;0,'Invullen groen'!J90,""),"")</f>
        <v/>
      </c>
      <c r="D75" s="234" t="n"/>
      <c r="E75" s="234">
        <f>IFERROR(IF(LEN(J75)&lt;=36,J75,IFERROR(LEFT(J75,FIND(CHAR(1),SUBSTITUTE(LEFT(J75,36)," ",CHAR(1),LEN(LEFT(J75,36))-LEN(SUBSTITUTE(LEFT(J75,36)," ",""))))-1),LEFT(J75,36))),"")</f>
        <v/>
      </c>
      <c r="F75" s="235">
        <f>IFERROR(IF('Invullen groen'!L90=0,"",INT('Invullen groen'!L90)),"")</f>
        <v/>
      </c>
      <c r="G75" s="235">
        <f>IFERROR(IF('Invullen groen'!M90=0,"",INT('Invullen groen'!M90)),"")</f>
        <v/>
      </c>
      <c r="H75" s="235">
        <f>IFERROR(IF('Invullen groen'!N90=0,"",INT('Invullen groen'!N90)),"")</f>
        <v/>
      </c>
      <c r="I75" s="235">
        <f>IFERROR(IF('Invullen groen'!O90=0,"",INT('Invullen groen'!O90)),"")</f>
        <v/>
      </c>
      <c r="J75" s="234">
        <f>IF('Invullen groen'!E90&gt;0,IFERROR($K$1&amp;" "&amp;TRIM(SUBSTITUTE(SUBSTITUTE(SUBSTITUTE(SUBSTITUTE(SUBSTITUTE(SUBSTITUTE(SUBSTITUTE(SUBSTITUTE(SUBSTITUTE(SUBSTITUTE(SUBSTITUTE(SUBSTITUTE(LOWER(IF(LEFT(TEXT('Invullen groen'!E90,"0"),1)="6",'Invullen groen'!K90,IF('Invullen groen'!J90&gt;0,'Invullen groen'!G90,'Invullen groen'!K90))),"2024",""),"2025",""),"2026",""),"2027",""),"2028",""),"2029",""),"taakveld ",""),"installaties","inst"),"ruwbouw","ruwb"),"afbouw","afb"),"bijstelling","bijst"),"investeringen","invest")),""),"")</f>
        <v/>
      </c>
      <c r="K75" s="234" t="n"/>
      <c r="L75" s="234" t="n"/>
      <c r="M75" s="234" t="n"/>
      <c r="N75" s="234" t="n"/>
    </row>
    <row r="76">
      <c r="A76" s="234">
        <f>IFERROR(IF('Invullen groen'!E91&gt;0,'Invullen groen'!E91,""),"")</f>
        <v/>
      </c>
      <c r="B76" s="234">
        <f>IFERROR(IF('Invullen groen'!H91&gt;0,'Invullen groen'!H91,""),"")</f>
        <v/>
      </c>
      <c r="C76" s="234">
        <f>IFERROR(IF('Invullen groen'!J91&gt;0,'Invullen groen'!J91,""),"")</f>
        <v/>
      </c>
      <c r="E76" s="234">
        <f>IFERROR(IF(LEN(J76)&lt;=36,J76,IFERROR(LEFT(J76,FIND(CHAR(1),SUBSTITUTE(LEFT(J76,36)," ",CHAR(1),LEN(LEFT(J76,36))-LEN(SUBSTITUTE(LEFT(J76,36)," ",""))))-1),LEFT(J76,36))),"")</f>
        <v/>
      </c>
      <c r="F76" s="235">
        <f>IFERROR(IF('Invullen groen'!L91=0,"",INT('Invullen groen'!L91)),"")</f>
        <v/>
      </c>
      <c r="G76" s="235">
        <f>IFERROR(IF('Invullen groen'!M91=0,"",INT('Invullen groen'!M91)),"")</f>
        <v/>
      </c>
      <c r="H76" s="235">
        <f>IFERROR(IF('Invullen groen'!N91=0,"",INT('Invullen groen'!N91)),"")</f>
        <v/>
      </c>
      <c r="I76" s="235">
        <f>IFERROR(IF('Invullen groen'!O91=0,"",INT('Invullen groen'!O91)),"")</f>
        <v/>
      </c>
      <c r="J76" s="234">
        <f>IF('Invullen groen'!E91&gt;0,IFERROR($K$1&amp;" "&amp;TRIM(SUBSTITUTE(SUBSTITUTE(SUBSTITUTE(SUBSTITUTE(SUBSTITUTE(SUBSTITUTE(SUBSTITUTE(SUBSTITUTE(SUBSTITUTE(SUBSTITUTE(SUBSTITUTE(SUBSTITUTE(LOWER(IF(LEFT(TEXT('Invullen groen'!E91,"0"),1)="6",'Invullen groen'!K91,IF('Invullen groen'!J91&gt;0,'Invullen groen'!G91,'Invullen groen'!K91))),"2024",""),"2025",""),"2026",""),"2027",""),"2028",""),"2029",""),"taakveld ",""),"installaties","inst"),"ruwbouw","ruwb"),"afbouw","afb"),"bijstelling","bijst"),"investeringen","invest")),""),"")</f>
        <v/>
      </c>
    </row>
    <row r="77">
      <c r="A77" s="234">
        <f>IFERROR(IF('Invullen groen'!E92&gt;0,'Invullen groen'!E92,""),"")</f>
        <v/>
      </c>
      <c r="B77" s="234">
        <f>IFERROR(IF('Invullen groen'!H92&gt;0,'Invullen groen'!H92,""),"")</f>
        <v/>
      </c>
      <c r="C77" s="234">
        <f>IFERROR(IF('Invullen groen'!J92&gt;0,'Invullen groen'!J92,""),"")</f>
        <v/>
      </c>
      <c r="E77" s="234">
        <f>IFERROR(IF(LEN(J77)&lt;=36,J77,IFERROR(LEFT(J77,FIND(CHAR(1),SUBSTITUTE(LEFT(J77,36)," ",CHAR(1),LEN(LEFT(J77,36))-LEN(SUBSTITUTE(LEFT(J77,36)," ",""))))-1),LEFT(J77,36))),"")</f>
        <v/>
      </c>
      <c r="F77" s="235">
        <f>IFERROR(IF('Invullen groen'!L92=0,"",INT('Invullen groen'!L92)),"")</f>
        <v/>
      </c>
      <c r="G77" s="235">
        <f>IFERROR(IF('Invullen groen'!M92=0,"",INT('Invullen groen'!M92)),"")</f>
        <v/>
      </c>
      <c r="H77" s="235">
        <f>IFERROR(IF('Invullen groen'!N92=0,"",INT('Invullen groen'!N92)),"")</f>
        <v/>
      </c>
      <c r="I77" s="235">
        <f>IFERROR(IF('Invullen groen'!O92=0,"",INT('Invullen groen'!O92)),"")</f>
        <v/>
      </c>
      <c r="J77" s="234">
        <f>IF('Invullen groen'!E92&gt;0,IFERROR($K$1&amp;" "&amp;TRIM(SUBSTITUTE(SUBSTITUTE(SUBSTITUTE(SUBSTITUTE(SUBSTITUTE(SUBSTITUTE(SUBSTITUTE(SUBSTITUTE(SUBSTITUTE(SUBSTITUTE(SUBSTITUTE(SUBSTITUTE(LOWER(IF(LEFT(TEXT('Invullen groen'!E92,"0"),1)="6",'Invullen groen'!K92,IF('Invullen groen'!J92&gt;0,'Invullen groen'!G92,'Invullen groen'!K92))),"2024",""),"2025",""),"2026",""),"2027",""),"2028",""),"2029",""),"taakveld ",""),"installaties","inst"),"ruwbouw","ruwb"),"afbouw","afb"),"bijstelling","bijst"),"investeringen","invest")),""),"")</f>
        <v/>
      </c>
    </row>
    <row r="78">
      <c r="A78" s="234">
        <f>IFERROR(IF('Invullen groen'!E93&gt;0,'Invullen groen'!E93,""),"")</f>
        <v/>
      </c>
      <c r="B78" s="234">
        <f>IFERROR(IF('Invullen groen'!H93&gt;0,'Invullen groen'!H93,""),"")</f>
        <v/>
      </c>
      <c r="C78" s="234">
        <f>IFERROR(IF('Invullen groen'!J93&gt;0,'Invullen groen'!J93,""),"")</f>
        <v/>
      </c>
      <c r="E78" s="234">
        <f>IFERROR(IF(LEN(J78)&lt;=36,J78,IFERROR(LEFT(J78,FIND(CHAR(1),SUBSTITUTE(LEFT(J78,36)," ",CHAR(1),LEN(LEFT(J78,36))-LEN(SUBSTITUTE(LEFT(J78,36)," ",""))))-1),LEFT(J78,36))),"")</f>
        <v/>
      </c>
      <c r="F78" s="235">
        <f>IFERROR(IF('Invullen groen'!L93=0,"",INT('Invullen groen'!L93)),"")</f>
        <v/>
      </c>
      <c r="G78" s="235">
        <f>IFERROR(IF('Invullen groen'!M93=0,"",INT('Invullen groen'!M93)),"")</f>
        <v/>
      </c>
      <c r="H78" s="235">
        <f>IFERROR(IF('Invullen groen'!N93=0,"",INT('Invullen groen'!N93)),"")</f>
        <v/>
      </c>
      <c r="I78" s="235">
        <f>IFERROR(IF('Invullen groen'!O93=0,"",INT('Invullen groen'!O93)),"")</f>
        <v/>
      </c>
      <c r="J78" s="234">
        <f>IF('Invullen groen'!E93&gt;0,IFERROR($K$1&amp;" "&amp;TRIM(SUBSTITUTE(SUBSTITUTE(SUBSTITUTE(SUBSTITUTE(SUBSTITUTE(SUBSTITUTE(SUBSTITUTE(SUBSTITUTE(SUBSTITUTE(SUBSTITUTE(SUBSTITUTE(SUBSTITUTE(LOWER(IF(LEFT(TEXT('Invullen groen'!E93,"0"),1)="6",'Invullen groen'!K93,IF('Invullen groen'!J93&gt;0,'Invullen groen'!G93,'Invullen groen'!K93))),"2024",""),"2025",""),"2026",""),"2027",""),"2028",""),"2029",""),"taakveld ",""),"installaties","inst"),"ruwbouw","ruwb"),"afbouw","afb"),"bijstelling","bijst"),"investeringen","invest")),""),"")</f>
        <v/>
      </c>
    </row>
    <row r="79">
      <c r="A79" s="234">
        <f>IFERROR(IF('Invullen groen'!E94&gt;0,'Invullen groen'!E94,""),"")</f>
        <v/>
      </c>
      <c r="B79" s="234">
        <f>IFERROR(IF('Invullen groen'!H94&gt;0,'Invullen groen'!H94,""),"")</f>
        <v/>
      </c>
      <c r="C79" s="234">
        <f>IFERROR(IF('Invullen groen'!J94&gt;0,'Invullen groen'!J94,""),"")</f>
        <v/>
      </c>
      <c r="E79" s="234">
        <f>IFERROR(IF(LEN(J79)&lt;=36,J79,IFERROR(LEFT(J79,FIND(CHAR(1),SUBSTITUTE(LEFT(J79,36)," ",CHAR(1),LEN(LEFT(J79,36))-LEN(SUBSTITUTE(LEFT(J79,36)," ",""))))-1),LEFT(J79,36))),"")</f>
        <v/>
      </c>
      <c r="F79" s="235">
        <f>IFERROR(IF('Invullen groen'!L94=0,"",INT('Invullen groen'!L94)),"")</f>
        <v/>
      </c>
      <c r="G79" s="235">
        <f>IFERROR(IF('Invullen groen'!M94=0,"",INT('Invullen groen'!M94)),"")</f>
        <v/>
      </c>
      <c r="H79" s="235">
        <f>IFERROR(IF('Invullen groen'!N94=0,"",INT('Invullen groen'!N94)),"")</f>
        <v/>
      </c>
      <c r="I79" s="235">
        <f>IFERROR(IF('Invullen groen'!O94=0,"",INT('Invullen groen'!O94)),"")</f>
        <v/>
      </c>
      <c r="J79" s="234">
        <f>IF('Invullen groen'!E94&gt;0,IFERROR($K$1&amp;" "&amp;TRIM(SUBSTITUTE(SUBSTITUTE(SUBSTITUTE(SUBSTITUTE(SUBSTITUTE(SUBSTITUTE(SUBSTITUTE(SUBSTITUTE(SUBSTITUTE(SUBSTITUTE(SUBSTITUTE(SUBSTITUTE(LOWER(IF(LEFT(TEXT('Invullen groen'!E94,"0"),1)="6",'Invullen groen'!K94,IF('Invullen groen'!J94&gt;0,'Invullen groen'!G94,'Invullen groen'!K94))),"2024",""),"2025",""),"2026",""),"2027",""),"2028",""),"2029",""),"taakveld ",""),"installaties","inst"),"ruwbouw","ruwb"),"afbouw","afb"),"bijstelling","bijst"),"investeringen","invest")),""),"")</f>
        <v/>
      </c>
    </row>
    <row r="80">
      <c r="A80" s="234">
        <f>IFERROR(IF('Invullen groen'!E95&gt;0,'Invullen groen'!E95,""),"")</f>
        <v/>
      </c>
      <c r="B80" s="234">
        <f>IFERROR(IF('Invullen groen'!H95&gt;0,'Invullen groen'!H95,""),"")</f>
        <v/>
      </c>
      <c r="C80" s="234">
        <f>IFERROR(IF('Invullen groen'!J95&gt;0,'Invullen groen'!J95,""),"")</f>
        <v/>
      </c>
      <c r="E80" s="234">
        <f>IFERROR(IF(LEN(J80)&lt;=36,J80,IFERROR(LEFT(J80,FIND(CHAR(1),SUBSTITUTE(LEFT(J80,36)," ",CHAR(1),LEN(LEFT(J80,36))-LEN(SUBSTITUTE(LEFT(J80,36)," ",""))))-1),LEFT(J80,36))),"")</f>
        <v/>
      </c>
      <c r="F80" s="235">
        <f>IFERROR(IF('Invullen groen'!L95=0,"",INT('Invullen groen'!L95)),"")</f>
        <v/>
      </c>
      <c r="G80" s="235">
        <f>IFERROR(IF('Invullen groen'!M95=0,"",INT('Invullen groen'!M95)),"")</f>
        <v/>
      </c>
      <c r="H80" s="235">
        <f>IFERROR(IF('Invullen groen'!N95=0,"",INT('Invullen groen'!N95)),"")</f>
        <v/>
      </c>
      <c r="I80" s="235">
        <f>IFERROR(IF('Invullen groen'!O95=0,"",INT('Invullen groen'!O95)),"")</f>
        <v/>
      </c>
      <c r="J80" s="234">
        <f>IF('Invullen groen'!E95&gt;0,IFERROR($K$1&amp;" "&amp;TRIM(SUBSTITUTE(SUBSTITUTE(SUBSTITUTE(SUBSTITUTE(SUBSTITUTE(SUBSTITUTE(SUBSTITUTE(SUBSTITUTE(SUBSTITUTE(SUBSTITUTE(SUBSTITUTE(SUBSTITUTE(LOWER(IF(LEFT(TEXT('Invullen groen'!E95,"0"),1)="6",'Invullen groen'!K95,IF('Invullen groen'!J95&gt;0,'Invullen groen'!G95,'Invullen groen'!K95))),"2024",""),"2025",""),"2026",""),"2027",""),"2028",""),"2029",""),"taakveld ",""),"installaties","inst"),"ruwbouw","ruwb"),"afbouw","afb"),"bijstelling","bijst"),"investeringen","invest")),""),"")</f>
        <v/>
      </c>
    </row>
    <row r="81">
      <c r="A81" s="234">
        <f>IFERROR(IF('Invullen groen'!E96&gt;0,'Invullen groen'!E96,""),"")</f>
        <v/>
      </c>
      <c r="B81" s="234">
        <f>IFERROR(IF('Invullen groen'!H96&gt;0,'Invullen groen'!H96,""),"")</f>
        <v/>
      </c>
      <c r="C81" s="234">
        <f>IFERROR(IF('Invullen groen'!J96&gt;0,'Invullen groen'!J96,""),"")</f>
        <v/>
      </c>
      <c r="E81" s="234">
        <f>IFERROR(IF(LEN(J81)&lt;=36,J81,IFERROR(LEFT(J81,FIND(CHAR(1),SUBSTITUTE(LEFT(J81,36)," ",CHAR(1),LEN(LEFT(J81,36))-LEN(SUBSTITUTE(LEFT(J81,36)," ",""))))-1),LEFT(J81,36))),"")</f>
        <v/>
      </c>
      <c r="F81" s="235">
        <f>IFERROR(IF('Invullen groen'!L96=0,"",INT('Invullen groen'!L96)),"")</f>
        <v/>
      </c>
      <c r="G81" s="235">
        <f>IFERROR(IF('Invullen groen'!M96=0,"",INT('Invullen groen'!M96)),"")</f>
        <v/>
      </c>
      <c r="H81" s="235">
        <f>IFERROR(IF('Invullen groen'!N96=0,"",INT('Invullen groen'!N96)),"")</f>
        <v/>
      </c>
      <c r="I81" s="235">
        <f>IFERROR(IF('Invullen groen'!O96=0,"",INT('Invullen groen'!O96)),"")</f>
        <v/>
      </c>
      <c r="J81" s="234">
        <f>IF('Invullen groen'!E96&gt;0,IFERROR($K$1&amp;" "&amp;TRIM(SUBSTITUTE(SUBSTITUTE(SUBSTITUTE(SUBSTITUTE(SUBSTITUTE(SUBSTITUTE(SUBSTITUTE(SUBSTITUTE(SUBSTITUTE(SUBSTITUTE(SUBSTITUTE(SUBSTITUTE(LOWER(IF(LEFT(TEXT('Invullen groen'!E96,"0"),1)="6",'Invullen groen'!K96,IF('Invullen groen'!J96&gt;0,'Invullen groen'!G96,'Invullen groen'!K96))),"2024",""),"2025",""),"2026",""),"2027",""),"2028",""),"2029",""),"taakveld ",""),"installaties","inst"),"ruwbouw","ruwb"),"afbouw","afb"),"bijstelling","bijst"),"investeringen","invest")),""),"")</f>
        <v/>
      </c>
    </row>
    <row r="82">
      <c r="A82" s="234">
        <f>IFERROR(IF('Invullen groen'!E97&gt;0,'Invullen groen'!E97,""),"")</f>
        <v/>
      </c>
      <c r="B82" s="234">
        <f>IFERROR(IF('Invullen groen'!H97&gt;0,'Invullen groen'!H97,""),"")</f>
        <v/>
      </c>
      <c r="C82" s="234">
        <f>IFERROR(IF('Invullen groen'!J97&gt;0,'Invullen groen'!J97,""),"")</f>
        <v/>
      </c>
      <c r="E82" s="234">
        <f>IFERROR(IF(LEN(J82)&lt;=36,J82,IFERROR(LEFT(J82,FIND(CHAR(1),SUBSTITUTE(LEFT(J82,36)," ",CHAR(1),LEN(LEFT(J82,36))-LEN(SUBSTITUTE(LEFT(J82,36)," ",""))))-1),LEFT(J82,36))),"")</f>
        <v/>
      </c>
      <c r="F82" s="235">
        <f>IFERROR(IF('Invullen groen'!L97=0,"",INT('Invullen groen'!L97)),"")</f>
        <v/>
      </c>
      <c r="G82" s="235">
        <f>IFERROR(IF('Invullen groen'!M97=0,"",INT('Invullen groen'!M97)),"")</f>
        <v/>
      </c>
      <c r="H82" s="235">
        <f>IFERROR(IF('Invullen groen'!N97=0,"",INT('Invullen groen'!N97)),"")</f>
        <v/>
      </c>
      <c r="I82" s="235">
        <f>IFERROR(IF('Invullen groen'!O97=0,"",INT('Invullen groen'!O97)),"")</f>
        <v/>
      </c>
      <c r="J82" s="234">
        <f>IF('Invullen groen'!E97&gt;0,IFERROR($K$1&amp;" "&amp;TRIM(SUBSTITUTE(SUBSTITUTE(SUBSTITUTE(SUBSTITUTE(SUBSTITUTE(SUBSTITUTE(SUBSTITUTE(SUBSTITUTE(SUBSTITUTE(SUBSTITUTE(SUBSTITUTE(SUBSTITUTE(LOWER(IF(LEFT(TEXT('Invullen groen'!E97,"0"),1)="6",'Invullen groen'!K97,IF('Invullen groen'!J97&gt;0,'Invullen groen'!G97,'Invullen groen'!K97))),"2024",""),"2025",""),"2026",""),"2027",""),"2028",""),"2029",""),"taakveld ",""),"installaties","inst"),"ruwbouw","ruwb"),"afbouw","afb"),"bijstelling","bijst"),"investeringen","invest")),""),"")</f>
        <v/>
      </c>
    </row>
    <row r="83">
      <c r="A83" s="234">
        <f>IFERROR(IF('Invullen groen'!E98&gt;0,'Invullen groen'!E98,""),"")</f>
        <v/>
      </c>
      <c r="B83" s="234">
        <f>IFERROR(IF('Invullen groen'!H98&gt;0,'Invullen groen'!H98,""),"")</f>
        <v/>
      </c>
      <c r="C83" s="234">
        <f>IFERROR(IF('Invullen groen'!J98&gt;0,'Invullen groen'!J98,""),"")</f>
        <v/>
      </c>
      <c r="E83" s="234">
        <f>IFERROR(IF(LEN(J83)&lt;=36,J83,IFERROR(LEFT(J83,FIND(CHAR(1),SUBSTITUTE(LEFT(J83,36)," ",CHAR(1),LEN(LEFT(J83,36))-LEN(SUBSTITUTE(LEFT(J83,36)," ",""))))-1),LEFT(J83,36))),"")</f>
        <v/>
      </c>
      <c r="F83" s="235">
        <f>IFERROR(IF('Invullen groen'!L98=0,"",INT('Invullen groen'!L98)),"")</f>
        <v/>
      </c>
      <c r="G83" s="235">
        <f>IFERROR(IF('Invullen groen'!M98=0,"",INT('Invullen groen'!M98)),"")</f>
        <v/>
      </c>
      <c r="H83" s="235">
        <f>IFERROR(IF('Invullen groen'!N98=0,"",INT('Invullen groen'!N98)),"")</f>
        <v/>
      </c>
      <c r="I83" s="235">
        <f>IFERROR(IF('Invullen groen'!O98=0,"",INT('Invullen groen'!O98)),"")</f>
        <v/>
      </c>
      <c r="J83" s="234">
        <f>IF('Invullen groen'!E98&gt;0,IFERROR($K$1&amp;" "&amp;TRIM(SUBSTITUTE(SUBSTITUTE(SUBSTITUTE(SUBSTITUTE(SUBSTITUTE(SUBSTITUTE(SUBSTITUTE(SUBSTITUTE(SUBSTITUTE(SUBSTITUTE(SUBSTITUTE(SUBSTITUTE(LOWER(IF(LEFT(TEXT('Invullen groen'!E98,"0"),1)="6",'Invullen groen'!K98,IF('Invullen groen'!J98&gt;0,'Invullen groen'!G98,'Invullen groen'!K98))),"2024",""),"2025",""),"2026",""),"2027",""),"2028",""),"2029",""),"taakveld ",""),"installaties","inst"),"ruwbouw","ruwb"),"afbouw","afb"),"bijstelling","bijst"),"investeringen","invest")),""),"")</f>
        <v/>
      </c>
    </row>
    <row r="84">
      <c r="A84" s="234">
        <f>IFERROR(IF('Invullen groen'!E99&gt;0,'Invullen groen'!E99,""),"")</f>
        <v/>
      </c>
      <c r="B84" s="234">
        <f>IFERROR(IF('Invullen groen'!H99&gt;0,'Invullen groen'!H99,""),"")</f>
        <v/>
      </c>
      <c r="C84" s="234">
        <f>IFERROR(IF('Invullen groen'!J99&gt;0,'Invullen groen'!J99,""),"")</f>
        <v/>
      </c>
      <c r="E84" s="234">
        <f>IFERROR(IF(LEN(J84)&lt;=36,J84,IFERROR(LEFT(J84,FIND(CHAR(1),SUBSTITUTE(LEFT(J84,36)," ",CHAR(1),LEN(LEFT(J84,36))-LEN(SUBSTITUTE(LEFT(J84,36)," ",""))))-1),LEFT(J84,36))),"")</f>
        <v/>
      </c>
      <c r="F84" s="235">
        <f>IFERROR(IF('Invullen groen'!L99=0,"",INT('Invullen groen'!L99)),"")</f>
        <v/>
      </c>
      <c r="G84" s="235">
        <f>IFERROR(IF('Invullen groen'!M99=0,"",INT('Invullen groen'!M99)),"")</f>
        <v/>
      </c>
      <c r="H84" s="235">
        <f>IFERROR(IF('Invullen groen'!N99=0,"",INT('Invullen groen'!N99)),"")</f>
        <v/>
      </c>
      <c r="I84" s="235">
        <f>IFERROR(IF('Invullen groen'!O99=0,"",INT('Invullen groen'!O99)),"")</f>
        <v/>
      </c>
      <c r="J84" s="234">
        <f>IF('Invullen groen'!E99&gt;0,IFERROR($K$1&amp;" "&amp;TRIM(SUBSTITUTE(SUBSTITUTE(SUBSTITUTE(SUBSTITUTE(SUBSTITUTE(SUBSTITUTE(SUBSTITUTE(SUBSTITUTE(SUBSTITUTE(SUBSTITUTE(SUBSTITUTE(SUBSTITUTE(LOWER(IF(LEFT(TEXT('Invullen groen'!E99,"0"),1)="6",'Invullen groen'!K99,IF('Invullen groen'!J99&gt;0,'Invullen groen'!G99,'Invullen groen'!K99))),"2024",""),"2025",""),"2026",""),"2027",""),"2028",""),"2029",""),"taakveld ",""),"installaties","inst"),"ruwbouw","ruwb"),"afbouw","afb"),"bijstelling","bijst"),"investeringen","invest")),""),"")</f>
        <v/>
      </c>
    </row>
    <row r="85">
      <c r="A85" s="234">
        <f>IFERROR(IF('Invullen groen'!E100&gt;0,'Invullen groen'!E100,""),"")</f>
        <v/>
      </c>
      <c r="B85" s="234">
        <f>IFERROR(IF('Invullen groen'!H100&gt;0,'Invullen groen'!H100,""),"")</f>
        <v/>
      </c>
      <c r="C85" s="234">
        <f>IFERROR(IF('Invullen groen'!J100&gt;0,'Invullen groen'!J100,""),"")</f>
        <v/>
      </c>
      <c r="E85" s="234">
        <f>IFERROR(IF(LEN(J85)&lt;=36,J85,IFERROR(LEFT(J85,FIND(CHAR(1),SUBSTITUTE(LEFT(J85,36)," ",CHAR(1),LEN(LEFT(J85,36))-LEN(SUBSTITUTE(LEFT(J85,36)," ",""))))-1),LEFT(J85,36))),"")</f>
        <v/>
      </c>
      <c r="F85" s="235">
        <f>IFERROR(IF('Invullen groen'!L100=0,"",INT('Invullen groen'!L100)),"")</f>
        <v/>
      </c>
      <c r="G85" s="235">
        <f>IFERROR(IF('Invullen groen'!M100=0,"",INT('Invullen groen'!M100)),"")</f>
        <v/>
      </c>
      <c r="H85" s="235">
        <f>IFERROR(IF('Invullen groen'!N100=0,"",INT('Invullen groen'!N100)),"")</f>
        <v/>
      </c>
      <c r="I85" s="235">
        <f>IFERROR(IF('Invullen groen'!O100=0,"",INT('Invullen groen'!O100)),"")</f>
        <v/>
      </c>
      <c r="J85" s="234">
        <f>IF('Invullen groen'!E100&gt;0,IFERROR($K$1&amp;" "&amp;TRIM(SUBSTITUTE(SUBSTITUTE(SUBSTITUTE(SUBSTITUTE(SUBSTITUTE(SUBSTITUTE(SUBSTITUTE(SUBSTITUTE(SUBSTITUTE(SUBSTITUTE(SUBSTITUTE(SUBSTITUTE(LOWER(IF(LEFT(TEXT('Invullen groen'!E100,"0"),1)="6",'Invullen groen'!K100,IF('Invullen groen'!J100&gt;0,'Invullen groen'!G100,'Invullen groen'!K100))),"2024",""),"2025",""),"2026",""),"2027",""),"2028",""),"2029",""),"taakveld ",""),"installaties","inst"),"ruwbouw","ruwb"),"afbouw","afb"),"bijstelling","bijst"),"investeringen","invest")),""),"")</f>
        <v/>
      </c>
    </row>
    <row r="86">
      <c r="A86" s="234">
        <f>IFERROR(IF('Invullen groen'!E101&gt;0,'Invullen groen'!E101,""),"")</f>
        <v/>
      </c>
      <c r="B86" s="234">
        <f>IFERROR(IF('Invullen groen'!H101&gt;0,'Invullen groen'!H101,""),"")</f>
        <v/>
      </c>
      <c r="C86" s="234">
        <f>IFERROR(IF('Invullen groen'!J101&gt;0,'Invullen groen'!J101,""),"")</f>
        <v/>
      </c>
      <c r="E86" s="234">
        <f>IFERROR(IF(LEN(J86)&lt;=36,J86,IFERROR(LEFT(J86,FIND(CHAR(1),SUBSTITUTE(LEFT(J86,36)," ",CHAR(1),LEN(LEFT(J86,36))-LEN(SUBSTITUTE(LEFT(J86,36)," ",""))))-1),LEFT(J86,36))),"")</f>
        <v/>
      </c>
      <c r="F86" s="235">
        <f>IFERROR(IF('Invullen groen'!L101=0,"",INT('Invullen groen'!L101)),"")</f>
        <v/>
      </c>
      <c r="G86" s="235">
        <f>IFERROR(IF('Invullen groen'!M101=0,"",INT('Invullen groen'!M101)),"")</f>
        <v/>
      </c>
      <c r="H86" s="235">
        <f>IFERROR(IF('Invullen groen'!N101=0,"",INT('Invullen groen'!N101)),"")</f>
        <v/>
      </c>
      <c r="I86" s="235">
        <f>IFERROR(IF('Invullen groen'!O101=0,"",INT('Invullen groen'!O101)),"")</f>
        <v/>
      </c>
      <c r="J86" s="234">
        <f>IF('Invullen groen'!E101&gt;0,IFERROR($K$1&amp;" "&amp;TRIM(SUBSTITUTE(SUBSTITUTE(SUBSTITUTE(SUBSTITUTE(SUBSTITUTE(SUBSTITUTE(SUBSTITUTE(SUBSTITUTE(SUBSTITUTE(SUBSTITUTE(SUBSTITUTE(SUBSTITUTE(LOWER(IF(LEFT(TEXT('Invullen groen'!E101,"0"),1)="6",'Invullen groen'!K101,IF('Invullen groen'!J101&gt;0,'Invullen groen'!G101,'Invullen groen'!K101))),"2024",""),"2025",""),"2026",""),"2027",""),"2028",""),"2029",""),"taakveld ",""),"installaties","inst"),"ruwbouw","ruwb"),"afbouw","afb"),"bijstelling","bijst"),"investeringen","invest")),""),"")</f>
        <v/>
      </c>
    </row>
    <row r="87">
      <c r="A87" s="234">
        <f>IFERROR(IF('Invullen groen'!E102&gt;0,'Invullen groen'!E102,""),"")</f>
        <v/>
      </c>
      <c r="B87" s="234">
        <f>IFERROR(IF('Invullen groen'!H102&gt;0,'Invullen groen'!H102,""),"")</f>
        <v/>
      </c>
      <c r="C87" s="234">
        <f>IFERROR(IF('Invullen groen'!J102&gt;0,'Invullen groen'!J102,""),"")</f>
        <v/>
      </c>
      <c r="E87" s="234">
        <f>IFERROR(IF(LEN(J87)&lt;=36,J87,IFERROR(LEFT(J87,FIND(CHAR(1),SUBSTITUTE(LEFT(J87,36)," ",CHAR(1),LEN(LEFT(J87,36))-LEN(SUBSTITUTE(LEFT(J87,36)," ",""))))-1),LEFT(J87,36))),"")</f>
        <v/>
      </c>
      <c r="F87" s="235">
        <f>IFERROR(IF('Invullen groen'!L102=0,"",INT('Invullen groen'!L102)),"")</f>
        <v/>
      </c>
      <c r="G87" s="235">
        <f>IFERROR(IF('Invullen groen'!M102=0,"",INT('Invullen groen'!M102)),"")</f>
        <v/>
      </c>
      <c r="H87" s="235">
        <f>IFERROR(IF('Invullen groen'!N102=0,"",INT('Invullen groen'!N102)),"")</f>
        <v/>
      </c>
      <c r="I87" s="235">
        <f>IFERROR(IF('Invullen groen'!O102=0,"",INT('Invullen groen'!O102)),"")</f>
        <v/>
      </c>
      <c r="J87" s="234">
        <f>IF('Invullen groen'!E102&gt;0,IFERROR($K$1&amp;" "&amp;TRIM(SUBSTITUTE(SUBSTITUTE(SUBSTITUTE(SUBSTITUTE(SUBSTITUTE(SUBSTITUTE(SUBSTITUTE(SUBSTITUTE(SUBSTITUTE(SUBSTITUTE(SUBSTITUTE(SUBSTITUTE(LOWER(IF(LEFT(TEXT('Invullen groen'!E102,"0"),1)="6",'Invullen groen'!K102,IF('Invullen groen'!J102&gt;0,'Invullen groen'!G102,'Invullen groen'!K102))),"2024",""),"2025",""),"2026",""),"2027",""),"2028",""),"2029",""),"taakveld ",""),"installaties","inst"),"ruwbouw","ruwb"),"afbouw","afb"),"bijstelling","bijst"),"investeringen","invest")),""),"")</f>
        <v/>
      </c>
    </row>
    <row r="88">
      <c r="A88" s="234">
        <f>IFERROR(IF('Invullen groen'!E103&gt;0,'Invullen groen'!E103,""),"")</f>
        <v/>
      </c>
      <c r="B88" s="234">
        <f>IFERROR(IF('Invullen groen'!H103&gt;0,'Invullen groen'!H103,""),"")</f>
        <v/>
      </c>
      <c r="C88" s="234">
        <f>IFERROR(IF('Invullen groen'!J103&gt;0,'Invullen groen'!J103,""),"")</f>
        <v/>
      </c>
      <c r="E88" s="234">
        <f>IFERROR(IF(LEN(J88)&lt;=36,J88,IFERROR(LEFT(J88,FIND(CHAR(1),SUBSTITUTE(LEFT(J88,36)," ",CHAR(1),LEN(LEFT(J88,36))-LEN(SUBSTITUTE(LEFT(J88,36)," ",""))))-1),LEFT(J88,36))),"")</f>
        <v/>
      </c>
      <c r="F88" s="235">
        <f>IFERROR(IF('Invullen groen'!L103=0,"",INT('Invullen groen'!L103)),"")</f>
        <v/>
      </c>
      <c r="G88" s="235">
        <f>IFERROR(IF('Invullen groen'!M103=0,"",INT('Invullen groen'!M103)),"")</f>
        <v/>
      </c>
      <c r="H88" s="235">
        <f>IFERROR(IF('Invullen groen'!N103=0,"",INT('Invullen groen'!N103)),"")</f>
        <v/>
      </c>
      <c r="I88" s="235">
        <f>IFERROR(IF('Invullen groen'!O103=0,"",INT('Invullen groen'!O103)),"")</f>
        <v/>
      </c>
      <c r="J88" s="234">
        <f>IF('Invullen groen'!E103&gt;0,IFERROR($K$1&amp;" "&amp;TRIM(SUBSTITUTE(SUBSTITUTE(SUBSTITUTE(SUBSTITUTE(SUBSTITUTE(SUBSTITUTE(SUBSTITUTE(SUBSTITUTE(SUBSTITUTE(SUBSTITUTE(SUBSTITUTE(SUBSTITUTE(LOWER(IF(LEFT(TEXT('Invullen groen'!E103,"0"),1)="6",'Invullen groen'!K103,IF('Invullen groen'!J103&gt;0,'Invullen groen'!G103,'Invullen groen'!K103))),"2024",""),"2025",""),"2026",""),"2027",""),"2028",""),"2029",""),"taakveld ",""),"installaties","inst"),"ruwbouw","ruwb"),"afbouw","afb"),"bijstelling","bijst"),"investeringen","invest")),""),"")</f>
        <v/>
      </c>
    </row>
    <row r="89">
      <c r="A89" s="234">
        <f>IFERROR(IF('Invullen groen'!E104&gt;0,'Invullen groen'!E104,""),"")</f>
        <v/>
      </c>
      <c r="B89" s="234">
        <f>IFERROR(IF('Invullen groen'!H104&gt;0,'Invullen groen'!H104,""),"")</f>
        <v/>
      </c>
      <c r="C89" s="234">
        <f>IFERROR(IF('Invullen groen'!J104&gt;0,'Invullen groen'!J104,""),"")</f>
        <v/>
      </c>
      <c r="E89" s="234">
        <f>IFERROR(IF(LEN(J89)&lt;=36,J89,IFERROR(LEFT(J89,FIND(CHAR(1),SUBSTITUTE(LEFT(J89,36)," ",CHAR(1),LEN(LEFT(J89,36))-LEN(SUBSTITUTE(LEFT(J89,36)," ",""))))-1),LEFT(J89,36))),"")</f>
        <v/>
      </c>
      <c r="F89" s="235">
        <f>IFERROR(IF('Invullen groen'!L104=0,"",INT('Invullen groen'!L104)),"")</f>
        <v/>
      </c>
      <c r="G89" s="235">
        <f>IFERROR(IF('Invullen groen'!M104=0,"",INT('Invullen groen'!M104)),"")</f>
        <v/>
      </c>
      <c r="H89" s="235">
        <f>IFERROR(IF('Invullen groen'!N104=0,"",INT('Invullen groen'!N104)),"")</f>
        <v/>
      </c>
      <c r="I89" s="235">
        <f>IFERROR(IF('Invullen groen'!O104=0,"",INT('Invullen groen'!O104)),"")</f>
        <v/>
      </c>
      <c r="J89" s="234">
        <f>IF('Invullen groen'!E104&gt;0,IFERROR($K$1&amp;" "&amp;TRIM(SUBSTITUTE(SUBSTITUTE(SUBSTITUTE(SUBSTITUTE(SUBSTITUTE(SUBSTITUTE(SUBSTITUTE(SUBSTITUTE(SUBSTITUTE(SUBSTITUTE(SUBSTITUTE(SUBSTITUTE(LOWER(IF(LEFT(TEXT('Invullen groen'!E104,"0"),1)="6",'Invullen groen'!K104,IF('Invullen groen'!J104&gt;0,'Invullen groen'!G104,'Invullen groen'!K104))),"2024",""),"2025",""),"2026",""),"2027",""),"2028",""),"2029",""),"taakveld ",""),"installaties","inst"),"ruwbouw","ruwb"),"afbouw","afb"),"bijstelling","bijst"),"investeringen","invest")),""),"")</f>
        <v/>
      </c>
    </row>
    <row r="90">
      <c r="A90" s="234">
        <f>IFERROR(IF('Invullen groen'!E105&gt;0,'Invullen groen'!E105,""),"")</f>
        <v/>
      </c>
      <c r="B90" s="234">
        <f>IFERROR(IF('Invullen groen'!H105&gt;0,'Invullen groen'!H105,""),"")</f>
        <v/>
      </c>
      <c r="C90" s="234">
        <f>IFERROR(IF('Invullen groen'!J105&gt;0,'Invullen groen'!J105,""),"")</f>
        <v/>
      </c>
      <c r="E90" s="234">
        <f>IFERROR(IF(LEN(J90)&lt;=36,J90,IFERROR(LEFT(J90,FIND(CHAR(1),SUBSTITUTE(LEFT(J90,36)," ",CHAR(1),LEN(LEFT(J90,36))-LEN(SUBSTITUTE(LEFT(J90,36)," ",""))))-1),LEFT(J90,36))),"")</f>
        <v/>
      </c>
      <c r="F90" s="235">
        <f>IFERROR(IF('Invullen groen'!L105=0,"",INT('Invullen groen'!L105)),"")</f>
        <v/>
      </c>
      <c r="G90" s="235">
        <f>IFERROR(IF('Invullen groen'!M105=0,"",INT('Invullen groen'!M105)),"")</f>
        <v/>
      </c>
      <c r="H90" s="235">
        <f>IFERROR(IF('Invullen groen'!N105=0,"",INT('Invullen groen'!N105)),"")</f>
        <v/>
      </c>
      <c r="I90" s="235">
        <f>IFERROR(IF('Invullen groen'!O105=0,"",INT('Invullen groen'!O105)),"")</f>
        <v/>
      </c>
      <c r="J90" s="234">
        <f>IF('Invullen groen'!E105&gt;0,IFERROR($K$1&amp;" "&amp;TRIM(SUBSTITUTE(SUBSTITUTE(SUBSTITUTE(SUBSTITUTE(SUBSTITUTE(SUBSTITUTE(SUBSTITUTE(SUBSTITUTE(SUBSTITUTE(SUBSTITUTE(SUBSTITUTE(SUBSTITUTE(LOWER(IF(LEFT(TEXT('Invullen groen'!E105,"0"),1)="6",'Invullen groen'!K105,IF('Invullen groen'!J105&gt;0,'Invullen groen'!G105,'Invullen groen'!K105))),"2024",""),"2025",""),"2026",""),"2027",""),"2028",""),"2029",""),"taakveld ",""),"installaties","inst"),"ruwbouw","ruwb"),"afbouw","afb"),"bijstelling","bijst"),"investeringen","invest")),""),"")</f>
        <v/>
      </c>
    </row>
    <row r="91">
      <c r="A91" s="234">
        <f>IFERROR(IF('Invullen groen'!E106&gt;0,'Invullen groen'!E106,""),"")</f>
        <v/>
      </c>
      <c r="B91" s="234">
        <f>IFERROR(IF('Invullen groen'!H106&gt;0,'Invullen groen'!H106,""),"")</f>
        <v/>
      </c>
      <c r="C91" s="234">
        <f>IFERROR(IF('Invullen groen'!J106&gt;0,'Invullen groen'!J106,""),"")</f>
        <v/>
      </c>
      <c r="E91" s="234">
        <f>IFERROR(IF(LEN(J91)&lt;=36,J91,IFERROR(LEFT(J91,FIND(CHAR(1),SUBSTITUTE(LEFT(J91,36)," ",CHAR(1),LEN(LEFT(J91,36))-LEN(SUBSTITUTE(LEFT(J91,36)," ",""))))-1),LEFT(J91,36))),"")</f>
        <v/>
      </c>
      <c r="F91" s="235">
        <f>IFERROR(IF('Invullen groen'!L106=0,"",INT('Invullen groen'!L106)),"")</f>
        <v/>
      </c>
      <c r="G91" s="235">
        <f>IFERROR(IF('Invullen groen'!M106=0,"",INT('Invullen groen'!M106)),"")</f>
        <v/>
      </c>
      <c r="H91" s="235">
        <f>IFERROR(IF('Invullen groen'!N106=0,"",INT('Invullen groen'!N106)),"")</f>
        <v/>
      </c>
      <c r="I91" s="235">
        <f>IFERROR(IF('Invullen groen'!O106=0,"",INT('Invullen groen'!O106)),"")</f>
        <v/>
      </c>
      <c r="J91" s="234">
        <f>IF('Invullen groen'!E106&gt;0,IFERROR($K$1&amp;" "&amp;TRIM(SUBSTITUTE(SUBSTITUTE(SUBSTITUTE(SUBSTITUTE(SUBSTITUTE(SUBSTITUTE(SUBSTITUTE(SUBSTITUTE(SUBSTITUTE(SUBSTITUTE(SUBSTITUTE(SUBSTITUTE(LOWER(IF(LEFT(TEXT('Invullen groen'!E106,"0"),1)="6",'Invullen groen'!K106,IF('Invullen groen'!J106&gt;0,'Invullen groen'!G106,'Invullen groen'!K106))),"2024",""),"2025",""),"2026",""),"2027",""),"2028",""),"2029",""),"taakveld ",""),"installaties","inst"),"ruwbouw","ruwb"),"afbouw","afb"),"bijstelling","bijst"),"investeringen","invest")),""),"")</f>
        <v/>
      </c>
    </row>
    <row r="92">
      <c r="A92" s="234">
        <f>IFERROR(IF('Invullen groen'!E107&gt;0,'Invullen groen'!E107,""),"")</f>
        <v/>
      </c>
      <c r="B92" s="234">
        <f>IFERROR(IF('Invullen groen'!H107&gt;0,'Invullen groen'!H107,""),"")</f>
        <v/>
      </c>
      <c r="C92" s="234">
        <f>IFERROR(IF('Invullen groen'!J107&gt;0,'Invullen groen'!J107,""),"")</f>
        <v/>
      </c>
      <c r="E92" s="234">
        <f>IFERROR(IF(LEN(J92)&lt;=36,J92,IFERROR(LEFT(J92,FIND(CHAR(1),SUBSTITUTE(LEFT(J92,36)," ",CHAR(1),LEN(LEFT(J92,36))-LEN(SUBSTITUTE(LEFT(J92,36)," ",""))))-1),LEFT(J92,36))),"")</f>
        <v/>
      </c>
      <c r="F92" s="235">
        <f>IFERROR(IF('Invullen groen'!L107=0,"",INT('Invullen groen'!L107)),"")</f>
        <v/>
      </c>
      <c r="G92" s="235">
        <f>IFERROR(IF('Invullen groen'!M107=0,"",INT('Invullen groen'!M107)),"")</f>
        <v/>
      </c>
      <c r="H92" s="235">
        <f>IFERROR(IF('Invullen groen'!N107=0,"",INT('Invullen groen'!N107)),"")</f>
        <v/>
      </c>
      <c r="I92" s="235">
        <f>IFERROR(IF('Invullen groen'!O107=0,"",INT('Invullen groen'!O107)),"")</f>
        <v/>
      </c>
      <c r="J92" s="234">
        <f>IF('Invullen groen'!E107&gt;0,IFERROR($K$1&amp;" "&amp;TRIM(SUBSTITUTE(SUBSTITUTE(SUBSTITUTE(SUBSTITUTE(SUBSTITUTE(SUBSTITUTE(SUBSTITUTE(SUBSTITUTE(SUBSTITUTE(SUBSTITUTE(SUBSTITUTE(SUBSTITUTE(LOWER(IF(LEFT(TEXT('Invullen groen'!E107,"0"),1)="6",'Invullen groen'!K107,IF('Invullen groen'!J107&gt;0,'Invullen groen'!G107,'Invullen groen'!K107))),"2024",""),"2025",""),"2026",""),"2027",""),"2028",""),"2029",""),"taakveld ",""),"installaties","inst"),"ruwbouw","ruwb"),"afbouw","afb"),"bijstelling","bijst"),"investeringen","invest")),""),"")</f>
        <v/>
      </c>
    </row>
    <row r="93">
      <c r="A93" s="234">
        <f>IFERROR(IF('Invullen groen'!E108&gt;0,'Invullen groen'!E108,""),"")</f>
        <v/>
      </c>
      <c r="B93" s="234">
        <f>IFERROR(IF('Invullen groen'!H108&gt;0,'Invullen groen'!H108,""),"")</f>
        <v/>
      </c>
      <c r="C93" s="234">
        <f>IFERROR(IF('Invullen groen'!J108&gt;0,'Invullen groen'!J108,""),"")</f>
        <v/>
      </c>
      <c r="E93" s="234">
        <f>IFERROR(IF(LEN(J93)&lt;=36,J93,IFERROR(LEFT(J93,FIND(CHAR(1),SUBSTITUTE(LEFT(J93,36)," ",CHAR(1),LEN(LEFT(J93,36))-LEN(SUBSTITUTE(LEFT(J93,36)," ",""))))-1),LEFT(J93,36))),"")</f>
        <v/>
      </c>
      <c r="F93" s="235">
        <f>IFERROR(IF('Invullen groen'!L108=0,"",INT('Invullen groen'!L108)),"")</f>
        <v/>
      </c>
      <c r="G93" s="235">
        <f>IFERROR(IF('Invullen groen'!M108=0,"",INT('Invullen groen'!M108)),"")</f>
        <v/>
      </c>
      <c r="H93" s="235">
        <f>IFERROR(IF('Invullen groen'!N108=0,"",INT('Invullen groen'!N108)),"")</f>
        <v/>
      </c>
      <c r="I93" s="235">
        <f>IFERROR(IF('Invullen groen'!O108=0,"",INT('Invullen groen'!O108)),"")</f>
        <v/>
      </c>
      <c r="J93" s="234">
        <f>IF('Invullen groen'!E108&gt;0,IFERROR($K$1&amp;" "&amp;TRIM(SUBSTITUTE(SUBSTITUTE(SUBSTITUTE(SUBSTITUTE(SUBSTITUTE(SUBSTITUTE(SUBSTITUTE(SUBSTITUTE(SUBSTITUTE(SUBSTITUTE(SUBSTITUTE(SUBSTITUTE(LOWER(IF(LEFT(TEXT('Invullen groen'!E108,"0"),1)="6",'Invullen groen'!K108,IF('Invullen groen'!J108&gt;0,'Invullen groen'!G108,'Invullen groen'!K108))),"2024",""),"2025",""),"2026",""),"2027",""),"2028",""),"2029",""),"taakveld ",""),"installaties","inst"),"ruwbouw","ruwb"),"afbouw","afb"),"bijstelling","bijst"),"investeringen","invest")),""),"")</f>
        <v/>
      </c>
    </row>
    <row r="94">
      <c r="A94" s="234">
        <f>IFERROR(IF('Invullen groen'!E109&gt;0,'Invullen groen'!E109,""),"")</f>
        <v/>
      </c>
      <c r="B94" s="234">
        <f>IFERROR(IF('Invullen groen'!H109&gt;0,'Invullen groen'!H109,""),"")</f>
        <v/>
      </c>
      <c r="C94" s="234">
        <f>IFERROR(IF('Invullen groen'!J109&gt;0,'Invullen groen'!J109,""),"")</f>
        <v/>
      </c>
      <c r="E94" s="234">
        <f>IFERROR(IF(LEN(J94)&lt;=36,J94,IFERROR(LEFT(J94,FIND(CHAR(1),SUBSTITUTE(LEFT(J94,36)," ",CHAR(1),LEN(LEFT(J94,36))-LEN(SUBSTITUTE(LEFT(J94,36)," ",""))))-1),LEFT(J94,36))),"")</f>
        <v/>
      </c>
      <c r="F94" s="235">
        <f>IFERROR(IF('Invullen groen'!L109=0,"",INT('Invullen groen'!L109)),"")</f>
        <v/>
      </c>
      <c r="G94" s="235">
        <f>IFERROR(IF('Invullen groen'!M109=0,"",INT('Invullen groen'!M109)),"")</f>
        <v/>
      </c>
      <c r="H94" s="235">
        <f>IFERROR(IF('Invullen groen'!N109=0,"",INT('Invullen groen'!N109)),"")</f>
        <v/>
      </c>
      <c r="I94" s="235">
        <f>IFERROR(IF('Invullen groen'!O109=0,"",INT('Invullen groen'!O109)),"")</f>
        <v/>
      </c>
      <c r="J94" s="234">
        <f>IF('Invullen groen'!E109&gt;0,IFERROR($K$1&amp;" "&amp;TRIM(SUBSTITUTE(SUBSTITUTE(SUBSTITUTE(SUBSTITUTE(SUBSTITUTE(SUBSTITUTE(SUBSTITUTE(SUBSTITUTE(SUBSTITUTE(SUBSTITUTE(SUBSTITUTE(SUBSTITUTE(LOWER(IF(LEFT(TEXT('Invullen groen'!E109,"0"),1)="6",'Invullen groen'!K109,IF('Invullen groen'!J109&gt;0,'Invullen groen'!G109,'Invullen groen'!K109))),"2024",""),"2025",""),"2026",""),"2027",""),"2028",""),"2029",""),"taakveld ",""),"installaties","inst"),"ruwbouw","ruwb"),"afbouw","afb"),"bijstelling","bijst"),"investeringen","invest")),""),"")</f>
        <v/>
      </c>
    </row>
    <row r="95">
      <c r="A95" s="237" t="n"/>
      <c r="F95" s="236" t="n"/>
      <c r="G95" s="236" t="n"/>
      <c r="H95" s="236" t="n"/>
      <c r="I95" s="236" t="n"/>
    </row>
    <row r="96">
      <c r="A96" s="237" t="n"/>
      <c r="F96" s="236" t="n"/>
      <c r="G96" s="236" t="n"/>
      <c r="H96" s="236" t="n"/>
      <c r="I96" s="236" t="n"/>
    </row>
    <row r="97">
      <c r="A97" s="237" t="n"/>
      <c r="F97" s="236" t="n"/>
      <c r="G97" s="236" t="n"/>
      <c r="H97" s="236" t="n"/>
      <c r="I97" s="236" t="n"/>
    </row>
    <row r="98">
      <c r="A98" s="237" t="n"/>
      <c r="F98" s="236" t="n"/>
      <c r="G98" s="236" t="n"/>
      <c r="H98" s="236" t="n"/>
      <c r="I98" s="236" t="n"/>
    </row>
    <row r="99">
      <c r="A99" s="237" t="n"/>
      <c r="F99" s="236" t="n"/>
      <c r="G99" s="236" t="n"/>
      <c r="H99" s="236" t="n"/>
      <c r="I99" s="236" t="n"/>
    </row>
    <row r="100">
      <c r="A100" s="237" t="n"/>
      <c r="F100" s="236" t="n"/>
      <c r="G100" s="236" t="n"/>
      <c r="H100" s="236" t="n"/>
      <c r="I100" s="236" t="n"/>
    </row>
    <row r="101">
      <c r="A101" s="237" t="n"/>
      <c r="F101" s="236" t="n"/>
      <c r="G101" s="236" t="n"/>
      <c r="H101" s="236" t="n"/>
      <c r="I101" s="236" t="n"/>
    </row>
    <row r="102">
      <c r="A102" s="237" t="n"/>
      <c r="F102" s="236" t="n"/>
      <c r="G102" s="236" t="n"/>
      <c r="H102" s="236" t="n"/>
      <c r="I102" s="236" t="n"/>
    </row>
    <row r="103">
      <c r="A103" s="237" t="n"/>
      <c r="F103" s="236" t="n"/>
      <c r="G103" s="236" t="n"/>
      <c r="H103" s="236" t="n"/>
      <c r="I103" s="236" t="n"/>
    </row>
    <row r="104">
      <c r="A104" s="237" t="n"/>
      <c r="F104" s="236" t="n"/>
      <c r="G104" s="236" t="n"/>
      <c r="H104" s="236" t="n"/>
      <c r="I104" s="236" t="n"/>
    </row>
    <row r="105">
      <c r="A105" s="237" t="n"/>
      <c r="F105" s="236" t="n"/>
      <c r="G105" s="236" t="n"/>
      <c r="H105" s="236" t="n"/>
      <c r="I105" s="236" t="n"/>
    </row>
    <row r="106">
      <c r="A106" s="237" t="n"/>
      <c r="F106" s="236" t="n"/>
      <c r="G106" s="236" t="n"/>
      <c r="H106" s="236" t="n"/>
      <c r="I106" s="236" t="n"/>
    </row>
    <row r="107">
      <c r="A107" s="237" t="n"/>
      <c r="F107" s="236" t="n"/>
      <c r="G107" s="236" t="n"/>
      <c r="H107" s="236" t="n"/>
      <c r="I107" s="236" t="n"/>
    </row>
    <row r="108">
      <c r="A108" s="237" t="n"/>
      <c r="F108" s="236" t="n"/>
      <c r="G108" s="236" t="n"/>
      <c r="H108" s="236" t="n"/>
      <c r="I108" s="236" t="n"/>
    </row>
    <row r="109">
      <c r="A109" s="237" t="n"/>
      <c r="F109" s="236" t="n"/>
      <c r="G109" s="236" t="n"/>
      <c r="H109" s="236" t="n"/>
      <c r="I109" s="236" t="n"/>
    </row>
    <row r="110">
      <c r="A110" s="237" t="n"/>
      <c r="F110" s="236" t="n"/>
      <c r="G110" s="236" t="n"/>
      <c r="H110" s="236" t="n"/>
      <c r="I110" s="236" t="n"/>
    </row>
    <row r="111">
      <c r="A111" s="237" t="n"/>
      <c r="F111" s="236" t="n"/>
      <c r="G111" s="236" t="n"/>
      <c r="H111" s="236" t="n"/>
      <c r="I111" s="236" t="n"/>
    </row>
    <row r="112">
      <c r="A112" s="237" t="n"/>
      <c r="F112" s="236" t="n"/>
      <c r="G112" s="236" t="n"/>
      <c r="H112" s="236" t="n"/>
      <c r="I112" s="236" t="n"/>
    </row>
    <row r="113">
      <c r="A113" s="237" t="n"/>
      <c r="F113" s="236" t="n"/>
      <c r="G113" s="236" t="n"/>
      <c r="H113" s="236" t="n"/>
      <c r="I113" s="236" t="n"/>
    </row>
    <row r="114">
      <c r="A114" s="237" t="n"/>
      <c r="F114" s="236" t="n"/>
      <c r="G114" s="236" t="n"/>
      <c r="H114" s="236" t="n"/>
      <c r="I114" s="236" t="n"/>
    </row>
    <row r="115">
      <c r="A115" s="237" t="n"/>
      <c r="F115" s="236" t="n"/>
      <c r="G115" s="236" t="n"/>
      <c r="H115" s="236" t="n"/>
      <c r="I115" s="236" t="n"/>
    </row>
    <row r="116">
      <c r="A116" s="237" t="n"/>
      <c r="F116" s="236" t="n"/>
      <c r="G116" s="236" t="n"/>
      <c r="H116" s="236" t="n"/>
      <c r="I116" s="236" t="n"/>
    </row>
    <row r="117">
      <c r="A117" s="237" t="n"/>
      <c r="F117" s="236" t="n"/>
      <c r="G117" s="236" t="n"/>
      <c r="H117" s="236" t="n"/>
      <c r="I117" s="236" t="n"/>
    </row>
    <row r="118">
      <c r="A118" s="237" t="n"/>
      <c r="F118" s="236" t="n"/>
      <c r="G118" s="236" t="n"/>
      <c r="H118" s="236" t="n"/>
      <c r="I118" s="236" t="n"/>
    </row>
    <row r="119">
      <c r="A119" s="237" t="n"/>
      <c r="F119" s="236" t="n"/>
      <c r="G119" s="236" t="n"/>
      <c r="H119" s="236" t="n"/>
      <c r="I119" s="236" t="n"/>
    </row>
    <row r="120">
      <c r="A120" s="237" t="n"/>
      <c r="F120" s="236" t="n"/>
      <c r="G120" s="236" t="n"/>
      <c r="H120" s="236" t="n"/>
      <c r="I120" s="236" t="n"/>
    </row>
    <row r="121">
      <c r="A121" s="237" t="n"/>
      <c r="F121" s="236" t="n"/>
      <c r="G121" s="236" t="n"/>
      <c r="H121" s="236" t="n"/>
      <c r="I121" s="236" t="n"/>
    </row>
    <row r="122">
      <c r="A122" s="237" t="n"/>
      <c r="F122" s="236" t="n"/>
      <c r="G122" s="236" t="n"/>
      <c r="H122" s="236" t="n"/>
      <c r="I122" s="236" t="n"/>
    </row>
    <row r="123">
      <c r="A123" s="237" t="n"/>
      <c r="F123" s="236" t="n"/>
      <c r="G123" s="236" t="n"/>
      <c r="H123" s="236" t="n"/>
      <c r="I123" s="236" t="n"/>
    </row>
    <row r="124">
      <c r="A124" s="237" t="n"/>
      <c r="F124" s="236" t="n"/>
      <c r="G124" s="236" t="n"/>
      <c r="H124" s="236" t="n"/>
      <c r="I124" s="236" t="n"/>
    </row>
    <row r="125">
      <c r="A125" s="237" t="n"/>
      <c r="F125" s="236" t="n"/>
      <c r="G125" s="236" t="n"/>
      <c r="H125" s="236" t="n"/>
      <c r="I125" s="236" t="n"/>
    </row>
    <row r="126">
      <c r="A126" s="237" t="n"/>
      <c r="F126" s="236" t="n"/>
      <c r="G126" s="236" t="n"/>
      <c r="H126" s="236" t="n"/>
      <c r="I126" s="236" t="n"/>
    </row>
    <row r="127">
      <c r="A127" s="237" t="n"/>
      <c r="F127" s="236" t="n"/>
      <c r="G127" s="236" t="n"/>
      <c r="H127" s="236" t="n"/>
      <c r="I127" s="236" t="n"/>
    </row>
    <row r="128">
      <c r="A128" s="237" t="n"/>
      <c r="F128" s="236" t="n"/>
      <c r="G128" s="236" t="n"/>
      <c r="H128" s="236" t="n"/>
      <c r="I128" s="236" t="n"/>
    </row>
    <row r="129">
      <c r="A129" s="237" t="n"/>
      <c r="F129" s="236" t="n"/>
      <c r="G129" s="236" t="n"/>
      <c r="H129" s="236" t="n"/>
      <c r="I129" s="236" t="n"/>
    </row>
    <row r="130">
      <c r="A130" s="237" t="n"/>
      <c r="F130" s="236" t="n"/>
      <c r="G130" s="236" t="n"/>
      <c r="H130" s="236" t="n"/>
      <c r="I130" s="236" t="n"/>
    </row>
    <row r="131">
      <c r="A131" s="237" t="n"/>
      <c r="F131" s="236" t="n"/>
      <c r="G131" s="236" t="n"/>
      <c r="H131" s="236" t="n"/>
      <c r="I131" s="236" t="n"/>
    </row>
    <row r="132">
      <c r="A132" s="237" t="n"/>
      <c r="F132" s="236" t="n"/>
      <c r="G132" s="236" t="n"/>
      <c r="H132" s="236" t="n"/>
      <c r="I132" s="236" t="n"/>
    </row>
    <row r="133">
      <c r="A133" s="237" t="n"/>
      <c r="F133" s="236" t="n"/>
      <c r="G133" s="236" t="n"/>
      <c r="H133" s="236" t="n"/>
      <c r="I133" s="236" t="n"/>
    </row>
    <row r="134">
      <c r="A134" s="237" t="n"/>
      <c r="F134" s="236" t="n"/>
      <c r="G134" s="236" t="n"/>
      <c r="H134" s="236" t="n"/>
      <c r="I134" s="236" t="n"/>
    </row>
    <row r="135">
      <c r="A135" s="237" t="n"/>
      <c r="F135" s="236" t="n"/>
      <c r="G135" s="236" t="n"/>
      <c r="H135" s="236" t="n"/>
      <c r="I135" s="236" t="n"/>
    </row>
    <row r="136">
      <c r="A136" s="237" t="n"/>
      <c r="F136" s="236" t="n"/>
      <c r="G136" s="236" t="n"/>
      <c r="H136" s="236" t="n"/>
      <c r="I136" s="236" t="n"/>
    </row>
    <row r="137">
      <c r="A137" s="237" t="n"/>
      <c r="F137" s="236" t="n"/>
      <c r="G137" s="236" t="n"/>
      <c r="H137" s="236" t="n"/>
      <c r="I137" s="236" t="n"/>
    </row>
    <row r="138">
      <c r="A138" s="237" t="n"/>
      <c r="F138" s="236" t="n"/>
      <c r="G138" s="236" t="n"/>
      <c r="H138" s="236" t="n"/>
      <c r="I138" s="236" t="n"/>
    </row>
    <row r="139">
      <c r="A139" s="237" t="n"/>
      <c r="F139" s="236" t="n"/>
      <c r="G139" s="236" t="n"/>
      <c r="H139" s="236" t="n"/>
      <c r="I139" s="236" t="n"/>
    </row>
    <row r="140">
      <c r="A140" s="237" t="n"/>
      <c r="F140" s="236" t="n"/>
      <c r="G140" s="236" t="n"/>
      <c r="H140" s="236" t="n"/>
      <c r="I140" s="236" t="n"/>
    </row>
    <row r="141">
      <c r="A141" s="237" t="n"/>
      <c r="F141" s="236" t="n"/>
      <c r="G141" s="236" t="n"/>
      <c r="H141" s="236" t="n"/>
      <c r="I141" s="236" t="n"/>
    </row>
    <row r="142">
      <c r="A142" s="237" t="n"/>
      <c r="F142" s="236" t="n"/>
      <c r="G142" s="236" t="n"/>
      <c r="H142" s="236" t="n"/>
      <c r="I142" s="236" t="n"/>
    </row>
    <row r="143">
      <c r="A143" s="237" t="n"/>
      <c r="F143" s="236" t="n"/>
      <c r="G143" s="236" t="n"/>
      <c r="H143" s="236" t="n"/>
      <c r="I143" s="236" t="n"/>
    </row>
    <row r="144">
      <c r="A144" s="237" t="n"/>
      <c r="F144" s="236" t="n"/>
      <c r="G144" s="236" t="n"/>
      <c r="H144" s="236" t="n"/>
      <c r="I144" s="236" t="n"/>
    </row>
    <row r="145">
      <c r="A145" s="237" t="n"/>
      <c r="F145" s="236" t="n"/>
      <c r="G145" s="236" t="n"/>
      <c r="H145" s="236" t="n"/>
      <c r="I145" s="236" t="n"/>
    </row>
    <row r="146">
      <c r="A146" s="237" t="n"/>
      <c r="F146" s="236" t="n"/>
      <c r="G146" s="236" t="n"/>
      <c r="H146" s="236" t="n"/>
      <c r="I146" s="236" t="n"/>
    </row>
    <row r="147">
      <c r="A147" s="237" t="n"/>
      <c r="F147" s="236" t="n"/>
      <c r="G147" s="236" t="n"/>
      <c r="H147" s="236" t="n"/>
      <c r="I147" s="236" t="n"/>
    </row>
    <row r="148">
      <c r="A148" s="237" t="n"/>
      <c r="F148" s="236" t="n"/>
      <c r="G148" s="236" t="n"/>
      <c r="H148" s="236" t="n"/>
      <c r="I148" s="236" t="n"/>
    </row>
    <row r="149">
      <c r="A149" s="237" t="n"/>
      <c r="F149" s="236" t="n"/>
      <c r="G149" s="236" t="n"/>
      <c r="H149" s="236" t="n"/>
      <c r="I149" s="236" t="n"/>
    </row>
    <row r="150">
      <c r="A150" s="237" t="n"/>
      <c r="F150" s="236" t="n"/>
      <c r="G150" s="236" t="n"/>
      <c r="H150" s="236" t="n"/>
      <c r="I150" s="236" t="n"/>
    </row>
    <row r="151">
      <c r="A151" s="237" t="n"/>
      <c r="F151" s="236" t="n"/>
      <c r="G151" s="236" t="n"/>
      <c r="H151" s="236" t="n"/>
      <c r="I151" s="236" t="n"/>
    </row>
    <row r="152">
      <c r="A152" s="237" t="n"/>
      <c r="F152" s="236" t="n"/>
      <c r="G152" s="236" t="n"/>
      <c r="H152" s="236" t="n"/>
      <c r="I152" s="236" t="n"/>
    </row>
    <row r="153">
      <c r="A153" s="237" t="n"/>
      <c r="F153" s="236" t="n"/>
      <c r="G153" s="236" t="n"/>
      <c r="H153" s="236" t="n"/>
      <c r="I153" s="236" t="n"/>
    </row>
    <row r="154">
      <c r="A154" s="237" t="n"/>
      <c r="F154" s="236" t="n"/>
      <c r="G154" s="236" t="n"/>
      <c r="H154" s="236" t="n"/>
      <c r="I154" s="236" t="n"/>
    </row>
    <row r="155">
      <c r="A155" s="237" t="n"/>
      <c r="F155" s="236" t="n"/>
      <c r="G155" s="236" t="n"/>
      <c r="H155" s="236" t="n"/>
      <c r="I155" s="236" t="n"/>
    </row>
    <row r="156">
      <c r="A156" s="237" t="n"/>
      <c r="F156" s="236" t="n"/>
      <c r="G156" s="236" t="n"/>
      <c r="H156" s="236" t="n"/>
      <c r="I156" s="236" t="n"/>
    </row>
    <row r="157">
      <c r="A157" s="237" t="n"/>
      <c r="F157" s="236" t="n"/>
      <c r="G157" s="236" t="n"/>
      <c r="H157" s="236" t="n"/>
      <c r="I157" s="236" t="n"/>
    </row>
    <row r="158">
      <c r="A158" s="237" t="n"/>
      <c r="F158" s="236" t="n"/>
      <c r="G158" s="236" t="n"/>
      <c r="H158" s="236" t="n"/>
      <c r="I158" s="236" t="n"/>
    </row>
    <row r="159">
      <c r="A159" s="237" t="n"/>
      <c r="F159" s="236" t="n"/>
      <c r="G159" s="236" t="n"/>
      <c r="H159" s="236" t="n"/>
      <c r="I159" s="236" t="n"/>
    </row>
    <row r="160">
      <c r="A160" s="237" t="n"/>
      <c r="F160" s="236" t="n"/>
      <c r="G160" s="236" t="n"/>
      <c r="H160" s="236" t="n"/>
      <c r="I160" s="236" t="n"/>
    </row>
    <row r="161">
      <c r="A161" s="237" t="n"/>
      <c r="F161" s="236" t="n"/>
      <c r="G161" s="236" t="n"/>
      <c r="H161" s="236" t="n"/>
      <c r="I161" s="236" t="n"/>
    </row>
    <row r="162">
      <c r="A162" s="237" t="n"/>
      <c r="F162" s="236" t="n"/>
      <c r="G162" s="236" t="n"/>
      <c r="H162" s="236" t="n"/>
      <c r="I162" s="236" t="n"/>
    </row>
    <row r="163">
      <c r="A163" s="237" t="n"/>
      <c r="F163" s="236" t="n"/>
      <c r="G163" s="236" t="n"/>
      <c r="H163" s="236" t="n"/>
      <c r="I163" s="236" t="n"/>
    </row>
    <row r="164">
      <c r="A164" s="237" t="n"/>
      <c r="F164" s="236" t="n"/>
      <c r="G164" s="236" t="n"/>
      <c r="H164" s="236" t="n"/>
      <c r="I164" s="236" t="n"/>
    </row>
    <row r="165">
      <c r="A165" s="237" t="n"/>
      <c r="F165" s="236" t="n"/>
      <c r="G165" s="236" t="n"/>
      <c r="H165" s="236" t="n"/>
      <c r="I165" s="236" t="n"/>
    </row>
    <row r="166">
      <c r="A166" s="237" t="n"/>
      <c r="F166" s="236" t="n"/>
      <c r="G166" s="236" t="n"/>
      <c r="H166" s="236" t="n"/>
      <c r="I166" s="236" t="n"/>
    </row>
    <row r="167">
      <c r="A167" s="237" t="n"/>
      <c r="F167" s="236" t="n"/>
      <c r="G167" s="236" t="n"/>
      <c r="H167" s="236" t="n"/>
      <c r="I167" s="236" t="n"/>
    </row>
    <row r="168">
      <c r="A168" s="237" t="n"/>
      <c r="F168" s="236" t="n"/>
      <c r="G168" s="236" t="n"/>
      <c r="H168" s="236" t="n"/>
      <c r="I168" s="236" t="n"/>
    </row>
    <row r="169">
      <c r="A169" s="237" t="n"/>
      <c r="F169" s="236" t="n"/>
      <c r="G169" s="236" t="n"/>
      <c r="H169" s="236" t="n"/>
      <c r="I169" s="236" t="n"/>
    </row>
    <row r="170">
      <c r="A170" s="237" t="n"/>
      <c r="F170" s="236" t="n"/>
      <c r="G170" s="236" t="n"/>
      <c r="H170" s="236" t="n"/>
      <c r="I170" s="236" t="n"/>
    </row>
    <row r="171">
      <c r="A171" s="237" t="n"/>
      <c r="F171" s="236" t="n"/>
      <c r="G171" s="236" t="n"/>
      <c r="H171" s="236" t="n"/>
      <c r="I171" s="236" t="n"/>
    </row>
    <row r="172">
      <c r="A172" s="237" t="n"/>
      <c r="F172" s="236" t="n"/>
      <c r="G172" s="236" t="n"/>
      <c r="H172" s="236" t="n"/>
      <c r="I172" s="236" t="n"/>
    </row>
    <row r="173">
      <c r="A173" s="237" t="n"/>
      <c r="F173" s="236" t="n"/>
      <c r="G173" s="236" t="n"/>
      <c r="H173" s="236" t="n"/>
      <c r="I173" s="236" t="n"/>
    </row>
    <row r="174">
      <c r="A174" s="237" t="n"/>
      <c r="F174" s="236" t="n"/>
      <c r="G174" s="236" t="n"/>
      <c r="H174" s="236" t="n"/>
      <c r="I174" s="236" t="n"/>
    </row>
    <row r="175">
      <c r="A175" s="237" t="n"/>
      <c r="F175" s="236" t="n"/>
      <c r="G175" s="236" t="n"/>
      <c r="H175" s="236" t="n"/>
      <c r="I175" s="236" t="n"/>
    </row>
    <row r="176">
      <c r="A176" s="237" t="n"/>
      <c r="F176" s="236" t="n"/>
      <c r="G176" s="236" t="n"/>
      <c r="H176" s="236" t="n"/>
      <c r="I176" s="236" t="n"/>
    </row>
    <row r="177">
      <c r="A177" s="237" t="n"/>
      <c r="F177" s="236" t="n"/>
      <c r="G177" s="236" t="n"/>
      <c r="H177" s="236" t="n"/>
      <c r="I177" s="236" t="n"/>
    </row>
    <row r="178">
      <c r="A178" s="237" t="n"/>
      <c r="F178" s="236" t="n"/>
      <c r="G178" s="236" t="n"/>
      <c r="H178" s="236" t="n"/>
      <c r="I178" s="236" t="n"/>
    </row>
    <row r="179">
      <c r="A179" s="237" t="n"/>
      <c r="F179" s="236" t="n"/>
      <c r="G179" s="236" t="n"/>
      <c r="H179" s="236" t="n"/>
      <c r="I179" s="236" t="n"/>
    </row>
    <row r="180">
      <c r="A180" s="237" t="n"/>
      <c r="F180" s="236" t="n"/>
      <c r="G180" s="236" t="n"/>
      <c r="H180" s="236" t="n"/>
      <c r="I180" s="236" t="n"/>
    </row>
    <row r="181">
      <c r="A181" s="237" t="n"/>
      <c r="F181" s="236" t="n"/>
      <c r="G181" s="236" t="n"/>
      <c r="H181" s="236" t="n"/>
      <c r="I181" s="236" t="n"/>
    </row>
    <row r="182">
      <c r="A182" s="237" t="n"/>
      <c r="F182" s="236" t="n"/>
      <c r="G182" s="236" t="n"/>
      <c r="H182" s="236" t="n"/>
      <c r="I182" s="236" t="n"/>
    </row>
    <row r="183">
      <c r="A183" s="237" t="n"/>
      <c r="F183" s="236" t="n"/>
      <c r="G183" s="236" t="n"/>
      <c r="H183" s="236" t="n"/>
      <c r="I183" s="236" t="n"/>
    </row>
    <row r="184">
      <c r="A184" s="237" t="n"/>
      <c r="F184" s="236" t="n"/>
      <c r="G184" s="236" t="n"/>
      <c r="H184" s="236" t="n"/>
      <c r="I184" s="236" t="n"/>
    </row>
    <row r="185">
      <c r="A185" s="237" t="n"/>
      <c r="F185" s="236" t="n"/>
      <c r="G185" s="236" t="n"/>
      <c r="H185" s="236" t="n"/>
      <c r="I185" s="236" t="n"/>
    </row>
    <row r="186">
      <c r="A186" s="237" t="n"/>
      <c r="F186" s="236" t="n"/>
      <c r="G186" s="236" t="n"/>
      <c r="H186" s="236" t="n"/>
      <c r="I186" s="236" t="n"/>
    </row>
    <row r="187">
      <c r="A187" s="237" t="n"/>
      <c r="F187" s="236" t="n"/>
      <c r="G187" s="236" t="n"/>
      <c r="H187" s="236" t="n"/>
      <c r="I187" s="236" t="n"/>
    </row>
    <row r="188">
      <c r="A188" s="237" t="n"/>
      <c r="F188" s="236" t="n"/>
      <c r="G188" s="236" t="n"/>
      <c r="H188" s="236" t="n"/>
      <c r="I188" s="236" t="n"/>
    </row>
    <row r="189">
      <c r="A189" s="237" t="n"/>
      <c r="F189" s="236" t="n"/>
      <c r="G189" s="236" t="n"/>
      <c r="H189" s="236" t="n"/>
      <c r="I189" s="236" t="n"/>
    </row>
    <row r="190">
      <c r="A190" s="237" t="n"/>
      <c r="F190" s="236" t="n"/>
      <c r="G190" s="236" t="n"/>
      <c r="H190" s="236" t="n"/>
      <c r="I190" s="236" t="n"/>
    </row>
    <row r="191">
      <c r="A191" s="237" t="n"/>
      <c r="F191" s="236" t="n"/>
      <c r="G191" s="236" t="n"/>
      <c r="H191" s="236" t="n"/>
      <c r="I191" s="236" t="n"/>
    </row>
    <row r="192">
      <c r="A192" s="237" t="n"/>
      <c r="F192" s="236" t="n"/>
      <c r="G192" s="236" t="n"/>
      <c r="H192" s="236" t="n"/>
      <c r="I192" s="236" t="n"/>
    </row>
    <row r="193">
      <c r="A193" s="237" t="n"/>
      <c r="F193" s="236" t="n"/>
      <c r="G193" s="236" t="n"/>
      <c r="H193" s="236" t="n"/>
      <c r="I193" s="236" t="n"/>
    </row>
    <row r="194">
      <c r="A194" s="237" t="n"/>
      <c r="F194" s="236" t="n"/>
      <c r="G194" s="236" t="n"/>
      <c r="H194" s="236" t="n"/>
      <c r="I194" s="236" t="n"/>
    </row>
    <row r="195">
      <c r="A195" s="237" t="n"/>
      <c r="F195" s="236" t="n"/>
      <c r="G195" s="236" t="n"/>
      <c r="H195" s="236" t="n"/>
      <c r="I195" s="236" t="n"/>
    </row>
    <row r="196">
      <c r="A196" s="237" t="n"/>
      <c r="F196" s="236" t="n"/>
      <c r="G196" s="236" t="n"/>
      <c r="H196" s="236" t="n"/>
      <c r="I196" s="236" t="n"/>
    </row>
    <row r="197">
      <c r="A197" s="237" t="n"/>
      <c r="F197" s="236" t="n"/>
      <c r="G197" s="236" t="n"/>
      <c r="H197" s="236" t="n"/>
      <c r="I197" s="236" t="n"/>
    </row>
    <row r="198">
      <c r="A198" s="237" t="n"/>
      <c r="F198" s="236" t="n"/>
      <c r="G198" s="236" t="n"/>
      <c r="H198" s="236" t="n"/>
      <c r="I198" s="236" t="n"/>
    </row>
    <row r="199">
      <c r="A199" s="237" t="n"/>
      <c r="F199" s="236" t="n"/>
      <c r="G199" s="236" t="n"/>
      <c r="H199" s="236" t="n"/>
      <c r="I199" s="236" t="n"/>
    </row>
    <row r="200">
      <c r="A200" s="237" t="n"/>
      <c r="F200" s="236" t="n"/>
      <c r="G200" s="236" t="n"/>
      <c r="H200" s="236" t="n"/>
      <c r="I200" s="236" t="n"/>
    </row>
    <row r="201">
      <c r="A201" s="237" t="n"/>
      <c r="F201" s="236" t="n"/>
      <c r="G201" s="236" t="n"/>
      <c r="H201" s="236" t="n"/>
      <c r="I201" s="236" t="n"/>
    </row>
    <row r="202">
      <c r="A202" s="237" t="n"/>
      <c r="F202" s="236" t="n"/>
      <c r="G202" s="236" t="n"/>
      <c r="H202" s="236" t="n"/>
      <c r="I202" s="236" t="n"/>
    </row>
    <row r="203">
      <c r="A203" s="237" t="n"/>
      <c r="F203" s="236" t="n"/>
      <c r="G203" s="236" t="n"/>
      <c r="H203" s="236" t="n"/>
      <c r="I203" s="236" t="n"/>
    </row>
    <row r="204">
      <c r="A204" s="237" t="n"/>
      <c r="F204" s="236" t="n"/>
      <c r="G204" s="236" t="n"/>
      <c r="H204" s="236" t="n"/>
      <c r="I204" s="236" t="n"/>
    </row>
    <row r="205">
      <c r="A205" s="237" t="n"/>
      <c r="F205" s="236" t="n"/>
      <c r="G205" s="236" t="n"/>
      <c r="H205" s="236" t="n"/>
      <c r="I205" s="236" t="n"/>
    </row>
    <row r="206">
      <c r="A206" s="237" t="n"/>
      <c r="F206" s="236" t="n"/>
      <c r="G206" s="236" t="n"/>
      <c r="H206" s="236" t="n"/>
      <c r="I206" s="236" t="n"/>
    </row>
    <row r="207">
      <c r="A207" s="237" t="n"/>
      <c r="F207" s="236" t="n"/>
      <c r="G207" s="236" t="n"/>
      <c r="H207" s="236" t="n"/>
      <c r="I207" s="236" t="n"/>
    </row>
    <row r="208">
      <c r="A208" s="237" t="n"/>
      <c r="F208" s="236" t="n"/>
      <c r="G208" s="236" t="n"/>
      <c r="H208" s="236" t="n"/>
      <c r="I208" s="236" t="n"/>
    </row>
    <row r="209">
      <c r="A209" s="237" t="n"/>
      <c r="F209" s="236" t="n"/>
      <c r="G209" s="236" t="n"/>
      <c r="H209" s="236" t="n"/>
      <c r="I209" s="236" t="n"/>
    </row>
    <row r="210">
      <c r="A210" s="237" t="n"/>
      <c r="F210" s="236" t="n"/>
      <c r="G210" s="236" t="n"/>
      <c r="H210" s="236" t="n"/>
      <c r="I210" s="236" t="n"/>
    </row>
    <row r="211">
      <c r="A211" s="237" t="n"/>
      <c r="F211" s="236" t="n"/>
      <c r="G211" s="236" t="n"/>
      <c r="H211" s="236" t="n"/>
      <c r="I211" s="236" t="n"/>
    </row>
    <row r="212">
      <c r="A212" s="237" t="n"/>
      <c r="F212" s="236" t="n"/>
      <c r="G212" s="236" t="n"/>
      <c r="H212" s="236" t="n"/>
      <c r="I212" s="236" t="n"/>
    </row>
    <row r="213">
      <c r="A213" s="237" t="n"/>
      <c r="F213" s="236" t="n"/>
      <c r="G213" s="236" t="n"/>
      <c r="H213" s="236" t="n"/>
      <c r="I213" s="236" t="n"/>
    </row>
    <row r="214">
      <c r="A214" s="237" t="n"/>
      <c r="F214" s="236" t="n"/>
      <c r="G214" s="236" t="n"/>
      <c r="H214" s="236" t="n"/>
      <c r="I214" s="236" t="n"/>
    </row>
    <row r="215">
      <c r="A215" s="237" t="n"/>
      <c r="F215" s="236" t="n"/>
      <c r="G215" s="236" t="n"/>
      <c r="H215" s="236" t="n"/>
      <c r="I215" s="236" t="n"/>
    </row>
    <row r="216">
      <c r="A216" s="237" t="n"/>
      <c r="F216" s="236" t="n"/>
      <c r="G216" s="236" t="n"/>
      <c r="H216" s="236" t="n"/>
      <c r="I216" s="236" t="n"/>
    </row>
    <row r="217">
      <c r="A217" s="237" t="n"/>
      <c r="F217" s="236" t="n"/>
      <c r="G217" s="236" t="n"/>
      <c r="H217" s="236" t="n"/>
      <c r="I217" s="236" t="n"/>
    </row>
    <row r="218">
      <c r="A218" s="237" t="n"/>
      <c r="F218" s="236" t="n"/>
      <c r="G218" s="236" t="n"/>
      <c r="H218" s="236" t="n"/>
      <c r="I218" s="236" t="n"/>
    </row>
    <row r="219">
      <c r="A219" s="237" t="n"/>
      <c r="F219" s="236" t="n"/>
      <c r="G219" s="236" t="n"/>
      <c r="H219" s="236" t="n"/>
      <c r="I219" s="236" t="n"/>
    </row>
    <row r="220">
      <c r="A220" s="237" t="n"/>
      <c r="F220" s="236" t="n"/>
      <c r="G220" s="236" t="n"/>
      <c r="H220" s="236" t="n"/>
      <c r="I220" s="236" t="n"/>
    </row>
    <row r="221">
      <c r="A221" s="237" t="n"/>
      <c r="F221" s="236" t="n"/>
      <c r="G221" s="236" t="n"/>
      <c r="H221" s="236" t="n"/>
      <c r="I221" s="236" t="n"/>
    </row>
    <row r="222">
      <c r="A222" s="237" t="n"/>
      <c r="F222" s="236" t="n"/>
      <c r="G222" s="236" t="n"/>
      <c r="H222" s="236" t="n"/>
      <c r="I222" s="236" t="n"/>
    </row>
    <row r="223">
      <c r="A223" s="237" t="n"/>
      <c r="F223" s="236" t="n"/>
      <c r="G223" s="236" t="n"/>
      <c r="H223" s="236" t="n"/>
      <c r="I223" s="236" t="n"/>
    </row>
    <row r="224">
      <c r="A224" s="237" t="n"/>
      <c r="F224" s="236" t="n"/>
      <c r="G224" s="236" t="n"/>
      <c r="H224" s="236" t="n"/>
      <c r="I224" s="236" t="n"/>
    </row>
    <row r="225">
      <c r="A225" s="237" t="n"/>
      <c r="F225" s="236" t="n"/>
      <c r="G225" s="236" t="n"/>
      <c r="H225" s="236" t="n"/>
      <c r="I225" s="236" t="n"/>
    </row>
    <row r="226">
      <c r="A226" s="237" t="n"/>
      <c r="F226" s="236" t="n"/>
      <c r="G226" s="236" t="n"/>
      <c r="H226" s="236" t="n"/>
      <c r="I226" s="236" t="n"/>
    </row>
    <row r="227">
      <c r="A227" s="237" t="n"/>
      <c r="F227" s="236" t="n"/>
      <c r="G227" s="236" t="n"/>
      <c r="H227" s="236" t="n"/>
      <c r="I227" s="236" t="n"/>
    </row>
    <row r="228">
      <c r="A228" s="237" t="n"/>
      <c r="F228" s="236" t="n"/>
      <c r="G228" s="236" t="n"/>
      <c r="H228" s="236" t="n"/>
      <c r="I228" s="236" t="n"/>
    </row>
    <row r="229">
      <c r="A229" s="237" t="n"/>
      <c r="F229" s="236" t="n"/>
      <c r="G229" s="236" t="n"/>
      <c r="H229" s="236" t="n"/>
      <c r="I229" s="236" t="n"/>
    </row>
    <row r="230">
      <c r="A230" s="237" t="n"/>
      <c r="F230" s="236" t="n"/>
      <c r="G230" s="236" t="n"/>
      <c r="H230" s="236" t="n"/>
      <c r="I230" s="236" t="n"/>
    </row>
    <row r="231">
      <c r="A231" s="237" t="n"/>
      <c r="F231" s="236" t="n"/>
      <c r="G231" s="236" t="n"/>
      <c r="H231" s="236" t="n"/>
      <c r="I231" s="236" t="n"/>
    </row>
    <row r="232">
      <c r="A232" s="237" t="n"/>
      <c r="F232" s="236" t="n"/>
      <c r="G232" s="236" t="n"/>
      <c r="H232" s="236" t="n"/>
      <c r="I232" s="236" t="n"/>
    </row>
    <row r="233">
      <c r="A233" s="237" t="n"/>
      <c r="F233" s="236" t="n"/>
      <c r="G233" s="236" t="n"/>
      <c r="H233" s="236" t="n"/>
      <c r="I233" s="236" t="n"/>
    </row>
    <row r="234">
      <c r="A234" s="237" t="n"/>
      <c r="F234" s="236" t="n"/>
      <c r="G234" s="236" t="n"/>
      <c r="H234" s="236" t="n"/>
      <c r="I234" s="236" t="n"/>
    </row>
    <row r="235">
      <c r="A235" s="237" t="n"/>
      <c r="F235" s="236" t="n"/>
      <c r="G235" s="236" t="n"/>
      <c r="H235" s="236" t="n"/>
      <c r="I235" s="236" t="n"/>
    </row>
    <row r="236">
      <c r="A236" s="237" t="n"/>
      <c r="F236" s="236" t="n"/>
      <c r="G236" s="236" t="n"/>
      <c r="H236" s="236" t="n"/>
      <c r="I236" s="236" t="n"/>
    </row>
    <row r="237">
      <c r="A237" s="237" t="n"/>
      <c r="F237" s="236" t="n"/>
      <c r="G237" s="236" t="n"/>
      <c r="H237" s="236" t="n"/>
      <c r="I237" s="236" t="n"/>
    </row>
    <row r="238">
      <c r="A238" s="237" t="n"/>
      <c r="F238" s="236" t="n"/>
      <c r="G238" s="236" t="n"/>
      <c r="H238" s="236" t="n"/>
      <c r="I238" s="236" t="n"/>
    </row>
    <row r="239">
      <c r="A239" s="237" t="n"/>
      <c r="F239" s="236" t="n"/>
      <c r="G239" s="236" t="n"/>
      <c r="H239" s="236" t="n"/>
      <c r="I239" s="236" t="n"/>
    </row>
    <row r="240">
      <c r="A240" s="237" t="n"/>
      <c r="F240" s="236" t="n"/>
      <c r="G240" s="236" t="n"/>
      <c r="H240" s="236" t="n"/>
      <c r="I240" s="236" t="n"/>
    </row>
    <row r="241">
      <c r="F241" s="236" t="n"/>
      <c r="G241" s="236" t="n"/>
      <c r="H241" s="236" t="n"/>
      <c r="I241" s="23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rgb="002E7D32"/>
    <outlinePr summaryBelow="1" summaryRight="1"/>
    <pageSetUpPr/>
  </sheetPr>
  <dimension ref="A1:T291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width="12" customWidth="1" style="76" min="2" max="2"/>
    <col width="10" customWidth="1" style="76" min="3" max="3"/>
    <col width="22" customWidth="1" style="77" min="4" max="4"/>
    <col width="14" customWidth="1" style="77" min="5" max="5"/>
    <col width="10" customWidth="1" style="76" min="6" max="6"/>
    <col width="40" customWidth="1" style="77" min="7" max="7"/>
    <col width="12" customWidth="1" style="61" min="8" max="8"/>
    <col width="30" customWidth="1" style="78" min="9" max="9"/>
    <col width="16" customWidth="1" style="76" min="10" max="10"/>
    <col width="32" customWidth="1" style="77" min="11" max="11"/>
    <col width="14" customWidth="1" style="79" min="12" max="15"/>
    <col width="14" customWidth="1" min="13" max="13"/>
    <col width="14" customWidth="1" min="14" max="14"/>
    <col width="14" customWidth="1" min="15" max="15"/>
    <col width="9.140625" customWidth="1" style="60" min="16" max="16"/>
    <col width="34.85546875" customWidth="1" style="60" min="17" max="17"/>
    <col width="40.140625" customWidth="1" style="60" min="18" max="18"/>
    <col width="9.140625" customWidth="1" style="60" min="19" max="16384"/>
  </cols>
  <sheetData>
    <row r="1">
      <c r="A1" s="181" t="inlineStr">
        <is>
          <t>invullen</t>
        </is>
      </c>
    </row>
    <row r="2">
      <c r="A2" s="182" t="inlineStr">
        <is>
          <t>beveiligd, wordt automatisch gevuld</t>
        </is>
      </c>
      <c r="B2" s="80" t="n"/>
    </row>
    <row r="3">
      <c r="A3" s="133" t="inlineStr">
        <is>
          <t>controleren</t>
        </is>
      </c>
      <c r="B3" s="82" t="n"/>
      <c r="C3" s="83" t="n"/>
      <c r="D3" s="84" t="n"/>
      <c r="E3" s="84" t="n"/>
      <c r="F3" s="83" t="n"/>
      <c r="G3" s="84" t="n"/>
      <c r="I3" s="86" t="n"/>
      <c r="J3" s="83" t="n"/>
      <c r="K3" s="84" t="n"/>
      <c r="L3" s="87" t="n"/>
      <c r="M3" s="87" t="n"/>
      <c r="N3" s="87" t="n"/>
      <c r="O3" s="87" t="n"/>
    </row>
    <row r="4" ht="28.5" customHeight="1">
      <c r="A4" s="183" t="inlineStr">
        <is>
          <t>Begrotingswijziging 2026</t>
        </is>
      </c>
      <c r="B4" s="88" t="n"/>
      <c r="C4" s="83" t="n"/>
      <c r="D4" s="84" t="n"/>
      <c r="E4" s="84" t="n"/>
      <c r="F4" s="83" t="n"/>
      <c r="G4" s="102" t="inlineStr">
        <is>
          <t>Nummer wijziging:</t>
        </is>
      </c>
      <c r="I4" s="86" t="n"/>
      <c r="J4" s="83" t="n"/>
      <c r="K4" s="84" t="n"/>
      <c r="L4" s="90" t="n"/>
      <c r="M4" s="87" t="n"/>
      <c r="N4" s="85" t="n"/>
      <c r="O4" s="85" t="n"/>
    </row>
    <row r="5">
      <c r="A5" s="84" t="n"/>
      <c r="B5" s="83" t="n"/>
      <c r="C5" s="83" t="n"/>
      <c r="D5" s="84" t="n"/>
      <c r="E5" s="84" t="n"/>
      <c r="F5" s="83" t="n"/>
      <c r="G5" s="84" t="n"/>
      <c r="I5" s="86" t="n"/>
      <c r="J5" s="83" t="n"/>
      <c r="K5" s="84" t="n"/>
      <c r="L5" s="91" t="n"/>
      <c r="M5" s="87" t="n"/>
      <c r="N5" s="87" t="n"/>
      <c r="O5" s="87" t="n"/>
    </row>
    <row r="6">
      <c r="A6" s="102" t="inlineStr">
        <is>
          <t>Omschrijving:</t>
        </is>
      </c>
      <c r="B6" s="91" t="n"/>
      <c r="C6" s="166" t="n"/>
      <c r="D6" s="90" t="n"/>
      <c r="E6" s="95" t="n"/>
      <c r="F6" s="83" t="n"/>
      <c r="G6" s="102" t="inlineStr">
        <is>
          <t>Corsanummer wijziging:</t>
        </is>
      </c>
      <c r="I6" s="93" t="n"/>
      <c r="J6" s="94" t="n"/>
      <c r="K6" s="95" t="n"/>
      <c r="L6" s="90" t="n"/>
      <c r="M6" s="87" t="n"/>
      <c r="N6" s="85" t="n"/>
      <c r="O6" s="85" t="n"/>
      <c r="Q6" s="96" t="inlineStr">
        <is>
          <t>Controle budgettair neutrale categorieen</t>
        </is>
      </c>
      <c r="R6" s="96" t="n"/>
      <c r="S6" s="96" t="n"/>
      <c r="T6" s="97" t="n"/>
    </row>
    <row r="7">
      <c r="A7" s="84" t="n"/>
      <c r="B7" s="91" t="n"/>
      <c r="C7" s="167" t="n"/>
      <c r="D7" s="91" t="n"/>
      <c r="E7" s="84" t="n"/>
      <c r="F7" s="83" t="n"/>
      <c r="G7" s="102" t="inlineStr">
        <is>
          <t>Corsanummer raadsvoorstel:</t>
        </is>
      </c>
      <c r="I7" s="86" t="n"/>
      <c r="J7" s="83" t="n"/>
      <c r="K7" s="84" t="n"/>
      <c r="L7" s="92" t="n"/>
      <c r="M7" s="87" t="n"/>
      <c r="N7" s="85" t="n"/>
      <c r="O7" s="85" t="n"/>
    </row>
    <row r="8">
      <c r="A8" s="84" t="n"/>
      <c r="B8" s="91" t="n"/>
      <c r="C8" s="167" t="n"/>
      <c r="D8" s="91" t="n"/>
      <c r="E8" s="84" t="n"/>
      <c r="F8" s="83" t="n"/>
      <c r="G8" s="84" t="n"/>
      <c r="I8" s="86" t="n"/>
      <c r="J8" s="83" t="n"/>
      <c r="K8" s="84" t="n"/>
      <c r="L8" s="87" t="n"/>
      <c r="M8" s="87" t="n"/>
      <c r="N8" s="85" t="n"/>
      <c r="O8" s="85" t="n"/>
      <c r="Q8" s="89" t="inlineStr">
        <is>
          <t>Nummer wijziging:</t>
        </is>
      </c>
      <c r="R8" s="98" t="n"/>
      <c r="S8" s="83" t="n"/>
      <c r="T8" s="99" t="n"/>
    </row>
    <row r="9">
      <c r="A9" s="84" t="n"/>
      <c r="B9" s="83" t="n"/>
      <c r="C9" s="83" t="n"/>
      <c r="D9" s="84" t="n"/>
      <c r="E9" s="84" t="n"/>
      <c r="F9" s="83" t="n"/>
      <c r="G9" s="84" t="n"/>
      <c r="I9" s="86" t="n"/>
      <c r="J9" s="83" t="n"/>
      <c r="K9" s="84" t="n"/>
      <c r="L9" s="87" t="n"/>
      <c r="M9" s="87" t="n"/>
      <c r="N9" s="85" t="n"/>
      <c r="O9" s="85" t="n"/>
    </row>
    <row r="10">
      <c r="A10" s="84" t="n"/>
      <c r="B10" s="83" t="n"/>
      <c r="C10" s="83" t="n"/>
      <c r="D10" s="84" t="n"/>
      <c r="E10" s="84" t="n"/>
      <c r="F10" s="83" t="n"/>
      <c r="G10" s="84" t="n"/>
      <c r="I10" s="86" t="n"/>
      <c r="J10" s="83" t="n"/>
      <c r="K10" s="84" t="n"/>
      <c r="L10" s="87" t="n"/>
      <c r="M10" s="87" t="n"/>
      <c r="N10" s="85" t="n"/>
      <c r="O10" s="85" t="n"/>
    </row>
    <row r="11">
      <c r="A11" s="95" t="inlineStr">
        <is>
          <t>Mutaties in de inkomsten en uitgaven (raming van baten en lasten)</t>
        </is>
      </c>
      <c r="B11" s="94" t="n"/>
      <c r="C11" s="83" t="n"/>
      <c r="D11" s="84" t="n"/>
      <c r="E11" s="84" t="n"/>
      <c r="F11" s="83" t="n"/>
      <c r="G11" s="84" t="n"/>
      <c r="I11" s="86" t="n"/>
      <c r="J11" s="83" t="n"/>
      <c r="K11" s="84" t="n"/>
      <c r="L11" s="162" t="inlineStr">
        <is>
          <t>-/- = baten</t>
        </is>
      </c>
      <c r="M11" s="87" t="n"/>
      <c r="N11" s="87" t="n"/>
      <c r="O11" s="85" t="n"/>
    </row>
    <row r="12">
      <c r="A12" s="84" t="n"/>
      <c r="B12" s="83" t="n"/>
      <c r="C12" s="83" t="n"/>
      <c r="D12" s="84" t="n"/>
      <c r="E12" s="84" t="n"/>
      <c r="F12" s="83" t="n"/>
      <c r="G12" s="84" t="n"/>
      <c r="I12" s="86" t="n"/>
      <c r="J12" s="83" t="n"/>
      <c r="K12" s="84" t="n"/>
      <c r="L12" s="87" t="n"/>
      <c r="M12" s="87" t="n"/>
      <c r="N12" s="87" t="n"/>
      <c r="O12" s="85" t="n"/>
    </row>
    <row r="13" customFormat="1" s="98">
      <c r="A13" s="238" t="inlineStr">
        <is>
          <t>Programma</t>
        </is>
      </c>
      <c r="B13" s="101" t="inlineStr">
        <is>
          <t>Nr. hoofd-</t>
        </is>
      </c>
      <c r="C13" s="101" t="inlineStr">
        <is>
          <t>Nr taak-</t>
        </is>
      </c>
      <c r="D13" s="238" t="inlineStr">
        <is>
          <t>Omschrijving taakveld</t>
        </is>
      </c>
      <c r="E13" s="102" t="inlineStr">
        <is>
          <t>Nr grootboek</t>
        </is>
      </c>
      <c r="F13" s="103" t="inlineStr">
        <is>
          <t>Begr w</t>
        </is>
      </c>
      <c r="G13" s="238" t="inlineStr">
        <is>
          <t>Omschrijving grootboek</t>
        </is>
      </c>
      <c r="H13" s="62" t="inlineStr">
        <is>
          <t>Nr kosten</t>
        </is>
      </c>
      <c r="I13" s="239" t="inlineStr">
        <is>
          <t>Omschrijving kostencategorie</t>
        </is>
      </c>
      <c r="J13" s="101" t="inlineStr">
        <is>
          <t>Nr ver-</t>
        </is>
      </c>
      <c r="K13" s="240" t="inlineStr">
        <is>
          <t xml:space="preserve">Omschrijving </t>
        </is>
      </c>
      <c r="L13" s="105" t="inlineStr">
        <is>
          <t>Begrotings-</t>
        </is>
      </c>
      <c r="M13" s="105" t="inlineStr">
        <is>
          <t>Mjr</t>
        </is>
      </c>
      <c r="N13" s="105" t="inlineStr">
        <is>
          <t>Mjr</t>
        </is>
      </c>
      <c r="O13" s="105" t="inlineStr">
        <is>
          <t>Mjr</t>
        </is>
      </c>
      <c r="Q13" s="106" t="inlineStr">
        <is>
          <t>Lasten</t>
        </is>
      </c>
      <c r="R13" s="106" t="inlineStr">
        <is>
          <t>Baten</t>
        </is>
      </c>
    </row>
    <row r="14" customFormat="1" s="98">
      <c r="A14" s="238" t="n"/>
      <c r="B14" s="101" t="inlineStr">
        <is>
          <t>taakveld</t>
        </is>
      </c>
      <c r="C14" s="107" t="inlineStr">
        <is>
          <t>veld</t>
        </is>
      </c>
      <c r="D14" s="241" t="n"/>
      <c r="E14" s="109" t="n"/>
      <c r="F14" s="110" t="n"/>
      <c r="G14" s="242" t="n"/>
      <c r="H14" s="62" t="inlineStr">
        <is>
          <t>Cat</t>
        </is>
      </c>
      <c r="I14" s="239" t="n"/>
      <c r="J14" s="111" t="inlineStr">
        <is>
          <t>bijzondering</t>
        </is>
      </c>
      <c r="K14" s="243" t="inlineStr">
        <is>
          <t>verbijzondering</t>
        </is>
      </c>
      <c r="L14" s="105" t="inlineStr">
        <is>
          <t>jaar 2026</t>
        </is>
      </c>
      <c r="M14" s="105" t="inlineStr">
        <is>
          <t>jaar 2027</t>
        </is>
      </c>
      <c r="N14" s="105" t="inlineStr">
        <is>
          <t>jaar 2028</t>
        </is>
      </c>
      <c r="O14" s="105" t="inlineStr">
        <is>
          <t>jaar 2029</t>
        </is>
      </c>
      <c r="Q14" s="106" t="inlineStr">
        <is>
          <t>47100 / 47200</t>
        </is>
      </c>
      <c r="R14" s="106" t="inlineStr">
        <is>
          <t>87100 / 87201</t>
        </is>
      </c>
    </row>
    <row r="15" ht="15" customHeight="1">
      <c r="A15" s="244" t="n"/>
      <c r="B15" s="71" t="n"/>
      <c r="C15" s="71" t="n"/>
      <c r="D15" s="244" t="n"/>
      <c r="E15" s="71" t="n"/>
      <c r="F15" s="113" t="n"/>
      <c r="G15" s="245" t="n"/>
      <c r="H15" s="63" t="n"/>
      <c r="I15" s="246" t="n"/>
      <c r="J15" s="73" t="n"/>
      <c r="K15" s="247" t="n"/>
      <c r="L15" s="116" t="n"/>
      <c r="M15" s="116" t="n"/>
      <c r="N15" s="116" t="n"/>
      <c r="O15" s="116" t="n"/>
      <c r="Q15" s="117" t="inlineStr">
        <is>
          <t>47201 / 47500</t>
        </is>
      </c>
      <c r="R15" s="117" t="inlineStr">
        <is>
          <t>87201 / 87500</t>
        </is>
      </c>
    </row>
    <row r="16" ht="16" customHeight="1">
      <c r="A16" s="439" t="inlineStr">
        <is>
          <t>A. Uitgaven en inkomsten</t>
        </is>
      </c>
      <c r="B16" s="440" t="n"/>
      <c r="C16" s="440" t="n"/>
      <c r="D16" s="439" t="n"/>
      <c r="E16" s="440" t="n"/>
      <c r="F16" s="441" t="n"/>
      <c r="G16" s="442" t="n"/>
      <c r="H16" s="443" t="n"/>
      <c r="I16" s="444" t="n"/>
      <c r="J16" s="441" t="n"/>
      <c r="K16" s="445" t="n"/>
      <c r="L16" s="446" t="n"/>
      <c r="M16" s="446" t="n"/>
      <c r="N16" s="446" t="n"/>
      <c r="O16" s="446" t="n"/>
      <c r="P16" s="447" t="n"/>
      <c r="Q16" s="448" t="inlineStr">
        <is>
          <t>→ alleen directe lasten en baten; reserves/voorzieningen in sectie B</t>
        </is>
      </c>
      <c r="R16" s="448" t="n"/>
      <c r="S16" s="338" t="n"/>
      <c r="T16" s="338" t="n"/>
    </row>
    <row r="17" ht="15" customHeight="1">
      <c r="A17" s="244">
        <f>IFERROR(VLOOKUP(E17,Tabellen!A:F,4),0)</f>
        <v/>
      </c>
      <c r="B17" s="71" t="n"/>
      <c r="C17" s="71">
        <f>IFERROR(VLOOKUP(E17,Tabellen!A:F,5),0)</f>
        <v/>
      </c>
      <c r="D17" s="244">
        <f>IFERROR(VLOOKUP(E17,Tabellen!A:F,6),0)</f>
        <v/>
      </c>
      <c r="E17" s="449" t="n"/>
      <c r="F17" s="113" t="n"/>
      <c r="G17" s="245">
        <f>IFERROR(VLOOKUP(E17,Tabellen!A:F,2),0)</f>
        <v/>
      </c>
      <c r="H17" s="63">
        <f>IFERROR(VLOOKUP(E17,Tabellen!A:H,8),0)</f>
        <v/>
      </c>
      <c r="I17" s="246" t="n"/>
      <c r="J17" s="73" t="n"/>
      <c r="K17" s="247" t="n"/>
      <c r="L17" s="450" t="n"/>
      <c r="M17" s="450" t="n"/>
      <c r="N17" s="450" t="n"/>
      <c r="O17" s="450" t="n"/>
      <c r="Q17" s="119" t="n"/>
      <c r="R17" s="119" t="n"/>
    </row>
    <row r="18" ht="15" customHeight="1">
      <c r="A18" s="249">
        <f>IFERROR(VLOOKUP(E18,Tabellen!A:F,4),0)</f>
        <v/>
      </c>
      <c r="B18" s="74" t="n"/>
      <c r="C18" s="74">
        <f>IFERROR(VLOOKUP(E18,Tabellen!A:F,5),0)</f>
        <v/>
      </c>
      <c r="D18" s="249">
        <f>IFERROR(VLOOKUP(E18,Tabellen!A:F,6),0)</f>
        <v/>
      </c>
      <c r="E18" s="449" t="n"/>
      <c r="F18" s="75">
        <f>IF(E18&gt;0,$L$4,0)</f>
        <v/>
      </c>
      <c r="G18" s="249">
        <f>IFERROR(VLOOKUP(E18,Tabellen!A:F,2),0)</f>
        <v/>
      </c>
      <c r="H18" s="64">
        <f>IFERROR(VLOOKUP(E18,Tabellen!A:H,8),0)</f>
        <v/>
      </c>
      <c r="I18" s="250">
        <f>IFERROR(VLOOKUP(H18,Tabellen!H:I,2),0)</f>
        <v/>
      </c>
      <c r="J18" s="121" t="n"/>
      <c r="K18" s="251" t="n"/>
      <c r="L18" s="450" t="n"/>
      <c r="M18" s="450" t="n"/>
      <c r="N18" s="450" t="n"/>
      <c r="O18" s="450" t="n"/>
      <c r="Q18" s="119">
        <f>IF(OR(H18=47201,H18=47100,H18=47200,H18=47500),L18,0)</f>
        <v/>
      </c>
      <c r="R18" s="119">
        <f>IF(OR(H18=87201,H18=87100,H18=87200,H18=87500),L18,0)</f>
        <v/>
      </c>
    </row>
    <row r="19" ht="15" customHeight="1">
      <c r="A19" s="249">
        <f>IFERROR(VLOOKUP(E19,Tabellen!A:F,4),0)</f>
        <v/>
      </c>
      <c r="B19" s="74" t="n"/>
      <c r="C19" s="74">
        <f>IFERROR(VLOOKUP(E19,Tabellen!A:F,5),0)</f>
        <v/>
      </c>
      <c r="D19" s="249">
        <f>IFERROR(VLOOKUP(E19,Tabellen!A:F,6),0)</f>
        <v/>
      </c>
      <c r="E19" s="449" t="n"/>
      <c r="F19" s="75">
        <f>IF(E19&gt;0,$L$4,0)</f>
        <v/>
      </c>
      <c r="G19" s="249">
        <f>IFERROR(VLOOKUP(E19,Tabellen!A:F,2),0)</f>
        <v/>
      </c>
      <c r="H19" s="64">
        <f>IFERROR(VLOOKUP(E19,Tabellen!A:H,8),0)</f>
        <v/>
      </c>
      <c r="I19" s="250">
        <f>IFERROR(VLOOKUP(H19,Tabellen!H:I,2),0)</f>
        <v/>
      </c>
      <c r="J19" s="121" t="n"/>
      <c r="K19" s="251" t="n"/>
      <c r="L19" s="450" t="n"/>
      <c r="M19" s="450" t="n"/>
      <c r="N19" s="450" t="n"/>
      <c r="O19" s="450" t="n"/>
      <c r="Q19" s="119">
        <f>IF(OR(H19=47201,H19=47100,H19=47200,H19=47500),L19,0)</f>
        <v/>
      </c>
      <c r="R19" s="119">
        <f>IF(OR(H19=87201,H19=87100,H19=87200,H19=87500),L19,0)</f>
        <v/>
      </c>
    </row>
    <row r="20" ht="15" customHeight="1">
      <c r="A20" s="249">
        <f>IFERROR(VLOOKUP(E20,Tabellen!A:F,4),0)</f>
        <v/>
      </c>
      <c r="B20" s="74" t="n"/>
      <c r="C20" s="74">
        <f>IFERROR(VLOOKUP(E20,Tabellen!A:F,5),0)</f>
        <v/>
      </c>
      <c r="D20" s="249">
        <f>IFERROR(VLOOKUP(E20,Tabellen!A:F,6),0)</f>
        <v/>
      </c>
      <c r="E20" s="449" t="n"/>
      <c r="F20" s="75">
        <f>IF(E20&gt;0,$L$4,0)</f>
        <v/>
      </c>
      <c r="G20" s="249">
        <f>IFERROR(VLOOKUP(E20,Tabellen!A:F,2),0)</f>
        <v/>
      </c>
      <c r="H20" s="64">
        <f>IFERROR(VLOOKUP(E20,Tabellen!A:H,8),0)</f>
        <v/>
      </c>
      <c r="I20" s="250">
        <f>IFERROR(VLOOKUP(H20,Tabellen!H:I,2),0)</f>
        <v/>
      </c>
      <c r="J20" s="121" t="n"/>
      <c r="K20" s="251" t="n"/>
      <c r="L20" s="450" t="n"/>
      <c r="M20" s="450" t="n"/>
      <c r="N20" s="450" t="n"/>
      <c r="O20" s="450" t="n"/>
      <c r="Q20" s="119">
        <f>IF(OR(H20=47201,H20=47100,H20=47200,H20=47500),L20,0)</f>
        <v/>
      </c>
      <c r="R20" s="119">
        <f>IF(OR(H20=87201,H20=87100,H20=87200,H20=87500),L20,0)</f>
        <v/>
      </c>
    </row>
    <row r="21" ht="15" customHeight="1">
      <c r="A21" s="249">
        <f>IFERROR(VLOOKUP(E21,Tabellen!A:F,4),0)</f>
        <v/>
      </c>
      <c r="B21" s="74" t="n"/>
      <c r="C21" s="74">
        <f>IFERROR(VLOOKUP(E21,Tabellen!A:F,5),0)</f>
        <v/>
      </c>
      <c r="D21" s="249">
        <f>IFERROR(VLOOKUP(E21,Tabellen!A:F,6),0)</f>
        <v/>
      </c>
      <c r="E21" s="449" t="n"/>
      <c r="F21" s="75">
        <f>IF(E21&gt;0,$L$4,0)</f>
        <v/>
      </c>
      <c r="G21" s="249">
        <f>IFERROR(VLOOKUP(E21,Tabellen!A:F,2),0)</f>
        <v/>
      </c>
      <c r="H21" s="64">
        <f>IFERROR(VLOOKUP(E21,Tabellen!A:H,8),0)</f>
        <v/>
      </c>
      <c r="I21" s="250">
        <f>IFERROR(VLOOKUP(H21,Tabellen!H:I,2),0)</f>
        <v/>
      </c>
      <c r="J21" s="121" t="n"/>
      <c r="K21" s="251" t="n"/>
      <c r="L21" s="450" t="n"/>
      <c r="M21" s="450" t="n"/>
      <c r="N21" s="450" t="n"/>
      <c r="O21" s="450" t="n"/>
      <c r="Q21" s="119">
        <f>IF(OR(H21=47201,H21=47100,H21=47200,H21=47500),L21,0)</f>
        <v/>
      </c>
      <c r="R21" s="119">
        <f>IF(OR(H21=87201,H21=87100,H21=87200,H21=87500),L21,0)</f>
        <v/>
      </c>
    </row>
    <row r="22" ht="15" customHeight="1">
      <c r="A22" s="249">
        <f>IFERROR(VLOOKUP(E22,Tabellen!A:F,4),0)</f>
        <v/>
      </c>
      <c r="B22" s="74" t="n"/>
      <c r="C22" s="74">
        <f>IFERROR(VLOOKUP(E22,Tabellen!A:F,5),0)</f>
        <v/>
      </c>
      <c r="D22" s="249">
        <f>IFERROR(VLOOKUP(E22,Tabellen!A:F,6),0)</f>
        <v/>
      </c>
      <c r="E22" s="449" t="n"/>
      <c r="F22" s="75">
        <f>IF(E22&gt;0,$L$4,0)</f>
        <v/>
      </c>
      <c r="G22" s="249">
        <f>IFERROR(VLOOKUP(E22,Tabellen!A:F,2),0)</f>
        <v/>
      </c>
      <c r="H22" s="64">
        <f>IFERROR(VLOOKUP(E22,Tabellen!A:H,8),0)</f>
        <v/>
      </c>
      <c r="I22" s="250">
        <f>IFERROR(VLOOKUP(H22,Tabellen!H:I,2),0)</f>
        <v/>
      </c>
      <c r="J22" s="121" t="n"/>
      <c r="K22" s="251" t="n"/>
      <c r="L22" s="450" t="n"/>
      <c r="M22" s="450" t="n"/>
      <c r="N22" s="450" t="n"/>
      <c r="O22" s="450" t="n"/>
      <c r="Q22" s="119">
        <f>IF(OR(H22=47201,H22=47100,H22=47200,H22=47500),L22,0)</f>
        <v/>
      </c>
      <c r="R22" s="119">
        <f>IF(OR(H22=87201,H22=87100,H22=87200,H22=87500),L22,0)</f>
        <v/>
      </c>
    </row>
    <row r="23" ht="15" customHeight="1">
      <c r="A23" s="249">
        <f>IFERROR(VLOOKUP(E23,Tabellen!A:F,4),0)</f>
        <v/>
      </c>
      <c r="B23" s="74" t="n"/>
      <c r="C23" s="74">
        <f>IFERROR(VLOOKUP(E23,Tabellen!A:F,5),0)</f>
        <v/>
      </c>
      <c r="D23" s="249">
        <f>IFERROR(VLOOKUP(E23,Tabellen!A:F,6),0)</f>
        <v/>
      </c>
      <c r="E23" s="449" t="n"/>
      <c r="F23" s="75">
        <f>IF(E23&gt;0,$L$4,0)</f>
        <v/>
      </c>
      <c r="G23" s="249">
        <f>IFERROR(VLOOKUP(E23,Tabellen!A:F,2),0)</f>
        <v/>
      </c>
      <c r="H23" s="64">
        <f>IFERROR(VLOOKUP(E23,Tabellen!A:H,8),0)</f>
        <v/>
      </c>
      <c r="I23" s="250">
        <f>IFERROR(VLOOKUP(H23,Tabellen!H:I,2),0)</f>
        <v/>
      </c>
      <c r="J23" s="121" t="n"/>
      <c r="K23" s="251" t="n"/>
      <c r="L23" s="450" t="n"/>
      <c r="M23" s="450" t="n"/>
      <c r="N23" s="450" t="n"/>
      <c r="O23" s="450" t="n"/>
      <c r="Q23" s="119">
        <f>IF(OR(H23=47201,H23=47100,H23=47200,H23=47500),L23,0)</f>
        <v/>
      </c>
      <c r="R23" s="119">
        <f>IF(OR(H23=87201,H23=87100,H23=87200,H23=87500),L23,0)</f>
        <v/>
      </c>
    </row>
    <row r="24" ht="15" customHeight="1">
      <c r="A24" s="249">
        <f>IFERROR(VLOOKUP(E24,Tabellen!A:F,4),0)</f>
        <v/>
      </c>
      <c r="B24" s="74" t="n"/>
      <c r="C24" s="74">
        <f>IFERROR(VLOOKUP(E24,Tabellen!A:F,5),0)</f>
        <v/>
      </c>
      <c r="D24" s="249">
        <f>IFERROR(VLOOKUP(E24,Tabellen!A:F,6),0)</f>
        <v/>
      </c>
      <c r="E24" s="449" t="n"/>
      <c r="F24" s="75">
        <f>IF(E24&gt;0,$L$4,0)</f>
        <v/>
      </c>
      <c r="G24" s="249">
        <f>IFERROR(VLOOKUP(E24,Tabellen!A:F,2),0)</f>
        <v/>
      </c>
      <c r="H24" s="64">
        <f>IFERROR(VLOOKUP(E24,Tabellen!A:H,8),0)</f>
        <v/>
      </c>
      <c r="I24" s="250">
        <f>IFERROR(VLOOKUP(H24,Tabellen!H:I,2),0)</f>
        <v/>
      </c>
      <c r="J24" s="121" t="n"/>
      <c r="K24" s="251" t="n"/>
      <c r="L24" s="450" t="n"/>
      <c r="M24" s="450" t="n"/>
      <c r="N24" s="450" t="n"/>
      <c r="O24" s="450" t="n"/>
      <c r="Q24" s="119">
        <f>IF(OR(H24=47201,H24=47100,H24=47200,H24=47500),L24,0)</f>
        <v/>
      </c>
      <c r="R24" s="119">
        <f>IF(OR(H24=87201,H24=87100,H24=87200,H24=87500),L24,0)</f>
        <v/>
      </c>
    </row>
    <row r="25" ht="15" customHeight="1">
      <c r="A25" s="249">
        <f>IFERROR(VLOOKUP(E25,Tabellen!A:F,4),0)</f>
        <v/>
      </c>
      <c r="B25" s="74" t="n"/>
      <c r="C25" s="74">
        <f>IFERROR(VLOOKUP(E25,Tabellen!A:F,5),0)</f>
        <v/>
      </c>
      <c r="D25" s="249">
        <f>IFERROR(VLOOKUP(E25,Tabellen!A:F,6),0)</f>
        <v/>
      </c>
      <c r="E25" s="449" t="n"/>
      <c r="F25" s="75">
        <f>IF(E25&gt;0,$L$4,0)</f>
        <v/>
      </c>
      <c r="G25" s="249">
        <f>IFERROR(VLOOKUP(E25,Tabellen!A:F,2),0)</f>
        <v/>
      </c>
      <c r="H25" s="64">
        <f>IFERROR(VLOOKUP(E25,Tabellen!A:H,8),0)</f>
        <v/>
      </c>
      <c r="I25" s="250">
        <f>IFERROR(VLOOKUP(H25,Tabellen!H:I,2),0)</f>
        <v/>
      </c>
      <c r="J25" s="121" t="n"/>
      <c r="K25" s="251" t="n"/>
      <c r="L25" s="450" t="n"/>
      <c r="M25" s="450" t="n"/>
      <c r="N25" s="450" t="n"/>
      <c r="O25" s="450" t="n"/>
      <c r="Q25" s="119">
        <f>IF(OR(H25=47201,H25=47100,H25=47200,H25=47500),L25,0)</f>
        <v/>
      </c>
      <c r="R25" s="119">
        <f>IF(OR(H25=87201,H25=87100,H25=87200,H25=87500),L25,0)</f>
        <v/>
      </c>
    </row>
    <row r="26" ht="15" customHeight="1">
      <c r="A26" s="249">
        <f>IFERROR(VLOOKUP(E26,Tabellen!A:F,4),0)</f>
        <v/>
      </c>
      <c r="B26" s="74" t="n"/>
      <c r="C26" s="74">
        <f>IFERROR(VLOOKUP(E26,Tabellen!A:F,5),0)</f>
        <v/>
      </c>
      <c r="D26" s="249">
        <f>IFERROR(VLOOKUP(E26,Tabellen!A:F,6),0)</f>
        <v/>
      </c>
      <c r="E26" s="449" t="n"/>
      <c r="F26" s="75">
        <f>IF(E26&gt;0,$L$4,0)</f>
        <v/>
      </c>
      <c r="G26" s="249">
        <f>IFERROR(VLOOKUP(E26,Tabellen!A:F,2),0)</f>
        <v/>
      </c>
      <c r="H26" s="64">
        <f>IFERROR(VLOOKUP(E26,Tabellen!A:H,8),0)</f>
        <v/>
      </c>
      <c r="I26" s="250">
        <f>IFERROR(VLOOKUP(H26,Tabellen!H:I,2),0)</f>
        <v/>
      </c>
      <c r="J26" s="121" t="n"/>
      <c r="K26" s="251" t="n"/>
      <c r="L26" s="450" t="n"/>
      <c r="M26" s="450" t="n"/>
      <c r="N26" s="450" t="n"/>
      <c r="O26" s="450" t="n"/>
      <c r="Q26" s="119">
        <f>IF(OR(H26=47201,H26=47100,H26=47200,H26=47500),L26,0)</f>
        <v/>
      </c>
      <c r="R26" s="119">
        <f>IF(OR(H26=87201,H26=87100,H26=87200,H26=87500),L26,0)</f>
        <v/>
      </c>
    </row>
    <row r="27" ht="15" customHeight="1">
      <c r="A27" s="249">
        <f>IFERROR(VLOOKUP(E27,Tabellen!A:F,4),0)</f>
        <v/>
      </c>
      <c r="B27" s="74" t="n"/>
      <c r="C27" s="74">
        <f>IFERROR(VLOOKUP(E27,Tabellen!A:F,5),0)</f>
        <v/>
      </c>
      <c r="D27" s="249">
        <f>IFERROR(VLOOKUP(E27,Tabellen!A:F,6),0)</f>
        <v/>
      </c>
      <c r="E27" s="449" t="n"/>
      <c r="F27" s="75">
        <f>IF(E27&gt;0,$L$4,0)</f>
        <v/>
      </c>
      <c r="G27" s="249">
        <f>IFERROR(VLOOKUP(E27,Tabellen!A:F,2),0)</f>
        <v/>
      </c>
      <c r="H27" s="64">
        <f>IFERROR(VLOOKUP(E27,Tabellen!A:H,8),0)</f>
        <v/>
      </c>
      <c r="I27" s="250">
        <f>IFERROR(VLOOKUP(H27,Tabellen!H:I,2),0)</f>
        <v/>
      </c>
      <c r="J27" s="121" t="n"/>
      <c r="K27" s="251" t="n"/>
      <c r="L27" s="450" t="n"/>
      <c r="M27" s="450" t="n"/>
      <c r="N27" s="450" t="n"/>
      <c r="O27" s="450" t="n"/>
      <c r="Q27" s="119">
        <f>IF(OR(H27=47201,H27=47100,H27=47200,H27=47500),L27,0)</f>
        <v/>
      </c>
      <c r="R27" s="119">
        <f>IF(OR(H27=87201,H27=87100,H27=87200,H27=87500),L27,0)</f>
        <v/>
      </c>
    </row>
    <row r="28" ht="15" customHeight="1">
      <c r="A28" s="249">
        <f>IFERROR(VLOOKUP(E28,Tabellen!A:F,4),0)</f>
        <v/>
      </c>
      <c r="B28" s="74" t="n"/>
      <c r="C28" s="74">
        <f>IFERROR(VLOOKUP(E28,Tabellen!A:F,5),0)</f>
        <v/>
      </c>
      <c r="D28" s="249">
        <f>IFERROR(VLOOKUP(E28,Tabellen!A:F,6),0)</f>
        <v/>
      </c>
      <c r="E28" s="449" t="n"/>
      <c r="F28" s="75">
        <f>IF(E28&gt;0,$L$4,0)</f>
        <v/>
      </c>
      <c r="G28" s="249">
        <f>IFERROR(VLOOKUP(E28,Tabellen!A:F,2),0)</f>
        <v/>
      </c>
      <c r="H28" s="64">
        <f>IFERROR(VLOOKUP(E28,Tabellen!A:H,8),0)</f>
        <v/>
      </c>
      <c r="I28" s="250">
        <f>IFERROR(VLOOKUP(H28,Tabellen!H:I,2),0)</f>
        <v/>
      </c>
      <c r="J28" s="121" t="n"/>
      <c r="K28" s="251" t="n"/>
      <c r="L28" s="450" t="n"/>
      <c r="M28" s="450" t="n"/>
      <c r="N28" s="450" t="n"/>
      <c r="O28" s="450" t="n"/>
      <c r="Q28" s="119">
        <f>IF(OR(H28=47201,H28=47100,H28=47200,H28=47500),L28,0)</f>
        <v/>
      </c>
      <c r="R28" s="119">
        <f>IF(OR(H28=87201,H28=87100,H28=87200,H28=87500),L28,0)</f>
        <v/>
      </c>
    </row>
    <row r="29" ht="15" customHeight="1">
      <c r="A29" s="249">
        <f>IFERROR(VLOOKUP(E29,Tabellen!A:F,4),0)</f>
        <v/>
      </c>
      <c r="B29" s="74" t="n"/>
      <c r="C29" s="74">
        <f>IFERROR(VLOOKUP(E29,Tabellen!A:F,5),0)</f>
        <v/>
      </c>
      <c r="D29" s="249">
        <f>IFERROR(VLOOKUP(E29,Tabellen!A:F,6),0)</f>
        <v/>
      </c>
      <c r="E29" s="449" t="n"/>
      <c r="F29" s="75">
        <f>IF(E29&gt;0,$L$4,0)</f>
        <v/>
      </c>
      <c r="G29" s="249">
        <f>IFERROR(VLOOKUP(E29,Tabellen!A:F,2),0)</f>
        <v/>
      </c>
      <c r="H29" s="64">
        <f>IFERROR(VLOOKUP(E29,Tabellen!A:H,8),0)</f>
        <v/>
      </c>
      <c r="I29" s="250">
        <f>IFERROR(VLOOKUP(H29,Tabellen!H:I,2),0)</f>
        <v/>
      </c>
      <c r="J29" s="121" t="n"/>
      <c r="K29" s="251" t="n"/>
      <c r="L29" s="450" t="n"/>
      <c r="M29" s="450" t="n"/>
      <c r="N29" s="450" t="n"/>
      <c r="O29" s="450" t="n"/>
      <c r="Q29" s="119">
        <f>IF(OR(H29=47201,H29=47100,H29=47200,H29=47500),L29,0)</f>
        <v/>
      </c>
      <c r="R29" s="119">
        <f>IF(OR(H29=87201,H29=87100,H29=87200,H29=87500),L29,0)</f>
        <v/>
      </c>
    </row>
    <row r="30" ht="15" customHeight="1">
      <c r="A30" s="249">
        <f>IFERROR(VLOOKUP(E30,Tabellen!A:F,4),0)</f>
        <v/>
      </c>
      <c r="B30" s="74" t="n"/>
      <c r="C30" s="74">
        <f>IFERROR(VLOOKUP(E30,Tabellen!A:F,5),0)</f>
        <v/>
      </c>
      <c r="D30" s="249">
        <f>IFERROR(VLOOKUP(E30,Tabellen!A:F,6),0)</f>
        <v/>
      </c>
      <c r="E30" s="449" t="n"/>
      <c r="F30" s="75">
        <f>IF(E30&gt;0,$L$4,0)</f>
        <v/>
      </c>
      <c r="G30" s="249">
        <f>IFERROR(VLOOKUP(E30,Tabellen!A:F,2),0)</f>
        <v/>
      </c>
      <c r="H30" s="64">
        <f>IFERROR(VLOOKUP(E30,Tabellen!A:H,8),0)</f>
        <v/>
      </c>
      <c r="I30" s="250">
        <f>IFERROR(VLOOKUP(H30,Tabellen!H:I,2),0)</f>
        <v/>
      </c>
      <c r="J30" s="121" t="n"/>
      <c r="K30" s="251" t="n"/>
      <c r="L30" s="450" t="n"/>
      <c r="M30" s="450" t="n"/>
      <c r="N30" s="450" t="n"/>
      <c r="O30" s="450" t="n"/>
      <c r="Q30" s="119">
        <f>IF(OR(H30=47201,H30=47100,H30=47200,H30=47500),L30,0)</f>
        <v/>
      </c>
      <c r="R30" s="119">
        <f>IF(OR(H30=87201,H30=87100,H30=87200,H30=87500),L30,0)</f>
        <v/>
      </c>
    </row>
    <row r="31" ht="15" customHeight="1">
      <c r="A31" s="249">
        <f>IFERROR(VLOOKUP(E31,Tabellen!A:F,4),0)</f>
        <v/>
      </c>
      <c r="B31" s="74" t="n"/>
      <c r="C31" s="74">
        <f>IFERROR(VLOOKUP(E31,Tabellen!A:F,5),0)</f>
        <v/>
      </c>
      <c r="D31" s="249">
        <f>IFERROR(VLOOKUP(E31,Tabellen!A:F,6),0)</f>
        <v/>
      </c>
      <c r="E31" s="449" t="n"/>
      <c r="F31" s="75">
        <f>IF(E31&gt;0,$L$4,0)</f>
        <v/>
      </c>
      <c r="G31" s="249">
        <f>IFERROR(VLOOKUP(E31,Tabellen!A:F,2),0)</f>
        <v/>
      </c>
      <c r="H31" s="64">
        <f>IFERROR(VLOOKUP(E31,Tabellen!A:H,8),0)</f>
        <v/>
      </c>
      <c r="I31" s="250">
        <f>IFERROR(VLOOKUP(H31,Tabellen!H:I,2),0)</f>
        <v/>
      </c>
      <c r="J31" s="121" t="n"/>
      <c r="K31" s="251" t="n"/>
      <c r="L31" s="450" t="n"/>
      <c r="M31" s="450" t="n"/>
      <c r="N31" s="450" t="n"/>
      <c r="O31" s="450" t="n"/>
      <c r="Q31" s="119">
        <f>IF(OR(H31=47201,H31=47100,H31=47200,H31=47500),L31,0)</f>
        <v/>
      </c>
      <c r="R31" s="119">
        <f>IF(OR(H31=87201,H31=87100,H31=87200,H31=87500),L31,0)</f>
        <v/>
      </c>
    </row>
    <row r="32" ht="15" customHeight="1">
      <c r="A32" s="249">
        <f>IFERROR(VLOOKUP(E32,Tabellen!A:F,4),0)</f>
        <v/>
      </c>
      <c r="B32" s="74" t="n"/>
      <c r="C32" s="74">
        <f>IFERROR(VLOOKUP(E32,Tabellen!A:F,5),0)</f>
        <v/>
      </c>
      <c r="D32" s="249">
        <f>IFERROR(VLOOKUP(E32,Tabellen!A:F,6),0)</f>
        <v/>
      </c>
      <c r="E32" s="449" t="n"/>
      <c r="F32" s="75">
        <f>IF(E32&gt;0,$L$4,0)</f>
        <v/>
      </c>
      <c r="G32" s="249">
        <f>IFERROR(VLOOKUP(E32,Tabellen!A:F,2),0)</f>
        <v/>
      </c>
      <c r="H32" s="64">
        <f>IFERROR(VLOOKUP(E32,Tabellen!A:H,8),0)</f>
        <v/>
      </c>
      <c r="I32" s="250">
        <f>IFERROR(VLOOKUP(H32,Tabellen!H:I,2),0)</f>
        <v/>
      </c>
      <c r="J32" s="121" t="n"/>
      <c r="K32" s="251" t="n"/>
      <c r="L32" s="450" t="n"/>
      <c r="M32" s="450" t="n"/>
      <c r="N32" s="450" t="n"/>
      <c r="O32" s="450" t="n"/>
      <c r="Q32" s="119">
        <f>IF(OR(H32=47201,H32=47100,H32=47200,H32=47500),L32,0)</f>
        <v/>
      </c>
      <c r="R32" s="119">
        <f>IF(OR(H32=87201,H32=87100,H32=87200,H32=87500),L32,0)</f>
        <v/>
      </c>
    </row>
    <row r="33" ht="15" customHeight="1">
      <c r="A33" s="249">
        <f>IFERROR(VLOOKUP(E33,Tabellen!A:F,4),0)</f>
        <v/>
      </c>
      <c r="B33" s="74" t="n"/>
      <c r="C33" s="74">
        <f>IFERROR(VLOOKUP(E33,Tabellen!A:F,5),0)</f>
        <v/>
      </c>
      <c r="D33" s="249">
        <f>IFERROR(VLOOKUP(E33,Tabellen!A:F,6),0)</f>
        <v/>
      </c>
      <c r="E33" s="449" t="n"/>
      <c r="F33" s="75">
        <f>IF(E33&gt;0,$L$4,0)</f>
        <v/>
      </c>
      <c r="G33" s="249">
        <f>IFERROR(VLOOKUP(E33,Tabellen!A:F,2),0)</f>
        <v/>
      </c>
      <c r="H33" s="64">
        <f>IFERROR(VLOOKUP(E33,Tabellen!A:H,8),0)</f>
        <v/>
      </c>
      <c r="I33" s="250">
        <f>IFERROR(VLOOKUP(H33,Tabellen!H:I,2),0)</f>
        <v/>
      </c>
      <c r="J33" s="121" t="n"/>
      <c r="K33" s="251" t="n"/>
      <c r="L33" s="450" t="n"/>
      <c r="M33" s="450" t="n"/>
      <c r="N33" s="450" t="n"/>
      <c r="O33" s="450" t="n"/>
      <c r="Q33" s="119">
        <f>IF(OR(H33=47201,H33=47100,H33=47200,H33=47500),L33,0)</f>
        <v/>
      </c>
      <c r="R33" s="119">
        <f>IF(OR(H33=87201,H33=87100,H33=87200,H33=87500),L33,0)</f>
        <v/>
      </c>
    </row>
    <row r="34" ht="15" customHeight="1">
      <c r="A34" s="249">
        <f>IFERROR(VLOOKUP(E34,Tabellen!A:F,4),0)</f>
        <v/>
      </c>
      <c r="B34" s="74" t="n"/>
      <c r="C34" s="74">
        <f>IFERROR(VLOOKUP(E34,Tabellen!A:F,5),0)</f>
        <v/>
      </c>
      <c r="D34" s="249">
        <f>IFERROR(VLOOKUP(E34,Tabellen!A:F,6),0)</f>
        <v/>
      </c>
      <c r="E34" s="449" t="n"/>
      <c r="F34" s="75">
        <f>IF(E34&gt;0,$L$4,0)</f>
        <v/>
      </c>
      <c r="G34" s="249">
        <f>IFERROR(VLOOKUP(E34,Tabellen!A:F,2),0)</f>
        <v/>
      </c>
      <c r="H34" s="64">
        <f>IFERROR(VLOOKUP(E34,Tabellen!A:H,8),0)</f>
        <v/>
      </c>
      <c r="I34" s="250">
        <f>IFERROR(VLOOKUP(H34,Tabellen!H:I,2),0)</f>
        <v/>
      </c>
      <c r="J34" s="121" t="n"/>
      <c r="K34" s="251" t="n"/>
      <c r="L34" s="450" t="n"/>
      <c r="M34" s="450" t="n"/>
      <c r="N34" s="450" t="n"/>
      <c r="O34" s="450" t="n"/>
      <c r="Q34" s="119">
        <f>IF(OR(H34=47201,H34=47100,H34=47200,H34=47500),L34,0)</f>
        <v/>
      </c>
      <c r="R34" s="119">
        <f>IF(OR(H34=87201,H34=87100,H34=87200,H34=87500),L34,0)</f>
        <v/>
      </c>
    </row>
    <row r="35" ht="15" customHeight="1">
      <c r="A35" s="249">
        <f>IFERROR(VLOOKUP(E35,Tabellen!A:F,4),0)</f>
        <v/>
      </c>
      <c r="B35" s="74" t="n"/>
      <c r="C35" s="74">
        <f>IFERROR(VLOOKUP(E35,Tabellen!A:F,5),0)</f>
        <v/>
      </c>
      <c r="D35" s="249">
        <f>IFERROR(VLOOKUP(E35,Tabellen!A:F,6),0)</f>
        <v/>
      </c>
      <c r="E35" s="449" t="n"/>
      <c r="F35" s="75">
        <f>IF(E35&gt;0,$L$4,0)</f>
        <v/>
      </c>
      <c r="G35" s="249">
        <f>IFERROR(VLOOKUP(E35,Tabellen!A:F,2),0)</f>
        <v/>
      </c>
      <c r="H35" s="64">
        <f>IFERROR(VLOOKUP(E35,Tabellen!A:H,8),0)</f>
        <v/>
      </c>
      <c r="I35" s="250">
        <f>IFERROR(VLOOKUP(H35,Tabellen!H:I,2),0)</f>
        <v/>
      </c>
      <c r="J35" s="121" t="n"/>
      <c r="K35" s="251" t="n"/>
      <c r="L35" s="450" t="n"/>
      <c r="M35" s="450" t="n"/>
      <c r="N35" s="450" t="n"/>
      <c r="O35" s="450" t="n"/>
      <c r="Q35" s="119">
        <f>IF(OR(H35=47201,H35=47100,H35=47200,H35=47500),L35,0)</f>
        <v/>
      </c>
      <c r="R35" s="119">
        <f>IF(OR(H35=87201,H35=87100,H35=87200,H35=87500),L35,0)</f>
        <v/>
      </c>
    </row>
    <row r="36" ht="15" customHeight="1">
      <c r="A36" s="249">
        <f>IFERROR(VLOOKUP(E36,Tabellen!A:F,4),0)</f>
        <v/>
      </c>
      <c r="B36" s="74" t="n"/>
      <c r="C36" s="74">
        <f>IFERROR(VLOOKUP(E36,Tabellen!A:F,5),0)</f>
        <v/>
      </c>
      <c r="D36" s="249">
        <f>IFERROR(VLOOKUP(E36,Tabellen!A:F,6),0)</f>
        <v/>
      </c>
      <c r="E36" s="449" t="n"/>
      <c r="F36" s="75">
        <f>IF(E36&gt;0,$L$4,0)</f>
        <v/>
      </c>
      <c r="G36" s="249">
        <f>IFERROR(VLOOKUP(E36,Tabellen!A:F,2),0)</f>
        <v/>
      </c>
      <c r="H36" s="64">
        <f>IFERROR(VLOOKUP(E36,Tabellen!A:H,8),0)</f>
        <v/>
      </c>
      <c r="I36" s="250">
        <f>IFERROR(VLOOKUP(H36,Tabellen!H:I,2),0)</f>
        <v/>
      </c>
      <c r="J36" s="121" t="n"/>
      <c r="K36" s="251" t="n"/>
      <c r="L36" s="450" t="n"/>
      <c r="M36" s="450" t="n"/>
      <c r="N36" s="450" t="n"/>
      <c r="O36" s="450" t="n"/>
      <c r="Q36" s="119">
        <f>IF(OR(H36=47201,H36=47100,H36=47200,H36=47500),L36,0)</f>
        <v/>
      </c>
      <c r="R36" s="119">
        <f>IF(OR(H36=87201,H36=87100,H36=87200,H36=87500),L36,0)</f>
        <v/>
      </c>
    </row>
    <row r="37" ht="15" customHeight="1">
      <c r="A37" s="249">
        <f>IFERROR(VLOOKUP(E37,Tabellen!A:F,4),0)</f>
        <v/>
      </c>
      <c r="B37" s="74" t="n"/>
      <c r="C37" s="74">
        <f>IFERROR(VLOOKUP(E37,Tabellen!A:F,5),0)</f>
        <v/>
      </c>
      <c r="D37" s="249">
        <f>IFERROR(VLOOKUP(E37,Tabellen!A:F,6),0)</f>
        <v/>
      </c>
      <c r="E37" s="449" t="n"/>
      <c r="F37" s="75">
        <f>IF(E37&gt;0,$L$4,0)</f>
        <v/>
      </c>
      <c r="G37" s="249">
        <f>IFERROR(VLOOKUP(E37,Tabellen!A:F,2),0)</f>
        <v/>
      </c>
      <c r="H37" s="64">
        <f>IFERROR(VLOOKUP(E37,Tabellen!A:H,8),0)</f>
        <v/>
      </c>
      <c r="I37" s="250">
        <f>IFERROR(VLOOKUP(H37,Tabellen!H:I,2),0)</f>
        <v/>
      </c>
      <c r="J37" s="121" t="n"/>
      <c r="K37" s="251" t="n"/>
      <c r="L37" s="450" t="n"/>
      <c r="M37" s="450" t="n"/>
      <c r="N37" s="450" t="n"/>
      <c r="O37" s="450" t="n"/>
      <c r="Q37" s="119">
        <f>IF(OR(H37=47201,H37=47100,H37=47200,H37=47500),L37,0)</f>
        <v/>
      </c>
      <c r="R37" s="119">
        <f>IF(OR(H37=87201,H37=87100,H37=87200,H37=87500),L37,0)</f>
        <v/>
      </c>
    </row>
    <row r="38" ht="15" customHeight="1">
      <c r="A38" s="249">
        <f>IFERROR(VLOOKUP(E38,Tabellen!A:F,4),0)</f>
        <v/>
      </c>
      <c r="B38" s="74" t="n"/>
      <c r="C38" s="74">
        <f>IFERROR(VLOOKUP(E38,Tabellen!A:F,5),0)</f>
        <v/>
      </c>
      <c r="D38" s="249">
        <f>IFERROR(VLOOKUP(E38,Tabellen!A:F,6),0)</f>
        <v/>
      </c>
      <c r="E38" s="449" t="n"/>
      <c r="F38" s="75">
        <f>IF(E38&gt;0,$L$4,0)</f>
        <v/>
      </c>
      <c r="G38" s="249">
        <f>IFERROR(VLOOKUP(E38,Tabellen!A:F,2),0)</f>
        <v/>
      </c>
      <c r="H38" s="64">
        <f>IFERROR(VLOOKUP(E38,Tabellen!A:H,8),0)</f>
        <v/>
      </c>
      <c r="I38" s="250">
        <f>IFERROR(VLOOKUP(H38,Tabellen!H:I,2),0)</f>
        <v/>
      </c>
      <c r="J38" s="121" t="n"/>
      <c r="K38" s="251" t="n"/>
      <c r="L38" s="450" t="n"/>
      <c r="M38" s="450" t="n"/>
      <c r="N38" s="450" t="n"/>
      <c r="O38" s="450" t="n"/>
      <c r="Q38" s="119">
        <f>IF(OR(H38=47201,H38=47100,H38=47200,H38=47500),L38,0)</f>
        <v/>
      </c>
      <c r="R38" s="119">
        <f>IF(OR(H38=87201,H38=87100,H38=87200,H38=87500),L38,0)</f>
        <v/>
      </c>
    </row>
    <row r="39" ht="15" customHeight="1">
      <c r="A39" s="249">
        <f>IFERROR(VLOOKUP(E39,Tabellen!A:F,4),0)</f>
        <v/>
      </c>
      <c r="B39" s="74" t="n"/>
      <c r="C39" s="74">
        <f>IFERROR(VLOOKUP(E39,Tabellen!A:F,5),0)</f>
        <v/>
      </c>
      <c r="D39" s="249">
        <f>IFERROR(VLOOKUP(E39,Tabellen!A:F,6),0)</f>
        <v/>
      </c>
      <c r="E39" s="449" t="n"/>
      <c r="F39" s="75">
        <f>IF(E39&gt;0,$L$4,0)</f>
        <v/>
      </c>
      <c r="G39" s="249">
        <f>IFERROR(VLOOKUP(E39,Tabellen!A:F,2),0)</f>
        <v/>
      </c>
      <c r="H39" s="64">
        <f>IFERROR(VLOOKUP(E39,Tabellen!A:H,8),0)</f>
        <v/>
      </c>
      <c r="I39" s="250">
        <f>IFERROR(VLOOKUP(H39,Tabellen!H:I,2),0)</f>
        <v/>
      </c>
      <c r="J39" s="121" t="n"/>
      <c r="K39" s="251" t="n"/>
      <c r="L39" s="450" t="n"/>
      <c r="M39" s="450" t="n"/>
      <c r="N39" s="450" t="n"/>
      <c r="O39" s="450" t="n"/>
      <c r="Q39" s="119">
        <f>IF(OR(H39=47201,H39=47100,H39=47200,H39=47500),L39,0)</f>
        <v/>
      </c>
      <c r="R39" s="119">
        <f>IF(OR(H39=87201,H39=87100,H39=87200,H39=87500),L39,0)</f>
        <v/>
      </c>
    </row>
    <row r="40" ht="15" customHeight="1">
      <c r="A40" s="249">
        <f>IFERROR(VLOOKUP(E40,Tabellen!A:F,4),0)</f>
        <v/>
      </c>
      <c r="B40" s="74" t="n"/>
      <c r="C40" s="74">
        <f>IFERROR(VLOOKUP(E40,Tabellen!A:F,5),0)</f>
        <v/>
      </c>
      <c r="D40" s="249">
        <f>IFERROR(VLOOKUP(E40,Tabellen!A:F,6),0)</f>
        <v/>
      </c>
      <c r="E40" s="449" t="n"/>
      <c r="F40" s="75">
        <f>IF(E40&gt;0,$L$4,0)</f>
        <v/>
      </c>
      <c r="G40" s="249">
        <f>IFERROR(VLOOKUP(E40,Tabellen!A:F,2),0)</f>
        <v/>
      </c>
      <c r="H40" s="64">
        <f>IFERROR(VLOOKUP(E40,Tabellen!A:H,8),0)</f>
        <v/>
      </c>
      <c r="I40" s="250">
        <f>IFERROR(VLOOKUP(H40,Tabellen!H:I,2),0)</f>
        <v/>
      </c>
      <c r="J40" s="121" t="n"/>
      <c r="K40" s="251" t="n"/>
      <c r="L40" s="450" t="n"/>
      <c r="M40" s="450" t="n"/>
      <c r="N40" s="450" t="n"/>
      <c r="O40" s="450" t="n"/>
      <c r="Q40" s="119">
        <f>IF(OR(H40=47201,H40=47100,H40=47200,H40=47500),L40,0)</f>
        <v/>
      </c>
      <c r="R40" s="119">
        <f>IF(OR(H40=87201,H40=87100,H40=87200,H40=87500),L40,0)</f>
        <v/>
      </c>
    </row>
    <row r="41" ht="15" customHeight="1">
      <c r="A41" s="249">
        <f>IFERROR(VLOOKUP(E41,Tabellen!A:F,4),0)</f>
        <v/>
      </c>
      <c r="B41" s="74" t="n"/>
      <c r="C41" s="74">
        <f>IFERROR(VLOOKUP(E41,Tabellen!A:F,5),0)</f>
        <v/>
      </c>
      <c r="D41" s="249">
        <f>IFERROR(VLOOKUP(E41,Tabellen!A:F,6),0)</f>
        <v/>
      </c>
      <c r="E41" s="449" t="n"/>
      <c r="F41" s="75">
        <f>IF(E41&gt;0,$L$4,0)</f>
        <v/>
      </c>
      <c r="G41" s="249">
        <f>IFERROR(VLOOKUP(E41,Tabellen!A:F,2),0)</f>
        <v/>
      </c>
      <c r="H41" s="64">
        <f>IFERROR(VLOOKUP(E41,Tabellen!A:H,8),0)</f>
        <v/>
      </c>
      <c r="I41" s="250">
        <f>IFERROR(VLOOKUP(H41,Tabellen!H:I,2),0)</f>
        <v/>
      </c>
      <c r="J41" s="121" t="n"/>
      <c r="K41" s="251" t="n"/>
      <c r="L41" s="450" t="n"/>
      <c r="M41" s="450" t="n"/>
      <c r="N41" s="450" t="n"/>
      <c r="O41" s="450" t="n"/>
      <c r="Q41" s="119">
        <f>IF(OR(H41=47201,H41=47100,H41=47200,H41=47500),L41,0)</f>
        <v/>
      </c>
      <c r="R41" s="119">
        <f>IF(OR(H41=87201,H41=87100,H41=87200,H41=87500),L41,0)</f>
        <v/>
      </c>
    </row>
    <row r="42" ht="15" customHeight="1">
      <c r="A42" s="249">
        <f>IFERROR(VLOOKUP(E42,Tabellen!A:F,4),0)</f>
        <v/>
      </c>
      <c r="B42" s="74" t="n"/>
      <c r="C42" s="74">
        <f>IFERROR(VLOOKUP(E42,Tabellen!A:F,5),0)</f>
        <v/>
      </c>
      <c r="D42" s="249">
        <f>IFERROR(VLOOKUP(E42,Tabellen!A:F,6),0)</f>
        <v/>
      </c>
      <c r="E42" s="449" t="n"/>
      <c r="F42" s="75">
        <f>IF(E42&gt;0,$L$4,0)</f>
        <v/>
      </c>
      <c r="G42" s="249">
        <f>IFERROR(VLOOKUP(E42,Tabellen!A:F,2),0)</f>
        <v/>
      </c>
      <c r="H42" s="64">
        <f>IFERROR(VLOOKUP(E42,Tabellen!A:H,8),0)</f>
        <v/>
      </c>
      <c r="I42" s="250">
        <f>IFERROR(VLOOKUP(H42,Tabellen!H:I,2),0)</f>
        <v/>
      </c>
      <c r="J42" s="121" t="n"/>
      <c r="K42" s="251" t="n"/>
      <c r="L42" s="450" t="n"/>
      <c r="M42" s="450" t="n"/>
      <c r="N42" s="450" t="n"/>
      <c r="O42" s="450" t="n"/>
      <c r="Q42" s="119">
        <f>IF(OR(H42=47201,H42=47100,H42=47200,H42=47500),L42,0)</f>
        <v/>
      </c>
      <c r="R42" s="119">
        <f>IF(OR(H42=87201,H42=87100,H42=87200,H42=87500),L42,0)</f>
        <v/>
      </c>
    </row>
    <row r="43" ht="15" customHeight="1">
      <c r="A43" s="249">
        <f>IFERROR(VLOOKUP(E43,Tabellen!A:F,4),0)</f>
        <v/>
      </c>
      <c r="B43" s="74" t="n"/>
      <c r="C43" s="74">
        <f>IFERROR(VLOOKUP(E43,Tabellen!A:F,5),0)</f>
        <v/>
      </c>
      <c r="D43" s="249">
        <f>IFERROR(VLOOKUP(E43,Tabellen!A:F,6),0)</f>
        <v/>
      </c>
      <c r="E43" s="449" t="n"/>
      <c r="F43" s="75">
        <f>IF(E43&gt;0,$L$4,0)</f>
        <v/>
      </c>
      <c r="G43" s="249">
        <f>IFERROR(VLOOKUP(E43,Tabellen!A:F,2),0)</f>
        <v/>
      </c>
      <c r="H43" s="64">
        <f>IFERROR(VLOOKUP(E43,Tabellen!A:H,8),0)</f>
        <v/>
      </c>
      <c r="I43" s="250">
        <f>IFERROR(VLOOKUP(H43,Tabellen!H:I,2),0)</f>
        <v/>
      </c>
      <c r="J43" s="121" t="n"/>
      <c r="K43" s="251" t="n"/>
      <c r="L43" s="450" t="n"/>
      <c r="M43" s="450" t="n"/>
      <c r="N43" s="450" t="n"/>
      <c r="O43" s="450" t="n"/>
      <c r="Q43" s="119">
        <f>IF(OR(H43=47201,H43=47100,H43=47200,H43=47500),L43,0)</f>
        <v/>
      </c>
      <c r="R43" s="119">
        <f>IF(OR(H43=87201,H43=87100,H43=87200,H43=87500),L43,0)</f>
        <v/>
      </c>
    </row>
    <row r="44" ht="15" customHeight="1">
      <c r="A44" s="249">
        <f>IFERROR(VLOOKUP(E44,Tabellen!A:F,4),0)</f>
        <v/>
      </c>
      <c r="B44" s="74" t="n"/>
      <c r="C44" s="74">
        <f>IFERROR(VLOOKUP(E44,Tabellen!A:F,5),0)</f>
        <v/>
      </c>
      <c r="D44" s="249">
        <f>IFERROR(VLOOKUP(E44,Tabellen!A:F,6),0)</f>
        <v/>
      </c>
      <c r="E44" s="449" t="n"/>
      <c r="F44" s="75">
        <f>IF(E44&gt;0,$L$4,0)</f>
        <v/>
      </c>
      <c r="G44" s="249">
        <f>IFERROR(VLOOKUP(E44,Tabellen!A:F,2),0)</f>
        <v/>
      </c>
      <c r="H44" s="64">
        <f>IFERROR(VLOOKUP(E44,Tabellen!A:H,8),0)</f>
        <v/>
      </c>
      <c r="I44" s="250">
        <f>IFERROR(VLOOKUP(H44,Tabellen!H:I,2),0)</f>
        <v/>
      </c>
      <c r="J44" s="121" t="n"/>
      <c r="K44" s="251" t="n"/>
      <c r="L44" s="450" t="n"/>
      <c r="M44" s="450" t="n"/>
      <c r="N44" s="450" t="n"/>
      <c r="O44" s="450" t="n"/>
      <c r="Q44" s="119">
        <f>IF(OR(H44=47201,H44=47100,H44=47200,H44=47500),L44,0)</f>
        <v/>
      </c>
      <c r="R44" s="119">
        <f>IF(OR(H44=87201,H44=87100,H44=87200,H44=87500),L44,0)</f>
        <v/>
      </c>
    </row>
    <row r="45" ht="15" customHeight="1">
      <c r="A45" s="249">
        <f>IFERROR(VLOOKUP(E45,Tabellen!A:F,4),0)</f>
        <v/>
      </c>
      <c r="B45" s="74" t="n"/>
      <c r="C45" s="74">
        <f>IFERROR(VLOOKUP(E45,Tabellen!A:F,5),0)</f>
        <v/>
      </c>
      <c r="D45" s="249">
        <f>IFERROR(VLOOKUP(E45,Tabellen!A:F,6),0)</f>
        <v/>
      </c>
      <c r="E45" s="449" t="n"/>
      <c r="F45" s="75">
        <f>IF(E45&gt;0,$L$4,0)</f>
        <v/>
      </c>
      <c r="G45" s="249">
        <f>IFERROR(VLOOKUP(E45,Tabellen!A:F,2),0)</f>
        <v/>
      </c>
      <c r="H45" s="64">
        <f>IFERROR(VLOOKUP(E45,Tabellen!A:H,8),0)</f>
        <v/>
      </c>
      <c r="I45" s="250">
        <f>IFERROR(VLOOKUP(H45,Tabellen!H:I,2),0)</f>
        <v/>
      </c>
      <c r="J45" s="121" t="n"/>
      <c r="K45" s="251" t="n"/>
      <c r="L45" s="450" t="n"/>
      <c r="M45" s="450" t="n"/>
      <c r="N45" s="450" t="n"/>
      <c r="O45" s="450" t="n"/>
      <c r="Q45" s="119">
        <f>IF(OR(H45=47201,H45=47100,H45=47200,H45=47500),L45,0)</f>
        <v/>
      </c>
      <c r="R45" s="119">
        <f>IF(OR(H45=87201,H45=87100,H45=87200,H45=87500),L45,0)</f>
        <v/>
      </c>
    </row>
    <row r="46" ht="15" customHeight="1">
      <c r="A46" s="249">
        <f>IFERROR(VLOOKUP(E46,Tabellen!A:F,4),0)</f>
        <v/>
      </c>
      <c r="B46" s="74" t="n"/>
      <c r="C46" s="74">
        <f>IFERROR(VLOOKUP(E46,Tabellen!A:F,5),0)</f>
        <v/>
      </c>
      <c r="D46" s="249">
        <f>IFERROR(VLOOKUP(E46,Tabellen!A:F,6),0)</f>
        <v/>
      </c>
      <c r="E46" s="449" t="n"/>
      <c r="F46" s="75">
        <f>IF(E46&gt;0,$L$4,0)</f>
        <v/>
      </c>
      <c r="G46" s="249">
        <f>IFERROR(VLOOKUP(E46,Tabellen!A:F,2),0)</f>
        <v/>
      </c>
      <c r="H46" s="64">
        <f>IFERROR(VLOOKUP(E46,Tabellen!A:H,8),0)</f>
        <v/>
      </c>
      <c r="I46" s="250">
        <f>IFERROR(VLOOKUP(H46,Tabellen!H:I,2),0)</f>
        <v/>
      </c>
      <c r="J46" s="121" t="n"/>
      <c r="K46" s="251" t="n"/>
      <c r="L46" s="450" t="n"/>
      <c r="M46" s="450" t="n"/>
      <c r="N46" s="450" t="n"/>
      <c r="O46" s="450" t="n"/>
      <c r="Q46" s="119">
        <f>IF(OR(H46=47201,H46=47100,H46=47200,H46=47500),L46,0)</f>
        <v/>
      </c>
      <c r="R46" s="119">
        <f>IF(OR(H46=87201,H46=87100,H46=87200,H46=87500),L46,0)</f>
        <v/>
      </c>
    </row>
    <row r="47" ht="15" customHeight="1">
      <c r="A47" s="249">
        <f>IFERROR(VLOOKUP(E47,Tabellen!A:F,4),0)</f>
        <v/>
      </c>
      <c r="B47" s="74" t="n"/>
      <c r="C47" s="74">
        <f>IFERROR(VLOOKUP(E47,Tabellen!A:F,5),0)</f>
        <v/>
      </c>
      <c r="D47" s="249">
        <f>IFERROR(VLOOKUP(E47,Tabellen!A:F,6),0)</f>
        <v/>
      </c>
      <c r="E47" s="449" t="n"/>
      <c r="F47" s="75">
        <f>IF(E47&gt;0,$L$4,0)</f>
        <v/>
      </c>
      <c r="G47" s="249">
        <f>IFERROR(VLOOKUP(E47,Tabellen!A:F,2),0)</f>
        <v/>
      </c>
      <c r="H47" s="64">
        <f>IFERROR(VLOOKUP(E47,Tabellen!A:H,8),0)</f>
        <v/>
      </c>
      <c r="I47" s="250">
        <f>IFERROR(VLOOKUP(H47,Tabellen!H:I,2),0)</f>
        <v/>
      </c>
      <c r="J47" s="121" t="n"/>
      <c r="K47" s="251" t="n"/>
      <c r="L47" s="450" t="n"/>
      <c r="M47" s="450" t="n"/>
      <c r="N47" s="450" t="n"/>
      <c r="O47" s="450" t="n"/>
      <c r="Q47" s="119">
        <f>IF(OR(H47=47201,H47=47100,H47=47200,H47=47500),L47,0)</f>
        <v/>
      </c>
      <c r="R47" s="119">
        <f>IF(OR(H47=87201,H47=87100,H47=87200,H47=87500),L47,0)</f>
        <v/>
      </c>
    </row>
    <row r="48" ht="15" customHeight="1">
      <c r="A48" s="249">
        <f>IFERROR(VLOOKUP(E48,Tabellen!A:F,4),0)</f>
        <v/>
      </c>
      <c r="B48" s="74" t="n"/>
      <c r="C48" s="74">
        <f>IFERROR(VLOOKUP(E48,Tabellen!A:F,5),0)</f>
        <v/>
      </c>
      <c r="D48" s="249">
        <f>IFERROR(VLOOKUP(E48,Tabellen!A:F,6),0)</f>
        <v/>
      </c>
      <c r="E48" s="449" t="n"/>
      <c r="F48" s="75">
        <f>IF(E48&gt;0,$L$4,0)</f>
        <v/>
      </c>
      <c r="G48" s="249">
        <f>IFERROR(VLOOKUP(E48,Tabellen!A:F,2),0)</f>
        <v/>
      </c>
      <c r="H48" s="64">
        <f>IFERROR(VLOOKUP(E48,Tabellen!A:H,8),0)</f>
        <v/>
      </c>
      <c r="I48" s="250">
        <f>IFERROR(VLOOKUP(H48,Tabellen!H:I,2),0)</f>
        <v/>
      </c>
      <c r="J48" s="121" t="n"/>
      <c r="K48" s="251" t="n"/>
      <c r="L48" s="450" t="n"/>
      <c r="M48" s="450" t="n"/>
      <c r="N48" s="450" t="n"/>
      <c r="O48" s="450" t="n"/>
      <c r="Q48" s="119">
        <f>IF(OR(H48=47201,H48=47100,H48=47200,H48=47500),L48,0)</f>
        <v/>
      </c>
      <c r="R48" s="119">
        <f>IF(OR(H48=87201,H48=87100,H48=87200,H48=87500),L48,0)</f>
        <v/>
      </c>
    </row>
    <row r="49" ht="15" customHeight="1">
      <c r="A49" s="249">
        <f>IFERROR(VLOOKUP(E49,Tabellen!A:F,4),0)</f>
        <v/>
      </c>
      <c r="B49" s="74" t="n"/>
      <c r="C49" s="74">
        <f>IFERROR(VLOOKUP(E49,Tabellen!A:F,5),0)</f>
        <v/>
      </c>
      <c r="D49" s="249">
        <f>IFERROR(VLOOKUP(E49,Tabellen!A:F,6),0)</f>
        <v/>
      </c>
      <c r="E49" s="449" t="n"/>
      <c r="F49" s="75">
        <f>IF(E49&gt;0,$L$4,0)</f>
        <v/>
      </c>
      <c r="G49" s="249">
        <f>IFERROR(VLOOKUP(E49,Tabellen!A:F,2),0)</f>
        <v/>
      </c>
      <c r="H49" s="64">
        <f>IFERROR(VLOOKUP(E49,Tabellen!A:H,8),0)</f>
        <v/>
      </c>
      <c r="I49" s="250">
        <f>IFERROR(VLOOKUP(H49,Tabellen!H:I,2),0)</f>
        <v/>
      </c>
      <c r="J49" s="121" t="n"/>
      <c r="K49" s="251" t="n"/>
      <c r="L49" s="450" t="n"/>
      <c r="M49" s="450" t="n"/>
      <c r="N49" s="450" t="n"/>
      <c r="O49" s="450" t="n"/>
      <c r="Q49" s="119">
        <f>IF(OR(H49=47201,H49=47100,H49=47200,H49=47500),L49,0)</f>
        <v/>
      </c>
      <c r="R49" s="119">
        <f>IF(OR(H49=87201,H49=87100,H49=87200,H49=87500),L49,0)</f>
        <v/>
      </c>
    </row>
    <row r="50" ht="15" customHeight="1">
      <c r="A50" s="249">
        <f>IFERROR(VLOOKUP(E50,Tabellen!A:F,4),0)</f>
        <v/>
      </c>
      <c r="B50" s="74" t="n"/>
      <c r="C50" s="74">
        <f>IFERROR(VLOOKUP(E50,Tabellen!A:F,5),0)</f>
        <v/>
      </c>
      <c r="D50" s="249">
        <f>IFERROR(VLOOKUP(E50,Tabellen!A:F,6),0)</f>
        <v/>
      </c>
      <c r="E50" s="449" t="n"/>
      <c r="F50" s="75">
        <f>IF(E50&gt;0,$L$4,0)</f>
        <v/>
      </c>
      <c r="G50" s="249">
        <f>IFERROR(VLOOKUP(E50,Tabellen!A:F,2),0)</f>
        <v/>
      </c>
      <c r="H50" s="64">
        <f>IFERROR(VLOOKUP(E50,Tabellen!A:H,8),0)</f>
        <v/>
      </c>
      <c r="I50" s="250">
        <f>IFERROR(VLOOKUP(H50,Tabellen!H:I,2),0)</f>
        <v/>
      </c>
      <c r="J50" s="121" t="n"/>
      <c r="K50" s="251" t="n"/>
      <c r="L50" s="450" t="n"/>
      <c r="M50" s="450" t="n"/>
      <c r="N50" s="450" t="n"/>
      <c r="O50" s="450" t="n"/>
      <c r="Q50" s="119">
        <f>IF(OR(H50=47201,H50=47100,H50=47200,H50=47500),L50,0)</f>
        <v/>
      </c>
      <c r="R50" s="119">
        <f>IF(OR(H50=87201,H50=87100,H50=87200,H50=87500),L50,0)</f>
        <v/>
      </c>
    </row>
    <row r="51" ht="15" customHeight="1">
      <c r="A51" s="249">
        <f>IFERROR(VLOOKUP(E51,Tabellen!A:F,4),0)</f>
        <v/>
      </c>
      <c r="B51" s="74" t="n"/>
      <c r="C51" s="74">
        <f>IFERROR(VLOOKUP(E51,Tabellen!A:F,5),0)</f>
        <v/>
      </c>
      <c r="D51" s="249">
        <f>IFERROR(VLOOKUP(E51,Tabellen!A:F,6),0)</f>
        <v/>
      </c>
      <c r="E51" s="449" t="n"/>
      <c r="F51" s="75">
        <f>IF(E51&gt;0,$L$4,0)</f>
        <v/>
      </c>
      <c r="G51" s="249">
        <f>IFERROR(VLOOKUP(E51,Tabellen!A:F,2),0)</f>
        <v/>
      </c>
      <c r="H51" s="64">
        <f>IFERROR(VLOOKUP(E51,Tabellen!A:H,8),0)</f>
        <v/>
      </c>
      <c r="I51" s="250">
        <f>IFERROR(VLOOKUP(H51,Tabellen!H:I,2),0)</f>
        <v/>
      </c>
      <c r="J51" s="121" t="n"/>
      <c r="K51" s="251" t="n"/>
      <c r="L51" s="450" t="n"/>
      <c r="M51" s="450" t="n"/>
      <c r="N51" s="450" t="n"/>
      <c r="O51" s="450" t="n"/>
      <c r="Q51" s="119">
        <f>IF(OR(H51=47201,H51=47100,H51=47200,H51=47500),L51,0)</f>
        <v/>
      </c>
      <c r="R51" s="119">
        <f>IF(OR(H51=87201,H51=87100,H51=87200,H51=87500),L51,0)</f>
        <v/>
      </c>
    </row>
    <row r="52" ht="15" customHeight="1">
      <c r="A52" s="249">
        <f>IFERROR(VLOOKUP(E52,Tabellen!A:F,4),0)</f>
        <v/>
      </c>
      <c r="B52" s="74" t="n"/>
      <c r="C52" s="74">
        <f>IFERROR(VLOOKUP(E52,Tabellen!A:F,5),0)</f>
        <v/>
      </c>
      <c r="D52" s="249">
        <f>IFERROR(VLOOKUP(E52,Tabellen!A:F,6),0)</f>
        <v/>
      </c>
      <c r="E52" s="449" t="n"/>
      <c r="F52" s="75">
        <f>IF(E52&gt;0,$L$4,0)</f>
        <v/>
      </c>
      <c r="G52" s="249">
        <f>IFERROR(VLOOKUP(E52,Tabellen!A:F,2),0)</f>
        <v/>
      </c>
      <c r="H52" s="64">
        <f>IFERROR(VLOOKUP(E52,Tabellen!A:H,8),0)</f>
        <v/>
      </c>
      <c r="I52" s="250">
        <f>IFERROR(VLOOKUP(H52,Tabellen!H:I,2),0)</f>
        <v/>
      </c>
      <c r="J52" s="121" t="n"/>
      <c r="K52" s="251" t="n"/>
      <c r="L52" s="450" t="n"/>
      <c r="M52" s="450" t="n"/>
      <c r="N52" s="450" t="n"/>
      <c r="O52" s="450" t="n"/>
      <c r="Q52" s="119">
        <f>IF(OR(H52=47201,H52=47100,H52=47200,H52=47500),L52,0)</f>
        <v/>
      </c>
      <c r="R52" s="119">
        <f>IF(OR(H52=87201,H52=87100,H52=87200,H52=87500),L52,0)</f>
        <v/>
      </c>
    </row>
    <row r="53" ht="15" customHeight="1">
      <c r="A53" s="249">
        <f>IFERROR(VLOOKUP(E53,Tabellen!A:F,4),0)</f>
        <v/>
      </c>
      <c r="B53" s="74" t="n"/>
      <c r="C53" s="74">
        <f>IFERROR(VLOOKUP(E53,Tabellen!A:F,5),0)</f>
        <v/>
      </c>
      <c r="D53" s="249">
        <f>IFERROR(VLOOKUP(E53,Tabellen!A:F,6),0)</f>
        <v/>
      </c>
      <c r="E53" s="449" t="n"/>
      <c r="F53" s="75">
        <f>IF(E53&gt;0,$L$4,0)</f>
        <v/>
      </c>
      <c r="G53" s="249">
        <f>IFERROR(VLOOKUP(E53,Tabellen!A:F,2),0)</f>
        <v/>
      </c>
      <c r="H53" s="64">
        <f>IFERROR(VLOOKUP(E53,Tabellen!A:H,8),0)</f>
        <v/>
      </c>
      <c r="I53" s="250">
        <f>IFERROR(VLOOKUP(H53,Tabellen!H:I,2),0)</f>
        <v/>
      </c>
      <c r="J53" s="121" t="n"/>
      <c r="K53" s="251" t="n"/>
      <c r="L53" s="450" t="n"/>
      <c r="M53" s="450" t="n"/>
      <c r="N53" s="450" t="n"/>
      <c r="O53" s="450" t="n"/>
      <c r="Q53" s="119">
        <f>IF(OR(H53=47201,H53=47100,H53=47200,H53=47500),L53,0)</f>
        <v/>
      </c>
      <c r="R53" s="119">
        <f>IF(OR(H53=87201,H53=87100,H53=87200,H53=87500),L53,0)</f>
        <v/>
      </c>
    </row>
    <row r="54" ht="15" customHeight="1">
      <c r="A54" s="249">
        <f>IFERROR(VLOOKUP(E54,Tabellen!A:F,4),0)</f>
        <v/>
      </c>
      <c r="B54" s="74" t="n"/>
      <c r="C54" s="74">
        <f>IFERROR(VLOOKUP(E54,Tabellen!A:F,5),0)</f>
        <v/>
      </c>
      <c r="D54" s="249">
        <f>IFERROR(VLOOKUP(E54,Tabellen!A:F,6),0)</f>
        <v/>
      </c>
      <c r="E54" s="449" t="n"/>
      <c r="F54" s="75">
        <f>IF(E54&gt;0,$L$4,0)</f>
        <v/>
      </c>
      <c r="G54" s="249">
        <f>IFERROR(VLOOKUP(E54,Tabellen!A:F,2),0)</f>
        <v/>
      </c>
      <c r="H54" s="64">
        <f>IFERROR(VLOOKUP(E54,Tabellen!A:H,8),0)</f>
        <v/>
      </c>
      <c r="I54" s="250">
        <f>IFERROR(VLOOKUP(H54,Tabellen!H:I,2),0)</f>
        <v/>
      </c>
      <c r="J54" s="121" t="n"/>
      <c r="K54" s="251" t="n"/>
      <c r="L54" s="450" t="n"/>
      <c r="M54" s="450" t="n"/>
      <c r="N54" s="450" t="n"/>
      <c r="O54" s="450" t="n"/>
      <c r="Q54" s="119">
        <f>IF(OR(H54=47201,H54=47100,H54=47200,H54=47500),L54,0)</f>
        <v/>
      </c>
      <c r="R54" s="119">
        <f>IF(OR(H54=87201,H54=87100,H54=87200,H54=87500),L54,0)</f>
        <v/>
      </c>
    </row>
    <row r="55" ht="15" customHeight="1">
      <c r="A55" s="249">
        <f>IFERROR(VLOOKUP(E55,Tabellen!A:F,4),0)</f>
        <v/>
      </c>
      <c r="B55" s="74" t="n"/>
      <c r="C55" s="74">
        <f>IFERROR(VLOOKUP(E55,Tabellen!A:F,5),0)</f>
        <v/>
      </c>
      <c r="D55" s="249">
        <f>IFERROR(VLOOKUP(E55,Tabellen!A:F,6),0)</f>
        <v/>
      </c>
      <c r="E55" s="449" t="n"/>
      <c r="F55" s="75">
        <f>IF(E55&gt;0,$L$4,0)</f>
        <v/>
      </c>
      <c r="G55" s="249">
        <f>IFERROR(VLOOKUP(E55,Tabellen!A:F,2),0)</f>
        <v/>
      </c>
      <c r="H55" s="64">
        <f>IFERROR(VLOOKUP(E55,Tabellen!A:H,8),0)</f>
        <v/>
      </c>
      <c r="I55" s="250">
        <f>IFERROR(VLOOKUP(H55,Tabellen!H:I,2),0)</f>
        <v/>
      </c>
      <c r="J55" s="121" t="n"/>
      <c r="K55" s="251" t="n"/>
      <c r="L55" s="450" t="n"/>
      <c r="M55" s="450" t="n"/>
      <c r="N55" s="450" t="n"/>
      <c r="O55" s="450" t="n"/>
      <c r="Q55" s="119">
        <f>IF(OR(H55=47201,H55=47100,H55=47200,H55=47500),L55,0)</f>
        <v/>
      </c>
      <c r="R55" s="119">
        <f>IF(OR(H55=87201,H55=87100,H55=87200,H55=87500),L55,0)</f>
        <v/>
      </c>
    </row>
    <row r="56" ht="15" customHeight="1">
      <c r="A56" s="249">
        <f>IFERROR(VLOOKUP(E56,Tabellen!A:F,4),0)</f>
        <v/>
      </c>
      <c r="B56" s="74" t="n"/>
      <c r="C56" s="74">
        <f>IFERROR(VLOOKUP(E56,Tabellen!A:F,5),0)</f>
        <v/>
      </c>
      <c r="D56" s="249">
        <f>IFERROR(VLOOKUP(E56,Tabellen!A:F,6),0)</f>
        <v/>
      </c>
      <c r="E56" s="449" t="n"/>
      <c r="F56" s="75">
        <f>IF(E56&gt;0,$L$4,0)</f>
        <v/>
      </c>
      <c r="G56" s="249">
        <f>IFERROR(VLOOKUP(E56,Tabellen!A:F,2),0)</f>
        <v/>
      </c>
      <c r="H56" s="64">
        <f>IFERROR(VLOOKUP(E56,Tabellen!A:H,8),0)</f>
        <v/>
      </c>
      <c r="I56" s="250">
        <f>IFERROR(VLOOKUP(H56,Tabellen!H:I,2),0)</f>
        <v/>
      </c>
      <c r="J56" s="121" t="n"/>
      <c r="K56" s="251" t="n"/>
      <c r="L56" s="450" t="n"/>
      <c r="M56" s="450" t="n"/>
      <c r="N56" s="450" t="n"/>
      <c r="O56" s="450" t="n"/>
      <c r="Q56" s="119">
        <f>IF(OR(H56=47201,H56=47100,H56=47200,H56=47500),L56,0)</f>
        <v/>
      </c>
      <c r="R56" s="119">
        <f>IF(OR(H56=87201,H56=87100,H56=87200,H56=87500),L56,0)</f>
        <v/>
      </c>
    </row>
    <row r="57" ht="15" customHeight="1">
      <c r="A57" s="249">
        <f>IFERROR(VLOOKUP(E57,Tabellen!A:F,4),0)</f>
        <v/>
      </c>
      <c r="B57" s="74" t="n"/>
      <c r="C57" s="74">
        <f>IFERROR(VLOOKUP(E57,Tabellen!A:F,5),0)</f>
        <v/>
      </c>
      <c r="D57" s="249">
        <f>IFERROR(VLOOKUP(E57,Tabellen!A:F,6),0)</f>
        <v/>
      </c>
      <c r="E57" s="449" t="n"/>
      <c r="F57" s="75">
        <f>IF(E57&gt;0,$L$4,0)</f>
        <v/>
      </c>
      <c r="G57" s="249">
        <f>IFERROR(VLOOKUP(E57,Tabellen!A:F,2),0)</f>
        <v/>
      </c>
      <c r="H57" s="64">
        <f>IFERROR(VLOOKUP(E57,Tabellen!A:H,8),0)</f>
        <v/>
      </c>
      <c r="I57" s="250">
        <f>IFERROR(VLOOKUP(H57,Tabellen!H:I,2),0)</f>
        <v/>
      </c>
      <c r="J57" s="121" t="n"/>
      <c r="K57" s="251" t="n"/>
      <c r="L57" s="450" t="n"/>
      <c r="M57" s="450" t="n"/>
      <c r="N57" s="450" t="n"/>
      <c r="O57" s="450" t="n"/>
      <c r="Q57" s="119">
        <f>IF(OR(H57=47201,H57=47100,H57=47200,H57=47500),L57,0)</f>
        <v/>
      </c>
      <c r="R57" s="119">
        <f>IF(OR(H57=87201,H57=87100,H57=87200,H57=87500),L57,0)</f>
        <v/>
      </c>
    </row>
    <row r="58" ht="15" customHeight="1">
      <c r="A58" s="249">
        <f>IFERROR(VLOOKUP(E58,Tabellen!A:F,4),0)</f>
        <v/>
      </c>
      <c r="B58" s="74" t="n"/>
      <c r="C58" s="74">
        <f>IFERROR(VLOOKUP(E58,Tabellen!A:F,5),0)</f>
        <v/>
      </c>
      <c r="D58" s="249">
        <f>IFERROR(VLOOKUP(E58,Tabellen!A:F,6),0)</f>
        <v/>
      </c>
      <c r="E58" s="449" t="n"/>
      <c r="F58" s="75">
        <f>IF(E58&gt;0,$L$4,0)</f>
        <v/>
      </c>
      <c r="G58" s="249">
        <f>IFERROR(VLOOKUP(E58,Tabellen!A:F,2),0)</f>
        <v/>
      </c>
      <c r="H58" s="64">
        <f>IFERROR(VLOOKUP(E58,Tabellen!A:H,8),0)</f>
        <v/>
      </c>
      <c r="I58" s="250">
        <f>IFERROR(VLOOKUP(H58,Tabellen!H:I,2),0)</f>
        <v/>
      </c>
      <c r="J58" s="121" t="n"/>
      <c r="K58" s="251" t="n"/>
      <c r="L58" s="450" t="n"/>
      <c r="M58" s="450" t="n"/>
      <c r="N58" s="450" t="n"/>
      <c r="O58" s="450" t="n"/>
      <c r="Q58" s="119">
        <f>IF(OR(H58=47201,H58=47100,H58=47200,H58=47500),L58,0)</f>
        <v/>
      </c>
      <c r="R58" s="119">
        <f>IF(OR(H58=87201,H58=87100,H58=87200,H58=87500),L58,0)</f>
        <v/>
      </c>
    </row>
    <row r="59" ht="15" customHeight="1">
      <c r="A59" s="249">
        <f>IFERROR(VLOOKUP(E59,Tabellen!A:F,4),0)</f>
        <v/>
      </c>
      <c r="B59" s="74" t="n"/>
      <c r="C59" s="74">
        <f>IFERROR(VLOOKUP(E59,Tabellen!A:F,5),0)</f>
        <v/>
      </c>
      <c r="D59" s="249">
        <f>IFERROR(VLOOKUP(E59,Tabellen!A:F,6),0)</f>
        <v/>
      </c>
      <c r="E59" s="449" t="n"/>
      <c r="F59" s="75">
        <f>IF(E59&gt;0,$L$4,0)</f>
        <v/>
      </c>
      <c r="G59" s="249">
        <f>IFERROR(VLOOKUP(E59,Tabellen!A:F,2),0)</f>
        <v/>
      </c>
      <c r="H59" s="64">
        <f>IFERROR(VLOOKUP(E59,Tabellen!A:H,8),0)</f>
        <v/>
      </c>
      <c r="I59" s="250">
        <f>IFERROR(VLOOKUP(H59,Tabellen!H:I,2),0)</f>
        <v/>
      </c>
      <c r="J59" s="121" t="n"/>
      <c r="K59" s="251" t="n"/>
      <c r="L59" s="450" t="n"/>
      <c r="M59" s="450" t="n"/>
      <c r="N59" s="450" t="n"/>
      <c r="O59" s="450" t="n"/>
      <c r="Q59" s="119">
        <f>IF(OR(H59=47201,H59=47100,H59=47200,H59=47500),L59,0)</f>
        <v/>
      </c>
      <c r="R59" s="119">
        <f>IF(OR(H59=87201,H59=87100,H59=87200,H59=87500),L59,0)</f>
        <v/>
      </c>
    </row>
    <row r="60" ht="15" customHeight="1">
      <c r="A60" s="249">
        <f>IFERROR(VLOOKUP(E60,Tabellen!A:F,4),0)</f>
        <v/>
      </c>
      <c r="B60" s="74" t="n"/>
      <c r="C60" s="74">
        <f>IFERROR(VLOOKUP(E60,Tabellen!A:F,5),0)</f>
        <v/>
      </c>
      <c r="D60" s="249">
        <f>IFERROR(VLOOKUP(E60,Tabellen!A:F,6),0)</f>
        <v/>
      </c>
      <c r="E60" s="449" t="n"/>
      <c r="F60" s="75">
        <f>IF(E60&gt;0,$L$4,0)</f>
        <v/>
      </c>
      <c r="G60" s="249">
        <f>IFERROR(VLOOKUP(E60,Tabellen!A:F,2),0)</f>
        <v/>
      </c>
      <c r="H60" s="64">
        <f>IFERROR(VLOOKUP(E60,Tabellen!A:H,8),0)</f>
        <v/>
      </c>
      <c r="I60" s="250">
        <f>IFERROR(VLOOKUP(H60,Tabellen!H:I,2),0)</f>
        <v/>
      </c>
      <c r="J60" s="121" t="n"/>
      <c r="K60" s="251" t="n"/>
      <c r="L60" s="450" t="n"/>
      <c r="M60" s="450" t="n"/>
      <c r="N60" s="450" t="n"/>
      <c r="O60" s="450" t="n"/>
      <c r="Q60" s="119">
        <f>IF(OR(H60=47201,H60=47100,H60=47200,H60=47500),L60,0)</f>
        <v/>
      </c>
      <c r="R60" s="119">
        <f>IF(OR(H60=87201,H60=87100,H60=87200,H60=87500),L60,0)</f>
        <v/>
      </c>
    </row>
    <row r="61" ht="15" customHeight="1">
      <c r="A61" s="249">
        <f>IFERROR(VLOOKUP(E61,Tabellen!A:F,4),0)</f>
        <v/>
      </c>
      <c r="B61" s="74" t="n"/>
      <c r="C61" s="74">
        <f>IFERROR(VLOOKUP(E61,Tabellen!A:F,5),0)</f>
        <v/>
      </c>
      <c r="D61" s="249">
        <f>IFERROR(VLOOKUP(E61,Tabellen!A:F,6),0)</f>
        <v/>
      </c>
      <c r="E61" s="449" t="n"/>
      <c r="F61" s="75">
        <f>IF(E61&gt;0,$L$4,0)</f>
        <v/>
      </c>
      <c r="G61" s="249">
        <f>IFERROR(VLOOKUP(E61,Tabellen!A:F,2),0)</f>
        <v/>
      </c>
      <c r="H61" s="64">
        <f>IFERROR(VLOOKUP(E61,Tabellen!A:H,8),0)</f>
        <v/>
      </c>
      <c r="I61" s="250">
        <f>IFERROR(VLOOKUP(H61,Tabellen!H:I,2),0)</f>
        <v/>
      </c>
      <c r="J61" s="121" t="n"/>
      <c r="K61" s="251" t="n"/>
      <c r="L61" s="450" t="n"/>
      <c r="M61" s="450" t="n"/>
      <c r="N61" s="450" t="n"/>
      <c r="O61" s="450" t="n"/>
      <c r="Q61" s="119">
        <f>IF(OR(H61=47201,H61=47100,H61=47200,H61=47500),L61,0)</f>
        <v/>
      </c>
      <c r="R61" s="119">
        <f>IF(OR(H61=87201,H61=87100,H61=87200,H61=87500),L61,0)</f>
        <v/>
      </c>
    </row>
    <row r="62" ht="15" customHeight="1">
      <c r="A62" s="249">
        <f>IFERROR(VLOOKUP(E62,Tabellen!A:F,4),0)</f>
        <v/>
      </c>
      <c r="B62" s="74" t="n"/>
      <c r="C62" s="74">
        <f>IFERROR(VLOOKUP(E62,Tabellen!A:F,5),0)</f>
        <v/>
      </c>
      <c r="D62" s="249">
        <f>IFERROR(VLOOKUP(E62,Tabellen!A:F,6),0)</f>
        <v/>
      </c>
      <c r="E62" s="449" t="n"/>
      <c r="F62" s="75">
        <f>IF(E62&gt;0,$L$4,0)</f>
        <v/>
      </c>
      <c r="G62" s="249">
        <f>IFERROR(VLOOKUP(E62,Tabellen!A:F,2),0)</f>
        <v/>
      </c>
      <c r="H62" s="64">
        <f>IFERROR(VLOOKUP(E62,Tabellen!A:H,8),0)</f>
        <v/>
      </c>
      <c r="I62" s="250">
        <f>IFERROR(VLOOKUP(H62,Tabellen!H:I,2),0)</f>
        <v/>
      </c>
      <c r="J62" s="121" t="n"/>
      <c r="K62" s="251" t="n"/>
      <c r="L62" s="450" t="n"/>
      <c r="M62" s="450" t="n"/>
      <c r="N62" s="450" t="n"/>
      <c r="O62" s="450" t="n"/>
      <c r="Q62" s="119">
        <f>IF(OR(H62=47201,H62=47100,H62=47200,H62=47500),L62,0)</f>
        <v/>
      </c>
      <c r="R62" s="119">
        <f>IF(OR(H62=87201,H62=87100,H62=87200,H62=87500),L62,0)</f>
        <v/>
      </c>
    </row>
    <row r="63" ht="15" customHeight="1">
      <c r="A63" s="249">
        <f>IFERROR(VLOOKUP(E63,Tabellen!A:F,4),0)</f>
        <v/>
      </c>
      <c r="B63" s="74" t="n"/>
      <c r="C63" s="74">
        <f>IFERROR(VLOOKUP(E63,Tabellen!A:F,5),0)</f>
        <v/>
      </c>
      <c r="D63" s="249">
        <f>IFERROR(VLOOKUP(E63,Tabellen!A:F,6),0)</f>
        <v/>
      </c>
      <c r="E63" s="449" t="n"/>
      <c r="F63" s="75">
        <f>IF(E63&gt;0,$L$4,0)</f>
        <v/>
      </c>
      <c r="G63" s="249">
        <f>IFERROR(VLOOKUP(E63,Tabellen!A:F,2),0)</f>
        <v/>
      </c>
      <c r="H63" s="64">
        <f>IFERROR(VLOOKUP(E63,Tabellen!A:H,8),0)</f>
        <v/>
      </c>
      <c r="I63" s="250">
        <f>IFERROR(VLOOKUP(H63,Tabellen!H:I,2),0)</f>
        <v/>
      </c>
      <c r="J63" s="121" t="n"/>
      <c r="K63" s="251" t="n"/>
      <c r="L63" s="450" t="n"/>
      <c r="M63" s="450" t="n"/>
      <c r="N63" s="450" t="n"/>
      <c r="O63" s="450" t="n"/>
      <c r="Q63" s="119">
        <f>IF(OR(H63=47201,H63=47100,H63=47200,H63=47500),L63,0)</f>
        <v/>
      </c>
      <c r="R63" s="119">
        <f>IF(OR(H63=87201,H63=87100,H63=87200,H63=87500),L63,0)</f>
        <v/>
      </c>
    </row>
    <row r="64" ht="15" customHeight="1">
      <c r="A64" s="249">
        <f>IFERROR(VLOOKUP(E64,Tabellen!A:F,4),0)</f>
        <v/>
      </c>
      <c r="B64" s="74" t="n"/>
      <c r="C64" s="74">
        <f>IFERROR(VLOOKUP(E64,Tabellen!A:F,5),0)</f>
        <v/>
      </c>
      <c r="D64" s="249">
        <f>IFERROR(VLOOKUP(E64,Tabellen!A:F,6),0)</f>
        <v/>
      </c>
      <c r="E64" s="449" t="n"/>
      <c r="F64" s="75">
        <f>IF(E64&gt;0,$L$4,0)</f>
        <v/>
      </c>
      <c r="G64" s="249">
        <f>IFERROR(VLOOKUP(E64,Tabellen!A:F,2),0)</f>
        <v/>
      </c>
      <c r="H64" s="64">
        <f>IFERROR(VLOOKUP(E64,Tabellen!A:H,8),0)</f>
        <v/>
      </c>
      <c r="I64" s="250">
        <f>IFERROR(VLOOKUP(H64,Tabellen!H:I,2),0)</f>
        <v/>
      </c>
      <c r="J64" s="121" t="n"/>
      <c r="K64" s="251" t="n"/>
      <c r="L64" s="450" t="n"/>
      <c r="M64" s="450" t="n"/>
      <c r="N64" s="450" t="n"/>
      <c r="O64" s="450" t="n"/>
      <c r="Q64" s="119">
        <f>IF(OR(H64=47201,H64=47100,H64=47200,H64=47500),L64,0)</f>
        <v/>
      </c>
      <c r="R64" s="119">
        <f>IF(OR(H64=87201,H64=87100,H64=87200,H64=87500),L64,0)</f>
        <v/>
      </c>
    </row>
    <row r="65" ht="15" customHeight="1">
      <c r="A65" s="249">
        <f>IFERROR(VLOOKUP(E65,Tabellen!A:F,4),0)</f>
        <v/>
      </c>
      <c r="B65" s="74" t="n"/>
      <c r="C65" s="74">
        <f>IFERROR(VLOOKUP(E65,Tabellen!A:F,5),0)</f>
        <v/>
      </c>
      <c r="D65" s="249">
        <f>IFERROR(VLOOKUP(E65,Tabellen!A:F,6),0)</f>
        <v/>
      </c>
      <c r="E65" s="449" t="n"/>
      <c r="F65" s="75">
        <f>IF(E65&gt;0,$L$4,0)</f>
        <v/>
      </c>
      <c r="G65" s="249">
        <f>IFERROR(VLOOKUP(E65,Tabellen!A:F,2),0)</f>
        <v/>
      </c>
      <c r="H65" s="64">
        <f>IFERROR(VLOOKUP(E65,Tabellen!A:H,8),0)</f>
        <v/>
      </c>
      <c r="I65" s="250">
        <f>IFERROR(VLOOKUP(H65,Tabellen!H:I,2),0)</f>
        <v/>
      </c>
      <c r="J65" s="121" t="n"/>
      <c r="K65" s="251" t="n"/>
      <c r="L65" s="450" t="n"/>
      <c r="M65" s="450" t="n"/>
      <c r="N65" s="450" t="n"/>
      <c r="O65" s="450" t="n"/>
      <c r="Q65" s="119">
        <f>IF(OR(H65=47201,H65=47100,H65=47200,H65=47500),L65,0)</f>
        <v/>
      </c>
      <c r="R65" s="119">
        <f>IF(OR(H65=87201,H65=87100,H65=87200,H65=87500),L65,0)</f>
        <v/>
      </c>
    </row>
    <row r="66" ht="15" customHeight="1">
      <c r="A66" s="249">
        <f>IFERROR(VLOOKUP(E66,Tabellen!A:F,4),0)</f>
        <v/>
      </c>
      <c r="B66" s="74" t="n"/>
      <c r="C66" s="74">
        <f>IFERROR(VLOOKUP(E66,Tabellen!A:F,5),0)</f>
        <v/>
      </c>
      <c r="D66" s="249">
        <f>IFERROR(VLOOKUP(E66,Tabellen!A:F,6),0)</f>
        <v/>
      </c>
      <c r="E66" s="449" t="n"/>
      <c r="F66" s="75">
        <f>IF(E66&gt;0,$L$4,0)</f>
        <v/>
      </c>
      <c r="G66" s="249">
        <f>IFERROR(VLOOKUP(E66,Tabellen!A:F,2),0)</f>
        <v/>
      </c>
      <c r="H66" s="64">
        <f>IFERROR(VLOOKUP(E66,Tabellen!A:H,8),0)</f>
        <v/>
      </c>
      <c r="I66" s="250">
        <f>IFERROR(VLOOKUP(H66,Tabellen!H:I,2),0)</f>
        <v/>
      </c>
      <c r="J66" s="121" t="n"/>
      <c r="K66" s="251" t="n"/>
      <c r="L66" s="450" t="n"/>
      <c r="M66" s="450" t="n"/>
      <c r="N66" s="450" t="n"/>
      <c r="O66" s="450" t="n"/>
      <c r="Q66" s="119">
        <f>IF(OR(H66=47201,H66=47100,H66=47200,H66=47500),L66,0)</f>
        <v/>
      </c>
      <c r="R66" s="119">
        <f>IF(OR(H66=87201,H66=87100,H66=87200,H66=87500),L66,0)</f>
        <v/>
      </c>
    </row>
    <row r="67" ht="15" customHeight="1">
      <c r="A67" s="249">
        <f>IFERROR(VLOOKUP(E67,Tabellen!A:F,4),0)</f>
        <v/>
      </c>
      <c r="B67" s="74" t="n"/>
      <c r="C67" s="74">
        <f>IFERROR(VLOOKUP(E67,Tabellen!A:F,5),0)</f>
        <v/>
      </c>
      <c r="D67" s="249">
        <f>IFERROR(VLOOKUP(E67,Tabellen!A:F,6),0)</f>
        <v/>
      </c>
      <c r="E67" s="449" t="n"/>
      <c r="F67" s="75">
        <f>IF(E67&gt;0,$L$4,0)</f>
        <v/>
      </c>
      <c r="G67" s="249">
        <f>IFERROR(VLOOKUP(E67,Tabellen!A:F,2),0)</f>
        <v/>
      </c>
      <c r="H67" s="64">
        <f>IFERROR(VLOOKUP(E67,Tabellen!A:H,8),0)</f>
        <v/>
      </c>
      <c r="I67" s="250">
        <f>IFERROR(VLOOKUP(H67,Tabellen!H:I,2),0)</f>
        <v/>
      </c>
      <c r="J67" s="121" t="n"/>
      <c r="K67" s="251" t="n"/>
      <c r="L67" s="450" t="n"/>
      <c r="M67" s="450" t="n"/>
      <c r="N67" s="450" t="n"/>
      <c r="O67" s="450" t="n"/>
      <c r="Q67" s="119">
        <f>IF(OR(H67=47201,H67=47100,H67=47200,H67=47500),L67,0)</f>
        <v/>
      </c>
      <c r="R67" s="119">
        <f>IF(OR(H67=87201,H67=87100,H67=87200,H67=87500),L67,0)</f>
        <v/>
      </c>
    </row>
    <row r="68" ht="15" customHeight="1">
      <c r="A68" s="249">
        <f>IFERROR(VLOOKUP(E68,Tabellen!A:F,4),0)</f>
        <v/>
      </c>
      <c r="B68" s="74" t="n"/>
      <c r="C68" s="74">
        <f>IFERROR(VLOOKUP(E68,Tabellen!A:F,5),0)</f>
        <v/>
      </c>
      <c r="D68" s="249">
        <f>IFERROR(VLOOKUP(E68,Tabellen!A:F,6),0)</f>
        <v/>
      </c>
      <c r="E68" s="449" t="n"/>
      <c r="F68" s="75">
        <f>IF(E68&gt;0,$L$4,0)</f>
        <v/>
      </c>
      <c r="G68" s="249">
        <f>IFERROR(VLOOKUP(E68,Tabellen!A:F,2),0)</f>
        <v/>
      </c>
      <c r="H68" s="64">
        <f>IFERROR(VLOOKUP(E68,Tabellen!A:H,8),0)</f>
        <v/>
      </c>
      <c r="I68" s="250">
        <f>IFERROR(VLOOKUP(H68,Tabellen!H:I,2),0)</f>
        <v/>
      </c>
      <c r="J68" s="121" t="n"/>
      <c r="K68" s="251" t="n"/>
      <c r="L68" s="450" t="n"/>
      <c r="M68" s="450" t="n"/>
      <c r="N68" s="450" t="n"/>
      <c r="O68" s="450" t="n"/>
      <c r="Q68" s="119">
        <f>IF(OR(H68=47201,H68=47100,H68=47200,H68=47500),L68,0)</f>
        <v/>
      </c>
      <c r="R68" s="119">
        <f>IF(OR(H68=87201,H68=87100,H68=87200,H68=87500),L68,0)</f>
        <v/>
      </c>
    </row>
    <row r="69" ht="15" customHeight="1">
      <c r="A69" s="249">
        <f>IFERROR(VLOOKUP(E69,Tabellen!A:F,4),0)</f>
        <v/>
      </c>
      <c r="B69" s="74" t="n"/>
      <c r="C69" s="74">
        <f>IFERROR(VLOOKUP(E69,Tabellen!A:F,5),0)</f>
        <v/>
      </c>
      <c r="D69" s="249">
        <f>IFERROR(VLOOKUP(E69,Tabellen!A:F,6),0)</f>
        <v/>
      </c>
      <c r="E69" s="449" t="n"/>
      <c r="F69" s="75">
        <f>IF(E69&gt;0,$L$4,0)</f>
        <v/>
      </c>
      <c r="G69" s="249">
        <f>IFERROR(VLOOKUP(E69,Tabellen!A:F,2),0)</f>
        <v/>
      </c>
      <c r="H69" s="64">
        <f>IFERROR(VLOOKUP(E69,Tabellen!A:H,8),0)</f>
        <v/>
      </c>
      <c r="I69" s="250">
        <f>IFERROR(VLOOKUP(H69,Tabellen!H:I,2),0)</f>
        <v/>
      </c>
      <c r="J69" s="121" t="n"/>
      <c r="K69" s="251" t="n"/>
      <c r="L69" s="450" t="n"/>
      <c r="M69" s="450" t="n"/>
      <c r="N69" s="450" t="n"/>
      <c r="O69" s="450" t="n"/>
      <c r="Q69" s="119">
        <f>IF(OR(H69=47201,H69=47100,H69=47200,H69=47500),L69,0)</f>
        <v/>
      </c>
      <c r="R69" s="119">
        <f>IF(OR(H69=87201,H69=87100,H69=87200,H69=87500),L69,0)</f>
        <v/>
      </c>
    </row>
    <row r="70" ht="15" customHeight="1">
      <c r="A70" s="249">
        <f>IFERROR(VLOOKUP(E70,Tabellen!A:F,4),0)</f>
        <v/>
      </c>
      <c r="B70" s="74" t="n"/>
      <c r="C70" s="74">
        <f>IFERROR(VLOOKUP(E70,Tabellen!A:F,5),0)</f>
        <v/>
      </c>
      <c r="D70" s="249">
        <f>IFERROR(VLOOKUP(E70,Tabellen!A:F,6),0)</f>
        <v/>
      </c>
      <c r="E70" s="449" t="n"/>
      <c r="F70" s="75">
        <f>IF(E70&gt;0,$L$4,0)</f>
        <v/>
      </c>
      <c r="G70" s="249">
        <f>IFERROR(VLOOKUP(E70,Tabellen!A:F,2),0)</f>
        <v/>
      </c>
      <c r="H70" s="64">
        <f>IFERROR(VLOOKUP(E70,Tabellen!A:H,8),0)</f>
        <v/>
      </c>
      <c r="I70" s="250">
        <f>IFERROR(VLOOKUP(H70,Tabellen!H:I,2),0)</f>
        <v/>
      </c>
      <c r="J70" s="121" t="n"/>
      <c r="K70" s="251" t="n"/>
      <c r="L70" s="450" t="n"/>
      <c r="M70" s="450" t="n"/>
      <c r="N70" s="450" t="n"/>
      <c r="O70" s="450" t="n"/>
      <c r="Q70" s="119">
        <f>IF(OR(H70=47201,H70=47100,H70=47200,H70=47500),L70,0)</f>
        <v/>
      </c>
      <c r="R70" s="119">
        <f>IF(OR(H70=87201,H70=87100,H70=87200,H70=87500),L70,0)</f>
        <v/>
      </c>
    </row>
    <row r="71" ht="15" customHeight="1">
      <c r="A71" s="249">
        <f>IFERROR(VLOOKUP(E71,Tabellen!A:F,4),0)</f>
        <v/>
      </c>
      <c r="B71" s="74" t="n"/>
      <c r="C71" s="74">
        <f>IFERROR(VLOOKUP(E71,Tabellen!A:F,5),0)</f>
        <v/>
      </c>
      <c r="D71" s="249">
        <f>IFERROR(VLOOKUP(E71,Tabellen!A:F,6),0)</f>
        <v/>
      </c>
      <c r="E71" s="449" t="n"/>
      <c r="F71" s="75">
        <f>IF(E71&gt;0,$L$4,0)</f>
        <v/>
      </c>
      <c r="G71" s="249">
        <f>IFERROR(VLOOKUP(E71,Tabellen!A:F,2),0)</f>
        <v/>
      </c>
      <c r="H71" s="64">
        <f>IFERROR(VLOOKUP(E71,Tabellen!A:H,8),0)</f>
        <v/>
      </c>
      <c r="I71" s="250">
        <f>IFERROR(VLOOKUP(H71,Tabellen!H:I,2),0)</f>
        <v/>
      </c>
      <c r="J71" s="121" t="n"/>
      <c r="K71" s="251" t="n"/>
      <c r="L71" s="450" t="n"/>
      <c r="M71" s="450" t="n"/>
      <c r="N71" s="450" t="n"/>
      <c r="O71" s="450" t="n"/>
      <c r="Q71" s="119">
        <f>IF(OR(H71=47201,H71=47100,H71=47200,H71=47500),L71,0)</f>
        <v/>
      </c>
      <c r="R71" s="119">
        <f>IF(OR(H71=87201,H71=87100,H71=87200,H71=87500),L71,0)</f>
        <v/>
      </c>
    </row>
    <row r="72" ht="15" customHeight="1">
      <c r="A72" s="249">
        <f>IFERROR(VLOOKUP(E72,Tabellen!A:F,4),0)</f>
        <v/>
      </c>
      <c r="B72" s="74" t="n"/>
      <c r="C72" s="74">
        <f>IFERROR(VLOOKUP(E72,Tabellen!A:F,5),0)</f>
        <v/>
      </c>
      <c r="D72" s="249">
        <f>IFERROR(VLOOKUP(E72,Tabellen!A:F,6),0)</f>
        <v/>
      </c>
      <c r="E72" s="449" t="n"/>
      <c r="F72" s="75">
        <f>IF(E72&gt;0,$L$4,0)</f>
        <v/>
      </c>
      <c r="G72" s="249">
        <f>IFERROR(VLOOKUP(E72,Tabellen!A:F,2),0)</f>
        <v/>
      </c>
      <c r="H72" s="64">
        <f>IFERROR(VLOOKUP(E72,Tabellen!A:H,8),0)</f>
        <v/>
      </c>
      <c r="I72" s="250">
        <f>IFERROR(VLOOKUP(H72,Tabellen!H:I,2),0)</f>
        <v/>
      </c>
      <c r="J72" s="121" t="n"/>
      <c r="K72" s="251" t="n"/>
      <c r="L72" s="450" t="n"/>
      <c r="M72" s="450" t="n"/>
      <c r="N72" s="450" t="n"/>
      <c r="O72" s="450" t="n"/>
      <c r="Q72" s="119">
        <f>IF(OR(H72=47201,H72=47100,H72=47200,H72=47500),L72,0)</f>
        <v/>
      </c>
      <c r="R72" s="119">
        <f>IF(OR(H72=87201,H72=87100,H72=87200,H72=87500),L72,0)</f>
        <v/>
      </c>
    </row>
    <row r="73" ht="15" customHeight="1">
      <c r="A73" s="249">
        <f>IFERROR(VLOOKUP(E73,Tabellen!A:F,4),0)</f>
        <v/>
      </c>
      <c r="B73" s="74" t="n"/>
      <c r="C73" s="74">
        <f>IFERROR(VLOOKUP(E73,Tabellen!A:F,5),0)</f>
        <v/>
      </c>
      <c r="D73" s="249">
        <f>IFERROR(VLOOKUP(E73,Tabellen!A:F,6),0)</f>
        <v/>
      </c>
      <c r="E73" s="449" t="n"/>
      <c r="F73" s="75">
        <f>IF(E73&gt;0,$L$4,0)</f>
        <v/>
      </c>
      <c r="G73" s="249">
        <f>IFERROR(VLOOKUP(E73,Tabellen!A:F,2),0)</f>
        <v/>
      </c>
      <c r="H73" s="64">
        <f>IFERROR(VLOOKUP(E73,Tabellen!A:H,8),0)</f>
        <v/>
      </c>
      <c r="I73" s="250">
        <f>IFERROR(VLOOKUP(H73,Tabellen!H:I,2),0)</f>
        <v/>
      </c>
      <c r="J73" s="121" t="n"/>
      <c r="K73" s="251" t="n"/>
      <c r="L73" s="450" t="n"/>
      <c r="M73" s="450" t="n"/>
      <c r="N73" s="450" t="n"/>
      <c r="O73" s="450" t="n"/>
      <c r="Q73" s="119">
        <f>IF(OR(H73=47201,H73=47100,H73=47200,H73=47500),L73,0)</f>
        <v/>
      </c>
      <c r="R73" s="119">
        <f>IF(OR(H73=87201,H73=87100,H73=87200,H73=87500),L73,0)</f>
        <v/>
      </c>
    </row>
    <row r="74" ht="15" customHeight="1">
      <c r="A74" s="249">
        <f>IFERROR(VLOOKUP(E74,Tabellen!A:F,4),0)</f>
        <v/>
      </c>
      <c r="B74" s="74" t="n"/>
      <c r="C74" s="74">
        <f>IFERROR(VLOOKUP(E74,Tabellen!A:F,5),0)</f>
        <v/>
      </c>
      <c r="D74" s="249">
        <f>IFERROR(VLOOKUP(E74,Tabellen!A:F,6),0)</f>
        <v/>
      </c>
      <c r="E74" s="449" t="n"/>
      <c r="F74" s="75">
        <f>IF(E74&gt;0,$L$4,0)</f>
        <v/>
      </c>
      <c r="G74" s="249">
        <f>IFERROR(VLOOKUP(E74,Tabellen!A:F,2),0)</f>
        <v/>
      </c>
      <c r="H74" s="64">
        <f>IFERROR(VLOOKUP(E74,Tabellen!A:H,8),0)</f>
        <v/>
      </c>
      <c r="I74" s="250">
        <f>IFERROR(VLOOKUP(H74,Tabellen!H:I,2),0)</f>
        <v/>
      </c>
      <c r="J74" s="121" t="n"/>
      <c r="K74" s="251" t="n"/>
      <c r="L74" s="451" t="n"/>
      <c r="M74" s="451" t="n"/>
      <c r="N74" s="451" t="n"/>
      <c r="O74" s="451" t="n"/>
      <c r="Q74" s="119">
        <f>IF(OR(H74=47201,H74=47100,H74=47200,H74=47500),L74,0)</f>
        <v/>
      </c>
      <c r="R74" s="119">
        <f>IF(OR(H74=87201,H74=87100,H74=87200,H74=87500),L74,0)</f>
        <v/>
      </c>
    </row>
    <row r="75" ht="15" customFormat="1" customHeight="1" s="132">
      <c r="A75" s="341" t="inlineStr">
        <is>
          <t>Saldo inkomsten en uitgaven</t>
        </is>
      </c>
      <c r="B75" s="342" t="n"/>
      <c r="C75" s="342" t="n"/>
      <c r="D75" s="341" t="n"/>
      <c r="E75" s="342" t="n"/>
      <c r="F75" s="343" t="n"/>
      <c r="G75" s="344" t="n"/>
      <c r="H75" s="345" t="n"/>
      <c r="I75" s="346" t="n"/>
      <c r="J75" s="343" t="n"/>
      <c r="K75" s="347" t="n"/>
      <c r="L75" s="348">
        <f>SUM(L18:L74)</f>
        <v/>
      </c>
      <c r="M75" s="348">
        <f>SUM(M18:M74)</f>
        <v/>
      </c>
      <c r="N75" s="348">
        <f>SUM(N18:N74)</f>
        <v/>
      </c>
      <c r="O75" s="348">
        <f>SUM(O18:O74)</f>
        <v/>
      </c>
      <c r="P75" s="318" t="n"/>
      <c r="Q75" s="349">
        <f>IF(OR(H75=47201,H75=47100,H75=47200,H75=47500),L75,0)</f>
        <v/>
      </c>
      <c r="R75" s="349">
        <f>IF(OR(H75=87201,H75=87100,H75=87200,H75=87500),L75,0)</f>
        <v/>
      </c>
      <c r="S75" s="318" t="n"/>
      <c r="T75" s="318" t="n"/>
    </row>
    <row r="76" ht="6" customHeight="1">
      <c r="A76" s="244" t="n"/>
      <c r="B76" s="71" t="n"/>
      <c r="C76" s="71" t="n"/>
      <c r="D76" s="244" t="n"/>
      <c r="E76" s="71" t="n"/>
      <c r="F76" s="113" t="n"/>
      <c r="G76" s="245" t="n"/>
      <c r="H76" s="63" t="n"/>
      <c r="I76" s="246" t="n"/>
      <c r="J76" s="73" t="n"/>
      <c r="K76" s="247" t="n"/>
      <c r="L76" s="116" t="n"/>
      <c r="M76" s="116" t="n"/>
      <c r="N76" s="116" t="n"/>
      <c r="O76" s="116" t="n"/>
      <c r="Q76" s="119">
        <f>IF(OR(H76=47201,H76=47100,H76=47200,H76=47500),L76,0)</f>
        <v/>
      </c>
      <c r="R76" s="119">
        <f>IF(OR(H76=87201,H76=87100,H76=87200,H76=87500),L76,0)</f>
        <v/>
      </c>
    </row>
    <row r="77" ht="16" customHeight="1">
      <c r="A77" s="452" t="inlineStr">
        <is>
          <t>B. Dekking uitgaven en inkomsten</t>
        </is>
      </c>
      <c r="B77" s="453" t="n"/>
      <c r="C77" s="453" t="n"/>
      <c r="D77" s="452" t="n"/>
      <c r="E77" s="453" t="n"/>
      <c r="F77" s="453" t="n"/>
      <c r="G77" s="452" t="n"/>
      <c r="H77" s="454" t="n"/>
      <c r="I77" s="455" t="n"/>
      <c r="J77" s="453" t="n"/>
      <c r="K77" s="456" t="n"/>
      <c r="L77" s="457" t="n"/>
      <c r="M77" s="457" t="n"/>
      <c r="N77" s="457" t="n"/>
      <c r="O77" s="457" t="n"/>
      <c r="P77" s="458" t="n"/>
      <c r="Q77" s="459" t="inlineStr">
        <is>
          <t>→ reserves, voorzieningen en overige dekkingsbronnen HIER invullen</t>
        </is>
      </c>
      <c r="R77" s="459">
        <f>IF(OR(H77=87201,H77=87100,H77=87200,H77=87500),L77,0)</f>
        <v/>
      </c>
      <c r="S77" s="357" t="n"/>
      <c r="T77" s="357" t="n"/>
    </row>
    <row r="78" ht="15" customHeight="1">
      <c r="A78" s="249">
        <f>IFERROR(VLOOKUP(E78,Tabellen!A:F,4),0)</f>
        <v/>
      </c>
      <c r="B78" s="199" t="n"/>
      <c r="C78" s="120">
        <f>IFERROR(VLOOKUP(E78,Tabellen!A:F,5),0)</f>
        <v/>
      </c>
      <c r="D78" s="249">
        <f>IFERROR(VLOOKUP(E78,Tabellen!A:F,6),0)</f>
        <v/>
      </c>
      <c r="E78" s="449" t="n"/>
      <c r="F78" s="75">
        <f>IF(E78&gt;0,$L$4,0)</f>
        <v/>
      </c>
      <c r="G78" s="256">
        <f>IFERROR(VLOOKUP(E78,Tabellen!A:F,2),0)</f>
        <v/>
      </c>
      <c r="H78" s="66">
        <f>IFERROR(VLOOKUP(E78,Tabellen!A:H,8),0)</f>
        <v/>
      </c>
      <c r="I78" s="250">
        <f>IFERROR(VLOOKUP(H78,Tabellen!H:I,2),0)</f>
        <v/>
      </c>
      <c r="J78" s="121" t="n"/>
      <c r="K78" s="251" t="n"/>
      <c r="L78" s="450" t="n"/>
      <c r="M78" s="450" t="n"/>
      <c r="N78" s="450" t="n"/>
      <c r="O78" s="450" t="n"/>
      <c r="Q78" s="119">
        <f>IF(OR(H78=47201,H78=47100,H78=47200,H78=47500),L78,0)</f>
        <v/>
      </c>
      <c r="R78" s="119">
        <f>IF(OR(H78=87201,H78=87100,H78=87200,H78=87500),L78,0)</f>
        <v/>
      </c>
    </row>
    <row r="79" ht="15" customHeight="1">
      <c r="A79" s="249">
        <f>IFERROR(VLOOKUP(E79,Tabellen!A:F,4),0)</f>
        <v/>
      </c>
      <c r="B79" s="199" t="n"/>
      <c r="C79" s="120">
        <f>IFERROR(VLOOKUP(E79,Tabellen!A:F,5),0)</f>
        <v/>
      </c>
      <c r="D79" s="249">
        <f>IFERROR(VLOOKUP(E79,Tabellen!A:F,6),0)</f>
        <v/>
      </c>
      <c r="E79" s="449" t="n"/>
      <c r="F79" s="75">
        <f>IF(E79&gt;0,$L$4,0)</f>
        <v/>
      </c>
      <c r="G79" s="256">
        <f>IFERROR(VLOOKUP(E79,Tabellen!A:F,2),0)</f>
        <v/>
      </c>
      <c r="H79" s="66">
        <f>IFERROR(VLOOKUP(E79,Tabellen!A:H,8),0)</f>
        <v/>
      </c>
      <c r="I79" s="250">
        <f>IFERROR(VLOOKUP(H79,Tabellen!H:I,2),0)</f>
        <v/>
      </c>
      <c r="J79" s="121" t="n"/>
      <c r="K79" s="251" t="n"/>
      <c r="L79" s="450" t="n"/>
      <c r="M79" s="450" t="n"/>
      <c r="N79" s="450" t="n"/>
      <c r="O79" s="450" t="n"/>
      <c r="Q79" s="119">
        <f>IF(OR(H79=47201,H79=47100,H79=47200,H79=47500),L79,0)</f>
        <v/>
      </c>
      <c r="R79" s="119">
        <f>IF(OR(H79=87201,H79=87100,H79=87200,H79=87500),L79,0)</f>
        <v/>
      </c>
    </row>
    <row r="80" ht="15" customHeight="1">
      <c r="A80" s="249">
        <f>IFERROR(VLOOKUP(E80,Tabellen!A:F,4),0)</f>
        <v/>
      </c>
      <c r="B80" s="199" t="n"/>
      <c r="C80" s="120">
        <f>IFERROR(VLOOKUP(E80,Tabellen!A:F,5),0)</f>
        <v/>
      </c>
      <c r="D80" s="249">
        <f>IFERROR(VLOOKUP(E80,Tabellen!A:F,6),0)</f>
        <v/>
      </c>
      <c r="E80" s="449" t="n"/>
      <c r="F80" s="75">
        <f>IF(E80&gt;0,$L$4,0)</f>
        <v/>
      </c>
      <c r="G80" s="256">
        <f>IFERROR(VLOOKUP(E80,Tabellen!A:F,2),0)</f>
        <v/>
      </c>
      <c r="H80" s="66">
        <f>IFERROR(VLOOKUP(E80,Tabellen!A:H,8),0)</f>
        <v/>
      </c>
      <c r="I80" s="250">
        <f>IFERROR(VLOOKUP(H80,Tabellen!H:I,2),0)</f>
        <v/>
      </c>
      <c r="J80" s="121" t="n"/>
      <c r="K80" s="251" t="n"/>
      <c r="L80" s="450" t="n"/>
      <c r="M80" s="450" t="n"/>
      <c r="N80" s="450" t="n"/>
      <c r="O80" s="450" t="n"/>
      <c r="Q80" s="119">
        <f>IF(OR(H80=47201,H80=47100,H80=47200,H80=47500),L80,0)</f>
        <v/>
      </c>
      <c r="R80" s="119">
        <f>IF(OR(H80=87201,H80=87100,H80=87200,H80=87500),L80,0)</f>
        <v/>
      </c>
    </row>
    <row r="81" ht="15" customHeight="1">
      <c r="A81" s="249">
        <f>IFERROR(VLOOKUP(E81,Tabellen!A:F,4),0)</f>
        <v/>
      </c>
      <c r="B81" s="199" t="n"/>
      <c r="C81" s="120">
        <f>IFERROR(VLOOKUP(E81,Tabellen!A:F,5),0)</f>
        <v/>
      </c>
      <c r="D81" s="249">
        <f>IFERROR(VLOOKUP(E81,Tabellen!A:F,6),0)</f>
        <v/>
      </c>
      <c r="E81" s="449" t="n"/>
      <c r="F81" s="75">
        <f>IF(E81&gt;0,$L$4,0)</f>
        <v/>
      </c>
      <c r="G81" s="256">
        <f>IFERROR(VLOOKUP(E81,Tabellen!A:F,2),0)</f>
        <v/>
      </c>
      <c r="H81" s="66">
        <f>IFERROR(VLOOKUP(E81,Tabellen!A:H,8),0)</f>
        <v/>
      </c>
      <c r="I81" s="250">
        <f>IFERROR(VLOOKUP(H81,Tabellen!H:I,2),0)</f>
        <v/>
      </c>
      <c r="J81" s="121" t="n"/>
      <c r="K81" s="251" t="n"/>
      <c r="L81" s="450" t="n"/>
      <c r="M81" s="450" t="n"/>
      <c r="N81" s="450" t="n"/>
      <c r="O81" s="450" t="n"/>
      <c r="Q81" s="119">
        <f>IF(OR(H81=47201,H81=47100,H81=47200,H81=47500),L81,0)</f>
        <v/>
      </c>
      <c r="R81" s="119">
        <f>IF(OR(H81=87201,H81=87100,H81=87200,H81=87500),L81,0)</f>
        <v/>
      </c>
    </row>
    <row r="82" ht="15" customHeight="1">
      <c r="A82" s="249">
        <f>IFERROR(VLOOKUP(E82,Tabellen!A:F,4),0)</f>
        <v/>
      </c>
      <c r="B82" s="199" t="n"/>
      <c r="C82" s="120">
        <f>IFERROR(VLOOKUP(E82,Tabellen!A:F,5),0)</f>
        <v/>
      </c>
      <c r="D82" s="249">
        <f>IFERROR(VLOOKUP(E82,Tabellen!A:F,6),0)</f>
        <v/>
      </c>
      <c r="E82" s="449" t="n"/>
      <c r="F82" s="75">
        <f>IF(E82&gt;0,$L$4,0)</f>
        <v/>
      </c>
      <c r="G82" s="256">
        <f>IFERROR(VLOOKUP(E82,Tabellen!A:F,2),0)</f>
        <v/>
      </c>
      <c r="H82" s="66">
        <f>IFERROR(VLOOKUP(E82,Tabellen!A:H,8),0)</f>
        <v/>
      </c>
      <c r="I82" s="250">
        <f>IFERROR(VLOOKUP(H82,Tabellen!H:I,2),0)</f>
        <v/>
      </c>
      <c r="J82" s="121" t="n"/>
      <c r="K82" s="251" t="n"/>
      <c r="L82" s="450" t="n"/>
      <c r="M82" s="450" t="n"/>
      <c r="N82" s="450" t="n"/>
      <c r="O82" s="450" t="n"/>
      <c r="Q82" s="119">
        <f>IF(OR(H82=47201,H82=47100,H82=47200,H82=47500),L82,0)</f>
        <v/>
      </c>
      <c r="R82" s="119">
        <f>IF(OR(H82=87201,H82=87100,H82=87200,H82=87500),L82,0)</f>
        <v/>
      </c>
    </row>
    <row r="83" ht="15" customHeight="1">
      <c r="A83" s="249">
        <f>IFERROR(VLOOKUP(E83,Tabellen!A:F,4),0)</f>
        <v/>
      </c>
      <c r="B83" s="74" t="n"/>
      <c r="C83" s="120">
        <f>IFERROR(VLOOKUP(E83,Tabellen!A:F,5),0)</f>
        <v/>
      </c>
      <c r="D83" s="249">
        <f>IFERROR(VLOOKUP(E83,Tabellen!A:F,6),0)</f>
        <v/>
      </c>
      <c r="E83" s="449" t="n"/>
      <c r="F83" s="75">
        <f>IF(E83&gt;0,$L$4,0)</f>
        <v/>
      </c>
      <c r="G83" s="256">
        <f>IFERROR(VLOOKUP(E83,Tabellen!A:F,2),0)</f>
        <v/>
      </c>
      <c r="H83" s="66">
        <f>IFERROR(VLOOKUP(E83,Tabellen!A:H,8),0)</f>
        <v/>
      </c>
      <c r="I83" s="250">
        <f>IFERROR(VLOOKUP(H83,Tabellen!H:I,2),0)</f>
        <v/>
      </c>
      <c r="J83" s="121" t="n"/>
      <c r="K83" s="251" t="n"/>
      <c r="L83" s="450" t="n"/>
      <c r="M83" s="450" t="n"/>
      <c r="N83" s="450" t="n"/>
      <c r="O83" s="450" t="n"/>
      <c r="Q83" s="119">
        <f>IF(OR(H83=47201,H83=47100,H83=47200,H83=47500),L83,0)</f>
        <v/>
      </c>
      <c r="R83" s="119">
        <f>IF(OR(H83=87201,H83=87100,H83=87200,H83=87500),L83,0)</f>
        <v/>
      </c>
    </row>
    <row r="84" ht="15" customHeight="1">
      <c r="A84" s="249">
        <f>IFERROR(VLOOKUP(E84,Tabellen!A:F,4),0)</f>
        <v/>
      </c>
      <c r="B84" s="199" t="n"/>
      <c r="C84" s="120">
        <f>IFERROR(VLOOKUP(E84,Tabellen!A:F,5),0)</f>
        <v/>
      </c>
      <c r="D84" s="249">
        <f>IFERROR(VLOOKUP(E84,Tabellen!A:F,6),0)</f>
        <v/>
      </c>
      <c r="E84" s="449" t="n"/>
      <c r="F84" s="75">
        <f>IF(E84&gt;0,$L$4,0)</f>
        <v/>
      </c>
      <c r="G84" s="256">
        <f>IFERROR(VLOOKUP(E84,Tabellen!A:F,2),0)</f>
        <v/>
      </c>
      <c r="H84" s="66">
        <f>IFERROR(VLOOKUP(E84,Tabellen!A:H,8),0)</f>
        <v/>
      </c>
      <c r="I84" s="250">
        <f>IFERROR(VLOOKUP(H84,Tabellen!H:I,2),0)</f>
        <v/>
      </c>
      <c r="J84" s="121" t="n"/>
      <c r="K84" s="251" t="n"/>
      <c r="L84" s="450" t="n"/>
      <c r="M84" s="450" t="n"/>
      <c r="N84" s="450" t="n"/>
      <c r="O84" s="450" t="n"/>
      <c r="Q84" s="119">
        <f>IF(OR(H84=47201,H84=47100,H84=47200,H84=47500),L84,0)</f>
        <v/>
      </c>
      <c r="R84" s="119">
        <f>IF(OR(H84=87201,H84=87100,H84=87200,H84=87500),L84,0)</f>
        <v/>
      </c>
    </row>
    <row r="85" ht="15" customHeight="1">
      <c r="A85" s="249">
        <f>IFERROR(VLOOKUP(E85,Tabellen!A:F,4),0)</f>
        <v/>
      </c>
      <c r="B85" s="74" t="n"/>
      <c r="C85" s="120">
        <f>IFERROR(VLOOKUP(E85,Tabellen!A:F,5),0)</f>
        <v/>
      </c>
      <c r="D85" s="249">
        <f>IFERROR(VLOOKUP(E85,Tabellen!A:F,6),0)</f>
        <v/>
      </c>
      <c r="E85" s="449" t="n"/>
      <c r="F85" s="75">
        <f>IF(E85&gt;0,$L$4,0)</f>
        <v/>
      </c>
      <c r="G85" s="256">
        <f>IFERROR(VLOOKUP(E85,Tabellen!A:F,2),0)</f>
        <v/>
      </c>
      <c r="H85" s="66">
        <f>IFERROR(VLOOKUP(E85,Tabellen!A:H,8),0)</f>
        <v/>
      </c>
      <c r="I85" s="250">
        <f>IFERROR(VLOOKUP(H85,Tabellen!H:I,2),0)</f>
        <v/>
      </c>
      <c r="J85" s="121" t="n"/>
      <c r="K85" s="251" t="n"/>
      <c r="L85" s="450" t="n"/>
      <c r="M85" s="450" t="n"/>
      <c r="N85" s="450" t="n"/>
      <c r="O85" s="450" t="n"/>
      <c r="Q85" s="119">
        <f>IF(OR(H85=47201,H85=47100,H85=47200,H85=47500),L85,0)</f>
        <v/>
      </c>
      <c r="R85" s="119">
        <f>IF(OR(H85=87201,H85=87100,H85=87200,H85=87500),L85,0)</f>
        <v/>
      </c>
    </row>
    <row r="86" ht="15" customHeight="1">
      <c r="A86" s="249">
        <f>IFERROR(VLOOKUP(E86,Tabellen!A:F,4),0)</f>
        <v/>
      </c>
      <c r="B86" s="74" t="n"/>
      <c r="C86" s="120">
        <f>IFERROR(VLOOKUP(E86,Tabellen!A:F,5),0)</f>
        <v/>
      </c>
      <c r="D86" s="249">
        <f>IFERROR(VLOOKUP(E86,Tabellen!A:F,6),0)</f>
        <v/>
      </c>
      <c r="E86" s="449" t="n"/>
      <c r="F86" s="75">
        <f>IF(E86&gt;0,$L$4,0)</f>
        <v/>
      </c>
      <c r="G86" s="256">
        <f>IFERROR(VLOOKUP(E86,Tabellen!A:F,2),0)</f>
        <v/>
      </c>
      <c r="H86" s="66">
        <f>IFERROR(VLOOKUP(E86,Tabellen!A:H,8),0)</f>
        <v/>
      </c>
      <c r="I86" s="250">
        <f>IFERROR(VLOOKUP(H86,Tabellen!H:I,2),0)</f>
        <v/>
      </c>
      <c r="J86" s="121" t="n"/>
      <c r="K86" s="251" t="n"/>
      <c r="L86" s="450" t="n"/>
      <c r="M86" s="450" t="n"/>
      <c r="N86" s="450" t="n"/>
      <c r="O86" s="450" t="n"/>
      <c r="Q86" s="119">
        <f>IF(OR(H86=47201,H86=47100,H86=47200,H86=47500),L86,0)</f>
        <v/>
      </c>
      <c r="R86" s="119">
        <f>IF(OR(H86=87201,H86=87100,H86=87200,H86=87500),L86,0)</f>
        <v/>
      </c>
    </row>
    <row r="87" ht="15" customHeight="1">
      <c r="A87" s="249">
        <f>IFERROR(VLOOKUP(E87,Tabellen!A:F,4),0)</f>
        <v/>
      </c>
      <c r="B87" s="74" t="n"/>
      <c r="C87" s="120">
        <f>IFERROR(VLOOKUP(E87,Tabellen!A:F,5),0)</f>
        <v/>
      </c>
      <c r="D87" s="249">
        <f>IFERROR(VLOOKUP(E87,Tabellen!A:F,6),0)</f>
        <v/>
      </c>
      <c r="E87" s="449" t="n"/>
      <c r="F87" s="75">
        <f>IF(E87&gt;0,$L$4,0)</f>
        <v/>
      </c>
      <c r="G87" s="256">
        <f>IFERROR(VLOOKUP(E87,Tabellen!A:F,2),0)</f>
        <v/>
      </c>
      <c r="H87" s="66">
        <f>IFERROR(VLOOKUP(E87,Tabellen!A:H,8),0)</f>
        <v/>
      </c>
      <c r="I87" s="250">
        <f>IFERROR(VLOOKUP(H87,Tabellen!H:I,2),0)</f>
        <v/>
      </c>
      <c r="J87" s="121" t="n"/>
      <c r="K87" s="251" t="n"/>
      <c r="L87" s="450" t="n"/>
      <c r="M87" s="450" t="n"/>
      <c r="N87" s="450" t="n"/>
      <c r="O87" s="450" t="n"/>
      <c r="Q87" s="119">
        <f>IF(OR(H87=47201,H87=47100,H87=47200,H87=47500),L87,0)</f>
        <v/>
      </c>
      <c r="R87" s="119">
        <f>IF(OR(H87=87201,H87=87100,H87=87200,H87=87500),L87,0)</f>
        <v/>
      </c>
    </row>
    <row r="88" ht="15" customHeight="1">
      <c r="A88" s="249">
        <f>IFERROR(VLOOKUP(E88,Tabellen!A:F,4),0)</f>
        <v/>
      </c>
      <c r="B88" s="74" t="n"/>
      <c r="C88" s="120">
        <f>IFERROR(VLOOKUP(E88,Tabellen!A:F,5),0)</f>
        <v/>
      </c>
      <c r="D88" s="249">
        <f>IFERROR(VLOOKUP(E88,Tabellen!A:F,6),0)</f>
        <v/>
      </c>
      <c r="E88" s="449" t="n"/>
      <c r="F88" s="75">
        <f>IF(E88&gt;0,$L$4,0)</f>
        <v/>
      </c>
      <c r="G88" s="256">
        <f>IFERROR(VLOOKUP(E88,Tabellen!A:F,2),0)</f>
        <v/>
      </c>
      <c r="H88" s="66">
        <f>IFERROR(VLOOKUP(E88,Tabellen!A:H,8),0)</f>
        <v/>
      </c>
      <c r="I88" s="250">
        <f>IFERROR(VLOOKUP(H88,Tabellen!H:I,2),0)</f>
        <v/>
      </c>
      <c r="J88" s="121" t="n"/>
      <c r="K88" s="251" t="n"/>
      <c r="L88" s="450" t="n"/>
      <c r="M88" s="450" t="n"/>
      <c r="N88" s="450" t="n"/>
      <c r="O88" s="450" t="n"/>
      <c r="Q88" s="119">
        <f>IF(OR(H88=47201,H88=47100,H88=47200,H88=47500),L88,0)</f>
        <v/>
      </c>
      <c r="R88" s="119">
        <f>IF(OR(H88=87201,H88=87100,H88=87200,H88=87500),L88,0)</f>
        <v/>
      </c>
    </row>
    <row r="89" ht="15" customHeight="1">
      <c r="A89" s="249">
        <f>IFERROR(VLOOKUP(E89,Tabellen!A:F,4),0)</f>
        <v/>
      </c>
      <c r="B89" s="74" t="n"/>
      <c r="C89" s="120">
        <f>IFERROR(VLOOKUP(E89,Tabellen!A:F,5),0)</f>
        <v/>
      </c>
      <c r="D89" s="249">
        <f>IFERROR(VLOOKUP(E89,Tabellen!A:F,6),0)</f>
        <v/>
      </c>
      <c r="E89" s="449" t="n"/>
      <c r="F89" s="75">
        <f>IF(E89&gt;0,$L$4,0)</f>
        <v/>
      </c>
      <c r="G89" s="256">
        <f>IFERROR(VLOOKUP(E89,Tabellen!A:F,2),0)</f>
        <v/>
      </c>
      <c r="H89" s="66">
        <f>IFERROR(VLOOKUP(E89,Tabellen!A:H,8),0)</f>
        <v/>
      </c>
      <c r="I89" s="250">
        <f>IFERROR(VLOOKUP(H89,Tabellen!H:I,2),0)</f>
        <v/>
      </c>
      <c r="J89" s="121" t="n"/>
      <c r="K89" s="251" t="n"/>
      <c r="L89" s="450" t="n"/>
      <c r="M89" s="450" t="n"/>
      <c r="N89" s="450" t="n"/>
      <c r="O89" s="450" t="n"/>
      <c r="Q89" s="119">
        <f>IF(OR(H89=47201,H89=47100,H89=47200,H89=47500),L89,0)</f>
        <v/>
      </c>
      <c r="R89" s="119">
        <f>IF(OR(H89=87201,H89=87100,H89=87200,H89=87500),L89,0)</f>
        <v/>
      </c>
    </row>
    <row r="90" ht="15" customHeight="1">
      <c r="A90" s="249">
        <f>IFERROR(VLOOKUP(E90,Tabellen!A:F,4),0)</f>
        <v/>
      </c>
      <c r="B90" s="74" t="n"/>
      <c r="C90" s="120">
        <f>IFERROR(VLOOKUP(E90,Tabellen!A:F,5),0)</f>
        <v/>
      </c>
      <c r="D90" s="249">
        <f>IFERROR(VLOOKUP(E90,Tabellen!A:F,6),0)</f>
        <v/>
      </c>
      <c r="E90" s="449" t="n"/>
      <c r="F90" s="75">
        <f>IF(E90&gt;0,$L$4,0)</f>
        <v/>
      </c>
      <c r="G90" s="256">
        <f>IFERROR(VLOOKUP(E90,Tabellen!A:F,2),0)</f>
        <v/>
      </c>
      <c r="H90" s="66">
        <f>IFERROR(VLOOKUP(E90,Tabellen!A:H,8),0)</f>
        <v/>
      </c>
      <c r="I90" s="250">
        <f>IFERROR(VLOOKUP(H90,Tabellen!H:I,2),0)</f>
        <v/>
      </c>
      <c r="J90" s="121" t="n"/>
      <c r="K90" s="251" t="n"/>
      <c r="L90" s="450" t="n"/>
      <c r="M90" s="450" t="n"/>
      <c r="N90" s="450" t="n"/>
      <c r="O90" s="450" t="n"/>
      <c r="Q90" s="119">
        <f>IF(OR(H90=47201,H90=47100,H90=47200,H90=47500),L90,0)</f>
        <v/>
      </c>
      <c r="R90" s="119">
        <f>IF(OR(H90=87201,H90=87100,H90=87200,H90=87500),L90,0)</f>
        <v/>
      </c>
    </row>
    <row r="91" ht="15" customHeight="1">
      <c r="A91" s="249">
        <f>IFERROR(VLOOKUP(E91,Tabellen!A:F,4),0)</f>
        <v/>
      </c>
      <c r="B91" s="74" t="n"/>
      <c r="C91" s="120">
        <f>IFERROR(VLOOKUP(E91,Tabellen!A:F,5),0)</f>
        <v/>
      </c>
      <c r="D91" s="249">
        <f>IFERROR(VLOOKUP(E91,Tabellen!A:F,6),0)</f>
        <v/>
      </c>
      <c r="E91" s="449" t="n"/>
      <c r="F91" s="75">
        <f>IF(E91&gt;0,$L$4,0)</f>
        <v/>
      </c>
      <c r="G91" s="256">
        <f>IFERROR(VLOOKUP(E91,Tabellen!A:F,2),0)</f>
        <v/>
      </c>
      <c r="H91" s="66">
        <f>IFERROR(VLOOKUP(E91,Tabellen!A:H,8),0)</f>
        <v/>
      </c>
      <c r="I91" s="250">
        <f>IFERROR(VLOOKUP(H91,Tabellen!H:I,2),0)</f>
        <v/>
      </c>
      <c r="J91" s="121" t="n"/>
      <c r="K91" s="251" t="n"/>
      <c r="L91" s="450" t="n"/>
      <c r="M91" s="450" t="n"/>
      <c r="N91" s="450" t="n"/>
      <c r="O91" s="450" t="n"/>
      <c r="Q91" s="119">
        <f>IF(OR(H91=47201,H91=47100,H91=47200,H91=47500),L91,0)</f>
        <v/>
      </c>
      <c r="R91" s="119">
        <f>IF(OR(H91=87201,H91=87100,H91=87200,H91=87500),L91,0)</f>
        <v/>
      </c>
    </row>
    <row r="92" ht="15" customHeight="1">
      <c r="A92" s="249">
        <f>IFERROR(VLOOKUP(E92,Tabellen!A:F,4),0)</f>
        <v/>
      </c>
      <c r="B92" s="74" t="n"/>
      <c r="C92" s="120">
        <f>IFERROR(VLOOKUP(E92,Tabellen!A:F,5),0)</f>
        <v/>
      </c>
      <c r="D92" s="249">
        <f>IFERROR(VLOOKUP(E92,Tabellen!A:F,6),0)</f>
        <v/>
      </c>
      <c r="E92" s="449" t="n"/>
      <c r="F92" s="75">
        <f>IF(E92&gt;0,$L$4,0)</f>
        <v/>
      </c>
      <c r="G92" s="256">
        <f>IFERROR(VLOOKUP(E92,Tabellen!A:F,2),0)</f>
        <v/>
      </c>
      <c r="H92" s="66">
        <f>IFERROR(VLOOKUP(E92,Tabellen!A:H,8),0)</f>
        <v/>
      </c>
      <c r="I92" s="250">
        <f>IFERROR(VLOOKUP(H92,Tabellen!H:I,2),0)</f>
        <v/>
      </c>
      <c r="J92" s="121" t="n"/>
      <c r="K92" s="251" t="n"/>
      <c r="L92" s="450" t="n"/>
      <c r="M92" s="450" t="n"/>
      <c r="N92" s="450" t="n"/>
      <c r="O92" s="450" t="n"/>
      <c r="Q92" s="119">
        <f>IF(OR(H92=47201,H92=47100,H92=47200,H92=47500),L92,0)</f>
        <v/>
      </c>
      <c r="R92" s="119">
        <f>IF(OR(H92=87201,H92=87100,H92=87200,H92=87500),L92,0)</f>
        <v/>
      </c>
    </row>
    <row r="93" ht="15" customHeight="1">
      <c r="A93" s="249">
        <f>IFERROR(VLOOKUP(E93,Tabellen!A:F,4),0)</f>
        <v/>
      </c>
      <c r="B93" s="74" t="n"/>
      <c r="C93" s="120">
        <f>IFERROR(VLOOKUP(E93,Tabellen!A:F,5),0)</f>
        <v/>
      </c>
      <c r="D93" s="249">
        <f>IFERROR(VLOOKUP(E93,Tabellen!A:F,6),0)</f>
        <v/>
      </c>
      <c r="E93" s="449" t="n"/>
      <c r="F93" s="75">
        <f>IF(E93&gt;0,$L$4,0)</f>
        <v/>
      </c>
      <c r="G93" s="256">
        <f>IFERROR(VLOOKUP(E93,Tabellen!A:F,2),0)</f>
        <v/>
      </c>
      <c r="H93" s="66">
        <f>IFERROR(VLOOKUP(E93,Tabellen!A:H,8),0)</f>
        <v/>
      </c>
      <c r="I93" s="250">
        <f>IFERROR(VLOOKUP(H93,Tabellen!H:I,2),0)</f>
        <v/>
      </c>
      <c r="J93" s="121" t="n"/>
      <c r="K93" s="251" t="n"/>
      <c r="L93" s="450" t="n"/>
      <c r="M93" s="450" t="n"/>
      <c r="N93" s="450" t="n"/>
      <c r="O93" s="450" t="n"/>
      <c r="Q93" s="119">
        <f>IF(OR(H93=47201,H93=47100,H93=47200,H93=47500),L93,0)</f>
        <v/>
      </c>
      <c r="R93" s="119">
        <f>IF(OR(H93=87201,H93=87100,H93=87200,H93=87500),L93,0)</f>
        <v/>
      </c>
    </row>
    <row r="94" ht="15" customHeight="1">
      <c r="A94" s="249">
        <f>IFERROR(VLOOKUP(E94,Tabellen!A:F,4),0)</f>
        <v/>
      </c>
      <c r="B94" s="74" t="n"/>
      <c r="C94" s="120">
        <f>IFERROR(VLOOKUP(E94,Tabellen!A:F,5),0)</f>
        <v/>
      </c>
      <c r="D94" s="249">
        <f>IFERROR(VLOOKUP(E94,Tabellen!A:F,6),0)</f>
        <v/>
      </c>
      <c r="E94" s="449" t="n"/>
      <c r="F94" s="75">
        <f>IF(E94&gt;0,$L$4,0)</f>
        <v/>
      </c>
      <c r="G94" s="256">
        <f>IFERROR(VLOOKUP(E94,Tabellen!A:F,2),0)</f>
        <v/>
      </c>
      <c r="H94" s="66">
        <f>IFERROR(VLOOKUP(E94,Tabellen!A:H,8),0)</f>
        <v/>
      </c>
      <c r="I94" s="250">
        <f>IFERROR(VLOOKUP(H94,Tabellen!H:I,2),0)</f>
        <v/>
      </c>
      <c r="J94" s="121" t="n"/>
      <c r="K94" s="251" t="n"/>
      <c r="L94" s="450" t="n"/>
      <c r="M94" s="450" t="n"/>
      <c r="N94" s="450" t="n"/>
      <c r="O94" s="450" t="n"/>
      <c r="Q94" s="119">
        <f>IF(OR(H94=47201,H94=47100,H94=47200,H94=47500),L94,0)</f>
        <v/>
      </c>
      <c r="R94" s="119">
        <f>IF(OR(H94=87201,H94=87100,H94=87200,H94=87500),L94,0)</f>
        <v/>
      </c>
    </row>
    <row r="95" ht="15" customHeight="1">
      <c r="A95" s="249">
        <f>IFERROR(VLOOKUP(E95,Tabellen!A:F,4),0)</f>
        <v/>
      </c>
      <c r="B95" s="74" t="n"/>
      <c r="C95" s="120">
        <f>IFERROR(VLOOKUP(E95,Tabellen!A:F,5),0)</f>
        <v/>
      </c>
      <c r="D95" s="249">
        <f>IFERROR(VLOOKUP(E95,Tabellen!A:F,6),0)</f>
        <v/>
      </c>
      <c r="E95" s="449" t="n"/>
      <c r="F95" s="75">
        <f>IF(E95&gt;0,$L$4,0)</f>
        <v/>
      </c>
      <c r="G95" s="256">
        <f>IFERROR(VLOOKUP(E95,Tabellen!A:F,2),0)</f>
        <v/>
      </c>
      <c r="H95" s="66">
        <f>IFERROR(VLOOKUP(E95,Tabellen!A:H,8),0)</f>
        <v/>
      </c>
      <c r="I95" s="250">
        <f>IFERROR(VLOOKUP(H95,Tabellen!H:I,2),0)</f>
        <v/>
      </c>
      <c r="J95" s="121" t="n"/>
      <c r="K95" s="251" t="n"/>
      <c r="L95" s="450" t="n"/>
      <c r="M95" s="450" t="n"/>
      <c r="N95" s="450" t="n"/>
      <c r="O95" s="450" t="n"/>
      <c r="Q95" s="119">
        <f>IF(OR(H95=47201,H95=47100,H95=47200,H95=47500),L95,0)</f>
        <v/>
      </c>
      <c r="R95" s="119">
        <f>IF(OR(H95=87201,H95=87100,H95=87200,H95=87500),L95,0)</f>
        <v/>
      </c>
    </row>
    <row r="96" ht="15" customHeight="1">
      <c r="A96" s="249">
        <f>IFERROR(VLOOKUP(E96,Tabellen!A:F,4),0)</f>
        <v/>
      </c>
      <c r="B96" s="74" t="n"/>
      <c r="C96" s="120">
        <f>IFERROR(VLOOKUP(E96,Tabellen!A:F,5),0)</f>
        <v/>
      </c>
      <c r="D96" s="249">
        <f>IFERROR(VLOOKUP(E96,Tabellen!A:F,6),0)</f>
        <v/>
      </c>
      <c r="E96" s="449" t="n"/>
      <c r="F96" s="75">
        <f>IF(E96&gt;0,$L$4,0)</f>
        <v/>
      </c>
      <c r="G96" s="256">
        <f>IFERROR(VLOOKUP(E96,Tabellen!A:F,2),0)</f>
        <v/>
      </c>
      <c r="H96" s="66">
        <f>IFERROR(VLOOKUP(E96,Tabellen!A:H,8),0)</f>
        <v/>
      </c>
      <c r="I96" s="250">
        <f>IFERROR(VLOOKUP(H96,Tabellen!H:I,2),0)</f>
        <v/>
      </c>
      <c r="J96" s="121" t="n"/>
      <c r="K96" s="251" t="n"/>
      <c r="L96" s="450" t="n"/>
      <c r="M96" s="450" t="n"/>
      <c r="N96" s="450" t="n"/>
      <c r="O96" s="450" t="n"/>
      <c r="Q96" s="119">
        <f>IF(OR(H96=47201,H96=47100,H96=47200,H96=47500),L96,0)</f>
        <v/>
      </c>
      <c r="R96" s="119">
        <f>IF(OR(H96=87201,H96=87100,H96=87200,H96=87500),L96,0)</f>
        <v/>
      </c>
    </row>
    <row r="97" ht="15" customHeight="1">
      <c r="A97" s="249">
        <f>IFERROR(VLOOKUP(E97,Tabellen!A:F,4),0)</f>
        <v/>
      </c>
      <c r="B97" s="74" t="n"/>
      <c r="C97" s="120">
        <f>IFERROR(VLOOKUP(E97,Tabellen!A:F,5),0)</f>
        <v/>
      </c>
      <c r="D97" s="249">
        <f>IFERROR(VLOOKUP(E97,Tabellen!A:F,6),0)</f>
        <v/>
      </c>
      <c r="E97" s="449" t="n"/>
      <c r="F97" s="75">
        <f>IF(E97&gt;0,$L$4,0)</f>
        <v/>
      </c>
      <c r="G97" s="256">
        <f>IFERROR(VLOOKUP(E97,Tabellen!A:F,2),0)</f>
        <v/>
      </c>
      <c r="H97" s="66">
        <f>IFERROR(VLOOKUP(E97,Tabellen!A:H,8),0)</f>
        <v/>
      </c>
      <c r="I97" s="250">
        <f>IFERROR(VLOOKUP(H97,Tabellen!H:I,2),0)</f>
        <v/>
      </c>
      <c r="J97" s="121" t="n"/>
      <c r="K97" s="251" t="n"/>
      <c r="L97" s="450" t="n"/>
      <c r="M97" s="450" t="n"/>
      <c r="N97" s="450" t="n"/>
      <c r="O97" s="450" t="n"/>
      <c r="Q97" s="119">
        <f>IF(OR(H97=47201,H97=47100,H97=47200,H97=47500),L97,0)</f>
        <v/>
      </c>
      <c r="R97" s="119">
        <f>IF(OR(H97=87201,H97=87100,H97=87200,H97=87500),L97,0)</f>
        <v/>
      </c>
    </row>
    <row r="98" ht="15" customHeight="1">
      <c r="A98" s="249">
        <f>IFERROR(VLOOKUP(E98,Tabellen!A:F,4),0)</f>
        <v/>
      </c>
      <c r="B98" s="74" t="n"/>
      <c r="C98" s="120">
        <f>IFERROR(VLOOKUP(E98,Tabellen!A:F,5),0)</f>
        <v/>
      </c>
      <c r="D98" s="249">
        <f>IFERROR(VLOOKUP(E98,Tabellen!A:F,6),0)</f>
        <v/>
      </c>
      <c r="E98" s="449" t="n"/>
      <c r="F98" s="75">
        <f>IF(E98&gt;0,$L$4,0)</f>
        <v/>
      </c>
      <c r="G98" s="256">
        <f>IFERROR(VLOOKUP(E98,Tabellen!A:F,2),0)</f>
        <v/>
      </c>
      <c r="H98" s="66">
        <f>IFERROR(VLOOKUP(E98,Tabellen!A:H,8),0)</f>
        <v/>
      </c>
      <c r="I98" s="250">
        <f>IFERROR(VLOOKUP(H98,Tabellen!H:I,2),0)</f>
        <v/>
      </c>
      <c r="J98" s="121" t="n"/>
      <c r="K98" s="251" t="n"/>
      <c r="L98" s="450" t="n"/>
      <c r="M98" s="450" t="n"/>
      <c r="N98" s="450" t="n"/>
      <c r="O98" s="450" t="n"/>
      <c r="Q98" s="119">
        <f>IF(OR(H98=47201,H98=47100,H98=47200,H98=47500),L98,0)</f>
        <v/>
      </c>
      <c r="R98" s="119">
        <f>IF(OR(H98=87201,H98=87100,H98=87200,H98=87500),L98,0)</f>
        <v/>
      </c>
    </row>
    <row r="99" ht="15" customHeight="1">
      <c r="A99" s="249">
        <f>IFERROR(VLOOKUP(E99,Tabellen!A:F,4),0)</f>
        <v/>
      </c>
      <c r="B99" s="74" t="n"/>
      <c r="C99" s="120">
        <f>IFERROR(VLOOKUP(E99,Tabellen!A:F,5),0)</f>
        <v/>
      </c>
      <c r="D99" s="249">
        <f>IFERROR(VLOOKUP(E99,Tabellen!A:F,6),0)</f>
        <v/>
      </c>
      <c r="E99" s="449" t="n"/>
      <c r="F99" s="75">
        <f>IF(E99&gt;0,$L$4,0)</f>
        <v/>
      </c>
      <c r="G99" s="256">
        <f>IFERROR(VLOOKUP(E99,Tabellen!A:F,2),0)</f>
        <v/>
      </c>
      <c r="H99" s="66">
        <f>IFERROR(VLOOKUP(E99,Tabellen!A:H,8),0)</f>
        <v/>
      </c>
      <c r="I99" s="250">
        <f>IFERROR(VLOOKUP(H99,Tabellen!H:I,2),0)</f>
        <v/>
      </c>
      <c r="J99" s="121" t="n"/>
      <c r="K99" s="251" t="n"/>
      <c r="L99" s="450" t="n"/>
      <c r="M99" s="450" t="n"/>
      <c r="N99" s="450" t="n"/>
      <c r="O99" s="450" t="n"/>
      <c r="Q99" s="119">
        <f>IF(OR(H99=47201,H99=47100,H99=47200,H99=47500),L99,0)</f>
        <v/>
      </c>
      <c r="R99" s="119">
        <f>IF(OR(H99=87201,H99=87100,H99=87200,H99=87500),L99,0)</f>
        <v/>
      </c>
    </row>
    <row r="100" ht="15" customHeight="1">
      <c r="A100" s="249">
        <f>IFERROR(VLOOKUP(E100,Tabellen!A:F,4),0)</f>
        <v/>
      </c>
      <c r="B100" s="74" t="n"/>
      <c r="C100" s="120">
        <f>IFERROR(VLOOKUP(E100,Tabellen!A:F,5),0)</f>
        <v/>
      </c>
      <c r="D100" s="249">
        <f>IFERROR(VLOOKUP(E100,Tabellen!A:F,6),0)</f>
        <v/>
      </c>
      <c r="E100" s="449" t="n"/>
      <c r="F100" s="75">
        <f>IF(E100&gt;0,$L$4,0)</f>
        <v/>
      </c>
      <c r="G100" s="256">
        <f>IFERROR(VLOOKUP(E100,Tabellen!A:F,2),0)</f>
        <v/>
      </c>
      <c r="H100" s="66">
        <f>IFERROR(VLOOKUP(E100,Tabellen!A:H,8),0)</f>
        <v/>
      </c>
      <c r="I100" s="250">
        <f>IFERROR(VLOOKUP(H100,Tabellen!H:I,2),0)</f>
        <v/>
      </c>
      <c r="J100" s="121" t="n"/>
      <c r="K100" s="251" t="n"/>
      <c r="L100" s="450" t="n"/>
      <c r="M100" s="450" t="n"/>
      <c r="N100" s="450" t="n"/>
      <c r="O100" s="450" t="n"/>
      <c r="Q100" s="119">
        <f>IF(OR(H100=47201,H100=47100,H100=47200,H100=47500),L100,0)</f>
        <v/>
      </c>
      <c r="R100" s="119">
        <f>IF(OR(H100=87201,H100=87100,H100=87200,H100=87500),L100,0)</f>
        <v/>
      </c>
    </row>
    <row r="101" ht="15" customHeight="1">
      <c r="A101" s="249">
        <f>IFERROR(VLOOKUP(E101,Tabellen!A:F,4),0)</f>
        <v/>
      </c>
      <c r="B101" s="74" t="n"/>
      <c r="C101" s="120">
        <f>IFERROR(VLOOKUP(E101,Tabellen!A:F,5),0)</f>
        <v/>
      </c>
      <c r="D101" s="249">
        <f>IFERROR(VLOOKUP(E101,Tabellen!A:F,6),0)</f>
        <v/>
      </c>
      <c r="E101" s="449" t="n"/>
      <c r="F101" s="75">
        <f>IF(E101&gt;0,$L$4,0)</f>
        <v/>
      </c>
      <c r="G101" s="256">
        <f>IFERROR(VLOOKUP(E101,Tabellen!A:F,2),0)</f>
        <v/>
      </c>
      <c r="H101" s="66">
        <f>IFERROR(VLOOKUP(E101,Tabellen!A:H,8),0)</f>
        <v/>
      </c>
      <c r="I101" s="250">
        <f>IFERROR(VLOOKUP(H101,Tabellen!H:I,2),0)</f>
        <v/>
      </c>
      <c r="J101" s="121" t="n"/>
      <c r="K101" s="251" t="n"/>
      <c r="L101" s="450" t="n"/>
      <c r="M101" s="450" t="n"/>
      <c r="N101" s="450" t="n"/>
      <c r="O101" s="450" t="n"/>
      <c r="Q101" s="119">
        <f>IF(OR(H101=47201,H101=47100,H101=47200,H101=47500),L101,0)</f>
        <v/>
      </c>
      <c r="R101" s="119">
        <f>IF(OR(H101=87201,H101=87100,H101=87200,H101=87500),L101,0)</f>
        <v/>
      </c>
    </row>
    <row r="102" ht="15" customHeight="1">
      <c r="A102" s="249">
        <f>IFERROR(VLOOKUP(E102,Tabellen!A:F,4),0)</f>
        <v/>
      </c>
      <c r="B102" s="74" t="n"/>
      <c r="C102" s="120">
        <f>IFERROR(VLOOKUP(E102,Tabellen!A:F,5),0)</f>
        <v/>
      </c>
      <c r="D102" s="249">
        <f>IFERROR(VLOOKUP(E102,Tabellen!A:F,6),0)</f>
        <v/>
      </c>
      <c r="E102" s="449" t="n"/>
      <c r="F102" s="75">
        <f>IF(E102&gt;0,$L$4,0)</f>
        <v/>
      </c>
      <c r="G102" s="256">
        <f>IFERROR(VLOOKUP(E102,Tabellen!A:F,2),0)</f>
        <v/>
      </c>
      <c r="H102" s="66">
        <f>IFERROR(VLOOKUP(E102,Tabellen!A:H,8),0)</f>
        <v/>
      </c>
      <c r="I102" s="250">
        <f>IFERROR(VLOOKUP(H102,Tabellen!H:I,2),0)</f>
        <v/>
      </c>
      <c r="J102" s="121" t="n"/>
      <c r="K102" s="251" t="n"/>
      <c r="L102" s="450" t="n"/>
      <c r="M102" s="450" t="n"/>
      <c r="N102" s="450" t="n"/>
      <c r="O102" s="450" t="n"/>
      <c r="Q102" s="119">
        <f>IF(OR(H102=47201,H102=47100,H102=47200,H102=47500),L102,0)</f>
        <v/>
      </c>
      <c r="R102" s="119">
        <f>IF(OR(H102=87201,H102=87100,H102=87200,H102=87500),L102,0)</f>
        <v/>
      </c>
    </row>
    <row r="103" ht="15" customHeight="1">
      <c r="A103" s="249">
        <f>IFERROR(VLOOKUP(E103,Tabellen!A:F,4),0)</f>
        <v/>
      </c>
      <c r="B103" s="74" t="n"/>
      <c r="C103" s="120">
        <f>IFERROR(VLOOKUP(E103,Tabellen!A:F,5),0)</f>
        <v/>
      </c>
      <c r="D103" s="249">
        <f>IFERROR(VLOOKUP(E103,Tabellen!A:F,6),0)</f>
        <v/>
      </c>
      <c r="E103" s="449" t="n"/>
      <c r="F103" s="75">
        <f>IF(E103&gt;0,$L$4,0)</f>
        <v/>
      </c>
      <c r="G103" s="256">
        <f>IFERROR(VLOOKUP(E103,Tabellen!A:F,2),0)</f>
        <v/>
      </c>
      <c r="H103" s="66">
        <f>IFERROR(VLOOKUP(E103,Tabellen!A:H,8),0)</f>
        <v/>
      </c>
      <c r="I103" s="250">
        <f>IFERROR(VLOOKUP(H103,Tabellen!H:I,2),0)</f>
        <v/>
      </c>
      <c r="J103" s="121" t="n"/>
      <c r="K103" s="251" t="n"/>
      <c r="L103" s="450" t="n"/>
      <c r="M103" s="450" t="n"/>
      <c r="N103" s="450" t="n"/>
      <c r="O103" s="450" t="n"/>
      <c r="Q103" s="119">
        <f>IF(OR(H103=47201,H103=47100,H103=47200,H103=47500),L103,0)</f>
        <v/>
      </c>
      <c r="R103" s="119">
        <f>IF(OR(H103=87201,H103=87100,H103=87200,H103=87500),L103,0)</f>
        <v/>
      </c>
    </row>
    <row r="104" ht="15" customHeight="1">
      <c r="A104" s="249">
        <f>IFERROR(VLOOKUP(E104,Tabellen!A:F,4),0)</f>
        <v/>
      </c>
      <c r="B104" s="74" t="n"/>
      <c r="C104" s="120">
        <f>IFERROR(VLOOKUP(E104,Tabellen!A:F,5),0)</f>
        <v/>
      </c>
      <c r="D104" s="249">
        <f>IFERROR(VLOOKUP(E104,Tabellen!A:F,6),0)</f>
        <v/>
      </c>
      <c r="E104" s="449" t="n"/>
      <c r="F104" s="75">
        <f>IF(E104&gt;0,$L$4,0)</f>
        <v/>
      </c>
      <c r="G104" s="256">
        <f>IFERROR(VLOOKUP(E104,Tabellen!A:F,2),0)</f>
        <v/>
      </c>
      <c r="H104" s="66">
        <f>IFERROR(VLOOKUP(E104,Tabellen!A:H,8),0)</f>
        <v/>
      </c>
      <c r="I104" s="250">
        <f>IFERROR(VLOOKUP(H104,Tabellen!H:I,2),0)</f>
        <v/>
      </c>
      <c r="J104" s="121" t="n"/>
      <c r="K104" s="251" t="n"/>
      <c r="L104" s="450" t="n"/>
      <c r="M104" s="450" t="n"/>
      <c r="N104" s="450" t="n"/>
      <c r="O104" s="450" t="n"/>
      <c r="Q104" s="119">
        <f>IF(OR(H104=47201,H104=47100,H104=47200,H104=47500),L104,0)</f>
        <v/>
      </c>
      <c r="R104" s="119">
        <f>IF(OR(H104=87201,H104=87100,H104=87200,H104=87500),L104,0)</f>
        <v/>
      </c>
    </row>
    <row r="105" ht="15" customHeight="1">
      <c r="A105" s="249">
        <f>IFERROR(VLOOKUP(E105,Tabellen!A:F,4),0)</f>
        <v/>
      </c>
      <c r="B105" s="74" t="n"/>
      <c r="C105" s="120">
        <f>IFERROR(VLOOKUP(E105,Tabellen!A:F,5),0)</f>
        <v/>
      </c>
      <c r="D105" s="249">
        <f>IFERROR(VLOOKUP(E105,Tabellen!A:F,6),0)</f>
        <v/>
      </c>
      <c r="E105" s="449" t="n"/>
      <c r="F105" s="75">
        <f>IF(E105&gt;0,$L$4,0)</f>
        <v/>
      </c>
      <c r="G105" s="256">
        <f>IFERROR(VLOOKUP(E105,Tabellen!A:F,2),0)</f>
        <v/>
      </c>
      <c r="H105" s="66">
        <f>IFERROR(VLOOKUP(E105,Tabellen!A:H,8),0)</f>
        <v/>
      </c>
      <c r="I105" s="250">
        <f>IFERROR(VLOOKUP(H105,Tabellen!H:I,2),0)</f>
        <v/>
      </c>
      <c r="J105" s="121" t="n"/>
      <c r="K105" s="251" t="n"/>
      <c r="L105" s="450" t="n"/>
      <c r="M105" s="450" t="n"/>
      <c r="N105" s="450" t="n"/>
      <c r="O105" s="450" t="n"/>
      <c r="Q105" s="119">
        <f>IF(OR(H105=47201,H105=47100,H105=47200,H105=47500),L105,0)</f>
        <v/>
      </c>
      <c r="R105" s="119">
        <f>IF(OR(H105=87201,H105=87100,H105=87200,H105=87500),L105,0)</f>
        <v/>
      </c>
    </row>
    <row r="106" ht="15" customHeight="1">
      <c r="A106" s="249">
        <f>IFERROR(VLOOKUP(E106,Tabellen!A:F,4),0)</f>
        <v/>
      </c>
      <c r="B106" s="74" t="n"/>
      <c r="C106" s="120">
        <f>IFERROR(VLOOKUP(E106,Tabellen!A:F,5),0)</f>
        <v/>
      </c>
      <c r="D106" s="249">
        <f>IFERROR(VLOOKUP(E106,Tabellen!A:F,6),0)</f>
        <v/>
      </c>
      <c r="E106" s="449" t="n"/>
      <c r="F106" s="75">
        <f>IF(E106&gt;0,$L$4,0)</f>
        <v/>
      </c>
      <c r="G106" s="256">
        <f>IFERROR(VLOOKUP(E106,Tabellen!A:F,2),0)</f>
        <v/>
      </c>
      <c r="H106" s="66">
        <f>IFERROR(VLOOKUP(E106,Tabellen!A:H,8),0)</f>
        <v/>
      </c>
      <c r="I106" s="250">
        <f>IFERROR(VLOOKUP(H106,Tabellen!H:I,2),0)</f>
        <v/>
      </c>
      <c r="J106" s="121" t="n"/>
      <c r="K106" s="251" t="n"/>
      <c r="L106" s="450" t="n"/>
      <c r="M106" s="450" t="n"/>
      <c r="N106" s="450" t="n"/>
      <c r="O106" s="450" t="n"/>
      <c r="Q106" s="119">
        <f>IF(OR(H106=47201,H106=47100,H106=47200,H106=47500),L106,0)</f>
        <v/>
      </c>
      <c r="R106" s="119">
        <f>IF(OR(H106=87201,H106=87100,H106=87200,H106=87500),L106,0)</f>
        <v/>
      </c>
    </row>
    <row r="107" ht="15" customHeight="1">
      <c r="A107" s="249">
        <f>IFERROR(VLOOKUP(E107,Tabellen!A:F,4),0)</f>
        <v/>
      </c>
      <c r="B107" s="74" t="n"/>
      <c r="C107" s="120">
        <f>IFERROR(VLOOKUP(E107,Tabellen!A:F,5),0)</f>
        <v/>
      </c>
      <c r="D107" s="249">
        <f>IFERROR(VLOOKUP(E107,Tabellen!A:F,6),0)</f>
        <v/>
      </c>
      <c r="E107" s="449" t="n"/>
      <c r="F107" s="75">
        <f>IF(E107&gt;0,$L$4,0)</f>
        <v/>
      </c>
      <c r="G107" s="256">
        <f>IFERROR(VLOOKUP(E107,Tabellen!A:F,2),0)</f>
        <v/>
      </c>
      <c r="H107" s="66">
        <f>IFERROR(VLOOKUP(E107,Tabellen!A:H,8),0)</f>
        <v/>
      </c>
      <c r="I107" s="250">
        <f>IFERROR(VLOOKUP(H107,Tabellen!H:I,2),0)</f>
        <v/>
      </c>
      <c r="J107" s="121" t="n"/>
      <c r="K107" s="251" t="n"/>
      <c r="L107" s="450" t="n"/>
      <c r="M107" s="450" t="n"/>
      <c r="N107" s="450" t="n"/>
      <c r="O107" s="450" t="n"/>
      <c r="Q107" s="119">
        <f>IF(OR(H107=47201,H107=47100,H107=47200,H107=47500),L107,0)</f>
        <v/>
      </c>
      <c r="R107" s="119">
        <f>IF(OR(H107=87201,H107=87100,H107=87200,H107=87500),L107,0)</f>
        <v/>
      </c>
    </row>
    <row r="108" ht="15" customHeight="1">
      <c r="A108" s="249">
        <f>IFERROR(VLOOKUP(E108,Tabellen!A:F,4),0)</f>
        <v/>
      </c>
      <c r="B108" s="74" t="n"/>
      <c r="C108" s="120">
        <f>IFERROR(VLOOKUP(E108,Tabellen!A:F,5),0)</f>
        <v/>
      </c>
      <c r="D108" s="249">
        <f>IFERROR(VLOOKUP(E108,Tabellen!A:F,6),0)</f>
        <v/>
      </c>
      <c r="E108" s="449" t="n"/>
      <c r="F108" s="75">
        <f>IF(E108&gt;0,$L$4,0)</f>
        <v/>
      </c>
      <c r="G108" s="256">
        <f>IFERROR(VLOOKUP(E108,Tabellen!A:F,2),0)</f>
        <v/>
      </c>
      <c r="H108" s="66">
        <f>IFERROR(VLOOKUP(E108,Tabellen!A:H,8),0)</f>
        <v/>
      </c>
      <c r="I108" s="250">
        <f>IFERROR(VLOOKUP(H108,Tabellen!H:I,2),0)</f>
        <v/>
      </c>
      <c r="J108" s="121" t="n"/>
      <c r="K108" s="251" t="n"/>
      <c r="L108" s="450" t="n"/>
      <c r="M108" s="450" t="n"/>
      <c r="N108" s="450" t="n"/>
      <c r="O108" s="450" t="n"/>
      <c r="Q108" s="119">
        <f>IF(OR(H108=47201,H108=47100,H108=47200,H108=47500),L108,0)</f>
        <v/>
      </c>
      <c r="R108" s="119">
        <f>IF(OR(H108=87201,H108=87100,H108=87200,H108=87500),L108,0)</f>
        <v/>
      </c>
    </row>
    <row r="109" ht="15" customHeight="1">
      <c r="A109" s="249">
        <f>IFERROR(VLOOKUP(E109,Tabellen!A:F,4),0)</f>
        <v/>
      </c>
      <c r="B109" s="74" t="n"/>
      <c r="C109" s="120">
        <f>IFERROR(VLOOKUP(E109,Tabellen!A:F,5),0)</f>
        <v/>
      </c>
      <c r="D109" s="249">
        <f>IFERROR(VLOOKUP(E109,Tabellen!A:F,6),0)</f>
        <v/>
      </c>
      <c r="E109" s="449" t="n"/>
      <c r="F109" s="75">
        <f>IF(E109&gt;0,$L$4,0)</f>
        <v/>
      </c>
      <c r="G109" s="256">
        <f>IFERROR(VLOOKUP(E109,Tabellen!A:F,2),0)</f>
        <v/>
      </c>
      <c r="H109" s="64">
        <f>IFERROR(VLOOKUP(E109,Tabellen!A:H,8),0)</f>
        <v/>
      </c>
      <c r="I109" s="250">
        <f>IFERROR(VLOOKUP(H109,Tabellen!H:I,2),0)</f>
        <v/>
      </c>
      <c r="J109" s="121" t="n"/>
      <c r="K109" s="251" t="n"/>
      <c r="L109" s="451" t="n"/>
      <c r="M109" s="451" t="n"/>
      <c r="N109" s="451" t="n"/>
      <c r="O109" s="451" t="n"/>
      <c r="Q109" s="119">
        <f>IF(OR(H109=47201,H109=47100,H109=47200,H109=47500),L109,0)</f>
        <v/>
      </c>
      <c r="R109" s="119">
        <f>IF(OR(H109=87201,H109=87100,H109=87200,H109=87500),L109,0)</f>
        <v/>
      </c>
    </row>
    <row r="110" ht="15" customFormat="1" customHeight="1" s="132">
      <c r="A110" s="252" t="inlineStr">
        <is>
          <t>Saldo inkomsten en uitgavenmutaties, dekking</t>
        </is>
      </c>
      <c r="B110" s="125" t="n"/>
      <c r="C110" s="125" t="n"/>
      <c r="D110" s="252" t="n"/>
      <c r="E110" s="125" t="n"/>
      <c r="F110" s="127" t="n"/>
      <c r="G110" s="253" t="n"/>
      <c r="H110" s="65" t="n"/>
      <c r="I110" s="254" t="n"/>
      <c r="J110" s="129" t="n"/>
      <c r="K110" s="255" t="n"/>
      <c r="L110" s="131">
        <f>SUM(L78:L109)</f>
        <v/>
      </c>
      <c r="M110" s="131">
        <f>SUM(M78:M109)</f>
        <v/>
      </c>
      <c r="N110" s="131">
        <f>SUM(N78:N109)</f>
        <v/>
      </c>
      <c r="O110" s="131">
        <f>SUM(O78:O109)</f>
        <v/>
      </c>
      <c r="Q110" s="119">
        <f>IF(OR(H110=47201,H110=47100,H110=47200,H110=47500),L110,0)</f>
        <v/>
      </c>
      <c r="R110" s="119">
        <f>IF(OR(H110=87201,H110=87100,H110=87200,H110=87500),L110,0)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63" t="n"/>
      <c r="I111" s="246" t="n"/>
      <c r="J111" s="73" t="n"/>
      <c r="K111" s="247" t="n"/>
      <c r="L111" s="116" t="n"/>
      <c r="M111" s="116" t="n"/>
      <c r="N111" s="116" t="n"/>
      <c r="O111" s="116" t="n"/>
      <c r="Q111" s="119">
        <f>IF(OR(H111=47201,H111=47100,H111=47200,H111=47500),L111,0)</f>
        <v/>
      </c>
      <c r="R111" s="119">
        <f>IF(OR(H111=87201,H111=87100,H111=87200,H111=87500),L111,0)</f>
        <v/>
      </c>
    </row>
    <row r="112" ht="15" customFormat="1" customHeight="1" s="119">
      <c r="A112" s="407" t="inlineStr">
        <is>
          <t>Controle mutatie inkomsten en uitgaven (exploitatiemutaties -/- dekking = leeg)</t>
        </is>
      </c>
      <c r="B112" s="81" t="n"/>
      <c r="C112" s="81" t="n"/>
      <c r="D112" s="257" t="n"/>
      <c r="E112" s="133" t="n"/>
      <c r="F112" s="81" t="n"/>
      <c r="G112" s="257" t="n"/>
      <c r="H112" s="67" t="n"/>
      <c r="I112" s="258" t="n"/>
      <c r="J112" s="135" t="n"/>
      <c r="K112" s="259" t="n"/>
      <c r="L112" s="408">
        <f>IF(L75+L110=0,"✓  Saldo = 0",L75+L110)</f>
        <v/>
      </c>
      <c r="M112" s="137">
        <f>M75+M110</f>
        <v/>
      </c>
      <c r="N112" s="137">
        <f>N75+N110</f>
        <v/>
      </c>
      <c r="O112" s="137">
        <f>O75+O110</f>
        <v/>
      </c>
      <c r="Q112" s="119">
        <f>IF(OR(H112=47201,H112=47100,H112=47200,H112=47500),L112,0)</f>
        <v/>
      </c>
      <c r="R112" s="119">
        <f>IF(OR(H112=87201,H112=87100,H112=87200,H112=87500),L112,0)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68" t="n"/>
      <c r="I113" s="261" t="n"/>
      <c r="J113" s="139" t="n"/>
      <c r="K113" s="262" t="n"/>
      <c r="L113" s="87" t="n"/>
      <c r="M113" s="87" t="n"/>
      <c r="N113" s="87" t="n"/>
      <c r="O113" s="87" t="n"/>
      <c r="Q113" s="119">
        <f>IF(OR(H113=47201,H113=47100,H113=47200,H113=47500),L113,0)</f>
        <v/>
      </c>
      <c r="R113" s="119">
        <f>IF(OR(H113=87201,H113=87100,H113=87200,H113=87500),L113,0)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68" t="n"/>
      <c r="I114" s="261" t="n"/>
      <c r="J114" s="139" t="n"/>
      <c r="K114" s="262" t="n"/>
      <c r="L114" s="87" t="n"/>
      <c r="M114" s="87" t="n"/>
      <c r="N114" s="87" t="n"/>
      <c r="O114" s="87" t="n"/>
      <c r="Q114" s="119">
        <f>IF(OR(H114=47201,H114=47100,H114=47200,H114=47500),L114,0)</f>
        <v/>
      </c>
      <c r="R114" s="119">
        <f>IF(OR(H114=87201,H114=87100,H114=87200,H114=87500),L114,0)</f>
        <v/>
      </c>
    </row>
    <row r="115" ht="15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68" t="n"/>
      <c r="I115" s="264" t="n"/>
      <c r="J115" s="83" t="n"/>
      <c r="K115" s="265" t="n"/>
      <c r="L115" s="87" t="n"/>
      <c r="M115" s="87" t="n"/>
      <c r="N115" s="87" t="n"/>
      <c r="O115" s="85" t="n"/>
      <c r="Q115" s="119">
        <f>IF(OR(H115=47201,H115=47100,H115=47200,H115=47500),L115,0)</f>
        <v/>
      </c>
      <c r="R115" s="119">
        <f>IF(OR(H115=87201,H115=87100,H115=87200,H115=87500),L115,0)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68" t="n"/>
      <c r="I116" s="261" t="n"/>
      <c r="J116" s="139" t="n"/>
      <c r="K116" s="262" t="n"/>
      <c r="L116" s="87" t="n"/>
      <c r="M116" s="87" t="n"/>
      <c r="N116" s="87" t="n"/>
      <c r="O116" s="85" t="n"/>
      <c r="Q116" s="119">
        <f>IF(OR(H116=47201,H116=47100,H116=47200,H116=47500),L116,0)</f>
        <v/>
      </c>
      <c r="R116" s="119">
        <f>IF(OR(H116=87201,H116=87100,H116=87200,H116=87500),L116,0)</f>
        <v/>
      </c>
    </row>
    <row r="117" ht="15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62" t="inlineStr">
        <is>
          <t>Kosten</t>
        </is>
      </c>
      <c r="I117" s="239" t="inlineStr">
        <is>
          <t>Omschrijving kostencategorie</t>
        </is>
      </c>
      <c r="J117" s="101" t="inlineStr">
        <is>
          <t>Nr ver-</t>
        </is>
      </c>
      <c r="K117" s="240" t="inlineStr">
        <is>
          <t xml:space="preserve">Omschrijving </t>
        </is>
      </c>
      <c r="L117" s="105" t="inlineStr">
        <is>
          <t>Begrotings-</t>
        </is>
      </c>
      <c r="M117" s="105" t="inlineStr">
        <is>
          <t>Mjb</t>
        </is>
      </c>
      <c r="N117" s="105" t="inlineStr">
        <is>
          <t>Mjb</t>
        </is>
      </c>
      <c r="O117" s="105" t="inlineStr">
        <is>
          <t>Mjb</t>
        </is>
      </c>
      <c r="Q117" s="119">
        <f>IF(OR(H117=47201,H117=47100,H117=47200,H117=47500),L117,0)</f>
        <v/>
      </c>
      <c r="R117" s="119">
        <f>IF(OR(H117=87201,H117=87100,H117=87200,H117=87500),L117,0)</f>
        <v/>
      </c>
    </row>
    <row r="118" ht="15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62" t="inlineStr">
        <is>
          <t>Cat</t>
        </is>
      </c>
      <c r="I118" s="239" t="n"/>
      <c r="J118" s="111" t="inlineStr">
        <is>
          <t>bijzondering</t>
        </is>
      </c>
      <c r="K118" s="243" t="inlineStr">
        <is>
          <t>verbijzondering</t>
        </is>
      </c>
      <c r="L118" s="105" t="inlineStr">
        <is>
          <t>jaar 2026</t>
        </is>
      </c>
      <c r="M118" s="105" t="inlineStr">
        <is>
          <t>jaar 2027</t>
        </is>
      </c>
      <c r="N118" s="105" t="inlineStr">
        <is>
          <t>jaar 2028</t>
        </is>
      </c>
      <c r="O118" s="105" t="inlineStr">
        <is>
          <t>jaar 2029</t>
        </is>
      </c>
      <c r="Q118" s="119">
        <f>IF(OR(H118=47201,H118=47100,H118=47200,H118=47500),L118,0)</f>
        <v/>
      </c>
      <c r="R118" s="119">
        <f>IF(OR(H118=87201,H118=87100,H118=87200,H118=87500),L118,0)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63" t="n"/>
      <c r="I119" s="246" t="n"/>
      <c r="J119" s="73" t="n"/>
      <c r="K119" s="247" t="n"/>
      <c r="L119" s="116" t="n"/>
      <c r="M119" s="116" t="n"/>
      <c r="N119" s="116" t="n"/>
      <c r="O119" s="116" t="n"/>
      <c r="Q119" s="119">
        <f>IF(OR(H119=47201,H119=47100,H119=47200,H119=47500),L119,0)</f>
        <v/>
      </c>
      <c r="R119" s="119">
        <f>IF(OR(H119=87201,H119=87100,H119=87200,H119=87500),L119,0)</f>
        <v/>
      </c>
    </row>
    <row r="120" ht="15" customHeight="1">
      <c r="A120" s="409" t="inlineStr">
        <is>
          <t>C. Investeringen</t>
        </is>
      </c>
      <c r="B120" s="410" t="n"/>
      <c r="C120" s="410" t="n"/>
      <c r="D120" s="409" t="n"/>
      <c r="E120" s="411" t="n"/>
      <c r="F120" s="412" t="n"/>
      <c r="G120" s="413" t="n"/>
      <c r="H120" s="414" t="n"/>
      <c r="I120" s="415" t="n"/>
      <c r="J120" s="412" t="n"/>
      <c r="K120" s="416" t="n"/>
      <c r="L120" s="417" t="n"/>
      <c r="M120" s="417" t="n"/>
      <c r="N120" s="417" t="n"/>
      <c r="O120" s="417" t="n"/>
      <c r="P120" s="400" t="n"/>
      <c r="Q120" s="418">
        <f>IF(OR(H120=47201,H120=47100,H120=47200,H120=47500),L120,0)</f>
        <v/>
      </c>
      <c r="R120" s="418">
        <f>IF(OR(H120=87201,H120=87100,H120=87200,H120=87500),L120,0)</f>
        <v/>
      </c>
    </row>
    <row r="121" ht="15" customHeight="1">
      <c r="A121" s="244" t="n"/>
      <c r="B121" s="71" t="n"/>
      <c r="C121" s="71" t="n"/>
      <c r="D121" s="244" t="n"/>
      <c r="E121" s="71" t="n"/>
      <c r="F121" s="113" t="n"/>
      <c r="G121" s="245" t="n"/>
      <c r="H121" s="63" t="n"/>
      <c r="I121" s="246" t="n"/>
      <c r="J121" s="73" t="n"/>
      <c r="K121" s="247" t="n"/>
      <c r="L121" s="116" t="n"/>
      <c r="M121" s="116" t="n"/>
      <c r="N121" s="116" t="n"/>
      <c r="O121" s="116" t="n"/>
      <c r="Q121" s="119">
        <f>IF(OR(H121=47201,H121=47100,H121=47200,H121=47500),L121,0)</f>
        <v/>
      </c>
      <c r="R121" s="119">
        <f>IF(OR(H121=87201,H121=87100,H121=87200,H121=87500),L121,0)</f>
        <v/>
      </c>
    </row>
    <row r="122" ht="15" customHeight="1">
      <c r="A122" s="267" t="inlineStr">
        <is>
          <t>Activa</t>
        </is>
      </c>
      <c r="B122" s="74" t="n"/>
      <c r="C122" s="74" t="n"/>
      <c r="D122" s="249" t="n"/>
      <c r="E122" s="74">
        <f>IF(J122&gt;1,"+",0)</f>
        <v/>
      </c>
      <c r="F122" s="70">
        <f>IF(E122&gt;0,$L$4,0)</f>
        <v/>
      </c>
      <c r="G122" s="256" t="n"/>
      <c r="H122" s="64" t="n"/>
      <c r="I122" s="250">
        <f>IFERROR(VLOOKUP(H122,Tabellen!H:I,2),0)</f>
        <v/>
      </c>
      <c r="J122" s="121" t="n"/>
      <c r="K122" s="251" t="n"/>
      <c r="L122" s="123" t="n"/>
      <c r="M122" s="123" t="n"/>
      <c r="N122" s="123" t="n"/>
      <c r="O122" s="123" t="n"/>
      <c r="Q122" s="119">
        <f>IF(OR(H122=47201,H122=47100,H122=47200,H122=47500),L122,0)</f>
        <v/>
      </c>
      <c r="R122" s="119">
        <f>IF(OR(H122=87201,H122=87100,H122=87200,H122=87500),L122,0)</f>
        <v/>
      </c>
    </row>
    <row r="123" ht="15" customHeight="1">
      <c r="A123" s="267" t="n"/>
      <c r="B123" s="74" t="n"/>
      <c r="C123" s="74" t="n"/>
      <c r="D123" s="249" t="n"/>
      <c r="E123" s="74">
        <f>IF(J123&gt;1,"+",0)</f>
        <v/>
      </c>
      <c r="F123" s="70">
        <f>IF(E123&gt;0,$L$4,0)</f>
        <v/>
      </c>
      <c r="G123" s="256" t="n"/>
      <c r="H123" s="64" t="n"/>
      <c r="I123" s="250">
        <f>IFERROR(VLOOKUP(H123,Tabellen!H:I,2),0)</f>
        <v/>
      </c>
      <c r="J123" s="121" t="n"/>
      <c r="K123" s="251" t="n"/>
      <c r="L123" s="123" t="n"/>
      <c r="M123" s="123" t="n"/>
      <c r="N123" s="123" t="n"/>
      <c r="O123" s="123" t="n"/>
      <c r="Q123" s="119">
        <f>IF(OR(H123=47201,H123=47100,H123=47200,H123=47500),L123,0)</f>
        <v/>
      </c>
      <c r="R123" s="119">
        <f>IF(OR(H123=87201,H123=87100,H123=87200,H123=87500),L123,0)</f>
        <v/>
      </c>
    </row>
    <row r="124" ht="15" customHeight="1">
      <c r="A124" s="267" t="n"/>
      <c r="B124" s="74" t="n"/>
      <c r="C124" s="74" t="n"/>
      <c r="D124" s="249" t="n"/>
      <c r="E124" s="74">
        <f>IF(J124&gt;1,"+",0)</f>
        <v/>
      </c>
      <c r="F124" s="70">
        <f>IF(E124&gt;0,$L$4,0)</f>
        <v/>
      </c>
      <c r="G124" s="256" t="n"/>
      <c r="H124" s="64" t="n"/>
      <c r="I124" s="250">
        <f>IFERROR(VLOOKUP(H124,Tabellen!H:I,2),0)</f>
        <v/>
      </c>
      <c r="J124" s="121" t="n"/>
      <c r="K124" s="251" t="n"/>
      <c r="L124" s="123" t="n"/>
      <c r="M124" s="123" t="n"/>
      <c r="N124" s="123" t="n"/>
      <c r="O124" s="123" t="n"/>
      <c r="Q124" s="119">
        <f>IF(OR(H124=47201,H124=47100,H124=47200,H124=47500),L124,0)</f>
        <v/>
      </c>
      <c r="R124" s="119">
        <f>IF(OR(H124=87201,H124=87100,H124=87200,H124=87500),L124,0)</f>
        <v/>
      </c>
    </row>
    <row r="125" ht="15" customHeight="1">
      <c r="A125" s="267" t="n"/>
      <c r="B125" s="74" t="n"/>
      <c r="C125" s="74" t="n"/>
      <c r="D125" s="249" t="n"/>
      <c r="E125" s="74">
        <f>IF(J125&gt;1,"+",0)</f>
        <v/>
      </c>
      <c r="F125" s="70">
        <f>IF(E125&gt;0,$L$4,0)</f>
        <v/>
      </c>
      <c r="G125" s="256" t="n"/>
      <c r="H125" s="64" t="n"/>
      <c r="I125" s="250">
        <f>IFERROR(VLOOKUP(H125,Tabellen!H:I,2),0)</f>
        <v/>
      </c>
      <c r="J125" s="121" t="n"/>
      <c r="K125" s="251" t="n"/>
      <c r="L125" s="123" t="n"/>
      <c r="M125" s="123" t="n"/>
      <c r="N125" s="123" t="n"/>
      <c r="O125" s="123" t="n"/>
      <c r="Q125" s="119">
        <f>IF(OR(H125=47201,H125=47100,H125=47200,H125=47500),L125,0)</f>
        <v/>
      </c>
      <c r="R125" s="119">
        <f>IF(OR(H125=87201,H125=87100,H125=87200,H125=87500),L125,0)</f>
        <v/>
      </c>
    </row>
    <row r="126" ht="15" customHeight="1">
      <c r="A126" s="267" t="n"/>
      <c r="B126" s="74" t="n"/>
      <c r="C126" s="74" t="n"/>
      <c r="D126" s="249" t="n"/>
      <c r="E126" s="74">
        <f>IF(J126&gt;1,"+",0)</f>
        <v/>
      </c>
      <c r="F126" s="70">
        <f>IF(E126&gt;0,$L$4,0)</f>
        <v/>
      </c>
      <c r="G126" s="256" t="n"/>
      <c r="H126" s="64" t="n"/>
      <c r="I126" s="250">
        <f>IFERROR(VLOOKUP(H126,Tabellen!H:I,2),0)</f>
        <v/>
      </c>
      <c r="J126" s="121" t="n"/>
      <c r="K126" s="251" t="n"/>
      <c r="L126" s="123" t="n"/>
      <c r="M126" s="123" t="n"/>
      <c r="N126" s="123" t="n"/>
      <c r="O126" s="123" t="n"/>
      <c r="Q126" s="119">
        <f>IF(OR(H126=47201,H126=47100,H126=47200,H126=47500),L126,0)</f>
        <v/>
      </c>
      <c r="R126" s="119">
        <f>IF(OR(H126=87201,H126=87100,H126=87200,H126=87500),L126,0)</f>
        <v/>
      </c>
    </row>
    <row r="127" ht="15" customHeight="1">
      <c r="A127" s="267" t="n"/>
      <c r="B127" s="74" t="n"/>
      <c r="C127" s="74" t="n"/>
      <c r="D127" s="249" t="n"/>
      <c r="E127" s="74">
        <f>IF(J127&gt;1,"+",0)</f>
        <v/>
      </c>
      <c r="F127" s="70">
        <f>IF(E127&gt;0,$L$4,0)</f>
        <v/>
      </c>
      <c r="G127" s="256" t="n"/>
      <c r="H127" s="64" t="n"/>
      <c r="I127" s="250">
        <f>IFERROR(VLOOKUP(H127,Tabellen!H:I,2),0)</f>
        <v/>
      </c>
      <c r="J127" s="121" t="n"/>
      <c r="K127" s="251" t="n"/>
      <c r="L127" s="123" t="n"/>
      <c r="M127" s="123" t="n"/>
      <c r="N127" s="123" t="n"/>
      <c r="O127" s="123" t="n"/>
      <c r="Q127" s="119">
        <f>IF(OR(H127=47201,H127=47100,H127=47200,H127=47500),L127,0)</f>
        <v/>
      </c>
      <c r="R127" s="119">
        <f>IF(OR(H127=87201,H127=87100,H127=87200,H127=87500),L127,0)</f>
        <v/>
      </c>
    </row>
    <row r="128" ht="15" customHeight="1">
      <c r="A128" s="267" t="n"/>
      <c r="B128" s="74" t="n"/>
      <c r="C128" s="74" t="n"/>
      <c r="D128" s="249" t="n"/>
      <c r="E128" s="74">
        <f>IF(J128&gt;1,"+",0)</f>
        <v/>
      </c>
      <c r="F128" s="70">
        <f>IF(E128&gt;0,$L$4,0)</f>
        <v/>
      </c>
      <c r="G128" s="256" t="n"/>
      <c r="H128" s="64" t="n"/>
      <c r="I128" s="250">
        <f>IFERROR(VLOOKUP(H128,Tabellen!H:I,2),0)</f>
        <v/>
      </c>
      <c r="J128" s="121" t="n"/>
      <c r="K128" s="251" t="n"/>
      <c r="L128" s="123" t="n"/>
      <c r="M128" s="123" t="n"/>
      <c r="N128" s="123" t="n"/>
      <c r="O128" s="123" t="n"/>
      <c r="Q128" s="119">
        <f>IF(OR(H128=47201,H128=47100,H128=47200,H128=47500),L128,0)</f>
        <v/>
      </c>
      <c r="R128" s="119">
        <f>IF(OR(H128=87201,H128=87100,H128=87200,H128=87500),L128,0)</f>
        <v/>
      </c>
    </row>
    <row r="129" ht="15" customHeight="1">
      <c r="A129" s="267" t="n"/>
      <c r="B129" s="74" t="n"/>
      <c r="C129" s="74" t="n"/>
      <c r="D129" s="249" t="n"/>
      <c r="E129" s="74">
        <f>IF(J129&gt;1,"+",0)</f>
        <v/>
      </c>
      <c r="F129" s="70">
        <f>IF(E129&gt;0,$L$4,0)</f>
        <v/>
      </c>
      <c r="G129" s="256" t="n"/>
      <c r="H129" s="64" t="n"/>
      <c r="I129" s="250">
        <f>IFERROR(VLOOKUP(H129,Tabellen!H:I,2),0)</f>
        <v/>
      </c>
      <c r="J129" s="121" t="n"/>
      <c r="K129" s="251" t="n"/>
      <c r="L129" s="123" t="n"/>
      <c r="M129" s="123" t="n"/>
      <c r="N129" s="123" t="n"/>
      <c r="O129" s="123" t="n"/>
      <c r="Q129" s="119">
        <f>IF(OR(H129=47201,H129=47100,H129=47200,H129=47500),L129,0)</f>
        <v/>
      </c>
      <c r="R129" s="119">
        <f>IF(OR(H129=87201,H129=87100,H129=87200,H129=87500),L129,0)</f>
        <v/>
      </c>
    </row>
    <row r="130" ht="15" customHeight="1">
      <c r="A130" s="267" t="n"/>
      <c r="B130" s="74" t="n"/>
      <c r="C130" s="74" t="n"/>
      <c r="D130" s="249" t="n"/>
      <c r="E130" s="74">
        <f>IF(J130&gt;1,"+",0)</f>
        <v/>
      </c>
      <c r="F130" s="70">
        <f>IF(E130&gt;0,$L$4,0)</f>
        <v/>
      </c>
      <c r="G130" s="256" t="n"/>
      <c r="H130" s="64" t="n"/>
      <c r="I130" s="250">
        <f>IFERROR(VLOOKUP(H130,Tabellen!H:I,2),0)</f>
        <v/>
      </c>
      <c r="J130" s="121" t="n"/>
      <c r="K130" s="251" t="n"/>
      <c r="L130" s="123" t="n"/>
      <c r="M130" s="123" t="n"/>
      <c r="N130" s="123" t="n"/>
      <c r="O130" s="123" t="n"/>
      <c r="Q130" s="119">
        <f>IF(OR(H130=47201,H130=47100,H130=47200,H130=47500),L130,0)</f>
        <v/>
      </c>
      <c r="R130" s="119">
        <f>IF(OR(H130=87201,H130=87100,H130=87200,H130=87500),L130,0)</f>
        <v/>
      </c>
    </row>
    <row r="131" ht="15" customHeight="1">
      <c r="A131" s="267" t="n"/>
      <c r="B131" s="74" t="n"/>
      <c r="C131" s="74" t="n"/>
      <c r="D131" s="249" t="n"/>
      <c r="E131" s="74">
        <f>IF(J131&gt;1,"+",0)</f>
        <v/>
      </c>
      <c r="F131" s="70">
        <f>IF(E131&gt;0,$L$4,0)</f>
        <v/>
      </c>
      <c r="G131" s="256" t="n"/>
      <c r="H131" s="64" t="n"/>
      <c r="I131" s="250">
        <f>IFERROR(VLOOKUP(H131,Tabellen!H:I,2),0)</f>
        <v/>
      </c>
      <c r="J131" s="121" t="n"/>
      <c r="K131" s="251" t="n"/>
      <c r="L131" s="123" t="n"/>
      <c r="M131" s="123" t="n"/>
      <c r="N131" s="123" t="n"/>
      <c r="O131" s="123" t="n"/>
      <c r="Q131" s="119">
        <f>IF(OR(H131=47201,H131=47100,H131=47200,H131=47500),L131,0)</f>
        <v/>
      </c>
      <c r="R131" s="119">
        <f>IF(OR(H131=87201,H131=87100,H131=87200,H131=87500),L131,0)</f>
        <v/>
      </c>
    </row>
    <row r="132" ht="15" customHeight="1">
      <c r="A132" s="267" t="n"/>
      <c r="B132" s="74" t="n"/>
      <c r="C132" s="74" t="n"/>
      <c r="D132" s="249" t="n"/>
      <c r="E132" s="74">
        <f>IF(J132&gt;1,"+",0)</f>
        <v/>
      </c>
      <c r="F132" s="70">
        <f>IF(E132&gt;0,$L$4,0)</f>
        <v/>
      </c>
      <c r="G132" s="256" t="n"/>
      <c r="H132" s="64" t="n"/>
      <c r="I132" s="250">
        <f>IFERROR(VLOOKUP(H132,Tabellen!H:I,2),0)</f>
        <v/>
      </c>
      <c r="J132" s="121" t="n"/>
      <c r="K132" s="251" t="n"/>
      <c r="L132" s="123" t="n"/>
      <c r="M132" s="123" t="n"/>
      <c r="N132" s="123" t="n"/>
      <c r="O132" s="123" t="n"/>
      <c r="Q132" s="119">
        <f>IF(OR(H132=47201,H132=47100,H132=47200,H132=47500),L132,0)</f>
        <v/>
      </c>
      <c r="R132" s="119">
        <f>IF(OR(H132=87201,H132=87100,H132=87200,H132=87500),L132,0)</f>
        <v/>
      </c>
    </row>
    <row r="133" ht="15" customHeight="1">
      <c r="A133" s="267" t="n"/>
      <c r="B133" s="74" t="n"/>
      <c r="C133" s="74" t="n"/>
      <c r="D133" s="249" t="n"/>
      <c r="E133" s="74">
        <f>IF(J133&gt;1,"+",0)</f>
        <v/>
      </c>
      <c r="F133" s="70">
        <f>IF(E133&gt;0,$L$4,0)</f>
        <v/>
      </c>
      <c r="G133" s="256" t="n"/>
      <c r="H133" s="64" t="n"/>
      <c r="I133" s="250">
        <f>IFERROR(VLOOKUP(H133,Tabellen!H:I,2),0)</f>
        <v/>
      </c>
      <c r="J133" s="121" t="n"/>
      <c r="K133" s="251" t="n"/>
      <c r="L133" s="123" t="n"/>
      <c r="M133" s="123" t="n"/>
      <c r="N133" s="123" t="n"/>
      <c r="O133" s="123" t="n"/>
      <c r="Q133" s="119">
        <f>IF(OR(H133=47201,H133=47100,H133=47200,H133=47500),L133,0)</f>
        <v/>
      </c>
      <c r="R133" s="119">
        <f>IF(OR(H133=87201,H133=87100,H133=87200,H133=87500),L133,0)</f>
        <v/>
      </c>
    </row>
    <row r="134" ht="15" customHeight="1">
      <c r="A134" s="267" t="n"/>
      <c r="B134" s="74" t="n"/>
      <c r="C134" s="74" t="n"/>
      <c r="D134" s="249" t="n"/>
      <c r="E134" s="74">
        <f>IF(J134&gt;1,"+",0)</f>
        <v/>
      </c>
      <c r="F134" s="70">
        <f>IF(E134&gt;0,$L$4,0)</f>
        <v/>
      </c>
      <c r="G134" s="256" t="n"/>
      <c r="H134" s="64" t="n"/>
      <c r="I134" s="250">
        <f>IFERROR(VLOOKUP(H134,Tabellen!H:I,2),0)</f>
        <v/>
      </c>
      <c r="J134" s="121" t="n"/>
      <c r="K134" s="251" t="n"/>
      <c r="L134" s="123" t="n"/>
      <c r="M134" s="123" t="n"/>
      <c r="N134" s="123" t="n"/>
      <c r="O134" s="123" t="n"/>
      <c r="Q134" s="119">
        <f>IF(OR(H134=47201,H134=47100,H134=47200,H134=47500),L134,0)</f>
        <v/>
      </c>
      <c r="R134" s="119">
        <f>IF(OR(H134=87201,H134=87100,H134=87200,H134=87500),L134,0)</f>
        <v/>
      </c>
    </row>
    <row r="135" ht="15" customHeight="1">
      <c r="A135" s="267" t="n"/>
      <c r="B135" s="74" t="n"/>
      <c r="C135" s="74" t="n"/>
      <c r="D135" s="249" t="n"/>
      <c r="E135" s="74">
        <f>IF(J135&gt;1,"+",0)</f>
        <v/>
      </c>
      <c r="F135" s="70">
        <f>IF(E135&gt;0,$L$4,0)</f>
        <v/>
      </c>
      <c r="G135" s="256" t="n"/>
      <c r="H135" s="64" t="n"/>
      <c r="I135" s="250">
        <f>IFERROR(VLOOKUP(H135,Tabellen!H:I,2),0)</f>
        <v/>
      </c>
      <c r="J135" s="121" t="n"/>
      <c r="K135" s="251" t="n"/>
      <c r="L135" s="123" t="n"/>
      <c r="M135" s="123" t="n"/>
      <c r="N135" s="123" t="n"/>
      <c r="O135" s="123" t="n"/>
      <c r="Q135" s="119">
        <f>IF(OR(H135=47201,H135=47100,H135=47200,H135=47500),L135,0)</f>
        <v/>
      </c>
      <c r="R135" s="119">
        <f>IF(OR(H135=87201,H135=87100,H135=87200,H135=87500),L135,0)</f>
        <v/>
      </c>
    </row>
    <row r="136" ht="15" customHeight="1">
      <c r="A136" s="267" t="n"/>
      <c r="B136" s="74" t="n"/>
      <c r="C136" s="74" t="n"/>
      <c r="D136" s="249" t="n"/>
      <c r="E136" s="74">
        <f>IF(J136&gt;1,"+",0)</f>
        <v/>
      </c>
      <c r="F136" s="70">
        <f>IF(E136&gt;0,$L$4,0)</f>
        <v/>
      </c>
      <c r="G136" s="256" t="n"/>
      <c r="H136" s="64" t="n"/>
      <c r="I136" s="250">
        <f>IFERROR(VLOOKUP(H136,Tabellen!H:I,2),0)</f>
        <v/>
      </c>
      <c r="J136" s="121" t="n"/>
      <c r="K136" s="251" t="n"/>
      <c r="L136" s="123" t="n"/>
      <c r="M136" s="123" t="n"/>
      <c r="N136" s="123" t="n"/>
      <c r="O136" s="123" t="n"/>
      <c r="Q136" s="119">
        <f>IF(OR(H136=47201,H136=47100,H136=47200,H136=47500),L136,0)</f>
        <v/>
      </c>
      <c r="R136" s="119">
        <f>IF(OR(H136=87201,H136=87100,H136=87200,H136=87500),L136,0)</f>
        <v/>
      </c>
    </row>
    <row r="137" ht="15" customHeight="1">
      <c r="A137" s="267" t="n"/>
      <c r="B137" s="74" t="n"/>
      <c r="C137" s="74" t="n"/>
      <c r="D137" s="249" t="n"/>
      <c r="E137" s="74">
        <f>IF(J137&gt;1,"+",0)</f>
        <v/>
      </c>
      <c r="F137" s="70">
        <f>IF(E137&gt;0,$L$4,0)</f>
        <v/>
      </c>
      <c r="G137" s="256" t="n"/>
      <c r="H137" s="64" t="n"/>
      <c r="I137" s="250">
        <f>IFERROR(VLOOKUP(H137,Tabellen!H:I,2),0)</f>
        <v/>
      </c>
      <c r="J137" s="121" t="n"/>
      <c r="K137" s="251" t="n"/>
      <c r="L137" s="123" t="n"/>
      <c r="M137" s="123" t="n"/>
      <c r="N137" s="123" t="n"/>
      <c r="O137" s="123" t="n"/>
      <c r="Q137" s="119">
        <f>IF(OR(H137=47201,H137=47100,H137=47200,H137=47500),L137,0)</f>
        <v/>
      </c>
      <c r="R137" s="119">
        <f>IF(OR(H137=87201,H137=87100,H137=87200,H137=87500),L137,0)</f>
        <v/>
      </c>
    </row>
    <row r="138" ht="15" customHeight="1">
      <c r="A138" s="267" t="n"/>
      <c r="B138" s="74" t="n"/>
      <c r="C138" s="74" t="n"/>
      <c r="D138" s="249" t="n"/>
      <c r="E138" s="74">
        <f>IF(J138&gt;1,"+",0)</f>
        <v/>
      </c>
      <c r="F138" s="70">
        <f>IF(E138&gt;0,$L$4,0)</f>
        <v/>
      </c>
      <c r="G138" s="256" t="n"/>
      <c r="H138" s="64" t="n"/>
      <c r="I138" s="250">
        <f>IFERROR(VLOOKUP(H138,Tabellen!H:I,2),0)</f>
        <v/>
      </c>
      <c r="J138" s="121" t="n"/>
      <c r="K138" s="251" t="n"/>
      <c r="L138" s="123" t="n"/>
      <c r="M138" s="123" t="n"/>
      <c r="N138" s="123" t="n"/>
      <c r="O138" s="123" t="n"/>
      <c r="Q138" s="119">
        <f>IF(OR(H138=47201,H138=47100,H138=47200,H138=47500),L138,0)</f>
        <v/>
      </c>
      <c r="R138" s="119">
        <f>IF(OR(H138=87201,H138=87100,H138=87200,H138=87500),L138,0)</f>
        <v/>
      </c>
    </row>
    <row r="139" ht="15" customHeight="1">
      <c r="A139" s="267" t="n"/>
      <c r="B139" s="74" t="n"/>
      <c r="C139" s="74" t="n"/>
      <c r="D139" s="249" t="n"/>
      <c r="E139" s="74">
        <f>IF(J139&gt;1,"+",0)</f>
        <v/>
      </c>
      <c r="F139" s="70">
        <f>IF(E139&gt;0,$L$4,0)</f>
        <v/>
      </c>
      <c r="G139" s="256" t="n"/>
      <c r="H139" s="64" t="n"/>
      <c r="I139" s="250">
        <f>IFERROR(VLOOKUP(H139,Tabellen!H:I,2),0)</f>
        <v/>
      </c>
      <c r="J139" s="121" t="n"/>
      <c r="K139" s="251" t="n"/>
      <c r="L139" s="123" t="n"/>
      <c r="M139" s="123" t="n"/>
      <c r="N139" s="123" t="n"/>
      <c r="O139" s="123" t="n"/>
      <c r="Q139" s="119">
        <f>IF(OR(H139=47201,H139=47100,H139=47200,H139=47500),L139,0)</f>
        <v/>
      </c>
      <c r="R139" s="119">
        <f>IF(OR(H139=87201,H139=87100,H139=87200,H139=87500),L139,0)</f>
        <v/>
      </c>
    </row>
    <row r="140" ht="15" customHeight="1">
      <c r="A140" s="267" t="n"/>
      <c r="B140" s="74" t="n"/>
      <c r="C140" s="74" t="n"/>
      <c r="D140" s="249" t="n"/>
      <c r="E140" s="74">
        <f>IF(J140&gt;1,"+",0)</f>
        <v/>
      </c>
      <c r="F140" s="70">
        <f>IF(E140&gt;0,$L$4,0)</f>
        <v/>
      </c>
      <c r="G140" s="256" t="n"/>
      <c r="H140" s="64" t="n"/>
      <c r="I140" s="250">
        <f>IFERROR(VLOOKUP(H140,Tabellen!H:I,2),0)</f>
        <v/>
      </c>
      <c r="J140" s="121" t="n"/>
      <c r="K140" s="251" t="n"/>
      <c r="L140" s="123" t="n"/>
      <c r="M140" s="123" t="n"/>
      <c r="N140" s="123" t="n"/>
      <c r="O140" s="123" t="n"/>
      <c r="Q140" s="119">
        <f>IF(OR(H140=47201,H140=47100,H140=47200,H140=47500),L140,0)</f>
        <v/>
      </c>
      <c r="R140" s="119">
        <f>IF(OR(H140=87201,H140=87100,H140=87200,H140=87500),L140,0)</f>
        <v/>
      </c>
    </row>
    <row r="141" ht="15" customHeight="1">
      <c r="A141" s="267" t="n"/>
      <c r="B141" s="74" t="n"/>
      <c r="C141" s="74" t="n"/>
      <c r="D141" s="249" t="n"/>
      <c r="E141" s="74">
        <f>IF(J141&gt;1,"+",0)</f>
        <v/>
      </c>
      <c r="F141" s="70">
        <f>IF(E141&gt;0,$L$4,0)</f>
        <v/>
      </c>
      <c r="G141" s="256" t="n"/>
      <c r="H141" s="64" t="n"/>
      <c r="I141" s="250">
        <f>IFERROR(VLOOKUP(H141,Tabellen!H:I,2),0)</f>
        <v/>
      </c>
      <c r="J141" s="121" t="n"/>
      <c r="K141" s="251" t="n"/>
      <c r="L141" s="123" t="n"/>
      <c r="M141" s="123" t="n"/>
      <c r="N141" s="123" t="n"/>
      <c r="O141" s="123" t="n"/>
      <c r="Q141" s="119">
        <f>IF(OR(H141=47201,H141=47100,H141=47200,H141=47500),L141,0)</f>
        <v/>
      </c>
      <c r="R141" s="119">
        <f>IF(OR(H141=87201,H141=87100,H141=87200,H141=87500),L141,0)</f>
        <v/>
      </c>
    </row>
    <row r="142" ht="15" customHeight="1">
      <c r="A142" s="267" t="n"/>
      <c r="B142" s="74" t="n"/>
      <c r="C142" s="74" t="n"/>
      <c r="D142" s="249" t="n"/>
      <c r="E142" s="74">
        <f>IF(J142&gt;1,"+",0)</f>
        <v/>
      </c>
      <c r="F142" s="70">
        <f>IF(E142&gt;0,$L$4,0)</f>
        <v/>
      </c>
      <c r="G142" s="256" t="n"/>
      <c r="H142" s="64" t="n"/>
      <c r="I142" s="250">
        <f>IFERROR(VLOOKUP(H142,Tabellen!H:I,2),0)</f>
        <v/>
      </c>
      <c r="J142" s="121" t="n"/>
      <c r="K142" s="251" t="n"/>
      <c r="L142" s="123" t="n"/>
      <c r="M142" s="123" t="n"/>
      <c r="N142" s="123" t="n"/>
      <c r="O142" s="123" t="n"/>
      <c r="Q142" s="119">
        <f>IF(OR(H142=47201,H142=47100,H142=47200,H142=47500),L142,0)</f>
        <v/>
      </c>
      <c r="R142" s="119">
        <f>IF(OR(H142=87201,H142=87100,H142=87200,H142=87500),L142,0)</f>
        <v/>
      </c>
    </row>
    <row r="143" ht="15" customHeight="1">
      <c r="A143" s="267" t="n"/>
      <c r="B143" s="74" t="n"/>
      <c r="C143" s="74" t="n"/>
      <c r="D143" s="249" t="n"/>
      <c r="E143" s="74">
        <f>IF(J143&gt;1,"+",0)</f>
        <v/>
      </c>
      <c r="F143" s="70">
        <f>IF(E143&gt;0,$L$4,0)</f>
        <v/>
      </c>
      <c r="G143" s="256" t="n"/>
      <c r="H143" s="64" t="n"/>
      <c r="I143" s="250">
        <f>IFERROR(VLOOKUP(H143,Tabellen!H:I,2),0)</f>
        <v/>
      </c>
      <c r="J143" s="121" t="n"/>
      <c r="K143" s="251" t="n"/>
      <c r="L143" s="123" t="n"/>
      <c r="M143" s="123" t="n"/>
      <c r="N143" s="123" t="n"/>
      <c r="O143" s="123" t="n"/>
      <c r="Q143" s="119">
        <f>IF(OR(H143=47201,H143=47100,H143=47200,H143=47500),L143,0)</f>
        <v/>
      </c>
      <c r="R143" s="119">
        <f>IF(OR(H143=87201,H143=87100,H143=87200,H143=87500),L143,0)</f>
        <v/>
      </c>
    </row>
    <row r="144" ht="15" customHeight="1">
      <c r="A144" s="267" t="n"/>
      <c r="B144" s="74" t="n"/>
      <c r="C144" s="74" t="n"/>
      <c r="D144" s="249" t="n"/>
      <c r="E144" s="74">
        <f>IF(J144&gt;1,"+",0)</f>
        <v/>
      </c>
      <c r="F144" s="70">
        <f>IF(E144&gt;0,$L$4,0)</f>
        <v/>
      </c>
      <c r="G144" s="256" t="n"/>
      <c r="H144" s="64" t="n"/>
      <c r="I144" s="250">
        <f>IFERROR(VLOOKUP(H144,Tabellen!H:I,2),0)</f>
        <v/>
      </c>
      <c r="J144" s="121" t="n"/>
      <c r="K144" s="251" t="n"/>
      <c r="L144" s="123" t="n"/>
      <c r="M144" s="123" t="n"/>
      <c r="N144" s="123" t="n"/>
      <c r="O144" s="123" t="n"/>
      <c r="Q144" s="119">
        <f>IF(OR(H144=47201,H144=47100,H144=47200,H144=47500),L144,0)</f>
        <v/>
      </c>
      <c r="R144" s="119">
        <f>IF(OR(H144=87201,H144=87100,H144=87200,H144=87500),L144,0)</f>
        <v/>
      </c>
    </row>
    <row r="145" ht="15" customHeight="1">
      <c r="A145" s="267" t="n"/>
      <c r="B145" s="74" t="n"/>
      <c r="C145" s="74" t="n"/>
      <c r="D145" s="249" t="n"/>
      <c r="E145" s="74">
        <f>IF(J145&gt;1,"+",0)</f>
        <v/>
      </c>
      <c r="F145" s="70">
        <f>IF(E145&gt;0,$L$4,0)</f>
        <v/>
      </c>
      <c r="G145" s="256" t="n"/>
      <c r="H145" s="64" t="n"/>
      <c r="I145" s="250">
        <f>IFERROR(VLOOKUP(H145,Tabellen!H:I,2),0)</f>
        <v/>
      </c>
      <c r="J145" s="121" t="n"/>
      <c r="K145" s="251" t="n"/>
      <c r="L145" s="123" t="n"/>
      <c r="M145" s="123" t="n"/>
      <c r="N145" s="123" t="n"/>
      <c r="O145" s="123" t="n"/>
      <c r="Q145" s="119">
        <f>IF(OR(H145=47201,H145=47100,H145=47200,H145=47500),L145,0)</f>
        <v/>
      </c>
      <c r="R145" s="119">
        <f>IF(OR(H145=87201,H145=87100,H145=87200,H145=87500),L145,0)</f>
        <v/>
      </c>
    </row>
    <row r="146" ht="15" customHeight="1">
      <c r="A146" s="267" t="n"/>
      <c r="B146" s="74" t="n"/>
      <c r="C146" s="74" t="n"/>
      <c r="D146" s="249" t="n"/>
      <c r="E146" s="74">
        <f>IF(J146&gt;1,"+",0)</f>
        <v/>
      </c>
      <c r="F146" s="70">
        <f>IF(E146&gt;0,$L$4,0)</f>
        <v/>
      </c>
      <c r="G146" s="256" t="n"/>
      <c r="H146" s="64" t="n"/>
      <c r="I146" s="250">
        <f>IFERROR(VLOOKUP(H146,Tabellen!H:I,2),0)</f>
        <v/>
      </c>
      <c r="J146" s="121" t="n"/>
      <c r="K146" s="251" t="n"/>
      <c r="L146" s="123" t="n"/>
      <c r="M146" s="123" t="n"/>
      <c r="N146" s="123" t="n"/>
      <c r="O146" s="123" t="n"/>
      <c r="Q146" s="119">
        <f>IF(OR(H146=47201,H146=47100,H146=47200,H146=47500),L146,0)</f>
        <v/>
      </c>
      <c r="R146" s="119">
        <f>IF(OR(H146=87201,H146=87100,H146=87200,H146=87500),L146,0)</f>
        <v/>
      </c>
    </row>
    <row r="147" ht="15" customHeight="1">
      <c r="A147" s="267" t="n"/>
      <c r="B147" s="74" t="n"/>
      <c r="C147" s="74" t="n"/>
      <c r="D147" s="249" t="n"/>
      <c r="E147" s="74">
        <f>IF(J147&gt;1,"+",0)</f>
        <v/>
      </c>
      <c r="F147" s="70">
        <f>IF(E147&gt;0,$L$4,0)</f>
        <v/>
      </c>
      <c r="G147" s="256" t="n"/>
      <c r="H147" s="64" t="n"/>
      <c r="I147" s="250">
        <f>IFERROR(VLOOKUP(H147,Tabellen!H:I,2),0)</f>
        <v/>
      </c>
      <c r="J147" s="121" t="n"/>
      <c r="K147" s="251" t="n"/>
      <c r="L147" s="123" t="n"/>
      <c r="M147" s="123" t="n"/>
      <c r="N147" s="123" t="n"/>
      <c r="O147" s="123" t="n"/>
      <c r="Q147" s="119">
        <f>IF(OR(H147=47201,H147=47100,H147=47200,H147=47500),L147,0)</f>
        <v/>
      </c>
      <c r="R147" s="119">
        <f>IF(OR(H147=87201,H147=87100,H147=87200,H147=87500),L147,0)</f>
        <v/>
      </c>
    </row>
    <row r="148" ht="15" customHeight="1">
      <c r="A148" s="267" t="n"/>
      <c r="B148" s="74" t="n"/>
      <c r="C148" s="74" t="n"/>
      <c r="D148" s="249" t="n"/>
      <c r="E148" s="74">
        <f>IF(J148&gt;1,"+",0)</f>
        <v/>
      </c>
      <c r="F148" s="70">
        <f>IF(E148&gt;0,$L$4,0)</f>
        <v/>
      </c>
      <c r="G148" s="256" t="n"/>
      <c r="H148" s="64" t="n"/>
      <c r="I148" s="250">
        <f>IFERROR(VLOOKUP(H148,Tabellen!H:I,2),0)</f>
        <v/>
      </c>
      <c r="J148" s="121" t="n"/>
      <c r="K148" s="251" t="n"/>
      <c r="L148" s="123" t="n"/>
      <c r="M148" s="123" t="n"/>
      <c r="N148" s="123" t="n"/>
      <c r="O148" s="123" t="n"/>
      <c r="Q148" s="119">
        <f>IF(OR(H148=47201,H148=47100,H148=47200,H148=47500),L148,0)</f>
        <v/>
      </c>
      <c r="R148" s="119">
        <f>IF(OR(H148=87201,H148=87100,H148=87200,H148=87500),L148,0)</f>
        <v/>
      </c>
    </row>
    <row r="149" ht="15" customHeight="1">
      <c r="A149" s="267" t="n"/>
      <c r="B149" s="74" t="n"/>
      <c r="C149" s="74" t="n"/>
      <c r="D149" s="249" t="n"/>
      <c r="E149" s="74">
        <f>IF(J149&gt;1,"+",0)</f>
        <v/>
      </c>
      <c r="F149" s="70">
        <f>IF(E149&gt;0,$L$4,0)</f>
        <v/>
      </c>
      <c r="G149" s="256" t="n"/>
      <c r="H149" s="64" t="n"/>
      <c r="I149" s="250">
        <f>IFERROR(VLOOKUP(H149,Tabellen!H:I,2),0)</f>
        <v/>
      </c>
      <c r="J149" s="121" t="n"/>
      <c r="K149" s="251" t="n"/>
      <c r="L149" s="123" t="n"/>
      <c r="M149" s="123" t="n"/>
      <c r="N149" s="123" t="n"/>
      <c r="O149" s="123" t="n"/>
      <c r="Q149" s="119">
        <f>IF(OR(H149=47201,H149=47100,H149=47200,H149=47500),L149,0)</f>
        <v/>
      </c>
      <c r="R149" s="119">
        <f>IF(OR(H149=87201,H149=87100,H149=87200,H149=87500),L149,0)</f>
        <v/>
      </c>
    </row>
    <row r="150" ht="15" customHeight="1">
      <c r="A150" s="267" t="n"/>
      <c r="B150" s="74" t="n"/>
      <c r="C150" s="74" t="n"/>
      <c r="D150" s="249" t="n"/>
      <c r="E150" s="74">
        <f>IF(J150&gt;1,"+",0)</f>
        <v/>
      </c>
      <c r="F150" s="70">
        <f>IF(E150&gt;0,$L$4,0)</f>
        <v/>
      </c>
      <c r="G150" s="256" t="n"/>
      <c r="H150" s="64" t="n"/>
      <c r="I150" s="250">
        <f>IFERROR(VLOOKUP(H150,Tabellen!H:I,2),0)</f>
        <v/>
      </c>
      <c r="J150" s="121" t="n"/>
      <c r="K150" s="251" t="n"/>
      <c r="L150" s="123" t="n"/>
      <c r="M150" s="123" t="n"/>
      <c r="N150" s="123" t="n"/>
      <c r="O150" s="123" t="n"/>
      <c r="Q150" s="119">
        <f>IF(OR(H150=47201,H150=47100,H150=47200,H150=47500),L150,0)</f>
        <v/>
      </c>
      <c r="R150" s="119">
        <f>IF(OR(H150=87201,H150=87100,H150=87200,H150=87500),L150,0)</f>
        <v/>
      </c>
    </row>
    <row r="151" ht="15" customHeight="1">
      <c r="A151" s="267" t="n"/>
      <c r="B151" s="74" t="n"/>
      <c r="C151" s="74" t="n"/>
      <c r="D151" s="249" t="n"/>
      <c r="E151" s="74">
        <f>IF(J151&gt;1,"+",0)</f>
        <v/>
      </c>
      <c r="F151" s="70">
        <f>IF(E151&gt;0,$L$4,0)</f>
        <v/>
      </c>
      <c r="G151" s="256" t="n"/>
      <c r="H151" s="64" t="n"/>
      <c r="I151" s="250">
        <f>IFERROR(VLOOKUP(H151,Tabellen!H:I,2),0)</f>
        <v/>
      </c>
      <c r="J151" s="121" t="n"/>
      <c r="K151" s="251" t="n"/>
      <c r="L151" s="123" t="n"/>
      <c r="M151" s="123" t="n"/>
      <c r="N151" s="123" t="n"/>
      <c r="O151" s="123" t="n"/>
      <c r="Q151" s="119">
        <f>IF(OR(H151=47201,H151=47100,H151=47200,H151=47500),L151,0)</f>
        <v/>
      </c>
      <c r="R151" s="119">
        <f>IF(OR(H151=87201,H151=87100,H151=87200,H151=87500),L151,0)</f>
        <v/>
      </c>
    </row>
    <row r="152" ht="15" customHeight="1">
      <c r="A152" s="267" t="n"/>
      <c r="B152" s="74" t="n"/>
      <c r="C152" s="74" t="n"/>
      <c r="D152" s="249" t="n"/>
      <c r="E152" s="74">
        <f>IF(J152&gt;1,"+",0)</f>
        <v/>
      </c>
      <c r="F152" s="70">
        <f>IF(E152&gt;0,$L$4,0)</f>
        <v/>
      </c>
      <c r="G152" s="256" t="n"/>
      <c r="H152" s="64" t="n"/>
      <c r="I152" s="250">
        <f>IFERROR(VLOOKUP(H152,Tabellen!H:I,2),0)</f>
        <v/>
      </c>
      <c r="J152" s="121" t="n"/>
      <c r="K152" s="251" t="n"/>
      <c r="L152" s="123" t="n"/>
      <c r="M152" s="123" t="n"/>
      <c r="N152" s="123" t="n"/>
      <c r="O152" s="123" t="n"/>
      <c r="Q152" s="119">
        <f>IF(OR(H152=47201,H152=47100,H152=47200,H152=47500),L152,0)</f>
        <v/>
      </c>
      <c r="R152" s="119">
        <f>IF(OR(H152=87201,H152=87100,H152=87200,H152=87500),L152,0)</f>
        <v/>
      </c>
    </row>
    <row r="153" ht="15" customHeight="1">
      <c r="A153" s="267" t="n"/>
      <c r="B153" s="74" t="n"/>
      <c r="C153" s="74" t="n"/>
      <c r="D153" s="249" t="n"/>
      <c r="E153" s="74">
        <f>IF(J153&gt;1,"+",0)</f>
        <v/>
      </c>
      <c r="F153" s="70">
        <f>IF(E153&gt;0,$L$4,0)</f>
        <v/>
      </c>
      <c r="G153" s="256" t="n"/>
      <c r="H153" s="64" t="n"/>
      <c r="I153" s="250">
        <f>IFERROR(VLOOKUP(H153,Tabellen!H:I,2),0)</f>
        <v/>
      </c>
      <c r="J153" s="121" t="n"/>
      <c r="K153" s="251" t="n"/>
      <c r="L153" s="123" t="n"/>
      <c r="M153" s="123" t="n"/>
      <c r="N153" s="123" t="n"/>
      <c r="O153" s="123" t="n"/>
      <c r="Q153" s="119">
        <f>IF(OR(H153=47201,H153=47100,H153=47200,H153=47500),L153,0)</f>
        <v/>
      </c>
      <c r="R153" s="119">
        <f>IF(OR(H153=87201,H153=87100,H153=87200,H153=87500),L153,0)</f>
        <v/>
      </c>
    </row>
    <row r="154" ht="15" customHeight="1">
      <c r="A154" s="267" t="n"/>
      <c r="B154" s="74" t="n"/>
      <c r="C154" s="74" t="n"/>
      <c r="D154" s="249" t="n"/>
      <c r="E154" s="74">
        <f>IF(J154&gt;1,"+",0)</f>
        <v/>
      </c>
      <c r="F154" s="70">
        <f>IF(E154&gt;0,$L$4,0)</f>
        <v/>
      </c>
      <c r="G154" s="256" t="n"/>
      <c r="H154" s="64" t="n"/>
      <c r="I154" s="250">
        <f>IFERROR(VLOOKUP(H154,Tabellen!H:I,2),0)</f>
        <v/>
      </c>
      <c r="J154" s="121" t="n"/>
      <c r="K154" s="251" t="n"/>
      <c r="L154" s="123" t="n"/>
      <c r="M154" s="123" t="n"/>
      <c r="N154" s="123" t="n"/>
      <c r="O154" s="123" t="n"/>
      <c r="Q154" s="119">
        <f>IF(OR(H154=47201,H154=47100,H154=47200,H154=47500),L154,0)</f>
        <v/>
      </c>
      <c r="R154" s="119">
        <f>IF(OR(H154=87201,H154=87100,H154=87200,H154=87500),L154,0)</f>
        <v/>
      </c>
    </row>
    <row r="155" ht="15" customHeight="1">
      <c r="A155" s="267" t="n"/>
      <c r="B155" s="74" t="n"/>
      <c r="C155" s="74" t="n"/>
      <c r="D155" s="249" t="n"/>
      <c r="E155" s="74">
        <f>IF(J155&gt;1,"+",0)</f>
        <v/>
      </c>
      <c r="F155" s="70">
        <f>IF(E155&gt;0,$L$4,0)</f>
        <v/>
      </c>
      <c r="G155" s="256" t="n"/>
      <c r="H155" s="64" t="n"/>
      <c r="I155" s="250">
        <f>IFERROR(VLOOKUP(H155,Tabellen!H:I,2),0)</f>
        <v/>
      </c>
      <c r="J155" s="121" t="n"/>
      <c r="K155" s="251" t="n"/>
      <c r="L155" s="123" t="n"/>
      <c r="M155" s="123" t="n"/>
      <c r="N155" s="123" t="n"/>
      <c r="O155" s="123" t="n"/>
      <c r="Q155" s="119">
        <f>IF(OR(H155=47201,H155=47100,H155=47200,H155=47500),L155,0)</f>
        <v/>
      </c>
      <c r="R155" s="119">
        <f>IF(OR(H155=87201,H155=87100,H155=87200,H155=87500),L155,0)</f>
        <v/>
      </c>
    </row>
    <row r="156" ht="15" customHeight="1">
      <c r="A156" s="267" t="n"/>
      <c r="B156" s="74" t="n"/>
      <c r="C156" s="74" t="n"/>
      <c r="D156" s="249" t="n"/>
      <c r="E156" s="74">
        <f>IF(J156&gt;1,"+",0)</f>
        <v/>
      </c>
      <c r="F156" s="70">
        <f>IF(E156&gt;0,$L$4,0)</f>
        <v/>
      </c>
      <c r="G156" s="256" t="n"/>
      <c r="H156" s="64" t="n"/>
      <c r="I156" s="250">
        <f>IFERROR(VLOOKUP(H156,Tabellen!H:I,2),0)</f>
        <v/>
      </c>
      <c r="J156" s="121" t="n"/>
      <c r="K156" s="251" t="n"/>
      <c r="L156" s="123" t="n"/>
      <c r="M156" s="123" t="n"/>
      <c r="N156" s="123" t="n"/>
      <c r="O156" s="123" t="n"/>
      <c r="Q156" s="119">
        <f>IF(OR(H156=47201,H156=47100,H156=47200,H156=47500),L156,0)</f>
        <v/>
      </c>
      <c r="R156" s="119">
        <f>IF(OR(H156=87201,H156=87100,H156=87200,H156=87500),L156,0)</f>
        <v/>
      </c>
    </row>
    <row r="157" ht="15" customHeight="1">
      <c r="A157" s="267" t="n"/>
      <c r="B157" s="74" t="n"/>
      <c r="C157" s="74" t="n"/>
      <c r="D157" s="249" t="n"/>
      <c r="E157" s="74">
        <f>IF(J157&gt;1,"+",0)</f>
        <v/>
      </c>
      <c r="F157" s="70">
        <f>IF(E157&gt;0,$L$4,0)</f>
        <v/>
      </c>
      <c r="G157" s="256" t="n"/>
      <c r="H157" s="64" t="n"/>
      <c r="I157" s="250">
        <f>IFERROR(VLOOKUP(H157,Tabellen!H:I,2),0)</f>
        <v/>
      </c>
      <c r="J157" s="121" t="n"/>
      <c r="K157" s="251" t="n"/>
      <c r="L157" s="123" t="n"/>
      <c r="M157" s="123" t="n"/>
      <c r="N157" s="123" t="n"/>
      <c r="O157" s="123" t="n"/>
      <c r="Q157" s="119">
        <f>IF(OR(H157=47201,H157=47100,H157=47200,H157=47500),L157,0)</f>
        <v/>
      </c>
      <c r="R157" s="119">
        <f>IF(OR(H157=87201,H157=87100,H157=87200,H157=87500),L157,0)</f>
        <v/>
      </c>
    </row>
    <row r="158" ht="15" customHeight="1">
      <c r="A158" s="267" t="n"/>
      <c r="B158" s="74" t="n"/>
      <c r="C158" s="74" t="n"/>
      <c r="D158" s="249" t="n"/>
      <c r="E158" s="74">
        <f>IF(J158&gt;1,"+",0)</f>
        <v/>
      </c>
      <c r="F158" s="70">
        <f>IF(E158&gt;0,$L$4,0)</f>
        <v/>
      </c>
      <c r="G158" s="256" t="n"/>
      <c r="H158" s="64" t="n"/>
      <c r="I158" s="250">
        <f>IFERROR(VLOOKUP(H158,Tabellen!H:I,2),0)</f>
        <v/>
      </c>
      <c r="J158" s="121" t="n"/>
      <c r="K158" s="251" t="n"/>
      <c r="L158" s="123" t="n"/>
      <c r="M158" s="123" t="n"/>
      <c r="N158" s="123" t="n"/>
      <c r="O158" s="123" t="n"/>
      <c r="Q158" s="119">
        <f>IF(OR(H158=47201,H158=47100,H158=47200,H158=47500),L158,0)</f>
        <v/>
      </c>
      <c r="R158" s="119">
        <f>IF(OR(H158=87201,H158=87100,H158=87200,H158=87500),L158,0)</f>
        <v/>
      </c>
    </row>
    <row r="159" ht="15" customHeight="1">
      <c r="A159" s="267" t="n"/>
      <c r="B159" s="74" t="n"/>
      <c r="C159" s="74" t="n"/>
      <c r="D159" s="249" t="n"/>
      <c r="E159" s="74">
        <f>IF(J159&gt;1,"+",0)</f>
        <v/>
      </c>
      <c r="F159" s="70">
        <f>IF(E159&gt;0,$L$4,0)</f>
        <v/>
      </c>
      <c r="G159" s="256" t="n"/>
      <c r="H159" s="64" t="n"/>
      <c r="I159" s="250">
        <f>IFERROR(VLOOKUP(H159,Tabellen!H:I,2),0)</f>
        <v/>
      </c>
      <c r="J159" s="121" t="n"/>
      <c r="K159" s="251" t="n"/>
      <c r="L159" s="123" t="n"/>
      <c r="M159" s="123" t="n"/>
      <c r="N159" s="123" t="n"/>
      <c r="O159" s="123" t="n"/>
      <c r="Q159" s="119">
        <f>IF(OR(H159=47201,H159=47100,H159=47200,H159=47500),L159,0)</f>
        <v/>
      </c>
      <c r="R159" s="119">
        <f>IF(OR(H159=87201,H159=87100,H159=87200,H159=87500),L159,0)</f>
        <v/>
      </c>
    </row>
    <row r="160" ht="15" customHeight="1">
      <c r="A160" s="267" t="n"/>
      <c r="B160" s="74" t="n"/>
      <c r="C160" s="74" t="n"/>
      <c r="D160" s="249" t="n"/>
      <c r="E160" s="74">
        <f>IF(J160&gt;1,"+",0)</f>
        <v/>
      </c>
      <c r="F160" s="70">
        <f>IF(E160&gt;0,$L$4,0)</f>
        <v/>
      </c>
      <c r="G160" s="256" t="n"/>
      <c r="H160" s="64" t="n"/>
      <c r="I160" s="250">
        <f>IFERROR(VLOOKUP(H160,Tabellen!H:I,2),0)</f>
        <v/>
      </c>
      <c r="J160" s="121" t="n"/>
      <c r="K160" s="251" t="n"/>
      <c r="L160" s="123" t="n"/>
      <c r="M160" s="123" t="n"/>
      <c r="N160" s="123" t="n"/>
      <c r="O160" s="123" t="n"/>
      <c r="Q160" s="119">
        <f>IF(OR(H160=47201,H160=47100,H160=47200,H160=47500),L160,0)</f>
        <v/>
      </c>
      <c r="R160" s="119">
        <f>IF(OR(H160=87201,H160=87100,H160=87200,H160=87500),L160,0)</f>
        <v/>
      </c>
    </row>
    <row r="161" ht="15" customHeight="1">
      <c r="A161" s="267" t="n"/>
      <c r="B161" s="74" t="n"/>
      <c r="C161" s="74" t="n"/>
      <c r="D161" s="249" t="n"/>
      <c r="E161" s="74">
        <f>IF(J161&gt;1,"+",0)</f>
        <v/>
      </c>
      <c r="F161" s="70">
        <f>IF(E161&gt;0,$L$4,0)</f>
        <v/>
      </c>
      <c r="G161" s="256" t="n"/>
      <c r="H161" s="64" t="n"/>
      <c r="I161" s="250">
        <f>IFERROR(VLOOKUP(H161,Tabellen!H:I,2),0)</f>
        <v/>
      </c>
      <c r="J161" s="121" t="n"/>
      <c r="K161" s="251" t="n"/>
      <c r="L161" s="123" t="n"/>
      <c r="M161" s="123" t="n"/>
      <c r="N161" s="123" t="n"/>
      <c r="O161" s="123" t="n"/>
      <c r="Q161" s="119">
        <f>IF(OR(H161=47201,H161=47100,H161=47200,H161=47500),L161,0)</f>
        <v/>
      </c>
      <c r="R161" s="119">
        <f>IF(OR(H161=87201,H161=87100,H161=87200,H161=87500),L161,0)</f>
        <v/>
      </c>
    </row>
    <row r="162" ht="15" customHeight="1">
      <c r="A162" s="267" t="n"/>
      <c r="B162" s="74" t="n"/>
      <c r="C162" s="74" t="n"/>
      <c r="D162" s="249" t="n"/>
      <c r="E162" s="74">
        <f>IF(J162&gt;1,"+",0)</f>
        <v/>
      </c>
      <c r="F162" s="70">
        <f>IF(E162&gt;0,$L$4,0)</f>
        <v/>
      </c>
      <c r="G162" s="256" t="n"/>
      <c r="H162" s="64" t="n"/>
      <c r="I162" s="250">
        <f>IFERROR(VLOOKUP(H162,Tabellen!H:I,2),0)</f>
        <v/>
      </c>
      <c r="J162" s="121" t="n"/>
      <c r="K162" s="251" t="n"/>
      <c r="L162" s="123" t="n"/>
      <c r="M162" s="123" t="n"/>
      <c r="N162" s="123" t="n"/>
      <c r="O162" s="123" t="n"/>
      <c r="Q162" s="119">
        <f>IF(OR(H162=47201,H162=47100,H162=47200,H162=47500),L162,0)</f>
        <v/>
      </c>
      <c r="R162" s="119">
        <f>IF(OR(H162=87201,H162=87100,H162=87200,H162=87500),L162,0)</f>
        <v/>
      </c>
    </row>
    <row r="163" ht="15" customHeight="1">
      <c r="A163" s="267" t="n"/>
      <c r="B163" s="74" t="n"/>
      <c r="C163" s="74" t="n"/>
      <c r="D163" s="249" t="n"/>
      <c r="E163" s="74">
        <f>IF(J163&gt;1,"+",0)</f>
        <v/>
      </c>
      <c r="F163" s="70">
        <f>IF(E163&gt;0,$L$4,0)</f>
        <v/>
      </c>
      <c r="G163" s="256" t="n"/>
      <c r="H163" s="64" t="n"/>
      <c r="I163" s="250">
        <f>IFERROR(VLOOKUP(H163,Tabellen!H:I,2),0)</f>
        <v/>
      </c>
      <c r="J163" s="121" t="n"/>
      <c r="K163" s="251" t="n"/>
      <c r="L163" s="123" t="n"/>
      <c r="M163" s="123" t="n"/>
      <c r="N163" s="123" t="n"/>
      <c r="O163" s="123" t="n"/>
      <c r="Q163" s="119">
        <f>IF(OR(H163=47201,H163=47100,H163=47200,H163=47500),L163,0)</f>
        <v/>
      </c>
      <c r="R163" s="119">
        <f>IF(OR(H163=87201,H163=87100,H163=87200,H163=87500),L163,0)</f>
        <v/>
      </c>
    </row>
    <row r="164" ht="15" customHeight="1">
      <c r="A164" s="267" t="n"/>
      <c r="B164" s="74" t="n"/>
      <c r="C164" s="74" t="n"/>
      <c r="D164" s="249" t="n"/>
      <c r="E164" s="74">
        <f>IF(J164&gt;1,"+",0)</f>
        <v/>
      </c>
      <c r="F164" s="70">
        <f>IF(E164&gt;0,$L$4,0)</f>
        <v/>
      </c>
      <c r="G164" s="256" t="n"/>
      <c r="H164" s="64" t="n"/>
      <c r="I164" s="250">
        <f>IFERROR(VLOOKUP(H164,Tabellen!H:I,2),0)</f>
        <v/>
      </c>
      <c r="J164" s="121" t="n"/>
      <c r="K164" s="251" t="n"/>
      <c r="L164" s="123" t="n"/>
      <c r="M164" s="123" t="n"/>
      <c r="N164" s="123" t="n"/>
      <c r="O164" s="123" t="n"/>
      <c r="Q164" s="119">
        <f>IF(OR(H164=47201,H164=47100,H164=47200,H164=47500),L164,0)</f>
        <v/>
      </c>
      <c r="R164" s="119">
        <f>IF(OR(H164=87201,H164=87100,H164=87200,H164=87500),L164,0)</f>
        <v/>
      </c>
    </row>
    <row r="165" ht="15" customHeight="1">
      <c r="A165" s="267" t="n"/>
      <c r="B165" s="74" t="n"/>
      <c r="C165" s="74" t="n"/>
      <c r="D165" s="249" t="n"/>
      <c r="E165" s="74">
        <f>IF(J165&gt;1,"+",0)</f>
        <v/>
      </c>
      <c r="F165" s="70">
        <f>IF(E165&gt;0,$L$4,0)</f>
        <v/>
      </c>
      <c r="G165" s="256" t="n"/>
      <c r="H165" s="64" t="n"/>
      <c r="I165" s="250">
        <f>IFERROR(VLOOKUP(H165,Tabellen!H:I,2),0)</f>
        <v/>
      </c>
      <c r="J165" s="121" t="n"/>
      <c r="K165" s="251" t="n"/>
      <c r="L165" s="123" t="n"/>
      <c r="M165" s="123" t="n"/>
      <c r="N165" s="123" t="n"/>
      <c r="O165" s="123" t="n"/>
      <c r="Q165" s="119">
        <f>IF(OR(H165=47201,H165=47100,H165=47200,H165=47500),L165,0)</f>
        <v/>
      </c>
      <c r="R165" s="119">
        <f>IF(OR(H165=87201,H165=87100,H165=87200,H165=87500),L165,0)</f>
        <v/>
      </c>
    </row>
    <row r="166" ht="15" customHeight="1">
      <c r="A166" s="267" t="n"/>
      <c r="B166" s="74" t="n"/>
      <c r="C166" s="74" t="n"/>
      <c r="D166" s="249" t="n"/>
      <c r="E166" s="74">
        <f>IF(J166&gt;1,"+",0)</f>
        <v/>
      </c>
      <c r="F166" s="70">
        <f>IF(E166&gt;0,$L$4,0)</f>
        <v/>
      </c>
      <c r="G166" s="256" t="n"/>
      <c r="H166" s="64" t="n"/>
      <c r="I166" s="250">
        <f>IFERROR(VLOOKUP(H166,Tabellen!H:I,2),0)</f>
        <v/>
      </c>
      <c r="J166" s="121" t="n"/>
      <c r="K166" s="251" t="n"/>
      <c r="L166" s="123" t="n"/>
      <c r="M166" s="123" t="n"/>
      <c r="N166" s="123" t="n"/>
      <c r="O166" s="123" t="n"/>
      <c r="Q166" s="119">
        <f>IF(OR(H166=47201,H166=47100,H166=47200,H166=47500),L166,0)</f>
        <v/>
      </c>
      <c r="R166" s="119">
        <f>IF(OR(H166=87201,H166=87100,H166=87200,H166=87500),L166,0)</f>
        <v/>
      </c>
    </row>
    <row r="167" ht="15" customHeight="1">
      <c r="A167" s="267" t="n"/>
      <c r="B167" s="74" t="n"/>
      <c r="C167" s="74" t="n"/>
      <c r="D167" s="249" t="n"/>
      <c r="E167" s="74">
        <f>IF(J167&gt;1,"+",0)</f>
        <v/>
      </c>
      <c r="F167" s="70">
        <f>IF(E167&gt;0,$L$4,0)</f>
        <v/>
      </c>
      <c r="G167" s="256" t="n"/>
      <c r="H167" s="64" t="n"/>
      <c r="I167" s="250">
        <f>IFERROR(VLOOKUP(H167,Tabellen!H:I,2),0)</f>
        <v/>
      </c>
      <c r="J167" s="121" t="n"/>
      <c r="K167" s="251" t="n"/>
      <c r="L167" s="124" t="n"/>
      <c r="M167" s="124" t="n"/>
      <c r="N167" s="124" t="n"/>
      <c r="O167" s="124" t="n"/>
      <c r="Q167" s="119">
        <f>IF(OR(H167=47201,H167=47100,H167=47200,H167=47500),L167,0)</f>
        <v/>
      </c>
      <c r="R167" s="119">
        <f>IF(OR(H167=87201,H167=87100,H167=87200,H167=87500),L167,0)</f>
        <v/>
      </c>
    </row>
    <row r="168" ht="15" customFormat="1" customHeight="1" s="132">
      <c r="A168" s="252" t="inlineStr">
        <is>
          <t>Saldo mutaties investeringen</t>
        </is>
      </c>
      <c r="B168" s="125" t="n"/>
      <c r="C168" s="125" t="n"/>
      <c r="D168" s="252" t="n"/>
      <c r="E168" s="143">
        <f>IF(J168&gt;1,"+",0)</f>
        <v/>
      </c>
      <c r="F168" s="127" t="n"/>
      <c r="G168" s="253" t="n"/>
      <c r="H168" s="65" t="n"/>
      <c r="I168" s="254" t="n"/>
      <c r="J168" s="129" t="n"/>
      <c r="K168" s="255" t="n"/>
      <c r="L168" s="131">
        <f>SUM(L122:L167)</f>
        <v/>
      </c>
      <c r="M168" s="131">
        <f>SUM(M122:M167)</f>
        <v/>
      </c>
      <c r="N168" s="131">
        <f>SUM(N122:N167)</f>
        <v/>
      </c>
      <c r="O168" s="131">
        <f>SUM(O122:O167)</f>
        <v/>
      </c>
      <c r="Q168" s="119">
        <f>IF(OR(H168=47201,H168=47100,H168=47200,H168=47500),L168,0)</f>
        <v/>
      </c>
      <c r="R168" s="119">
        <f>IF(OR(H168=87201,H168=87100,H168=87200,H168=87500),L168,0)</f>
        <v/>
      </c>
    </row>
    <row r="169" ht="15" customHeight="1">
      <c r="A169" s="244" t="n"/>
      <c r="B169" s="71" t="n"/>
      <c r="C169" s="71" t="n"/>
      <c r="D169" s="244" t="n"/>
      <c r="E169" s="71">
        <f>IF(J169&gt;1,"+",0)</f>
        <v/>
      </c>
      <c r="F169" s="113" t="n"/>
      <c r="G169" s="245" t="n"/>
      <c r="H169" s="63" t="n"/>
      <c r="I169" s="246" t="n"/>
      <c r="J169" s="73" t="n"/>
      <c r="K169" s="247" t="n"/>
      <c r="L169" s="116" t="n"/>
      <c r="M169" s="116" t="n"/>
      <c r="N169" s="116" t="n"/>
      <c r="O169" s="116" t="n"/>
      <c r="Q169" s="119">
        <f>IF(OR(H169=47201,H169=47100,H169=47200,H169=47500),L169,0)</f>
        <v/>
      </c>
      <c r="R169" s="119">
        <f>IF(OR(H169=87201,H169=87100,H169=87200,H169=87500),L169,0)</f>
        <v/>
      </c>
    </row>
    <row r="170" ht="15" customHeight="1">
      <c r="A170" s="419" t="inlineStr">
        <is>
          <t>D. Reserves</t>
        </is>
      </c>
      <c r="B170" s="420" t="n"/>
      <c r="C170" s="420" t="n"/>
      <c r="D170" s="419" t="n"/>
      <c r="E170" s="420">
        <f>IF(J170&gt;1,"+",0)</f>
        <v/>
      </c>
      <c r="F170" s="421" t="n"/>
      <c r="G170" s="422" t="n"/>
      <c r="H170" s="423" t="n"/>
      <c r="I170" s="424" t="n"/>
      <c r="J170" s="421" t="n"/>
      <c r="K170" s="425" t="n"/>
      <c r="L170" s="426" t="n"/>
      <c r="M170" s="426" t="n"/>
      <c r="N170" s="426" t="n"/>
      <c r="O170" s="426" t="n"/>
      <c r="P170" s="406" t="n"/>
      <c r="Q170" s="427">
        <f>IF(OR(H170=47201,H170=47100,H170=47200,H170=47500),L170,0)</f>
        <v/>
      </c>
      <c r="R170" s="427">
        <f>IF(OR(H170=87201,H170=87100,H170=87200,H170=87500),L170,0)</f>
        <v/>
      </c>
    </row>
    <row r="171" ht="15" customHeight="1">
      <c r="A171" s="244" t="n"/>
      <c r="B171" s="71" t="n"/>
      <c r="C171" s="71" t="n"/>
      <c r="D171" s="244" t="n"/>
      <c r="E171" s="71">
        <f>IF(J171&gt;1,"+",0)</f>
        <v/>
      </c>
      <c r="F171" s="113" t="n"/>
      <c r="G171" s="245" t="n"/>
      <c r="H171" s="63" t="n"/>
      <c r="I171" s="246" t="n"/>
      <c r="J171" s="73" t="n"/>
      <c r="K171" s="247" t="n"/>
      <c r="L171" s="116" t="n"/>
      <c r="M171" s="116" t="n"/>
      <c r="N171" s="116" t="n"/>
      <c r="O171" s="116" t="n"/>
      <c r="Q171" s="119">
        <f>IF(OR(H171=47201,H171=47100,H171=47200,H171=47500),L171,0)</f>
        <v/>
      </c>
      <c r="R171" s="119">
        <f>IF(OR(H171=87201,H171=87100,H171=87200,H171=87500),L171,0)</f>
        <v/>
      </c>
    </row>
    <row r="172" ht="15" customHeight="1">
      <c r="A172" s="267" t="n"/>
      <c r="B172" s="74" t="n"/>
      <c r="C172" s="74" t="n"/>
      <c r="D172" s="249" t="n"/>
      <c r="E172" s="74">
        <f>IF(J172&gt;1,"+",0)</f>
        <v/>
      </c>
      <c r="F172" s="75" t="n"/>
      <c r="G172" s="256" t="n"/>
      <c r="H172" s="64" t="n"/>
      <c r="I172" s="250">
        <f>IFERROR(VLOOKUP(H172,Tabellen!H:I,2),0)</f>
        <v/>
      </c>
      <c r="J172" s="121" t="n"/>
      <c r="K172" s="251" t="n"/>
      <c r="L172" s="123" t="n"/>
      <c r="M172" s="123" t="n"/>
      <c r="N172" s="123" t="n"/>
      <c r="O172" s="123" t="n"/>
      <c r="Q172" s="119">
        <f>IF(OR(H172=47201,H172=47100,H172=47200,H172=47500),L172,0)</f>
        <v/>
      </c>
      <c r="R172" s="119">
        <f>IF(OR(H172=87201,H172=87100,H172=87200,H172=87500),L172,0)</f>
        <v/>
      </c>
    </row>
    <row r="173" ht="15" customHeight="1">
      <c r="A173" s="267">
        <f>A78</f>
        <v/>
      </c>
      <c r="B173" s="74" t="n"/>
      <c r="C173" s="74">
        <f>C78</f>
        <v/>
      </c>
      <c r="D173" s="249">
        <f>D78</f>
        <v/>
      </c>
      <c r="E173" s="74">
        <f>E78</f>
        <v/>
      </c>
      <c r="F173" s="75">
        <f>IF(E173&gt;0,$L$4,0)</f>
        <v/>
      </c>
      <c r="G173" s="256">
        <f>G78</f>
        <v/>
      </c>
      <c r="H173" s="64">
        <f>H78</f>
        <v/>
      </c>
      <c r="I173" s="250">
        <f>I78</f>
        <v/>
      </c>
      <c r="J173" s="121" t="n"/>
      <c r="K173" s="251" t="n"/>
      <c r="L173" s="123">
        <f>L78</f>
        <v/>
      </c>
      <c r="M173" s="123">
        <f>M78</f>
        <v/>
      </c>
      <c r="N173" s="123">
        <f>N78</f>
        <v/>
      </c>
      <c r="O173" s="123">
        <f>O78</f>
        <v/>
      </c>
      <c r="Q173" s="119">
        <f>IF(OR(H173=47201,H173=47100,H173=47200,H173=47500),L173,0)</f>
        <v/>
      </c>
      <c r="R173" s="119">
        <f>IF(OR(H173=87201,H173=87100,H173=87200,H173=87500),L173,0)</f>
        <v/>
      </c>
    </row>
    <row r="174" ht="15" customHeight="1">
      <c r="A174" s="267">
        <f>A79</f>
        <v/>
      </c>
      <c r="B174" s="74" t="n"/>
      <c r="C174" s="74">
        <f>C79</f>
        <v/>
      </c>
      <c r="D174" s="249">
        <f>D79</f>
        <v/>
      </c>
      <c r="E174" s="74">
        <f>E79</f>
        <v/>
      </c>
      <c r="F174" s="75">
        <f>IF(E174&gt;0,$L$4,0)</f>
        <v/>
      </c>
      <c r="G174" s="256">
        <f>G79</f>
        <v/>
      </c>
      <c r="H174" s="64">
        <f>H79</f>
        <v/>
      </c>
      <c r="I174" s="250">
        <f>I79</f>
        <v/>
      </c>
      <c r="J174" s="121" t="n"/>
      <c r="K174" s="251" t="n"/>
      <c r="L174" s="123">
        <f>L79</f>
        <v/>
      </c>
      <c r="M174" s="123">
        <f>M79</f>
        <v/>
      </c>
      <c r="N174" s="123">
        <f>N79</f>
        <v/>
      </c>
      <c r="O174" s="123">
        <f>O79</f>
        <v/>
      </c>
      <c r="Q174" s="119">
        <f>IF(OR(H174=47201,H174=47100,H174=47200,H174=47500),L174,0)</f>
        <v/>
      </c>
      <c r="R174" s="119">
        <f>IF(OR(H174=87201,H174=87100,H174=87200,H174=87500),L174,0)</f>
        <v/>
      </c>
    </row>
    <row r="175" ht="15" customHeight="1">
      <c r="A175" s="267">
        <f>A80</f>
        <v/>
      </c>
      <c r="B175" s="74" t="n"/>
      <c r="C175" s="74">
        <f>C80</f>
        <v/>
      </c>
      <c r="D175" s="249">
        <f>D80</f>
        <v/>
      </c>
      <c r="E175" s="74">
        <f>E80</f>
        <v/>
      </c>
      <c r="F175" s="75">
        <f>IF(E175&gt;0,$L$4,0)</f>
        <v/>
      </c>
      <c r="G175" s="256">
        <f>G80</f>
        <v/>
      </c>
      <c r="H175" s="64">
        <f>H80</f>
        <v/>
      </c>
      <c r="I175" s="250">
        <f>I80</f>
        <v/>
      </c>
      <c r="J175" s="121" t="n"/>
      <c r="K175" s="251" t="n"/>
      <c r="L175" s="123">
        <f>L80</f>
        <v/>
      </c>
      <c r="M175" s="123">
        <f>M80</f>
        <v/>
      </c>
      <c r="N175" s="123">
        <f>N80</f>
        <v/>
      </c>
      <c r="O175" s="123">
        <f>O80</f>
        <v/>
      </c>
      <c r="Q175" s="119">
        <f>IF(OR(H175=47201,H175=47100,H175=47200,H175=47500),L175,0)</f>
        <v/>
      </c>
      <c r="R175" s="119">
        <f>IF(OR(H175=87201,H175=87100,H175=87200,H175=87500),L175,0)</f>
        <v/>
      </c>
    </row>
    <row r="176" ht="15" customHeight="1">
      <c r="A176" s="267">
        <f>A81</f>
        <v/>
      </c>
      <c r="B176" s="74" t="n"/>
      <c r="C176" s="74">
        <f>C81</f>
        <v/>
      </c>
      <c r="D176" s="249">
        <f>D81</f>
        <v/>
      </c>
      <c r="E176" s="74">
        <f>E81</f>
        <v/>
      </c>
      <c r="F176" s="75">
        <f>IF(E176&gt;0,$L$4,0)</f>
        <v/>
      </c>
      <c r="G176" s="256">
        <f>G81</f>
        <v/>
      </c>
      <c r="H176" s="64">
        <f>H81</f>
        <v/>
      </c>
      <c r="I176" s="250">
        <f>I81</f>
        <v/>
      </c>
      <c r="J176" s="121" t="n"/>
      <c r="K176" s="251" t="n"/>
      <c r="L176" s="123">
        <f>L81</f>
        <v/>
      </c>
      <c r="M176" s="123">
        <f>M81</f>
        <v/>
      </c>
      <c r="N176" s="123">
        <f>N81</f>
        <v/>
      </c>
      <c r="O176" s="123">
        <f>O81</f>
        <v/>
      </c>
      <c r="Q176" s="119">
        <f>IF(OR(H176=47201,H176=47100,H176=47200,H176=47500),L176,0)</f>
        <v/>
      </c>
      <c r="R176" s="119">
        <f>IF(OR(H176=87201,H176=87100,H176=87200,H176=87500),L176,0)</f>
        <v/>
      </c>
    </row>
    <row r="177" ht="15" customHeight="1">
      <c r="A177" s="267">
        <f>A82</f>
        <v/>
      </c>
      <c r="B177" s="74" t="n"/>
      <c r="C177" s="74">
        <f>C82</f>
        <v/>
      </c>
      <c r="D177" s="249">
        <f>D82</f>
        <v/>
      </c>
      <c r="E177" s="74">
        <f>E82</f>
        <v/>
      </c>
      <c r="F177" s="75">
        <f>IF(E177&gt;0,$L$4,0)</f>
        <v/>
      </c>
      <c r="G177" s="256">
        <f>G82</f>
        <v/>
      </c>
      <c r="H177" s="64">
        <f>H82</f>
        <v/>
      </c>
      <c r="I177" s="250">
        <f>I82</f>
        <v/>
      </c>
      <c r="J177" s="121" t="n"/>
      <c r="K177" s="251" t="n"/>
      <c r="L177" s="123">
        <f>L82</f>
        <v/>
      </c>
      <c r="M177" s="123">
        <f>M82</f>
        <v/>
      </c>
      <c r="N177" s="123">
        <f>N82</f>
        <v/>
      </c>
      <c r="O177" s="123">
        <f>O82</f>
        <v/>
      </c>
      <c r="Q177" s="119">
        <f>IF(OR(H177=47201,H177=47100,H177=47200,H177=47500),L177,0)</f>
        <v/>
      </c>
      <c r="R177" s="119">
        <f>IF(OR(H177=87201,H177=87100,H177=87200,H177=87500),L177,0)</f>
        <v/>
      </c>
    </row>
    <row r="178" ht="15" customHeight="1">
      <c r="A178" s="267">
        <f>A83</f>
        <v/>
      </c>
      <c r="B178" s="74" t="n"/>
      <c r="C178" s="74">
        <f>C83</f>
        <v/>
      </c>
      <c r="D178" s="249">
        <f>D83</f>
        <v/>
      </c>
      <c r="E178" s="74">
        <f>E83</f>
        <v/>
      </c>
      <c r="F178" s="75">
        <f>IF(E178&gt;0,$L$4,0)</f>
        <v/>
      </c>
      <c r="G178" s="256">
        <f>G83</f>
        <v/>
      </c>
      <c r="H178" s="64">
        <f>H83</f>
        <v/>
      </c>
      <c r="I178" s="250">
        <f>I83</f>
        <v/>
      </c>
      <c r="J178" s="121" t="n"/>
      <c r="K178" s="251" t="n"/>
      <c r="L178" s="123">
        <f>L83</f>
        <v/>
      </c>
      <c r="M178" s="123">
        <f>M83</f>
        <v/>
      </c>
      <c r="N178" s="123">
        <f>N83</f>
        <v/>
      </c>
      <c r="O178" s="123">
        <f>O83</f>
        <v/>
      </c>
      <c r="Q178" s="119">
        <f>IF(OR(H178=47201,H178=47100,H178=47200,H178=47500),L178,0)</f>
        <v/>
      </c>
      <c r="R178" s="119">
        <f>IF(OR(H178=87201,H178=87100,H178=87200,H178=87500),L178,0)</f>
        <v/>
      </c>
    </row>
    <row r="179" ht="15" customHeight="1">
      <c r="A179" s="267">
        <f>A84</f>
        <v/>
      </c>
      <c r="B179" s="74" t="n"/>
      <c r="C179" s="74">
        <f>C84</f>
        <v/>
      </c>
      <c r="D179" s="249">
        <f>D84</f>
        <v/>
      </c>
      <c r="E179" s="74">
        <f>E84</f>
        <v/>
      </c>
      <c r="F179" s="75">
        <f>IF(E179&gt;0,$L$4,0)</f>
        <v/>
      </c>
      <c r="G179" s="256">
        <f>G84</f>
        <v/>
      </c>
      <c r="H179" s="64">
        <f>H84</f>
        <v/>
      </c>
      <c r="I179" s="250">
        <f>I84</f>
        <v/>
      </c>
      <c r="J179" s="121" t="n"/>
      <c r="K179" s="251" t="n"/>
      <c r="L179" s="123">
        <f>L84</f>
        <v/>
      </c>
      <c r="M179" s="123">
        <f>M84</f>
        <v/>
      </c>
      <c r="N179" s="123">
        <f>N84</f>
        <v/>
      </c>
      <c r="O179" s="123">
        <f>O84</f>
        <v/>
      </c>
      <c r="Q179" s="119">
        <f>IF(OR(H179=47201,H179=47100,H179=47200,H179=47500),L179,0)</f>
        <v/>
      </c>
      <c r="R179" s="119">
        <f>IF(OR(H179=87201,H179=87100,H179=87200,H179=87500),L179,0)</f>
        <v/>
      </c>
    </row>
    <row r="180" ht="15" customHeight="1">
      <c r="A180" s="267">
        <f>A85</f>
        <v/>
      </c>
      <c r="B180" s="74" t="n"/>
      <c r="C180" s="74">
        <f>C85</f>
        <v/>
      </c>
      <c r="D180" s="249">
        <f>D85</f>
        <v/>
      </c>
      <c r="E180" s="74">
        <f>E85</f>
        <v/>
      </c>
      <c r="F180" s="75">
        <f>IF(E180&gt;0,$L$4,0)</f>
        <v/>
      </c>
      <c r="G180" s="256">
        <f>G85</f>
        <v/>
      </c>
      <c r="H180" s="64">
        <f>H85</f>
        <v/>
      </c>
      <c r="I180" s="250">
        <f>I85</f>
        <v/>
      </c>
      <c r="J180" s="121" t="n"/>
      <c r="K180" s="251" t="n"/>
      <c r="L180" s="123">
        <f>L85</f>
        <v/>
      </c>
      <c r="M180" s="123">
        <f>M85</f>
        <v/>
      </c>
      <c r="N180" s="123">
        <f>N85</f>
        <v/>
      </c>
      <c r="O180" s="123">
        <f>O85</f>
        <v/>
      </c>
      <c r="Q180" s="119">
        <f>IF(OR(H180=47201,H180=47100,H180=47200,H180=47500),L180,0)</f>
        <v/>
      </c>
      <c r="R180" s="119">
        <f>IF(OR(H180=87201,H180=87100,H180=87200,H180=87500),L180,0)</f>
        <v/>
      </c>
    </row>
    <row r="181" ht="15" customHeight="1">
      <c r="A181" s="267">
        <f>A86</f>
        <v/>
      </c>
      <c r="B181" s="74" t="n"/>
      <c r="C181" s="74">
        <f>C86</f>
        <v/>
      </c>
      <c r="D181" s="249">
        <f>D86</f>
        <v/>
      </c>
      <c r="E181" s="74">
        <f>E86</f>
        <v/>
      </c>
      <c r="F181" s="75">
        <f>IF(E181&gt;0,$L$4,0)</f>
        <v/>
      </c>
      <c r="G181" s="256">
        <f>G86</f>
        <v/>
      </c>
      <c r="H181" s="64">
        <f>H86</f>
        <v/>
      </c>
      <c r="I181" s="250">
        <f>I86</f>
        <v/>
      </c>
      <c r="J181" s="121" t="n"/>
      <c r="K181" s="251" t="n"/>
      <c r="L181" s="123">
        <f>L86</f>
        <v/>
      </c>
      <c r="M181" s="123">
        <f>M86</f>
        <v/>
      </c>
      <c r="N181" s="123">
        <f>N86</f>
        <v/>
      </c>
      <c r="O181" s="123">
        <f>O86</f>
        <v/>
      </c>
      <c r="Q181" s="119">
        <f>IF(OR(H181=47201,H181=47100,H181=47200,H181=47500),L181,0)</f>
        <v/>
      </c>
      <c r="R181" s="119">
        <f>IF(OR(H181=87201,H181=87100,H181=87200,H181=87500),L181,0)</f>
        <v/>
      </c>
    </row>
    <row r="182" ht="15" customHeight="1">
      <c r="A182" s="267">
        <f>A87</f>
        <v/>
      </c>
      <c r="B182" s="74" t="n"/>
      <c r="C182" s="74">
        <f>C87</f>
        <v/>
      </c>
      <c r="D182" s="249">
        <f>D87</f>
        <v/>
      </c>
      <c r="E182" s="74">
        <f>E87</f>
        <v/>
      </c>
      <c r="F182" s="75">
        <f>IF(E182&gt;0,$L$4,0)</f>
        <v/>
      </c>
      <c r="G182" s="256">
        <f>G87</f>
        <v/>
      </c>
      <c r="H182" s="64">
        <f>H87</f>
        <v/>
      </c>
      <c r="I182" s="250">
        <f>I87</f>
        <v/>
      </c>
      <c r="J182" s="121" t="n"/>
      <c r="K182" s="251" t="n"/>
      <c r="L182" s="123">
        <f>L87</f>
        <v/>
      </c>
      <c r="M182" s="123">
        <f>M87</f>
        <v/>
      </c>
      <c r="N182" s="123">
        <f>N87</f>
        <v/>
      </c>
      <c r="O182" s="123">
        <f>O87</f>
        <v/>
      </c>
      <c r="Q182" s="119">
        <f>IF(OR(H182=47201,H182=47100,H182=47200,H182=47500),L182,0)</f>
        <v/>
      </c>
      <c r="R182" s="119">
        <f>IF(OR(H182=87201,H182=87100,H182=87200,H182=87500),L182,0)</f>
        <v/>
      </c>
    </row>
    <row r="183" ht="15" customHeight="1">
      <c r="A183" s="267">
        <f>A88</f>
        <v/>
      </c>
      <c r="B183" s="74" t="n"/>
      <c r="C183" s="74">
        <f>C88</f>
        <v/>
      </c>
      <c r="D183" s="249">
        <f>D88</f>
        <v/>
      </c>
      <c r="E183" s="74">
        <f>E88</f>
        <v/>
      </c>
      <c r="F183" s="75">
        <f>IF(E183&gt;0,$L$4,0)</f>
        <v/>
      </c>
      <c r="G183" s="256">
        <f>G88</f>
        <v/>
      </c>
      <c r="H183" s="64">
        <f>H88</f>
        <v/>
      </c>
      <c r="I183" s="250">
        <f>I88</f>
        <v/>
      </c>
      <c r="J183" s="121" t="n"/>
      <c r="K183" s="251" t="n"/>
      <c r="L183" s="123">
        <f>L88</f>
        <v/>
      </c>
      <c r="M183" s="123">
        <f>M88</f>
        <v/>
      </c>
      <c r="N183" s="123">
        <f>N88</f>
        <v/>
      </c>
      <c r="O183" s="123">
        <f>O88</f>
        <v/>
      </c>
      <c r="Q183" s="119">
        <f>IF(OR(H183=47201,H183=47100,H183=47200,H183=47500),L183,0)</f>
        <v/>
      </c>
      <c r="R183" s="119">
        <f>IF(OR(H183=87201,H183=87100,H183=87200,H183=87500),L183,0)</f>
        <v/>
      </c>
    </row>
    <row r="184" ht="15" customHeight="1">
      <c r="A184" s="267">
        <f>A89</f>
        <v/>
      </c>
      <c r="B184" s="74" t="n"/>
      <c r="C184" s="74">
        <f>C89</f>
        <v/>
      </c>
      <c r="D184" s="249">
        <f>D89</f>
        <v/>
      </c>
      <c r="E184" s="74">
        <f>E89</f>
        <v/>
      </c>
      <c r="F184" s="75">
        <f>IF(E184&gt;0,$L$4,0)</f>
        <v/>
      </c>
      <c r="G184" s="256">
        <f>G89</f>
        <v/>
      </c>
      <c r="H184" s="64">
        <f>H89</f>
        <v/>
      </c>
      <c r="I184" s="250">
        <f>I89</f>
        <v/>
      </c>
      <c r="J184" s="121" t="n"/>
      <c r="K184" s="251" t="n"/>
      <c r="L184" s="123">
        <f>L89</f>
        <v/>
      </c>
      <c r="M184" s="123">
        <f>M89</f>
        <v/>
      </c>
      <c r="N184" s="123">
        <f>N89</f>
        <v/>
      </c>
      <c r="O184" s="123">
        <f>O89</f>
        <v/>
      </c>
      <c r="Q184" s="119">
        <f>IF(OR(H184=47201,H184=47100,H184=47200,H184=47500),L184,0)</f>
        <v/>
      </c>
      <c r="R184" s="119">
        <f>IF(OR(H184=87201,H184=87100,H184=87200,H184=87500),L184,0)</f>
        <v/>
      </c>
    </row>
    <row r="185" ht="15" customHeight="1">
      <c r="A185" s="267">
        <f>A90</f>
        <v/>
      </c>
      <c r="B185" s="74" t="n"/>
      <c r="C185" s="74">
        <f>C90</f>
        <v/>
      </c>
      <c r="D185" s="249">
        <f>D90</f>
        <v/>
      </c>
      <c r="E185" s="74">
        <f>E90</f>
        <v/>
      </c>
      <c r="F185" s="75">
        <f>IF(E185&gt;0,$L$4,0)</f>
        <v/>
      </c>
      <c r="G185" s="256">
        <f>G90</f>
        <v/>
      </c>
      <c r="H185" s="64">
        <f>H90</f>
        <v/>
      </c>
      <c r="I185" s="250">
        <f>I90</f>
        <v/>
      </c>
      <c r="J185" s="121" t="n"/>
      <c r="K185" s="251" t="n"/>
      <c r="L185" s="123">
        <f>L90</f>
        <v/>
      </c>
      <c r="M185" s="123">
        <f>M90</f>
        <v/>
      </c>
      <c r="N185" s="123">
        <f>N90</f>
        <v/>
      </c>
      <c r="O185" s="123">
        <f>O90</f>
        <v/>
      </c>
      <c r="Q185" s="119">
        <f>IF(OR(H185=47201,H185=47100,H185=47200,H185=47500),L185,0)</f>
        <v/>
      </c>
      <c r="R185" s="119">
        <f>IF(OR(H185=87201,H185=87100,H185=87200,H185=87500),L185,0)</f>
        <v/>
      </c>
    </row>
    <row r="186" ht="15" customHeight="1">
      <c r="A186" s="267">
        <f>A91</f>
        <v/>
      </c>
      <c r="B186" s="74" t="n"/>
      <c r="C186" s="74">
        <f>C91</f>
        <v/>
      </c>
      <c r="D186" s="249">
        <f>D91</f>
        <v/>
      </c>
      <c r="E186" s="74">
        <f>E91</f>
        <v/>
      </c>
      <c r="F186" s="75">
        <f>IF(E186&gt;0,$L$4,0)</f>
        <v/>
      </c>
      <c r="G186" s="256">
        <f>G91</f>
        <v/>
      </c>
      <c r="H186" s="64">
        <f>H91</f>
        <v/>
      </c>
      <c r="I186" s="250">
        <f>I91</f>
        <v/>
      </c>
      <c r="J186" s="121" t="n"/>
      <c r="K186" s="251" t="n"/>
      <c r="L186" s="123">
        <f>L91</f>
        <v/>
      </c>
      <c r="M186" s="123">
        <f>M91</f>
        <v/>
      </c>
      <c r="N186" s="123">
        <f>N91</f>
        <v/>
      </c>
      <c r="O186" s="123">
        <f>O91</f>
        <v/>
      </c>
      <c r="Q186" s="119">
        <f>IF(OR(H186=47201,H186=47100,H186=47200,H186=47500),L186,0)</f>
        <v/>
      </c>
      <c r="R186" s="119">
        <f>IF(OR(H186=87201,H186=87100,H186=87200,H186=87500),L186,0)</f>
        <v/>
      </c>
    </row>
    <row r="187" ht="15" customHeight="1">
      <c r="A187" s="267">
        <f>A92</f>
        <v/>
      </c>
      <c r="B187" s="74" t="n"/>
      <c r="C187" s="74">
        <f>C92</f>
        <v/>
      </c>
      <c r="D187" s="249">
        <f>D92</f>
        <v/>
      </c>
      <c r="E187" s="74">
        <f>E92</f>
        <v/>
      </c>
      <c r="F187" s="75">
        <f>IF(E187&gt;0,$L$4,0)</f>
        <v/>
      </c>
      <c r="G187" s="256">
        <f>G92</f>
        <v/>
      </c>
      <c r="H187" s="64">
        <f>H92</f>
        <v/>
      </c>
      <c r="I187" s="250">
        <f>I92</f>
        <v/>
      </c>
      <c r="J187" s="121" t="n"/>
      <c r="K187" s="251" t="n"/>
      <c r="L187" s="123">
        <f>L92</f>
        <v/>
      </c>
      <c r="M187" s="123">
        <f>M92</f>
        <v/>
      </c>
      <c r="N187" s="123">
        <f>N92</f>
        <v/>
      </c>
      <c r="O187" s="123">
        <f>O92</f>
        <v/>
      </c>
      <c r="Q187" s="119">
        <f>IF(OR(H187=47201,H187=47100,H187=47200,H187=47500),L187,0)</f>
        <v/>
      </c>
      <c r="R187" s="119">
        <f>IF(OR(H187=87201,H187=87100,H187=87200,H187=87500),L187,0)</f>
        <v/>
      </c>
    </row>
    <row r="188" ht="15" customHeight="1">
      <c r="A188" s="267">
        <f>A93</f>
        <v/>
      </c>
      <c r="B188" s="74" t="n"/>
      <c r="C188" s="74">
        <f>C93</f>
        <v/>
      </c>
      <c r="D188" s="249">
        <f>D93</f>
        <v/>
      </c>
      <c r="E188" s="74">
        <f>E93</f>
        <v/>
      </c>
      <c r="F188" s="75">
        <f>IF(E188&gt;0,$L$4,0)</f>
        <v/>
      </c>
      <c r="G188" s="256">
        <f>G93</f>
        <v/>
      </c>
      <c r="H188" s="64">
        <f>H93</f>
        <v/>
      </c>
      <c r="I188" s="250">
        <f>I93</f>
        <v/>
      </c>
      <c r="J188" s="121" t="n"/>
      <c r="K188" s="251" t="n"/>
      <c r="L188" s="123">
        <f>L93</f>
        <v/>
      </c>
      <c r="M188" s="123">
        <f>M93</f>
        <v/>
      </c>
      <c r="N188" s="123">
        <f>N93</f>
        <v/>
      </c>
      <c r="O188" s="123">
        <f>O93</f>
        <v/>
      </c>
      <c r="Q188" s="119">
        <f>IF(OR(H188=47201,H188=47100,H188=47200,H188=47500),L188,0)</f>
        <v/>
      </c>
      <c r="R188" s="119">
        <f>IF(OR(H188=87201,H188=87100,H188=87200,H188=87500),L188,0)</f>
        <v/>
      </c>
    </row>
    <row r="189" ht="15" customHeight="1">
      <c r="A189" s="267">
        <f>A94</f>
        <v/>
      </c>
      <c r="B189" s="74" t="n"/>
      <c r="C189" s="74">
        <f>C94</f>
        <v/>
      </c>
      <c r="D189" s="249">
        <f>D94</f>
        <v/>
      </c>
      <c r="E189" s="74">
        <f>E94</f>
        <v/>
      </c>
      <c r="F189" s="75">
        <f>IF(E189&gt;0,$L$4,0)</f>
        <v/>
      </c>
      <c r="G189" s="256">
        <f>G94</f>
        <v/>
      </c>
      <c r="H189" s="64">
        <f>H94</f>
        <v/>
      </c>
      <c r="I189" s="250">
        <f>I94</f>
        <v/>
      </c>
      <c r="J189" s="121" t="n"/>
      <c r="K189" s="251" t="n"/>
      <c r="L189" s="123">
        <f>L94</f>
        <v/>
      </c>
      <c r="M189" s="123">
        <f>M94</f>
        <v/>
      </c>
      <c r="N189" s="123">
        <f>N94</f>
        <v/>
      </c>
      <c r="O189" s="123">
        <f>O94</f>
        <v/>
      </c>
      <c r="Q189" s="119">
        <f>IF(OR(H189=47201,H189=47100,H189=47200,H189=47500),L189,0)</f>
        <v/>
      </c>
      <c r="R189" s="119">
        <f>IF(OR(H189=87201,H189=87100,H189=87200,H189=87500),L189,0)</f>
        <v/>
      </c>
    </row>
    <row r="190" ht="15" customHeight="1">
      <c r="A190" s="267">
        <f>A95</f>
        <v/>
      </c>
      <c r="B190" s="74" t="n"/>
      <c r="C190" s="74">
        <f>C95</f>
        <v/>
      </c>
      <c r="D190" s="249">
        <f>D95</f>
        <v/>
      </c>
      <c r="E190" s="74">
        <f>E95</f>
        <v/>
      </c>
      <c r="F190" s="75">
        <f>IF(E190&gt;0,$L$4,0)</f>
        <v/>
      </c>
      <c r="G190" s="256">
        <f>G95</f>
        <v/>
      </c>
      <c r="H190" s="64">
        <f>H95</f>
        <v/>
      </c>
      <c r="I190" s="250">
        <f>I95</f>
        <v/>
      </c>
      <c r="J190" s="121" t="n"/>
      <c r="K190" s="251" t="n"/>
      <c r="L190" s="123">
        <f>L95</f>
        <v/>
      </c>
      <c r="M190" s="123">
        <f>M95</f>
        <v/>
      </c>
      <c r="N190" s="123">
        <f>N95</f>
        <v/>
      </c>
      <c r="O190" s="123">
        <f>O95</f>
        <v/>
      </c>
      <c r="Q190" s="119">
        <f>IF(OR(H190=47201,H190=47100,H190=47200,H190=47500),L190,0)</f>
        <v/>
      </c>
      <c r="R190" s="119">
        <f>IF(OR(H190=87201,H190=87100,H190=87200,H190=87500),L190,0)</f>
        <v/>
      </c>
    </row>
    <row r="191" ht="15" customHeight="1">
      <c r="A191" s="267">
        <f>A96</f>
        <v/>
      </c>
      <c r="B191" s="74" t="n"/>
      <c r="C191" s="74">
        <f>C96</f>
        <v/>
      </c>
      <c r="D191" s="249">
        <f>D96</f>
        <v/>
      </c>
      <c r="E191" s="74">
        <f>E96</f>
        <v/>
      </c>
      <c r="F191" s="75">
        <f>IF(E191&gt;0,$L$4,0)</f>
        <v/>
      </c>
      <c r="G191" s="256">
        <f>G96</f>
        <v/>
      </c>
      <c r="H191" s="64">
        <f>H96</f>
        <v/>
      </c>
      <c r="I191" s="250">
        <f>I96</f>
        <v/>
      </c>
      <c r="J191" s="121" t="n"/>
      <c r="K191" s="251" t="n"/>
      <c r="L191" s="123">
        <f>L96</f>
        <v/>
      </c>
      <c r="M191" s="123">
        <f>M96</f>
        <v/>
      </c>
      <c r="N191" s="123">
        <f>N96</f>
        <v/>
      </c>
      <c r="O191" s="123">
        <f>O96</f>
        <v/>
      </c>
      <c r="Q191" s="119">
        <f>IF(OR(H191=47201,H191=47100,H191=47200,H191=47500),L191,0)</f>
        <v/>
      </c>
      <c r="R191" s="119">
        <f>IF(OR(H191=87201,H191=87100,H191=87200,H191=87500),L191,0)</f>
        <v/>
      </c>
    </row>
    <row r="192" ht="15" customHeight="1">
      <c r="A192" s="267">
        <f>A97</f>
        <v/>
      </c>
      <c r="B192" s="74" t="n"/>
      <c r="C192" s="74">
        <f>C97</f>
        <v/>
      </c>
      <c r="D192" s="249">
        <f>D97</f>
        <v/>
      </c>
      <c r="E192" s="74">
        <f>E97</f>
        <v/>
      </c>
      <c r="F192" s="75">
        <f>IF(E192&gt;0,$L$4,0)</f>
        <v/>
      </c>
      <c r="G192" s="256">
        <f>G97</f>
        <v/>
      </c>
      <c r="H192" s="64">
        <f>H97</f>
        <v/>
      </c>
      <c r="I192" s="250">
        <f>I97</f>
        <v/>
      </c>
      <c r="J192" s="121" t="n"/>
      <c r="K192" s="251" t="n"/>
      <c r="L192" s="123">
        <f>L97</f>
        <v/>
      </c>
      <c r="M192" s="123">
        <f>M97</f>
        <v/>
      </c>
      <c r="N192" s="123">
        <f>N97</f>
        <v/>
      </c>
      <c r="O192" s="123">
        <f>O97</f>
        <v/>
      </c>
      <c r="Q192" s="119">
        <f>IF(OR(H192=47201,H192=47100,H192=47200,H192=47500),L192,0)</f>
        <v/>
      </c>
      <c r="R192" s="119">
        <f>IF(OR(H192=87201,H192=87100,H192=87200,H192=87500),L192,0)</f>
        <v/>
      </c>
    </row>
    <row r="193" ht="15" customHeight="1">
      <c r="A193" s="267">
        <f>A98</f>
        <v/>
      </c>
      <c r="B193" s="74" t="n"/>
      <c r="C193" s="74">
        <f>C98</f>
        <v/>
      </c>
      <c r="D193" s="249">
        <f>D98</f>
        <v/>
      </c>
      <c r="E193" s="74">
        <f>E98</f>
        <v/>
      </c>
      <c r="F193" s="75">
        <f>IF(E193&gt;0,$L$4,0)</f>
        <v/>
      </c>
      <c r="G193" s="256">
        <f>G98</f>
        <v/>
      </c>
      <c r="H193" s="64">
        <f>H98</f>
        <v/>
      </c>
      <c r="I193" s="250">
        <f>I98</f>
        <v/>
      </c>
      <c r="J193" s="121" t="n"/>
      <c r="K193" s="251" t="n"/>
      <c r="L193" s="123">
        <f>L98</f>
        <v/>
      </c>
      <c r="M193" s="123">
        <f>M98</f>
        <v/>
      </c>
      <c r="N193" s="123">
        <f>N98</f>
        <v/>
      </c>
      <c r="O193" s="123">
        <f>O98</f>
        <v/>
      </c>
      <c r="Q193" s="119">
        <f>IF(OR(H193=47201,H193=47100,H193=47200,H193=47500),L193,0)</f>
        <v/>
      </c>
      <c r="R193" s="119">
        <f>IF(OR(H193=87201,H193=87100,H193=87200,H193=87500),L193,0)</f>
        <v/>
      </c>
    </row>
    <row r="194" ht="15" customHeight="1">
      <c r="A194" s="267">
        <f>A99</f>
        <v/>
      </c>
      <c r="B194" s="74" t="n"/>
      <c r="C194" s="74">
        <f>C99</f>
        <v/>
      </c>
      <c r="D194" s="249">
        <f>D99</f>
        <v/>
      </c>
      <c r="E194" s="74">
        <f>E99</f>
        <v/>
      </c>
      <c r="F194" s="75">
        <f>IF(E194&gt;0,$L$4,0)</f>
        <v/>
      </c>
      <c r="G194" s="256">
        <f>G99</f>
        <v/>
      </c>
      <c r="H194" s="64">
        <f>H99</f>
        <v/>
      </c>
      <c r="I194" s="250">
        <f>I99</f>
        <v/>
      </c>
      <c r="J194" s="121" t="n"/>
      <c r="K194" s="251" t="n"/>
      <c r="L194" s="123">
        <f>L99</f>
        <v/>
      </c>
      <c r="M194" s="123">
        <f>M99</f>
        <v/>
      </c>
      <c r="N194" s="123">
        <f>N99</f>
        <v/>
      </c>
      <c r="O194" s="123">
        <f>O99</f>
        <v/>
      </c>
      <c r="Q194" s="119">
        <f>IF(OR(H194=47201,H194=47100,H194=47200,H194=47500),L194,0)</f>
        <v/>
      </c>
      <c r="R194" s="119">
        <f>IF(OR(H194=87201,H194=87100,H194=87200,H194=87500),L194,0)</f>
        <v/>
      </c>
    </row>
    <row r="195" ht="15" customHeight="1">
      <c r="A195" s="267">
        <f>A100</f>
        <v/>
      </c>
      <c r="B195" s="74" t="n"/>
      <c r="C195" s="74">
        <f>C100</f>
        <v/>
      </c>
      <c r="D195" s="249">
        <f>D100</f>
        <v/>
      </c>
      <c r="E195" s="74">
        <f>E100</f>
        <v/>
      </c>
      <c r="F195" s="75">
        <f>IF(E195&gt;0,$L$4,0)</f>
        <v/>
      </c>
      <c r="G195" s="256">
        <f>G100</f>
        <v/>
      </c>
      <c r="H195" s="64">
        <f>H100</f>
        <v/>
      </c>
      <c r="I195" s="250">
        <f>I100</f>
        <v/>
      </c>
      <c r="J195" s="121" t="n"/>
      <c r="K195" s="251" t="n"/>
      <c r="L195" s="123">
        <f>L100</f>
        <v/>
      </c>
      <c r="M195" s="123">
        <f>M100</f>
        <v/>
      </c>
      <c r="N195" s="123">
        <f>N100</f>
        <v/>
      </c>
      <c r="O195" s="123">
        <f>O100</f>
        <v/>
      </c>
      <c r="Q195" s="119">
        <f>IF(OR(H195=47201,H195=47100,H195=47200,H195=47500),L195,0)</f>
        <v/>
      </c>
      <c r="R195" s="119">
        <f>IF(OR(H195=87201,H195=87100,H195=87200,H195=87500),L195,0)</f>
        <v/>
      </c>
    </row>
    <row r="196" ht="15" customHeight="1">
      <c r="A196" s="267">
        <f>A101</f>
        <v/>
      </c>
      <c r="B196" s="74" t="n"/>
      <c r="C196" s="74">
        <f>C101</f>
        <v/>
      </c>
      <c r="D196" s="249">
        <f>D101</f>
        <v/>
      </c>
      <c r="E196" s="74">
        <f>E101</f>
        <v/>
      </c>
      <c r="F196" s="75">
        <f>IF(E196&gt;0,$L$4,0)</f>
        <v/>
      </c>
      <c r="G196" s="256">
        <f>G101</f>
        <v/>
      </c>
      <c r="H196" s="64">
        <f>H101</f>
        <v/>
      </c>
      <c r="I196" s="250">
        <f>I101</f>
        <v/>
      </c>
      <c r="J196" s="121" t="n"/>
      <c r="K196" s="251" t="n"/>
      <c r="L196" s="123">
        <f>L101</f>
        <v/>
      </c>
      <c r="M196" s="123">
        <f>M101</f>
        <v/>
      </c>
      <c r="N196" s="123">
        <f>N101</f>
        <v/>
      </c>
      <c r="O196" s="123">
        <f>O101</f>
        <v/>
      </c>
      <c r="Q196" s="119">
        <f>IF(OR(H196=47201,H196=47100,H196=47200,H196=47500),L196,0)</f>
        <v/>
      </c>
      <c r="R196" s="119">
        <f>IF(OR(H196=87201,H196=87100,H196=87200,H196=87500),L196,0)</f>
        <v/>
      </c>
    </row>
    <row r="197" ht="15" customHeight="1">
      <c r="A197" s="267">
        <f>A102</f>
        <v/>
      </c>
      <c r="B197" s="74" t="n"/>
      <c r="C197" s="74">
        <f>C102</f>
        <v/>
      </c>
      <c r="D197" s="249">
        <f>D102</f>
        <v/>
      </c>
      <c r="E197" s="74">
        <f>E102</f>
        <v/>
      </c>
      <c r="F197" s="75">
        <f>IF(E197&gt;0,$L$4,0)</f>
        <v/>
      </c>
      <c r="G197" s="256">
        <f>G102</f>
        <v/>
      </c>
      <c r="H197" s="64">
        <f>H102</f>
        <v/>
      </c>
      <c r="I197" s="250">
        <f>I102</f>
        <v/>
      </c>
      <c r="J197" s="121" t="n"/>
      <c r="K197" s="251" t="n"/>
      <c r="L197" s="123">
        <f>L102</f>
        <v/>
      </c>
      <c r="M197" s="123">
        <f>M102</f>
        <v/>
      </c>
      <c r="N197" s="123">
        <f>N102</f>
        <v/>
      </c>
      <c r="O197" s="123">
        <f>O102</f>
        <v/>
      </c>
      <c r="Q197" s="119">
        <f>IF(OR(H197=47201,H197=47100,H197=47200,H197=47500),L197,0)</f>
        <v/>
      </c>
      <c r="R197" s="119">
        <f>IF(OR(H197=87201,H197=87100,H197=87200,H197=87500),L197,0)</f>
        <v/>
      </c>
    </row>
    <row r="198" ht="15" customHeight="1">
      <c r="A198" s="267">
        <f>A103</f>
        <v/>
      </c>
      <c r="B198" s="74" t="n"/>
      <c r="C198" s="74">
        <f>C103</f>
        <v/>
      </c>
      <c r="D198" s="249">
        <f>D103</f>
        <v/>
      </c>
      <c r="E198" s="74">
        <f>E103</f>
        <v/>
      </c>
      <c r="F198" s="75">
        <f>IF(E198&gt;0,$L$4,0)</f>
        <v/>
      </c>
      <c r="G198" s="256">
        <f>G103</f>
        <v/>
      </c>
      <c r="H198" s="64">
        <f>H103</f>
        <v/>
      </c>
      <c r="I198" s="250">
        <f>I103</f>
        <v/>
      </c>
      <c r="J198" s="121" t="n"/>
      <c r="K198" s="251" t="n"/>
      <c r="L198" s="123">
        <f>L103</f>
        <v/>
      </c>
      <c r="M198" s="123">
        <f>M103</f>
        <v/>
      </c>
      <c r="N198" s="123">
        <f>N103</f>
        <v/>
      </c>
      <c r="O198" s="123">
        <f>O103</f>
        <v/>
      </c>
      <c r="Q198" s="119">
        <f>IF(OR(H198=47201,H198=47100,H198=47200,H198=47500),L198,0)</f>
        <v/>
      </c>
      <c r="R198" s="119">
        <f>IF(OR(H198=87201,H198=87100,H198=87200,H198=87500),L198,0)</f>
        <v/>
      </c>
    </row>
    <row r="199" ht="15" customHeight="1">
      <c r="A199" s="267">
        <f>A104</f>
        <v/>
      </c>
      <c r="B199" s="74" t="n"/>
      <c r="C199" s="74">
        <f>C104</f>
        <v/>
      </c>
      <c r="D199" s="249">
        <f>D104</f>
        <v/>
      </c>
      <c r="E199" s="74">
        <f>E104</f>
        <v/>
      </c>
      <c r="F199" s="75">
        <f>IF(E199&gt;0,$L$4,0)</f>
        <v/>
      </c>
      <c r="G199" s="256">
        <f>G104</f>
        <v/>
      </c>
      <c r="H199" s="64">
        <f>H104</f>
        <v/>
      </c>
      <c r="I199" s="250">
        <f>I104</f>
        <v/>
      </c>
      <c r="J199" s="121" t="n"/>
      <c r="K199" s="251" t="n"/>
      <c r="L199" s="123">
        <f>L104</f>
        <v/>
      </c>
      <c r="M199" s="123">
        <f>M104</f>
        <v/>
      </c>
      <c r="N199" s="123">
        <f>N104</f>
        <v/>
      </c>
      <c r="O199" s="123">
        <f>O104</f>
        <v/>
      </c>
      <c r="Q199" s="119">
        <f>IF(OR(H199=47201,H199=47100,H199=47200,H199=47500),L199,0)</f>
        <v/>
      </c>
      <c r="R199" s="119">
        <f>IF(OR(H199=87201,H199=87100,H199=87200,H199=87500),L199,0)</f>
        <v/>
      </c>
    </row>
    <row r="200" ht="15" customHeight="1">
      <c r="A200" s="267">
        <f>A105</f>
        <v/>
      </c>
      <c r="B200" s="74" t="n"/>
      <c r="C200" s="74">
        <f>C105</f>
        <v/>
      </c>
      <c r="D200" s="249">
        <f>D105</f>
        <v/>
      </c>
      <c r="E200" s="74">
        <f>E105</f>
        <v/>
      </c>
      <c r="F200" s="75">
        <f>IF(E200&gt;0,$L$4,0)</f>
        <v/>
      </c>
      <c r="G200" s="256">
        <f>G105</f>
        <v/>
      </c>
      <c r="H200" s="64">
        <f>H105</f>
        <v/>
      </c>
      <c r="I200" s="250">
        <f>I105</f>
        <v/>
      </c>
      <c r="J200" s="121" t="n"/>
      <c r="K200" s="251" t="n"/>
      <c r="L200" s="123">
        <f>L105</f>
        <v/>
      </c>
      <c r="M200" s="123">
        <f>M105</f>
        <v/>
      </c>
      <c r="N200" s="123">
        <f>N105</f>
        <v/>
      </c>
      <c r="O200" s="123">
        <f>O105</f>
        <v/>
      </c>
      <c r="Q200" s="119">
        <f>IF(OR(H200=47201,H200=47100,H200=47200,H200=47500),L200,0)</f>
        <v/>
      </c>
      <c r="R200" s="119">
        <f>IF(OR(H200=87201,H200=87100,H200=87200,H200=87500),L200,0)</f>
        <v/>
      </c>
    </row>
    <row r="201" ht="15" customHeight="1">
      <c r="A201" s="267">
        <f>A106</f>
        <v/>
      </c>
      <c r="B201" s="74" t="n"/>
      <c r="C201" s="74">
        <f>C106</f>
        <v/>
      </c>
      <c r="D201" s="249">
        <f>D106</f>
        <v/>
      </c>
      <c r="E201" s="74">
        <f>E106</f>
        <v/>
      </c>
      <c r="F201" s="75">
        <f>IF(E201&gt;0,$L$4,0)</f>
        <v/>
      </c>
      <c r="G201" s="256">
        <f>G106</f>
        <v/>
      </c>
      <c r="H201" s="64">
        <f>H106</f>
        <v/>
      </c>
      <c r="I201" s="250">
        <f>I106</f>
        <v/>
      </c>
      <c r="J201" s="121" t="n"/>
      <c r="K201" s="251" t="n"/>
      <c r="L201" s="123">
        <f>L106</f>
        <v/>
      </c>
      <c r="M201" s="123">
        <f>M106</f>
        <v/>
      </c>
      <c r="N201" s="123">
        <f>N106</f>
        <v/>
      </c>
      <c r="O201" s="123">
        <f>O106</f>
        <v/>
      </c>
      <c r="Q201" s="119">
        <f>IF(OR(H201=47201,H201=47100,H201=47200,H201=47500),L201,0)</f>
        <v/>
      </c>
      <c r="R201" s="119">
        <f>IF(OR(H201=87201,H201=87100,H201=87200,H201=87500),L201,0)</f>
        <v/>
      </c>
    </row>
    <row r="202" ht="15" customHeight="1">
      <c r="A202" s="267">
        <f>A107</f>
        <v/>
      </c>
      <c r="B202" s="74" t="n"/>
      <c r="C202" s="74">
        <f>C107</f>
        <v/>
      </c>
      <c r="D202" s="249">
        <f>D107</f>
        <v/>
      </c>
      <c r="E202" s="74">
        <f>E107</f>
        <v/>
      </c>
      <c r="F202" s="75">
        <f>IF(E202&gt;0,$L$4,0)</f>
        <v/>
      </c>
      <c r="G202" s="256">
        <f>G107</f>
        <v/>
      </c>
      <c r="H202" s="64">
        <f>H107</f>
        <v/>
      </c>
      <c r="I202" s="250">
        <f>I107</f>
        <v/>
      </c>
      <c r="J202" s="121" t="n"/>
      <c r="K202" s="251" t="n"/>
      <c r="L202" s="123">
        <f>L107</f>
        <v/>
      </c>
      <c r="M202" s="123">
        <f>M107</f>
        <v/>
      </c>
      <c r="N202" s="123">
        <f>N107</f>
        <v/>
      </c>
      <c r="O202" s="123">
        <f>O107</f>
        <v/>
      </c>
      <c r="Q202" s="119">
        <f>IF(OR(H202=47201,H202=47100,H202=47200,H202=47500),L202,0)</f>
        <v/>
      </c>
      <c r="R202" s="119">
        <f>IF(OR(H202=87201,H202=87100,H202=87200,H202=87500),L202,0)</f>
        <v/>
      </c>
    </row>
    <row r="203" ht="15" customHeight="1">
      <c r="A203" s="267">
        <f>A108</f>
        <v/>
      </c>
      <c r="B203" s="74" t="n"/>
      <c r="C203" s="74">
        <f>C108</f>
        <v/>
      </c>
      <c r="D203" s="249">
        <f>D108</f>
        <v/>
      </c>
      <c r="E203" s="74">
        <f>E108</f>
        <v/>
      </c>
      <c r="F203" s="75">
        <f>IF(E203&gt;0,$L$4,0)</f>
        <v/>
      </c>
      <c r="G203" s="256">
        <f>G108</f>
        <v/>
      </c>
      <c r="H203" s="64">
        <f>H108</f>
        <v/>
      </c>
      <c r="I203" s="250">
        <f>I108</f>
        <v/>
      </c>
      <c r="J203" s="121" t="n"/>
      <c r="K203" s="251" t="n"/>
      <c r="L203" s="123">
        <f>L108</f>
        <v/>
      </c>
      <c r="M203" s="123">
        <f>M108</f>
        <v/>
      </c>
      <c r="N203" s="123">
        <f>N108</f>
        <v/>
      </c>
      <c r="O203" s="123">
        <f>O108</f>
        <v/>
      </c>
      <c r="Q203" s="119">
        <f>IF(OR(H203=47201,H203=47100,H203=47200,H203=47500),L203,0)</f>
        <v/>
      </c>
      <c r="R203" s="119">
        <f>IF(OR(H203=87201,H203=87100,H203=87200,H203=87500),L203,0)</f>
        <v/>
      </c>
    </row>
    <row r="204" ht="15" customHeight="1">
      <c r="A204" s="267">
        <f>A109</f>
        <v/>
      </c>
      <c r="B204" s="74" t="n"/>
      <c r="C204" s="74">
        <f>C109</f>
        <v/>
      </c>
      <c r="D204" s="249">
        <f>D109</f>
        <v/>
      </c>
      <c r="E204" s="74">
        <f>E109</f>
        <v/>
      </c>
      <c r="F204" s="75">
        <f>IF(E204&gt;0,$L$4,0)</f>
        <v/>
      </c>
      <c r="G204" s="256">
        <f>G109</f>
        <v/>
      </c>
      <c r="H204" s="64">
        <f>H109</f>
        <v/>
      </c>
      <c r="I204" s="250">
        <f>I109</f>
        <v/>
      </c>
      <c r="J204" s="121" t="n"/>
      <c r="K204" s="251" t="n"/>
      <c r="L204" s="123">
        <f>L109</f>
        <v/>
      </c>
      <c r="M204" s="123">
        <f>M109</f>
        <v/>
      </c>
      <c r="N204" s="123">
        <f>N109</f>
        <v/>
      </c>
      <c r="O204" s="123">
        <f>O109</f>
        <v/>
      </c>
      <c r="Q204" s="119">
        <f>IF(OR(H204=47201,H204=47100,H204=47200,H204=47500),L204,0)</f>
        <v/>
      </c>
      <c r="R204" s="119">
        <f>IF(OR(H204=87201,H204=87100,H204=87200,H204=87500),L204,0)</f>
        <v/>
      </c>
    </row>
    <row r="205" ht="15" customHeight="1">
      <c r="A205" s="267" t="n"/>
      <c r="B205" s="74" t="n"/>
      <c r="C205" s="74" t="n"/>
      <c r="D205" s="249" t="n"/>
      <c r="E205" s="74">
        <f>IF(J205&gt;1,"+",0)</f>
        <v/>
      </c>
      <c r="F205" s="75">
        <f>IF(E205&gt;0,$L$4,0)</f>
        <v/>
      </c>
      <c r="G205" s="256" t="n"/>
      <c r="H205" s="64" t="n"/>
      <c r="I205" s="250">
        <f>IFERROR(VLOOKUP(H205,Tabellen!H:I,2),0)</f>
        <v/>
      </c>
      <c r="J205" s="121" t="n"/>
      <c r="K205" s="251" t="n"/>
      <c r="L205" s="123" t="n"/>
      <c r="M205" s="123" t="n"/>
      <c r="N205" s="123" t="n"/>
      <c r="O205" s="123" t="n"/>
      <c r="Q205" s="119">
        <f>IF(OR(H205=47201,H205=47100,H205=47200,H205=47500),L205,0)</f>
        <v/>
      </c>
      <c r="R205" s="119">
        <f>IF(OR(H205=87201,H205=87100,H205=87200,H205=87500),L205,0)</f>
        <v/>
      </c>
    </row>
    <row r="206" ht="15" customHeight="1">
      <c r="A206" s="267" t="n"/>
      <c r="B206" s="74" t="n"/>
      <c r="C206" s="74" t="n"/>
      <c r="D206" s="249" t="n"/>
      <c r="E206" s="74">
        <f>IF(J206&gt;1,"+",0)</f>
        <v/>
      </c>
      <c r="F206" s="75">
        <f>IF(E206&gt;0,$L$4,0)</f>
        <v/>
      </c>
      <c r="G206" s="256" t="n"/>
      <c r="H206" s="64" t="n"/>
      <c r="I206" s="250">
        <f>IFERROR(VLOOKUP(H206,Tabellen!H:I,2),0)</f>
        <v/>
      </c>
      <c r="J206" s="121" t="n"/>
      <c r="K206" s="251" t="n"/>
      <c r="L206" s="123" t="n"/>
      <c r="M206" s="123" t="n"/>
      <c r="N206" s="123" t="n"/>
      <c r="O206" s="123" t="n"/>
      <c r="Q206" s="119">
        <f>IF(OR(H206=47201,H206=47100,H206=47200,H206=47500),L206,0)</f>
        <v/>
      </c>
      <c r="R206" s="119">
        <f>IF(OR(H206=87201,H206=87100,H206=87200,H206=87500),L206,0)</f>
        <v/>
      </c>
    </row>
    <row r="207" ht="15" customHeight="1">
      <c r="A207" s="267" t="n"/>
      <c r="B207" s="74" t="n"/>
      <c r="C207" s="74" t="n"/>
      <c r="D207" s="249" t="n"/>
      <c r="E207" s="74">
        <f>IF(J207&gt;1,"+",0)</f>
        <v/>
      </c>
      <c r="F207" s="75">
        <f>IF(E207&gt;0,$L$4,0)</f>
        <v/>
      </c>
      <c r="G207" s="256" t="n"/>
      <c r="H207" s="64" t="n"/>
      <c r="I207" s="250">
        <f>IFERROR(VLOOKUP(H207,Tabellen!H:I,2),0)</f>
        <v/>
      </c>
      <c r="J207" s="121" t="n"/>
      <c r="K207" s="251" t="n"/>
      <c r="L207" s="123" t="n"/>
      <c r="M207" s="123" t="n"/>
      <c r="N207" s="123" t="n"/>
      <c r="O207" s="123" t="n"/>
      <c r="Q207" s="119">
        <f>IF(OR(H207=47201,H207=47100,H207=47200,H207=47500),L207,0)</f>
        <v/>
      </c>
      <c r="R207" s="119">
        <f>IF(OR(H207=87201,H207=87100,H207=87200,H207=87500),L207,0)</f>
        <v/>
      </c>
    </row>
    <row r="208" ht="15" customHeight="1">
      <c r="A208" s="267" t="n"/>
      <c r="B208" s="74" t="n"/>
      <c r="C208" s="74" t="n"/>
      <c r="D208" s="249" t="n"/>
      <c r="E208" s="74">
        <f>IF(J208&gt;1,"+",0)</f>
        <v/>
      </c>
      <c r="F208" s="75">
        <f>IF(E208&gt;0,$L$4,0)</f>
        <v/>
      </c>
      <c r="G208" s="256" t="n"/>
      <c r="H208" s="64" t="n"/>
      <c r="I208" s="250">
        <f>IFERROR(VLOOKUP(H208,Tabellen!H:I,2),0)</f>
        <v/>
      </c>
      <c r="J208" s="121" t="n"/>
      <c r="K208" s="251" t="n"/>
      <c r="L208" s="123" t="n"/>
      <c r="M208" s="123" t="n"/>
      <c r="N208" s="123" t="n"/>
      <c r="O208" s="123" t="n"/>
      <c r="Q208" s="119">
        <f>IF(OR(H208=47201,H208=47100,H208=47200,H208=47500),L208,0)</f>
        <v/>
      </c>
      <c r="R208" s="119">
        <f>IF(OR(H208=87201,H208=87100,H208=87200,H208=87500),L208,0)</f>
        <v/>
      </c>
    </row>
    <row r="209" ht="15" customHeight="1">
      <c r="A209" s="267" t="n"/>
      <c r="B209" s="74" t="n"/>
      <c r="C209" s="74" t="n"/>
      <c r="D209" s="249" t="n"/>
      <c r="E209" s="74">
        <f>IF(J209&gt;1,"+",0)</f>
        <v/>
      </c>
      <c r="F209" s="75">
        <f>IF(E209&gt;0,$L$4,0)</f>
        <v/>
      </c>
      <c r="G209" s="256" t="n"/>
      <c r="H209" s="64" t="n"/>
      <c r="I209" s="250">
        <f>IFERROR(VLOOKUP(H209,Tabellen!H:I,2),0)</f>
        <v/>
      </c>
      <c r="J209" s="121" t="n"/>
      <c r="K209" s="251" t="n"/>
      <c r="L209" s="123" t="n"/>
      <c r="M209" s="123" t="n"/>
      <c r="N209" s="123" t="n"/>
      <c r="O209" s="123" t="n"/>
      <c r="Q209" s="119">
        <f>IF(OR(H209=47201,H209=47100,H209=47200,H209=47500),L209,0)</f>
        <v/>
      </c>
      <c r="R209" s="119">
        <f>IF(OR(H209=87201,H209=87100,H209=87200,H209=87500),L209,0)</f>
        <v/>
      </c>
    </row>
    <row r="210" ht="15" customHeight="1">
      <c r="A210" s="267" t="n"/>
      <c r="B210" s="74" t="n"/>
      <c r="C210" s="74" t="n"/>
      <c r="D210" s="249" t="n"/>
      <c r="E210" s="74">
        <f>IF(J210&gt;1,"+",0)</f>
        <v/>
      </c>
      <c r="F210" s="75">
        <f>IF(E210&gt;0,$L$4,0)</f>
        <v/>
      </c>
      <c r="G210" s="256" t="n"/>
      <c r="H210" s="64" t="n"/>
      <c r="I210" s="250">
        <f>IFERROR(VLOOKUP(H210,Tabellen!H:I,2),0)</f>
        <v/>
      </c>
      <c r="J210" s="121" t="n"/>
      <c r="K210" s="251" t="n"/>
      <c r="L210" s="123" t="n"/>
      <c r="M210" s="123" t="n"/>
      <c r="N210" s="123" t="n"/>
      <c r="O210" s="123" t="n"/>
      <c r="Q210" s="119">
        <f>IF(OR(H210=47201,H210=47100,H210=47200,H210=47500),L210,0)</f>
        <v/>
      </c>
      <c r="R210" s="119">
        <f>IF(OR(H210=87201,H210=87100,H210=87200,H210=87500),L210,0)</f>
        <v/>
      </c>
    </row>
    <row r="211" ht="15" customHeight="1">
      <c r="A211" s="267" t="n"/>
      <c r="B211" s="74" t="n"/>
      <c r="C211" s="74" t="n"/>
      <c r="D211" s="249" t="n"/>
      <c r="E211" s="74">
        <f>IF(J211&gt;1,"+",0)</f>
        <v/>
      </c>
      <c r="F211" s="75">
        <f>IF(E211&gt;0,$L$4,0)</f>
        <v/>
      </c>
      <c r="G211" s="256" t="n"/>
      <c r="H211" s="64" t="n"/>
      <c r="I211" s="250">
        <f>IFERROR(VLOOKUP(H211,Tabellen!H:I,2),0)</f>
        <v/>
      </c>
      <c r="J211" s="121" t="n"/>
      <c r="K211" s="251" t="n"/>
      <c r="L211" s="123" t="n"/>
      <c r="M211" s="123" t="n"/>
      <c r="N211" s="123" t="n"/>
      <c r="O211" s="123" t="n"/>
      <c r="Q211" s="119">
        <f>IF(OR(H211=47201,H211=47100,H211=47200,H211=47500),L211,0)</f>
        <v/>
      </c>
      <c r="R211" s="119">
        <f>IF(OR(H211=87201,H211=87100,H211=87200,H211=87500),L211,0)</f>
        <v/>
      </c>
    </row>
    <row r="212" ht="15" customHeight="1">
      <c r="A212" s="267" t="n"/>
      <c r="B212" s="74" t="n"/>
      <c r="C212" s="74" t="n"/>
      <c r="D212" s="249" t="n"/>
      <c r="E212" s="74">
        <f>IF(J212&gt;1,"+",0)</f>
        <v/>
      </c>
      <c r="F212" s="75">
        <f>IF(E212&gt;0,$L$4,0)</f>
        <v/>
      </c>
      <c r="G212" s="256" t="n"/>
      <c r="H212" s="64" t="n"/>
      <c r="I212" s="250">
        <f>IFERROR(VLOOKUP(H212,Tabellen!H:I,2),0)</f>
        <v/>
      </c>
      <c r="J212" s="121" t="n"/>
      <c r="K212" s="251" t="n"/>
      <c r="L212" s="123" t="n"/>
      <c r="M212" s="123" t="n"/>
      <c r="N212" s="123" t="n"/>
      <c r="O212" s="123" t="n"/>
      <c r="Q212" s="119">
        <f>IF(OR(H212=47201,H212=47100,H212=47200,H212=47500),L212,0)</f>
        <v/>
      </c>
      <c r="R212" s="119">
        <f>IF(OR(H212=87201,H212=87100,H212=87200,H212=87500),L212,0)</f>
        <v/>
      </c>
    </row>
    <row r="213" ht="15" customHeight="1">
      <c r="A213" s="267" t="n"/>
      <c r="B213" s="74" t="n"/>
      <c r="C213" s="74" t="n"/>
      <c r="D213" s="249" t="n"/>
      <c r="E213" s="74">
        <f>IF(J213&gt;1,"+",0)</f>
        <v/>
      </c>
      <c r="F213" s="75">
        <f>IF(E213&gt;0,$L$4,0)</f>
        <v/>
      </c>
      <c r="G213" s="256" t="n"/>
      <c r="H213" s="64" t="n"/>
      <c r="I213" s="250">
        <f>IFERROR(VLOOKUP(H213,Tabellen!H:I,2),0)</f>
        <v/>
      </c>
      <c r="J213" s="121" t="n"/>
      <c r="K213" s="251" t="n"/>
      <c r="L213" s="123" t="n"/>
      <c r="M213" s="123" t="n"/>
      <c r="N213" s="123" t="n"/>
      <c r="O213" s="123" t="n"/>
      <c r="Q213" s="119">
        <f>IF(OR(H213=47201,H213=47100,H213=47200,H213=47500),L213,0)</f>
        <v/>
      </c>
      <c r="R213" s="119">
        <f>IF(OR(H213=87201,H213=87100,H213=87200,H213=87500),L213,0)</f>
        <v/>
      </c>
    </row>
    <row r="214" ht="15" customHeight="1">
      <c r="A214" s="267" t="n"/>
      <c r="B214" s="74" t="n"/>
      <c r="C214" s="74" t="n"/>
      <c r="D214" s="249" t="n"/>
      <c r="E214" s="74">
        <f>IF(J214&gt;1,"+",0)</f>
        <v/>
      </c>
      <c r="F214" s="75">
        <f>IF(E214&gt;0,$L$4,0)</f>
        <v/>
      </c>
      <c r="G214" s="256" t="n"/>
      <c r="H214" s="64" t="n"/>
      <c r="I214" s="250">
        <f>IFERROR(VLOOKUP(H214,Tabellen!H:I,2),0)</f>
        <v/>
      </c>
      <c r="J214" s="121" t="n"/>
      <c r="K214" s="251" t="n"/>
      <c r="L214" s="123" t="n"/>
      <c r="M214" s="123" t="n"/>
      <c r="N214" s="123" t="n"/>
      <c r="O214" s="123" t="n"/>
      <c r="Q214" s="119">
        <f>IF(OR(H214=47201,H214=47100,H214=47200,H214=47500),L214,0)</f>
        <v/>
      </c>
      <c r="R214" s="119">
        <f>IF(OR(H214=87201,H214=87100,H214=87200,H214=87500),L214,0)</f>
        <v/>
      </c>
    </row>
    <row r="215" ht="15" customHeight="1">
      <c r="A215" s="267" t="n"/>
      <c r="B215" s="74" t="n"/>
      <c r="C215" s="74" t="n"/>
      <c r="D215" s="249" t="n"/>
      <c r="E215" s="74">
        <f>IF(J215&gt;1,"+",0)</f>
        <v/>
      </c>
      <c r="F215" s="75">
        <f>IF(E215&gt;0,$L$4,0)</f>
        <v/>
      </c>
      <c r="G215" s="256" t="n"/>
      <c r="H215" s="64" t="n"/>
      <c r="I215" s="250">
        <f>IFERROR(VLOOKUP(H215,Tabellen!H:I,2),0)</f>
        <v/>
      </c>
      <c r="J215" s="121" t="n"/>
      <c r="K215" s="251" t="n"/>
      <c r="L215" s="123" t="n"/>
      <c r="M215" s="123" t="n"/>
      <c r="N215" s="123" t="n"/>
      <c r="O215" s="123" t="n"/>
      <c r="Q215" s="119">
        <f>IF(OR(H215=47201,H215=47100,H215=47200,H215=47500),L215,0)</f>
        <v/>
      </c>
      <c r="R215" s="119">
        <f>IF(OR(H215=87201,H215=87100,H215=87200,H215=87500),L215,0)</f>
        <v/>
      </c>
    </row>
    <row r="216" ht="15" customHeight="1">
      <c r="A216" s="267" t="n"/>
      <c r="B216" s="74" t="n"/>
      <c r="C216" s="74" t="n"/>
      <c r="D216" s="249" t="n"/>
      <c r="E216" s="74">
        <f>IF(J216&gt;1,"+",0)</f>
        <v/>
      </c>
      <c r="F216" s="75">
        <f>IF(E216&gt;0,$L$4,0)</f>
        <v/>
      </c>
      <c r="G216" s="256" t="n"/>
      <c r="H216" s="64" t="n"/>
      <c r="I216" s="250">
        <f>IFERROR(VLOOKUP(H216,Tabellen!H:I,2),0)</f>
        <v/>
      </c>
      <c r="J216" s="121" t="n"/>
      <c r="K216" s="251" t="n"/>
      <c r="L216" s="124" t="n"/>
      <c r="M216" s="124" t="n"/>
      <c r="N216" s="124" t="n"/>
      <c r="O216" s="124" t="n"/>
      <c r="Q216" s="119">
        <f>IF(OR(H216=47201,H216=47100,H216=47200,H216=47500),L216,0)</f>
        <v/>
      </c>
      <c r="R216" s="119">
        <f>IF(OR(H216=87201,H216=87100,H216=87200,H216=87500),L216,0)</f>
        <v/>
      </c>
    </row>
    <row r="217" ht="15" customFormat="1" customHeight="1" s="132">
      <c r="A217" s="252" t="inlineStr">
        <is>
          <t>Saldo mutaties reserves</t>
        </is>
      </c>
      <c r="B217" s="125" t="n"/>
      <c r="C217" s="125" t="n"/>
      <c r="D217" s="252" t="n"/>
      <c r="E217" s="143">
        <f>IF(J217&gt;1,"+",0)</f>
        <v/>
      </c>
      <c r="F217" s="127" t="n"/>
      <c r="G217" s="253" t="n"/>
      <c r="H217" s="65" t="n"/>
      <c r="I217" s="254" t="n"/>
      <c r="J217" s="129" t="n"/>
      <c r="K217" s="255" t="n"/>
      <c r="L217" s="131">
        <f>SUM(L172:L216)</f>
        <v/>
      </c>
      <c r="M217" s="131">
        <f>SUM(M172:M216)</f>
        <v/>
      </c>
      <c r="N217" s="131">
        <f>SUM(N172:N216)</f>
        <v/>
      </c>
      <c r="O217" s="131">
        <f>SUM(O172:O216)</f>
        <v/>
      </c>
      <c r="Q217" s="119">
        <f>IF(OR(H217=47201,H217=47100,H217=47200,H217=47500),L217,0)</f>
        <v/>
      </c>
      <c r="R217" s="119">
        <f>IF(OR(H217=87201,H217=87100,H217=87200,H217=87500),L217,0)</f>
        <v/>
      </c>
    </row>
    <row r="218" ht="15" customHeight="1">
      <c r="A218" s="244" t="n"/>
      <c r="B218" s="71" t="n"/>
      <c r="C218" s="71" t="n"/>
      <c r="D218" s="244" t="n"/>
      <c r="E218" s="71">
        <f>IF(J218&gt;1,"+",0)</f>
        <v/>
      </c>
      <c r="F218" s="113" t="n"/>
      <c r="G218" s="245" t="n"/>
      <c r="H218" s="63" t="n"/>
      <c r="I218" s="246" t="n"/>
      <c r="J218" s="73" t="n"/>
      <c r="K218" s="247" t="n"/>
      <c r="L218" s="116" t="n"/>
      <c r="M218" s="116" t="n"/>
      <c r="N218" s="116" t="n"/>
      <c r="O218" s="116" t="n"/>
      <c r="Q218" s="119">
        <f>IF(OR(H218=47201,H218=47100,H218=47200,H218=47500),L218,0)</f>
        <v/>
      </c>
      <c r="R218" s="119">
        <f>IF(OR(H218=87201,H218=87100,H218=87200,H218=87500),L218,0)</f>
        <v/>
      </c>
    </row>
    <row r="219" ht="15" customHeight="1">
      <c r="A219" s="248" t="inlineStr">
        <is>
          <t>E. Voorzieningen</t>
        </is>
      </c>
      <c r="B219" s="118" t="n"/>
      <c r="C219" s="71" t="n"/>
      <c r="D219" s="244" t="n"/>
      <c r="E219" s="71">
        <f>IF(J219&gt;1,"+",0)</f>
        <v/>
      </c>
      <c r="F219" s="113" t="n"/>
      <c r="G219" s="245" t="n"/>
      <c r="H219" s="63" t="n"/>
      <c r="I219" s="246" t="n"/>
      <c r="J219" s="73" t="n"/>
      <c r="K219" s="247" t="n"/>
      <c r="L219" s="116" t="n"/>
      <c r="M219" s="116" t="n"/>
      <c r="N219" s="116" t="n"/>
      <c r="O219" s="116" t="n"/>
      <c r="Q219" s="119">
        <f>IF(OR(H219=47201,H219=47100,H219=47200,H219=47500),L219,0)</f>
        <v/>
      </c>
      <c r="R219" s="119">
        <f>IF(OR(H219=87201,H219=87100,H219=87200,H219=87500),L219,0)</f>
        <v/>
      </c>
    </row>
    <row r="220" ht="15" customHeight="1">
      <c r="A220" s="267" t="inlineStr">
        <is>
          <t>Voorzieningen</t>
        </is>
      </c>
      <c r="B220" s="74" t="n"/>
      <c r="C220" s="74" t="n"/>
      <c r="D220" s="249" t="n"/>
      <c r="E220" s="74">
        <f>IF(J220&gt;1,"+",0)</f>
        <v/>
      </c>
      <c r="F220" s="75">
        <f>IF(E220&gt;0,$L$4,0)</f>
        <v/>
      </c>
      <c r="G220" s="256" t="n"/>
      <c r="H220" s="64" t="n"/>
      <c r="I220" s="250">
        <f>IFERROR(VLOOKUP(H220,Tabellen!H:I,2),0)</f>
        <v/>
      </c>
      <c r="J220" s="121" t="n"/>
      <c r="K220" s="251" t="n"/>
      <c r="L220" s="123" t="n"/>
      <c r="M220" s="123" t="n"/>
      <c r="N220" s="123" t="n"/>
      <c r="O220" s="123" t="n"/>
      <c r="Q220" s="119">
        <f>IF(OR(H220=47201,H220=47100,H220=47200,H220=47500),L220,0)</f>
        <v/>
      </c>
      <c r="R220" s="119">
        <f>IF(OR(H220=87201,H220=87100,H220=87200,H220=87500),L220,0)</f>
        <v/>
      </c>
    </row>
    <row r="221" ht="15" customHeight="1">
      <c r="A221" s="267" t="n"/>
      <c r="B221" s="74" t="n"/>
      <c r="C221" s="74" t="n"/>
      <c r="D221" s="249" t="n"/>
      <c r="E221" s="74">
        <f>IF(J221&gt;1,"+",0)</f>
        <v/>
      </c>
      <c r="F221" s="75">
        <f>IF(E221&gt;0,$L$4,0)</f>
        <v/>
      </c>
      <c r="G221" s="256" t="n"/>
      <c r="H221" s="64" t="n"/>
      <c r="I221" s="250">
        <f>IFERROR(VLOOKUP(H221,Tabellen!H:I,2),0)</f>
        <v/>
      </c>
      <c r="J221" s="121" t="n"/>
      <c r="K221" s="251" t="n"/>
      <c r="L221" s="123" t="n"/>
      <c r="M221" s="123" t="n"/>
      <c r="N221" s="123" t="n"/>
      <c r="O221" s="123" t="n"/>
      <c r="Q221" s="119">
        <f>IF(OR(H221=47201,H221=47100,H221=47200,H221=47500),L221,0)</f>
        <v/>
      </c>
      <c r="R221" s="119">
        <f>IF(OR(H221=87201,H221=87100,H221=87200,H221=87500),L221,0)</f>
        <v/>
      </c>
    </row>
    <row r="222" ht="15" customHeight="1">
      <c r="A222" s="267" t="n"/>
      <c r="B222" s="74" t="n"/>
      <c r="C222" s="74" t="n"/>
      <c r="D222" s="249" t="n"/>
      <c r="E222" s="74">
        <f>IF(J222&gt;1,"+",0)</f>
        <v/>
      </c>
      <c r="F222" s="75">
        <f>IF(E222&gt;0,$L$4,0)</f>
        <v/>
      </c>
      <c r="G222" s="256" t="n"/>
      <c r="H222" s="64" t="n"/>
      <c r="I222" s="250">
        <f>IFERROR(VLOOKUP(H222,Tabellen!H:I,2),0)</f>
        <v/>
      </c>
      <c r="J222" s="121" t="n"/>
      <c r="K222" s="251" t="n"/>
      <c r="L222" s="123" t="n"/>
      <c r="M222" s="123" t="n"/>
      <c r="N222" s="123" t="n"/>
      <c r="O222" s="123" t="n"/>
      <c r="Q222" s="119">
        <f>IF(OR(H222=47201,H222=47100,H222=47200,H222=47500),L222,0)</f>
        <v/>
      </c>
      <c r="R222" s="119">
        <f>IF(OR(H222=87201,H222=87100,H222=87200,H222=87500),L222,0)</f>
        <v/>
      </c>
    </row>
    <row r="223" ht="15" customHeight="1">
      <c r="A223" s="267" t="n"/>
      <c r="B223" s="74" t="n"/>
      <c r="C223" s="74" t="n"/>
      <c r="D223" s="249" t="n"/>
      <c r="E223" s="74">
        <f>IF(J223&gt;1,"+",0)</f>
        <v/>
      </c>
      <c r="F223" s="75">
        <f>IF(E223&gt;0,$L$4,0)</f>
        <v/>
      </c>
      <c r="G223" s="256" t="n"/>
      <c r="H223" s="64" t="n"/>
      <c r="I223" s="250">
        <f>IFERROR(VLOOKUP(H223,Tabellen!H:I,2),0)</f>
        <v/>
      </c>
      <c r="J223" s="121" t="n"/>
      <c r="K223" s="251" t="n"/>
      <c r="L223" s="123" t="n"/>
      <c r="M223" s="123" t="n"/>
      <c r="N223" s="123" t="n"/>
      <c r="O223" s="123" t="n"/>
      <c r="Q223" s="119">
        <f>IF(OR(H223=47201,H223=47100,H223=47200,H223=47500),L223,0)</f>
        <v/>
      </c>
      <c r="R223" s="119">
        <f>IF(OR(H223=87201,H223=87100,H223=87200,H223=87500),L223,0)</f>
        <v/>
      </c>
    </row>
    <row r="224" ht="15" customHeight="1">
      <c r="A224" s="267" t="n"/>
      <c r="B224" s="74" t="n"/>
      <c r="C224" s="74" t="n"/>
      <c r="D224" s="249" t="n"/>
      <c r="E224" s="74">
        <f>IF(J224&gt;1,"+",0)</f>
        <v/>
      </c>
      <c r="F224" s="75">
        <f>IF(E224&gt;0,$L$4,0)</f>
        <v/>
      </c>
      <c r="G224" s="256" t="n"/>
      <c r="H224" s="64" t="n"/>
      <c r="I224" s="250">
        <f>IFERROR(VLOOKUP(H224,Tabellen!H:I,2),0)</f>
        <v/>
      </c>
      <c r="J224" s="121" t="n"/>
      <c r="K224" s="251" t="n"/>
      <c r="L224" s="123" t="n"/>
      <c r="M224" s="123" t="n"/>
      <c r="N224" s="123" t="n"/>
      <c r="O224" s="123" t="n"/>
      <c r="Q224" s="119">
        <f>IF(OR(H224=47201,H224=47100,H224=47200,H224=47500),L224,0)</f>
        <v/>
      </c>
      <c r="R224" s="119">
        <f>IF(OR(H224=87201,H224=87100,H224=87200,H224=87500),L224,0)</f>
        <v/>
      </c>
    </row>
    <row r="225" ht="15" customHeight="1">
      <c r="A225" s="267" t="n"/>
      <c r="B225" s="74" t="n"/>
      <c r="C225" s="74" t="n"/>
      <c r="D225" s="249" t="n"/>
      <c r="E225" s="74">
        <f>IF(J225&gt;1,"+",0)</f>
        <v/>
      </c>
      <c r="F225" s="75">
        <f>IF(E225&gt;0,$L$4,0)</f>
        <v/>
      </c>
      <c r="G225" s="256" t="n"/>
      <c r="H225" s="64" t="n"/>
      <c r="I225" s="250">
        <f>IFERROR(VLOOKUP(H225,Tabellen!H:I,2),0)</f>
        <v/>
      </c>
      <c r="J225" s="121" t="n"/>
      <c r="K225" s="251" t="n"/>
      <c r="L225" s="123" t="n"/>
      <c r="M225" s="123" t="n"/>
      <c r="N225" s="123" t="n"/>
      <c r="O225" s="123" t="n"/>
      <c r="Q225" s="119">
        <f>IF(OR(H225=47201,H225=47100,H225=47200,H225=47500),L225,0)</f>
        <v/>
      </c>
      <c r="R225" s="119">
        <f>IF(OR(H225=87201,H225=87100,H225=87200,H225=87500),L225,0)</f>
        <v/>
      </c>
    </row>
    <row r="226" ht="15" customHeight="1">
      <c r="A226" s="267" t="n"/>
      <c r="B226" s="74" t="n"/>
      <c r="C226" s="74" t="n"/>
      <c r="D226" s="249" t="n"/>
      <c r="E226" s="74">
        <f>IF(J226&gt;1,"+",0)</f>
        <v/>
      </c>
      <c r="F226" s="75">
        <f>IF(E226&gt;0,$L$4,0)</f>
        <v/>
      </c>
      <c r="G226" s="256" t="n"/>
      <c r="H226" s="64" t="n"/>
      <c r="I226" s="250">
        <f>IFERROR(VLOOKUP(H226,Tabellen!H:I,2),0)</f>
        <v/>
      </c>
      <c r="J226" s="121" t="n"/>
      <c r="K226" s="251" t="n"/>
      <c r="L226" s="123" t="n"/>
      <c r="M226" s="123" t="n"/>
      <c r="N226" s="123" t="n"/>
      <c r="O226" s="123" t="n"/>
      <c r="Q226" s="119">
        <f>IF(OR(H226=47201,H226=47100,H226=47200,H226=47500),L226,0)</f>
        <v/>
      </c>
      <c r="R226" s="119">
        <f>IF(OR(H226=87201,H226=87100,H226=87200,H226=87500),L226,0)</f>
        <v/>
      </c>
    </row>
    <row r="227" ht="15" customHeight="1">
      <c r="A227" s="267" t="n"/>
      <c r="B227" s="74" t="n"/>
      <c r="C227" s="74" t="n"/>
      <c r="D227" s="249" t="n"/>
      <c r="E227" s="74">
        <f>IF(J227&gt;1,"+",0)</f>
        <v/>
      </c>
      <c r="F227" s="75">
        <f>IF(E227&gt;0,$L$4,0)</f>
        <v/>
      </c>
      <c r="G227" s="256" t="n"/>
      <c r="H227" s="64" t="n"/>
      <c r="I227" s="250">
        <f>IFERROR(VLOOKUP(H227,Tabellen!H:I,2),0)</f>
        <v/>
      </c>
      <c r="J227" s="121" t="n"/>
      <c r="K227" s="251" t="n"/>
      <c r="L227" s="123" t="n"/>
      <c r="M227" s="123" t="n"/>
      <c r="N227" s="123" t="n"/>
      <c r="O227" s="123" t="n"/>
      <c r="Q227" s="119">
        <f>IF(OR(H227=47201,H227=47100,H227=47200,H227=47500),L227,0)</f>
        <v/>
      </c>
      <c r="R227" s="119">
        <f>IF(OR(H227=87201,H227=87100,H227=87200,H227=87500),L227,0)</f>
        <v/>
      </c>
    </row>
    <row r="228" ht="15" customHeight="1">
      <c r="A228" s="267" t="n"/>
      <c r="B228" s="74" t="n"/>
      <c r="C228" s="74" t="n"/>
      <c r="D228" s="249" t="n"/>
      <c r="E228" s="74">
        <f>IF(J228&gt;1,"+",0)</f>
        <v/>
      </c>
      <c r="F228" s="75">
        <f>IF(E228&gt;0,$L$4,0)</f>
        <v/>
      </c>
      <c r="G228" s="256" t="n"/>
      <c r="H228" s="64" t="n"/>
      <c r="I228" s="250">
        <f>IFERROR(VLOOKUP(H228,Tabellen!H:I,2),0)</f>
        <v/>
      </c>
      <c r="J228" s="121" t="n"/>
      <c r="K228" s="251" t="n"/>
      <c r="L228" s="123" t="n"/>
      <c r="M228" s="123" t="n"/>
      <c r="N228" s="123" t="n"/>
      <c r="O228" s="123" t="n"/>
      <c r="Q228" s="119">
        <f>IF(OR(H228=47201,H228=47100,H228=47200,H228=47500),L228,0)</f>
        <v/>
      </c>
      <c r="R228" s="119">
        <f>IF(OR(H228=87201,H228=87100,H228=87200,H228=87500),L228,0)</f>
        <v/>
      </c>
    </row>
    <row r="229" ht="15" customHeight="1">
      <c r="A229" s="267" t="n"/>
      <c r="B229" s="74" t="n"/>
      <c r="C229" s="74" t="n"/>
      <c r="D229" s="249" t="n"/>
      <c r="E229" s="74">
        <f>IF(J229&gt;1,"+",0)</f>
        <v/>
      </c>
      <c r="F229" s="75">
        <f>IF(E229&gt;0,$L$4,0)</f>
        <v/>
      </c>
      <c r="G229" s="256" t="n"/>
      <c r="H229" s="64" t="n"/>
      <c r="I229" s="250">
        <f>IFERROR(VLOOKUP(H229,Tabellen!H:I,2),0)</f>
        <v/>
      </c>
      <c r="J229" s="121" t="n"/>
      <c r="K229" s="251" t="n"/>
      <c r="L229" s="123" t="n"/>
      <c r="M229" s="123" t="n"/>
      <c r="N229" s="123" t="n"/>
      <c r="O229" s="123" t="n"/>
      <c r="Q229" s="119">
        <f>IF(OR(H229=47201,H229=47100,H229=47200,H229=47500),L229,0)</f>
        <v/>
      </c>
      <c r="R229" s="119">
        <f>IF(OR(H229=87201,H229=87100,H229=87200,H229=87500),L229,0)</f>
        <v/>
      </c>
    </row>
    <row r="230" ht="15" customHeight="1">
      <c r="A230" s="267" t="n"/>
      <c r="B230" s="74" t="n"/>
      <c r="C230" s="74" t="n"/>
      <c r="D230" s="249" t="n"/>
      <c r="E230" s="74">
        <f>IF(J230&gt;1,"+",0)</f>
        <v/>
      </c>
      <c r="F230" s="75">
        <f>IF(E230&gt;0,$L$4,0)</f>
        <v/>
      </c>
      <c r="G230" s="256" t="n"/>
      <c r="H230" s="64" t="n"/>
      <c r="I230" s="250">
        <f>IFERROR(VLOOKUP(H230,Tabellen!H:I,2),0)</f>
        <v/>
      </c>
      <c r="J230" s="121" t="n"/>
      <c r="K230" s="251" t="n"/>
      <c r="L230" s="123" t="n"/>
      <c r="M230" s="123" t="n"/>
      <c r="N230" s="123" t="n"/>
      <c r="O230" s="123" t="n"/>
      <c r="Q230" s="119">
        <f>IF(OR(H230=47201,H230=47100,H230=47200,H230=47500),L230,0)</f>
        <v/>
      </c>
      <c r="R230" s="119">
        <f>IF(OR(H230=87201,H230=87100,H230=87200,H230=87500),L230,0)</f>
        <v/>
      </c>
    </row>
    <row r="231" ht="15" customHeight="1">
      <c r="A231" s="267" t="n"/>
      <c r="B231" s="74" t="n"/>
      <c r="C231" s="74" t="n"/>
      <c r="D231" s="249" t="n"/>
      <c r="E231" s="74">
        <f>IF(J231&gt;1,"+",0)</f>
        <v/>
      </c>
      <c r="F231" s="75">
        <f>IF(E231&gt;0,$L$4,0)</f>
        <v/>
      </c>
      <c r="G231" s="256" t="n"/>
      <c r="H231" s="64" t="n"/>
      <c r="I231" s="250">
        <f>IFERROR(VLOOKUP(H231,Tabellen!H:I,2),0)</f>
        <v/>
      </c>
      <c r="J231" s="121" t="n"/>
      <c r="K231" s="251" t="n"/>
      <c r="L231" s="123" t="n"/>
      <c r="M231" s="123" t="n"/>
      <c r="N231" s="123" t="n"/>
      <c r="O231" s="123" t="n"/>
      <c r="Q231" s="119">
        <f>IF(OR(H231=47201,H231=47100,H231=47200,H231=47500),L231,0)</f>
        <v/>
      </c>
      <c r="R231" s="119">
        <f>IF(OR(H231=87201,H231=87100,H231=87200,H231=87500),L231,0)</f>
        <v/>
      </c>
    </row>
    <row r="232" ht="15" customHeight="1">
      <c r="A232" s="267" t="n"/>
      <c r="B232" s="74" t="n"/>
      <c r="C232" s="74" t="n"/>
      <c r="D232" s="249" t="n"/>
      <c r="E232" s="74">
        <f>IF(J232&gt;1,"+",0)</f>
        <v/>
      </c>
      <c r="F232" s="75">
        <f>IF(E232&gt;0,$L$4,0)</f>
        <v/>
      </c>
      <c r="G232" s="256" t="n"/>
      <c r="H232" s="64" t="n"/>
      <c r="I232" s="250">
        <f>IFERROR(VLOOKUP(H232,Tabellen!H:I,2),0)</f>
        <v/>
      </c>
      <c r="J232" s="121" t="n"/>
      <c r="K232" s="251" t="n"/>
      <c r="L232" s="123" t="n"/>
      <c r="M232" s="123" t="n"/>
      <c r="N232" s="123" t="n"/>
      <c r="O232" s="123" t="n"/>
      <c r="Q232" s="119">
        <f>IF(OR(H232=47201,H232=47100,H232=47200,H232=47500),L232,0)</f>
        <v/>
      </c>
      <c r="R232" s="119">
        <f>IF(OR(H232=87201,H232=87100,H232=87200,H232=87500),L232,0)</f>
        <v/>
      </c>
    </row>
    <row r="233" ht="15" customHeight="1">
      <c r="A233" s="267" t="n"/>
      <c r="B233" s="74" t="n"/>
      <c r="C233" s="74" t="n"/>
      <c r="D233" s="249" t="n"/>
      <c r="E233" s="74">
        <f>IF(J233&gt;1,"+",0)</f>
        <v/>
      </c>
      <c r="F233" s="75">
        <f>IF(E233&gt;0,$L$4,0)</f>
        <v/>
      </c>
      <c r="G233" s="256" t="n"/>
      <c r="H233" s="64" t="n"/>
      <c r="I233" s="250">
        <f>IFERROR(VLOOKUP(H233,Tabellen!H:I,2),0)</f>
        <v/>
      </c>
      <c r="J233" s="121" t="n"/>
      <c r="K233" s="251" t="n"/>
      <c r="L233" s="123" t="n"/>
      <c r="M233" s="123" t="n"/>
      <c r="N233" s="123" t="n"/>
      <c r="O233" s="123" t="n"/>
      <c r="Q233" s="119">
        <f>IF(OR(H233=47201,H233=47100,H233=47200,H233=47500),L233,0)</f>
        <v/>
      </c>
      <c r="R233" s="119">
        <f>IF(OR(H233=87201,H233=87100,H233=87200,H233=87500),L233,0)</f>
        <v/>
      </c>
    </row>
    <row r="234" ht="15" customHeight="1">
      <c r="A234" s="267" t="n"/>
      <c r="B234" s="74" t="n"/>
      <c r="C234" s="74" t="n"/>
      <c r="D234" s="249" t="n"/>
      <c r="E234" s="74">
        <f>IF(J234&gt;1,"+",0)</f>
        <v/>
      </c>
      <c r="F234" s="75">
        <f>IF(E234&gt;0,$L$4,0)</f>
        <v/>
      </c>
      <c r="G234" s="256" t="n"/>
      <c r="H234" s="64" t="n"/>
      <c r="I234" s="250">
        <f>IFERROR(VLOOKUP(H234,Tabellen!H:I,2),0)</f>
        <v/>
      </c>
      <c r="J234" s="121" t="n"/>
      <c r="K234" s="251" t="n"/>
      <c r="L234" s="123" t="n"/>
      <c r="M234" s="123" t="n"/>
      <c r="N234" s="123" t="n"/>
      <c r="O234" s="123" t="n"/>
      <c r="Q234" s="119">
        <f>IF(OR(H234=47201,H234=47100,H234=47200,H234=47500),L234,0)</f>
        <v/>
      </c>
      <c r="R234" s="119">
        <f>IF(OR(H234=87201,H234=87100,H234=87200,H234=87500),L234,0)</f>
        <v/>
      </c>
    </row>
    <row r="235" ht="15" customHeight="1">
      <c r="A235" s="267" t="n"/>
      <c r="B235" s="74" t="n"/>
      <c r="C235" s="74" t="n"/>
      <c r="D235" s="249" t="n"/>
      <c r="E235" s="74">
        <f>IF(J235&gt;1,"+",0)</f>
        <v/>
      </c>
      <c r="F235" s="75">
        <f>IF(E235&gt;0,$L$4,0)</f>
        <v/>
      </c>
      <c r="G235" s="256" t="n"/>
      <c r="H235" s="64" t="n"/>
      <c r="I235" s="250">
        <f>IFERROR(VLOOKUP(H235,Tabellen!H:I,2),0)</f>
        <v/>
      </c>
      <c r="J235" s="121" t="n"/>
      <c r="K235" s="251" t="n"/>
      <c r="L235" s="123" t="n"/>
      <c r="M235" s="123" t="n"/>
      <c r="N235" s="123" t="n"/>
      <c r="O235" s="123" t="n"/>
      <c r="Q235" s="119">
        <f>IF(OR(H235=47201,H235=47100,H235=47200,H235=47500),L235,0)</f>
        <v/>
      </c>
      <c r="R235" s="119">
        <f>IF(OR(H235=87201,H235=87100,H235=87200,H235=87500),L235,0)</f>
        <v/>
      </c>
    </row>
    <row r="236" ht="15" customHeight="1">
      <c r="A236" s="267" t="n"/>
      <c r="B236" s="74" t="n"/>
      <c r="C236" s="74" t="n"/>
      <c r="D236" s="249" t="n"/>
      <c r="E236" s="74">
        <f>IF(J236&gt;1,"+",0)</f>
        <v/>
      </c>
      <c r="F236" s="75">
        <f>IF(E236&gt;0,$L$4,0)</f>
        <v/>
      </c>
      <c r="G236" s="256" t="n"/>
      <c r="H236" s="64" t="n"/>
      <c r="I236" s="250">
        <f>IFERROR(VLOOKUP(H236,Tabellen!H:I,2),0)</f>
        <v/>
      </c>
      <c r="J236" s="121" t="n"/>
      <c r="K236" s="251" t="n"/>
      <c r="L236" s="123" t="n"/>
      <c r="M236" s="123" t="n"/>
      <c r="N236" s="123" t="n"/>
      <c r="O236" s="123" t="n"/>
      <c r="Q236" s="119">
        <f>IF(OR(H236=47201,H236=47100,H236=47200,H236=47500),L236,0)</f>
        <v/>
      </c>
      <c r="R236" s="119">
        <f>IF(OR(H236=87201,H236=87100,H236=87200,H236=87500),L236,0)</f>
        <v/>
      </c>
    </row>
    <row r="237" ht="15" customHeight="1">
      <c r="A237" s="267" t="n"/>
      <c r="B237" s="74" t="n"/>
      <c r="C237" s="74" t="n"/>
      <c r="D237" s="249" t="n"/>
      <c r="E237" s="74">
        <f>IF(J237&gt;1,"+",0)</f>
        <v/>
      </c>
      <c r="F237" s="75">
        <f>IF(E237&gt;0,$L$4,0)</f>
        <v/>
      </c>
      <c r="G237" s="256" t="n"/>
      <c r="H237" s="64" t="n"/>
      <c r="I237" s="250">
        <f>IFERROR(VLOOKUP(H237,Tabellen!H:I,2),0)</f>
        <v/>
      </c>
      <c r="J237" s="121" t="n"/>
      <c r="K237" s="251" t="n"/>
      <c r="L237" s="123" t="n"/>
      <c r="M237" s="123" t="n"/>
      <c r="N237" s="123" t="n"/>
      <c r="O237" s="123" t="n"/>
      <c r="Q237" s="119">
        <f>IF(OR(H237=47201,H237=47100,H237=47200,H237=47500),L237,0)</f>
        <v/>
      </c>
      <c r="R237" s="119">
        <f>IF(OR(H237=87201,H237=87100,H237=87200,H237=87500),L237,0)</f>
        <v/>
      </c>
    </row>
    <row r="238" ht="15" customHeight="1">
      <c r="A238" s="267" t="n"/>
      <c r="B238" s="74" t="n"/>
      <c r="C238" s="74" t="n"/>
      <c r="D238" s="249" t="n"/>
      <c r="E238" s="74">
        <f>IF(J238&gt;1,"+",0)</f>
        <v/>
      </c>
      <c r="F238" s="75">
        <f>IF(E238&gt;0,$L$4,0)</f>
        <v/>
      </c>
      <c r="G238" s="256" t="n"/>
      <c r="H238" s="64" t="n"/>
      <c r="I238" s="250">
        <f>IFERROR(VLOOKUP(H238,Tabellen!H:I,2),0)</f>
        <v/>
      </c>
      <c r="J238" s="121" t="n"/>
      <c r="K238" s="251" t="n"/>
      <c r="L238" s="123" t="n"/>
      <c r="M238" s="123" t="n"/>
      <c r="N238" s="123" t="n"/>
      <c r="O238" s="123" t="n"/>
      <c r="Q238" s="119">
        <f>IF(OR(H238=47201,H238=47100,H238=47200,H238=47500),L238,0)</f>
        <v/>
      </c>
      <c r="R238" s="119">
        <f>IF(OR(H238=87201,H238=87100,H238=87200,H238=87500),L238,0)</f>
        <v/>
      </c>
    </row>
    <row r="239" ht="15" customHeight="1">
      <c r="A239" s="267" t="n"/>
      <c r="B239" s="74" t="n"/>
      <c r="C239" s="74" t="n"/>
      <c r="D239" s="249" t="n"/>
      <c r="E239" s="74">
        <f>IF(J239&gt;1,"+",0)</f>
        <v/>
      </c>
      <c r="F239" s="75">
        <f>IF(E239&gt;0,$L$4,0)</f>
        <v/>
      </c>
      <c r="G239" s="256" t="n"/>
      <c r="H239" s="64" t="n"/>
      <c r="I239" s="250">
        <f>IFERROR(VLOOKUP(H239,Tabellen!H:I,2),0)</f>
        <v/>
      </c>
      <c r="J239" s="121" t="n"/>
      <c r="K239" s="251" t="n"/>
      <c r="L239" s="123" t="n"/>
      <c r="M239" s="123" t="n"/>
      <c r="N239" s="123" t="n"/>
      <c r="O239" s="123" t="n"/>
      <c r="Q239" s="119">
        <f>IF(OR(H239=47201,H239=47100,H239=47200,H239=47500),L239,0)</f>
        <v/>
      </c>
      <c r="R239" s="119">
        <f>IF(OR(H239=87201,H239=87100,H239=87200,H239=87500),L239,0)</f>
        <v/>
      </c>
    </row>
    <row r="240" ht="15" customHeight="1">
      <c r="A240" s="267" t="n"/>
      <c r="B240" s="74" t="n"/>
      <c r="C240" s="74" t="n"/>
      <c r="D240" s="249" t="n"/>
      <c r="E240" s="74">
        <f>IF(J240&gt;1,"+",0)</f>
        <v/>
      </c>
      <c r="F240" s="75">
        <f>IF(E240&gt;0,$L$4,0)</f>
        <v/>
      </c>
      <c r="G240" s="256" t="n"/>
      <c r="H240" s="64" t="n"/>
      <c r="I240" s="250">
        <f>IFERROR(VLOOKUP(H240,Tabellen!H:I,2),0)</f>
        <v/>
      </c>
      <c r="J240" s="121" t="n"/>
      <c r="K240" s="251" t="n"/>
      <c r="L240" s="123" t="n"/>
      <c r="M240" s="123" t="n"/>
      <c r="N240" s="123" t="n"/>
      <c r="O240" s="123" t="n"/>
      <c r="Q240" s="119">
        <f>IF(OR(H240=47201,H240=47100,H240=47200,H240=47500),L240,0)</f>
        <v/>
      </c>
      <c r="R240" s="119">
        <f>IF(OR(H240=87201,H240=87100,H240=87200,H240=87500),L240,0)</f>
        <v/>
      </c>
    </row>
    <row r="241" ht="15" customHeight="1">
      <c r="A241" s="267" t="n"/>
      <c r="B241" s="74" t="n"/>
      <c r="C241" s="74" t="n"/>
      <c r="D241" s="249" t="n"/>
      <c r="E241" s="74">
        <f>IF(J241&gt;1,"+",0)</f>
        <v/>
      </c>
      <c r="F241" s="75">
        <f>IF(E241&gt;0,$L$4,0)</f>
        <v/>
      </c>
      <c r="G241" s="256" t="n"/>
      <c r="H241" s="64" t="n"/>
      <c r="I241" s="250">
        <f>IFERROR(VLOOKUP(H241,Tabellen!H:I,2),0)</f>
        <v/>
      </c>
      <c r="J241" s="121" t="n"/>
      <c r="K241" s="251" t="n"/>
      <c r="L241" s="123" t="n"/>
      <c r="M241" s="123" t="n"/>
      <c r="N241" s="123" t="n"/>
      <c r="O241" s="123" t="n"/>
      <c r="Q241" s="119">
        <f>IF(OR(H241=47201,H241=47100,H241=47200,H241=47500),L241,0)</f>
        <v/>
      </c>
      <c r="R241" s="119">
        <f>IF(OR(H241=87201,H241=87100,H241=87200,H241=87500),L241,0)</f>
        <v/>
      </c>
    </row>
    <row r="242" ht="15" customHeight="1">
      <c r="A242" s="267" t="n"/>
      <c r="B242" s="74" t="n"/>
      <c r="C242" s="74" t="n"/>
      <c r="D242" s="249" t="n"/>
      <c r="E242" s="74">
        <f>IF(J242&gt;1,"+",0)</f>
        <v/>
      </c>
      <c r="F242" s="75">
        <f>IF(E242&gt;0,$L$4,0)</f>
        <v/>
      </c>
      <c r="G242" s="256" t="n"/>
      <c r="H242" s="64" t="n"/>
      <c r="I242" s="250">
        <f>IFERROR(VLOOKUP(H242,Tabellen!H:I,2),0)</f>
        <v/>
      </c>
      <c r="J242" s="121" t="n"/>
      <c r="K242" s="251" t="n"/>
      <c r="L242" s="123" t="n"/>
      <c r="M242" s="123" t="n"/>
      <c r="N242" s="123" t="n"/>
      <c r="O242" s="123" t="n"/>
      <c r="Q242" s="119">
        <f>IF(OR(H242=47201,H242=47100,H242=47200,H242=47500),L242,0)</f>
        <v/>
      </c>
      <c r="R242" s="119">
        <f>IF(OR(H242=87201,H242=87100,H242=87200,H242=87500),L242,0)</f>
        <v/>
      </c>
    </row>
    <row r="243" ht="15" customHeight="1">
      <c r="A243" s="267" t="n"/>
      <c r="B243" s="74" t="n"/>
      <c r="C243" s="74" t="n"/>
      <c r="D243" s="249" t="n"/>
      <c r="E243" s="74">
        <f>IF(J243&gt;1,"+",0)</f>
        <v/>
      </c>
      <c r="F243" s="75">
        <f>IF(E243&gt;0,$L$4,0)</f>
        <v/>
      </c>
      <c r="G243" s="256" t="n"/>
      <c r="H243" s="64" t="n"/>
      <c r="I243" s="250">
        <f>IFERROR(VLOOKUP(H243,Tabellen!H:I,2),0)</f>
        <v/>
      </c>
      <c r="J243" s="121" t="n"/>
      <c r="K243" s="251" t="n"/>
      <c r="L243" s="123" t="n"/>
      <c r="M243" s="123" t="n"/>
      <c r="N243" s="123" t="n"/>
      <c r="O243" s="123" t="n"/>
      <c r="Q243" s="119">
        <f>IF(OR(H243=47201,H243=47100,H243=47200,H243=47500),L243,0)</f>
        <v/>
      </c>
      <c r="R243" s="119">
        <f>IF(OR(H243=87201,H243=87100,H243=87200,H243=87500),L243,0)</f>
        <v/>
      </c>
    </row>
    <row r="244" ht="15" customHeight="1">
      <c r="A244" s="267" t="n"/>
      <c r="B244" s="74" t="n"/>
      <c r="C244" s="74" t="n"/>
      <c r="D244" s="249" t="n"/>
      <c r="E244" s="74">
        <f>IF(J244&gt;1,"+",0)</f>
        <v/>
      </c>
      <c r="F244" s="75">
        <f>IF(E244&gt;0,$L$4,0)</f>
        <v/>
      </c>
      <c r="G244" s="256" t="n"/>
      <c r="H244" s="64" t="n"/>
      <c r="I244" s="250">
        <f>IFERROR(VLOOKUP(H244,Tabellen!H:I,2),0)</f>
        <v/>
      </c>
      <c r="J244" s="121" t="n"/>
      <c r="K244" s="251" t="n"/>
      <c r="L244" s="123" t="n"/>
      <c r="M244" s="123" t="n"/>
      <c r="N244" s="123" t="n"/>
      <c r="O244" s="123" t="n"/>
      <c r="Q244" s="119">
        <f>IF(OR(H244=47201,H244=47100,H244=47200,H244=47500),L244,0)</f>
        <v/>
      </c>
      <c r="R244" s="119">
        <f>IF(OR(H244=87201,H244=87100,H244=87200,H244=87500),L244,0)</f>
        <v/>
      </c>
    </row>
    <row r="245" ht="15" customHeight="1">
      <c r="A245" s="267" t="n"/>
      <c r="B245" s="74" t="n"/>
      <c r="C245" s="74" t="n"/>
      <c r="D245" s="249" t="n"/>
      <c r="E245" s="74">
        <f>IF(J245&gt;1,"+",0)</f>
        <v/>
      </c>
      <c r="F245" s="75">
        <f>IF(E245&gt;0,$L$4,0)</f>
        <v/>
      </c>
      <c r="G245" s="256" t="n"/>
      <c r="H245" s="64" t="n"/>
      <c r="I245" s="250">
        <f>IFERROR(VLOOKUP(H245,Tabellen!H:I,2),0)</f>
        <v/>
      </c>
      <c r="J245" s="121" t="n"/>
      <c r="K245" s="251" t="n"/>
      <c r="L245" s="123" t="n"/>
      <c r="M245" s="123" t="n"/>
      <c r="N245" s="123" t="n"/>
      <c r="O245" s="123" t="n"/>
      <c r="Q245" s="119">
        <f>IF(OR(H245=47201,H245=47100,H245=47200,H245=47500),L245,0)</f>
        <v/>
      </c>
      <c r="R245" s="119">
        <f>IF(OR(H245=87201,H245=87100,H245=87200,H245=87500),L245,0)</f>
        <v/>
      </c>
    </row>
    <row r="246" ht="15" customHeight="1">
      <c r="A246" s="267" t="n"/>
      <c r="B246" s="74" t="n"/>
      <c r="C246" s="74" t="n"/>
      <c r="D246" s="249" t="n"/>
      <c r="E246" s="74">
        <f>IF(J246&gt;1,"+",0)</f>
        <v/>
      </c>
      <c r="F246" s="75">
        <f>IF(E246&gt;0,$L$4,0)</f>
        <v/>
      </c>
      <c r="G246" s="256" t="n"/>
      <c r="H246" s="64" t="n"/>
      <c r="I246" s="250">
        <f>IFERROR(VLOOKUP(H246,Tabellen!H:I,2),0)</f>
        <v/>
      </c>
      <c r="J246" s="121" t="n"/>
      <c r="K246" s="251" t="n"/>
      <c r="L246" s="123" t="n"/>
      <c r="M246" s="123" t="n"/>
      <c r="N246" s="123" t="n"/>
      <c r="O246" s="123" t="n"/>
      <c r="Q246" s="119">
        <f>IF(OR(H246=47201,H246=47100,H246=47200,H246=47500),L246,0)</f>
        <v/>
      </c>
      <c r="R246" s="119">
        <f>IF(OR(H246=87201,H246=87100,H246=87200,H246=87500),L246,0)</f>
        <v/>
      </c>
    </row>
    <row r="247" ht="15" customHeight="1">
      <c r="A247" s="267" t="n"/>
      <c r="B247" s="74" t="n"/>
      <c r="C247" s="74" t="n"/>
      <c r="D247" s="249" t="n"/>
      <c r="E247" s="74">
        <f>IF(J247&gt;1,"+",0)</f>
        <v/>
      </c>
      <c r="F247" s="75">
        <f>IF(E247&gt;0,$L$4,0)</f>
        <v/>
      </c>
      <c r="G247" s="256" t="n"/>
      <c r="H247" s="64" t="n"/>
      <c r="I247" s="250">
        <f>IFERROR(VLOOKUP(H247,Tabellen!H:I,2),0)</f>
        <v/>
      </c>
      <c r="J247" s="121" t="n"/>
      <c r="K247" s="251" t="n"/>
      <c r="L247" s="123" t="n"/>
      <c r="M247" s="123" t="n"/>
      <c r="N247" s="123" t="n"/>
      <c r="O247" s="123" t="n"/>
      <c r="Q247" s="119">
        <f>IF(OR(H247=47201,H247=47100,H247=47200,H247=47500),L247,0)</f>
        <v/>
      </c>
      <c r="R247" s="119">
        <f>IF(OR(H247=87201,H247=87100,H247=87200,H247=87500),L247,0)</f>
        <v/>
      </c>
    </row>
    <row r="248" ht="15" customHeight="1">
      <c r="A248" s="267" t="n"/>
      <c r="B248" s="74" t="n"/>
      <c r="C248" s="74" t="n"/>
      <c r="D248" s="249" t="n"/>
      <c r="E248" s="74">
        <f>IF(J248&gt;1,"+",0)</f>
        <v/>
      </c>
      <c r="F248" s="75">
        <f>IF(E248&gt;0,$L$4,0)</f>
        <v/>
      </c>
      <c r="G248" s="256" t="n"/>
      <c r="H248" s="64" t="n"/>
      <c r="I248" s="250">
        <f>IFERROR(VLOOKUP(H248,Tabellen!H:I,2),0)</f>
        <v/>
      </c>
      <c r="J248" s="121" t="n"/>
      <c r="K248" s="251" t="n"/>
      <c r="L248" s="123" t="n"/>
      <c r="M248" s="123" t="n"/>
      <c r="N248" s="123" t="n"/>
      <c r="O248" s="123" t="n"/>
      <c r="Q248" s="119">
        <f>IF(OR(H248=47201,H248=47100,H248=47200,H248=47500),L248,0)</f>
        <v/>
      </c>
      <c r="R248" s="119">
        <f>IF(OR(H248=87201,H248=87100,H248=87200,H248=87500),L248,0)</f>
        <v/>
      </c>
    </row>
    <row r="249" ht="15" customHeight="1">
      <c r="A249" s="267" t="n"/>
      <c r="B249" s="74" t="n"/>
      <c r="C249" s="74" t="n"/>
      <c r="D249" s="249" t="n"/>
      <c r="E249" s="74">
        <f>IF(J249&gt;1,"+",0)</f>
        <v/>
      </c>
      <c r="F249" s="75">
        <f>IF(E249&gt;0,$L$4,0)</f>
        <v/>
      </c>
      <c r="G249" s="256" t="n"/>
      <c r="H249" s="64" t="n"/>
      <c r="I249" s="250">
        <f>IFERROR(VLOOKUP(H249,Tabellen!H:I,2),0)</f>
        <v/>
      </c>
      <c r="J249" s="121" t="n"/>
      <c r="K249" s="251" t="n"/>
      <c r="L249" s="123" t="n"/>
      <c r="M249" s="123" t="n"/>
      <c r="N249" s="123" t="n"/>
      <c r="O249" s="123" t="n"/>
      <c r="Q249" s="119">
        <f>IF(OR(H249=47201,H249=47100,H249=47200,H249=47500),L249,0)</f>
        <v/>
      </c>
      <c r="R249" s="119">
        <f>IF(OR(H249=87201,H249=87100,H249=87200,H249=87500),L249,0)</f>
        <v/>
      </c>
    </row>
    <row r="250" ht="15" customHeight="1">
      <c r="A250" s="267" t="n"/>
      <c r="B250" s="74" t="n"/>
      <c r="C250" s="74" t="n"/>
      <c r="D250" s="249" t="n"/>
      <c r="E250" s="74">
        <f>IF(J250&gt;1,"+",0)</f>
        <v/>
      </c>
      <c r="F250" s="75">
        <f>IF(E250&gt;0,$L$4,0)</f>
        <v/>
      </c>
      <c r="G250" s="256" t="n"/>
      <c r="H250" s="64" t="n"/>
      <c r="I250" s="250">
        <f>IFERROR(VLOOKUP(H250,Tabellen!H:I,2),0)</f>
        <v/>
      </c>
      <c r="J250" s="121" t="n"/>
      <c r="K250" s="251" t="n"/>
      <c r="L250" s="123" t="n"/>
      <c r="M250" s="123" t="n"/>
      <c r="N250" s="123" t="n"/>
      <c r="O250" s="123" t="n"/>
      <c r="Q250" s="119">
        <f>IF(OR(H250=47201,H250=47100,H250=47200,H250=47500),L250,0)</f>
        <v/>
      </c>
      <c r="R250" s="119">
        <f>IF(OR(H250=87201,H250=87100,H250=87200,H250=87500),L250,0)</f>
        <v/>
      </c>
    </row>
    <row r="251" ht="15" customHeight="1">
      <c r="A251" s="267" t="n"/>
      <c r="B251" s="74" t="n"/>
      <c r="C251" s="74" t="n"/>
      <c r="D251" s="249" t="n"/>
      <c r="E251" s="74">
        <f>IF(J251&gt;1,"+",0)</f>
        <v/>
      </c>
      <c r="F251" s="75">
        <f>IF(E251&gt;0,$L$4,0)</f>
        <v/>
      </c>
      <c r="G251" s="256" t="n"/>
      <c r="H251" s="64" t="n"/>
      <c r="I251" s="250">
        <f>IFERROR(VLOOKUP(H251,Tabellen!H:I,2),0)</f>
        <v/>
      </c>
      <c r="J251" s="121" t="n"/>
      <c r="K251" s="251" t="n"/>
      <c r="L251" s="123" t="n"/>
      <c r="M251" s="123" t="n"/>
      <c r="N251" s="123" t="n"/>
      <c r="O251" s="123" t="n"/>
      <c r="Q251" s="119">
        <f>IF(OR(H251=47201,H251=47100,H251=47200,H251=47500),L251,0)</f>
        <v/>
      </c>
      <c r="R251" s="119">
        <f>IF(OR(H251=87201,H251=87100,H251=87200,H251=87500),L251,0)</f>
        <v/>
      </c>
    </row>
    <row r="252" ht="15" customHeight="1">
      <c r="A252" s="267" t="n"/>
      <c r="B252" s="74" t="n"/>
      <c r="C252" s="74" t="n"/>
      <c r="D252" s="249" t="n"/>
      <c r="E252" s="74">
        <f>IF(J252&gt;1,"+",0)</f>
        <v/>
      </c>
      <c r="F252" s="75">
        <f>IF(E252&gt;0,$L$4,0)</f>
        <v/>
      </c>
      <c r="G252" s="256" t="n"/>
      <c r="H252" s="64" t="n"/>
      <c r="I252" s="250">
        <f>IFERROR(VLOOKUP(H252,Tabellen!H:I,2),0)</f>
        <v/>
      </c>
      <c r="J252" s="121" t="n"/>
      <c r="K252" s="251" t="n"/>
      <c r="L252" s="123" t="n"/>
      <c r="M252" s="123" t="n"/>
      <c r="N252" s="123" t="n"/>
      <c r="O252" s="123" t="n"/>
      <c r="Q252" s="119">
        <f>IF(OR(H252=47201,H252=47100,H252=47200,H252=47500),L252,0)</f>
        <v/>
      </c>
      <c r="R252" s="119">
        <f>IF(OR(H252=87201,H252=87100,H252=87200,H252=87500),L252,0)</f>
        <v/>
      </c>
    </row>
    <row r="253" ht="15" customHeight="1">
      <c r="A253" s="267" t="n"/>
      <c r="B253" s="74" t="n"/>
      <c r="C253" s="74" t="n"/>
      <c r="D253" s="249" t="n"/>
      <c r="E253" s="74">
        <f>IF(J253&gt;1,"+",0)</f>
        <v/>
      </c>
      <c r="F253" s="75">
        <f>IF(E253&gt;0,$L$4,0)</f>
        <v/>
      </c>
      <c r="G253" s="256" t="n"/>
      <c r="H253" s="64" t="n"/>
      <c r="I253" s="250">
        <f>IFERROR(VLOOKUP(H253,Tabellen!H:I,2),0)</f>
        <v/>
      </c>
      <c r="J253" s="121" t="n"/>
      <c r="K253" s="251" t="n"/>
      <c r="L253" s="123" t="n"/>
      <c r="M253" s="123" t="n"/>
      <c r="N253" s="123" t="n"/>
      <c r="O253" s="123" t="n"/>
      <c r="Q253" s="119">
        <f>IF(OR(H253=47201,H253=47100,H253=47200,H253=47500),L253,0)</f>
        <v/>
      </c>
      <c r="R253" s="119">
        <f>IF(OR(H253=87201,H253=87100,H253=87200,H253=87500),L253,0)</f>
        <v/>
      </c>
    </row>
    <row r="254" ht="15" customHeight="1">
      <c r="A254" s="267" t="n"/>
      <c r="B254" s="74" t="n"/>
      <c r="C254" s="74" t="n"/>
      <c r="D254" s="249" t="n"/>
      <c r="E254" s="74">
        <f>IF(J254&gt;1,"+",0)</f>
        <v/>
      </c>
      <c r="F254" s="75">
        <f>IF(E254&gt;0,$L$4,0)</f>
        <v/>
      </c>
      <c r="G254" s="256" t="n"/>
      <c r="H254" s="64" t="n"/>
      <c r="I254" s="250">
        <f>IFERROR(VLOOKUP(H254,Tabellen!H:I,2),0)</f>
        <v/>
      </c>
      <c r="J254" s="121" t="n"/>
      <c r="K254" s="251" t="n"/>
      <c r="L254" s="123" t="n"/>
      <c r="M254" s="123" t="n"/>
      <c r="N254" s="123" t="n"/>
      <c r="O254" s="123" t="n"/>
      <c r="Q254" s="119">
        <f>IF(OR(H254=47201,H254=47100,H254=47200,H254=47500),L254,0)</f>
        <v/>
      </c>
      <c r="R254" s="119">
        <f>IF(OR(H254=87201,H254=87100,H254=87200,H254=87500),L254,0)</f>
        <v/>
      </c>
    </row>
    <row r="255" ht="15" customHeight="1">
      <c r="A255" s="267" t="n"/>
      <c r="B255" s="74" t="n"/>
      <c r="C255" s="74" t="n"/>
      <c r="D255" s="249" t="n"/>
      <c r="E255" s="74">
        <f>IF(J255&gt;1,"+",0)</f>
        <v/>
      </c>
      <c r="F255" s="75">
        <f>IF(E255&gt;0,$L$4,0)</f>
        <v/>
      </c>
      <c r="G255" s="256" t="n"/>
      <c r="H255" s="64" t="n"/>
      <c r="I255" s="250">
        <f>IFERROR(VLOOKUP(H255,Tabellen!H:I,2),0)</f>
        <v/>
      </c>
      <c r="J255" s="121" t="n"/>
      <c r="K255" s="251" t="n"/>
      <c r="L255" s="123" t="n"/>
      <c r="M255" s="123" t="n"/>
      <c r="N255" s="123" t="n"/>
      <c r="O255" s="123" t="n"/>
      <c r="Q255" s="119">
        <f>IF(OR(H255=47201,H255=47100,H255=47200,H255=47500),L255,0)</f>
        <v/>
      </c>
      <c r="R255" s="119">
        <f>IF(OR(H255=87201,H255=87100,H255=87200,H255=87500),L255,0)</f>
        <v/>
      </c>
    </row>
    <row r="256" ht="15" customHeight="1">
      <c r="A256" s="267" t="n"/>
      <c r="B256" s="74" t="n"/>
      <c r="C256" s="74" t="n"/>
      <c r="D256" s="249" t="n"/>
      <c r="E256" s="74">
        <f>IF(J256&gt;1,"+",0)</f>
        <v/>
      </c>
      <c r="F256" s="75">
        <f>IF(E256&gt;0,$L$4,0)</f>
        <v/>
      </c>
      <c r="G256" s="256" t="n"/>
      <c r="H256" s="64" t="n"/>
      <c r="I256" s="250">
        <f>IFERROR(VLOOKUP(H256,Tabellen!H:I,2),0)</f>
        <v/>
      </c>
      <c r="J256" s="121" t="n"/>
      <c r="K256" s="251" t="n"/>
      <c r="L256" s="123" t="n"/>
      <c r="M256" s="123" t="n"/>
      <c r="N256" s="123" t="n"/>
      <c r="O256" s="123" t="n"/>
      <c r="Q256" s="119">
        <f>IF(OR(H256=47201,H256=47100,H256=47200,H256=47500),L256,0)</f>
        <v/>
      </c>
      <c r="R256" s="119">
        <f>IF(OR(H256=87201,H256=87100,H256=87200,H256=87500),L256,0)</f>
        <v/>
      </c>
    </row>
    <row r="257" ht="15" customHeight="1">
      <c r="A257" s="267" t="n"/>
      <c r="B257" s="74" t="n"/>
      <c r="C257" s="74" t="n"/>
      <c r="D257" s="249" t="n"/>
      <c r="E257" s="74">
        <f>IF(J257&gt;1,"+",0)</f>
        <v/>
      </c>
      <c r="F257" s="75">
        <f>IF(E257&gt;0,$L$4,0)</f>
        <v/>
      </c>
      <c r="G257" s="256" t="n"/>
      <c r="H257" s="64" t="n"/>
      <c r="I257" s="250">
        <f>IFERROR(VLOOKUP(H257,Tabellen!H:I,2),0)</f>
        <v/>
      </c>
      <c r="J257" s="121" t="n"/>
      <c r="K257" s="251" t="n"/>
      <c r="L257" s="123" t="n"/>
      <c r="M257" s="123" t="n"/>
      <c r="N257" s="123" t="n"/>
      <c r="O257" s="123" t="n"/>
      <c r="Q257" s="119">
        <f>IF(OR(H257=47201,H257=47100,H257=47200,H257=47500),L257,0)</f>
        <v/>
      </c>
      <c r="R257" s="119">
        <f>IF(OR(H257=87201,H257=87100,H257=87200,H257=87500),L257,0)</f>
        <v/>
      </c>
    </row>
    <row r="258" ht="15" customHeight="1">
      <c r="A258" s="267" t="n"/>
      <c r="B258" s="74" t="n"/>
      <c r="C258" s="74" t="n"/>
      <c r="D258" s="249" t="n"/>
      <c r="E258" s="74">
        <f>IF(J258&gt;1,"+",0)</f>
        <v/>
      </c>
      <c r="F258" s="75">
        <f>IF(E258&gt;0,$L$4,0)</f>
        <v/>
      </c>
      <c r="G258" s="256" t="n"/>
      <c r="H258" s="64" t="n"/>
      <c r="I258" s="250">
        <f>IFERROR(VLOOKUP(H258,Tabellen!H:I,2),0)</f>
        <v/>
      </c>
      <c r="J258" s="121" t="n"/>
      <c r="K258" s="251" t="n"/>
      <c r="L258" s="123" t="n"/>
      <c r="M258" s="123" t="n"/>
      <c r="N258" s="123" t="n"/>
      <c r="O258" s="123" t="n"/>
      <c r="Q258" s="119">
        <f>IF(OR(H258=47201,H258=47100,H258=47200,H258=47500),L258,0)</f>
        <v/>
      </c>
      <c r="R258" s="119">
        <f>IF(OR(H258=87201,H258=87100,H258=87200,H258=87500),L258,0)</f>
        <v/>
      </c>
    </row>
    <row r="259" ht="15" customHeight="1">
      <c r="A259" s="267" t="n"/>
      <c r="B259" s="74" t="n"/>
      <c r="C259" s="74" t="n"/>
      <c r="D259" s="249" t="n"/>
      <c r="E259" s="74">
        <f>IF(J259&gt;1,"+",0)</f>
        <v/>
      </c>
      <c r="F259" s="75">
        <f>IF(E259&gt;0,$L$4,0)</f>
        <v/>
      </c>
      <c r="G259" s="256" t="n"/>
      <c r="H259" s="64" t="n"/>
      <c r="I259" s="250">
        <f>IFERROR(VLOOKUP(H259,Tabellen!H:I,2),0)</f>
        <v/>
      </c>
      <c r="J259" s="121" t="n"/>
      <c r="K259" s="251" t="n"/>
      <c r="L259" s="123" t="n"/>
      <c r="M259" s="123" t="n"/>
      <c r="N259" s="123" t="n"/>
      <c r="O259" s="123" t="n"/>
      <c r="Q259" s="119">
        <f>IF(OR(H259=47201,H259=47100,H259=47200,H259=47500),L259,0)</f>
        <v/>
      </c>
      <c r="R259" s="119">
        <f>IF(OR(H259=87201,H259=87100,H259=87200,H259=87500),L259,0)</f>
        <v/>
      </c>
    </row>
    <row r="260" ht="15" customHeight="1">
      <c r="A260" s="267" t="n"/>
      <c r="B260" s="74" t="n"/>
      <c r="C260" s="74" t="n"/>
      <c r="D260" s="249" t="n"/>
      <c r="E260" s="74">
        <f>IF(J260&gt;1,"+",0)</f>
        <v/>
      </c>
      <c r="F260" s="75">
        <f>IF(E260&gt;0,$L$4,0)</f>
        <v/>
      </c>
      <c r="G260" s="256" t="n"/>
      <c r="H260" s="64" t="n"/>
      <c r="I260" s="250">
        <f>IFERROR(VLOOKUP(H260,Tabellen!H:I,2),0)</f>
        <v/>
      </c>
      <c r="J260" s="121" t="n"/>
      <c r="K260" s="251" t="n"/>
      <c r="L260" s="123" t="n"/>
      <c r="M260" s="123" t="n"/>
      <c r="N260" s="123" t="n"/>
      <c r="O260" s="123" t="n"/>
      <c r="Q260" s="119">
        <f>IF(OR(H260=47201,H260=47100,H260=47200,H260=47500),L260,0)</f>
        <v/>
      </c>
      <c r="R260" s="119">
        <f>IF(OR(H260=87201,H260=87100,H260=87200,H260=87500),L260,0)</f>
        <v/>
      </c>
    </row>
    <row r="261" ht="15" customHeight="1">
      <c r="A261" s="267" t="n"/>
      <c r="B261" s="74" t="n"/>
      <c r="C261" s="74" t="n"/>
      <c r="D261" s="249" t="n"/>
      <c r="E261" s="74">
        <f>IF(J261&gt;1,"+",0)</f>
        <v/>
      </c>
      <c r="F261" s="75">
        <f>IF(E261&gt;0,$L$4,0)</f>
        <v/>
      </c>
      <c r="G261" s="256" t="n"/>
      <c r="H261" s="64" t="n"/>
      <c r="I261" s="250">
        <f>IFERROR(VLOOKUP(H261,Tabellen!H:I,2),0)</f>
        <v/>
      </c>
      <c r="J261" s="121" t="n"/>
      <c r="K261" s="251" t="n"/>
      <c r="L261" s="123" t="n"/>
      <c r="M261" s="123" t="n"/>
      <c r="N261" s="123" t="n"/>
      <c r="O261" s="123" t="n"/>
      <c r="Q261" s="119">
        <f>IF(OR(H261=47201,H261=47100,H261=47200,H261=47500),L261,0)</f>
        <v/>
      </c>
      <c r="R261" s="119">
        <f>IF(OR(H261=87201,H261=87100,H261=87200,H261=87500),L261,0)</f>
        <v/>
      </c>
    </row>
    <row r="262" ht="15" customHeight="1">
      <c r="A262" s="267" t="n"/>
      <c r="B262" s="74" t="n"/>
      <c r="C262" s="74" t="n"/>
      <c r="D262" s="249" t="n"/>
      <c r="E262" s="74">
        <f>IF(J262&gt;1,"+",0)</f>
        <v/>
      </c>
      <c r="F262" s="75">
        <f>IF(E262&gt;0,$L$4,0)</f>
        <v/>
      </c>
      <c r="G262" s="256" t="n"/>
      <c r="H262" s="64" t="n"/>
      <c r="I262" s="250">
        <f>IFERROR(VLOOKUP(H262,Tabellen!H:I,2),0)</f>
        <v/>
      </c>
      <c r="J262" s="121" t="n"/>
      <c r="K262" s="251" t="n"/>
      <c r="L262" s="123" t="n"/>
      <c r="M262" s="123" t="n"/>
      <c r="N262" s="123" t="n"/>
      <c r="O262" s="123" t="n"/>
      <c r="Q262" s="119">
        <f>IF(OR(H262=47201,H262=47100,H262=47200,H262=47500),L262,0)</f>
        <v/>
      </c>
      <c r="R262" s="119">
        <f>IF(OR(H262=87201,H262=87100,H262=87200,H262=87500),L262,0)</f>
        <v/>
      </c>
    </row>
    <row r="263" ht="15" customHeight="1">
      <c r="A263" s="267" t="n"/>
      <c r="B263" s="74" t="n"/>
      <c r="C263" s="74" t="n"/>
      <c r="D263" s="249" t="n"/>
      <c r="E263" s="74">
        <f>IF(J263&gt;1,"+",0)</f>
        <v/>
      </c>
      <c r="F263" s="75">
        <f>IF(E263&gt;0,$L$4,0)</f>
        <v/>
      </c>
      <c r="G263" s="256" t="n"/>
      <c r="H263" s="64" t="n"/>
      <c r="I263" s="250">
        <f>IFERROR(VLOOKUP(H263,Tabellen!H:I,2),0)</f>
        <v/>
      </c>
      <c r="J263" s="121" t="n"/>
      <c r="K263" s="251" t="n"/>
      <c r="L263" s="123" t="n"/>
      <c r="M263" s="123" t="n"/>
      <c r="N263" s="123" t="n"/>
      <c r="O263" s="123" t="n"/>
      <c r="Q263" s="119">
        <f>IF(OR(H263=47201,H263=47100,H263=47200,H263=47500),L263,0)</f>
        <v/>
      </c>
      <c r="R263" s="119">
        <f>IF(OR(H263=87201,H263=87100,H263=87200,H263=87500),L263,0)</f>
        <v/>
      </c>
    </row>
    <row r="264" ht="15" customHeight="1">
      <c r="A264" s="267" t="n"/>
      <c r="B264" s="74" t="n"/>
      <c r="C264" s="74" t="n"/>
      <c r="D264" s="249" t="n"/>
      <c r="E264" s="74">
        <f>IF(J264&gt;1,"+",0)</f>
        <v/>
      </c>
      <c r="F264" s="75">
        <f>IF(E264&gt;0,$L$4,0)</f>
        <v/>
      </c>
      <c r="G264" s="256" t="n"/>
      <c r="H264" s="64" t="n"/>
      <c r="I264" s="250">
        <f>IFERROR(VLOOKUP(H264,Tabellen!H:I,2),0)</f>
        <v/>
      </c>
      <c r="J264" s="121" t="n"/>
      <c r="K264" s="251" t="n"/>
      <c r="L264" s="123" t="n"/>
      <c r="M264" s="123" t="n"/>
      <c r="N264" s="123" t="n"/>
      <c r="O264" s="123" t="n"/>
      <c r="Q264" s="119">
        <f>IF(OR(H264=47201,H264=47100,H264=47200,H264=47500),L264,0)</f>
        <v/>
      </c>
      <c r="R264" s="119">
        <f>IF(OR(H264=87201,H264=87100,H264=87200,H264=87500),L264,0)</f>
        <v/>
      </c>
    </row>
    <row r="265" ht="15" customHeight="1">
      <c r="A265" s="267" t="n"/>
      <c r="B265" s="74" t="n"/>
      <c r="C265" s="74" t="n"/>
      <c r="D265" s="249" t="n"/>
      <c r="E265" s="74">
        <f>IF(J265&gt;1,"+",0)</f>
        <v/>
      </c>
      <c r="F265" s="75">
        <f>IF(E265&gt;0,$L$4,0)</f>
        <v/>
      </c>
      <c r="G265" s="256" t="n"/>
      <c r="H265" s="64" t="n"/>
      <c r="I265" s="250">
        <f>IFERROR(VLOOKUP(H265,Tabellen!H:I,2),0)</f>
        <v/>
      </c>
      <c r="J265" s="121" t="n"/>
      <c r="K265" s="251" t="n"/>
      <c r="L265" s="123" t="n"/>
      <c r="M265" s="123" t="n"/>
      <c r="N265" s="123" t="n"/>
      <c r="O265" s="123" t="n"/>
      <c r="Q265" s="119">
        <f>IF(OR(H265=47201,H265=47100,H265=47200,H265=47500),L265,0)</f>
        <v/>
      </c>
      <c r="R265" s="119">
        <f>IF(OR(H265=87201,H265=87100,H265=87200,H265=87500),L265,0)</f>
        <v/>
      </c>
    </row>
    <row r="266" ht="15" customHeight="1">
      <c r="A266" s="267" t="n"/>
      <c r="B266" s="74" t="n"/>
      <c r="C266" s="74" t="n"/>
      <c r="D266" s="249" t="n"/>
      <c r="E266" s="74">
        <f>IF(J266&gt;1,"+",0)</f>
        <v/>
      </c>
      <c r="F266" s="75">
        <f>IF(E266&gt;0,$L$4,0)</f>
        <v/>
      </c>
      <c r="G266" s="256" t="n"/>
      <c r="H266" s="64" t="n"/>
      <c r="I266" s="250">
        <f>IFERROR(VLOOKUP(H266,Tabellen!H:I,2),0)</f>
        <v/>
      </c>
      <c r="J266" s="121" t="n"/>
      <c r="K266" s="251" t="n"/>
      <c r="L266" s="123" t="n"/>
      <c r="M266" s="123" t="n"/>
      <c r="N266" s="123" t="n"/>
      <c r="O266" s="123" t="n"/>
      <c r="Q266" s="119">
        <f>IF(OR(H266=47201,H266=47100,H266=47200,H266=47500),L266,0)</f>
        <v/>
      </c>
      <c r="R266" s="119">
        <f>IF(OR(H266=87201,H266=87100,H266=87200,H266=87500),L266,0)</f>
        <v/>
      </c>
    </row>
    <row r="267" ht="15" customHeight="1">
      <c r="A267" s="267" t="n"/>
      <c r="B267" s="74" t="n"/>
      <c r="C267" s="74" t="n"/>
      <c r="D267" s="249" t="n"/>
      <c r="E267" s="74">
        <f>IF(J267&gt;1,"+",0)</f>
        <v/>
      </c>
      <c r="F267" s="75">
        <f>IF(E267&gt;0,$L$4,0)</f>
        <v/>
      </c>
      <c r="G267" s="256" t="n"/>
      <c r="H267" s="64" t="n"/>
      <c r="I267" s="250">
        <f>IFERROR(VLOOKUP(H267,Tabellen!H:I,2),0)</f>
        <v/>
      </c>
      <c r="J267" s="121" t="n"/>
      <c r="K267" s="251" t="n"/>
      <c r="L267" s="123" t="n"/>
      <c r="M267" s="123" t="n"/>
      <c r="N267" s="123" t="n"/>
      <c r="O267" s="123" t="n"/>
      <c r="Q267" s="119">
        <f>IF(OR(H267=47201,H267=47100,H267=47200,H267=47500),L267,0)</f>
        <v/>
      </c>
      <c r="R267" s="119">
        <f>IF(OR(H267=87201,H267=87100,H267=87200,H267=87500),L267,0)</f>
        <v/>
      </c>
    </row>
    <row r="268" ht="15" customHeight="1">
      <c r="A268" s="267" t="n"/>
      <c r="B268" s="74" t="n"/>
      <c r="C268" s="74" t="n"/>
      <c r="D268" s="249" t="n"/>
      <c r="E268" s="74">
        <f>IF(J268&gt;1,"+",0)</f>
        <v/>
      </c>
      <c r="F268" s="75">
        <f>IF(E268&gt;0,$L$4,0)</f>
        <v/>
      </c>
      <c r="G268" s="256" t="n"/>
      <c r="H268" s="64" t="n"/>
      <c r="I268" s="250">
        <f>IFERROR(VLOOKUP(H268,Tabellen!H:I,2),0)</f>
        <v/>
      </c>
      <c r="J268" s="121" t="n"/>
      <c r="K268" s="251" t="n"/>
      <c r="L268" s="123" t="n"/>
      <c r="M268" s="123" t="n"/>
      <c r="N268" s="123" t="n"/>
      <c r="O268" s="123" t="n"/>
      <c r="Q268" s="119">
        <f>IF(OR(H268=47201,H268=47100,H268=47200,H268=47500),L268,0)</f>
        <v/>
      </c>
      <c r="R268" s="119">
        <f>IF(OR(H268=87201,H268=87100,H268=87200,H268=87500),L268,0)</f>
        <v/>
      </c>
    </row>
    <row r="269" ht="15" customHeight="1">
      <c r="A269" s="267" t="n"/>
      <c r="B269" s="74" t="n"/>
      <c r="C269" s="74" t="n"/>
      <c r="D269" s="249" t="n"/>
      <c r="E269" s="74">
        <f>IF(J269&gt;1,"+",0)</f>
        <v/>
      </c>
      <c r="F269" s="75">
        <f>IF(E269&gt;0,$L$4,0)</f>
        <v/>
      </c>
      <c r="G269" s="256" t="n"/>
      <c r="H269" s="64" t="n"/>
      <c r="I269" s="250">
        <f>IFERROR(VLOOKUP(H269,Tabellen!H:I,2),0)</f>
        <v/>
      </c>
      <c r="J269" s="121" t="n"/>
      <c r="K269" s="251" t="n"/>
      <c r="L269" s="123" t="n"/>
      <c r="M269" s="123" t="n"/>
      <c r="N269" s="123" t="n"/>
      <c r="O269" s="123" t="n"/>
      <c r="Q269" s="119">
        <f>IF(OR(H269=47201,H269=47100,H269=47200,H269=47500),L269,0)</f>
        <v/>
      </c>
      <c r="R269" s="119">
        <f>IF(OR(H269=87201,H269=87100,H269=87200,H269=87500),L269,0)</f>
        <v/>
      </c>
    </row>
    <row r="270" ht="15" customHeight="1">
      <c r="A270" s="267" t="n"/>
      <c r="B270" s="74" t="n"/>
      <c r="C270" s="74" t="n"/>
      <c r="D270" s="249" t="n"/>
      <c r="E270" s="74">
        <f>IF(J270&gt;1,"+",0)</f>
        <v/>
      </c>
      <c r="F270" s="75">
        <f>IF(E270&gt;0,$L$4,0)</f>
        <v/>
      </c>
      <c r="G270" s="256" t="n"/>
      <c r="H270" s="64" t="n"/>
      <c r="I270" s="250">
        <f>IFERROR(VLOOKUP(H270,Tabellen!H:I,2),0)</f>
        <v/>
      </c>
      <c r="J270" s="121" t="n"/>
      <c r="K270" s="251" t="n"/>
      <c r="L270" s="123" t="n"/>
      <c r="M270" s="123" t="n"/>
      <c r="N270" s="123" t="n"/>
      <c r="O270" s="123" t="n"/>
      <c r="Q270" s="119">
        <f>IF(OR(H270=47201,H270=47100,H270=47200,H270=47500),L270,0)</f>
        <v/>
      </c>
      <c r="R270" s="119">
        <f>IF(OR(H270=87201,H270=87100,H270=87200,H270=87500),L270,0)</f>
        <v/>
      </c>
    </row>
    <row r="271" ht="15" customHeight="1">
      <c r="A271" s="267" t="n"/>
      <c r="B271" s="74" t="n"/>
      <c r="C271" s="74" t="n"/>
      <c r="D271" s="249" t="n"/>
      <c r="E271" s="74">
        <f>IF(J271&gt;1,"+",0)</f>
        <v/>
      </c>
      <c r="F271" s="75">
        <f>IF(E271&gt;0,$L$4,0)</f>
        <v/>
      </c>
      <c r="G271" s="256" t="n"/>
      <c r="H271" s="64" t="n"/>
      <c r="I271" s="250">
        <f>IFERROR(VLOOKUP(H271,Tabellen!H:I,2),0)</f>
        <v/>
      </c>
      <c r="J271" s="121" t="n"/>
      <c r="K271" s="251" t="n"/>
      <c r="L271" s="123" t="n"/>
      <c r="M271" s="123" t="n"/>
      <c r="N271" s="123" t="n"/>
      <c r="O271" s="123" t="n"/>
      <c r="Q271" s="119">
        <f>IF(OR(H271=47201,H271=47100,H271=47200,H271=47500),L271,0)</f>
        <v/>
      </c>
      <c r="R271" s="119">
        <f>IF(OR(H271=87201,H271=87100,H271=87200,H271=87500),L271,0)</f>
        <v/>
      </c>
    </row>
    <row r="272" ht="15" customHeight="1">
      <c r="A272" s="267" t="n"/>
      <c r="B272" s="74" t="n"/>
      <c r="C272" s="74" t="n"/>
      <c r="D272" s="249" t="n"/>
      <c r="E272" s="74">
        <f>IF(J272&gt;1,"+",0)</f>
        <v/>
      </c>
      <c r="F272" s="75">
        <f>IF(E272&gt;0,$L$4,0)</f>
        <v/>
      </c>
      <c r="G272" s="256" t="n"/>
      <c r="H272" s="64" t="n"/>
      <c r="I272" s="250">
        <f>IFERROR(VLOOKUP(H272,Tabellen!H:I,2),0)</f>
        <v/>
      </c>
      <c r="J272" s="121" t="n"/>
      <c r="K272" s="251" t="n"/>
      <c r="L272" s="124" t="n"/>
      <c r="M272" s="124" t="n"/>
      <c r="N272" s="124" t="n"/>
      <c r="O272" s="124" t="n"/>
      <c r="Q272" s="119">
        <f>IF(OR(H272=47201,H272=47100,H272=47200,H272=47500),L272,0)</f>
        <v/>
      </c>
      <c r="R272" s="119">
        <f>IF(OR(H272=87201,H272=87100,H272=87200,H272=87500),L272,0)</f>
        <v/>
      </c>
    </row>
    <row r="273" ht="15" customFormat="1" customHeight="1" s="132">
      <c r="A273" s="252" t="inlineStr">
        <is>
          <t>Saldo mutaties voorzieningen</t>
        </is>
      </c>
      <c r="B273" s="125" t="n"/>
      <c r="C273" s="125" t="n"/>
      <c r="D273" s="252" t="n"/>
      <c r="E273" s="143">
        <f>IF(J273&gt;1,"+",0)</f>
        <v/>
      </c>
      <c r="F273" s="127" t="n"/>
      <c r="G273" s="253" t="n"/>
      <c r="H273" s="65" t="n"/>
      <c r="I273" s="254" t="n"/>
      <c r="J273" s="129" t="n"/>
      <c r="K273" s="255" t="n"/>
      <c r="L273" s="131">
        <f>SUM(L220:L272)</f>
        <v/>
      </c>
      <c r="M273" s="131">
        <f>SUM(M220:M272)</f>
        <v/>
      </c>
      <c r="N273" s="131">
        <f>SUM(N220:N272)</f>
        <v/>
      </c>
      <c r="O273" s="131">
        <f>SUM(O220:O272)</f>
        <v/>
      </c>
      <c r="Q273" s="119">
        <f>IF(OR(H273=47201,H273=47100,H273=47200,H273=47500),L273,0)</f>
        <v/>
      </c>
      <c r="R273" s="119">
        <f>IF(OR(H273=87201,H273=87100,H273=87200,H273=87500),L273,0)</f>
        <v/>
      </c>
    </row>
    <row r="274" ht="15" customHeight="1">
      <c r="A274" s="244" t="n"/>
      <c r="B274" s="71" t="n"/>
      <c r="C274" s="71" t="n"/>
      <c r="D274" s="244" t="n"/>
      <c r="E274" s="71">
        <f>IF(J274&gt;1,"+",0)</f>
        <v/>
      </c>
      <c r="F274" s="113" t="n"/>
      <c r="G274" s="245" t="n"/>
      <c r="H274" s="63" t="n"/>
      <c r="I274" s="246" t="n"/>
      <c r="J274" s="73" t="n"/>
      <c r="K274" s="247" t="n"/>
      <c r="L274" s="116" t="n"/>
      <c r="M274" s="116" t="n"/>
      <c r="N274" s="116" t="n"/>
      <c r="O274" s="116" t="n"/>
      <c r="Q274" s="119">
        <f>IF(OR(H274=47201,H274=47100,H274=47200,H274=47500),L274,0)</f>
        <v/>
      </c>
      <c r="R274" s="119">
        <f>IF(OR(H274=87201,H274=87100,H274=87200,H274=87500),L274,0)</f>
        <v/>
      </c>
    </row>
    <row r="275" ht="15" customHeight="1">
      <c r="A275" s="244" t="n"/>
      <c r="B275" s="71" t="n"/>
      <c r="C275" s="71" t="n"/>
      <c r="D275" s="244" t="n"/>
      <c r="E275" s="71">
        <f>IF(J275&gt;1,"+",0)</f>
        <v/>
      </c>
      <c r="F275" s="113" t="n"/>
      <c r="G275" s="245" t="n"/>
      <c r="H275" s="63" t="n"/>
      <c r="I275" s="246" t="n"/>
      <c r="J275" s="73" t="n"/>
      <c r="K275" s="247" t="n"/>
      <c r="L275" s="116" t="n"/>
      <c r="M275" s="116" t="n"/>
      <c r="N275" s="116" t="n"/>
      <c r="O275" s="116" t="n"/>
      <c r="Q275" s="119">
        <f>IF(OR(H275=47201,H275=47100,H275=47200,H275=47500),L275,0)</f>
        <v/>
      </c>
      <c r="R275" s="119">
        <f>IF(OR(H275=87201,H275=87100,H275=87200,H275=87500),L275,0)</f>
        <v/>
      </c>
    </row>
    <row r="276" ht="15" customHeight="1">
      <c r="A276" s="268" t="inlineStr">
        <is>
          <t>Sluitrekening balans</t>
        </is>
      </c>
      <c r="B276" s="16" t="n"/>
      <c r="C276" s="160" t="inlineStr">
        <is>
          <t>-</t>
        </is>
      </c>
      <c r="D276" s="268" t="n"/>
      <c r="E276" s="74">
        <f>IF(J276&gt;1,"+",0)</f>
        <v/>
      </c>
      <c r="F276" s="75">
        <f>IF(E276&gt;0,$L$4,0)</f>
        <v/>
      </c>
      <c r="G276" s="269" t="inlineStr">
        <is>
          <t>Sluitrekening balans</t>
        </is>
      </c>
      <c r="H276" s="161" t="n">
        <v>86100</v>
      </c>
      <c r="I276" s="250">
        <f>IFERROR(VLOOKUP(H276,Tabellen!H:I,2),0)</f>
        <v/>
      </c>
      <c r="J276" s="42" t="n">
        <v>2999999</v>
      </c>
      <c r="K276" s="247" t="n"/>
      <c r="L276" s="116" t="n"/>
      <c r="M276" s="116" t="n">
        <v>0</v>
      </c>
      <c r="N276" s="116" t="n">
        <v>0</v>
      </c>
      <c r="O276" s="116" t="n">
        <v>0</v>
      </c>
      <c r="Q276" s="119">
        <f>IF(OR(H276=47201,H276=47100,H276=47200,H276=47500),L276,0)</f>
        <v/>
      </c>
      <c r="R276" s="119">
        <f>IF(OR(H276=87201,H276=87100,H276=87200,H276=87500),L276,0)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63" t="n"/>
      <c r="I277" s="246" t="n"/>
      <c r="J277" s="73" t="n"/>
      <c r="K277" s="247" t="n"/>
      <c r="L277" s="116" t="n"/>
      <c r="M277" s="116" t="n"/>
      <c r="N277" s="116" t="n"/>
      <c r="O277" s="116" t="n"/>
      <c r="Q277" s="119">
        <f>IF(OR(H277=47201,H277=47100,H277=47200,H277=47500),L277,0)</f>
        <v/>
      </c>
      <c r="R277" s="119">
        <f>IF(OR(H277=87201,H277=87100,H277=87200,H277=87500),L277,0)</f>
        <v/>
      </c>
    </row>
    <row r="278" ht="15" customFormat="1" customHeight="1" s="119">
      <c r="A278" s="270" t="inlineStr">
        <is>
          <t>Controle balansmutaties (saldo mutaties -/- sluitrekening balans = leeg)</t>
        </is>
      </c>
      <c r="B278" s="145" t="n"/>
      <c r="C278" s="145" t="n"/>
      <c r="D278" s="270" t="n"/>
      <c r="E278" s="146" t="n"/>
      <c r="F278" s="147" t="n"/>
      <c r="G278" s="271" t="n"/>
      <c r="H278" s="69" t="n"/>
      <c r="I278" s="272" t="n"/>
      <c r="J278" s="149" t="n"/>
      <c r="K278" s="273" t="n"/>
      <c r="L278" s="151">
        <f>L168+L217+L273+L276</f>
        <v/>
      </c>
      <c r="M278" s="151">
        <f>M168+M217+M273+M276</f>
        <v/>
      </c>
      <c r="N278" s="151">
        <f>N168+N217+N273+N276</f>
        <v/>
      </c>
      <c r="O278" s="151">
        <f>O168+O217+O273+O276</f>
        <v/>
      </c>
      <c r="Q278" s="119" t="inlineStr">
        <is>
          <t>Controle bugettair neutraal (=leeg)</t>
        </is>
      </c>
      <c r="R278" s="119">
        <f>SUM(Q18:R276)</f>
        <v/>
      </c>
    </row>
    <row r="279" ht="15" customHeight="1">
      <c r="A279" s="260" t="n"/>
      <c r="B279" s="83" t="n"/>
      <c r="C279" s="83" t="n"/>
      <c r="D279" s="260" t="n"/>
      <c r="E279" s="84" t="n"/>
      <c r="F279" s="83" t="n"/>
      <c r="G279" s="260" t="n"/>
      <c r="I279" s="274" t="n"/>
      <c r="J279" s="83" t="n"/>
      <c r="K279" s="260" t="n"/>
      <c r="L279" s="87" t="n"/>
      <c r="M279" s="87" t="n"/>
      <c r="N279" s="87" t="n"/>
      <c r="O279" s="87" t="n"/>
    </row>
    <row r="280" ht="15" customHeight="1">
      <c r="A280" s="260" t="n"/>
      <c r="B280" s="83" t="n"/>
      <c r="C280" s="83" t="n"/>
      <c r="D280" s="260" t="n"/>
      <c r="E280" s="84" t="n"/>
      <c r="F280" s="83" t="n"/>
      <c r="G280" s="260" t="n"/>
      <c r="I280" s="274" t="n"/>
      <c r="J280" s="83" t="n"/>
      <c r="K280" s="260" t="n"/>
      <c r="L280" s="87" t="n"/>
      <c r="M280" s="87" t="n"/>
      <c r="N280" s="87" t="n"/>
      <c r="O280" s="87" t="n"/>
    </row>
    <row r="281" ht="15" customHeight="1">
      <c r="A281" s="275" t="inlineStr">
        <is>
          <t>Aldus vastgesteld in de raadsvergadering van:</t>
        </is>
      </c>
      <c r="B281" s="152" t="n"/>
      <c r="C281" s="168" t="n"/>
      <c r="D281" s="276" t="inlineStr">
        <is>
          <t>x-xx-2026</t>
        </is>
      </c>
      <c r="G281" s="209" t="n"/>
      <c r="I281" s="209" t="n"/>
      <c r="K281" s="209" t="n"/>
    </row>
    <row r="282" ht="15" customHeight="1">
      <c r="A282" s="275" t="n"/>
      <c r="B282" s="152" t="n"/>
      <c r="C282" s="157" t="n"/>
      <c r="D282" s="277" t="n"/>
      <c r="G282" s="209" t="n"/>
      <c r="I282" s="209" t="n"/>
      <c r="K282" s="209" t="n"/>
      <c r="L282" s="79" t="n">
        <v>0</v>
      </c>
    </row>
    <row r="283" ht="15" customHeight="1">
      <c r="A283" s="275" t="inlineStr">
        <is>
          <t>De Gemeenteraad,</t>
        </is>
      </c>
      <c r="B283" s="152" t="n"/>
      <c r="C283" s="157" t="n"/>
      <c r="D283" s="277" t="n"/>
      <c r="G283" s="209" t="n"/>
      <c r="I283" s="209" t="n"/>
      <c r="K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</row>
    <row r="285" ht="15" customHeight="1">
      <c r="A285" s="275" t="inlineStr">
        <is>
          <t>De Griffier,</t>
        </is>
      </c>
      <c r="B285" s="152" t="n"/>
      <c r="C285" s="169" t="inlineStr">
        <is>
          <t>De voorzitter,</t>
        </is>
      </c>
      <c r="D285" s="277" t="n"/>
      <c r="G285" s="209" t="n"/>
      <c r="I285" s="209" t="n"/>
      <c r="K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</row>
    <row r="289" ht="15" customHeight="1">
      <c r="A289" s="280" t="n"/>
      <c r="B289" s="156" t="n"/>
      <c r="C289" s="170" t="n"/>
      <c r="D289" s="281" t="n"/>
      <c r="G289" s="209" t="n"/>
      <c r="I289" s="209" t="n"/>
      <c r="K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</row>
    <row r="291" ht="15" customHeight="1">
      <c r="A291" s="275" t="inlineStr">
        <is>
          <t>R. Swinkels</t>
        </is>
      </c>
      <c r="B291" s="152" t="n"/>
      <c r="C291" s="220" t="inlineStr">
        <is>
          <t>R. Donders-de Leest</t>
        </is>
      </c>
      <c r="D291" s="277" t="n"/>
      <c r="G291" s="209" t="n"/>
      <c r="I291" s="209" t="n"/>
      <c r="K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4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22" customHeight="1">
      <c r="A1" s="282" t="inlineStr">
        <is>
          <t>Totaaloverzicht begrotingswijziging</t>
        </is>
      </c>
    </row>
    <row r="2" ht="16" customHeight="1">
      <c r="A2" s="283">
        <f>'Invullen groen'!A4</f>
        <v/>
      </c>
      <c r="G2" s="361" t="inlineStr">
        <is>
          <t>Corsanr.:</t>
        </is>
      </c>
      <c r="H2" s="362" t="n"/>
      <c r="I2" s="362" t="n"/>
    </row>
    <row r="3" ht="6" customHeight="1">
      <c r="F3" s="360" t="n"/>
      <c r="G3" s="360" t="n"/>
      <c r="H3" s="360" t="n"/>
      <c r="I3" s="360" t="n"/>
    </row>
    <row r="4" ht="18" customHeight="1">
      <c r="A4" s="285" t="inlineStr">
        <is>
          <t>Nr.</t>
        </is>
      </c>
      <c r="B4" s="285" t="inlineStr">
        <is>
          <t>Programma</t>
        </is>
      </c>
      <c r="C4" s="285" t="inlineStr">
        <is>
          <t>Taakveld</t>
        </is>
      </c>
      <c r="D4" s="285" t="inlineStr">
        <is>
          <t>Omschrijving taakveld</t>
        </is>
      </c>
      <c r="E4" s="285" t="inlineStr">
        <is>
          <t>Omschrijving grootboek</t>
        </is>
      </c>
      <c r="F4" s="363" t="inlineStr">
        <is>
          <t>Bgr.jaar 2026</t>
        </is>
      </c>
      <c r="G4" s="363" t="inlineStr">
        <is>
          <t>MJR 2027</t>
        </is>
      </c>
      <c r="H4" s="363" t="inlineStr">
        <is>
          <t>MJR 2028</t>
        </is>
      </c>
      <c r="I4" s="363" t="inlineStr">
        <is>
          <t>MJR 2029</t>
        </is>
      </c>
    </row>
    <row r="5" ht="14" customHeight="1">
      <c r="A5" s="287">
        <f>IFERROR(IF('Invullen groen'!E18&gt;0,18-17,""),"")</f>
        <v/>
      </c>
      <c r="B5" s="287">
        <f>IFERROR(IF('Invullen groen'!E18&gt;0,'Invullen groen'!A18,""),"")</f>
        <v/>
      </c>
      <c r="C5" s="287">
        <f>IFERROR(IF('Invullen groen'!E18&gt;0,'Invullen groen'!C18,""),"")</f>
        <v/>
      </c>
      <c r="D5" s="287">
        <f>IFERROR(IF('Invullen groen'!E18&gt;0,'Invullen groen'!D18,""),"")</f>
        <v/>
      </c>
      <c r="E5" s="287">
        <f>IFERROR(IF('Invullen groen'!E18&gt;0,'Invullen groen'!G18,""),"")</f>
        <v/>
      </c>
      <c r="F5" s="364">
        <f>IFERROR(IF('Invullen groen'!L18&lt;&gt;0,'Invullen groen'!L18,""),"")</f>
        <v/>
      </c>
      <c r="G5" s="364">
        <f>IFERROR(IF('Invullen groen'!M18&lt;&gt;0,'Invullen groen'!M18,""),"")</f>
        <v/>
      </c>
      <c r="H5" s="364">
        <f>IFERROR(IF('Invullen groen'!N18&lt;&gt;0,'Invullen groen'!N18,""),"")</f>
        <v/>
      </c>
      <c r="I5" s="364">
        <f>IFERROR(IF('Invullen groen'!O18&lt;&gt;0,'Invullen groen'!O18,""),"")</f>
        <v/>
      </c>
    </row>
    <row r="6" ht="14" customHeight="1">
      <c r="A6" s="287">
        <f>IFERROR(IF('Invullen groen'!E19&gt;0,19-17,""),"")</f>
        <v/>
      </c>
      <c r="B6" s="287">
        <f>IFERROR(IF('Invullen groen'!E19&gt;0,'Invullen groen'!A19,""),"")</f>
        <v/>
      </c>
      <c r="C6" s="287">
        <f>IFERROR(IF('Invullen groen'!E19&gt;0,'Invullen groen'!C19,""),"")</f>
        <v/>
      </c>
      <c r="D6" s="287">
        <f>IFERROR(IF('Invullen groen'!E19&gt;0,'Invullen groen'!D19,""),"")</f>
        <v/>
      </c>
      <c r="E6" s="287">
        <f>IFERROR(IF('Invullen groen'!E19&gt;0,'Invullen groen'!G19,""),"")</f>
        <v/>
      </c>
      <c r="F6" s="364">
        <f>IFERROR(IF('Invullen groen'!L19&lt;&gt;0,'Invullen groen'!L19,""),"")</f>
        <v/>
      </c>
      <c r="G6" s="364">
        <f>IFERROR(IF('Invullen groen'!M19&lt;&gt;0,'Invullen groen'!M19,""),"")</f>
        <v/>
      </c>
      <c r="H6" s="364">
        <f>IFERROR(IF('Invullen groen'!N19&lt;&gt;0,'Invullen groen'!N19,""),"")</f>
        <v/>
      </c>
      <c r="I6" s="364">
        <f>IFERROR(IF('Invullen groen'!O19&lt;&gt;0,'Invullen groen'!O19,""),"")</f>
        <v/>
      </c>
    </row>
    <row r="7" ht="14" customHeight="1">
      <c r="A7" s="287">
        <f>IFERROR(IF('Invullen groen'!E20&gt;0,20-17,""),"")</f>
        <v/>
      </c>
      <c r="B7" s="287">
        <f>IFERROR(IF('Invullen groen'!E20&gt;0,'Invullen groen'!A20,""),"")</f>
        <v/>
      </c>
      <c r="C7" s="287">
        <f>IFERROR(IF('Invullen groen'!E20&gt;0,'Invullen groen'!C20,""),"")</f>
        <v/>
      </c>
      <c r="D7" s="287">
        <f>IFERROR(IF('Invullen groen'!E20&gt;0,'Invullen groen'!D20,""),"")</f>
        <v/>
      </c>
      <c r="E7" s="287">
        <f>IFERROR(IF('Invullen groen'!E20&gt;0,'Invullen groen'!G20,""),"")</f>
        <v/>
      </c>
      <c r="F7" s="364">
        <f>IFERROR(IF('Invullen groen'!L20&lt;&gt;0,'Invullen groen'!L20,""),"")</f>
        <v/>
      </c>
      <c r="G7" s="364">
        <f>IFERROR(IF('Invullen groen'!M20&lt;&gt;0,'Invullen groen'!M20,""),"")</f>
        <v/>
      </c>
      <c r="H7" s="364">
        <f>IFERROR(IF('Invullen groen'!N20&lt;&gt;0,'Invullen groen'!N20,""),"")</f>
        <v/>
      </c>
      <c r="I7" s="364">
        <f>IFERROR(IF('Invullen groen'!O20&lt;&gt;0,'Invullen groen'!O20,""),"")</f>
        <v/>
      </c>
    </row>
    <row r="8" ht="14" customHeight="1">
      <c r="A8" s="287">
        <f>IFERROR(IF('Invullen groen'!E21&gt;0,21-17,""),"")</f>
        <v/>
      </c>
      <c r="B8" s="287">
        <f>IFERROR(IF('Invullen groen'!E21&gt;0,'Invullen groen'!A21,""),"")</f>
        <v/>
      </c>
      <c r="C8" s="287">
        <f>IFERROR(IF('Invullen groen'!E21&gt;0,'Invullen groen'!C21,""),"")</f>
        <v/>
      </c>
      <c r="D8" s="287">
        <f>IFERROR(IF('Invullen groen'!E21&gt;0,'Invullen groen'!D21,""),"")</f>
        <v/>
      </c>
      <c r="E8" s="287">
        <f>IFERROR(IF('Invullen groen'!E21&gt;0,'Invullen groen'!G21,""),"")</f>
        <v/>
      </c>
      <c r="F8" s="364">
        <f>IFERROR(IF('Invullen groen'!L21&lt;&gt;0,'Invullen groen'!L21,""),"")</f>
        <v/>
      </c>
      <c r="G8" s="364">
        <f>IFERROR(IF('Invullen groen'!M21&lt;&gt;0,'Invullen groen'!M21,""),"")</f>
        <v/>
      </c>
      <c r="H8" s="364">
        <f>IFERROR(IF('Invullen groen'!N21&lt;&gt;0,'Invullen groen'!N21,""),"")</f>
        <v/>
      </c>
      <c r="I8" s="364">
        <f>IFERROR(IF('Invullen groen'!O21&lt;&gt;0,'Invullen groen'!O21,""),"")</f>
        <v/>
      </c>
    </row>
    <row r="9" ht="14" customHeight="1">
      <c r="A9" s="287">
        <f>IFERROR(IF('Invullen groen'!E22&gt;0,22-17,""),"")</f>
        <v/>
      </c>
      <c r="B9" s="287">
        <f>IFERROR(IF('Invullen groen'!E22&gt;0,'Invullen groen'!A22,""),"")</f>
        <v/>
      </c>
      <c r="C9" s="287">
        <f>IFERROR(IF('Invullen groen'!E22&gt;0,'Invullen groen'!C22,""),"")</f>
        <v/>
      </c>
      <c r="D9" s="287">
        <f>IFERROR(IF('Invullen groen'!E22&gt;0,'Invullen groen'!D22,""),"")</f>
        <v/>
      </c>
      <c r="E9" s="287">
        <f>IFERROR(IF('Invullen groen'!E22&gt;0,'Invullen groen'!G22,""),"")</f>
        <v/>
      </c>
      <c r="F9" s="364">
        <f>IFERROR(IF('Invullen groen'!L22&lt;&gt;0,'Invullen groen'!L22,""),"")</f>
        <v/>
      </c>
      <c r="G9" s="364">
        <f>IFERROR(IF('Invullen groen'!M22&lt;&gt;0,'Invullen groen'!M22,""),"")</f>
        <v/>
      </c>
      <c r="H9" s="364">
        <f>IFERROR(IF('Invullen groen'!N22&lt;&gt;0,'Invullen groen'!N22,""),"")</f>
        <v/>
      </c>
      <c r="I9" s="364">
        <f>IFERROR(IF('Invullen groen'!O22&lt;&gt;0,'Invullen groen'!O22,""),"")</f>
        <v/>
      </c>
    </row>
    <row r="10" ht="14" customHeight="1">
      <c r="A10" s="287">
        <f>IFERROR(IF('Invullen groen'!E23&gt;0,23-17,""),"")</f>
        <v/>
      </c>
      <c r="B10" s="287">
        <f>IFERROR(IF('Invullen groen'!E23&gt;0,'Invullen groen'!A23,""),"")</f>
        <v/>
      </c>
      <c r="C10" s="287">
        <f>IFERROR(IF('Invullen groen'!E23&gt;0,'Invullen groen'!C23,""),"")</f>
        <v/>
      </c>
      <c r="D10" s="287">
        <f>IFERROR(IF('Invullen groen'!E23&gt;0,'Invullen groen'!D23,""),"")</f>
        <v/>
      </c>
      <c r="E10" s="287">
        <f>IFERROR(IF('Invullen groen'!E23&gt;0,'Invullen groen'!G23,""),"")</f>
        <v/>
      </c>
      <c r="F10" s="364">
        <f>IFERROR(IF('Invullen groen'!L23&lt;&gt;0,'Invullen groen'!L23,""),"")</f>
        <v/>
      </c>
      <c r="G10" s="364">
        <f>IFERROR(IF('Invullen groen'!M23&lt;&gt;0,'Invullen groen'!M23,""),"")</f>
        <v/>
      </c>
      <c r="H10" s="364">
        <f>IFERROR(IF('Invullen groen'!N23&lt;&gt;0,'Invullen groen'!N23,""),"")</f>
        <v/>
      </c>
      <c r="I10" s="364">
        <f>IFERROR(IF('Invullen groen'!O23&lt;&gt;0,'Invullen groen'!O23,""),"")</f>
        <v/>
      </c>
    </row>
    <row r="11" ht="14" customHeight="1">
      <c r="A11" s="287">
        <f>IFERROR(IF('Invullen groen'!E24&gt;0,24-17,""),"")</f>
        <v/>
      </c>
      <c r="B11" s="287">
        <f>IFERROR(IF('Invullen groen'!E24&gt;0,'Invullen groen'!A24,""),"")</f>
        <v/>
      </c>
      <c r="C11" s="287">
        <f>IFERROR(IF('Invullen groen'!E24&gt;0,'Invullen groen'!C24,""),"")</f>
        <v/>
      </c>
      <c r="D11" s="287">
        <f>IFERROR(IF('Invullen groen'!E24&gt;0,'Invullen groen'!D24,""),"")</f>
        <v/>
      </c>
      <c r="E11" s="287">
        <f>IFERROR(IF('Invullen groen'!E24&gt;0,'Invullen groen'!G24,""),"")</f>
        <v/>
      </c>
      <c r="F11" s="364">
        <f>IFERROR(IF('Invullen groen'!L24&lt;&gt;0,'Invullen groen'!L24,""),"")</f>
        <v/>
      </c>
      <c r="G11" s="364">
        <f>IFERROR(IF('Invullen groen'!M24&lt;&gt;0,'Invullen groen'!M24,""),"")</f>
        <v/>
      </c>
      <c r="H11" s="364">
        <f>IFERROR(IF('Invullen groen'!N24&lt;&gt;0,'Invullen groen'!N24,""),"")</f>
        <v/>
      </c>
      <c r="I11" s="364">
        <f>IFERROR(IF('Invullen groen'!O24&lt;&gt;0,'Invullen groen'!O24,""),"")</f>
        <v/>
      </c>
    </row>
    <row r="12" ht="14" customHeight="1">
      <c r="A12" s="287">
        <f>IFERROR(IF('Invullen groen'!E25&gt;0,25-17,""),"")</f>
        <v/>
      </c>
      <c r="B12" s="287">
        <f>IFERROR(IF('Invullen groen'!E25&gt;0,'Invullen groen'!A25,""),"")</f>
        <v/>
      </c>
      <c r="C12" s="287">
        <f>IFERROR(IF('Invullen groen'!E25&gt;0,'Invullen groen'!C25,""),"")</f>
        <v/>
      </c>
      <c r="D12" s="287">
        <f>IFERROR(IF('Invullen groen'!E25&gt;0,'Invullen groen'!D25,""),"")</f>
        <v/>
      </c>
      <c r="E12" s="287">
        <f>IFERROR(IF('Invullen groen'!E25&gt;0,'Invullen groen'!G25,""),"")</f>
        <v/>
      </c>
      <c r="F12" s="364">
        <f>IFERROR(IF('Invullen groen'!L25&lt;&gt;0,'Invullen groen'!L25,""),"")</f>
        <v/>
      </c>
      <c r="G12" s="364">
        <f>IFERROR(IF('Invullen groen'!M25&lt;&gt;0,'Invullen groen'!M25,""),"")</f>
        <v/>
      </c>
      <c r="H12" s="364">
        <f>IFERROR(IF('Invullen groen'!N25&lt;&gt;0,'Invullen groen'!N25,""),"")</f>
        <v/>
      </c>
      <c r="I12" s="364">
        <f>IFERROR(IF('Invullen groen'!O25&lt;&gt;0,'Invullen groen'!O25,""),"")</f>
        <v/>
      </c>
    </row>
    <row r="13" ht="14" customHeight="1">
      <c r="A13" s="287">
        <f>IFERROR(IF('Invullen groen'!E26&gt;0,26-17,""),"")</f>
        <v/>
      </c>
      <c r="B13" s="287">
        <f>IFERROR(IF('Invullen groen'!E26&gt;0,'Invullen groen'!A26,""),"")</f>
        <v/>
      </c>
      <c r="C13" s="287">
        <f>IFERROR(IF('Invullen groen'!E26&gt;0,'Invullen groen'!C26,""),"")</f>
        <v/>
      </c>
      <c r="D13" s="287">
        <f>IFERROR(IF('Invullen groen'!E26&gt;0,'Invullen groen'!D26,""),"")</f>
        <v/>
      </c>
      <c r="E13" s="287">
        <f>IFERROR(IF('Invullen groen'!E26&gt;0,'Invullen groen'!G26,""),"")</f>
        <v/>
      </c>
      <c r="F13" s="364">
        <f>IFERROR(IF('Invullen groen'!L26&lt;&gt;0,'Invullen groen'!L26,""),"")</f>
        <v/>
      </c>
      <c r="G13" s="364">
        <f>IFERROR(IF('Invullen groen'!M26&lt;&gt;0,'Invullen groen'!M26,""),"")</f>
        <v/>
      </c>
      <c r="H13" s="364">
        <f>IFERROR(IF('Invullen groen'!N26&lt;&gt;0,'Invullen groen'!N26,""),"")</f>
        <v/>
      </c>
      <c r="I13" s="364">
        <f>IFERROR(IF('Invullen groen'!O26&lt;&gt;0,'Invullen groen'!O26,""),"")</f>
        <v/>
      </c>
    </row>
    <row r="14" ht="14" customHeight="1">
      <c r="A14" s="287">
        <f>IFERROR(IF('Invullen groen'!E27&gt;0,27-17,""),"")</f>
        <v/>
      </c>
      <c r="B14" s="287">
        <f>IFERROR(IF('Invullen groen'!E27&gt;0,'Invullen groen'!A27,""),"")</f>
        <v/>
      </c>
      <c r="C14" s="287">
        <f>IFERROR(IF('Invullen groen'!E27&gt;0,'Invullen groen'!C27,""),"")</f>
        <v/>
      </c>
      <c r="D14" s="287">
        <f>IFERROR(IF('Invullen groen'!E27&gt;0,'Invullen groen'!D27,""),"")</f>
        <v/>
      </c>
      <c r="E14" s="287">
        <f>IFERROR(IF('Invullen groen'!E27&gt;0,'Invullen groen'!G27,""),"")</f>
        <v/>
      </c>
      <c r="F14" s="364">
        <f>IFERROR(IF('Invullen groen'!L27&lt;&gt;0,'Invullen groen'!L27,""),"")</f>
        <v/>
      </c>
      <c r="G14" s="364">
        <f>IFERROR(IF('Invullen groen'!M27&lt;&gt;0,'Invullen groen'!M27,""),"")</f>
        <v/>
      </c>
      <c r="H14" s="364">
        <f>IFERROR(IF('Invullen groen'!N27&lt;&gt;0,'Invullen groen'!N27,""),"")</f>
        <v/>
      </c>
      <c r="I14" s="364">
        <f>IFERROR(IF('Invullen groen'!O27&lt;&gt;0,'Invullen groen'!O27,""),"")</f>
        <v/>
      </c>
    </row>
    <row r="15" ht="14" customHeight="1">
      <c r="A15" s="287">
        <f>IFERROR(IF('Invullen groen'!E28&gt;0,28-17,""),"")</f>
        <v/>
      </c>
      <c r="B15" s="287">
        <f>IFERROR(IF('Invullen groen'!E28&gt;0,'Invullen groen'!A28,""),"")</f>
        <v/>
      </c>
      <c r="C15" s="287">
        <f>IFERROR(IF('Invullen groen'!E28&gt;0,'Invullen groen'!C28,""),"")</f>
        <v/>
      </c>
      <c r="D15" s="287">
        <f>IFERROR(IF('Invullen groen'!E28&gt;0,'Invullen groen'!D28,""),"")</f>
        <v/>
      </c>
      <c r="E15" s="287">
        <f>IFERROR(IF('Invullen groen'!E28&gt;0,'Invullen groen'!G28,""),"")</f>
        <v/>
      </c>
      <c r="F15" s="364">
        <f>IFERROR(IF('Invullen groen'!L28&lt;&gt;0,'Invullen groen'!L28,""),"")</f>
        <v/>
      </c>
      <c r="G15" s="364">
        <f>IFERROR(IF('Invullen groen'!M28&lt;&gt;0,'Invullen groen'!M28,""),"")</f>
        <v/>
      </c>
      <c r="H15" s="364">
        <f>IFERROR(IF('Invullen groen'!N28&lt;&gt;0,'Invullen groen'!N28,""),"")</f>
        <v/>
      </c>
      <c r="I15" s="364">
        <f>IFERROR(IF('Invullen groen'!O28&lt;&gt;0,'Invullen groen'!O28,""),"")</f>
        <v/>
      </c>
    </row>
    <row r="16" ht="14" customHeight="1">
      <c r="A16" s="287">
        <f>IFERROR(IF('Invullen groen'!E29&gt;0,29-17,""),"")</f>
        <v/>
      </c>
      <c r="B16" s="287">
        <f>IFERROR(IF('Invullen groen'!E29&gt;0,'Invullen groen'!A29,""),"")</f>
        <v/>
      </c>
      <c r="C16" s="287">
        <f>IFERROR(IF('Invullen groen'!E29&gt;0,'Invullen groen'!C29,""),"")</f>
        <v/>
      </c>
      <c r="D16" s="287">
        <f>IFERROR(IF('Invullen groen'!E29&gt;0,'Invullen groen'!D29,""),"")</f>
        <v/>
      </c>
      <c r="E16" s="287">
        <f>IFERROR(IF('Invullen groen'!E29&gt;0,'Invullen groen'!G29,""),"")</f>
        <v/>
      </c>
      <c r="F16" s="364">
        <f>IFERROR(IF('Invullen groen'!L29&lt;&gt;0,'Invullen groen'!L29,""),"")</f>
        <v/>
      </c>
      <c r="G16" s="364">
        <f>IFERROR(IF('Invullen groen'!M29&lt;&gt;0,'Invullen groen'!M29,""),"")</f>
        <v/>
      </c>
      <c r="H16" s="364">
        <f>IFERROR(IF('Invullen groen'!N29&lt;&gt;0,'Invullen groen'!N29,""),"")</f>
        <v/>
      </c>
      <c r="I16" s="364">
        <f>IFERROR(IF('Invullen groen'!O29&lt;&gt;0,'Invullen groen'!O29,""),"")</f>
        <v/>
      </c>
    </row>
    <row r="17" ht="14" customHeight="1">
      <c r="A17" s="287">
        <f>IFERROR(IF('Invullen groen'!E30&gt;0,30-17,""),"")</f>
        <v/>
      </c>
      <c r="B17" s="287">
        <f>IFERROR(IF('Invullen groen'!E30&gt;0,'Invullen groen'!A30,""),"")</f>
        <v/>
      </c>
      <c r="C17" s="287">
        <f>IFERROR(IF('Invullen groen'!E30&gt;0,'Invullen groen'!C30,""),"")</f>
        <v/>
      </c>
      <c r="D17" s="287">
        <f>IFERROR(IF('Invullen groen'!E30&gt;0,'Invullen groen'!D30,""),"")</f>
        <v/>
      </c>
      <c r="E17" s="287">
        <f>IFERROR(IF('Invullen groen'!E30&gt;0,'Invullen groen'!G30,""),"")</f>
        <v/>
      </c>
      <c r="F17" s="364">
        <f>IFERROR(IF('Invullen groen'!L30&lt;&gt;0,'Invullen groen'!L30,""),"")</f>
        <v/>
      </c>
      <c r="G17" s="364">
        <f>IFERROR(IF('Invullen groen'!M30&lt;&gt;0,'Invullen groen'!M30,""),"")</f>
        <v/>
      </c>
      <c r="H17" s="364">
        <f>IFERROR(IF('Invullen groen'!N30&lt;&gt;0,'Invullen groen'!N30,""),"")</f>
        <v/>
      </c>
      <c r="I17" s="364">
        <f>IFERROR(IF('Invullen groen'!O30&lt;&gt;0,'Invullen groen'!O30,""),"")</f>
        <v/>
      </c>
    </row>
    <row r="18" ht="14" customHeight="1">
      <c r="A18" s="287">
        <f>IFERROR(IF('Invullen groen'!E31&gt;0,31-17,""),"")</f>
        <v/>
      </c>
      <c r="B18" s="287">
        <f>IFERROR(IF('Invullen groen'!E31&gt;0,'Invullen groen'!A31,""),"")</f>
        <v/>
      </c>
      <c r="C18" s="287">
        <f>IFERROR(IF('Invullen groen'!E31&gt;0,'Invullen groen'!C31,""),"")</f>
        <v/>
      </c>
      <c r="D18" s="287">
        <f>IFERROR(IF('Invullen groen'!E31&gt;0,'Invullen groen'!D31,""),"")</f>
        <v/>
      </c>
      <c r="E18" s="287">
        <f>IFERROR(IF('Invullen groen'!E31&gt;0,'Invullen groen'!G31,""),"")</f>
        <v/>
      </c>
      <c r="F18" s="364">
        <f>IFERROR(IF('Invullen groen'!L31&lt;&gt;0,'Invullen groen'!L31,""),"")</f>
        <v/>
      </c>
      <c r="G18" s="364">
        <f>IFERROR(IF('Invullen groen'!M31&lt;&gt;0,'Invullen groen'!M31,""),"")</f>
        <v/>
      </c>
      <c r="H18" s="364">
        <f>IFERROR(IF('Invullen groen'!N31&lt;&gt;0,'Invullen groen'!N31,""),"")</f>
        <v/>
      </c>
      <c r="I18" s="364">
        <f>IFERROR(IF('Invullen groen'!O31&lt;&gt;0,'Invullen groen'!O31,""),"")</f>
        <v/>
      </c>
    </row>
    <row r="19" ht="14" customHeight="1">
      <c r="A19" s="287">
        <f>IFERROR(IF('Invullen groen'!E32&gt;0,32-17,""),"")</f>
        <v/>
      </c>
      <c r="B19" s="287">
        <f>IFERROR(IF('Invullen groen'!E32&gt;0,'Invullen groen'!A32,""),"")</f>
        <v/>
      </c>
      <c r="C19" s="287">
        <f>IFERROR(IF('Invullen groen'!E32&gt;0,'Invullen groen'!C32,""),"")</f>
        <v/>
      </c>
      <c r="D19" s="287">
        <f>IFERROR(IF('Invullen groen'!E32&gt;0,'Invullen groen'!D32,""),"")</f>
        <v/>
      </c>
      <c r="E19" s="287">
        <f>IFERROR(IF('Invullen groen'!E32&gt;0,'Invullen groen'!G32,""),"")</f>
        <v/>
      </c>
      <c r="F19" s="364">
        <f>IFERROR(IF('Invullen groen'!L32&lt;&gt;0,'Invullen groen'!L32,""),"")</f>
        <v/>
      </c>
      <c r="G19" s="364">
        <f>IFERROR(IF('Invullen groen'!M32&lt;&gt;0,'Invullen groen'!M32,""),"")</f>
        <v/>
      </c>
      <c r="H19" s="364">
        <f>IFERROR(IF('Invullen groen'!N32&lt;&gt;0,'Invullen groen'!N32,""),"")</f>
        <v/>
      </c>
      <c r="I19" s="364">
        <f>IFERROR(IF('Invullen groen'!O32&lt;&gt;0,'Invullen groen'!O32,""),"")</f>
        <v/>
      </c>
    </row>
    <row r="20" ht="14" customHeight="1">
      <c r="A20" s="287">
        <f>IFERROR(IF('Invullen groen'!E33&gt;0,33-17,""),"")</f>
        <v/>
      </c>
      <c r="B20" s="287">
        <f>IFERROR(IF('Invullen groen'!E33&gt;0,'Invullen groen'!A33,""),"")</f>
        <v/>
      </c>
      <c r="C20" s="287">
        <f>IFERROR(IF('Invullen groen'!E33&gt;0,'Invullen groen'!C33,""),"")</f>
        <v/>
      </c>
      <c r="D20" s="287">
        <f>IFERROR(IF('Invullen groen'!E33&gt;0,'Invullen groen'!D33,""),"")</f>
        <v/>
      </c>
      <c r="E20" s="287">
        <f>IFERROR(IF('Invullen groen'!E33&gt;0,'Invullen groen'!G33,""),"")</f>
        <v/>
      </c>
      <c r="F20" s="364">
        <f>IFERROR(IF('Invullen groen'!L33&lt;&gt;0,'Invullen groen'!L33,""),"")</f>
        <v/>
      </c>
      <c r="G20" s="364">
        <f>IFERROR(IF('Invullen groen'!M33&lt;&gt;0,'Invullen groen'!M33,""),"")</f>
        <v/>
      </c>
      <c r="H20" s="364">
        <f>IFERROR(IF('Invullen groen'!N33&lt;&gt;0,'Invullen groen'!N33,""),"")</f>
        <v/>
      </c>
      <c r="I20" s="364">
        <f>IFERROR(IF('Invullen groen'!O33&lt;&gt;0,'Invullen groen'!O33,""),"")</f>
        <v/>
      </c>
    </row>
    <row r="21" ht="14" customHeight="1">
      <c r="A21" s="287">
        <f>IFERROR(IF('Invullen groen'!E34&gt;0,34-17,""),"")</f>
        <v/>
      </c>
      <c r="B21" s="287">
        <f>IFERROR(IF('Invullen groen'!E34&gt;0,'Invullen groen'!A34,""),"")</f>
        <v/>
      </c>
      <c r="C21" s="287">
        <f>IFERROR(IF('Invullen groen'!E34&gt;0,'Invullen groen'!C34,""),"")</f>
        <v/>
      </c>
      <c r="D21" s="287">
        <f>IFERROR(IF('Invullen groen'!E34&gt;0,'Invullen groen'!D34,""),"")</f>
        <v/>
      </c>
      <c r="E21" s="287">
        <f>IFERROR(IF('Invullen groen'!E34&gt;0,'Invullen groen'!G34,""),"")</f>
        <v/>
      </c>
      <c r="F21" s="364">
        <f>IFERROR(IF('Invullen groen'!L34&lt;&gt;0,'Invullen groen'!L34,""),"")</f>
        <v/>
      </c>
      <c r="G21" s="364">
        <f>IFERROR(IF('Invullen groen'!M34&lt;&gt;0,'Invullen groen'!M34,""),"")</f>
        <v/>
      </c>
      <c r="H21" s="364">
        <f>IFERROR(IF('Invullen groen'!N34&lt;&gt;0,'Invullen groen'!N34,""),"")</f>
        <v/>
      </c>
      <c r="I21" s="364">
        <f>IFERROR(IF('Invullen groen'!O34&lt;&gt;0,'Invullen groen'!O34,""),"")</f>
        <v/>
      </c>
    </row>
    <row r="22" ht="14" customHeight="1">
      <c r="A22" s="287">
        <f>IFERROR(IF('Invullen groen'!E35&gt;0,35-17,""),"")</f>
        <v/>
      </c>
      <c r="B22" s="287">
        <f>IFERROR(IF('Invullen groen'!E35&gt;0,'Invullen groen'!A35,""),"")</f>
        <v/>
      </c>
      <c r="C22" s="287">
        <f>IFERROR(IF('Invullen groen'!E35&gt;0,'Invullen groen'!C35,""),"")</f>
        <v/>
      </c>
      <c r="D22" s="287">
        <f>IFERROR(IF('Invullen groen'!E35&gt;0,'Invullen groen'!D35,""),"")</f>
        <v/>
      </c>
      <c r="E22" s="287">
        <f>IFERROR(IF('Invullen groen'!E35&gt;0,'Invullen groen'!G35,""),"")</f>
        <v/>
      </c>
      <c r="F22" s="364">
        <f>IFERROR(IF('Invullen groen'!L35&lt;&gt;0,'Invullen groen'!L35,""),"")</f>
        <v/>
      </c>
      <c r="G22" s="364">
        <f>IFERROR(IF('Invullen groen'!M35&lt;&gt;0,'Invullen groen'!M35,""),"")</f>
        <v/>
      </c>
      <c r="H22" s="364">
        <f>IFERROR(IF('Invullen groen'!N35&lt;&gt;0,'Invullen groen'!N35,""),"")</f>
        <v/>
      </c>
      <c r="I22" s="364">
        <f>IFERROR(IF('Invullen groen'!O35&lt;&gt;0,'Invullen groen'!O35,""),"")</f>
        <v/>
      </c>
    </row>
    <row r="23" ht="14" customHeight="1">
      <c r="A23" s="287">
        <f>IFERROR(IF('Invullen groen'!E36&gt;0,36-17,""),"")</f>
        <v/>
      </c>
      <c r="B23" s="287">
        <f>IFERROR(IF('Invullen groen'!E36&gt;0,'Invullen groen'!A36,""),"")</f>
        <v/>
      </c>
      <c r="C23" s="287">
        <f>IFERROR(IF('Invullen groen'!E36&gt;0,'Invullen groen'!C36,""),"")</f>
        <v/>
      </c>
      <c r="D23" s="287">
        <f>IFERROR(IF('Invullen groen'!E36&gt;0,'Invullen groen'!D36,""),"")</f>
        <v/>
      </c>
      <c r="E23" s="287">
        <f>IFERROR(IF('Invullen groen'!E36&gt;0,'Invullen groen'!G36,""),"")</f>
        <v/>
      </c>
      <c r="F23" s="364">
        <f>IFERROR(IF('Invullen groen'!L36&lt;&gt;0,'Invullen groen'!L36,""),"")</f>
        <v/>
      </c>
      <c r="G23" s="364">
        <f>IFERROR(IF('Invullen groen'!M36&lt;&gt;0,'Invullen groen'!M36,""),"")</f>
        <v/>
      </c>
      <c r="H23" s="364">
        <f>IFERROR(IF('Invullen groen'!N36&lt;&gt;0,'Invullen groen'!N36,""),"")</f>
        <v/>
      </c>
      <c r="I23" s="364">
        <f>IFERROR(IF('Invullen groen'!O36&lt;&gt;0,'Invullen groen'!O36,""),"")</f>
        <v/>
      </c>
    </row>
    <row r="24" ht="14" customHeight="1">
      <c r="A24" s="287">
        <f>IFERROR(IF('Invullen groen'!E37&gt;0,37-17,""),"")</f>
        <v/>
      </c>
      <c r="B24" s="287">
        <f>IFERROR(IF('Invullen groen'!E37&gt;0,'Invullen groen'!A37,""),"")</f>
        <v/>
      </c>
      <c r="C24" s="287">
        <f>IFERROR(IF('Invullen groen'!E37&gt;0,'Invullen groen'!C37,""),"")</f>
        <v/>
      </c>
      <c r="D24" s="287">
        <f>IFERROR(IF('Invullen groen'!E37&gt;0,'Invullen groen'!D37,""),"")</f>
        <v/>
      </c>
      <c r="E24" s="287">
        <f>IFERROR(IF('Invullen groen'!E37&gt;0,'Invullen groen'!G37,""),"")</f>
        <v/>
      </c>
      <c r="F24" s="364">
        <f>IFERROR(IF('Invullen groen'!L37&lt;&gt;0,'Invullen groen'!L37,""),"")</f>
        <v/>
      </c>
      <c r="G24" s="364">
        <f>IFERROR(IF('Invullen groen'!M37&lt;&gt;0,'Invullen groen'!M37,""),"")</f>
        <v/>
      </c>
      <c r="H24" s="364">
        <f>IFERROR(IF('Invullen groen'!N37&lt;&gt;0,'Invullen groen'!N37,""),"")</f>
        <v/>
      </c>
      <c r="I24" s="364">
        <f>IFERROR(IF('Invullen groen'!O37&lt;&gt;0,'Invullen groen'!O37,""),"")</f>
        <v/>
      </c>
    </row>
    <row r="25" ht="14" customHeight="1">
      <c r="A25" s="287">
        <f>IFERROR(IF('Invullen groen'!E38&gt;0,38-17,""),"")</f>
        <v/>
      </c>
      <c r="B25" s="287">
        <f>IFERROR(IF('Invullen groen'!E38&gt;0,'Invullen groen'!A38,""),"")</f>
        <v/>
      </c>
      <c r="C25" s="287">
        <f>IFERROR(IF('Invullen groen'!E38&gt;0,'Invullen groen'!C38,""),"")</f>
        <v/>
      </c>
      <c r="D25" s="287">
        <f>IFERROR(IF('Invullen groen'!E38&gt;0,'Invullen groen'!D38,""),"")</f>
        <v/>
      </c>
      <c r="E25" s="287">
        <f>IFERROR(IF('Invullen groen'!E38&gt;0,'Invullen groen'!G38,""),"")</f>
        <v/>
      </c>
      <c r="F25" s="364">
        <f>IFERROR(IF('Invullen groen'!L38&lt;&gt;0,'Invullen groen'!L38,""),"")</f>
        <v/>
      </c>
      <c r="G25" s="364">
        <f>IFERROR(IF('Invullen groen'!M38&lt;&gt;0,'Invullen groen'!M38,""),"")</f>
        <v/>
      </c>
      <c r="H25" s="364">
        <f>IFERROR(IF('Invullen groen'!N38&lt;&gt;0,'Invullen groen'!N38,""),"")</f>
        <v/>
      </c>
      <c r="I25" s="364">
        <f>IFERROR(IF('Invullen groen'!O38&lt;&gt;0,'Invullen groen'!O38,""),"")</f>
        <v/>
      </c>
    </row>
    <row r="26" ht="14" customHeight="1">
      <c r="A26" s="287">
        <f>IFERROR(IF('Invullen groen'!E39&gt;0,39-17,""),"")</f>
        <v/>
      </c>
      <c r="B26" s="287">
        <f>IFERROR(IF('Invullen groen'!E39&gt;0,'Invullen groen'!A39,""),"")</f>
        <v/>
      </c>
      <c r="C26" s="287">
        <f>IFERROR(IF('Invullen groen'!E39&gt;0,'Invullen groen'!C39,""),"")</f>
        <v/>
      </c>
      <c r="D26" s="287">
        <f>IFERROR(IF('Invullen groen'!E39&gt;0,'Invullen groen'!D39,""),"")</f>
        <v/>
      </c>
      <c r="E26" s="287">
        <f>IFERROR(IF('Invullen groen'!E39&gt;0,'Invullen groen'!G39,""),"")</f>
        <v/>
      </c>
      <c r="F26" s="364">
        <f>IFERROR(IF('Invullen groen'!L39&lt;&gt;0,'Invullen groen'!L39,""),"")</f>
        <v/>
      </c>
      <c r="G26" s="364">
        <f>IFERROR(IF('Invullen groen'!M39&lt;&gt;0,'Invullen groen'!M39,""),"")</f>
        <v/>
      </c>
      <c r="H26" s="364">
        <f>IFERROR(IF('Invullen groen'!N39&lt;&gt;0,'Invullen groen'!N39,""),"")</f>
        <v/>
      </c>
      <c r="I26" s="364">
        <f>IFERROR(IF('Invullen groen'!O39&lt;&gt;0,'Invullen groen'!O39,""),"")</f>
        <v/>
      </c>
    </row>
    <row r="27" ht="14" customHeight="1">
      <c r="A27" s="287">
        <f>IFERROR(IF('Invullen groen'!E40&gt;0,40-17,""),"")</f>
        <v/>
      </c>
      <c r="B27" s="287">
        <f>IFERROR(IF('Invullen groen'!E40&gt;0,'Invullen groen'!A40,""),"")</f>
        <v/>
      </c>
      <c r="C27" s="287">
        <f>IFERROR(IF('Invullen groen'!E40&gt;0,'Invullen groen'!C40,""),"")</f>
        <v/>
      </c>
      <c r="D27" s="287">
        <f>IFERROR(IF('Invullen groen'!E40&gt;0,'Invullen groen'!D40,""),"")</f>
        <v/>
      </c>
      <c r="E27" s="287">
        <f>IFERROR(IF('Invullen groen'!E40&gt;0,'Invullen groen'!G40,""),"")</f>
        <v/>
      </c>
      <c r="F27" s="364">
        <f>IFERROR(IF('Invullen groen'!L40&lt;&gt;0,'Invullen groen'!L40,""),"")</f>
        <v/>
      </c>
      <c r="G27" s="364">
        <f>IFERROR(IF('Invullen groen'!M40&lt;&gt;0,'Invullen groen'!M40,""),"")</f>
        <v/>
      </c>
      <c r="H27" s="364">
        <f>IFERROR(IF('Invullen groen'!N40&lt;&gt;0,'Invullen groen'!N40,""),"")</f>
        <v/>
      </c>
      <c r="I27" s="364">
        <f>IFERROR(IF('Invullen groen'!O40&lt;&gt;0,'Invullen groen'!O40,""),"")</f>
        <v/>
      </c>
    </row>
    <row r="28" ht="14" customHeight="1">
      <c r="A28" s="287">
        <f>IFERROR(IF('Invullen groen'!E41&gt;0,41-17,""),"")</f>
        <v/>
      </c>
      <c r="B28" s="287">
        <f>IFERROR(IF('Invullen groen'!E41&gt;0,'Invullen groen'!A41,""),"")</f>
        <v/>
      </c>
      <c r="C28" s="287">
        <f>IFERROR(IF('Invullen groen'!E41&gt;0,'Invullen groen'!C41,""),"")</f>
        <v/>
      </c>
      <c r="D28" s="287">
        <f>IFERROR(IF('Invullen groen'!E41&gt;0,'Invullen groen'!D41,""),"")</f>
        <v/>
      </c>
      <c r="E28" s="287">
        <f>IFERROR(IF('Invullen groen'!E41&gt;0,'Invullen groen'!G41,""),"")</f>
        <v/>
      </c>
      <c r="F28" s="364">
        <f>IFERROR(IF('Invullen groen'!L41&lt;&gt;0,'Invullen groen'!L41,""),"")</f>
        <v/>
      </c>
      <c r="G28" s="364">
        <f>IFERROR(IF('Invullen groen'!M41&lt;&gt;0,'Invullen groen'!M41,""),"")</f>
        <v/>
      </c>
      <c r="H28" s="364">
        <f>IFERROR(IF('Invullen groen'!N41&lt;&gt;0,'Invullen groen'!N41,""),"")</f>
        <v/>
      </c>
      <c r="I28" s="364">
        <f>IFERROR(IF('Invullen groen'!O41&lt;&gt;0,'Invullen groen'!O41,""),"")</f>
        <v/>
      </c>
    </row>
    <row r="29" ht="14" customHeight="1">
      <c r="A29" s="287">
        <f>IFERROR(IF('Invullen groen'!E42&gt;0,42-17,""),"")</f>
        <v/>
      </c>
      <c r="B29" s="287">
        <f>IFERROR(IF('Invullen groen'!E42&gt;0,'Invullen groen'!A42,""),"")</f>
        <v/>
      </c>
      <c r="C29" s="287">
        <f>IFERROR(IF('Invullen groen'!E42&gt;0,'Invullen groen'!C42,""),"")</f>
        <v/>
      </c>
      <c r="D29" s="287">
        <f>IFERROR(IF('Invullen groen'!E42&gt;0,'Invullen groen'!D42,""),"")</f>
        <v/>
      </c>
      <c r="E29" s="287">
        <f>IFERROR(IF('Invullen groen'!E42&gt;0,'Invullen groen'!G42,""),"")</f>
        <v/>
      </c>
      <c r="F29" s="364">
        <f>IFERROR(IF('Invullen groen'!L42&lt;&gt;0,'Invullen groen'!L42,""),"")</f>
        <v/>
      </c>
      <c r="G29" s="364">
        <f>IFERROR(IF('Invullen groen'!M42&lt;&gt;0,'Invullen groen'!M42,""),"")</f>
        <v/>
      </c>
      <c r="H29" s="364">
        <f>IFERROR(IF('Invullen groen'!N42&lt;&gt;0,'Invullen groen'!N42,""),"")</f>
        <v/>
      </c>
      <c r="I29" s="364">
        <f>IFERROR(IF('Invullen groen'!O42&lt;&gt;0,'Invullen groen'!O42,""),"")</f>
        <v/>
      </c>
    </row>
    <row r="30" ht="14" customHeight="1">
      <c r="A30" s="287">
        <f>IFERROR(IF('Invullen groen'!E43&gt;0,43-17,""),"")</f>
        <v/>
      </c>
      <c r="B30" s="287">
        <f>IFERROR(IF('Invullen groen'!E43&gt;0,'Invullen groen'!A43,""),"")</f>
        <v/>
      </c>
      <c r="C30" s="287">
        <f>IFERROR(IF('Invullen groen'!E43&gt;0,'Invullen groen'!C43,""),"")</f>
        <v/>
      </c>
      <c r="D30" s="287">
        <f>IFERROR(IF('Invullen groen'!E43&gt;0,'Invullen groen'!D43,""),"")</f>
        <v/>
      </c>
      <c r="E30" s="287">
        <f>IFERROR(IF('Invullen groen'!E43&gt;0,'Invullen groen'!G43,""),"")</f>
        <v/>
      </c>
      <c r="F30" s="364">
        <f>IFERROR(IF('Invullen groen'!L43&lt;&gt;0,'Invullen groen'!L43,""),"")</f>
        <v/>
      </c>
      <c r="G30" s="364">
        <f>IFERROR(IF('Invullen groen'!M43&lt;&gt;0,'Invullen groen'!M43,""),"")</f>
        <v/>
      </c>
      <c r="H30" s="364">
        <f>IFERROR(IF('Invullen groen'!N43&lt;&gt;0,'Invullen groen'!N43,""),"")</f>
        <v/>
      </c>
      <c r="I30" s="364">
        <f>IFERROR(IF('Invullen groen'!O43&lt;&gt;0,'Invullen groen'!O43,""),"")</f>
        <v/>
      </c>
    </row>
    <row r="31" ht="14" customHeight="1">
      <c r="A31" s="287">
        <f>IFERROR(IF('Invullen groen'!E44&gt;0,44-17,""),"")</f>
        <v/>
      </c>
      <c r="B31" s="287">
        <f>IFERROR(IF('Invullen groen'!E44&gt;0,'Invullen groen'!A44,""),"")</f>
        <v/>
      </c>
      <c r="C31" s="287">
        <f>IFERROR(IF('Invullen groen'!E44&gt;0,'Invullen groen'!C44,""),"")</f>
        <v/>
      </c>
      <c r="D31" s="287">
        <f>IFERROR(IF('Invullen groen'!E44&gt;0,'Invullen groen'!D44,""),"")</f>
        <v/>
      </c>
      <c r="E31" s="287">
        <f>IFERROR(IF('Invullen groen'!E44&gt;0,'Invullen groen'!G44,""),"")</f>
        <v/>
      </c>
      <c r="F31" s="364">
        <f>IFERROR(IF('Invullen groen'!L44&lt;&gt;0,'Invullen groen'!L44,""),"")</f>
        <v/>
      </c>
      <c r="G31" s="364">
        <f>IFERROR(IF('Invullen groen'!M44&lt;&gt;0,'Invullen groen'!M44,""),"")</f>
        <v/>
      </c>
      <c r="H31" s="364">
        <f>IFERROR(IF('Invullen groen'!N44&lt;&gt;0,'Invullen groen'!N44,""),"")</f>
        <v/>
      </c>
      <c r="I31" s="364">
        <f>IFERROR(IF('Invullen groen'!O44&lt;&gt;0,'Invullen groen'!O44,""),"")</f>
        <v/>
      </c>
    </row>
    <row r="32" ht="14" customHeight="1">
      <c r="A32" s="287">
        <f>IFERROR(IF('Invullen groen'!E45&gt;0,45-17,""),"")</f>
        <v/>
      </c>
      <c r="B32" s="287">
        <f>IFERROR(IF('Invullen groen'!E45&gt;0,'Invullen groen'!A45,""),"")</f>
        <v/>
      </c>
      <c r="C32" s="287">
        <f>IFERROR(IF('Invullen groen'!E45&gt;0,'Invullen groen'!C45,""),"")</f>
        <v/>
      </c>
      <c r="D32" s="287">
        <f>IFERROR(IF('Invullen groen'!E45&gt;0,'Invullen groen'!D45,""),"")</f>
        <v/>
      </c>
      <c r="E32" s="287">
        <f>IFERROR(IF('Invullen groen'!E45&gt;0,'Invullen groen'!G45,""),"")</f>
        <v/>
      </c>
      <c r="F32" s="364">
        <f>IFERROR(IF('Invullen groen'!L45&lt;&gt;0,'Invullen groen'!L45,""),"")</f>
        <v/>
      </c>
      <c r="G32" s="364">
        <f>IFERROR(IF('Invullen groen'!M45&lt;&gt;0,'Invullen groen'!M45,""),"")</f>
        <v/>
      </c>
      <c r="H32" s="364">
        <f>IFERROR(IF('Invullen groen'!N45&lt;&gt;0,'Invullen groen'!N45,""),"")</f>
        <v/>
      </c>
      <c r="I32" s="364">
        <f>IFERROR(IF('Invullen groen'!O45&lt;&gt;0,'Invullen groen'!O45,""),"")</f>
        <v/>
      </c>
    </row>
    <row r="33" ht="14" customHeight="1">
      <c r="A33" s="287">
        <f>IFERROR(IF('Invullen groen'!E46&gt;0,46-17,""),"")</f>
        <v/>
      </c>
      <c r="B33" s="287">
        <f>IFERROR(IF('Invullen groen'!E46&gt;0,'Invullen groen'!A46,""),"")</f>
        <v/>
      </c>
      <c r="C33" s="287">
        <f>IFERROR(IF('Invullen groen'!E46&gt;0,'Invullen groen'!C46,""),"")</f>
        <v/>
      </c>
      <c r="D33" s="287">
        <f>IFERROR(IF('Invullen groen'!E46&gt;0,'Invullen groen'!D46,""),"")</f>
        <v/>
      </c>
      <c r="E33" s="287">
        <f>IFERROR(IF('Invullen groen'!E46&gt;0,'Invullen groen'!G46,""),"")</f>
        <v/>
      </c>
      <c r="F33" s="364">
        <f>IFERROR(IF('Invullen groen'!L46&lt;&gt;0,'Invullen groen'!L46,""),"")</f>
        <v/>
      </c>
      <c r="G33" s="364">
        <f>IFERROR(IF('Invullen groen'!M46&lt;&gt;0,'Invullen groen'!M46,""),"")</f>
        <v/>
      </c>
      <c r="H33" s="364">
        <f>IFERROR(IF('Invullen groen'!N46&lt;&gt;0,'Invullen groen'!N46,""),"")</f>
        <v/>
      </c>
      <c r="I33" s="364">
        <f>IFERROR(IF('Invullen groen'!O46&lt;&gt;0,'Invullen groen'!O46,""),"")</f>
        <v/>
      </c>
    </row>
    <row r="34" ht="14" customHeight="1">
      <c r="A34" s="287">
        <f>IFERROR(IF('Invullen groen'!E47&gt;0,47-17,""),"")</f>
        <v/>
      </c>
      <c r="B34" s="287">
        <f>IFERROR(IF('Invullen groen'!E47&gt;0,'Invullen groen'!A47,""),"")</f>
        <v/>
      </c>
      <c r="C34" s="287">
        <f>IFERROR(IF('Invullen groen'!E47&gt;0,'Invullen groen'!C47,""),"")</f>
        <v/>
      </c>
      <c r="D34" s="287">
        <f>IFERROR(IF('Invullen groen'!E47&gt;0,'Invullen groen'!D47,""),"")</f>
        <v/>
      </c>
      <c r="E34" s="287">
        <f>IFERROR(IF('Invullen groen'!E47&gt;0,'Invullen groen'!G47,""),"")</f>
        <v/>
      </c>
      <c r="F34" s="364">
        <f>IFERROR(IF('Invullen groen'!L47&lt;&gt;0,'Invullen groen'!L47,""),"")</f>
        <v/>
      </c>
      <c r="G34" s="364">
        <f>IFERROR(IF('Invullen groen'!M47&lt;&gt;0,'Invullen groen'!M47,""),"")</f>
        <v/>
      </c>
      <c r="H34" s="364">
        <f>IFERROR(IF('Invullen groen'!N47&lt;&gt;0,'Invullen groen'!N47,""),"")</f>
        <v/>
      </c>
      <c r="I34" s="364">
        <f>IFERROR(IF('Invullen groen'!O47&lt;&gt;0,'Invullen groen'!O47,""),"")</f>
        <v/>
      </c>
    </row>
    <row r="35" ht="14" customHeight="1">
      <c r="A35" s="287">
        <f>IFERROR(IF('Invullen groen'!E48&gt;0,48-17,""),"")</f>
        <v/>
      </c>
      <c r="B35" s="287">
        <f>IFERROR(IF('Invullen groen'!E48&gt;0,'Invullen groen'!A48,""),"")</f>
        <v/>
      </c>
      <c r="C35" s="287">
        <f>IFERROR(IF('Invullen groen'!E48&gt;0,'Invullen groen'!C48,""),"")</f>
        <v/>
      </c>
      <c r="D35" s="287">
        <f>IFERROR(IF('Invullen groen'!E48&gt;0,'Invullen groen'!D48,""),"")</f>
        <v/>
      </c>
      <c r="E35" s="287">
        <f>IFERROR(IF('Invullen groen'!E48&gt;0,'Invullen groen'!G48,""),"")</f>
        <v/>
      </c>
      <c r="F35" s="364">
        <f>IFERROR(IF('Invullen groen'!L48&lt;&gt;0,'Invullen groen'!L48,""),"")</f>
        <v/>
      </c>
      <c r="G35" s="364">
        <f>IFERROR(IF('Invullen groen'!M48&lt;&gt;0,'Invullen groen'!M48,""),"")</f>
        <v/>
      </c>
      <c r="H35" s="364">
        <f>IFERROR(IF('Invullen groen'!N48&lt;&gt;0,'Invullen groen'!N48,""),"")</f>
        <v/>
      </c>
      <c r="I35" s="364">
        <f>IFERROR(IF('Invullen groen'!O48&lt;&gt;0,'Invullen groen'!O48,""),"")</f>
        <v/>
      </c>
    </row>
    <row r="36" ht="14" customHeight="1">
      <c r="A36" s="287">
        <f>IFERROR(IF('Invullen groen'!E49&gt;0,49-17,""),"")</f>
        <v/>
      </c>
      <c r="B36" s="287">
        <f>IFERROR(IF('Invullen groen'!E49&gt;0,'Invullen groen'!A49,""),"")</f>
        <v/>
      </c>
      <c r="C36" s="287">
        <f>IFERROR(IF('Invullen groen'!E49&gt;0,'Invullen groen'!C49,""),"")</f>
        <v/>
      </c>
      <c r="D36" s="287">
        <f>IFERROR(IF('Invullen groen'!E49&gt;0,'Invullen groen'!D49,""),"")</f>
        <v/>
      </c>
      <c r="E36" s="287">
        <f>IFERROR(IF('Invullen groen'!E49&gt;0,'Invullen groen'!G49,""),"")</f>
        <v/>
      </c>
      <c r="F36" s="364">
        <f>IFERROR(IF('Invullen groen'!L49&lt;&gt;0,'Invullen groen'!L49,""),"")</f>
        <v/>
      </c>
      <c r="G36" s="364">
        <f>IFERROR(IF('Invullen groen'!M49&lt;&gt;0,'Invullen groen'!M49,""),"")</f>
        <v/>
      </c>
      <c r="H36" s="364">
        <f>IFERROR(IF('Invullen groen'!N49&lt;&gt;0,'Invullen groen'!N49,""),"")</f>
        <v/>
      </c>
      <c r="I36" s="364">
        <f>IFERROR(IF('Invullen groen'!O49&lt;&gt;0,'Invullen groen'!O49,""),"")</f>
        <v/>
      </c>
    </row>
    <row r="37" ht="14" customHeight="1">
      <c r="A37" s="287">
        <f>IFERROR(IF('Invullen groen'!E50&gt;0,50-17,""),"")</f>
        <v/>
      </c>
      <c r="B37" s="287">
        <f>IFERROR(IF('Invullen groen'!E50&gt;0,'Invullen groen'!A50,""),"")</f>
        <v/>
      </c>
      <c r="C37" s="287">
        <f>IFERROR(IF('Invullen groen'!E50&gt;0,'Invullen groen'!C50,""),"")</f>
        <v/>
      </c>
      <c r="D37" s="287">
        <f>IFERROR(IF('Invullen groen'!E50&gt;0,'Invullen groen'!D50,""),"")</f>
        <v/>
      </c>
      <c r="E37" s="287">
        <f>IFERROR(IF('Invullen groen'!E50&gt;0,'Invullen groen'!G50,""),"")</f>
        <v/>
      </c>
      <c r="F37" s="364">
        <f>IFERROR(IF('Invullen groen'!L50&lt;&gt;0,'Invullen groen'!L50,""),"")</f>
        <v/>
      </c>
      <c r="G37" s="364">
        <f>IFERROR(IF('Invullen groen'!M50&lt;&gt;0,'Invullen groen'!M50,""),"")</f>
        <v/>
      </c>
      <c r="H37" s="364">
        <f>IFERROR(IF('Invullen groen'!N50&lt;&gt;0,'Invullen groen'!N50,""),"")</f>
        <v/>
      </c>
      <c r="I37" s="364">
        <f>IFERROR(IF('Invullen groen'!O50&lt;&gt;0,'Invullen groen'!O50,""),"")</f>
        <v/>
      </c>
    </row>
    <row r="38" ht="14" customHeight="1">
      <c r="A38" s="287">
        <f>IFERROR(IF('Invullen groen'!E51&gt;0,51-17,""),"")</f>
        <v/>
      </c>
      <c r="B38" s="287">
        <f>IFERROR(IF('Invullen groen'!E51&gt;0,'Invullen groen'!A51,""),"")</f>
        <v/>
      </c>
      <c r="C38" s="287">
        <f>IFERROR(IF('Invullen groen'!E51&gt;0,'Invullen groen'!C51,""),"")</f>
        <v/>
      </c>
      <c r="D38" s="287">
        <f>IFERROR(IF('Invullen groen'!E51&gt;0,'Invullen groen'!D51,""),"")</f>
        <v/>
      </c>
      <c r="E38" s="287">
        <f>IFERROR(IF('Invullen groen'!E51&gt;0,'Invullen groen'!G51,""),"")</f>
        <v/>
      </c>
      <c r="F38" s="364">
        <f>IFERROR(IF('Invullen groen'!L51&lt;&gt;0,'Invullen groen'!L51,""),"")</f>
        <v/>
      </c>
      <c r="G38" s="364">
        <f>IFERROR(IF('Invullen groen'!M51&lt;&gt;0,'Invullen groen'!M51,""),"")</f>
        <v/>
      </c>
      <c r="H38" s="364">
        <f>IFERROR(IF('Invullen groen'!N51&lt;&gt;0,'Invullen groen'!N51,""),"")</f>
        <v/>
      </c>
      <c r="I38" s="364">
        <f>IFERROR(IF('Invullen groen'!O51&lt;&gt;0,'Invullen groen'!O51,""),"")</f>
        <v/>
      </c>
    </row>
    <row r="39" ht="14" customHeight="1">
      <c r="A39" s="287">
        <f>IFERROR(IF('Invullen groen'!E52&gt;0,52-17,""),"")</f>
        <v/>
      </c>
      <c r="B39" s="287">
        <f>IFERROR(IF('Invullen groen'!E52&gt;0,'Invullen groen'!A52,""),"")</f>
        <v/>
      </c>
      <c r="C39" s="287">
        <f>IFERROR(IF('Invullen groen'!E52&gt;0,'Invullen groen'!C52,""),"")</f>
        <v/>
      </c>
      <c r="D39" s="287">
        <f>IFERROR(IF('Invullen groen'!E52&gt;0,'Invullen groen'!D52,""),"")</f>
        <v/>
      </c>
      <c r="E39" s="287">
        <f>IFERROR(IF('Invullen groen'!E52&gt;0,'Invullen groen'!G52,""),"")</f>
        <v/>
      </c>
      <c r="F39" s="364">
        <f>IFERROR(IF('Invullen groen'!L52&lt;&gt;0,'Invullen groen'!L52,""),"")</f>
        <v/>
      </c>
      <c r="G39" s="364">
        <f>IFERROR(IF('Invullen groen'!M52&lt;&gt;0,'Invullen groen'!M52,""),"")</f>
        <v/>
      </c>
      <c r="H39" s="364">
        <f>IFERROR(IF('Invullen groen'!N52&lt;&gt;0,'Invullen groen'!N52,""),"")</f>
        <v/>
      </c>
      <c r="I39" s="364">
        <f>IFERROR(IF('Invullen groen'!O52&lt;&gt;0,'Invullen groen'!O52,""),"")</f>
        <v/>
      </c>
    </row>
    <row r="40" ht="14" customHeight="1">
      <c r="A40" s="287">
        <f>IFERROR(IF('Invullen groen'!E53&gt;0,53-17,""),"")</f>
        <v/>
      </c>
      <c r="B40" s="287">
        <f>IFERROR(IF('Invullen groen'!E53&gt;0,'Invullen groen'!A53,""),"")</f>
        <v/>
      </c>
      <c r="C40" s="287">
        <f>IFERROR(IF('Invullen groen'!E53&gt;0,'Invullen groen'!C53,""),"")</f>
        <v/>
      </c>
      <c r="D40" s="287">
        <f>IFERROR(IF('Invullen groen'!E53&gt;0,'Invullen groen'!D53,""),"")</f>
        <v/>
      </c>
      <c r="E40" s="287">
        <f>IFERROR(IF('Invullen groen'!E53&gt;0,'Invullen groen'!G53,""),"")</f>
        <v/>
      </c>
      <c r="F40" s="364">
        <f>IFERROR(IF('Invullen groen'!L53&lt;&gt;0,'Invullen groen'!L53,""),"")</f>
        <v/>
      </c>
      <c r="G40" s="364">
        <f>IFERROR(IF('Invullen groen'!M53&lt;&gt;0,'Invullen groen'!M53,""),"")</f>
        <v/>
      </c>
      <c r="H40" s="364">
        <f>IFERROR(IF('Invullen groen'!N53&lt;&gt;0,'Invullen groen'!N53,""),"")</f>
        <v/>
      </c>
      <c r="I40" s="364">
        <f>IFERROR(IF('Invullen groen'!O53&lt;&gt;0,'Invullen groen'!O53,""),"")</f>
        <v/>
      </c>
    </row>
    <row r="41" ht="14" customHeight="1">
      <c r="A41" s="287">
        <f>IFERROR(IF('Invullen groen'!E54&gt;0,54-17,""),"")</f>
        <v/>
      </c>
      <c r="B41" s="287">
        <f>IFERROR(IF('Invullen groen'!E54&gt;0,'Invullen groen'!A54,""),"")</f>
        <v/>
      </c>
      <c r="C41" s="287">
        <f>IFERROR(IF('Invullen groen'!E54&gt;0,'Invullen groen'!C54,""),"")</f>
        <v/>
      </c>
      <c r="D41" s="287">
        <f>IFERROR(IF('Invullen groen'!E54&gt;0,'Invullen groen'!D54,""),"")</f>
        <v/>
      </c>
      <c r="E41" s="287">
        <f>IFERROR(IF('Invullen groen'!E54&gt;0,'Invullen groen'!G54,""),"")</f>
        <v/>
      </c>
      <c r="F41" s="364">
        <f>IFERROR(IF('Invullen groen'!L54&lt;&gt;0,'Invullen groen'!L54,""),"")</f>
        <v/>
      </c>
      <c r="G41" s="364">
        <f>IFERROR(IF('Invullen groen'!M54&lt;&gt;0,'Invullen groen'!M54,""),"")</f>
        <v/>
      </c>
      <c r="H41" s="364">
        <f>IFERROR(IF('Invullen groen'!N54&lt;&gt;0,'Invullen groen'!N54,""),"")</f>
        <v/>
      </c>
      <c r="I41" s="364">
        <f>IFERROR(IF('Invullen groen'!O54&lt;&gt;0,'Invullen groen'!O54,""),"")</f>
        <v/>
      </c>
    </row>
    <row r="42" ht="14" customHeight="1">
      <c r="A42" s="287">
        <f>IFERROR(IF('Invullen groen'!E55&gt;0,55-17,""),"")</f>
        <v/>
      </c>
      <c r="B42" s="287">
        <f>IFERROR(IF('Invullen groen'!E55&gt;0,'Invullen groen'!A55,""),"")</f>
        <v/>
      </c>
      <c r="C42" s="287">
        <f>IFERROR(IF('Invullen groen'!E55&gt;0,'Invullen groen'!C55,""),"")</f>
        <v/>
      </c>
      <c r="D42" s="287">
        <f>IFERROR(IF('Invullen groen'!E55&gt;0,'Invullen groen'!D55,""),"")</f>
        <v/>
      </c>
      <c r="E42" s="287">
        <f>IFERROR(IF('Invullen groen'!E55&gt;0,'Invullen groen'!G55,""),"")</f>
        <v/>
      </c>
      <c r="F42" s="364">
        <f>IFERROR(IF('Invullen groen'!L55&lt;&gt;0,'Invullen groen'!L55,""),"")</f>
        <v/>
      </c>
      <c r="G42" s="364">
        <f>IFERROR(IF('Invullen groen'!M55&lt;&gt;0,'Invullen groen'!M55,""),"")</f>
        <v/>
      </c>
      <c r="H42" s="364">
        <f>IFERROR(IF('Invullen groen'!N55&lt;&gt;0,'Invullen groen'!N55,""),"")</f>
        <v/>
      </c>
      <c r="I42" s="364">
        <f>IFERROR(IF('Invullen groen'!O55&lt;&gt;0,'Invullen groen'!O55,""),"")</f>
        <v/>
      </c>
    </row>
    <row r="43" ht="14" customHeight="1">
      <c r="A43" s="287">
        <f>IFERROR(IF('Invullen groen'!E56&gt;0,56-17,""),"")</f>
        <v/>
      </c>
      <c r="B43" s="287">
        <f>IFERROR(IF('Invullen groen'!E56&gt;0,'Invullen groen'!A56,""),"")</f>
        <v/>
      </c>
      <c r="C43" s="287">
        <f>IFERROR(IF('Invullen groen'!E56&gt;0,'Invullen groen'!C56,""),"")</f>
        <v/>
      </c>
      <c r="D43" s="287">
        <f>IFERROR(IF('Invullen groen'!E56&gt;0,'Invullen groen'!D56,""),"")</f>
        <v/>
      </c>
      <c r="E43" s="287">
        <f>IFERROR(IF('Invullen groen'!E56&gt;0,'Invullen groen'!G56,""),"")</f>
        <v/>
      </c>
      <c r="F43" s="364">
        <f>IFERROR(IF('Invullen groen'!L56&lt;&gt;0,'Invullen groen'!L56,""),"")</f>
        <v/>
      </c>
      <c r="G43" s="364">
        <f>IFERROR(IF('Invullen groen'!M56&lt;&gt;0,'Invullen groen'!M56,""),"")</f>
        <v/>
      </c>
      <c r="H43" s="364">
        <f>IFERROR(IF('Invullen groen'!N56&lt;&gt;0,'Invullen groen'!N56,""),"")</f>
        <v/>
      </c>
      <c r="I43" s="364">
        <f>IFERROR(IF('Invullen groen'!O56&lt;&gt;0,'Invullen groen'!O56,""),"")</f>
        <v/>
      </c>
    </row>
    <row r="44" ht="14" customHeight="1">
      <c r="A44" s="287">
        <f>IFERROR(IF('Invullen groen'!E57&gt;0,57-17,""),"")</f>
        <v/>
      </c>
      <c r="B44" s="287">
        <f>IFERROR(IF('Invullen groen'!E57&gt;0,'Invullen groen'!A57,""),"")</f>
        <v/>
      </c>
      <c r="C44" s="287">
        <f>IFERROR(IF('Invullen groen'!E57&gt;0,'Invullen groen'!C57,""),"")</f>
        <v/>
      </c>
      <c r="D44" s="287">
        <f>IFERROR(IF('Invullen groen'!E57&gt;0,'Invullen groen'!D57,""),"")</f>
        <v/>
      </c>
      <c r="E44" s="287">
        <f>IFERROR(IF('Invullen groen'!E57&gt;0,'Invullen groen'!G57,""),"")</f>
        <v/>
      </c>
      <c r="F44" s="364">
        <f>IFERROR(IF('Invullen groen'!L57&lt;&gt;0,'Invullen groen'!L57,""),"")</f>
        <v/>
      </c>
      <c r="G44" s="364">
        <f>IFERROR(IF('Invullen groen'!M57&lt;&gt;0,'Invullen groen'!M57,""),"")</f>
        <v/>
      </c>
      <c r="H44" s="364">
        <f>IFERROR(IF('Invullen groen'!N57&lt;&gt;0,'Invullen groen'!N57,""),"")</f>
        <v/>
      </c>
      <c r="I44" s="364">
        <f>IFERROR(IF('Invullen groen'!O57&lt;&gt;0,'Invullen groen'!O57,""),"")</f>
        <v/>
      </c>
    </row>
    <row r="45" ht="14" customHeight="1">
      <c r="A45" s="287">
        <f>IFERROR(IF('Invullen groen'!E58&gt;0,58-17,""),"")</f>
        <v/>
      </c>
      <c r="B45" s="287">
        <f>IFERROR(IF('Invullen groen'!E58&gt;0,'Invullen groen'!A58,""),"")</f>
        <v/>
      </c>
      <c r="C45" s="287">
        <f>IFERROR(IF('Invullen groen'!E58&gt;0,'Invullen groen'!C58,""),"")</f>
        <v/>
      </c>
      <c r="D45" s="287">
        <f>IFERROR(IF('Invullen groen'!E58&gt;0,'Invullen groen'!D58,""),"")</f>
        <v/>
      </c>
      <c r="E45" s="287">
        <f>IFERROR(IF('Invullen groen'!E58&gt;0,'Invullen groen'!G58,""),"")</f>
        <v/>
      </c>
      <c r="F45" s="364">
        <f>IFERROR(IF('Invullen groen'!L58&lt;&gt;0,'Invullen groen'!L58,""),"")</f>
        <v/>
      </c>
      <c r="G45" s="364">
        <f>IFERROR(IF('Invullen groen'!M58&lt;&gt;0,'Invullen groen'!M58,""),"")</f>
        <v/>
      </c>
      <c r="H45" s="364">
        <f>IFERROR(IF('Invullen groen'!N58&lt;&gt;0,'Invullen groen'!N58,""),"")</f>
        <v/>
      </c>
      <c r="I45" s="364">
        <f>IFERROR(IF('Invullen groen'!O58&lt;&gt;0,'Invullen groen'!O58,""),"")</f>
        <v/>
      </c>
    </row>
    <row r="46" ht="14" customHeight="1">
      <c r="A46" s="287">
        <f>IFERROR(IF('Invullen groen'!E59&gt;0,59-17,""),"")</f>
        <v/>
      </c>
      <c r="B46" s="287">
        <f>IFERROR(IF('Invullen groen'!E59&gt;0,'Invullen groen'!A59,""),"")</f>
        <v/>
      </c>
      <c r="C46" s="287">
        <f>IFERROR(IF('Invullen groen'!E59&gt;0,'Invullen groen'!C59,""),"")</f>
        <v/>
      </c>
      <c r="D46" s="287">
        <f>IFERROR(IF('Invullen groen'!E59&gt;0,'Invullen groen'!D59,""),"")</f>
        <v/>
      </c>
      <c r="E46" s="287">
        <f>IFERROR(IF('Invullen groen'!E59&gt;0,'Invullen groen'!G59,""),"")</f>
        <v/>
      </c>
      <c r="F46" s="364">
        <f>IFERROR(IF('Invullen groen'!L59&lt;&gt;0,'Invullen groen'!L59,""),"")</f>
        <v/>
      </c>
      <c r="G46" s="364">
        <f>IFERROR(IF('Invullen groen'!M59&lt;&gt;0,'Invullen groen'!M59,""),"")</f>
        <v/>
      </c>
      <c r="H46" s="364">
        <f>IFERROR(IF('Invullen groen'!N59&lt;&gt;0,'Invullen groen'!N59,""),"")</f>
        <v/>
      </c>
      <c r="I46" s="364">
        <f>IFERROR(IF('Invullen groen'!O59&lt;&gt;0,'Invullen groen'!O59,""),"")</f>
        <v/>
      </c>
    </row>
    <row r="47" ht="14" customHeight="1">
      <c r="A47" s="287">
        <f>IFERROR(IF('Invullen groen'!E60&gt;0,60-17,""),"")</f>
        <v/>
      </c>
      <c r="B47" s="287">
        <f>IFERROR(IF('Invullen groen'!E60&gt;0,'Invullen groen'!A60,""),"")</f>
        <v/>
      </c>
      <c r="C47" s="287">
        <f>IFERROR(IF('Invullen groen'!E60&gt;0,'Invullen groen'!C60,""),"")</f>
        <v/>
      </c>
      <c r="D47" s="287">
        <f>IFERROR(IF('Invullen groen'!E60&gt;0,'Invullen groen'!D60,""),"")</f>
        <v/>
      </c>
      <c r="E47" s="287">
        <f>IFERROR(IF('Invullen groen'!E60&gt;0,'Invullen groen'!G60,""),"")</f>
        <v/>
      </c>
      <c r="F47" s="364">
        <f>IFERROR(IF('Invullen groen'!L60&lt;&gt;0,'Invullen groen'!L60,""),"")</f>
        <v/>
      </c>
      <c r="G47" s="364">
        <f>IFERROR(IF('Invullen groen'!M60&lt;&gt;0,'Invullen groen'!M60,""),"")</f>
        <v/>
      </c>
      <c r="H47" s="364">
        <f>IFERROR(IF('Invullen groen'!N60&lt;&gt;0,'Invullen groen'!N60,""),"")</f>
        <v/>
      </c>
      <c r="I47" s="364">
        <f>IFERROR(IF('Invullen groen'!O60&lt;&gt;0,'Invullen groen'!O60,""),"")</f>
        <v/>
      </c>
    </row>
    <row r="48" ht="14" customHeight="1">
      <c r="A48" s="287">
        <f>IFERROR(IF('Invullen groen'!E61&gt;0,61-17,""),"")</f>
        <v/>
      </c>
      <c r="B48" s="287">
        <f>IFERROR(IF('Invullen groen'!E61&gt;0,'Invullen groen'!A61,""),"")</f>
        <v/>
      </c>
      <c r="C48" s="287">
        <f>IFERROR(IF('Invullen groen'!E61&gt;0,'Invullen groen'!C61,""),"")</f>
        <v/>
      </c>
      <c r="D48" s="287">
        <f>IFERROR(IF('Invullen groen'!E61&gt;0,'Invullen groen'!D61,""),"")</f>
        <v/>
      </c>
      <c r="E48" s="287">
        <f>IFERROR(IF('Invullen groen'!E61&gt;0,'Invullen groen'!G61,""),"")</f>
        <v/>
      </c>
      <c r="F48" s="364">
        <f>IFERROR(IF('Invullen groen'!L61&lt;&gt;0,'Invullen groen'!L61,""),"")</f>
        <v/>
      </c>
      <c r="G48" s="364">
        <f>IFERROR(IF('Invullen groen'!M61&lt;&gt;0,'Invullen groen'!M61,""),"")</f>
        <v/>
      </c>
      <c r="H48" s="364">
        <f>IFERROR(IF('Invullen groen'!N61&lt;&gt;0,'Invullen groen'!N61,""),"")</f>
        <v/>
      </c>
      <c r="I48" s="364">
        <f>IFERROR(IF('Invullen groen'!O61&lt;&gt;0,'Invullen groen'!O61,""),"")</f>
        <v/>
      </c>
    </row>
    <row r="49" ht="14" customHeight="1">
      <c r="A49" s="287">
        <f>IFERROR(IF('Invullen groen'!E62&gt;0,62-17,""),"")</f>
        <v/>
      </c>
      <c r="B49" s="287">
        <f>IFERROR(IF('Invullen groen'!E62&gt;0,'Invullen groen'!A62,""),"")</f>
        <v/>
      </c>
      <c r="C49" s="287">
        <f>IFERROR(IF('Invullen groen'!E62&gt;0,'Invullen groen'!C62,""),"")</f>
        <v/>
      </c>
      <c r="D49" s="287">
        <f>IFERROR(IF('Invullen groen'!E62&gt;0,'Invullen groen'!D62,""),"")</f>
        <v/>
      </c>
      <c r="E49" s="287">
        <f>IFERROR(IF('Invullen groen'!E62&gt;0,'Invullen groen'!G62,""),"")</f>
        <v/>
      </c>
      <c r="F49" s="364">
        <f>IFERROR(IF('Invullen groen'!L62&lt;&gt;0,'Invullen groen'!L62,""),"")</f>
        <v/>
      </c>
      <c r="G49" s="364">
        <f>IFERROR(IF('Invullen groen'!M62&lt;&gt;0,'Invullen groen'!M62,""),"")</f>
        <v/>
      </c>
      <c r="H49" s="364">
        <f>IFERROR(IF('Invullen groen'!N62&lt;&gt;0,'Invullen groen'!N62,""),"")</f>
        <v/>
      </c>
      <c r="I49" s="364">
        <f>IFERROR(IF('Invullen groen'!O62&lt;&gt;0,'Invullen groen'!O62,""),"")</f>
        <v/>
      </c>
    </row>
    <row r="50" ht="14" customHeight="1">
      <c r="A50" s="287">
        <f>IFERROR(IF('Invullen groen'!E63&gt;0,63-17,""),"")</f>
        <v/>
      </c>
      <c r="B50" s="287">
        <f>IFERROR(IF('Invullen groen'!E63&gt;0,'Invullen groen'!A63,""),"")</f>
        <v/>
      </c>
      <c r="C50" s="287">
        <f>IFERROR(IF('Invullen groen'!E63&gt;0,'Invullen groen'!C63,""),"")</f>
        <v/>
      </c>
      <c r="D50" s="287">
        <f>IFERROR(IF('Invullen groen'!E63&gt;0,'Invullen groen'!D63,""),"")</f>
        <v/>
      </c>
      <c r="E50" s="287">
        <f>IFERROR(IF('Invullen groen'!E63&gt;0,'Invullen groen'!G63,""),"")</f>
        <v/>
      </c>
      <c r="F50" s="364">
        <f>IFERROR(IF('Invullen groen'!L63&lt;&gt;0,'Invullen groen'!L63,""),"")</f>
        <v/>
      </c>
      <c r="G50" s="364">
        <f>IFERROR(IF('Invullen groen'!M63&lt;&gt;0,'Invullen groen'!M63,""),"")</f>
        <v/>
      </c>
      <c r="H50" s="364">
        <f>IFERROR(IF('Invullen groen'!N63&lt;&gt;0,'Invullen groen'!N63,""),"")</f>
        <v/>
      </c>
      <c r="I50" s="364">
        <f>IFERROR(IF('Invullen groen'!O63&lt;&gt;0,'Invullen groen'!O63,""),"")</f>
        <v/>
      </c>
    </row>
    <row r="51" ht="14" customHeight="1">
      <c r="A51" s="287">
        <f>IFERROR(IF('Invullen groen'!E64&gt;0,64-17,""),"")</f>
        <v/>
      </c>
      <c r="B51" s="287">
        <f>IFERROR(IF('Invullen groen'!E64&gt;0,'Invullen groen'!A64,""),"")</f>
        <v/>
      </c>
      <c r="C51" s="287">
        <f>IFERROR(IF('Invullen groen'!E64&gt;0,'Invullen groen'!C64,""),"")</f>
        <v/>
      </c>
      <c r="D51" s="287">
        <f>IFERROR(IF('Invullen groen'!E64&gt;0,'Invullen groen'!D64,""),"")</f>
        <v/>
      </c>
      <c r="E51" s="287">
        <f>IFERROR(IF('Invullen groen'!E64&gt;0,'Invullen groen'!G64,""),"")</f>
        <v/>
      </c>
      <c r="F51" s="364">
        <f>IFERROR(IF('Invullen groen'!L64&lt;&gt;0,'Invullen groen'!L64,""),"")</f>
        <v/>
      </c>
      <c r="G51" s="364">
        <f>IFERROR(IF('Invullen groen'!M64&lt;&gt;0,'Invullen groen'!M64,""),"")</f>
        <v/>
      </c>
      <c r="H51" s="364">
        <f>IFERROR(IF('Invullen groen'!N64&lt;&gt;0,'Invullen groen'!N64,""),"")</f>
        <v/>
      </c>
      <c r="I51" s="364">
        <f>IFERROR(IF('Invullen groen'!O64&lt;&gt;0,'Invullen groen'!O64,""),"")</f>
        <v/>
      </c>
    </row>
    <row r="52" ht="14" customHeight="1">
      <c r="A52" s="287">
        <f>IFERROR(IF('Invullen groen'!E65&gt;0,65-17,""),"")</f>
        <v/>
      </c>
      <c r="B52" s="287">
        <f>IFERROR(IF('Invullen groen'!E65&gt;0,'Invullen groen'!A65,""),"")</f>
        <v/>
      </c>
      <c r="C52" s="287">
        <f>IFERROR(IF('Invullen groen'!E65&gt;0,'Invullen groen'!C65,""),"")</f>
        <v/>
      </c>
      <c r="D52" s="287">
        <f>IFERROR(IF('Invullen groen'!E65&gt;0,'Invullen groen'!D65,""),"")</f>
        <v/>
      </c>
      <c r="E52" s="287">
        <f>IFERROR(IF('Invullen groen'!E65&gt;0,'Invullen groen'!G65,""),"")</f>
        <v/>
      </c>
      <c r="F52" s="364">
        <f>IFERROR(IF('Invullen groen'!L65&lt;&gt;0,'Invullen groen'!L65,""),"")</f>
        <v/>
      </c>
      <c r="G52" s="364">
        <f>IFERROR(IF('Invullen groen'!M65&lt;&gt;0,'Invullen groen'!M65,""),"")</f>
        <v/>
      </c>
      <c r="H52" s="364">
        <f>IFERROR(IF('Invullen groen'!N65&lt;&gt;0,'Invullen groen'!N65,""),"")</f>
        <v/>
      </c>
      <c r="I52" s="364">
        <f>IFERROR(IF('Invullen groen'!O65&lt;&gt;0,'Invullen groen'!O65,""),"")</f>
        <v/>
      </c>
    </row>
    <row r="53" ht="14" customHeight="1">
      <c r="A53" s="287">
        <f>IFERROR(IF('Invullen groen'!E66&gt;0,66-17,""),"")</f>
        <v/>
      </c>
      <c r="B53" s="287">
        <f>IFERROR(IF('Invullen groen'!E66&gt;0,'Invullen groen'!A66,""),"")</f>
        <v/>
      </c>
      <c r="C53" s="287">
        <f>IFERROR(IF('Invullen groen'!E66&gt;0,'Invullen groen'!C66,""),"")</f>
        <v/>
      </c>
      <c r="D53" s="287">
        <f>IFERROR(IF('Invullen groen'!E66&gt;0,'Invullen groen'!D66,""),"")</f>
        <v/>
      </c>
      <c r="E53" s="287">
        <f>IFERROR(IF('Invullen groen'!E66&gt;0,'Invullen groen'!G66,""),"")</f>
        <v/>
      </c>
      <c r="F53" s="364">
        <f>IFERROR(IF('Invullen groen'!L66&lt;&gt;0,'Invullen groen'!L66,""),"")</f>
        <v/>
      </c>
      <c r="G53" s="364">
        <f>IFERROR(IF('Invullen groen'!M66&lt;&gt;0,'Invullen groen'!M66,""),"")</f>
        <v/>
      </c>
      <c r="H53" s="364">
        <f>IFERROR(IF('Invullen groen'!N66&lt;&gt;0,'Invullen groen'!N66,""),"")</f>
        <v/>
      </c>
      <c r="I53" s="364">
        <f>IFERROR(IF('Invullen groen'!O66&lt;&gt;0,'Invullen groen'!O66,""),"")</f>
        <v/>
      </c>
    </row>
    <row r="54" ht="14" customHeight="1">
      <c r="A54" s="287">
        <f>IFERROR(IF('Invullen groen'!E67&gt;0,67-17,""),"")</f>
        <v/>
      </c>
      <c r="B54" s="287">
        <f>IFERROR(IF('Invullen groen'!E67&gt;0,'Invullen groen'!A67,""),"")</f>
        <v/>
      </c>
      <c r="C54" s="287">
        <f>IFERROR(IF('Invullen groen'!E67&gt;0,'Invullen groen'!C67,""),"")</f>
        <v/>
      </c>
      <c r="D54" s="287">
        <f>IFERROR(IF('Invullen groen'!E67&gt;0,'Invullen groen'!D67,""),"")</f>
        <v/>
      </c>
      <c r="E54" s="287">
        <f>IFERROR(IF('Invullen groen'!E67&gt;0,'Invullen groen'!G67,""),"")</f>
        <v/>
      </c>
      <c r="F54" s="364">
        <f>IFERROR(IF('Invullen groen'!L67&lt;&gt;0,'Invullen groen'!L67,""),"")</f>
        <v/>
      </c>
      <c r="G54" s="364">
        <f>IFERROR(IF('Invullen groen'!M67&lt;&gt;0,'Invullen groen'!M67,""),"")</f>
        <v/>
      </c>
      <c r="H54" s="364">
        <f>IFERROR(IF('Invullen groen'!N67&lt;&gt;0,'Invullen groen'!N67,""),"")</f>
        <v/>
      </c>
      <c r="I54" s="364">
        <f>IFERROR(IF('Invullen groen'!O67&lt;&gt;0,'Invullen groen'!O67,""),"")</f>
        <v/>
      </c>
    </row>
    <row r="55" ht="14" customHeight="1">
      <c r="A55" s="287">
        <f>IFERROR(IF('Invullen groen'!E68&gt;0,68-17,""),"")</f>
        <v/>
      </c>
      <c r="B55" s="287">
        <f>IFERROR(IF('Invullen groen'!E68&gt;0,'Invullen groen'!A68,""),"")</f>
        <v/>
      </c>
      <c r="C55" s="287">
        <f>IFERROR(IF('Invullen groen'!E68&gt;0,'Invullen groen'!C68,""),"")</f>
        <v/>
      </c>
      <c r="D55" s="287">
        <f>IFERROR(IF('Invullen groen'!E68&gt;0,'Invullen groen'!D68,""),"")</f>
        <v/>
      </c>
      <c r="E55" s="287">
        <f>IFERROR(IF('Invullen groen'!E68&gt;0,'Invullen groen'!G68,""),"")</f>
        <v/>
      </c>
      <c r="F55" s="364">
        <f>IFERROR(IF('Invullen groen'!L68&lt;&gt;0,'Invullen groen'!L68,""),"")</f>
        <v/>
      </c>
      <c r="G55" s="364">
        <f>IFERROR(IF('Invullen groen'!M68&lt;&gt;0,'Invullen groen'!M68,""),"")</f>
        <v/>
      </c>
      <c r="H55" s="364">
        <f>IFERROR(IF('Invullen groen'!N68&lt;&gt;0,'Invullen groen'!N68,""),"")</f>
        <v/>
      </c>
      <c r="I55" s="364">
        <f>IFERROR(IF('Invullen groen'!O68&lt;&gt;0,'Invullen groen'!O68,""),"")</f>
        <v/>
      </c>
    </row>
    <row r="56" ht="14" customHeight="1">
      <c r="A56" s="287">
        <f>IFERROR(IF('Invullen groen'!E69&gt;0,69-17,""),"")</f>
        <v/>
      </c>
      <c r="B56" s="287">
        <f>IFERROR(IF('Invullen groen'!E69&gt;0,'Invullen groen'!A69,""),"")</f>
        <v/>
      </c>
      <c r="C56" s="287">
        <f>IFERROR(IF('Invullen groen'!E69&gt;0,'Invullen groen'!C69,""),"")</f>
        <v/>
      </c>
      <c r="D56" s="287">
        <f>IFERROR(IF('Invullen groen'!E69&gt;0,'Invullen groen'!D69,""),"")</f>
        <v/>
      </c>
      <c r="E56" s="287">
        <f>IFERROR(IF('Invullen groen'!E69&gt;0,'Invullen groen'!G69,""),"")</f>
        <v/>
      </c>
      <c r="F56" s="364">
        <f>IFERROR(IF('Invullen groen'!L69&lt;&gt;0,'Invullen groen'!L69,""),"")</f>
        <v/>
      </c>
      <c r="G56" s="364">
        <f>IFERROR(IF('Invullen groen'!M69&lt;&gt;0,'Invullen groen'!M69,""),"")</f>
        <v/>
      </c>
      <c r="H56" s="364">
        <f>IFERROR(IF('Invullen groen'!N69&lt;&gt;0,'Invullen groen'!N69,""),"")</f>
        <v/>
      </c>
      <c r="I56" s="364">
        <f>IFERROR(IF('Invullen groen'!O69&lt;&gt;0,'Invullen groen'!O69,""),"")</f>
        <v/>
      </c>
    </row>
    <row r="57" ht="14" customHeight="1">
      <c r="A57" s="287">
        <f>IFERROR(IF('Invullen groen'!E70&gt;0,70-17,""),"")</f>
        <v/>
      </c>
      <c r="B57" s="287">
        <f>IFERROR(IF('Invullen groen'!E70&gt;0,'Invullen groen'!A70,""),"")</f>
        <v/>
      </c>
      <c r="C57" s="287">
        <f>IFERROR(IF('Invullen groen'!E70&gt;0,'Invullen groen'!C70,""),"")</f>
        <v/>
      </c>
      <c r="D57" s="287">
        <f>IFERROR(IF('Invullen groen'!E70&gt;0,'Invullen groen'!D70,""),"")</f>
        <v/>
      </c>
      <c r="E57" s="287">
        <f>IFERROR(IF('Invullen groen'!E70&gt;0,'Invullen groen'!G70,""),"")</f>
        <v/>
      </c>
      <c r="F57" s="364">
        <f>IFERROR(IF('Invullen groen'!L70&lt;&gt;0,'Invullen groen'!L70,""),"")</f>
        <v/>
      </c>
      <c r="G57" s="364">
        <f>IFERROR(IF('Invullen groen'!M70&lt;&gt;0,'Invullen groen'!M70,""),"")</f>
        <v/>
      </c>
      <c r="H57" s="364">
        <f>IFERROR(IF('Invullen groen'!N70&lt;&gt;0,'Invullen groen'!N70,""),"")</f>
        <v/>
      </c>
      <c r="I57" s="364">
        <f>IFERROR(IF('Invullen groen'!O70&lt;&gt;0,'Invullen groen'!O70,""),"")</f>
        <v/>
      </c>
    </row>
    <row r="58" ht="14" customHeight="1">
      <c r="A58" s="287">
        <f>IFERROR(IF('Invullen groen'!E71&gt;0,71-17,""),"")</f>
        <v/>
      </c>
      <c r="B58" s="287">
        <f>IFERROR(IF('Invullen groen'!E71&gt;0,'Invullen groen'!A71,""),"")</f>
        <v/>
      </c>
      <c r="C58" s="287">
        <f>IFERROR(IF('Invullen groen'!E71&gt;0,'Invullen groen'!C71,""),"")</f>
        <v/>
      </c>
      <c r="D58" s="287">
        <f>IFERROR(IF('Invullen groen'!E71&gt;0,'Invullen groen'!D71,""),"")</f>
        <v/>
      </c>
      <c r="E58" s="287">
        <f>IFERROR(IF('Invullen groen'!E71&gt;0,'Invullen groen'!G71,""),"")</f>
        <v/>
      </c>
      <c r="F58" s="364">
        <f>IFERROR(IF('Invullen groen'!L71&lt;&gt;0,'Invullen groen'!L71,""),"")</f>
        <v/>
      </c>
      <c r="G58" s="364">
        <f>IFERROR(IF('Invullen groen'!M71&lt;&gt;0,'Invullen groen'!M71,""),"")</f>
        <v/>
      </c>
      <c r="H58" s="364">
        <f>IFERROR(IF('Invullen groen'!N71&lt;&gt;0,'Invullen groen'!N71,""),"")</f>
        <v/>
      </c>
      <c r="I58" s="364">
        <f>IFERROR(IF('Invullen groen'!O71&lt;&gt;0,'Invullen groen'!O71,""),"")</f>
        <v/>
      </c>
    </row>
    <row r="59" ht="14" customHeight="1">
      <c r="A59" s="287">
        <f>IFERROR(IF('Invullen groen'!E72&gt;0,72-17,""),"")</f>
        <v/>
      </c>
      <c r="B59" s="287">
        <f>IFERROR(IF('Invullen groen'!E72&gt;0,'Invullen groen'!A72,""),"")</f>
        <v/>
      </c>
      <c r="C59" s="287">
        <f>IFERROR(IF('Invullen groen'!E72&gt;0,'Invullen groen'!C72,""),"")</f>
        <v/>
      </c>
      <c r="D59" s="287">
        <f>IFERROR(IF('Invullen groen'!E72&gt;0,'Invullen groen'!D72,""),"")</f>
        <v/>
      </c>
      <c r="E59" s="287">
        <f>IFERROR(IF('Invullen groen'!E72&gt;0,'Invullen groen'!G72,""),"")</f>
        <v/>
      </c>
      <c r="F59" s="364">
        <f>IFERROR(IF('Invullen groen'!L72&lt;&gt;0,'Invullen groen'!L72,""),"")</f>
        <v/>
      </c>
      <c r="G59" s="364">
        <f>IFERROR(IF('Invullen groen'!M72&lt;&gt;0,'Invullen groen'!M72,""),"")</f>
        <v/>
      </c>
      <c r="H59" s="364">
        <f>IFERROR(IF('Invullen groen'!N72&lt;&gt;0,'Invullen groen'!N72,""),"")</f>
        <v/>
      </c>
      <c r="I59" s="364">
        <f>IFERROR(IF('Invullen groen'!O72&lt;&gt;0,'Invullen groen'!O72,""),"")</f>
        <v/>
      </c>
    </row>
    <row r="60" ht="14" customHeight="1">
      <c r="A60" s="287">
        <f>IFERROR(IF('Invullen groen'!E73&gt;0,73-17,""),"")</f>
        <v/>
      </c>
      <c r="B60" s="287">
        <f>IFERROR(IF('Invullen groen'!E73&gt;0,'Invullen groen'!A73,""),"")</f>
        <v/>
      </c>
      <c r="C60" s="287">
        <f>IFERROR(IF('Invullen groen'!E73&gt;0,'Invullen groen'!C73,""),"")</f>
        <v/>
      </c>
      <c r="D60" s="287">
        <f>IFERROR(IF('Invullen groen'!E73&gt;0,'Invullen groen'!D73,""),"")</f>
        <v/>
      </c>
      <c r="E60" s="287">
        <f>IFERROR(IF('Invullen groen'!E73&gt;0,'Invullen groen'!G73,""),"")</f>
        <v/>
      </c>
      <c r="F60" s="364">
        <f>IFERROR(IF('Invullen groen'!L73&lt;&gt;0,'Invullen groen'!L73,""),"")</f>
        <v/>
      </c>
      <c r="G60" s="364">
        <f>IFERROR(IF('Invullen groen'!M73&lt;&gt;0,'Invullen groen'!M73,""),"")</f>
        <v/>
      </c>
      <c r="H60" s="364">
        <f>IFERROR(IF('Invullen groen'!N73&lt;&gt;0,'Invullen groen'!N73,""),"")</f>
        <v/>
      </c>
      <c r="I60" s="364">
        <f>IFERROR(IF('Invullen groen'!O73&lt;&gt;0,'Invullen groen'!O73,""),"")</f>
        <v/>
      </c>
    </row>
    <row r="61" ht="14" customHeight="1">
      <c r="A61" s="287">
        <f>IFERROR(IF('Invullen groen'!E74&gt;0,74-17,""),"")</f>
        <v/>
      </c>
      <c r="B61" s="287">
        <f>IFERROR(IF('Invullen groen'!E74&gt;0,'Invullen groen'!A74,""),"")</f>
        <v/>
      </c>
      <c r="C61" s="287">
        <f>IFERROR(IF('Invullen groen'!E74&gt;0,'Invullen groen'!C74,""),"")</f>
        <v/>
      </c>
      <c r="D61" s="287">
        <f>IFERROR(IF('Invullen groen'!E74&gt;0,'Invullen groen'!D74,""),"")</f>
        <v/>
      </c>
      <c r="E61" s="287">
        <f>IFERROR(IF('Invullen groen'!E74&gt;0,'Invullen groen'!G74,""),"")</f>
        <v/>
      </c>
      <c r="F61" s="364">
        <f>IFERROR(IF('Invullen groen'!L74&lt;&gt;0,'Invullen groen'!L74,""),"")</f>
        <v/>
      </c>
      <c r="G61" s="364">
        <f>IFERROR(IF('Invullen groen'!M74&lt;&gt;0,'Invullen groen'!M74,""),"")</f>
        <v/>
      </c>
      <c r="H61" s="364">
        <f>IFERROR(IF('Invullen groen'!N74&lt;&gt;0,'Invullen groen'!N74,""),"")</f>
        <v/>
      </c>
      <c r="I61" s="364">
        <f>IFERROR(IF('Invullen groen'!O74&lt;&gt;0,'Invullen groen'!O74,""),"")</f>
        <v/>
      </c>
    </row>
    <row r="62" ht="14" customHeight="1">
      <c r="A62" s="287">
        <f>IFERROR(IF('Invullen groen'!E75&gt;0,75-17,""),"")</f>
        <v/>
      </c>
      <c r="B62" s="287">
        <f>IFERROR(IF('Invullen groen'!E75&gt;0,'Invullen groen'!A75,""),"")</f>
        <v/>
      </c>
      <c r="C62" s="287">
        <f>IFERROR(IF('Invullen groen'!E75&gt;0,'Invullen groen'!C75,""),"")</f>
        <v/>
      </c>
      <c r="D62" s="287">
        <f>IFERROR(IF('Invullen groen'!E75&gt;0,'Invullen groen'!D75,""),"")</f>
        <v/>
      </c>
      <c r="E62" s="287">
        <f>IFERROR(IF('Invullen groen'!E75&gt;0,'Invullen groen'!G75,""),"")</f>
        <v/>
      </c>
      <c r="F62" s="364">
        <f>IFERROR(IF('Invullen groen'!L75&lt;&gt;0,'Invullen groen'!L75,""),"")</f>
        <v/>
      </c>
      <c r="G62" s="364">
        <f>IFERROR(IF('Invullen groen'!M75&lt;&gt;0,'Invullen groen'!M75,""),"")</f>
        <v/>
      </c>
      <c r="H62" s="364">
        <f>IFERROR(IF('Invullen groen'!N75&lt;&gt;0,'Invullen groen'!N75,""),"")</f>
        <v/>
      </c>
      <c r="I62" s="364">
        <f>IFERROR(IF('Invullen groen'!O75&lt;&gt;0,'Invullen groen'!O75,""),"")</f>
        <v/>
      </c>
    </row>
    <row r="63" ht="14" customHeight="1">
      <c r="A63" s="287">
        <f>IFERROR(IF('Invullen groen'!E76&gt;0,76-17,""),"")</f>
        <v/>
      </c>
      <c r="B63" s="287">
        <f>IFERROR(IF('Invullen groen'!E76&gt;0,'Invullen groen'!A76,""),"")</f>
        <v/>
      </c>
      <c r="C63" s="287">
        <f>IFERROR(IF('Invullen groen'!E76&gt;0,'Invullen groen'!C76,""),"")</f>
        <v/>
      </c>
      <c r="D63" s="287">
        <f>IFERROR(IF('Invullen groen'!E76&gt;0,'Invullen groen'!D76,""),"")</f>
        <v/>
      </c>
      <c r="E63" s="287">
        <f>IFERROR(IF('Invullen groen'!E76&gt;0,'Invullen groen'!G76,""),"")</f>
        <v/>
      </c>
      <c r="F63" s="364">
        <f>IFERROR(IF('Invullen groen'!L76&lt;&gt;0,'Invullen groen'!L76,""),"")</f>
        <v/>
      </c>
      <c r="G63" s="364">
        <f>IFERROR(IF('Invullen groen'!M76&lt;&gt;0,'Invullen groen'!M76,""),"")</f>
        <v/>
      </c>
      <c r="H63" s="364">
        <f>IFERROR(IF('Invullen groen'!N76&lt;&gt;0,'Invullen groen'!N76,""),"")</f>
        <v/>
      </c>
      <c r="I63" s="364">
        <f>IFERROR(IF('Invullen groen'!O76&lt;&gt;0,'Invullen groen'!O76,""),"")</f>
        <v/>
      </c>
    </row>
    <row r="64" ht="14" customHeight="1">
      <c r="A64" s="287">
        <f>IFERROR(IF('Invullen groen'!E77&gt;0,77-17,""),"")</f>
        <v/>
      </c>
      <c r="B64" s="287">
        <f>IFERROR(IF('Invullen groen'!E77&gt;0,'Invullen groen'!A77,""),"")</f>
        <v/>
      </c>
      <c r="C64" s="287">
        <f>IFERROR(IF('Invullen groen'!E77&gt;0,'Invullen groen'!C77,""),"")</f>
        <v/>
      </c>
      <c r="D64" s="287">
        <f>IFERROR(IF('Invullen groen'!E77&gt;0,'Invullen groen'!D77,""),"")</f>
        <v/>
      </c>
      <c r="E64" s="287">
        <f>IFERROR(IF('Invullen groen'!E77&gt;0,'Invullen groen'!G77,""),"")</f>
        <v/>
      </c>
      <c r="F64" s="364">
        <f>IFERROR(IF('Invullen groen'!L77&lt;&gt;0,'Invullen groen'!L77,""),"")</f>
        <v/>
      </c>
      <c r="G64" s="364">
        <f>IFERROR(IF('Invullen groen'!M77&lt;&gt;0,'Invullen groen'!M77,""),"")</f>
        <v/>
      </c>
      <c r="H64" s="364">
        <f>IFERROR(IF('Invullen groen'!N77&lt;&gt;0,'Invullen groen'!N77,""),"")</f>
        <v/>
      </c>
      <c r="I64" s="364">
        <f>IFERROR(IF('Invullen groen'!O77&lt;&gt;0,'Invullen groen'!O77,""),"")</f>
        <v/>
      </c>
    </row>
    <row r="65" ht="14" customHeight="1">
      <c r="A65" s="287">
        <f>IFERROR(IF('Invullen groen'!E78&gt;0,78-17,""),"")</f>
        <v/>
      </c>
      <c r="B65" s="287">
        <f>IFERROR(IF('Invullen groen'!E78&gt;0,'Invullen groen'!A78,""),"")</f>
        <v/>
      </c>
      <c r="C65" s="287">
        <f>IFERROR(IF('Invullen groen'!E78&gt;0,'Invullen groen'!C78,""),"")</f>
        <v/>
      </c>
      <c r="D65" s="287">
        <f>IFERROR(IF('Invullen groen'!E78&gt;0,'Invullen groen'!D78,""),"")</f>
        <v/>
      </c>
      <c r="E65" s="287">
        <f>IFERROR(IF('Invullen groen'!E78&gt;0,'Invullen groen'!G78,""),"")</f>
        <v/>
      </c>
      <c r="F65" s="364">
        <f>IFERROR(IF('Invullen groen'!L78&lt;&gt;0,'Invullen groen'!L78,""),"")</f>
        <v/>
      </c>
      <c r="G65" s="364">
        <f>IFERROR(IF('Invullen groen'!M78&lt;&gt;0,'Invullen groen'!M78,""),"")</f>
        <v/>
      </c>
      <c r="H65" s="364">
        <f>IFERROR(IF('Invullen groen'!N78&lt;&gt;0,'Invullen groen'!N78,""),"")</f>
        <v/>
      </c>
      <c r="I65" s="364">
        <f>IFERROR(IF('Invullen groen'!O78&lt;&gt;0,'Invullen groen'!O78,""),"")</f>
        <v/>
      </c>
    </row>
    <row r="66" ht="14" customHeight="1">
      <c r="A66" s="287">
        <f>IFERROR(IF('Invullen groen'!E79&gt;0,79-17,""),"")</f>
        <v/>
      </c>
      <c r="B66" s="287">
        <f>IFERROR(IF('Invullen groen'!E79&gt;0,'Invullen groen'!A79,""),"")</f>
        <v/>
      </c>
      <c r="C66" s="287">
        <f>IFERROR(IF('Invullen groen'!E79&gt;0,'Invullen groen'!C79,""),"")</f>
        <v/>
      </c>
      <c r="D66" s="287">
        <f>IFERROR(IF('Invullen groen'!E79&gt;0,'Invullen groen'!D79,""),"")</f>
        <v/>
      </c>
      <c r="E66" s="287">
        <f>IFERROR(IF('Invullen groen'!E79&gt;0,'Invullen groen'!G79,""),"")</f>
        <v/>
      </c>
      <c r="F66" s="364">
        <f>IFERROR(IF('Invullen groen'!L79&lt;&gt;0,'Invullen groen'!L79,""),"")</f>
        <v/>
      </c>
      <c r="G66" s="364">
        <f>IFERROR(IF('Invullen groen'!M79&lt;&gt;0,'Invullen groen'!M79,""),"")</f>
        <v/>
      </c>
      <c r="H66" s="364">
        <f>IFERROR(IF('Invullen groen'!N79&lt;&gt;0,'Invullen groen'!N79,""),"")</f>
        <v/>
      </c>
      <c r="I66" s="364">
        <f>IFERROR(IF('Invullen groen'!O79&lt;&gt;0,'Invullen groen'!O79,""),"")</f>
        <v/>
      </c>
    </row>
    <row r="67" ht="14" customHeight="1">
      <c r="A67" s="287">
        <f>IFERROR(IF('Invullen groen'!E80&gt;0,80-17,""),"")</f>
        <v/>
      </c>
      <c r="B67" s="287">
        <f>IFERROR(IF('Invullen groen'!E80&gt;0,'Invullen groen'!A80,""),"")</f>
        <v/>
      </c>
      <c r="C67" s="287">
        <f>IFERROR(IF('Invullen groen'!E80&gt;0,'Invullen groen'!C80,""),"")</f>
        <v/>
      </c>
      <c r="D67" s="287">
        <f>IFERROR(IF('Invullen groen'!E80&gt;0,'Invullen groen'!D80,""),"")</f>
        <v/>
      </c>
      <c r="E67" s="287">
        <f>IFERROR(IF('Invullen groen'!E80&gt;0,'Invullen groen'!G80,""),"")</f>
        <v/>
      </c>
      <c r="F67" s="364">
        <f>IFERROR(IF('Invullen groen'!L80&lt;&gt;0,'Invullen groen'!L80,""),"")</f>
        <v/>
      </c>
      <c r="G67" s="364">
        <f>IFERROR(IF('Invullen groen'!M80&lt;&gt;0,'Invullen groen'!M80,""),"")</f>
        <v/>
      </c>
      <c r="H67" s="364">
        <f>IFERROR(IF('Invullen groen'!N80&lt;&gt;0,'Invullen groen'!N80,""),"")</f>
        <v/>
      </c>
      <c r="I67" s="364">
        <f>IFERROR(IF('Invullen groen'!O80&lt;&gt;0,'Invullen groen'!O80,""),"")</f>
        <v/>
      </c>
    </row>
    <row r="68" ht="14" customHeight="1">
      <c r="A68" s="287">
        <f>IFERROR(IF('Invullen groen'!E81&gt;0,81-17,""),"")</f>
        <v/>
      </c>
      <c r="B68" s="287">
        <f>IFERROR(IF('Invullen groen'!E81&gt;0,'Invullen groen'!A81,""),"")</f>
        <v/>
      </c>
      <c r="C68" s="287">
        <f>IFERROR(IF('Invullen groen'!E81&gt;0,'Invullen groen'!C81,""),"")</f>
        <v/>
      </c>
      <c r="D68" s="287">
        <f>IFERROR(IF('Invullen groen'!E81&gt;0,'Invullen groen'!D81,""),"")</f>
        <v/>
      </c>
      <c r="E68" s="287">
        <f>IFERROR(IF('Invullen groen'!E81&gt;0,'Invullen groen'!G81,""),"")</f>
        <v/>
      </c>
      <c r="F68" s="364">
        <f>IFERROR(IF('Invullen groen'!L81&lt;&gt;0,'Invullen groen'!L81,""),"")</f>
        <v/>
      </c>
      <c r="G68" s="364">
        <f>IFERROR(IF('Invullen groen'!M81&lt;&gt;0,'Invullen groen'!M81,""),"")</f>
        <v/>
      </c>
      <c r="H68" s="364">
        <f>IFERROR(IF('Invullen groen'!N81&lt;&gt;0,'Invullen groen'!N81,""),"")</f>
        <v/>
      </c>
      <c r="I68" s="364">
        <f>IFERROR(IF('Invullen groen'!O81&lt;&gt;0,'Invullen groen'!O81,""),"")</f>
        <v/>
      </c>
    </row>
    <row r="69" ht="14" customHeight="1">
      <c r="A69" s="287">
        <f>IFERROR(IF('Invullen groen'!E82&gt;0,82-17,""),"")</f>
        <v/>
      </c>
      <c r="B69" s="287">
        <f>IFERROR(IF('Invullen groen'!E82&gt;0,'Invullen groen'!A82,""),"")</f>
        <v/>
      </c>
      <c r="C69" s="287">
        <f>IFERROR(IF('Invullen groen'!E82&gt;0,'Invullen groen'!C82,""),"")</f>
        <v/>
      </c>
      <c r="D69" s="287">
        <f>IFERROR(IF('Invullen groen'!E82&gt;0,'Invullen groen'!D82,""),"")</f>
        <v/>
      </c>
      <c r="E69" s="287">
        <f>IFERROR(IF('Invullen groen'!E82&gt;0,'Invullen groen'!G82,""),"")</f>
        <v/>
      </c>
      <c r="F69" s="364">
        <f>IFERROR(IF('Invullen groen'!L82&lt;&gt;0,'Invullen groen'!L82,""),"")</f>
        <v/>
      </c>
      <c r="G69" s="364">
        <f>IFERROR(IF('Invullen groen'!M82&lt;&gt;0,'Invullen groen'!M82,""),"")</f>
        <v/>
      </c>
      <c r="H69" s="364">
        <f>IFERROR(IF('Invullen groen'!N82&lt;&gt;0,'Invullen groen'!N82,""),"")</f>
        <v/>
      </c>
      <c r="I69" s="364">
        <f>IFERROR(IF('Invullen groen'!O82&lt;&gt;0,'Invullen groen'!O82,""),"")</f>
        <v/>
      </c>
    </row>
    <row r="70" ht="14" customHeight="1">
      <c r="A70" s="287">
        <f>IFERROR(IF('Invullen groen'!E83&gt;0,83-17,""),"")</f>
        <v/>
      </c>
      <c r="B70" s="287">
        <f>IFERROR(IF('Invullen groen'!E83&gt;0,'Invullen groen'!A83,""),"")</f>
        <v/>
      </c>
      <c r="C70" s="287">
        <f>IFERROR(IF('Invullen groen'!E83&gt;0,'Invullen groen'!C83,""),"")</f>
        <v/>
      </c>
      <c r="D70" s="287">
        <f>IFERROR(IF('Invullen groen'!E83&gt;0,'Invullen groen'!D83,""),"")</f>
        <v/>
      </c>
      <c r="E70" s="287">
        <f>IFERROR(IF('Invullen groen'!E83&gt;0,'Invullen groen'!G83,""),"")</f>
        <v/>
      </c>
      <c r="F70" s="364">
        <f>IFERROR(IF('Invullen groen'!L83&lt;&gt;0,'Invullen groen'!L83,""),"")</f>
        <v/>
      </c>
      <c r="G70" s="364">
        <f>IFERROR(IF('Invullen groen'!M83&lt;&gt;0,'Invullen groen'!M83,""),"")</f>
        <v/>
      </c>
      <c r="H70" s="364">
        <f>IFERROR(IF('Invullen groen'!N83&lt;&gt;0,'Invullen groen'!N83,""),"")</f>
        <v/>
      </c>
      <c r="I70" s="364">
        <f>IFERROR(IF('Invullen groen'!O83&lt;&gt;0,'Invullen groen'!O83,""),"")</f>
        <v/>
      </c>
    </row>
    <row r="71" ht="14" customHeight="1">
      <c r="A71" s="287">
        <f>IFERROR(IF('Invullen groen'!E84&gt;0,84-17,""),"")</f>
        <v/>
      </c>
      <c r="B71" s="287">
        <f>IFERROR(IF('Invullen groen'!E84&gt;0,'Invullen groen'!A84,""),"")</f>
        <v/>
      </c>
      <c r="C71" s="287">
        <f>IFERROR(IF('Invullen groen'!E84&gt;0,'Invullen groen'!C84,""),"")</f>
        <v/>
      </c>
      <c r="D71" s="287">
        <f>IFERROR(IF('Invullen groen'!E84&gt;0,'Invullen groen'!D84,""),"")</f>
        <v/>
      </c>
      <c r="E71" s="287">
        <f>IFERROR(IF('Invullen groen'!E84&gt;0,'Invullen groen'!G84,""),"")</f>
        <v/>
      </c>
      <c r="F71" s="364">
        <f>IFERROR(IF('Invullen groen'!L84&lt;&gt;0,'Invullen groen'!L84,""),"")</f>
        <v/>
      </c>
      <c r="G71" s="364">
        <f>IFERROR(IF('Invullen groen'!M84&lt;&gt;0,'Invullen groen'!M84,""),"")</f>
        <v/>
      </c>
      <c r="H71" s="364">
        <f>IFERROR(IF('Invullen groen'!N84&lt;&gt;0,'Invullen groen'!N84,""),"")</f>
        <v/>
      </c>
      <c r="I71" s="364">
        <f>IFERROR(IF('Invullen groen'!O84&lt;&gt;0,'Invullen groen'!O84,""),"")</f>
        <v/>
      </c>
    </row>
    <row r="72" ht="14" customHeight="1">
      <c r="A72" s="287">
        <f>IFERROR(IF('Invullen groen'!E85&gt;0,85-17,""),"")</f>
        <v/>
      </c>
      <c r="B72" s="287">
        <f>IFERROR(IF('Invullen groen'!E85&gt;0,'Invullen groen'!A85,""),"")</f>
        <v/>
      </c>
      <c r="C72" s="287">
        <f>IFERROR(IF('Invullen groen'!E85&gt;0,'Invullen groen'!C85,""),"")</f>
        <v/>
      </c>
      <c r="D72" s="287">
        <f>IFERROR(IF('Invullen groen'!E85&gt;0,'Invullen groen'!D85,""),"")</f>
        <v/>
      </c>
      <c r="E72" s="287">
        <f>IFERROR(IF('Invullen groen'!E85&gt;0,'Invullen groen'!G85,""),"")</f>
        <v/>
      </c>
      <c r="F72" s="364">
        <f>IFERROR(IF('Invullen groen'!L85&lt;&gt;0,'Invullen groen'!L85,""),"")</f>
        <v/>
      </c>
      <c r="G72" s="364">
        <f>IFERROR(IF('Invullen groen'!M85&lt;&gt;0,'Invullen groen'!M85,""),"")</f>
        <v/>
      </c>
      <c r="H72" s="364">
        <f>IFERROR(IF('Invullen groen'!N85&lt;&gt;0,'Invullen groen'!N85,""),"")</f>
        <v/>
      </c>
      <c r="I72" s="364">
        <f>IFERROR(IF('Invullen groen'!O85&lt;&gt;0,'Invullen groen'!O85,""),"")</f>
        <v/>
      </c>
    </row>
    <row r="73" ht="14" customHeight="1">
      <c r="A73" s="287">
        <f>IFERROR(IF('Invullen groen'!E86&gt;0,86-17,""),"")</f>
        <v/>
      </c>
      <c r="B73" s="287">
        <f>IFERROR(IF('Invullen groen'!E86&gt;0,'Invullen groen'!A86,""),"")</f>
        <v/>
      </c>
      <c r="C73" s="287">
        <f>IFERROR(IF('Invullen groen'!E86&gt;0,'Invullen groen'!C86,""),"")</f>
        <v/>
      </c>
      <c r="D73" s="287">
        <f>IFERROR(IF('Invullen groen'!E86&gt;0,'Invullen groen'!D86,""),"")</f>
        <v/>
      </c>
      <c r="E73" s="287">
        <f>IFERROR(IF('Invullen groen'!E86&gt;0,'Invullen groen'!G86,""),"")</f>
        <v/>
      </c>
      <c r="F73" s="364">
        <f>IFERROR(IF('Invullen groen'!L86&lt;&gt;0,'Invullen groen'!L86,""),"")</f>
        <v/>
      </c>
      <c r="G73" s="364">
        <f>IFERROR(IF('Invullen groen'!M86&lt;&gt;0,'Invullen groen'!M86,""),"")</f>
        <v/>
      </c>
      <c r="H73" s="364">
        <f>IFERROR(IF('Invullen groen'!N86&lt;&gt;0,'Invullen groen'!N86,""),"")</f>
        <v/>
      </c>
      <c r="I73" s="364">
        <f>IFERROR(IF('Invullen groen'!O86&lt;&gt;0,'Invullen groen'!O86,""),"")</f>
        <v/>
      </c>
    </row>
    <row r="74" ht="14" customHeight="1">
      <c r="A74" s="287">
        <f>IFERROR(IF('Invullen groen'!E87&gt;0,87-17,""),"")</f>
        <v/>
      </c>
      <c r="B74" s="287">
        <f>IFERROR(IF('Invullen groen'!E87&gt;0,'Invullen groen'!A87,""),"")</f>
        <v/>
      </c>
      <c r="C74" s="287">
        <f>IFERROR(IF('Invullen groen'!E87&gt;0,'Invullen groen'!C87,""),"")</f>
        <v/>
      </c>
      <c r="D74" s="287">
        <f>IFERROR(IF('Invullen groen'!E87&gt;0,'Invullen groen'!D87,""),"")</f>
        <v/>
      </c>
      <c r="E74" s="287">
        <f>IFERROR(IF('Invullen groen'!E87&gt;0,'Invullen groen'!G87,""),"")</f>
        <v/>
      </c>
      <c r="F74" s="364">
        <f>IFERROR(IF('Invullen groen'!L87&lt;&gt;0,'Invullen groen'!L87,""),"")</f>
        <v/>
      </c>
      <c r="G74" s="364">
        <f>IFERROR(IF('Invullen groen'!M87&lt;&gt;0,'Invullen groen'!M87,""),"")</f>
        <v/>
      </c>
      <c r="H74" s="364">
        <f>IFERROR(IF('Invullen groen'!N87&lt;&gt;0,'Invullen groen'!N87,""),"")</f>
        <v/>
      </c>
      <c r="I74" s="364">
        <f>IFERROR(IF('Invullen groen'!O87&lt;&gt;0,'Invullen groen'!O87,""),"")</f>
        <v/>
      </c>
    </row>
    <row r="75" ht="14" customHeight="1">
      <c r="A75" s="287">
        <f>IFERROR(IF('Invullen groen'!E88&gt;0,88-17,""),"")</f>
        <v/>
      </c>
      <c r="B75" s="287">
        <f>IFERROR(IF('Invullen groen'!E88&gt;0,'Invullen groen'!A88,""),"")</f>
        <v/>
      </c>
      <c r="C75" s="287">
        <f>IFERROR(IF('Invullen groen'!E88&gt;0,'Invullen groen'!C88,""),"")</f>
        <v/>
      </c>
      <c r="D75" s="287">
        <f>IFERROR(IF('Invullen groen'!E88&gt;0,'Invullen groen'!D88,""),"")</f>
        <v/>
      </c>
      <c r="E75" s="287">
        <f>IFERROR(IF('Invullen groen'!E88&gt;0,'Invullen groen'!G88,""),"")</f>
        <v/>
      </c>
      <c r="F75" s="364">
        <f>IFERROR(IF('Invullen groen'!L88&lt;&gt;0,'Invullen groen'!L88,""),"")</f>
        <v/>
      </c>
      <c r="G75" s="364">
        <f>IFERROR(IF('Invullen groen'!M88&lt;&gt;0,'Invullen groen'!M88,""),"")</f>
        <v/>
      </c>
      <c r="H75" s="364">
        <f>IFERROR(IF('Invullen groen'!N88&lt;&gt;0,'Invullen groen'!N88,""),"")</f>
        <v/>
      </c>
      <c r="I75" s="364">
        <f>IFERROR(IF('Invullen groen'!O88&lt;&gt;0,'Invullen groen'!O88,""),"")</f>
        <v/>
      </c>
    </row>
    <row r="76" ht="14" customHeight="1">
      <c r="A76" s="287">
        <f>IFERROR(IF('Invullen groen'!E89&gt;0,89-17,""),"")</f>
        <v/>
      </c>
      <c r="B76" s="287">
        <f>IFERROR(IF('Invullen groen'!E89&gt;0,'Invullen groen'!A89,""),"")</f>
        <v/>
      </c>
      <c r="C76" s="287">
        <f>IFERROR(IF('Invullen groen'!E89&gt;0,'Invullen groen'!C89,""),"")</f>
        <v/>
      </c>
      <c r="D76" s="287">
        <f>IFERROR(IF('Invullen groen'!E89&gt;0,'Invullen groen'!D89,""),"")</f>
        <v/>
      </c>
      <c r="E76" s="287">
        <f>IFERROR(IF('Invullen groen'!E89&gt;0,'Invullen groen'!G89,""),"")</f>
        <v/>
      </c>
      <c r="F76" s="364">
        <f>IFERROR(IF('Invullen groen'!L89&lt;&gt;0,'Invullen groen'!L89,""),"")</f>
        <v/>
      </c>
      <c r="G76" s="364">
        <f>IFERROR(IF('Invullen groen'!M89&lt;&gt;0,'Invullen groen'!M89,""),"")</f>
        <v/>
      </c>
      <c r="H76" s="364">
        <f>IFERROR(IF('Invullen groen'!N89&lt;&gt;0,'Invullen groen'!N89,""),"")</f>
        <v/>
      </c>
      <c r="I76" s="364">
        <f>IFERROR(IF('Invullen groen'!O89&lt;&gt;0,'Invullen groen'!O89,""),"")</f>
        <v/>
      </c>
    </row>
    <row r="77" ht="14" customHeight="1">
      <c r="A77" s="287">
        <f>IFERROR(IF('Invullen groen'!E90&gt;0,90-17,""),"")</f>
        <v/>
      </c>
      <c r="B77" s="287">
        <f>IFERROR(IF('Invullen groen'!E90&gt;0,'Invullen groen'!A90,""),"")</f>
        <v/>
      </c>
      <c r="C77" s="287">
        <f>IFERROR(IF('Invullen groen'!E90&gt;0,'Invullen groen'!C90,""),"")</f>
        <v/>
      </c>
      <c r="D77" s="287">
        <f>IFERROR(IF('Invullen groen'!E90&gt;0,'Invullen groen'!D90,""),"")</f>
        <v/>
      </c>
      <c r="E77" s="287">
        <f>IFERROR(IF('Invullen groen'!E90&gt;0,'Invullen groen'!G90,""),"")</f>
        <v/>
      </c>
      <c r="F77" s="364">
        <f>IFERROR(IF('Invullen groen'!L90&lt;&gt;0,'Invullen groen'!L90,""),"")</f>
        <v/>
      </c>
      <c r="G77" s="364">
        <f>IFERROR(IF('Invullen groen'!M90&lt;&gt;0,'Invullen groen'!M90,""),"")</f>
        <v/>
      </c>
      <c r="H77" s="364">
        <f>IFERROR(IF('Invullen groen'!N90&lt;&gt;0,'Invullen groen'!N90,""),"")</f>
        <v/>
      </c>
      <c r="I77" s="364">
        <f>IFERROR(IF('Invullen groen'!O90&lt;&gt;0,'Invullen groen'!O90,""),"")</f>
        <v/>
      </c>
    </row>
    <row r="78" ht="14" customHeight="1">
      <c r="A78" s="287">
        <f>IFERROR(IF('Invullen groen'!E91&gt;0,91-17,""),"")</f>
        <v/>
      </c>
      <c r="B78" s="287">
        <f>IFERROR(IF('Invullen groen'!E91&gt;0,'Invullen groen'!A91,""),"")</f>
        <v/>
      </c>
      <c r="C78" s="287">
        <f>IFERROR(IF('Invullen groen'!E91&gt;0,'Invullen groen'!C91,""),"")</f>
        <v/>
      </c>
      <c r="D78" s="287">
        <f>IFERROR(IF('Invullen groen'!E91&gt;0,'Invullen groen'!D91,""),"")</f>
        <v/>
      </c>
      <c r="E78" s="287">
        <f>IFERROR(IF('Invullen groen'!E91&gt;0,'Invullen groen'!G91,""),"")</f>
        <v/>
      </c>
      <c r="F78" s="364">
        <f>IFERROR(IF('Invullen groen'!L91&lt;&gt;0,'Invullen groen'!L91,""),"")</f>
        <v/>
      </c>
      <c r="G78" s="364">
        <f>IFERROR(IF('Invullen groen'!M91&lt;&gt;0,'Invullen groen'!M91,""),"")</f>
        <v/>
      </c>
      <c r="H78" s="364">
        <f>IFERROR(IF('Invullen groen'!N91&lt;&gt;0,'Invullen groen'!N91,""),"")</f>
        <v/>
      </c>
      <c r="I78" s="364">
        <f>IFERROR(IF('Invullen groen'!O91&lt;&gt;0,'Invullen groen'!O91,""),"")</f>
        <v/>
      </c>
    </row>
    <row r="79" ht="14" customHeight="1">
      <c r="A79" s="287">
        <f>IFERROR(IF('Invullen groen'!E92&gt;0,92-17,""),"")</f>
        <v/>
      </c>
      <c r="B79" s="287">
        <f>IFERROR(IF('Invullen groen'!E92&gt;0,'Invullen groen'!A92,""),"")</f>
        <v/>
      </c>
      <c r="C79" s="287">
        <f>IFERROR(IF('Invullen groen'!E92&gt;0,'Invullen groen'!C92,""),"")</f>
        <v/>
      </c>
      <c r="D79" s="287">
        <f>IFERROR(IF('Invullen groen'!E92&gt;0,'Invullen groen'!D92,""),"")</f>
        <v/>
      </c>
      <c r="E79" s="287">
        <f>IFERROR(IF('Invullen groen'!E92&gt;0,'Invullen groen'!G92,""),"")</f>
        <v/>
      </c>
      <c r="F79" s="364">
        <f>IFERROR(IF('Invullen groen'!L92&lt;&gt;0,'Invullen groen'!L92,""),"")</f>
        <v/>
      </c>
      <c r="G79" s="364">
        <f>IFERROR(IF('Invullen groen'!M92&lt;&gt;0,'Invullen groen'!M92,""),"")</f>
        <v/>
      </c>
      <c r="H79" s="364">
        <f>IFERROR(IF('Invullen groen'!N92&lt;&gt;0,'Invullen groen'!N92,""),"")</f>
        <v/>
      </c>
      <c r="I79" s="364">
        <f>IFERROR(IF('Invullen groen'!O92&lt;&gt;0,'Invullen groen'!O92,""),"")</f>
        <v/>
      </c>
    </row>
    <row r="80" ht="14" customHeight="1">
      <c r="A80" s="287">
        <f>IFERROR(IF('Invullen groen'!E93&gt;0,93-17,""),"")</f>
        <v/>
      </c>
      <c r="B80" s="287">
        <f>IFERROR(IF('Invullen groen'!E93&gt;0,'Invullen groen'!A93,""),"")</f>
        <v/>
      </c>
      <c r="C80" s="287">
        <f>IFERROR(IF('Invullen groen'!E93&gt;0,'Invullen groen'!C93,""),"")</f>
        <v/>
      </c>
      <c r="D80" s="287">
        <f>IFERROR(IF('Invullen groen'!E93&gt;0,'Invullen groen'!D93,""),"")</f>
        <v/>
      </c>
      <c r="E80" s="287">
        <f>IFERROR(IF('Invullen groen'!E93&gt;0,'Invullen groen'!G93,""),"")</f>
        <v/>
      </c>
      <c r="F80" s="364">
        <f>IFERROR(IF('Invullen groen'!L93&lt;&gt;0,'Invullen groen'!L93,""),"")</f>
        <v/>
      </c>
      <c r="G80" s="364">
        <f>IFERROR(IF('Invullen groen'!M93&lt;&gt;0,'Invullen groen'!M93,""),"")</f>
        <v/>
      </c>
      <c r="H80" s="364">
        <f>IFERROR(IF('Invullen groen'!N93&lt;&gt;0,'Invullen groen'!N93,""),"")</f>
        <v/>
      </c>
      <c r="I80" s="364">
        <f>IFERROR(IF('Invullen groen'!O93&lt;&gt;0,'Invullen groen'!O93,""),"")</f>
        <v/>
      </c>
    </row>
    <row r="81" ht="14" customHeight="1">
      <c r="A81" s="287">
        <f>IFERROR(IF('Invullen groen'!E94&gt;0,94-17,""),"")</f>
        <v/>
      </c>
      <c r="B81" s="287">
        <f>IFERROR(IF('Invullen groen'!E94&gt;0,'Invullen groen'!A94,""),"")</f>
        <v/>
      </c>
      <c r="C81" s="287">
        <f>IFERROR(IF('Invullen groen'!E94&gt;0,'Invullen groen'!C94,""),"")</f>
        <v/>
      </c>
      <c r="D81" s="287">
        <f>IFERROR(IF('Invullen groen'!E94&gt;0,'Invullen groen'!D94,""),"")</f>
        <v/>
      </c>
      <c r="E81" s="287">
        <f>IFERROR(IF('Invullen groen'!E94&gt;0,'Invullen groen'!G94,""),"")</f>
        <v/>
      </c>
      <c r="F81" s="364">
        <f>IFERROR(IF('Invullen groen'!L94&lt;&gt;0,'Invullen groen'!L94,""),"")</f>
        <v/>
      </c>
      <c r="G81" s="364">
        <f>IFERROR(IF('Invullen groen'!M94&lt;&gt;0,'Invullen groen'!M94,""),"")</f>
        <v/>
      </c>
      <c r="H81" s="364">
        <f>IFERROR(IF('Invullen groen'!N94&lt;&gt;0,'Invullen groen'!N94,""),"")</f>
        <v/>
      </c>
      <c r="I81" s="364">
        <f>IFERROR(IF('Invullen groen'!O94&lt;&gt;0,'Invullen groen'!O94,""),"")</f>
        <v/>
      </c>
    </row>
    <row r="82" ht="14" customHeight="1">
      <c r="A82" s="287">
        <f>IFERROR(IF('Invullen groen'!E95&gt;0,95-17,""),"")</f>
        <v/>
      </c>
      <c r="B82" s="287">
        <f>IFERROR(IF('Invullen groen'!E95&gt;0,'Invullen groen'!A95,""),"")</f>
        <v/>
      </c>
      <c r="C82" s="287">
        <f>IFERROR(IF('Invullen groen'!E95&gt;0,'Invullen groen'!C95,""),"")</f>
        <v/>
      </c>
      <c r="D82" s="287">
        <f>IFERROR(IF('Invullen groen'!E95&gt;0,'Invullen groen'!D95,""),"")</f>
        <v/>
      </c>
      <c r="E82" s="287">
        <f>IFERROR(IF('Invullen groen'!E95&gt;0,'Invullen groen'!G95,""),"")</f>
        <v/>
      </c>
      <c r="F82" s="364">
        <f>IFERROR(IF('Invullen groen'!L95&lt;&gt;0,'Invullen groen'!L95,""),"")</f>
        <v/>
      </c>
      <c r="G82" s="364">
        <f>IFERROR(IF('Invullen groen'!M95&lt;&gt;0,'Invullen groen'!M95,""),"")</f>
        <v/>
      </c>
      <c r="H82" s="364">
        <f>IFERROR(IF('Invullen groen'!N95&lt;&gt;0,'Invullen groen'!N95,""),"")</f>
        <v/>
      </c>
      <c r="I82" s="364">
        <f>IFERROR(IF('Invullen groen'!O95&lt;&gt;0,'Invullen groen'!O95,""),"")</f>
        <v/>
      </c>
    </row>
    <row r="83" ht="14" customHeight="1">
      <c r="A83" s="287">
        <f>IFERROR(IF('Invullen groen'!E96&gt;0,96-17,""),"")</f>
        <v/>
      </c>
      <c r="B83" s="287">
        <f>IFERROR(IF('Invullen groen'!E96&gt;0,'Invullen groen'!A96,""),"")</f>
        <v/>
      </c>
      <c r="C83" s="287">
        <f>IFERROR(IF('Invullen groen'!E96&gt;0,'Invullen groen'!C96,""),"")</f>
        <v/>
      </c>
      <c r="D83" s="287">
        <f>IFERROR(IF('Invullen groen'!E96&gt;0,'Invullen groen'!D96,""),"")</f>
        <v/>
      </c>
      <c r="E83" s="287">
        <f>IFERROR(IF('Invullen groen'!E96&gt;0,'Invullen groen'!G96,""),"")</f>
        <v/>
      </c>
      <c r="F83" s="364">
        <f>IFERROR(IF('Invullen groen'!L96&lt;&gt;0,'Invullen groen'!L96,""),"")</f>
        <v/>
      </c>
      <c r="G83" s="364">
        <f>IFERROR(IF('Invullen groen'!M96&lt;&gt;0,'Invullen groen'!M96,""),"")</f>
        <v/>
      </c>
      <c r="H83" s="364">
        <f>IFERROR(IF('Invullen groen'!N96&lt;&gt;0,'Invullen groen'!N96,""),"")</f>
        <v/>
      </c>
      <c r="I83" s="364">
        <f>IFERROR(IF('Invullen groen'!O96&lt;&gt;0,'Invullen groen'!O96,""),"")</f>
        <v/>
      </c>
    </row>
    <row r="84" ht="14" customHeight="1">
      <c r="A84" s="287">
        <f>IFERROR(IF('Invullen groen'!E97&gt;0,97-17,""),"")</f>
        <v/>
      </c>
      <c r="B84" s="287">
        <f>IFERROR(IF('Invullen groen'!E97&gt;0,'Invullen groen'!A97,""),"")</f>
        <v/>
      </c>
      <c r="C84" s="287">
        <f>IFERROR(IF('Invullen groen'!E97&gt;0,'Invullen groen'!C97,""),"")</f>
        <v/>
      </c>
      <c r="D84" s="287">
        <f>IFERROR(IF('Invullen groen'!E97&gt;0,'Invullen groen'!D97,""),"")</f>
        <v/>
      </c>
      <c r="E84" s="287">
        <f>IFERROR(IF('Invullen groen'!E97&gt;0,'Invullen groen'!G97,""),"")</f>
        <v/>
      </c>
      <c r="F84" s="364">
        <f>IFERROR(IF('Invullen groen'!L97&lt;&gt;0,'Invullen groen'!L97,""),"")</f>
        <v/>
      </c>
      <c r="G84" s="364">
        <f>IFERROR(IF('Invullen groen'!M97&lt;&gt;0,'Invullen groen'!M97,""),"")</f>
        <v/>
      </c>
      <c r="H84" s="364">
        <f>IFERROR(IF('Invullen groen'!N97&lt;&gt;0,'Invullen groen'!N97,""),"")</f>
        <v/>
      </c>
      <c r="I84" s="364">
        <f>IFERROR(IF('Invullen groen'!O97&lt;&gt;0,'Invullen groen'!O97,""),"")</f>
        <v/>
      </c>
    </row>
    <row r="85" ht="14" customHeight="1">
      <c r="A85" s="287">
        <f>IFERROR(IF('Invullen groen'!E98&gt;0,98-17,""),"")</f>
        <v/>
      </c>
      <c r="B85" s="287">
        <f>IFERROR(IF('Invullen groen'!E98&gt;0,'Invullen groen'!A98,""),"")</f>
        <v/>
      </c>
      <c r="C85" s="287">
        <f>IFERROR(IF('Invullen groen'!E98&gt;0,'Invullen groen'!C98,""),"")</f>
        <v/>
      </c>
      <c r="D85" s="287">
        <f>IFERROR(IF('Invullen groen'!E98&gt;0,'Invullen groen'!D98,""),"")</f>
        <v/>
      </c>
      <c r="E85" s="287">
        <f>IFERROR(IF('Invullen groen'!E98&gt;0,'Invullen groen'!G98,""),"")</f>
        <v/>
      </c>
      <c r="F85" s="364">
        <f>IFERROR(IF('Invullen groen'!L98&lt;&gt;0,'Invullen groen'!L98,""),"")</f>
        <v/>
      </c>
      <c r="G85" s="364">
        <f>IFERROR(IF('Invullen groen'!M98&lt;&gt;0,'Invullen groen'!M98,""),"")</f>
        <v/>
      </c>
      <c r="H85" s="364">
        <f>IFERROR(IF('Invullen groen'!N98&lt;&gt;0,'Invullen groen'!N98,""),"")</f>
        <v/>
      </c>
      <c r="I85" s="364">
        <f>IFERROR(IF('Invullen groen'!O98&lt;&gt;0,'Invullen groen'!O98,""),"")</f>
        <v/>
      </c>
    </row>
    <row r="86" ht="14" customHeight="1">
      <c r="A86" s="287">
        <f>IFERROR(IF('Invullen groen'!E99&gt;0,99-17,""),"")</f>
        <v/>
      </c>
      <c r="B86" s="287">
        <f>IFERROR(IF('Invullen groen'!E99&gt;0,'Invullen groen'!A99,""),"")</f>
        <v/>
      </c>
      <c r="C86" s="287">
        <f>IFERROR(IF('Invullen groen'!E99&gt;0,'Invullen groen'!C99,""),"")</f>
        <v/>
      </c>
      <c r="D86" s="287">
        <f>IFERROR(IF('Invullen groen'!E99&gt;0,'Invullen groen'!D99,""),"")</f>
        <v/>
      </c>
      <c r="E86" s="287">
        <f>IFERROR(IF('Invullen groen'!E99&gt;0,'Invullen groen'!G99,""),"")</f>
        <v/>
      </c>
      <c r="F86" s="364">
        <f>IFERROR(IF('Invullen groen'!L99&lt;&gt;0,'Invullen groen'!L99,""),"")</f>
        <v/>
      </c>
      <c r="G86" s="364">
        <f>IFERROR(IF('Invullen groen'!M99&lt;&gt;0,'Invullen groen'!M99,""),"")</f>
        <v/>
      </c>
      <c r="H86" s="364">
        <f>IFERROR(IF('Invullen groen'!N99&lt;&gt;0,'Invullen groen'!N99,""),"")</f>
        <v/>
      </c>
      <c r="I86" s="364">
        <f>IFERROR(IF('Invullen groen'!O99&lt;&gt;0,'Invullen groen'!O99,""),"")</f>
        <v/>
      </c>
    </row>
    <row r="87" ht="14" customHeight="1">
      <c r="A87" s="287">
        <f>IFERROR(IF('Invullen groen'!E100&gt;0,100-17,""),"")</f>
        <v/>
      </c>
      <c r="B87" s="287">
        <f>IFERROR(IF('Invullen groen'!E100&gt;0,'Invullen groen'!A100,""),"")</f>
        <v/>
      </c>
      <c r="C87" s="287">
        <f>IFERROR(IF('Invullen groen'!E100&gt;0,'Invullen groen'!C100,""),"")</f>
        <v/>
      </c>
      <c r="D87" s="287">
        <f>IFERROR(IF('Invullen groen'!E100&gt;0,'Invullen groen'!D100,""),"")</f>
        <v/>
      </c>
      <c r="E87" s="287">
        <f>IFERROR(IF('Invullen groen'!E100&gt;0,'Invullen groen'!G100,""),"")</f>
        <v/>
      </c>
      <c r="F87" s="364">
        <f>IFERROR(IF('Invullen groen'!L100&lt;&gt;0,'Invullen groen'!L100,""),"")</f>
        <v/>
      </c>
      <c r="G87" s="364">
        <f>IFERROR(IF('Invullen groen'!M100&lt;&gt;0,'Invullen groen'!M100,""),"")</f>
        <v/>
      </c>
      <c r="H87" s="364">
        <f>IFERROR(IF('Invullen groen'!N100&lt;&gt;0,'Invullen groen'!N100,""),"")</f>
        <v/>
      </c>
      <c r="I87" s="364">
        <f>IFERROR(IF('Invullen groen'!O100&lt;&gt;0,'Invullen groen'!O100,""),"")</f>
        <v/>
      </c>
    </row>
    <row r="88" ht="14" customHeight="1">
      <c r="A88" s="287">
        <f>IFERROR(IF('Invullen groen'!E101&gt;0,101-17,""),"")</f>
        <v/>
      </c>
      <c r="B88" s="287">
        <f>IFERROR(IF('Invullen groen'!E101&gt;0,'Invullen groen'!A101,""),"")</f>
        <v/>
      </c>
      <c r="C88" s="287">
        <f>IFERROR(IF('Invullen groen'!E101&gt;0,'Invullen groen'!C101,""),"")</f>
        <v/>
      </c>
      <c r="D88" s="287">
        <f>IFERROR(IF('Invullen groen'!E101&gt;0,'Invullen groen'!D101,""),"")</f>
        <v/>
      </c>
      <c r="E88" s="287">
        <f>IFERROR(IF('Invullen groen'!E101&gt;0,'Invullen groen'!G101,""),"")</f>
        <v/>
      </c>
      <c r="F88" s="364">
        <f>IFERROR(IF('Invullen groen'!L101&lt;&gt;0,'Invullen groen'!L101,""),"")</f>
        <v/>
      </c>
      <c r="G88" s="364">
        <f>IFERROR(IF('Invullen groen'!M101&lt;&gt;0,'Invullen groen'!M101,""),"")</f>
        <v/>
      </c>
      <c r="H88" s="364">
        <f>IFERROR(IF('Invullen groen'!N101&lt;&gt;0,'Invullen groen'!N101,""),"")</f>
        <v/>
      </c>
      <c r="I88" s="364">
        <f>IFERROR(IF('Invullen groen'!O101&lt;&gt;0,'Invullen groen'!O101,""),"")</f>
        <v/>
      </c>
    </row>
    <row r="89" ht="14" customHeight="1">
      <c r="A89" s="287">
        <f>IFERROR(IF('Invullen groen'!E102&gt;0,102-17,""),"")</f>
        <v/>
      </c>
      <c r="B89" s="287">
        <f>IFERROR(IF('Invullen groen'!E102&gt;0,'Invullen groen'!A102,""),"")</f>
        <v/>
      </c>
      <c r="C89" s="287">
        <f>IFERROR(IF('Invullen groen'!E102&gt;0,'Invullen groen'!C102,""),"")</f>
        <v/>
      </c>
      <c r="D89" s="287">
        <f>IFERROR(IF('Invullen groen'!E102&gt;0,'Invullen groen'!D102,""),"")</f>
        <v/>
      </c>
      <c r="E89" s="287">
        <f>IFERROR(IF('Invullen groen'!E102&gt;0,'Invullen groen'!G102,""),"")</f>
        <v/>
      </c>
      <c r="F89" s="364">
        <f>IFERROR(IF('Invullen groen'!L102&lt;&gt;0,'Invullen groen'!L102,""),"")</f>
        <v/>
      </c>
      <c r="G89" s="364">
        <f>IFERROR(IF('Invullen groen'!M102&lt;&gt;0,'Invullen groen'!M102,""),"")</f>
        <v/>
      </c>
      <c r="H89" s="364">
        <f>IFERROR(IF('Invullen groen'!N102&lt;&gt;0,'Invullen groen'!N102,""),"")</f>
        <v/>
      </c>
      <c r="I89" s="364">
        <f>IFERROR(IF('Invullen groen'!O102&lt;&gt;0,'Invullen groen'!O102,""),"")</f>
        <v/>
      </c>
    </row>
    <row r="90" ht="14" customHeight="1">
      <c r="A90" s="287">
        <f>IFERROR(IF('Invullen groen'!E103&gt;0,103-17,""),"")</f>
        <v/>
      </c>
      <c r="B90" s="287">
        <f>IFERROR(IF('Invullen groen'!E103&gt;0,'Invullen groen'!A103,""),"")</f>
        <v/>
      </c>
      <c r="C90" s="287">
        <f>IFERROR(IF('Invullen groen'!E103&gt;0,'Invullen groen'!C103,""),"")</f>
        <v/>
      </c>
      <c r="D90" s="287">
        <f>IFERROR(IF('Invullen groen'!E103&gt;0,'Invullen groen'!D103,""),"")</f>
        <v/>
      </c>
      <c r="E90" s="287">
        <f>IFERROR(IF('Invullen groen'!E103&gt;0,'Invullen groen'!G103,""),"")</f>
        <v/>
      </c>
      <c r="F90" s="364">
        <f>IFERROR(IF('Invullen groen'!L103&lt;&gt;0,'Invullen groen'!L103,""),"")</f>
        <v/>
      </c>
      <c r="G90" s="364">
        <f>IFERROR(IF('Invullen groen'!M103&lt;&gt;0,'Invullen groen'!M103,""),"")</f>
        <v/>
      </c>
      <c r="H90" s="364">
        <f>IFERROR(IF('Invullen groen'!N103&lt;&gt;0,'Invullen groen'!N103,""),"")</f>
        <v/>
      </c>
      <c r="I90" s="364">
        <f>IFERROR(IF('Invullen groen'!O103&lt;&gt;0,'Invullen groen'!O103,""),"")</f>
        <v/>
      </c>
    </row>
    <row r="91" ht="14" customHeight="1">
      <c r="A91" s="287">
        <f>IFERROR(IF('Invullen groen'!E104&gt;0,104-17,""),"")</f>
        <v/>
      </c>
      <c r="B91" s="287">
        <f>IFERROR(IF('Invullen groen'!E104&gt;0,'Invullen groen'!A104,""),"")</f>
        <v/>
      </c>
      <c r="C91" s="287">
        <f>IFERROR(IF('Invullen groen'!E104&gt;0,'Invullen groen'!C104,""),"")</f>
        <v/>
      </c>
      <c r="D91" s="287">
        <f>IFERROR(IF('Invullen groen'!E104&gt;0,'Invullen groen'!D104,""),"")</f>
        <v/>
      </c>
      <c r="E91" s="287">
        <f>IFERROR(IF('Invullen groen'!E104&gt;0,'Invullen groen'!G104,""),"")</f>
        <v/>
      </c>
      <c r="F91" s="364">
        <f>IFERROR(IF('Invullen groen'!L104&lt;&gt;0,'Invullen groen'!L104,""),"")</f>
        <v/>
      </c>
      <c r="G91" s="364">
        <f>IFERROR(IF('Invullen groen'!M104&lt;&gt;0,'Invullen groen'!M104,""),"")</f>
        <v/>
      </c>
      <c r="H91" s="364">
        <f>IFERROR(IF('Invullen groen'!N104&lt;&gt;0,'Invullen groen'!N104,""),"")</f>
        <v/>
      </c>
      <c r="I91" s="364">
        <f>IFERROR(IF('Invullen groen'!O104&lt;&gt;0,'Invullen groen'!O104,""),"")</f>
        <v/>
      </c>
    </row>
    <row r="92" ht="14" customHeight="1">
      <c r="A92" s="287">
        <f>IFERROR(IF('Invullen groen'!E105&gt;0,105-17,""),"")</f>
        <v/>
      </c>
      <c r="B92" s="287">
        <f>IFERROR(IF('Invullen groen'!E105&gt;0,'Invullen groen'!A105,""),"")</f>
        <v/>
      </c>
      <c r="C92" s="287">
        <f>IFERROR(IF('Invullen groen'!E105&gt;0,'Invullen groen'!C105,""),"")</f>
        <v/>
      </c>
      <c r="D92" s="287">
        <f>IFERROR(IF('Invullen groen'!E105&gt;0,'Invullen groen'!D105,""),"")</f>
        <v/>
      </c>
      <c r="E92" s="287">
        <f>IFERROR(IF('Invullen groen'!E105&gt;0,'Invullen groen'!G105,""),"")</f>
        <v/>
      </c>
      <c r="F92" s="364">
        <f>IFERROR(IF('Invullen groen'!L105&lt;&gt;0,'Invullen groen'!L105,""),"")</f>
        <v/>
      </c>
      <c r="G92" s="364">
        <f>IFERROR(IF('Invullen groen'!M105&lt;&gt;0,'Invullen groen'!M105,""),"")</f>
        <v/>
      </c>
      <c r="H92" s="364">
        <f>IFERROR(IF('Invullen groen'!N105&lt;&gt;0,'Invullen groen'!N105,""),"")</f>
        <v/>
      </c>
      <c r="I92" s="364">
        <f>IFERROR(IF('Invullen groen'!O105&lt;&gt;0,'Invullen groen'!O105,""),"")</f>
        <v/>
      </c>
    </row>
    <row r="93" ht="14" customHeight="1">
      <c r="A93" s="287">
        <f>IFERROR(IF('Invullen groen'!E106&gt;0,106-17,""),"")</f>
        <v/>
      </c>
      <c r="B93" s="287">
        <f>IFERROR(IF('Invullen groen'!E106&gt;0,'Invullen groen'!A106,""),"")</f>
        <v/>
      </c>
      <c r="C93" s="287">
        <f>IFERROR(IF('Invullen groen'!E106&gt;0,'Invullen groen'!C106,""),"")</f>
        <v/>
      </c>
      <c r="D93" s="287">
        <f>IFERROR(IF('Invullen groen'!E106&gt;0,'Invullen groen'!D106,""),"")</f>
        <v/>
      </c>
      <c r="E93" s="287">
        <f>IFERROR(IF('Invullen groen'!E106&gt;0,'Invullen groen'!G106,""),"")</f>
        <v/>
      </c>
      <c r="F93" s="364">
        <f>IFERROR(IF('Invullen groen'!L106&lt;&gt;0,'Invullen groen'!L106,""),"")</f>
        <v/>
      </c>
      <c r="G93" s="364">
        <f>IFERROR(IF('Invullen groen'!M106&lt;&gt;0,'Invullen groen'!M106,""),"")</f>
        <v/>
      </c>
      <c r="H93" s="364">
        <f>IFERROR(IF('Invullen groen'!N106&lt;&gt;0,'Invullen groen'!N106,""),"")</f>
        <v/>
      </c>
      <c r="I93" s="364">
        <f>IFERROR(IF('Invullen groen'!O106&lt;&gt;0,'Invullen groen'!O106,""),"")</f>
        <v/>
      </c>
    </row>
    <row r="94" ht="14" customHeight="1">
      <c r="A94" s="287">
        <f>IFERROR(IF('Invullen groen'!E107&gt;0,107-17,""),"")</f>
        <v/>
      </c>
      <c r="B94" s="287">
        <f>IFERROR(IF('Invullen groen'!E107&gt;0,'Invullen groen'!A107,""),"")</f>
        <v/>
      </c>
      <c r="C94" s="287">
        <f>IFERROR(IF('Invullen groen'!E107&gt;0,'Invullen groen'!C107,""),"")</f>
        <v/>
      </c>
      <c r="D94" s="287">
        <f>IFERROR(IF('Invullen groen'!E107&gt;0,'Invullen groen'!D107,""),"")</f>
        <v/>
      </c>
      <c r="E94" s="287">
        <f>IFERROR(IF('Invullen groen'!E107&gt;0,'Invullen groen'!G107,""),"")</f>
        <v/>
      </c>
      <c r="F94" s="364">
        <f>IFERROR(IF('Invullen groen'!L107&lt;&gt;0,'Invullen groen'!L107,""),"")</f>
        <v/>
      </c>
      <c r="G94" s="364">
        <f>IFERROR(IF('Invullen groen'!M107&lt;&gt;0,'Invullen groen'!M107,""),"")</f>
        <v/>
      </c>
      <c r="H94" s="364">
        <f>IFERROR(IF('Invullen groen'!N107&lt;&gt;0,'Invullen groen'!N107,""),"")</f>
        <v/>
      </c>
      <c r="I94" s="364">
        <f>IFERROR(IF('Invullen groen'!O107&lt;&gt;0,'Invullen groen'!O107,""),"")</f>
        <v/>
      </c>
    </row>
    <row r="95" ht="14" customHeight="1">
      <c r="A95" s="287">
        <f>IFERROR(IF('Invullen groen'!E108&gt;0,108-17,""),"")</f>
        <v/>
      </c>
      <c r="B95" s="287">
        <f>IFERROR(IF('Invullen groen'!E108&gt;0,'Invullen groen'!A108,""),"")</f>
        <v/>
      </c>
      <c r="C95" s="287">
        <f>IFERROR(IF('Invullen groen'!E108&gt;0,'Invullen groen'!C108,""),"")</f>
        <v/>
      </c>
      <c r="D95" s="287">
        <f>IFERROR(IF('Invullen groen'!E108&gt;0,'Invullen groen'!D108,""),"")</f>
        <v/>
      </c>
      <c r="E95" s="287">
        <f>IFERROR(IF('Invullen groen'!E108&gt;0,'Invullen groen'!G108,""),"")</f>
        <v/>
      </c>
      <c r="F95" s="364">
        <f>IFERROR(IF('Invullen groen'!L108&lt;&gt;0,'Invullen groen'!L108,""),"")</f>
        <v/>
      </c>
      <c r="G95" s="364">
        <f>IFERROR(IF('Invullen groen'!M108&lt;&gt;0,'Invullen groen'!M108,""),"")</f>
        <v/>
      </c>
      <c r="H95" s="364">
        <f>IFERROR(IF('Invullen groen'!N108&lt;&gt;0,'Invullen groen'!N108,""),"")</f>
        <v/>
      </c>
      <c r="I95" s="364">
        <f>IFERROR(IF('Invullen groen'!O108&lt;&gt;0,'Invullen groen'!O108,""),"")</f>
        <v/>
      </c>
    </row>
    <row r="96" ht="14" customHeight="1">
      <c r="A96" s="287">
        <f>IFERROR(IF('Invullen groen'!E109&gt;0,109-17,""),"")</f>
        <v/>
      </c>
      <c r="B96" s="287">
        <f>IFERROR(IF('Invullen groen'!E109&gt;0,'Invullen groen'!A109,""),"")</f>
        <v/>
      </c>
      <c r="C96" s="287">
        <f>IFERROR(IF('Invullen groen'!E109&gt;0,'Invullen groen'!C109,""),"")</f>
        <v/>
      </c>
      <c r="D96" s="287">
        <f>IFERROR(IF('Invullen groen'!E109&gt;0,'Invullen groen'!D109,""),"")</f>
        <v/>
      </c>
      <c r="E96" s="287">
        <f>IFERROR(IF('Invullen groen'!E109&gt;0,'Invullen groen'!G109,""),"")</f>
        <v/>
      </c>
      <c r="F96" s="364">
        <f>IFERROR(IF('Invullen groen'!L109&lt;&gt;0,'Invullen groen'!L109,""),"")</f>
        <v/>
      </c>
      <c r="G96" s="364">
        <f>IFERROR(IF('Invullen groen'!M109&lt;&gt;0,'Invullen groen'!M109,""),"")</f>
        <v/>
      </c>
      <c r="H96" s="364">
        <f>IFERROR(IF('Invullen groen'!N109&lt;&gt;0,'Invullen groen'!N109,""),"")</f>
        <v/>
      </c>
      <c r="I96" s="364">
        <f>IFERROR(IF('Invullen groen'!O109&lt;&gt;0,'Invullen groen'!O109,""),"")</f>
        <v/>
      </c>
    </row>
    <row r="97" ht="14" customHeight="1">
      <c r="A97" s="287">
        <f>IFERROR(IF('Invullen groen'!E110&gt;0,110-17,""),"")</f>
        <v/>
      </c>
      <c r="B97" s="287">
        <f>IFERROR(IF('Invullen groen'!E110&gt;0,'Invullen groen'!A110,""),"")</f>
        <v/>
      </c>
      <c r="C97" s="287">
        <f>IFERROR(IF('Invullen groen'!E110&gt;0,'Invullen groen'!C110,""),"")</f>
        <v/>
      </c>
      <c r="D97" s="287">
        <f>IFERROR(IF('Invullen groen'!E110&gt;0,'Invullen groen'!D110,""),"")</f>
        <v/>
      </c>
      <c r="E97" s="287">
        <f>IFERROR(IF('Invullen groen'!E110&gt;0,'Invullen groen'!G110,""),"")</f>
        <v/>
      </c>
      <c r="F97" s="364">
        <f>IFERROR(IF('Invullen groen'!L110&lt;&gt;0,'Invullen groen'!L110,""),"")</f>
        <v/>
      </c>
      <c r="G97" s="364">
        <f>IFERROR(IF('Invullen groen'!M110&lt;&gt;0,'Invullen groen'!M110,""),"")</f>
        <v/>
      </c>
      <c r="H97" s="364">
        <f>IFERROR(IF('Invullen groen'!N110&lt;&gt;0,'Invullen groen'!N110,""),"")</f>
        <v/>
      </c>
      <c r="I97" s="364">
        <f>IFERROR(IF('Invullen groen'!O110&lt;&gt;0,'Invullen groen'!O110,""),"")</f>
        <v/>
      </c>
    </row>
    <row r="98" ht="14" customHeight="1">
      <c r="A98" s="287">
        <f>IFERROR(IF('Invullen groen'!E111&gt;0,111-17,""),"")</f>
        <v/>
      </c>
      <c r="B98" s="287">
        <f>IFERROR(IF('Invullen groen'!E111&gt;0,'Invullen groen'!A111,""),"")</f>
        <v/>
      </c>
      <c r="C98" s="287">
        <f>IFERROR(IF('Invullen groen'!E111&gt;0,'Invullen groen'!C111,""),"")</f>
        <v/>
      </c>
      <c r="D98" s="287">
        <f>IFERROR(IF('Invullen groen'!E111&gt;0,'Invullen groen'!D111,""),"")</f>
        <v/>
      </c>
      <c r="E98" s="287">
        <f>IFERROR(IF('Invullen groen'!E111&gt;0,'Invullen groen'!G111,""),"")</f>
        <v/>
      </c>
      <c r="F98" s="364">
        <f>IFERROR(IF('Invullen groen'!L111&lt;&gt;0,'Invullen groen'!L111,""),"")</f>
        <v/>
      </c>
      <c r="G98" s="364">
        <f>IFERROR(IF('Invullen groen'!M111&lt;&gt;0,'Invullen groen'!M111,""),"")</f>
        <v/>
      </c>
      <c r="H98" s="364">
        <f>IFERROR(IF('Invullen groen'!N111&lt;&gt;0,'Invullen groen'!N111,""),"")</f>
        <v/>
      </c>
      <c r="I98" s="364">
        <f>IFERROR(IF('Invullen groen'!O111&lt;&gt;0,'Invullen groen'!O111,""),"")</f>
        <v/>
      </c>
    </row>
    <row r="99" ht="14" customHeight="1">
      <c r="A99" s="287">
        <f>IFERROR(IF('Invullen groen'!E112&gt;0,112-17,""),"")</f>
        <v/>
      </c>
      <c r="B99" s="287">
        <f>IFERROR(IF('Invullen groen'!E112&gt;0,'Invullen groen'!A112,""),"")</f>
        <v/>
      </c>
      <c r="C99" s="287">
        <f>IFERROR(IF('Invullen groen'!E112&gt;0,'Invullen groen'!C112,""),"")</f>
        <v/>
      </c>
      <c r="D99" s="287">
        <f>IFERROR(IF('Invullen groen'!E112&gt;0,'Invullen groen'!D112,""),"")</f>
        <v/>
      </c>
      <c r="E99" s="287">
        <f>IFERROR(IF('Invullen groen'!E112&gt;0,'Invullen groen'!G112,""),"")</f>
        <v/>
      </c>
      <c r="F99" s="364">
        <f>IFERROR(IF('Invullen groen'!L112&lt;&gt;0,'Invullen groen'!L112,""),"")</f>
        <v/>
      </c>
      <c r="G99" s="364">
        <f>IFERROR(IF('Invullen groen'!M112&lt;&gt;0,'Invullen groen'!M112,""),"")</f>
        <v/>
      </c>
      <c r="H99" s="364">
        <f>IFERROR(IF('Invullen groen'!N112&lt;&gt;0,'Invullen groen'!N112,""),"")</f>
        <v/>
      </c>
      <c r="I99" s="364">
        <f>IFERROR(IF('Invullen groen'!O112&lt;&gt;0,'Invullen groen'!O112,""),"")</f>
        <v/>
      </c>
    </row>
    <row r="100" ht="14" customHeight="1">
      <c r="A100" s="287">
        <f>IFERROR(IF('Invullen groen'!E113&gt;0,113-17,""),"")</f>
        <v/>
      </c>
      <c r="B100" s="287">
        <f>IFERROR(IF('Invullen groen'!E113&gt;0,'Invullen groen'!A113,""),"")</f>
        <v/>
      </c>
      <c r="C100" s="287">
        <f>IFERROR(IF('Invullen groen'!E113&gt;0,'Invullen groen'!C113,""),"")</f>
        <v/>
      </c>
      <c r="D100" s="287">
        <f>IFERROR(IF('Invullen groen'!E113&gt;0,'Invullen groen'!D113,""),"")</f>
        <v/>
      </c>
      <c r="E100" s="287">
        <f>IFERROR(IF('Invullen groen'!E113&gt;0,'Invullen groen'!G113,""),"")</f>
        <v/>
      </c>
      <c r="F100" s="364">
        <f>IFERROR(IF('Invullen groen'!L113&lt;&gt;0,'Invullen groen'!L113,""),"")</f>
        <v/>
      </c>
      <c r="G100" s="364">
        <f>IFERROR(IF('Invullen groen'!M113&lt;&gt;0,'Invullen groen'!M113,""),"")</f>
        <v/>
      </c>
      <c r="H100" s="364">
        <f>IFERROR(IF('Invullen groen'!N113&lt;&gt;0,'Invullen groen'!N113,""),"")</f>
        <v/>
      </c>
      <c r="I100" s="364">
        <f>IFERROR(IF('Invullen groen'!O113&lt;&gt;0,'Invullen groen'!O113,""),"")</f>
        <v/>
      </c>
    </row>
    <row r="101" ht="14" customHeight="1">
      <c r="A101" s="287">
        <f>IFERROR(IF('Invullen groen'!E114&gt;0,114-17,""),"")</f>
        <v/>
      </c>
      <c r="B101" s="287">
        <f>IFERROR(IF('Invullen groen'!E114&gt;0,'Invullen groen'!A114,""),"")</f>
        <v/>
      </c>
      <c r="C101" s="287">
        <f>IFERROR(IF('Invullen groen'!E114&gt;0,'Invullen groen'!C114,""),"")</f>
        <v/>
      </c>
      <c r="D101" s="287">
        <f>IFERROR(IF('Invullen groen'!E114&gt;0,'Invullen groen'!D114,""),"")</f>
        <v/>
      </c>
      <c r="E101" s="287">
        <f>IFERROR(IF('Invullen groen'!E114&gt;0,'Invullen groen'!G114,""),"")</f>
        <v/>
      </c>
      <c r="F101" s="364">
        <f>IFERROR(IF('Invullen groen'!L114&lt;&gt;0,'Invullen groen'!L114,""),"")</f>
        <v/>
      </c>
      <c r="G101" s="364">
        <f>IFERROR(IF('Invullen groen'!M114&lt;&gt;0,'Invullen groen'!M114,""),"")</f>
        <v/>
      </c>
      <c r="H101" s="364">
        <f>IFERROR(IF('Invullen groen'!N114&lt;&gt;0,'Invullen groen'!N114,""),"")</f>
        <v/>
      </c>
      <c r="I101" s="364">
        <f>IFERROR(IF('Invullen groen'!O114&lt;&gt;0,'Invullen groen'!O114,""),"")</f>
        <v/>
      </c>
    </row>
    <row r="102" ht="14" customHeight="1">
      <c r="A102" s="287">
        <f>IFERROR(IF('Invullen groen'!E115&gt;0,115-17,""),"")</f>
        <v/>
      </c>
      <c r="B102" s="287">
        <f>IFERROR(IF('Invullen groen'!E115&gt;0,'Invullen groen'!A115,""),"")</f>
        <v/>
      </c>
      <c r="C102" s="287">
        <f>IFERROR(IF('Invullen groen'!E115&gt;0,'Invullen groen'!C115,""),"")</f>
        <v/>
      </c>
      <c r="D102" s="287">
        <f>IFERROR(IF('Invullen groen'!E115&gt;0,'Invullen groen'!D115,""),"")</f>
        <v/>
      </c>
      <c r="E102" s="287">
        <f>IFERROR(IF('Invullen groen'!E115&gt;0,'Invullen groen'!G115,""),"")</f>
        <v/>
      </c>
      <c r="F102" s="364">
        <f>IFERROR(IF('Invullen groen'!L115&lt;&gt;0,'Invullen groen'!L115,""),"")</f>
        <v/>
      </c>
      <c r="G102" s="364">
        <f>IFERROR(IF('Invullen groen'!M115&lt;&gt;0,'Invullen groen'!M115,""),"")</f>
        <v/>
      </c>
      <c r="H102" s="364">
        <f>IFERROR(IF('Invullen groen'!N115&lt;&gt;0,'Invullen groen'!N115,""),"")</f>
        <v/>
      </c>
      <c r="I102" s="364">
        <f>IFERROR(IF('Invullen groen'!O115&lt;&gt;0,'Invullen groen'!O115,""),"")</f>
        <v/>
      </c>
    </row>
    <row r="103" ht="14" customHeight="1">
      <c r="A103" s="287">
        <f>IFERROR(IF('Invullen groen'!E116&gt;0,116-17,""),"")</f>
        <v/>
      </c>
      <c r="B103" s="287">
        <f>IFERROR(IF('Invullen groen'!E116&gt;0,'Invullen groen'!A116,""),"")</f>
        <v/>
      </c>
      <c r="C103" s="287">
        <f>IFERROR(IF('Invullen groen'!E116&gt;0,'Invullen groen'!C116,""),"")</f>
        <v/>
      </c>
      <c r="D103" s="287">
        <f>IFERROR(IF('Invullen groen'!E116&gt;0,'Invullen groen'!D116,""),"")</f>
        <v/>
      </c>
      <c r="E103" s="287">
        <f>IFERROR(IF('Invullen groen'!E116&gt;0,'Invullen groen'!G116,""),"")</f>
        <v/>
      </c>
      <c r="F103" s="364">
        <f>IFERROR(IF('Invullen groen'!L116&lt;&gt;0,'Invullen groen'!L116,""),"")</f>
        <v/>
      </c>
      <c r="G103" s="364">
        <f>IFERROR(IF('Invullen groen'!M116&lt;&gt;0,'Invullen groen'!M116,""),"")</f>
        <v/>
      </c>
      <c r="H103" s="364">
        <f>IFERROR(IF('Invullen groen'!N116&lt;&gt;0,'Invullen groen'!N116,""),"")</f>
        <v/>
      </c>
      <c r="I103" s="364">
        <f>IFERROR(IF('Invullen groen'!O116&lt;&gt;0,'Invullen groen'!O116,""),"")</f>
        <v/>
      </c>
    </row>
    <row r="104" ht="14" customHeight="1">
      <c r="A104" s="287">
        <f>IFERROR(IF('Invullen groen'!E117&gt;0,117-17,""),"")</f>
        <v/>
      </c>
      <c r="B104" s="287">
        <f>IFERROR(IF('Invullen groen'!E117&gt;0,'Invullen groen'!A117,""),"")</f>
        <v/>
      </c>
      <c r="C104" s="287">
        <f>IFERROR(IF('Invullen groen'!E117&gt;0,'Invullen groen'!C117,""),"")</f>
        <v/>
      </c>
      <c r="D104" s="287">
        <f>IFERROR(IF('Invullen groen'!E117&gt;0,'Invullen groen'!D117,""),"")</f>
        <v/>
      </c>
      <c r="E104" s="287">
        <f>IFERROR(IF('Invullen groen'!E117&gt;0,'Invullen groen'!G117,""),"")</f>
        <v/>
      </c>
      <c r="F104" s="364">
        <f>IFERROR(IF('Invullen groen'!L117&lt;&gt;0,'Invullen groen'!L117,""),"")</f>
        <v/>
      </c>
      <c r="G104" s="364">
        <f>IFERROR(IF('Invullen groen'!M117&lt;&gt;0,'Invullen groen'!M117,""),"")</f>
        <v/>
      </c>
      <c r="H104" s="364">
        <f>IFERROR(IF('Invullen groen'!N117&lt;&gt;0,'Invullen groen'!N117,""),"")</f>
        <v/>
      </c>
      <c r="I104" s="364">
        <f>IFERROR(IF('Invullen groen'!O117&lt;&gt;0,'Invullen groen'!O117,""),"")</f>
        <v/>
      </c>
    </row>
    <row r="105" ht="14" customHeight="1">
      <c r="A105" s="287">
        <f>IFERROR(IF('Invullen groen'!E118&gt;0,118-17,""),"")</f>
        <v/>
      </c>
      <c r="B105" s="287">
        <f>IFERROR(IF('Invullen groen'!E118&gt;0,'Invullen groen'!A118,""),"")</f>
        <v/>
      </c>
      <c r="C105" s="287">
        <f>IFERROR(IF('Invullen groen'!E118&gt;0,'Invullen groen'!C118,""),"")</f>
        <v/>
      </c>
      <c r="D105" s="287">
        <f>IFERROR(IF('Invullen groen'!E118&gt;0,'Invullen groen'!D118,""),"")</f>
        <v/>
      </c>
      <c r="E105" s="287">
        <f>IFERROR(IF('Invullen groen'!E118&gt;0,'Invullen groen'!G118,""),"")</f>
        <v/>
      </c>
      <c r="F105" s="364">
        <f>IFERROR(IF('Invullen groen'!L118&lt;&gt;0,'Invullen groen'!L118,""),"")</f>
        <v/>
      </c>
      <c r="G105" s="364">
        <f>IFERROR(IF('Invullen groen'!M118&lt;&gt;0,'Invullen groen'!M118,""),"")</f>
        <v/>
      </c>
      <c r="H105" s="364">
        <f>IFERROR(IF('Invullen groen'!N118&lt;&gt;0,'Invullen groen'!N118,""),"")</f>
        <v/>
      </c>
      <c r="I105" s="364">
        <f>IFERROR(IF('Invullen groen'!O118&lt;&gt;0,'Invullen groen'!O118,""),"")</f>
        <v/>
      </c>
    </row>
    <row r="106" ht="14" customHeight="1">
      <c r="A106" s="287">
        <f>IFERROR(IF('Invullen groen'!E119&gt;0,119-17,""),"")</f>
        <v/>
      </c>
      <c r="B106" s="287">
        <f>IFERROR(IF('Invullen groen'!E119&gt;0,'Invullen groen'!A119,""),"")</f>
        <v/>
      </c>
      <c r="C106" s="287">
        <f>IFERROR(IF('Invullen groen'!E119&gt;0,'Invullen groen'!C119,""),"")</f>
        <v/>
      </c>
      <c r="D106" s="287">
        <f>IFERROR(IF('Invullen groen'!E119&gt;0,'Invullen groen'!D119,""),"")</f>
        <v/>
      </c>
      <c r="E106" s="287">
        <f>IFERROR(IF('Invullen groen'!E119&gt;0,'Invullen groen'!G119,""),"")</f>
        <v/>
      </c>
      <c r="F106" s="364">
        <f>IFERROR(IF('Invullen groen'!L119&lt;&gt;0,'Invullen groen'!L119,""),"")</f>
        <v/>
      </c>
      <c r="G106" s="364">
        <f>IFERROR(IF('Invullen groen'!M119&lt;&gt;0,'Invullen groen'!M119,""),"")</f>
        <v/>
      </c>
      <c r="H106" s="364">
        <f>IFERROR(IF('Invullen groen'!N119&lt;&gt;0,'Invullen groen'!N119,""),"")</f>
        <v/>
      </c>
      <c r="I106" s="364">
        <f>IFERROR(IF('Invullen groen'!O119&lt;&gt;0,'Invullen groen'!O119,""),"")</f>
        <v/>
      </c>
    </row>
    <row r="107" ht="14" customHeight="1">
      <c r="A107" s="287">
        <f>IFERROR(IF('Invullen groen'!E120&gt;0,120-17,""),"")</f>
        <v/>
      </c>
      <c r="B107" s="287">
        <f>IFERROR(IF('Invullen groen'!E120&gt;0,'Invullen groen'!A120,""),"")</f>
        <v/>
      </c>
      <c r="C107" s="287">
        <f>IFERROR(IF('Invullen groen'!E120&gt;0,'Invullen groen'!C120,""),"")</f>
        <v/>
      </c>
      <c r="D107" s="287">
        <f>IFERROR(IF('Invullen groen'!E120&gt;0,'Invullen groen'!D120,""),"")</f>
        <v/>
      </c>
      <c r="E107" s="287">
        <f>IFERROR(IF('Invullen groen'!E120&gt;0,'Invullen groen'!G120,""),"")</f>
        <v/>
      </c>
      <c r="F107" s="364">
        <f>IFERROR(IF('Invullen groen'!L120&lt;&gt;0,'Invullen groen'!L120,""),"")</f>
        <v/>
      </c>
      <c r="G107" s="364">
        <f>IFERROR(IF('Invullen groen'!M120&lt;&gt;0,'Invullen groen'!M120,""),"")</f>
        <v/>
      </c>
      <c r="H107" s="364">
        <f>IFERROR(IF('Invullen groen'!N120&lt;&gt;0,'Invullen groen'!N120,""),"")</f>
        <v/>
      </c>
      <c r="I107" s="364">
        <f>IFERROR(IF('Invullen groen'!O120&lt;&gt;0,'Invullen groen'!O120,""),"")</f>
        <v/>
      </c>
    </row>
    <row r="108" ht="14" customHeight="1">
      <c r="A108" s="287">
        <f>IFERROR(IF('Invullen groen'!E121&gt;0,121-17,""),"")</f>
        <v/>
      </c>
      <c r="B108" s="287">
        <f>IFERROR(IF('Invullen groen'!E121&gt;0,'Invullen groen'!A121,""),"")</f>
        <v/>
      </c>
      <c r="C108" s="287">
        <f>IFERROR(IF('Invullen groen'!E121&gt;0,'Invullen groen'!C121,""),"")</f>
        <v/>
      </c>
      <c r="D108" s="287">
        <f>IFERROR(IF('Invullen groen'!E121&gt;0,'Invullen groen'!D121,""),"")</f>
        <v/>
      </c>
      <c r="E108" s="287">
        <f>IFERROR(IF('Invullen groen'!E121&gt;0,'Invullen groen'!G121,""),"")</f>
        <v/>
      </c>
      <c r="F108" s="364">
        <f>IFERROR(IF('Invullen groen'!L121&lt;&gt;0,'Invullen groen'!L121,""),"")</f>
        <v/>
      </c>
      <c r="G108" s="364">
        <f>IFERROR(IF('Invullen groen'!M121&lt;&gt;0,'Invullen groen'!M121,""),"")</f>
        <v/>
      </c>
      <c r="H108" s="364">
        <f>IFERROR(IF('Invullen groen'!N121&lt;&gt;0,'Invullen groen'!N121,""),"")</f>
        <v/>
      </c>
      <c r="I108" s="364">
        <f>IFERROR(IF('Invullen groen'!O121&lt;&gt;0,'Invullen groen'!O121,""),"")</f>
        <v/>
      </c>
    </row>
    <row r="109" ht="14" customHeight="1">
      <c r="A109" s="287">
        <f>IFERROR(IF('Invullen groen'!E122&gt;0,122-17,""),"")</f>
        <v/>
      </c>
      <c r="B109" s="287">
        <f>IFERROR(IF('Invullen groen'!E122&gt;0,'Invullen groen'!A122,""),"")</f>
        <v/>
      </c>
      <c r="C109" s="287">
        <f>IFERROR(IF('Invullen groen'!E122&gt;0,'Invullen groen'!C122,""),"")</f>
        <v/>
      </c>
      <c r="D109" s="287">
        <f>IFERROR(IF('Invullen groen'!E122&gt;0,'Invullen groen'!D122,""),"")</f>
        <v/>
      </c>
      <c r="E109" s="287">
        <f>IFERROR(IF('Invullen groen'!E122&gt;0,'Invullen groen'!G122,""),"")</f>
        <v/>
      </c>
      <c r="F109" s="364">
        <f>IFERROR(IF('Invullen groen'!L122&lt;&gt;0,'Invullen groen'!L122,""),"")</f>
        <v/>
      </c>
      <c r="G109" s="364">
        <f>IFERROR(IF('Invullen groen'!M122&lt;&gt;0,'Invullen groen'!M122,""),"")</f>
        <v/>
      </c>
      <c r="H109" s="364">
        <f>IFERROR(IF('Invullen groen'!N122&lt;&gt;0,'Invullen groen'!N122,""),"")</f>
        <v/>
      </c>
      <c r="I109" s="364">
        <f>IFERROR(IF('Invullen groen'!O122&lt;&gt;0,'Invullen groen'!O122,""),"")</f>
        <v/>
      </c>
    </row>
    <row r="110" ht="14" customHeight="1">
      <c r="A110" s="287">
        <f>IFERROR(IF('Invullen groen'!E123&gt;0,123-17,""),"")</f>
        <v/>
      </c>
      <c r="B110" s="287">
        <f>IFERROR(IF('Invullen groen'!E123&gt;0,'Invullen groen'!A123,""),"")</f>
        <v/>
      </c>
      <c r="C110" s="287">
        <f>IFERROR(IF('Invullen groen'!E123&gt;0,'Invullen groen'!C123,""),"")</f>
        <v/>
      </c>
      <c r="D110" s="287">
        <f>IFERROR(IF('Invullen groen'!E123&gt;0,'Invullen groen'!D123,""),"")</f>
        <v/>
      </c>
      <c r="E110" s="287">
        <f>IFERROR(IF('Invullen groen'!E123&gt;0,'Invullen groen'!G123,""),"")</f>
        <v/>
      </c>
      <c r="F110" s="364">
        <f>IFERROR(IF('Invullen groen'!L123&lt;&gt;0,'Invullen groen'!L123,""),"")</f>
        <v/>
      </c>
      <c r="G110" s="364">
        <f>IFERROR(IF('Invullen groen'!M123&lt;&gt;0,'Invullen groen'!M123,""),"")</f>
        <v/>
      </c>
      <c r="H110" s="364">
        <f>IFERROR(IF('Invullen groen'!N123&lt;&gt;0,'Invullen groen'!N123,""),"")</f>
        <v/>
      </c>
      <c r="I110" s="364">
        <f>IFERROR(IF('Invullen groen'!O123&lt;&gt;0,'Invullen groen'!O123,""),"")</f>
        <v/>
      </c>
    </row>
    <row r="111" ht="14" customHeight="1">
      <c r="A111" s="287">
        <f>IFERROR(IF('Invullen groen'!E124&gt;0,124-17,""),"")</f>
        <v/>
      </c>
      <c r="B111" s="287">
        <f>IFERROR(IF('Invullen groen'!E124&gt;0,'Invullen groen'!A124,""),"")</f>
        <v/>
      </c>
      <c r="C111" s="287">
        <f>IFERROR(IF('Invullen groen'!E124&gt;0,'Invullen groen'!C124,""),"")</f>
        <v/>
      </c>
      <c r="D111" s="287">
        <f>IFERROR(IF('Invullen groen'!E124&gt;0,'Invullen groen'!D124,""),"")</f>
        <v/>
      </c>
      <c r="E111" s="287">
        <f>IFERROR(IF('Invullen groen'!E124&gt;0,'Invullen groen'!G124,""),"")</f>
        <v/>
      </c>
      <c r="F111" s="364">
        <f>IFERROR(IF('Invullen groen'!L124&lt;&gt;0,'Invullen groen'!L124,""),"")</f>
        <v/>
      </c>
      <c r="G111" s="364">
        <f>IFERROR(IF('Invullen groen'!M124&lt;&gt;0,'Invullen groen'!M124,""),"")</f>
        <v/>
      </c>
      <c r="H111" s="364">
        <f>IFERROR(IF('Invullen groen'!N124&lt;&gt;0,'Invullen groen'!N124,""),"")</f>
        <v/>
      </c>
      <c r="I111" s="364">
        <f>IFERROR(IF('Invullen groen'!O124&lt;&gt;0,'Invullen groen'!O124,""),"")</f>
        <v/>
      </c>
    </row>
    <row r="112" ht="14" customHeight="1">
      <c r="A112" s="287">
        <f>IFERROR(IF('Invullen groen'!E125&gt;0,125-17,""),"")</f>
        <v/>
      </c>
      <c r="B112" s="287">
        <f>IFERROR(IF('Invullen groen'!E125&gt;0,'Invullen groen'!A125,""),"")</f>
        <v/>
      </c>
      <c r="C112" s="287">
        <f>IFERROR(IF('Invullen groen'!E125&gt;0,'Invullen groen'!C125,""),"")</f>
        <v/>
      </c>
      <c r="D112" s="287">
        <f>IFERROR(IF('Invullen groen'!E125&gt;0,'Invullen groen'!D125,""),"")</f>
        <v/>
      </c>
      <c r="E112" s="287">
        <f>IFERROR(IF('Invullen groen'!E125&gt;0,'Invullen groen'!G125,""),"")</f>
        <v/>
      </c>
      <c r="F112" s="364">
        <f>IFERROR(IF('Invullen groen'!L125&lt;&gt;0,'Invullen groen'!L125,""),"")</f>
        <v/>
      </c>
      <c r="G112" s="364">
        <f>IFERROR(IF('Invullen groen'!M125&lt;&gt;0,'Invullen groen'!M125,""),"")</f>
        <v/>
      </c>
      <c r="H112" s="364">
        <f>IFERROR(IF('Invullen groen'!N125&lt;&gt;0,'Invullen groen'!N125,""),"")</f>
        <v/>
      </c>
      <c r="I112" s="364">
        <f>IFERROR(IF('Invullen groen'!O125&lt;&gt;0,'Invullen groen'!O125,""),"")</f>
        <v/>
      </c>
    </row>
    <row r="113" ht="14" customHeight="1">
      <c r="A113" s="287">
        <f>IFERROR(IF('Invullen groen'!E126&gt;0,126-17,""),"")</f>
        <v/>
      </c>
      <c r="B113" s="287">
        <f>IFERROR(IF('Invullen groen'!E126&gt;0,'Invullen groen'!A126,""),"")</f>
        <v/>
      </c>
      <c r="C113" s="287">
        <f>IFERROR(IF('Invullen groen'!E126&gt;0,'Invullen groen'!C126,""),"")</f>
        <v/>
      </c>
      <c r="D113" s="287">
        <f>IFERROR(IF('Invullen groen'!E126&gt;0,'Invullen groen'!D126,""),"")</f>
        <v/>
      </c>
      <c r="E113" s="287">
        <f>IFERROR(IF('Invullen groen'!E126&gt;0,'Invullen groen'!G126,""),"")</f>
        <v/>
      </c>
      <c r="F113" s="364">
        <f>IFERROR(IF('Invullen groen'!L126&lt;&gt;0,'Invullen groen'!L126,""),"")</f>
        <v/>
      </c>
      <c r="G113" s="364">
        <f>IFERROR(IF('Invullen groen'!M126&lt;&gt;0,'Invullen groen'!M126,""),"")</f>
        <v/>
      </c>
      <c r="H113" s="364">
        <f>IFERROR(IF('Invullen groen'!N126&lt;&gt;0,'Invullen groen'!N126,""),"")</f>
        <v/>
      </c>
      <c r="I113" s="364">
        <f>IFERROR(IF('Invullen groen'!O126&lt;&gt;0,'Invullen groen'!O126,""),"")</f>
        <v/>
      </c>
    </row>
    <row r="114" ht="14" customHeight="1">
      <c r="A114" s="287">
        <f>IFERROR(IF('Invullen groen'!E127&gt;0,127-17,""),"")</f>
        <v/>
      </c>
      <c r="B114" s="287">
        <f>IFERROR(IF('Invullen groen'!E127&gt;0,'Invullen groen'!A127,""),"")</f>
        <v/>
      </c>
      <c r="C114" s="287">
        <f>IFERROR(IF('Invullen groen'!E127&gt;0,'Invullen groen'!C127,""),"")</f>
        <v/>
      </c>
      <c r="D114" s="287">
        <f>IFERROR(IF('Invullen groen'!E127&gt;0,'Invullen groen'!D127,""),"")</f>
        <v/>
      </c>
      <c r="E114" s="287">
        <f>IFERROR(IF('Invullen groen'!E127&gt;0,'Invullen groen'!G127,""),"")</f>
        <v/>
      </c>
      <c r="F114" s="364">
        <f>IFERROR(IF('Invullen groen'!L127&lt;&gt;0,'Invullen groen'!L127,""),"")</f>
        <v/>
      </c>
      <c r="G114" s="364">
        <f>IFERROR(IF('Invullen groen'!M127&lt;&gt;0,'Invullen groen'!M127,""),"")</f>
        <v/>
      </c>
      <c r="H114" s="364">
        <f>IFERROR(IF('Invullen groen'!N127&lt;&gt;0,'Invullen groen'!N127,""),"")</f>
        <v/>
      </c>
      <c r="I114" s="364">
        <f>IFERROR(IF('Invullen groen'!O127&lt;&gt;0,'Invullen groen'!O127,""),"")</f>
        <v/>
      </c>
    </row>
    <row r="115" ht="14" customHeight="1">
      <c r="A115" s="287">
        <f>IFERROR(IF('Invullen groen'!E128&gt;0,128-17,""),"")</f>
        <v/>
      </c>
      <c r="B115" s="287">
        <f>IFERROR(IF('Invullen groen'!E128&gt;0,'Invullen groen'!A128,""),"")</f>
        <v/>
      </c>
      <c r="C115" s="287">
        <f>IFERROR(IF('Invullen groen'!E128&gt;0,'Invullen groen'!C128,""),"")</f>
        <v/>
      </c>
      <c r="D115" s="287">
        <f>IFERROR(IF('Invullen groen'!E128&gt;0,'Invullen groen'!D128,""),"")</f>
        <v/>
      </c>
      <c r="E115" s="287">
        <f>IFERROR(IF('Invullen groen'!E128&gt;0,'Invullen groen'!G128,""),"")</f>
        <v/>
      </c>
      <c r="F115" s="364">
        <f>IFERROR(IF('Invullen groen'!L128&lt;&gt;0,'Invullen groen'!L128,""),"")</f>
        <v/>
      </c>
      <c r="G115" s="364">
        <f>IFERROR(IF('Invullen groen'!M128&lt;&gt;0,'Invullen groen'!M128,""),"")</f>
        <v/>
      </c>
      <c r="H115" s="364">
        <f>IFERROR(IF('Invullen groen'!N128&lt;&gt;0,'Invullen groen'!N128,""),"")</f>
        <v/>
      </c>
      <c r="I115" s="364">
        <f>IFERROR(IF('Invullen groen'!O128&lt;&gt;0,'Invullen groen'!O128,""),"")</f>
        <v/>
      </c>
    </row>
    <row r="116" ht="14" customHeight="1">
      <c r="A116" s="287">
        <f>IFERROR(IF('Invullen groen'!E129&gt;0,129-17,""),"")</f>
        <v/>
      </c>
      <c r="B116" s="287">
        <f>IFERROR(IF('Invullen groen'!E129&gt;0,'Invullen groen'!A129,""),"")</f>
        <v/>
      </c>
      <c r="C116" s="287">
        <f>IFERROR(IF('Invullen groen'!E129&gt;0,'Invullen groen'!C129,""),"")</f>
        <v/>
      </c>
      <c r="D116" s="287">
        <f>IFERROR(IF('Invullen groen'!E129&gt;0,'Invullen groen'!D129,""),"")</f>
        <v/>
      </c>
      <c r="E116" s="287">
        <f>IFERROR(IF('Invullen groen'!E129&gt;0,'Invullen groen'!G129,""),"")</f>
        <v/>
      </c>
      <c r="F116" s="364">
        <f>IFERROR(IF('Invullen groen'!L129&lt;&gt;0,'Invullen groen'!L129,""),"")</f>
        <v/>
      </c>
      <c r="G116" s="364">
        <f>IFERROR(IF('Invullen groen'!M129&lt;&gt;0,'Invullen groen'!M129,""),"")</f>
        <v/>
      </c>
      <c r="H116" s="364">
        <f>IFERROR(IF('Invullen groen'!N129&lt;&gt;0,'Invullen groen'!N129,""),"")</f>
        <v/>
      </c>
      <c r="I116" s="364">
        <f>IFERROR(IF('Invullen groen'!O129&lt;&gt;0,'Invullen groen'!O129,""),"")</f>
        <v/>
      </c>
    </row>
    <row r="117" ht="14" customHeight="1">
      <c r="A117" s="287">
        <f>IFERROR(IF('Invullen groen'!E130&gt;0,130-17,""),"")</f>
        <v/>
      </c>
      <c r="B117" s="287">
        <f>IFERROR(IF('Invullen groen'!E130&gt;0,'Invullen groen'!A130,""),"")</f>
        <v/>
      </c>
      <c r="C117" s="287">
        <f>IFERROR(IF('Invullen groen'!E130&gt;0,'Invullen groen'!C130,""),"")</f>
        <v/>
      </c>
      <c r="D117" s="287">
        <f>IFERROR(IF('Invullen groen'!E130&gt;0,'Invullen groen'!D130,""),"")</f>
        <v/>
      </c>
      <c r="E117" s="287">
        <f>IFERROR(IF('Invullen groen'!E130&gt;0,'Invullen groen'!G130,""),"")</f>
        <v/>
      </c>
      <c r="F117" s="364">
        <f>IFERROR(IF('Invullen groen'!L130&lt;&gt;0,'Invullen groen'!L130,""),"")</f>
        <v/>
      </c>
      <c r="G117" s="364">
        <f>IFERROR(IF('Invullen groen'!M130&lt;&gt;0,'Invullen groen'!M130,""),"")</f>
        <v/>
      </c>
      <c r="H117" s="364">
        <f>IFERROR(IF('Invullen groen'!N130&lt;&gt;0,'Invullen groen'!N130,""),"")</f>
        <v/>
      </c>
      <c r="I117" s="364">
        <f>IFERROR(IF('Invullen groen'!O130&lt;&gt;0,'Invullen groen'!O130,""),"")</f>
        <v/>
      </c>
    </row>
    <row r="118" ht="14" customHeight="1">
      <c r="A118" s="287">
        <f>IFERROR(IF('Invullen groen'!E131&gt;0,131-17,""),"")</f>
        <v/>
      </c>
      <c r="B118" s="287">
        <f>IFERROR(IF('Invullen groen'!E131&gt;0,'Invullen groen'!A131,""),"")</f>
        <v/>
      </c>
      <c r="C118" s="287">
        <f>IFERROR(IF('Invullen groen'!E131&gt;0,'Invullen groen'!C131,""),"")</f>
        <v/>
      </c>
      <c r="D118" s="287">
        <f>IFERROR(IF('Invullen groen'!E131&gt;0,'Invullen groen'!D131,""),"")</f>
        <v/>
      </c>
      <c r="E118" s="287">
        <f>IFERROR(IF('Invullen groen'!E131&gt;0,'Invullen groen'!G131,""),"")</f>
        <v/>
      </c>
      <c r="F118" s="364">
        <f>IFERROR(IF('Invullen groen'!L131&lt;&gt;0,'Invullen groen'!L131,""),"")</f>
        <v/>
      </c>
      <c r="G118" s="364">
        <f>IFERROR(IF('Invullen groen'!M131&lt;&gt;0,'Invullen groen'!M131,""),"")</f>
        <v/>
      </c>
      <c r="H118" s="364">
        <f>IFERROR(IF('Invullen groen'!N131&lt;&gt;0,'Invullen groen'!N131,""),"")</f>
        <v/>
      </c>
      <c r="I118" s="364">
        <f>IFERROR(IF('Invullen groen'!O131&lt;&gt;0,'Invullen groen'!O131,""),"")</f>
        <v/>
      </c>
    </row>
    <row r="119" ht="14" customHeight="1">
      <c r="A119" s="287">
        <f>IFERROR(IF('Invullen groen'!E132&gt;0,132-17,""),"")</f>
        <v/>
      </c>
      <c r="B119" s="287">
        <f>IFERROR(IF('Invullen groen'!E132&gt;0,'Invullen groen'!A132,""),"")</f>
        <v/>
      </c>
      <c r="C119" s="287">
        <f>IFERROR(IF('Invullen groen'!E132&gt;0,'Invullen groen'!C132,""),"")</f>
        <v/>
      </c>
      <c r="D119" s="287">
        <f>IFERROR(IF('Invullen groen'!E132&gt;0,'Invullen groen'!D132,""),"")</f>
        <v/>
      </c>
      <c r="E119" s="287">
        <f>IFERROR(IF('Invullen groen'!E132&gt;0,'Invullen groen'!G132,""),"")</f>
        <v/>
      </c>
      <c r="F119" s="364">
        <f>IFERROR(IF('Invullen groen'!L132&lt;&gt;0,'Invullen groen'!L132,""),"")</f>
        <v/>
      </c>
      <c r="G119" s="364">
        <f>IFERROR(IF('Invullen groen'!M132&lt;&gt;0,'Invullen groen'!M132,""),"")</f>
        <v/>
      </c>
      <c r="H119" s="364">
        <f>IFERROR(IF('Invullen groen'!N132&lt;&gt;0,'Invullen groen'!N132,""),"")</f>
        <v/>
      </c>
      <c r="I119" s="364">
        <f>IFERROR(IF('Invullen groen'!O132&lt;&gt;0,'Invullen groen'!O132,""),"")</f>
        <v/>
      </c>
    </row>
    <row r="120" ht="14" customHeight="1">
      <c r="A120" s="287">
        <f>IFERROR(IF('Invullen groen'!E133&gt;0,133-17,""),"")</f>
        <v/>
      </c>
      <c r="B120" s="287">
        <f>IFERROR(IF('Invullen groen'!E133&gt;0,'Invullen groen'!A133,""),"")</f>
        <v/>
      </c>
      <c r="C120" s="287">
        <f>IFERROR(IF('Invullen groen'!E133&gt;0,'Invullen groen'!C133,""),"")</f>
        <v/>
      </c>
      <c r="D120" s="287">
        <f>IFERROR(IF('Invullen groen'!E133&gt;0,'Invullen groen'!D133,""),"")</f>
        <v/>
      </c>
      <c r="E120" s="287">
        <f>IFERROR(IF('Invullen groen'!E133&gt;0,'Invullen groen'!G133,""),"")</f>
        <v/>
      </c>
      <c r="F120" s="364">
        <f>IFERROR(IF('Invullen groen'!L133&lt;&gt;0,'Invullen groen'!L133,""),"")</f>
        <v/>
      </c>
      <c r="G120" s="364">
        <f>IFERROR(IF('Invullen groen'!M133&lt;&gt;0,'Invullen groen'!M133,""),"")</f>
        <v/>
      </c>
      <c r="H120" s="364">
        <f>IFERROR(IF('Invullen groen'!N133&lt;&gt;0,'Invullen groen'!N133,""),"")</f>
        <v/>
      </c>
      <c r="I120" s="364">
        <f>IFERROR(IF('Invullen groen'!O133&lt;&gt;0,'Invullen groen'!O133,""),"")</f>
        <v/>
      </c>
    </row>
    <row r="121" ht="14" customHeight="1">
      <c r="A121" s="287">
        <f>IFERROR(IF('Invullen groen'!E134&gt;0,134-17,""),"")</f>
        <v/>
      </c>
      <c r="B121" s="287">
        <f>IFERROR(IF('Invullen groen'!E134&gt;0,'Invullen groen'!A134,""),"")</f>
        <v/>
      </c>
      <c r="C121" s="287">
        <f>IFERROR(IF('Invullen groen'!E134&gt;0,'Invullen groen'!C134,""),"")</f>
        <v/>
      </c>
      <c r="D121" s="287">
        <f>IFERROR(IF('Invullen groen'!E134&gt;0,'Invullen groen'!D134,""),"")</f>
        <v/>
      </c>
      <c r="E121" s="287">
        <f>IFERROR(IF('Invullen groen'!E134&gt;0,'Invullen groen'!G134,""),"")</f>
        <v/>
      </c>
      <c r="F121" s="364">
        <f>IFERROR(IF('Invullen groen'!L134&lt;&gt;0,'Invullen groen'!L134,""),"")</f>
        <v/>
      </c>
      <c r="G121" s="364">
        <f>IFERROR(IF('Invullen groen'!M134&lt;&gt;0,'Invullen groen'!M134,""),"")</f>
        <v/>
      </c>
      <c r="H121" s="364">
        <f>IFERROR(IF('Invullen groen'!N134&lt;&gt;0,'Invullen groen'!N134,""),"")</f>
        <v/>
      </c>
      <c r="I121" s="364">
        <f>IFERROR(IF('Invullen groen'!O134&lt;&gt;0,'Invullen groen'!O134,""),"")</f>
        <v/>
      </c>
    </row>
    <row r="122" ht="14" customHeight="1">
      <c r="A122" s="287">
        <f>IFERROR(IF('Invullen groen'!E135&gt;0,135-17,""),"")</f>
        <v/>
      </c>
      <c r="B122" s="287">
        <f>IFERROR(IF('Invullen groen'!E135&gt;0,'Invullen groen'!A135,""),"")</f>
        <v/>
      </c>
      <c r="C122" s="287">
        <f>IFERROR(IF('Invullen groen'!E135&gt;0,'Invullen groen'!C135,""),"")</f>
        <v/>
      </c>
      <c r="D122" s="287">
        <f>IFERROR(IF('Invullen groen'!E135&gt;0,'Invullen groen'!D135,""),"")</f>
        <v/>
      </c>
      <c r="E122" s="287">
        <f>IFERROR(IF('Invullen groen'!E135&gt;0,'Invullen groen'!G135,""),"")</f>
        <v/>
      </c>
      <c r="F122" s="364">
        <f>IFERROR(IF('Invullen groen'!L135&lt;&gt;0,'Invullen groen'!L135,""),"")</f>
        <v/>
      </c>
      <c r="G122" s="364">
        <f>IFERROR(IF('Invullen groen'!M135&lt;&gt;0,'Invullen groen'!M135,""),"")</f>
        <v/>
      </c>
      <c r="H122" s="364">
        <f>IFERROR(IF('Invullen groen'!N135&lt;&gt;0,'Invullen groen'!N135,""),"")</f>
        <v/>
      </c>
      <c r="I122" s="364">
        <f>IFERROR(IF('Invullen groen'!O135&lt;&gt;0,'Invullen groen'!O135,""),"")</f>
        <v/>
      </c>
    </row>
    <row r="123" ht="14" customHeight="1">
      <c r="A123" s="287">
        <f>IFERROR(IF('Invullen groen'!E136&gt;0,136-17,""),"")</f>
        <v/>
      </c>
      <c r="B123" s="287">
        <f>IFERROR(IF('Invullen groen'!E136&gt;0,'Invullen groen'!A136,""),"")</f>
        <v/>
      </c>
      <c r="C123" s="287">
        <f>IFERROR(IF('Invullen groen'!E136&gt;0,'Invullen groen'!C136,""),"")</f>
        <v/>
      </c>
      <c r="D123" s="287">
        <f>IFERROR(IF('Invullen groen'!E136&gt;0,'Invullen groen'!D136,""),"")</f>
        <v/>
      </c>
      <c r="E123" s="287">
        <f>IFERROR(IF('Invullen groen'!E136&gt;0,'Invullen groen'!G136,""),"")</f>
        <v/>
      </c>
      <c r="F123" s="364">
        <f>IFERROR(IF('Invullen groen'!L136&lt;&gt;0,'Invullen groen'!L136,""),"")</f>
        <v/>
      </c>
      <c r="G123" s="364">
        <f>IFERROR(IF('Invullen groen'!M136&lt;&gt;0,'Invullen groen'!M136,""),"")</f>
        <v/>
      </c>
      <c r="H123" s="364">
        <f>IFERROR(IF('Invullen groen'!N136&lt;&gt;0,'Invullen groen'!N136,""),"")</f>
        <v/>
      </c>
      <c r="I123" s="364">
        <f>IFERROR(IF('Invullen groen'!O136&lt;&gt;0,'Invullen groen'!O136,""),"")</f>
        <v/>
      </c>
    </row>
    <row r="124" ht="14" customHeight="1">
      <c r="A124" s="287">
        <f>IFERROR(IF('Invullen groen'!E137&gt;0,137-17,""),"")</f>
        <v/>
      </c>
      <c r="B124" s="287">
        <f>IFERROR(IF('Invullen groen'!E137&gt;0,'Invullen groen'!A137,""),"")</f>
        <v/>
      </c>
      <c r="C124" s="287">
        <f>IFERROR(IF('Invullen groen'!E137&gt;0,'Invullen groen'!C137,""),"")</f>
        <v/>
      </c>
      <c r="D124" s="287">
        <f>IFERROR(IF('Invullen groen'!E137&gt;0,'Invullen groen'!D137,""),"")</f>
        <v/>
      </c>
      <c r="E124" s="287">
        <f>IFERROR(IF('Invullen groen'!E137&gt;0,'Invullen groen'!G137,""),"")</f>
        <v/>
      </c>
      <c r="F124" s="364">
        <f>IFERROR(IF('Invullen groen'!L137&lt;&gt;0,'Invullen groen'!L137,""),"")</f>
        <v/>
      </c>
      <c r="G124" s="364">
        <f>IFERROR(IF('Invullen groen'!M137&lt;&gt;0,'Invullen groen'!M137,""),"")</f>
        <v/>
      </c>
      <c r="H124" s="364">
        <f>IFERROR(IF('Invullen groen'!N137&lt;&gt;0,'Invullen groen'!N137,""),"")</f>
        <v/>
      </c>
      <c r="I124" s="364">
        <f>IFERROR(IF('Invullen groen'!O137&lt;&gt;0,'Invullen groen'!O137,""),"")</f>
        <v/>
      </c>
    </row>
    <row r="125" ht="14" customHeight="1">
      <c r="A125" s="287">
        <f>IFERROR(IF('Invullen groen'!E138&gt;0,138-17,""),"")</f>
        <v/>
      </c>
      <c r="B125" s="287">
        <f>IFERROR(IF('Invullen groen'!E138&gt;0,'Invullen groen'!A138,""),"")</f>
        <v/>
      </c>
      <c r="C125" s="287">
        <f>IFERROR(IF('Invullen groen'!E138&gt;0,'Invullen groen'!C138,""),"")</f>
        <v/>
      </c>
      <c r="D125" s="287">
        <f>IFERROR(IF('Invullen groen'!E138&gt;0,'Invullen groen'!D138,""),"")</f>
        <v/>
      </c>
      <c r="E125" s="287">
        <f>IFERROR(IF('Invullen groen'!E138&gt;0,'Invullen groen'!G138,""),"")</f>
        <v/>
      </c>
      <c r="F125" s="364">
        <f>IFERROR(IF('Invullen groen'!L138&lt;&gt;0,'Invullen groen'!L138,""),"")</f>
        <v/>
      </c>
      <c r="G125" s="364">
        <f>IFERROR(IF('Invullen groen'!M138&lt;&gt;0,'Invullen groen'!M138,""),"")</f>
        <v/>
      </c>
      <c r="H125" s="364">
        <f>IFERROR(IF('Invullen groen'!N138&lt;&gt;0,'Invullen groen'!N138,""),"")</f>
        <v/>
      </c>
      <c r="I125" s="364">
        <f>IFERROR(IF('Invullen groen'!O138&lt;&gt;0,'Invullen groen'!O138,""),"")</f>
        <v/>
      </c>
    </row>
    <row r="126" ht="14" customHeight="1">
      <c r="A126" s="287">
        <f>IFERROR(IF('Invullen groen'!E139&gt;0,139-17,""),"")</f>
        <v/>
      </c>
      <c r="B126" s="287">
        <f>IFERROR(IF('Invullen groen'!E139&gt;0,'Invullen groen'!A139,""),"")</f>
        <v/>
      </c>
      <c r="C126" s="287">
        <f>IFERROR(IF('Invullen groen'!E139&gt;0,'Invullen groen'!C139,""),"")</f>
        <v/>
      </c>
      <c r="D126" s="287">
        <f>IFERROR(IF('Invullen groen'!E139&gt;0,'Invullen groen'!D139,""),"")</f>
        <v/>
      </c>
      <c r="E126" s="287">
        <f>IFERROR(IF('Invullen groen'!E139&gt;0,'Invullen groen'!G139,""),"")</f>
        <v/>
      </c>
      <c r="F126" s="364">
        <f>IFERROR(IF('Invullen groen'!L139&lt;&gt;0,'Invullen groen'!L139,""),"")</f>
        <v/>
      </c>
      <c r="G126" s="364">
        <f>IFERROR(IF('Invullen groen'!M139&lt;&gt;0,'Invullen groen'!M139,""),"")</f>
        <v/>
      </c>
      <c r="H126" s="364">
        <f>IFERROR(IF('Invullen groen'!N139&lt;&gt;0,'Invullen groen'!N139,""),"")</f>
        <v/>
      </c>
      <c r="I126" s="364">
        <f>IFERROR(IF('Invullen groen'!O139&lt;&gt;0,'Invullen groen'!O139,""),"")</f>
        <v/>
      </c>
    </row>
    <row r="127" ht="14" customHeight="1">
      <c r="A127" s="287">
        <f>IFERROR(IF('Invullen groen'!E140&gt;0,140-17,""),"")</f>
        <v/>
      </c>
      <c r="B127" s="287">
        <f>IFERROR(IF('Invullen groen'!E140&gt;0,'Invullen groen'!A140,""),"")</f>
        <v/>
      </c>
      <c r="C127" s="287">
        <f>IFERROR(IF('Invullen groen'!E140&gt;0,'Invullen groen'!C140,""),"")</f>
        <v/>
      </c>
      <c r="D127" s="287">
        <f>IFERROR(IF('Invullen groen'!E140&gt;0,'Invullen groen'!D140,""),"")</f>
        <v/>
      </c>
      <c r="E127" s="287">
        <f>IFERROR(IF('Invullen groen'!E140&gt;0,'Invullen groen'!G140,""),"")</f>
        <v/>
      </c>
      <c r="F127" s="364">
        <f>IFERROR(IF('Invullen groen'!L140&lt;&gt;0,'Invullen groen'!L140,""),"")</f>
        <v/>
      </c>
      <c r="G127" s="364">
        <f>IFERROR(IF('Invullen groen'!M140&lt;&gt;0,'Invullen groen'!M140,""),"")</f>
        <v/>
      </c>
      <c r="H127" s="364">
        <f>IFERROR(IF('Invullen groen'!N140&lt;&gt;0,'Invullen groen'!N140,""),"")</f>
        <v/>
      </c>
      <c r="I127" s="364">
        <f>IFERROR(IF('Invullen groen'!O140&lt;&gt;0,'Invullen groen'!O140,""),"")</f>
        <v/>
      </c>
    </row>
    <row r="128" ht="14" customHeight="1">
      <c r="A128" s="287">
        <f>IFERROR(IF('Invullen groen'!E141&gt;0,141-17,""),"")</f>
        <v/>
      </c>
      <c r="B128" s="287">
        <f>IFERROR(IF('Invullen groen'!E141&gt;0,'Invullen groen'!A141,""),"")</f>
        <v/>
      </c>
      <c r="C128" s="287">
        <f>IFERROR(IF('Invullen groen'!E141&gt;0,'Invullen groen'!C141,""),"")</f>
        <v/>
      </c>
      <c r="D128" s="287">
        <f>IFERROR(IF('Invullen groen'!E141&gt;0,'Invullen groen'!D141,""),"")</f>
        <v/>
      </c>
      <c r="E128" s="287">
        <f>IFERROR(IF('Invullen groen'!E141&gt;0,'Invullen groen'!G141,""),"")</f>
        <v/>
      </c>
      <c r="F128" s="364">
        <f>IFERROR(IF('Invullen groen'!L141&lt;&gt;0,'Invullen groen'!L141,""),"")</f>
        <v/>
      </c>
      <c r="G128" s="364">
        <f>IFERROR(IF('Invullen groen'!M141&lt;&gt;0,'Invullen groen'!M141,""),"")</f>
        <v/>
      </c>
      <c r="H128" s="364">
        <f>IFERROR(IF('Invullen groen'!N141&lt;&gt;0,'Invullen groen'!N141,""),"")</f>
        <v/>
      </c>
      <c r="I128" s="364">
        <f>IFERROR(IF('Invullen groen'!O141&lt;&gt;0,'Invullen groen'!O141,""),"")</f>
        <v/>
      </c>
    </row>
    <row r="129" ht="14" customHeight="1">
      <c r="A129" s="287">
        <f>IFERROR(IF('Invullen groen'!E142&gt;0,142-17,""),"")</f>
        <v/>
      </c>
      <c r="B129" s="287">
        <f>IFERROR(IF('Invullen groen'!E142&gt;0,'Invullen groen'!A142,""),"")</f>
        <v/>
      </c>
      <c r="C129" s="287">
        <f>IFERROR(IF('Invullen groen'!E142&gt;0,'Invullen groen'!C142,""),"")</f>
        <v/>
      </c>
      <c r="D129" s="287">
        <f>IFERROR(IF('Invullen groen'!E142&gt;0,'Invullen groen'!D142,""),"")</f>
        <v/>
      </c>
      <c r="E129" s="287">
        <f>IFERROR(IF('Invullen groen'!E142&gt;0,'Invullen groen'!G142,""),"")</f>
        <v/>
      </c>
      <c r="F129" s="364">
        <f>IFERROR(IF('Invullen groen'!L142&lt;&gt;0,'Invullen groen'!L142,""),"")</f>
        <v/>
      </c>
      <c r="G129" s="364">
        <f>IFERROR(IF('Invullen groen'!M142&lt;&gt;0,'Invullen groen'!M142,""),"")</f>
        <v/>
      </c>
      <c r="H129" s="364">
        <f>IFERROR(IF('Invullen groen'!N142&lt;&gt;0,'Invullen groen'!N142,""),"")</f>
        <v/>
      </c>
      <c r="I129" s="364">
        <f>IFERROR(IF('Invullen groen'!O142&lt;&gt;0,'Invullen groen'!O142,""),"")</f>
        <v/>
      </c>
    </row>
    <row r="130" ht="14" customHeight="1">
      <c r="A130" s="287">
        <f>IFERROR(IF('Invullen groen'!E143&gt;0,143-17,""),"")</f>
        <v/>
      </c>
      <c r="B130" s="287">
        <f>IFERROR(IF('Invullen groen'!E143&gt;0,'Invullen groen'!A143,""),"")</f>
        <v/>
      </c>
      <c r="C130" s="287">
        <f>IFERROR(IF('Invullen groen'!E143&gt;0,'Invullen groen'!C143,""),"")</f>
        <v/>
      </c>
      <c r="D130" s="287">
        <f>IFERROR(IF('Invullen groen'!E143&gt;0,'Invullen groen'!D143,""),"")</f>
        <v/>
      </c>
      <c r="E130" s="287">
        <f>IFERROR(IF('Invullen groen'!E143&gt;0,'Invullen groen'!G143,""),"")</f>
        <v/>
      </c>
      <c r="F130" s="364">
        <f>IFERROR(IF('Invullen groen'!L143&lt;&gt;0,'Invullen groen'!L143,""),"")</f>
        <v/>
      </c>
      <c r="G130" s="364">
        <f>IFERROR(IF('Invullen groen'!M143&lt;&gt;0,'Invullen groen'!M143,""),"")</f>
        <v/>
      </c>
      <c r="H130" s="364">
        <f>IFERROR(IF('Invullen groen'!N143&lt;&gt;0,'Invullen groen'!N143,""),"")</f>
        <v/>
      </c>
      <c r="I130" s="364">
        <f>IFERROR(IF('Invullen groen'!O143&lt;&gt;0,'Invullen groen'!O143,""),"")</f>
        <v/>
      </c>
    </row>
    <row r="131" ht="14" customHeight="1">
      <c r="A131" s="287">
        <f>IFERROR(IF('Invullen groen'!E144&gt;0,144-17,""),"")</f>
        <v/>
      </c>
      <c r="B131" s="287">
        <f>IFERROR(IF('Invullen groen'!E144&gt;0,'Invullen groen'!A144,""),"")</f>
        <v/>
      </c>
      <c r="C131" s="287">
        <f>IFERROR(IF('Invullen groen'!E144&gt;0,'Invullen groen'!C144,""),"")</f>
        <v/>
      </c>
      <c r="D131" s="287">
        <f>IFERROR(IF('Invullen groen'!E144&gt;0,'Invullen groen'!D144,""),"")</f>
        <v/>
      </c>
      <c r="E131" s="287">
        <f>IFERROR(IF('Invullen groen'!E144&gt;0,'Invullen groen'!G144,""),"")</f>
        <v/>
      </c>
      <c r="F131" s="364">
        <f>IFERROR(IF('Invullen groen'!L144&lt;&gt;0,'Invullen groen'!L144,""),"")</f>
        <v/>
      </c>
      <c r="G131" s="364">
        <f>IFERROR(IF('Invullen groen'!M144&lt;&gt;0,'Invullen groen'!M144,""),"")</f>
        <v/>
      </c>
      <c r="H131" s="364">
        <f>IFERROR(IF('Invullen groen'!N144&lt;&gt;0,'Invullen groen'!N144,""),"")</f>
        <v/>
      </c>
      <c r="I131" s="364">
        <f>IFERROR(IF('Invullen groen'!O144&lt;&gt;0,'Invullen groen'!O144,""),"")</f>
        <v/>
      </c>
    </row>
    <row r="132" ht="14" customHeight="1">
      <c r="A132" s="287">
        <f>IFERROR(IF('Invullen groen'!E145&gt;0,145-17,""),"")</f>
        <v/>
      </c>
      <c r="B132" s="287">
        <f>IFERROR(IF('Invullen groen'!E145&gt;0,'Invullen groen'!A145,""),"")</f>
        <v/>
      </c>
      <c r="C132" s="287">
        <f>IFERROR(IF('Invullen groen'!E145&gt;0,'Invullen groen'!C145,""),"")</f>
        <v/>
      </c>
      <c r="D132" s="287">
        <f>IFERROR(IF('Invullen groen'!E145&gt;0,'Invullen groen'!D145,""),"")</f>
        <v/>
      </c>
      <c r="E132" s="287">
        <f>IFERROR(IF('Invullen groen'!E145&gt;0,'Invullen groen'!G145,""),"")</f>
        <v/>
      </c>
      <c r="F132" s="364">
        <f>IFERROR(IF('Invullen groen'!L145&lt;&gt;0,'Invullen groen'!L145,""),"")</f>
        <v/>
      </c>
      <c r="G132" s="364">
        <f>IFERROR(IF('Invullen groen'!M145&lt;&gt;0,'Invullen groen'!M145,""),"")</f>
        <v/>
      </c>
      <c r="H132" s="364">
        <f>IFERROR(IF('Invullen groen'!N145&lt;&gt;0,'Invullen groen'!N145,""),"")</f>
        <v/>
      </c>
      <c r="I132" s="364">
        <f>IFERROR(IF('Invullen groen'!O145&lt;&gt;0,'Invullen groen'!O145,""),"")</f>
        <v/>
      </c>
    </row>
    <row r="133" ht="14" customHeight="1">
      <c r="A133" s="287">
        <f>IFERROR(IF('Invullen groen'!E146&gt;0,146-17,""),"")</f>
        <v/>
      </c>
      <c r="B133" s="287">
        <f>IFERROR(IF('Invullen groen'!E146&gt;0,'Invullen groen'!A146,""),"")</f>
        <v/>
      </c>
      <c r="C133" s="287">
        <f>IFERROR(IF('Invullen groen'!E146&gt;0,'Invullen groen'!C146,""),"")</f>
        <v/>
      </c>
      <c r="D133" s="287">
        <f>IFERROR(IF('Invullen groen'!E146&gt;0,'Invullen groen'!D146,""),"")</f>
        <v/>
      </c>
      <c r="E133" s="287">
        <f>IFERROR(IF('Invullen groen'!E146&gt;0,'Invullen groen'!G146,""),"")</f>
        <v/>
      </c>
      <c r="F133" s="364">
        <f>IFERROR(IF('Invullen groen'!L146&lt;&gt;0,'Invullen groen'!L146,""),"")</f>
        <v/>
      </c>
      <c r="G133" s="364">
        <f>IFERROR(IF('Invullen groen'!M146&lt;&gt;0,'Invullen groen'!M146,""),"")</f>
        <v/>
      </c>
      <c r="H133" s="364">
        <f>IFERROR(IF('Invullen groen'!N146&lt;&gt;0,'Invullen groen'!N146,""),"")</f>
        <v/>
      </c>
      <c r="I133" s="364">
        <f>IFERROR(IF('Invullen groen'!O146&lt;&gt;0,'Invullen groen'!O146,""),"")</f>
        <v/>
      </c>
    </row>
    <row r="134" ht="14" customHeight="1">
      <c r="A134" s="287">
        <f>IFERROR(IF('Invullen groen'!E147&gt;0,147-17,""),"")</f>
        <v/>
      </c>
      <c r="B134" s="287">
        <f>IFERROR(IF('Invullen groen'!E147&gt;0,'Invullen groen'!A147,""),"")</f>
        <v/>
      </c>
      <c r="C134" s="287">
        <f>IFERROR(IF('Invullen groen'!E147&gt;0,'Invullen groen'!C147,""),"")</f>
        <v/>
      </c>
      <c r="D134" s="287">
        <f>IFERROR(IF('Invullen groen'!E147&gt;0,'Invullen groen'!D147,""),"")</f>
        <v/>
      </c>
      <c r="E134" s="287">
        <f>IFERROR(IF('Invullen groen'!E147&gt;0,'Invullen groen'!G147,""),"")</f>
        <v/>
      </c>
      <c r="F134" s="364">
        <f>IFERROR(IF('Invullen groen'!L147&lt;&gt;0,'Invullen groen'!L147,""),"")</f>
        <v/>
      </c>
      <c r="G134" s="364">
        <f>IFERROR(IF('Invullen groen'!M147&lt;&gt;0,'Invullen groen'!M147,""),"")</f>
        <v/>
      </c>
      <c r="H134" s="364">
        <f>IFERROR(IF('Invullen groen'!N147&lt;&gt;0,'Invullen groen'!N147,""),"")</f>
        <v/>
      </c>
      <c r="I134" s="364">
        <f>IFERROR(IF('Invullen groen'!O147&lt;&gt;0,'Invullen groen'!O147,""),"")</f>
        <v/>
      </c>
    </row>
    <row r="135" ht="14" customHeight="1">
      <c r="A135" s="287">
        <f>IFERROR(IF('Invullen groen'!E148&gt;0,148-17,""),"")</f>
        <v/>
      </c>
      <c r="B135" s="287">
        <f>IFERROR(IF('Invullen groen'!E148&gt;0,'Invullen groen'!A148,""),"")</f>
        <v/>
      </c>
      <c r="C135" s="287">
        <f>IFERROR(IF('Invullen groen'!E148&gt;0,'Invullen groen'!C148,""),"")</f>
        <v/>
      </c>
      <c r="D135" s="287">
        <f>IFERROR(IF('Invullen groen'!E148&gt;0,'Invullen groen'!D148,""),"")</f>
        <v/>
      </c>
      <c r="E135" s="287">
        <f>IFERROR(IF('Invullen groen'!E148&gt;0,'Invullen groen'!G148,""),"")</f>
        <v/>
      </c>
      <c r="F135" s="364">
        <f>IFERROR(IF('Invullen groen'!L148&lt;&gt;0,'Invullen groen'!L148,""),"")</f>
        <v/>
      </c>
      <c r="G135" s="364">
        <f>IFERROR(IF('Invullen groen'!M148&lt;&gt;0,'Invullen groen'!M148,""),"")</f>
        <v/>
      </c>
      <c r="H135" s="364">
        <f>IFERROR(IF('Invullen groen'!N148&lt;&gt;0,'Invullen groen'!N148,""),"")</f>
        <v/>
      </c>
      <c r="I135" s="364">
        <f>IFERROR(IF('Invullen groen'!O148&lt;&gt;0,'Invullen groen'!O148,""),"")</f>
        <v/>
      </c>
    </row>
    <row r="136" ht="14" customHeight="1">
      <c r="A136" s="287">
        <f>IFERROR(IF('Invullen groen'!E149&gt;0,149-17,""),"")</f>
        <v/>
      </c>
      <c r="B136" s="287">
        <f>IFERROR(IF('Invullen groen'!E149&gt;0,'Invullen groen'!A149,""),"")</f>
        <v/>
      </c>
      <c r="C136" s="287">
        <f>IFERROR(IF('Invullen groen'!E149&gt;0,'Invullen groen'!C149,""),"")</f>
        <v/>
      </c>
      <c r="D136" s="287">
        <f>IFERROR(IF('Invullen groen'!E149&gt;0,'Invullen groen'!D149,""),"")</f>
        <v/>
      </c>
      <c r="E136" s="287">
        <f>IFERROR(IF('Invullen groen'!E149&gt;0,'Invullen groen'!G149,""),"")</f>
        <v/>
      </c>
      <c r="F136" s="364">
        <f>IFERROR(IF('Invullen groen'!L149&lt;&gt;0,'Invullen groen'!L149,""),"")</f>
        <v/>
      </c>
      <c r="G136" s="364">
        <f>IFERROR(IF('Invullen groen'!M149&lt;&gt;0,'Invullen groen'!M149,""),"")</f>
        <v/>
      </c>
      <c r="H136" s="364">
        <f>IFERROR(IF('Invullen groen'!N149&lt;&gt;0,'Invullen groen'!N149,""),"")</f>
        <v/>
      </c>
      <c r="I136" s="364">
        <f>IFERROR(IF('Invullen groen'!O149&lt;&gt;0,'Invullen groen'!O149,""),"")</f>
        <v/>
      </c>
    </row>
    <row r="137" ht="14" customHeight="1">
      <c r="A137" s="287">
        <f>IFERROR(IF('Invullen groen'!E150&gt;0,150-17,""),"")</f>
        <v/>
      </c>
      <c r="B137" s="287">
        <f>IFERROR(IF('Invullen groen'!E150&gt;0,'Invullen groen'!A150,""),"")</f>
        <v/>
      </c>
      <c r="C137" s="287">
        <f>IFERROR(IF('Invullen groen'!E150&gt;0,'Invullen groen'!C150,""),"")</f>
        <v/>
      </c>
      <c r="D137" s="287">
        <f>IFERROR(IF('Invullen groen'!E150&gt;0,'Invullen groen'!D150,""),"")</f>
        <v/>
      </c>
      <c r="E137" s="287">
        <f>IFERROR(IF('Invullen groen'!E150&gt;0,'Invullen groen'!G150,""),"")</f>
        <v/>
      </c>
      <c r="F137" s="364">
        <f>IFERROR(IF('Invullen groen'!L150&lt;&gt;0,'Invullen groen'!L150,""),"")</f>
        <v/>
      </c>
      <c r="G137" s="364">
        <f>IFERROR(IF('Invullen groen'!M150&lt;&gt;0,'Invullen groen'!M150,""),"")</f>
        <v/>
      </c>
      <c r="H137" s="364">
        <f>IFERROR(IF('Invullen groen'!N150&lt;&gt;0,'Invullen groen'!N150,""),"")</f>
        <v/>
      </c>
      <c r="I137" s="364">
        <f>IFERROR(IF('Invullen groen'!O150&lt;&gt;0,'Invullen groen'!O150,""),"")</f>
        <v/>
      </c>
    </row>
    <row r="138" ht="14" customHeight="1">
      <c r="A138" s="287">
        <f>IFERROR(IF('Invullen groen'!E151&gt;0,151-17,""),"")</f>
        <v/>
      </c>
      <c r="B138" s="287">
        <f>IFERROR(IF('Invullen groen'!E151&gt;0,'Invullen groen'!A151,""),"")</f>
        <v/>
      </c>
      <c r="C138" s="287">
        <f>IFERROR(IF('Invullen groen'!E151&gt;0,'Invullen groen'!C151,""),"")</f>
        <v/>
      </c>
      <c r="D138" s="287">
        <f>IFERROR(IF('Invullen groen'!E151&gt;0,'Invullen groen'!D151,""),"")</f>
        <v/>
      </c>
      <c r="E138" s="287">
        <f>IFERROR(IF('Invullen groen'!E151&gt;0,'Invullen groen'!G151,""),"")</f>
        <v/>
      </c>
      <c r="F138" s="364">
        <f>IFERROR(IF('Invullen groen'!L151&lt;&gt;0,'Invullen groen'!L151,""),"")</f>
        <v/>
      </c>
      <c r="G138" s="364">
        <f>IFERROR(IF('Invullen groen'!M151&lt;&gt;0,'Invullen groen'!M151,""),"")</f>
        <v/>
      </c>
      <c r="H138" s="364">
        <f>IFERROR(IF('Invullen groen'!N151&lt;&gt;0,'Invullen groen'!N151,""),"")</f>
        <v/>
      </c>
      <c r="I138" s="364">
        <f>IFERROR(IF('Invullen groen'!O151&lt;&gt;0,'Invullen groen'!O151,""),"")</f>
        <v/>
      </c>
    </row>
    <row r="139" ht="14" customHeight="1">
      <c r="A139" s="287">
        <f>IFERROR(IF('Invullen groen'!E152&gt;0,152-17,""),"")</f>
        <v/>
      </c>
      <c r="B139" s="287">
        <f>IFERROR(IF('Invullen groen'!E152&gt;0,'Invullen groen'!A152,""),"")</f>
        <v/>
      </c>
      <c r="C139" s="287">
        <f>IFERROR(IF('Invullen groen'!E152&gt;0,'Invullen groen'!C152,""),"")</f>
        <v/>
      </c>
      <c r="D139" s="287">
        <f>IFERROR(IF('Invullen groen'!E152&gt;0,'Invullen groen'!D152,""),"")</f>
        <v/>
      </c>
      <c r="E139" s="287">
        <f>IFERROR(IF('Invullen groen'!E152&gt;0,'Invullen groen'!G152,""),"")</f>
        <v/>
      </c>
      <c r="F139" s="364">
        <f>IFERROR(IF('Invullen groen'!L152&lt;&gt;0,'Invullen groen'!L152,""),"")</f>
        <v/>
      </c>
      <c r="G139" s="364">
        <f>IFERROR(IF('Invullen groen'!M152&lt;&gt;0,'Invullen groen'!M152,""),"")</f>
        <v/>
      </c>
      <c r="H139" s="364">
        <f>IFERROR(IF('Invullen groen'!N152&lt;&gt;0,'Invullen groen'!N152,""),"")</f>
        <v/>
      </c>
      <c r="I139" s="364">
        <f>IFERROR(IF('Invullen groen'!O152&lt;&gt;0,'Invullen groen'!O152,""),"")</f>
        <v/>
      </c>
    </row>
    <row r="140" ht="14" customHeight="1">
      <c r="A140" s="287">
        <f>IFERROR(IF('Invullen groen'!E153&gt;0,153-17,""),"")</f>
        <v/>
      </c>
      <c r="B140" s="287">
        <f>IFERROR(IF('Invullen groen'!E153&gt;0,'Invullen groen'!A153,""),"")</f>
        <v/>
      </c>
      <c r="C140" s="287">
        <f>IFERROR(IF('Invullen groen'!E153&gt;0,'Invullen groen'!C153,""),"")</f>
        <v/>
      </c>
      <c r="D140" s="287">
        <f>IFERROR(IF('Invullen groen'!E153&gt;0,'Invullen groen'!D153,""),"")</f>
        <v/>
      </c>
      <c r="E140" s="287">
        <f>IFERROR(IF('Invullen groen'!E153&gt;0,'Invullen groen'!G153,""),"")</f>
        <v/>
      </c>
      <c r="F140" s="364">
        <f>IFERROR(IF('Invullen groen'!L153&lt;&gt;0,'Invullen groen'!L153,""),"")</f>
        <v/>
      </c>
      <c r="G140" s="364">
        <f>IFERROR(IF('Invullen groen'!M153&lt;&gt;0,'Invullen groen'!M153,""),"")</f>
        <v/>
      </c>
      <c r="H140" s="364">
        <f>IFERROR(IF('Invullen groen'!N153&lt;&gt;0,'Invullen groen'!N153,""),"")</f>
        <v/>
      </c>
      <c r="I140" s="364">
        <f>IFERROR(IF('Invullen groen'!O153&lt;&gt;0,'Invullen groen'!O153,""),"")</f>
        <v/>
      </c>
    </row>
    <row r="141" ht="14" customHeight="1">
      <c r="A141" s="287">
        <f>IFERROR(IF('Invullen groen'!E154&gt;0,154-17,""),"")</f>
        <v/>
      </c>
      <c r="B141" s="287">
        <f>IFERROR(IF('Invullen groen'!E154&gt;0,'Invullen groen'!A154,""),"")</f>
        <v/>
      </c>
      <c r="C141" s="287">
        <f>IFERROR(IF('Invullen groen'!E154&gt;0,'Invullen groen'!C154,""),"")</f>
        <v/>
      </c>
      <c r="D141" s="287">
        <f>IFERROR(IF('Invullen groen'!E154&gt;0,'Invullen groen'!D154,""),"")</f>
        <v/>
      </c>
      <c r="E141" s="287">
        <f>IFERROR(IF('Invullen groen'!E154&gt;0,'Invullen groen'!G154,""),"")</f>
        <v/>
      </c>
      <c r="F141" s="364">
        <f>IFERROR(IF('Invullen groen'!L154&lt;&gt;0,'Invullen groen'!L154,""),"")</f>
        <v/>
      </c>
      <c r="G141" s="364">
        <f>IFERROR(IF('Invullen groen'!M154&lt;&gt;0,'Invullen groen'!M154,""),"")</f>
        <v/>
      </c>
      <c r="H141" s="364">
        <f>IFERROR(IF('Invullen groen'!N154&lt;&gt;0,'Invullen groen'!N154,""),"")</f>
        <v/>
      </c>
      <c r="I141" s="364">
        <f>IFERROR(IF('Invullen groen'!O154&lt;&gt;0,'Invullen groen'!O154,""),"")</f>
        <v/>
      </c>
    </row>
    <row r="142" ht="14" customHeight="1">
      <c r="A142" s="287">
        <f>IFERROR(IF('Invullen groen'!E155&gt;0,155-17,""),"")</f>
        <v/>
      </c>
      <c r="B142" s="287">
        <f>IFERROR(IF('Invullen groen'!E155&gt;0,'Invullen groen'!A155,""),"")</f>
        <v/>
      </c>
      <c r="C142" s="287">
        <f>IFERROR(IF('Invullen groen'!E155&gt;0,'Invullen groen'!C155,""),"")</f>
        <v/>
      </c>
      <c r="D142" s="287">
        <f>IFERROR(IF('Invullen groen'!E155&gt;0,'Invullen groen'!D155,""),"")</f>
        <v/>
      </c>
      <c r="E142" s="287">
        <f>IFERROR(IF('Invullen groen'!E155&gt;0,'Invullen groen'!G155,""),"")</f>
        <v/>
      </c>
      <c r="F142" s="364">
        <f>IFERROR(IF('Invullen groen'!L155&lt;&gt;0,'Invullen groen'!L155,""),"")</f>
        <v/>
      </c>
      <c r="G142" s="364">
        <f>IFERROR(IF('Invullen groen'!M155&lt;&gt;0,'Invullen groen'!M155,""),"")</f>
        <v/>
      </c>
      <c r="H142" s="364">
        <f>IFERROR(IF('Invullen groen'!N155&lt;&gt;0,'Invullen groen'!N155,""),"")</f>
        <v/>
      </c>
      <c r="I142" s="364">
        <f>IFERROR(IF('Invullen groen'!O155&lt;&gt;0,'Invullen groen'!O155,""),"")</f>
        <v/>
      </c>
    </row>
    <row r="143" ht="14" customHeight="1">
      <c r="A143" s="287">
        <f>IFERROR(IF('Invullen groen'!E156&gt;0,156-17,""),"")</f>
        <v/>
      </c>
      <c r="B143" s="287">
        <f>IFERROR(IF('Invullen groen'!E156&gt;0,'Invullen groen'!A156,""),"")</f>
        <v/>
      </c>
      <c r="C143" s="287">
        <f>IFERROR(IF('Invullen groen'!E156&gt;0,'Invullen groen'!C156,""),"")</f>
        <v/>
      </c>
      <c r="D143" s="287">
        <f>IFERROR(IF('Invullen groen'!E156&gt;0,'Invullen groen'!D156,""),"")</f>
        <v/>
      </c>
      <c r="E143" s="287">
        <f>IFERROR(IF('Invullen groen'!E156&gt;0,'Invullen groen'!G156,""),"")</f>
        <v/>
      </c>
      <c r="F143" s="364">
        <f>IFERROR(IF('Invullen groen'!L156&lt;&gt;0,'Invullen groen'!L156,""),"")</f>
        <v/>
      </c>
      <c r="G143" s="364">
        <f>IFERROR(IF('Invullen groen'!M156&lt;&gt;0,'Invullen groen'!M156,""),"")</f>
        <v/>
      </c>
      <c r="H143" s="364">
        <f>IFERROR(IF('Invullen groen'!N156&lt;&gt;0,'Invullen groen'!N156,""),"")</f>
        <v/>
      </c>
      <c r="I143" s="364">
        <f>IFERROR(IF('Invullen groen'!O156&lt;&gt;0,'Invullen groen'!O156,""),"")</f>
        <v/>
      </c>
    </row>
    <row r="144" ht="14" customHeight="1">
      <c r="A144" s="287">
        <f>IFERROR(IF('Invullen groen'!E157&gt;0,157-17,""),"")</f>
        <v/>
      </c>
      <c r="B144" s="287">
        <f>IFERROR(IF('Invullen groen'!E157&gt;0,'Invullen groen'!A157,""),"")</f>
        <v/>
      </c>
      <c r="C144" s="287">
        <f>IFERROR(IF('Invullen groen'!E157&gt;0,'Invullen groen'!C157,""),"")</f>
        <v/>
      </c>
      <c r="D144" s="287">
        <f>IFERROR(IF('Invullen groen'!E157&gt;0,'Invullen groen'!D157,""),"")</f>
        <v/>
      </c>
      <c r="E144" s="287">
        <f>IFERROR(IF('Invullen groen'!E157&gt;0,'Invullen groen'!G157,""),"")</f>
        <v/>
      </c>
      <c r="F144" s="364">
        <f>IFERROR(IF('Invullen groen'!L157&lt;&gt;0,'Invullen groen'!L157,""),"")</f>
        <v/>
      </c>
      <c r="G144" s="364">
        <f>IFERROR(IF('Invullen groen'!M157&lt;&gt;0,'Invullen groen'!M157,""),"")</f>
        <v/>
      </c>
      <c r="H144" s="364">
        <f>IFERROR(IF('Invullen groen'!N157&lt;&gt;0,'Invullen groen'!N157,""),"")</f>
        <v/>
      </c>
      <c r="I144" s="364">
        <f>IFERROR(IF('Invullen groen'!O157&lt;&gt;0,'Invullen groen'!O157,""),"")</f>
        <v/>
      </c>
    </row>
    <row r="145" ht="14" customHeight="1">
      <c r="A145" s="287">
        <f>IFERROR(IF('Invullen groen'!E158&gt;0,158-17,""),"")</f>
        <v/>
      </c>
      <c r="B145" s="287">
        <f>IFERROR(IF('Invullen groen'!E158&gt;0,'Invullen groen'!A158,""),"")</f>
        <v/>
      </c>
      <c r="C145" s="287">
        <f>IFERROR(IF('Invullen groen'!E158&gt;0,'Invullen groen'!C158,""),"")</f>
        <v/>
      </c>
      <c r="D145" s="287">
        <f>IFERROR(IF('Invullen groen'!E158&gt;0,'Invullen groen'!D158,""),"")</f>
        <v/>
      </c>
      <c r="E145" s="287">
        <f>IFERROR(IF('Invullen groen'!E158&gt;0,'Invullen groen'!G158,""),"")</f>
        <v/>
      </c>
      <c r="F145" s="364">
        <f>IFERROR(IF('Invullen groen'!L158&lt;&gt;0,'Invullen groen'!L158,""),"")</f>
        <v/>
      </c>
      <c r="G145" s="364">
        <f>IFERROR(IF('Invullen groen'!M158&lt;&gt;0,'Invullen groen'!M158,""),"")</f>
        <v/>
      </c>
      <c r="H145" s="364">
        <f>IFERROR(IF('Invullen groen'!N158&lt;&gt;0,'Invullen groen'!N158,""),"")</f>
        <v/>
      </c>
      <c r="I145" s="364">
        <f>IFERROR(IF('Invullen groen'!O158&lt;&gt;0,'Invullen groen'!O158,""),"")</f>
        <v/>
      </c>
    </row>
    <row r="146" ht="14" customHeight="1">
      <c r="A146" s="287">
        <f>IFERROR(IF('Invullen groen'!E159&gt;0,159-17,""),"")</f>
        <v/>
      </c>
      <c r="B146" s="287">
        <f>IFERROR(IF('Invullen groen'!E159&gt;0,'Invullen groen'!A159,""),"")</f>
        <v/>
      </c>
      <c r="C146" s="287">
        <f>IFERROR(IF('Invullen groen'!E159&gt;0,'Invullen groen'!C159,""),"")</f>
        <v/>
      </c>
      <c r="D146" s="287">
        <f>IFERROR(IF('Invullen groen'!E159&gt;0,'Invullen groen'!D159,""),"")</f>
        <v/>
      </c>
      <c r="E146" s="287">
        <f>IFERROR(IF('Invullen groen'!E159&gt;0,'Invullen groen'!G159,""),"")</f>
        <v/>
      </c>
      <c r="F146" s="364">
        <f>IFERROR(IF('Invullen groen'!L159&lt;&gt;0,'Invullen groen'!L159,""),"")</f>
        <v/>
      </c>
      <c r="G146" s="364">
        <f>IFERROR(IF('Invullen groen'!M159&lt;&gt;0,'Invullen groen'!M159,""),"")</f>
        <v/>
      </c>
      <c r="H146" s="364">
        <f>IFERROR(IF('Invullen groen'!N159&lt;&gt;0,'Invullen groen'!N159,""),"")</f>
        <v/>
      </c>
      <c r="I146" s="364">
        <f>IFERROR(IF('Invullen groen'!O159&lt;&gt;0,'Invullen groen'!O159,""),"")</f>
        <v/>
      </c>
    </row>
    <row r="147" ht="14" customHeight="1">
      <c r="A147" s="287">
        <f>IFERROR(IF('Invullen groen'!E160&gt;0,160-17,""),"")</f>
        <v/>
      </c>
      <c r="B147" s="287">
        <f>IFERROR(IF('Invullen groen'!E160&gt;0,'Invullen groen'!A160,""),"")</f>
        <v/>
      </c>
      <c r="C147" s="287">
        <f>IFERROR(IF('Invullen groen'!E160&gt;0,'Invullen groen'!C160,""),"")</f>
        <v/>
      </c>
      <c r="D147" s="287">
        <f>IFERROR(IF('Invullen groen'!E160&gt;0,'Invullen groen'!D160,""),"")</f>
        <v/>
      </c>
      <c r="E147" s="287">
        <f>IFERROR(IF('Invullen groen'!E160&gt;0,'Invullen groen'!G160,""),"")</f>
        <v/>
      </c>
      <c r="F147" s="364">
        <f>IFERROR(IF('Invullen groen'!L160&lt;&gt;0,'Invullen groen'!L160,""),"")</f>
        <v/>
      </c>
      <c r="G147" s="364">
        <f>IFERROR(IF('Invullen groen'!M160&lt;&gt;0,'Invullen groen'!M160,""),"")</f>
        <v/>
      </c>
      <c r="H147" s="364">
        <f>IFERROR(IF('Invullen groen'!N160&lt;&gt;0,'Invullen groen'!N160,""),"")</f>
        <v/>
      </c>
      <c r="I147" s="364">
        <f>IFERROR(IF('Invullen groen'!O160&lt;&gt;0,'Invullen groen'!O160,""),"")</f>
        <v/>
      </c>
    </row>
    <row r="148" ht="14" customHeight="1">
      <c r="A148" s="287">
        <f>IFERROR(IF('Invullen groen'!E161&gt;0,161-17,""),"")</f>
        <v/>
      </c>
      <c r="B148" s="287">
        <f>IFERROR(IF('Invullen groen'!E161&gt;0,'Invullen groen'!A161,""),"")</f>
        <v/>
      </c>
      <c r="C148" s="287">
        <f>IFERROR(IF('Invullen groen'!E161&gt;0,'Invullen groen'!C161,""),"")</f>
        <v/>
      </c>
      <c r="D148" s="287">
        <f>IFERROR(IF('Invullen groen'!E161&gt;0,'Invullen groen'!D161,""),"")</f>
        <v/>
      </c>
      <c r="E148" s="287">
        <f>IFERROR(IF('Invullen groen'!E161&gt;0,'Invullen groen'!G161,""),"")</f>
        <v/>
      </c>
      <c r="F148" s="364">
        <f>IFERROR(IF('Invullen groen'!L161&lt;&gt;0,'Invullen groen'!L161,""),"")</f>
        <v/>
      </c>
      <c r="G148" s="364">
        <f>IFERROR(IF('Invullen groen'!M161&lt;&gt;0,'Invullen groen'!M161,""),"")</f>
        <v/>
      </c>
      <c r="H148" s="364">
        <f>IFERROR(IF('Invullen groen'!N161&lt;&gt;0,'Invullen groen'!N161,""),"")</f>
        <v/>
      </c>
      <c r="I148" s="364">
        <f>IFERROR(IF('Invullen groen'!O161&lt;&gt;0,'Invullen groen'!O161,""),"")</f>
        <v/>
      </c>
    </row>
    <row r="149" ht="14" customHeight="1">
      <c r="A149" s="287">
        <f>IFERROR(IF('Invullen groen'!E162&gt;0,162-17,""),"")</f>
        <v/>
      </c>
      <c r="B149" s="287">
        <f>IFERROR(IF('Invullen groen'!E162&gt;0,'Invullen groen'!A162,""),"")</f>
        <v/>
      </c>
      <c r="C149" s="287">
        <f>IFERROR(IF('Invullen groen'!E162&gt;0,'Invullen groen'!C162,""),"")</f>
        <v/>
      </c>
      <c r="D149" s="287">
        <f>IFERROR(IF('Invullen groen'!E162&gt;0,'Invullen groen'!D162,""),"")</f>
        <v/>
      </c>
      <c r="E149" s="287">
        <f>IFERROR(IF('Invullen groen'!E162&gt;0,'Invullen groen'!G162,""),"")</f>
        <v/>
      </c>
      <c r="F149" s="364">
        <f>IFERROR(IF('Invullen groen'!L162&lt;&gt;0,'Invullen groen'!L162,""),"")</f>
        <v/>
      </c>
      <c r="G149" s="364">
        <f>IFERROR(IF('Invullen groen'!M162&lt;&gt;0,'Invullen groen'!M162,""),"")</f>
        <v/>
      </c>
      <c r="H149" s="364">
        <f>IFERROR(IF('Invullen groen'!N162&lt;&gt;0,'Invullen groen'!N162,""),"")</f>
        <v/>
      </c>
      <c r="I149" s="364">
        <f>IFERROR(IF('Invullen groen'!O162&lt;&gt;0,'Invullen groen'!O162,""),"")</f>
        <v/>
      </c>
    </row>
    <row r="150" ht="14" customHeight="1">
      <c r="A150" s="287">
        <f>IFERROR(IF('Invullen groen'!E163&gt;0,163-17,""),"")</f>
        <v/>
      </c>
      <c r="B150" s="287">
        <f>IFERROR(IF('Invullen groen'!E163&gt;0,'Invullen groen'!A163,""),"")</f>
        <v/>
      </c>
      <c r="C150" s="287">
        <f>IFERROR(IF('Invullen groen'!E163&gt;0,'Invullen groen'!C163,""),"")</f>
        <v/>
      </c>
      <c r="D150" s="287">
        <f>IFERROR(IF('Invullen groen'!E163&gt;0,'Invullen groen'!D163,""),"")</f>
        <v/>
      </c>
      <c r="E150" s="287">
        <f>IFERROR(IF('Invullen groen'!E163&gt;0,'Invullen groen'!G163,""),"")</f>
        <v/>
      </c>
      <c r="F150" s="364">
        <f>IFERROR(IF('Invullen groen'!L163&lt;&gt;0,'Invullen groen'!L163,""),"")</f>
        <v/>
      </c>
      <c r="G150" s="364">
        <f>IFERROR(IF('Invullen groen'!M163&lt;&gt;0,'Invullen groen'!M163,""),"")</f>
        <v/>
      </c>
      <c r="H150" s="364">
        <f>IFERROR(IF('Invullen groen'!N163&lt;&gt;0,'Invullen groen'!N163,""),"")</f>
        <v/>
      </c>
      <c r="I150" s="364">
        <f>IFERROR(IF('Invullen groen'!O163&lt;&gt;0,'Invullen groen'!O163,""),"")</f>
        <v/>
      </c>
    </row>
    <row r="151" ht="14" customHeight="1">
      <c r="A151" s="287">
        <f>IFERROR(IF('Invullen groen'!E164&gt;0,164-17,""),"")</f>
        <v/>
      </c>
      <c r="B151" s="287">
        <f>IFERROR(IF('Invullen groen'!E164&gt;0,'Invullen groen'!A164,""),"")</f>
        <v/>
      </c>
      <c r="C151" s="287">
        <f>IFERROR(IF('Invullen groen'!E164&gt;0,'Invullen groen'!C164,""),"")</f>
        <v/>
      </c>
      <c r="D151" s="287">
        <f>IFERROR(IF('Invullen groen'!E164&gt;0,'Invullen groen'!D164,""),"")</f>
        <v/>
      </c>
      <c r="E151" s="287">
        <f>IFERROR(IF('Invullen groen'!E164&gt;0,'Invullen groen'!G164,""),"")</f>
        <v/>
      </c>
      <c r="F151" s="364">
        <f>IFERROR(IF('Invullen groen'!L164&lt;&gt;0,'Invullen groen'!L164,""),"")</f>
        <v/>
      </c>
      <c r="G151" s="364">
        <f>IFERROR(IF('Invullen groen'!M164&lt;&gt;0,'Invullen groen'!M164,""),"")</f>
        <v/>
      </c>
      <c r="H151" s="364">
        <f>IFERROR(IF('Invullen groen'!N164&lt;&gt;0,'Invullen groen'!N164,""),"")</f>
        <v/>
      </c>
      <c r="I151" s="364">
        <f>IFERROR(IF('Invullen groen'!O164&lt;&gt;0,'Invullen groen'!O164,""),"")</f>
        <v/>
      </c>
    </row>
    <row r="152" ht="14" customHeight="1">
      <c r="A152" s="287">
        <f>IFERROR(IF('Invullen groen'!E165&gt;0,165-17,""),"")</f>
        <v/>
      </c>
      <c r="B152" s="287">
        <f>IFERROR(IF('Invullen groen'!E165&gt;0,'Invullen groen'!A165,""),"")</f>
        <v/>
      </c>
      <c r="C152" s="287">
        <f>IFERROR(IF('Invullen groen'!E165&gt;0,'Invullen groen'!C165,""),"")</f>
        <v/>
      </c>
      <c r="D152" s="287">
        <f>IFERROR(IF('Invullen groen'!E165&gt;0,'Invullen groen'!D165,""),"")</f>
        <v/>
      </c>
      <c r="E152" s="287">
        <f>IFERROR(IF('Invullen groen'!E165&gt;0,'Invullen groen'!G165,""),"")</f>
        <v/>
      </c>
      <c r="F152" s="364">
        <f>IFERROR(IF('Invullen groen'!L165&lt;&gt;0,'Invullen groen'!L165,""),"")</f>
        <v/>
      </c>
      <c r="G152" s="364">
        <f>IFERROR(IF('Invullen groen'!M165&lt;&gt;0,'Invullen groen'!M165,""),"")</f>
        <v/>
      </c>
      <c r="H152" s="364">
        <f>IFERROR(IF('Invullen groen'!N165&lt;&gt;0,'Invullen groen'!N165,""),"")</f>
        <v/>
      </c>
      <c r="I152" s="364">
        <f>IFERROR(IF('Invullen groen'!O165&lt;&gt;0,'Invullen groen'!O165,""),"")</f>
        <v/>
      </c>
    </row>
    <row r="153" ht="14" customHeight="1">
      <c r="A153" s="287">
        <f>IFERROR(IF('Invullen groen'!E166&gt;0,166-17,""),"")</f>
        <v/>
      </c>
      <c r="B153" s="287">
        <f>IFERROR(IF('Invullen groen'!E166&gt;0,'Invullen groen'!A166,""),"")</f>
        <v/>
      </c>
      <c r="C153" s="287">
        <f>IFERROR(IF('Invullen groen'!E166&gt;0,'Invullen groen'!C166,""),"")</f>
        <v/>
      </c>
      <c r="D153" s="287">
        <f>IFERROR(IF('Invullen groen'!E166&gt;0,'Invullen groen'!D166,""),"")</f>
        <v/>
      </c>
      <c r="E153" s="287">
        <f>IFERROR(IF('Invullen groen'!E166&gt;0,'Invullen groen'!G166,""),"")</f>
        <v/>
      </c>
      <c r="F153" s="364">
        <f>IFERROR(IF('Invullen groen'!L166&lt;&gt;0,'Invullen groen'!L166,""),"")</f>
        <v/>
      </c>
      <c r="G153" s="364">
        <f>IFERROR(IF('Invullen groen'!M166&lt;&gt;0,'Invullen groen'!M166,""),"")</f>
        <v/>
      </c>
      <c r="H153" s="364">
        <f>IFERROR(IF('Invullen groen'!N166&lt;&gt;0,'Invullen groen'!N166,""),"")</f>
        <v/>
      </c>
      <c r="I153" s="364">
        <f>IFERROR(IF('Invullen groen'!O166&lt;&gt;0,'Invullen groen'!O166,""),"")</f>
        <v/>
      </c>
    </row>
    <row r="154" ht="14" customHeight="1">
      <c r="A154" s="287">
        <f>IFERROR(IF('Invullen groen'!E167&gt;0,167-17,""),"")</f>
        <v/>
      </c>
      <c r="B154" s="287">
        <f>IFERROR(IF('Invullen groen'!E167&gt;0,'Invullen groen'!A167,""),"")</f>
        <v/>
      </c>
      <c r="C154" s="287">
        <f>IFERROR(IF('Invullen groen'!E167&gt;0,'Invullen groen'!C167,""),"")</f>
        <v/>
      </c>
      <c r="D154" s="287">
        <f>IFERROR(IF('Invullen groen'!E167&gt;0,'Invullen groen'!D167,""),"")</f>
        <v/>
      </c>
      <c r="E154" s="287">
        <f>IFERROR(IF('Invullen groen'!E167&gt;0,'Invullen groen'!G167,""),"")</f>
        <v/>
      </c>
      <c r="F154" s="364">
        <f>IFERROR(IF('Invullen groen'!L167&lt;&gt;0,'Invullen groen'!L167,""),"")</f>
        <v/>
      </c>
      <c r="G154" s="364">
        <f>IFERROR(IF('Invullen groen'!M167&lt;&gt;0,'Invullen groen'!M167,""),"")</f>
        <v/>
      </c>
      <c r="H154" s="364">
        <f>IFERROR(IF('Invullen groen'!N167&lt;&gt;0,'Invullen groen'!N167,""),"")</f>
        <v/>
      </c>
      <c r="I154" s="364">
        <f>IFERROR(IF('Invullen groen'!O167&lt;&gt;0,'Invullen groen'!O167,""),"")</f>
        <v/>
      </c>
    </row>
    <row r="155" ht="14" customHeight="1">
      <c r="A155" s="287">
        <f>IFERROR(IF('Invullen groen'!E168&gt;0,168-17,""),"")</f>
        <v/>
      </c>
      <c r="B155" s="287">
        <f>IFERROR(IF('Invullen groen'!E168&gt;0,'Invullen groen'!A168,""),"")</f>
        <v/>
      </c>
      <c r="C155" s="287">
        <f>IFERROR(IF('Invullen groen'!E168&gt;0,'Invullen groen'!C168,""),"")</f>
        <v/>
      </c>
      <c r="D155" s="287">
        <f>IFERROR(IF('Invullen groen'!E168&gt;0,'Invullen groen'!D168,""),"")</f>
        <v/>
      </c>
      <c r="E155" s="287">
        <f>IFERROR(IF('Invullen groen'!E168&gt;0,'Invullen groen'!G168,""),"")</f>
        <v/>
      </c>
      <c r="F155" s="364">
        <f>IFERROR(IF('Invullen groen'!L168&lt;&gt;0,'Invullen groen'!L168,""),"")</f>
        <v/>
      </c>
      <c r="G155" s="364">
        <f>IFERROR(IF('Invullen groen'!M168&lt;&gt;0,'Invullen groen'!M168,""),"")</f>
        <v/>
      </c>
      <c r="H155" s="364">
        <f>IFERROR(IF('Invullen groen'!N168&lt;&gt;0,'Invullen groen'!N168,""),"")</f>
        <v/>
      </c>
      <c r="I155" s="364">
        <f>IFERROR(IF('Invullen groen'!O168&lt;&gt;0,'Invullen groen'!O168,""),"")</f>
        <v/>
      </c>
    </row>
    <row r="156" ht="14" customHeight="1">
      <c r="A156" s="287">
        <f>IFERROR(IF('Invullen groen'!E169&gt;0,169-17,""),"")</f>
        <v/>
      </c>
      <c r="B156" s="287">
        <f>IFERROR(IF('Invullen groen'!E169&gt;0,'Invullen groen'!A169,""),"")</f>
        <v/>
      </c>
      <c r="C156" s="287">
        <f>IFERROR(IF('Invullen groen'!E169&gt;0,'Invullen groen'!C169,""),"")</f>
        <v/>
      </c>
      <c r="D156" s="287">
        <f>IFERROR(IF('Invullen groen'!E169&gt;0,'Invullen groen'!D169,""),"")</f>
        <v/>
      </c>
      <c r="E156" s="287">
        <f>IFERROR(IF('Invullen groen'!E169&gt;0,'Invullen groen'!G169,""),"")</f>
        <v/>
      </c>
      <c r="F156" s="364">
        <f>IFERROR(IF('Invullen groen'!L169&lt;&gt;0,'Invullen groen'!L169,""),"")</f>
        <v/>
      </c>
      <c r="G156" s="364">
        <f>IFERROR(IF('Invullen groen'!M169&lt;&gt;0,'Invullen groen'!M169,""),"")</f>
        <v/>
      </c>
      <c r="H156" s="364">
        <f>IFERROR(IF('Invullen groen'!N169&lt;&gt;0,'Invullen groen'!N169,""),"")</f>
        <v/>
      </c>
      <c r="I156" s="364">
        <f>IFERROR(IF('Invullen groen'!O169&lt;&gt;0,'Invullen groen'!O169,""),"")</f>
        <v/>
      </c>
    </row>
    <row r="157" ht="14" customHeight="1">
      <c r="A157" s="287">
        <f>IFERROR(IF('Invullen groen'!E170&gt;0,170-17,""),"")</f>
        <v/>
      </c>
      <c r="B157" s="287">
        <f>IFERROR(IF('Invullen groen'!E170&gt;0,'Invullen groen'!A170,""),"")</f>
        <v/>
      </c>
      <c r="C157" s="287">
        <f>IFERROR(IF('Invullen groen'!E170&gt;0,'Invullen groen'!C170,""),"")</f>
        <v/>
      </c>
      <c r="D157" s="287">
        <f>IFERROR(IF('Invullen groen'!E170&gt;0,'Invullen groen'!D170,""),"")</f>
        <v/>
      </c>
      <c r="E157" s="287">
        <f>IFERROR(IF('Invullen groen'!E170&gt;0,'Invullen groen'!G170,""),"")</f>
        <v/>
      </c>
      <c r="F157" s="364">
        <f>IFERROR(IF('Invullen groen'!L170&lt;&gt;0,'Invullen groen'!L170,""),"")</f>
        <v/>
      </c>
      <c r="G157" s="364">
        <f>IFERROR(IF('Invullen groen'!M170&lt;&gt;0,'Invullen groen'!M170,""),"")</f>
        <v/>
      </c>
      <c r="H157" s="364">
        <f>IFERROR(IF('Invullen groen'!N170&lt;&gt;0,'Invullen groen'!N170,""),"")</f>
        <v/>
      </c>
      <c r="I157" s="364">
        <f>IFERROR(IF('Invullen groen'!O170&lt;&gt;0,'Invullen groen'!O170,""),"")</f>
        <v/>
      </c>
    </row>
    <row r="158" ht="14" customHeight="1">
      <c r="A158" s="287">
        <f>IFERROR(IF('Invullen groen'!E171&gt;0,171-17,""),"")</f>
        <v/>
      </c>
      <c r="B158" s="287">
        <f>IFERROR(IF('Invullen groen'!E171&gt;0,'Invullen groen'!A171,""),"")</f>
        <v/>
      </c>
      <c r="C158" s="287">
        <f>IFERROR(IF('Invullen groen'!E171&gt;0,'Invullen groen'!C171,""),"")</f>
        <v/>
      </c>
      <c r="D158" s="287">
        <f>IFERROR(IF('Invullen groen'!E171&gt;0,'Invullen groen'!D171,""),"")</f>
        <v/>
      </c>
      <c r="E158" s="287">
        <f>IFERROR(IF('Invullen groen'!E171&gt;0,'Invullen groen'!G171,""),"")</f>
        <v/>
      </c>
      <c r="F158" s="364">
        <f>IFERROR(IF('Invullen groen'!L171&lt;&gt;0,'Invullen groen'!L171,""),"")</f>
        <v/>
      </c>
      <c r="G158" s="364">
        <f>IFERROR(IF('Invullen groen'!M171&lt;&gt;0,'Invullen groen'!M171,""),"")</f>
        <v/>
      </c>
      <c r="H158" s="364">
        <f>IFERROR(IF('Invullen groen'!N171&lt;&gt;0,'Invullen groen'!N171,""),"")</f>
        <v/>
      </c>
      <c r="I158" s="364">
        <f>IFERROR(IF('Invullen groen'!O171&lt;&gt;0,'Invullen groen'!O171,""),"")</f>
        <v/>
      </c>
    </row>
    <row r="159" ht="14" customHeight="1">
      <c r="A159" s="287">
        <f>IFERROR(IF('Invullen groen'!E172&gt;0,172-17,""),"")</f>
        <v/>
      </c>
      <c r="B159" s="287">
        <f>IFERROR(IF('Invullen groen'!E172&gt;0,'Invullen groen'!A172,""),"")</f>
        <v/>
      </c>
      <c r="C159" s="287">
        <f>IFERROR(IF('Invullen groen'!E172&gt;0,'Invullen groen'!C172,""),"")</f>
        <v/>
      </c>
      <c r="D159" s="287">
        <f>IFERROR(IF('Invullen groen'!E172&gt;0,'Invullen groen'!D172,""),"")</f>
        <v/>
      </c>
      <c r="E159" s="287">
        <f>IFERROR(IF('Invullen groen'!E172&gt;0,'Invullen groen'!G172,""),"")</f>
        <v/>
      </c>
      <c r="F159" s="364">
        <f>IFERROR(IF('Invullen groen'!L172&lt;&gt;0,'Invullen groen'!L172,""),"")</f>
        <v/>
      </c>
      <c r="G159" s="364">
        <f>IFERROR(IF('Invullen groen'!M172&lt;&gt;0,'Invullen groen'!M172,""),"")</f>
        <v/>
      </c>
      <c r="H159" s="364">
        <f>IFERROR(IF('Invullen groen'!N172&lt;&gt;0,'Invullen groen'!N172,""),"")</f>
        <v/>
      </c>
      <c r="I159" s="364">
        <f>IFERROR(IF('Invullen groen'!O172&lt;&gt;0,'Invullen groen'!O172,""),"")</f>
        <v/>
      </c>
    </row>
    <row r="160" ht="14" customHeight="1">
      <c r="A160" s="287">
        <f>IFERROR(IF('Invullen groen'!E173&gt;0,173-17,""),"")</f>
        <v/>
      </c>
      <c r="B160" s="287">
        <f>IFERROR(IF('Invullen groen'!E173&gt;0,'Invullen groen'!A173,""),"")</f>
        <v/>
      </c>
      <c r="C160" s="287">
        <f>IFERROR(IF('Invullen groen'!E173&gt;0,'Invullen groen'!C173,""),"")</f>
        <v/>
      </c>
      <c r="D160" s="287">
        <f>IFERROR(IF('Invullen groen'!E173&gt;0,'Invullen groen'!D173,""),"")</f>
        <v/>
      </c>
      <c r="E160" s="287">
        <f>IFERROR(IF('Invullen groen'!E173&gt;0,'Invullen groen'!G173,""),"")</f>
        <v/>
      </c>
      <c r="F160" s="364">
        <f>IFERROR(IF('Invullen groen'!L173&lt;&gt;0,'Invullen groen'!L173,""),"")</f>
        <v/>
      </c>
      <c r="G160" s="364">
        <f>IFERROR(IF('Invullen groen'!M173&lt;&gt;0,'Invullen groen'!M173,""),"")</f>
        <v/>
      </c>
      <c r="H160" s="364">
        <f>IFERROR(IF('Invullen groen'!N173&lt;&gt;0,'Invullen groen'!N173,""),"")</f>
        <v/>
      </c>
      <c r="I160" s="364">
        <f>IFERROR(IF('Invullen groen'!O173&lt;&gt;0,'Invullen groen'!O173,""),"")</f>
        <v/>
      </c>
    </row>
    <row r="161" ht="14" customHeight="1">
      <c r="A161" s="287">
        <f>IFERROR(IF('Invullen groen'!E174&gt;0,174-17,""),"")</f>
        <v/>
      </c>
      <c r="B161" s="287">
        <f>IFERROR(IF('Invullen groen'!E174&gt;0,'Invullen groen'!A174,""),"")</f>
        <v/>
      </c>
      <c r="C161" s="287">
        <f>IFERROR(IF('Invullen groen'!E174&gt;0,'Invullen groen'!C174,""),"")</f>
        <v/>
      </c>
      <c r="D161" s="287">
        <f>IFERROR(IF('Invullen groen'!E174&gt;0,'Invullen groen'!D174,""),"")</f>
        <v/>
      </c>
      <c r="E161" s="287">
        <f>IFERROR(IF('Invullen groen'!E174&gt;0,'Invullen groen'!G174,""),"")</f>
        <v/>
      </c>
      <c r="F161" s="364">
        <f>IFERROR(IF('Invullen groen'!L174&lt;&gt;0,'Invullen groen'!L174,""),"")</f>
        <v/>
      </c>
      <c r="G161" s="364">
        <f>IFERROR(IF('Invullen groen'!M174&lt;&gt;0,'Invullen groen'!M174,""),"")</f>
        <v/>
      </c>
      <c r="H161" s="364">
        <f>IFERROR(IF('Invullen groen'!N174&lt;&gt;0,'Invullen groen'!N174,""),"")</f>
        <v/>
      </c>
      <c r="I161" s="364">
        <f>IFERROR(IF('Invullen groen'!O174&lt;&gt;0,'Invullen groen'!O174,""),"")</f>
        <v/>
      </c>
    </row>
    <row r="162" ht="14" customHeight="1">
      <c r="A162" s="287">
        <f>IFERROR(IF('Invullen groen'!E175&gt;0,175-17,""),"")</f>
        <v/>
      </c>
      <c r="B162" s="287">
        <f>IFERROR(IF('Invullen groen'!E175&gt;0,'Invullen groen'!A175,""),"")</f>
        <v/>
      </c>
      <c r="C162" s="287">
        <f>IFERROR(IF('Invullen groen'!E175&gt;0,'Invullen groen'!C175,""),"")</f>
        <v/>
      </c>
      <c r="D162" s="287">
        <f>IFERROR(IF('Invullen groen'!E175&gt;0,'Invullen groen'!D175,""),"")</f>
        <v/>
      </c>
      <c r="E162" s="287">
        <f>IFERROR(IF('Invullen groen'!E175&gt;0,'Invullen groen'!G175,""),"")</f>
        <v/>
      </c>
      <c r="F162" s="364">
        <f>IFERROR(IF('Invullen groen'!L175&lt;&gt;0,'Invullen groen'!L175,""),"")</f>
        <v/>
      </c>
      <c r="G162" s="364">
        <f>IFERROR(IF('Invullen groen'!M175&lt;&gt;0,'Invullen groen'!M175,""),"")</f>
        <v/>
      </c>
      <c r="H162" s="364">
        <f>IFERROR(IF('Invullen groen'!N175&lt;&gt;0,'Invullen groen'!N175,""),"")</f>
        <v/>
      </c>
      <c r="I162" s="364">
        <f>IFERROR(IF('Invullen groen'!O175&lt;&gt;0,'Invullen groen'!O175,""),"")</f>
        <v/>
      </c>
    </row>
    <row r="163" ht="14" customHeight="1">
      <c r="A163" s="287">
        <f>IFERROR(IF('Invullen groen'!E176&gt;0,176-17,""),"")</f>
        <v/>
      </c>
      <c r="B163" s="287">
        <f>IFERROR(IF('Invullen groen'!E176&gt;0,'Invullen groen'!A176,""),"")</f>
        <v/>
      </c>
      <c r="C163" s="287">
        <f>IFERROR(IF('Invullen groen'!E176&gt;0,'Invullen groen'!C176,""),"")</f>
        <v/>
      </c>
      <c r="D163" s="287">
        <f>IFERROR(IF('Invullen groen'!E176&gt;0,'Invullen groen'!D176,""),"")</f>
        <v/>
      </c>
      <c r="E163" s="287">
        <f>IFERROR(IF('Invullen groen'!E176&gt;0,'Invullen groen'!G176,""),"")</f>
        <v/>
      </c>
      <c r="F163" s="364">
        <f>IFERROR(IF('Invullen groen'!L176&lt;&gt;0,'Invullen groen'!L176,""),"")</f>
        <v/>
      </c>
      <c r="G163" s="364">
        <f>IFERROR(IF('Invullen groen'!M176&lt;&gt;0,'Invullen groen'!M176,""),"")</f>
        <v/>
      </c>
      <c r="H163" s="364">
        <f>IFERROR(IF('Invullen groen'!N176&lt;&gt;0,'Invullen groen'!N176,""),"")</f>
        <v/>
      </c>
      <c r="I163" s="364">
        <f>IFERROR(IF('Invullen groen'!O176&lt;&gt;0,'Invullen groen'!O176,""),"")</f>
        <v/>
      </c>
    </row>
    <row r="164" ht="14" customHeight="1">
      <c r="A164" s="287">
        <f>IFERROR(IF('Invullen groen'!E177&gt;0,177-17,""),"")</f>
        <v/>
      </c>
      <c r="B164" s="287">
        <f>IFERROR(IF('Invullen groen'!E177&gt;0,'Invullen groen'!A177,""),"")</f>
        <v/>
      </c>
      <c r="C164" s="287">
        <f>IFERROR(IF('Invullen groen'!E177&gt;0,'Invullen groen'!C177,""),"")</f>
        <v/>
      </c>
      <c r="D164" s="287">
        <f>IFERROR(IF('Invullen groen'!E177&gt;0,'Invullen groen'!D177,""),"")</f>
        <v/>
      </c>
      <c r="E164" s="287">
        <f>IFERROR(IF('Invullen groen'!E177&gt;0,'Invullen groen'!G177,""),"")</f>
        <v/>
      </c>
      <c r="F164" s="364">
        <f>IFERROR(IF('Invullen groen'!L177&lt;&gt;0,'Invullen groen'!L177,""),"")</f>
        <v/>
      </c>
      <c r="G164" s="364">
        <f>IFERROR(IF('Invullen groen'!M177&lt;&gt;0,'Invullen groen'!M177,""),"")</f>
        <v/>
      </c>
      <c r="H164" s="364">
        <f>IFERROR(IF('Invullen groen'!N177&lt;&gt;0,'Invullen groen'!N177,""),"")</f>
        <v/>
      </c>
      <c r="I164" s="364">
        <f>IFERROR(IF('Invullen groen'!O177&lt;&gt;0,'Invullen groen'!O177,""),"")</f>
        <v/>
      </c>
    </row>
    <row r="165" ht="14" customHeight="1">
      <c r="A165" s="287">
        <f>IFERROR(IF('Invullen groen'!E178&gt;0,178-17,""),"")</f>
        <v/>
      </c>
      <c r="B165" s="287">
        <f>IFERROR(IF('Invullen groen'!E178&gt;0,'Invullen groen'!A178,""),"")</f>
        <v/>
      </c>
      <c r="C165" s="287">
        <f>IFERROR(IF('Invullen groen'!E178&gt;0,'Invullen groen'!C178,""),"")</f>
        <v/>
      </c>
      <c r="D165" s="287">
        <f>IFERROR(IF('Invullen groen'!E178&gt;0,'Invullen groen'!D178,""),"")</f>
        <v/>
      </c>
      <c r="E165" s="287">
        <f>IFERROR(IF('Invullen groen'!E178&gt;0,'Invullen groen'!G178,""),"")</f>
        <v/>
      </c>
      <c r="F165" s="364">
        <f>IFERROR(IF('Invullen groen'!L178&lt;&gt;0,'Invullen groen'!L178,""),"")</f>
        <v/>
      </c>
      <c r="G165" s="364">
        <f>IFERROR(IF('Invullen groen'!M178&lt;&gt;0,'Invullen groen'!M178,""),"")</f>
        <v/>
      </c>
      <c r="H165" s="364">
        <f>IFERROR(IF('Invullen groen'!N178&lt;&gt;0,'Invullen groen'!N178,""),"")</f>
        <v/>
      </c>
      <c r="I165" s="364">
        <f>IFERROR(IF('Invullen groen'!O178&lt;&gt;0,'Invullen groen'!O178,""),"")</f>
        <v/>
      </c>
    </row>
    <row r="166" ht="14" customHeight="1">
      <c r="A166" s="287">
        <f>IFERROR(IF('Invullen groen'!E179&gt;0,179-17,""),"")</f>
        <v/>
      </c>
      <c r="B166" s="287">
        <f>IFERROR(IF('Invullen groen'!E179&gt;0,'Invullen groen'!A179,""),"")</f>
        <v/>
      </c>
      <c r="C166" s="287">
        <f>IFERROR(IF('Invullen groen'!E179&gt;0,'Invullen groen'!C179,""),"")</f>
        <v/>
      </c>
      <c r="D166" s="287">
        <f>IFERROR(IF('Invullen groen'!E179&gt;0,'Invullen groen'!D179,""),"")</f>
        <v/>
      </c>
      <c r="E166" s="287">
        <f>IFERROR(IF('Invullen groen'!E179&gt;0,'Invullen groen'!G179,""),"")</f>
        <v/>
      </c>
      <c r="F166" s="364">
        <f>IFERROR(IF('Invullen groen'!L179&lt;&gt;0,'Invullen groen'!L179,""),"")</f>
        <v/>
      </c>
      <c r="G166" s="364">
        <f>IFERROR(IF('Invullen groen'!M179&lt;&gt;0,'Invullen groen'!M179,""),"")</f>
        <v/>
      </c>
      <c r="H166" s="364">
        <f>IFERROR(IF('Invullen groen'!N179&lt;&gt;0,'Invullen groen'!N179,""),"")</f>
        <v/>
      </c>
      <c r="I166" s="364">
        <f>IFERROR(IF('Invullen groen'!O179&lt;&gt;0,'Invullen groen'!O179,""),"")</f>
        <v/>
      </c>
    </row>
    <row r="167" ht="14" customHeight="1">
      <c r="A167" s="287">
        <f>IFERROR(IF('Invullen groen'!E180&gt;0,180-17,""),"")</f>
        <v/>
      </c>
      <c r="B167" s="287">
        <f>IFERROR(IF('Invullen groen'!E180&gt;0,'Invullen groen'!A180,""),"")</f>
        <v/>
      </c>
      <c r="C167" s="287">
        <f>IFERROR(IF('Invullen groen'!E180&gt;0,'Invullen groen'!C180,""),"")</f>
        <v/>
      </c>
      <c r="D167" s="287">
        <f>IFERROR(IF('Invullen groen'!E180&gt;0,'Invullen groen'!D180,""),"")</f>
        <v/>
      </c>
      <c r="E167" s="287">
        <f>IFERROR(IF('Invullen groen'!E180&gt;0,'Invullen groen'!G180,""),"")</f>
        <v/>
      </c>
      <c r="F167" s="364">
        <f>IFERROR(IF('Invullen groen'!L180&lt;&gt;0,'Invullen groen'!L180,""),"")</f>
        <v/>
      </c>
      <c r="G167" s="364">
        <f>IFERROR(IF('Invullen groen'!M180&lt;&gt;0,'Invullen groen'!M180,""),"")</f>
        <v/>
      </c>
      <c r="H167" s="364">
        <f>IFERROR(IF('Invullen groen'!N180&lt;&gt;0,'Invullen groen'!N180,""),"")</f>
        <v/>
      </c>
      <c r="I167" s="364">
        <f>IFERROR(IF('Invullen groen'!O180&lt;&gt;0,'Invullen groen'!O180,""),"")</f>
        <v/>
      </c>
    </row>
    <row r="168" ht="14" customHeight="1">
      <c r="A168" s="287">
        <f>IFERROR(IF('Invullen groen'!E181&gt;0,181-17,""),"")</f>
        <v/>
      </c>
      <c r="B168" s="287">
        <f>IFERROR(IF('Invullen groen'!E181&gt;0,'Invullen groen'!A181,""),"")</f>
        <v/>
      </c>
      <c r="C168" s="287">
        <f>IFERROR(IF('Invullen groen'!E181&gt;0,'Invullen groen'!C181,""),"")</f>
        <v/>
      </c>
      <c r="D168" s="287">
        <f>IFERROR(IF('Invullen groen'!E181&gt;0,'Invullen groen'!D181,""),"")</f>
        <v/>
      </c>
      <c r="E168" s="287">
        <f>IFERROR(IF('Invullen groen'!E181&gt;0,'Invullen groen'!G181,""),"")</f>
        <v/>
      </c>
      <c r="F168" s="364">
        <f>IFERROR(IF('Invullen groen'!L181&lt;&gt;0,'Invullen groen'!L181,""),"")</f>
        <v/>
      </c>
      <c r="G168" s="364">
        <f>IFERROR(IF('Invullen groen'!M181&lt;&gt;0,'Invullen groen'!M181,""),"")</f>
        <v/>
      </c>
      <c r="H168" s="364">
        <f>IFERROR(IF('Invullen groen'!N181&lt;&gt;0,'Invullen groen'!N181,""),"")</f>
        <v/>
      </c>
      <c r="I168" s="364">
        <f>IFERROR(IF('Invullen groen'!O181&lt;&gt;0,'Invullen groen'!O181,""),"")</f>
        <v/>
      </c>
    </row>
    <row r="169" ht="14" customHeight="1">
      <c r="A169" s="287">
        <f>IFERROR(IF('Invullen groen'!E182&gt;0,182-17,""),"")</f>
        <v/>
      </c>
      <c r="B169" s="287">
        <f>IFERROR(IF('Invullen groen'!E182&gt;0,'Invullen groen'!A182,""),"")</f>
        <v/>
      </c>
      <c r="C169" s="287">
        <f>IFERROR(IF('Invullen groen'!E182&gt;0,'Invullen groen'!C182,""),"")</f>
        <v/>
      </c>
      <c r="D169" s="287">
        <f>IFERROR(IF('Invullen groen'!E182&gt;0,'Invullen groen'!D182,""),"")</f>
        <v/>
      </c>
      <c r="E169" s="287">
        <f>IFERROR(IF('Invullen groen'!E182&gt;0,'Invullen groen'!G182,""),"")</f>
        <v/>
      </c>
      <c r="F169" s="364">
        <f>IFERROR(IF('Invullen groen'!L182&lt;&gt;0,'Invullen groen'!L182,""),"")</f>
        <v/>
      </c>
      <c r="G169" s="364">
        <f>IFERROR(IF('Invullen groen'!M182&lt;&gt;0,'Invullen groen'!M182,""),"")</f>
        <v/>
      </c>
      <c r="H169" s="364">
        <f>IFERROR(IF('Invullen groen'!N182&lt;&gt;0,'Invullen groen'!N182,""),"")</f>
        <v/>
      </c>
      <c r="I169" s="364">
        <f>IFERROR(IF('Invullen groen'!O182&lt;&gt;0,'Invullen groen'!O182,""),"")</f>
        <v/>
      </c>
    </row>
    <row r="170" ht="14" customHeight="1">
      <c r="A170" s="287">
        <f>IFERROR(IF('Invullen groen'!E183&gt;0,183-17,""),"")</f>
        <v/>
      </c>
      <c r="B170" s="287">
        <f>IFERROR(IF('Invullen groen'!E183&gt;0,'Invullen groen'!A183,""),"")</f>
        <v/>
      </c>
      <c r="C170" s="287">
        <f>IFERROR(IF('Invullen groen'!E183&gt;0,'Invullen groen'!C183,""),"")</f>
        <v/>
      </c>
      <c r="D170" s="287">
        <f>IFERROR(IF('Invullen groen'!E183&gt;0,'Invullen groen'!D183,""),"")</f>
        <v/>
      </c>
      <c r="E170" s="287">
        <f>IFERROR(IF('Invullen groen'!E183&gt;0,'Invullen groen'!G183,""),"")</f>
        <v/>
      </c>
      <c r="F170" s="364">
        <f>IFERROR(IF('Invullen groen'!L183&lt;&gt;0,'Invullen groen'!L183,""),"")</f>
        <v/>
      </c>
      <c r="G170" s="364">
        <f>IFERROR(IF('Invullen groen'!M183&lt;&gt;0,'Invullen groen'!M183,""),"")</f>
        <v/>
      </c>
      <c r="H170" s="364">
        <f>IFERROR(IF('Invullen groen'!N183&lt;&gt;0,'Invullen groen'!N183,""),"")</f>
        <v/>
      </c>
      <c r="I170" s="364">
        <f>IFERROR(IF('Invullen groen'!O183&lt;&gt;0,'Invullen groen'!O183,""),"")</f>
        <v/>
      </c>
    </row>
    <row r="171" ht="14" customHeight="1">
      <c r="A171" s="287">
        <f>IFERROR(IF('Invullen groen'!E184&gt;0,184-17,""),"")</f>
        <v/>
      </c>
      <c r="B171" s="287">
        <f>IFERROR(IF('Invullen groen'!E184&gt;0,'Invullen groen'!A184,""),"")</f>
        <v/>
      </c>
      <c r="C171" s="287">
        <f>IFERROR(IF('Invullen groen'!E184&gt;0,'Invullen groen'!C184,""),"")</f>
        <v/>
      </c>
      <c r="D171" s="287">
        <f>IFERROR(IF('Invullen groen'!E184&gt;0,'Invullen groen'!D184,""),"")</f>
        <v/>
      </c>
      <c r="E171" s="287">
        <f>IFERROR(IF('Invullen groen'!E184&gt;0,'Invullen groen'!G184,""),"")</f>
        <v/>
      </c>
      <c r="F171" s="364">
        <f>IFERROR(IF('Invullen groen'!L184&lt;&gt;0,'Invullen groen'!L184,""),"")</f>
        <v/>
      </c>
      <c r="G171" s="364">
        <f>IFERROR(IF('Invullen groen'!M184&lt;&gt;0,'Invullen groen'!M184,""),"")</f>
        <v/>
      </c>
      <c r="H171" s="364">
        <f>IFERROR(IF('Invullen groen'!N184&lt;&gt;0,'Invullen groen'!N184,""),"")</f>
        <v/>
      </c>
      <c r="I171" s="364">
        <f>IFERROR(IF('Invullen groen'!O184&lt;&gt;0,'Invullen groen'!O184,""),"")</f>
        <v/>
      </c>
    </row>
    <row r="172" ht="14" customHeight="1">
      <c r="A172" s="287">
        <f>IFERROR(IF('Invullen groen'!E185&gt;0,185-17,""),"")</f>
        <v/>
      </c>
      <c r="B172" s="287">
        <f>IFERROR(IF('Invullen groen'!E185&gt;0,'Invullen groen'!A185,""),"")</f>
        <v/>
      </c>
      <c r="C172" s="287">
        <f>IFERROR(IF('Invullen groen'!E185&gt;0,'Invullen groen'!C185,""),"")</f>
        <v/>
      </c>
      <c r="D172" s="287">
        <f>IFERROR(IF('Invullen groen'!E185&gt;0,'Invullen groen'!D185,""),"")</f>
        <v/>
      </c>
      <c r="E172" s="287">
        <f>IFERROR(IF('Invullen groen'!E185&gt;0,'Invullen groen'!G185,""),"")</f>
        <v/>
      </c>
      <c r="F172" s="364">
        <f>IFERROR(IF('Invullen groen'!L185&lt;&gt;0,'Invullen groen'!L185,""),"")</f>
        <v/>
      </c>
      <c r="G172" s="364">
        <f>IFERROR(IF('Invullen groen'!M185&lt;&gt;0,'Invullen groen'!M185,""),"")</f>
        <v/>
      </c>
      <c r="H172" s="364">
        <f>IFERROR(IF('Invullen groen'!N185&lt;&gt;0,'Invullen groen'!N185,""),"")</f>
        <v/>
      </c>
      <c r="I172" s="364">
        <f>IFERROR(IF('Invullen groen'!O185&lt;&gt;0,'Invullen groen'!O185,""),"")</f>
        <v/>
      </c>
    </row>
    <row r="173" ht="14" customHeight="1">
      <c r="A173" s="287">
        <f>IFERROR(IF('Invullen groen'!E186&gt;0,186-17,""),"")</f>
        <v/>
      </c>
      <c r="B173" s="287">
        <f>IFERROR(IF('Invullen groen'!E186&gt;0,'Invullen groen'!A186,""),"")</f>
        <v/>
      </c>
      <c r="C173" s="287">
        <f>IFERROR(IF('Invullen groen'!E186&gt;0,'Invullen groen'!C186,""),"")</f>
        <v/>
      </c>
      <c r="D173" s="287">
        <f>IFERROR(IF('Invullen groen'!E186&gt;0,'Invullen groen'!D186,""),"")</f>
        <v/>
      </c>
      <c r="E173" s="287">
        <f>IFERROR(IF('Invullen groen'!E186&gt;0,'Invullen groen'!G186,""),"")</f>
        <v/>
      </c>
      <c r="F173" s="364">
        <f>IFERROR(IF('Invullen groen'!L186&lt;&gt;0,'Invullen groen'!L186,""),"")</f>
        <v/>
      </c>
      <c r="G173" s="364">
        <f>IFERROR(IF('Invullen groen'!M186&lt;&gt;0,'Invullen groen'!M186,""),"")</f>
        <v/>
      </c>
      <c r="H173" s="364">
        <f>IFERROR(IF('Invullen groen'!N186&lt;&gt;0,'Invullen groen'!N186,""),"")</f>
        <v/>
      </c>
      <c r="I173" s="364">
        <f>IFERROR(IF('Invullen groen'!O186&lt;&gt;0,'Invullen groen'!O186,""),"")</f>
        <v/>
      </c>
    </row>
    <row r="174" ht="14" customHeight="1">
      <c r="A174" s="287">
        <f>IFERROR(IF('Invullen groen'!E187&gt;0,187-17,""),"")</f>
        <v/>
      </c>
      <c r="B174" s="287">
        <f>IFERROR(IF('Invullen groen'!E187&gt;0,'Invullen groen'!A187,""),"")</f>
        <v/>
      </c>
      <c r="C174" s="287">
        <f>IFERROR(IF('Invullen groen'!E187&gt;0,'Invullen groen'!C187,""),"")</f>
        <v/>
      </c>
      <c r="D174" s="287">
        <f>IFERROR(IF('Invullen groen'!E187&gt;0,'Invullen groen'!D187,""),"")</f>
        <v/>
      </c>
      <c r="E174" s="287">
        <f>IFERROR(IF('Invullen groen'!E187&gt;0,'Invullen groen'!G187,""),"")</f>
        <v/>
      </c>
      <c r="F174" s="364">
        <f>IFERROR(IF('Invullen groen'!L187&lt;&gt;0,'Invullen groen'!L187,""),"")</f>
        <v/>
      </c>
      <c r="G174" s="364">
        <f>IFERROR(IF('Invullen groen'!M187&lt;&gt;0,'Invullen groen'!M187,""),"")</f>
        <v/>
      </c>
      <c r="H174" s="364">
        <f>IFERROR(IF('Invullen groen'!N187&lt;&gt;0,'Invullen groen'!N187,""),"")</f>
        <v/>
      </c>
      <c r="I174" s="364">
        <f>IFERROR(IF('Invullen groen'!O187&lt;&gt;0,'Invullen groen'!O187,""),"")</f>
        <v/>
      </c>
    </row>
    <row r="175" ht="14" customHeight="1">
      <c r="A175" s="287">
        <f>IFERROR(IF('Invullen groen'!E188&gt;0,188-17,""),"")</f>
        <v/>
      </c>
      <c r="B175" s="287">
        <f>IFERROR(IF('Invullen groen'!E188&gt;0,'Invullen groen'!A188,""),"")</f>
        <v/>
      </c>
      <c r="C175" s="287">
        <f>IFERROR(IF('Invullen groen'!E188&gt;0,'Invullen groen'!C188,""),"")</f>
        <v/>
      </c>
      <c r="D175" s="287">
        <f>IFERROR(IF('Invullen groen'!E188&gt;0,'Invullen groen'!D188,""),"")</f>
        <v/>
      </c>
      <c r="E175" s="287">
        <f>IFERROR(IF('Invullen groen'!E188&gt;0,'Invullen groen'!G188,""),"")</f>
        <v/>
      </c>
      <c r="F175" s="364">
        <f>IFERROR(IF('Invullen groen'!L188&lt;&gt;0,'Invullen groen'!L188,""),"")</f>
        <v/>
      </c>
      <c r="G175" s="364">
        <f>IFERROR(IF('Invullen groen'!M188&lt;&gt;0,'Invullen groen'!M188,""),"")</f>
        <v/>
      </c>
      <c r="H175" s="364">
        <f>IFERROR(IF('Invullen groen'!N188&lt;&gt;0,'Invullen groen'!N188,""),"")</f>
        <v/>
      </c>
      <c r="I175" s="364">
        <f>IFERROR(IF('Invullen groen'!O188&lt;&gt;0,'Invullen groen'!O188,""),"")</f>
        <v/>
      </c>
    </row>
    <row r="176" ht="14" customHeight="1">
      <c r="A176" s="287">
        <f>IFERROR(IF('Invullen groen'!E189&gt;0,189-17,""),"")</f>
        <v/>
      </c>
      <c r="B176" s="287">
        <f>IFERROR(IF('Invullen groen'!E189&gt;0,'Invullen groen'!A189,""),"")</f>
        <v/>
      </c>
      <c r="C176" s="287">
        <f>IFERROR(IF('Invullen groen'!E189&gt;0,'Invullen groen'!C189,""),"")</f>
        <v/>
      </c>
      <c r="D176" s="287">
        <f>IFERROR(IF('Invullen groen'!E189&gt;0,'Invullen groen'!D189,""),"")</f>
        <v/>
      </c>
      <c r="E176" s="287">
        <f>IFERROR(IF('Invullen groen'!E189&gt;0,'Invullen groen'!G189,""),"")</f>
        <v/>
      </c>
      <c r="F176" s="364">
        <f>IFERROR(IF('Invullen groen'!L189&lt;&gt;0,'Invullen groen'!L189,""),"")</f>
        <v/>
      </c>
      <c r="G176" s="364">
        <f>IFERROR(IF('Invullen groen'!M189&lt;&gt;0,'Invullen groen'!M189,""),"")</f>
        <v/>
      </c>
      <c r="H176" s="364">
        <f>IFERROR(IF('Invullen groen'!N189&lt;&gt;0,'Invullen groen'!N189,""),"")</f>
        <v/>
      </c>
      <c r="I176" s="364">
        <f>IFERROR(IF('Invullen groen'!O189&lt;&gt;0,'Invullen groen'!O189,""),"")</f>
        <v/>
      </c>
    </row>
    <row r="177" ht="14" customHeight="1">
      <c r="A177" s="287">
        <f>IFERROR(IF('Invullen groen'!E190&gt;0,190-17,""),"")</f>
        <v/>
      </c>
      <c r="B177" s="287">
        <f>IFERROR(IF('Invullen groen'!E190&gt;0,'Invullen groen'!A190,""),"")</f>
        <v/>
      </c>
      <c r="C177" s="287">
        <f>IFERROR(IF('Invullen groen'!E190&gt;0,'Invullen groen'!C190,""),"")</f>
        <v/>
      </c>
      <c r="D177" s="287">
        <f>IFERROR(IF('Invullen groen'!E190&gt;0,'Invullen groen'!D190,""),"")</f>
        <v/>
      </c>
      <c r="E177" s="287">
        <f>IFERROR(IF('Invullen groen'!E190&gt;0,'Invullen groen'!G190,""),"")</f>
        <v/>
      </c>
      <c r="F177" s="364">
        <f>IFERROR(IF('Invullen groen'!L190&lt;&gt;0,'Invullen groen'!L190,""),"")</f>
        <v/>
      </c>
      <c r="G177" s="364">
        <f>IFERROR(IF('Invullen groen'!M190&lt;&gt;0,'Invullen groen'!M190,""),"")</f>
        <v/>
      </c>
      <c r="H177" s="364">
        <f>IFERROR(IF('Invullen groen'!N190&lt;&gt;0,'Invullen groen'!N190,""),"")</f>
        <v/>
      </c>
      <c r="I177" s="364">
        <f>IFERROR(IF('Invullen groen'!O190&lt;&gt;0,'Invullen groen'!O190,""),"")</f>
        <v/>
      </c>
    </row>
    <row r="178" ht="14" customHeight="1">
      <c r="A178" s="287">
        <f>IFERROR(IF('Invullen groen'!E191&gt;0,191-17,""),"")</f>
        <v/>
      </c>
      <c r="B178" s="287">
        <f>IFERROR(IF('Invullen groen'!E191&gt;0,'Invullen groen'!A191,""),"")</f>
        <v/>
      </c>
      <c r="C178" s="287">
        <f>IFERROR(IF('Invullen groen'!E191&gt;0,'Invullen groen'!C191,""),"")</f>
        <v/>
      </c>
      <c r="D178" s="287">
        <f>IFERROR(IF('Invullen groen'!E191&gt;0,'Invullen groen'!D191,""),"")</f>
        <v/>
      </c>
      <c r="E178" s="287">
        <f>IFERROR(IF('Invullen groen'!E191&gt;0,'Invullen groen'!G191,""),"")</f>
        <v/>
      </c>
      <c r="F178" s="364">
        <f>IFERROR(IF('Invullen groen'!L191&lt;&gt;0,'Invullen groen'!L191,""),"")</f>
        <v/>
      </c>
      <c r="G178" s="364">
        <f>IFERROR(IF('Invullen groen'!M191&lt;&gt;0,'Invullen groen'!M191,""),"")</f>
        <v/>
      </c>
      <c r="H178" s="364">
        <f>IFERROR(IF('Invullen groen'!N191&lt;&gt;0,'Invullen groen'!N191,""),"")</f>
        <v/>
      </c>
      <c r="I178" s="364">
        <f>IFERROR(IF('Invullen groen'!O191&lt;&gt;0,'Invullen groen'!O191,""),"")</f>
        <v/>
      </c>
    </row>
    <row r="179" ht="14" customHeight="1">
      <c r="A179" s="287">
        <f>IFERROR(IF('Invullen groen'!E192&gt;0,192-17,""),"")</f>
        <v/>
      </c>
      <c r="B179" s="287">
        <f>IFERROR(IF('Invullen groen'!E192&gt;0,'Invullen groen'!A192,""),"")</f>
        <v/>
      </c>
      <c r="C179" s="287">
        <f>IFERROR(IF('Invullen groen'!E192&gt;0,'Invullen groen'!C192,""),"")</f>
        <v/>
      </c>
      <c r="D179" s="287">
        <f>IFERROR(IF('Invullen groen'!E192&gt;0,'Invullen groen'!D192,""),"")</f>
        <v/>
      </c>
      <c r="E179" s="287">
        <f>IFERROR(IF('Invullen groen'!E192&gt;0,'Invullen groen'!G192,""),"")</f>
        <v/>
      </c>
      <c r="F179" s="364">
        <f>IFERROR(IF('Invullen groen'!L192&lt;&gt;0,'Invullen groen'!L192,""),"")</f>
        <v/>
      </c>
      <c r="G179" s="364">
        <f>IFERROR(IF('Invullen groen'!M192&lt;&gt;0,'Invullen groen'!M192,""),"")</f>
        <v/>
      </c>
      <c r="H179" s="364">
        <f>IFERROR(IF('Invullen groen'!N192&lt;&gt;0,'Invullen groen'!N192,""),"")</f>
        <v/>
      </c>
      <c r="I179" s="364">
        <f>IFERROR(IF('Invullen groen'!O192&lt;&gt;0,'Invullen groen'!O192,""),"")</f>
        <v/>
      </c>
    </row>
    <row r="180" ht="14" customHeight="1">
      <c r="A180" s="287">
        <f>IFERROR(IF('Invullen groen'!E193&gt;0,193-17,""),"")</f>
        <v/>
      </c>
      <c r="B180" s="287">
        <f>IFERROR(IF('Invullen groen'!E193&gt;0,'Invullen groen'!A193,""),"")</f>
        <v/>
      </c>
      <c r="C180" s="287">
        <f>IFERROR(IF('Invullen groen'!E193&gt;0,'Invullen groen'!C193,""),"")</f>
        <v/>
      </c>
      <c r="D180" s="287">
        <f>IFERROR(IF('Invullen groen'!E193&gt;0,'Invullen groen'!D193,""),"")</f>
        <v/>
      </c>
      <c r="E180" s="287">
        <f>IFERROR(IF('Invullen groen'!E193&gt;0,'Invullen groen'!G193,""),"")</f>
        <v/>
      </c>
      <c r="F180" s="364">
        <f>IFERROR(IF('Invullen groen'!L193&lt;&gt;0,'Invullen groen'!L193,""),"")</f>
        <v/>
      </c>
      <c r="G180" s="364">
        <f>IFERROR(IF('Invullen groen'!M193&lt;&gt;0,'Invullen groen'!M193,""),"")</f>
        <v/>
      </c>
      <c r="H180" s="364">
        <f>IFERROR(IF('Invullen groen'!N193&lt;&gt;0,'Invullen groen'!N193,""),"")</f>
        <v/>
      </c>
      <c r="I180" s="364">
        <f>IFERROR(IF('Invullen groen'!O193&lt;&gt;0,'Invullen groen'!O193,""),"")</f>
        <v/>
      </c>
    </row>
    <row r="181" ht="14" customHeight="1">
      <c r="A181" s="287">
        <f>IFERROR(IF('Invullen groen'!E194&gt;0,194-17,""),"")</f>
        <v/>
      </c>
      <c r="B181" s="287">
        <f>IFERROR(IF('Invullen groen'!E194&gt;0,'Invullen groen'!A194,""),"")</f>
        <v/>
      </c>
      <c r="C181" s="287">
        <f>IFERROR(IF('Invullen groen'!E194&gt;0,'Invullen groen'!C194,""),"")</f>
        <v/>
      </c>
      <c r="D181" s="287">
        <f>IFERROR(IF('Invullen groen'!E194&gt;0,'Invullen groen'!D194,""),"")</f>
        <v/>
      </c>
      <c r="E181" s="287">
        <f>IFERROR(IF('Invullen groen'!E194&gt;0,'Invullen groen'!G194,""),"")</f>
        <v/>
      </c>
      <c r="F181" s="364">
        <f>IFERROR(IF('Invullen groen'!L194&lt;&gt;0,'Invullen groen'!L194,""),"")</f>
        <v/>
      </c>
      <c r="G181" s="364">
        <f>IFERROR(IF('Invullen groen'!M194&lt;&gt;0,'Invullen groen'!M194,""),"")</f>
        <v/>
      </c>
      <c r="H181" s="364">
        <f>IFERROR(IF('Invullen groen'!N194&lt;&gt;0,'Invullen groen'!N194,""),"")</f>
        <v/>
      </c>
      <c r="I181" s="364">
        <f>IFERROR(IF('Invullen groen'!O194&lt;&gt;0,'Invullen groen'!O194,""),"")</f>
        <v/>
      </c>
    </row>
    <row r="182" ht="14" customHeight="1">
      <c r="A182" s="287">
        <f>IFERROR(IF('Invullen groen'!E195&gt;0,195-17,""),"")</f>
        <v/>
      </c>
      <c r="B182" s="287">
        <f>IFERROR(IF('Invullen groen'!E195&gt;0,'Invullen groen'!A195,""),"")</f>
        <v/>
      </c>
      <c r="C182" s="287">
        <f>IFERROR(IF('Invullen groen'!E195&gt;0,'Invullen groen'!C195,""),"")</f>
        <v/>
      </c>
      <c r="D182" s="287">
        <f>IFERROR(IF('Invullen groen'!E195&gt;0,'Invullen groen'!D195,""),"")</f>
        <v/>
      </c>
      <c r="E182" s="287">
        <f>IFERROR(IF('Invullen groen'!E195&gt;0,'Invullen groen'!G195,""),"")</f>
        <v/>
      </c>
      <c r="F182" s="364">
        <f>IFERROR(IF('Invullen groen'!L195&lt;&gt;0,'Invullen groen'!L195,""),"")</f>
        <v/>
      </c>
      <c r="G182" s="364">
        <f>IFERROR(IF('Invullen groen'!M195&lt;&gt;0,'Invullen groen'!M195,""),"")</f>
        <v/>
      </c>
      <c r="H182" s="364">
        <f>IFERROR(IF('Invullen groen'!N195&lt;&gt;0,'Invullen groen'!N195,""),"")</f>
        <v/>
      </c>
      <c r="I182" s="364">
        <f>IFERROR(IF('Invullen groen'!O195&lt;&gt;0,'Invullen groen'!O195,""),"")</f>
        <v/>
      </c>
    </row>
    <row r="183" ht="14" customHeight="1">
      <c r="A183" s="287">
        <f>IFERROR(IF('Invullen groen'!E196&gt;0,196-17,""),"")</f>
        <v/>
      </c>
      <c r="B183" s="287">
        <f>IFERROR(IF('Invullen groen'!E196&gt;0,'Invullen groen'!A196,""),"")</f>
        <v/>
      </c>
      <c r="C183" s="287">
        <f>IFERROR(IF('Invullen groen'!E196&gt;0,'Invullen groen'!C196,""),"")</f>
        <v/>
      </c>
      <c r="D183" s="287">
        <f>IFERROR(IF('Invullen groen'!E196&gt;0,'Invullen groen'!D196,""),"")</f>
        <v/>
      </c>
      <c r="E183" s="287">
        <f>IFERROR(IF('Invullen groen'!E196&gt;0,'Invullen groen'!G196,""),"")</f>
        <v/>
      </c>
      <c r="F183" s="364">
        <f>IFERROR(IF('Invullen groen'!L196&lt;&gt;0,'Invullen groen'!L196,""),"")</f>
        <v/>
      </c>
      <c r="G183" s="364">
        <f>IFERROR(IF('Invullen groen'!M196&lt;&gt;0,'Invullen groen'!M196,""),"")</f>
        <v/>
      </c>
      <c r="H183" s="364">
        <f>IFERROR(IF('Invullen groen'!N196&lt;&gt;0,'Invullen groen'!N196,""),"")</f>
        <v/>
      </c>
      <c r="I183" s="364">
        <f>IFERROR(IF('Invullen groen'!O196&lt;&gt;0,'Invullen groen'!O196,""),"")</f>
        <v/>
      </c>
    </row>
    <row r="184" ht="14" customHeight="1">
      <c r="A184" s="287">
        <f>IFERROR(IF('Invullen groen'!E197&gt;0,197-17,""),"")</f>
        <v/>
      </c>
      <c r="B184" s="287">
        <f>IFERROR(IF('Invullen groen'!E197&gt;0,'Invullen groen'!A197,""),"")</f>
        <v/>
      </c>
      <c r="C184" s="287">
        <f>IFERROR(IF('Invullen groen'!E197&gt;0,'Invullen groen'!C197,""),"")</f>
        <v/>
      </c>
      <c r="D184" s="287">
        <f>IFERROR(IF('Invullen groen'!E197&gt;0,'Invullen groen'!D197,""),"")</f>
        <v/>
      </c>
      <c r="E184" s="287">
        <f>IFERROR(IF('Invullen groen'!E197&gt;0,'Invullen groen'!G197,""),"")</f>
        <v/>
      </c>
      <c r="F184" s="364">
        <f>IFERROR(IF('Invullen groen'!L197&lt;&gt;0,'Invullen groen'!L197,""),"")</f>
        <v/>
      </c>
      <c r="G184" s="364">
        <f>IFERROR(IF('Invullen groen'!M197&lt;&gt;0,'Invullen groen'!M197,""),"")</f>
        <v/>
      </c>
      <c r="H184" s="364">
        <f>IFERROR(IF('Invullen groen'!N197&lt;&gt;0,'Invullen groen'!N197,""),"")</f>
        <v/>
      </c>
      <c r="I184" s="364">
        <f>IFERROR(IF('Invullen groen'!O197&lt;&gt;0,'Invullen groen'!O197,""),"")</f>
        <v/>
      </c>
    </row>
    <row r="185" ht="14" customHeight="1">
      <c r="A185" s="287">
        <f>IFERROR(IF('Invullen groen'!E198&gt;0,198-17,""),"")</f>
        <v/>
      </c>
      <c r="B185" s="287">
        <f>IFERROR(IF('Invullen groen'!E198&gt;0,'Invullen groen'!A198,""),"")</f>
        <v/>
      </c>
      <c r="C185" s="287">
        <f>IFERROR(IF('Invullen groen'!E198&gt;0,'Invullen groen'!C198,""),"")</f>
        <v/>
      </c>
      <c r="D185" s="287">
        <f>IFERROR(IF('Invullen groen'!E198&gt;0,'Invullen groen'!D198,""),"")</f>
        <v/>
      </c>
      <c r="E185" s="287">
        <f>IFERROR(IF('Invullen groen'!E198&gt;0,'Invullen groen'!G198,""),"")</f>
        <v/>
      </c>
      <c r="F185" s="364">
        <f>IFERROR(IF('Invullen groen'!L198&lt;&gt;0,'Invullen groen'!L198,""),"")</f>
        <v/>
      </c>
      <c r="G185" s="364">
        <f>IFERROR(IF('Invullen groen'!M198&lt;&gt;0,'Invullen groen'!M198,""),"")</f>
        <v/>
      </c>
      <c r="H185" s="364">
        <f>IFERROR(IF('Invullen groen'!N198&lt;&gt;0,'Invullen groen'!N198,""),"")</f>
        <v/>
      </c>
      <c r="I185" s="364">
        <f>IFERROR(IF('Invullen groen'!O198&lt;&gt;0,'Invullen groen'!O198,""),"")</f>
        <v/>
      </c>
    </row>
    <row r="186" ht="14" customHeight="1">
      <c r="A186" s="287">
        <f>IFERROR(IF('Invullen groen'!E199&gt;0,199-17,""),"")</f>
        <v/>
      </c>
      <c r="B186" s="287">
        <f>IFERROR(IF('Invullen groen'!E199&gt;0,'Invullen groen'!A199,""),"")</f>
        <v/>
      </c>
      <c r="C186" s="287">
        <f>IFERROR(IF('Invullen groen'!E199&gt;0,'Invullen groen'!C199,""),"")</f>
        <v/>
      </c>
      <c r="D186" s="287">
        <f>IFERROR(IF('Invullen groen'!E199&gt;0,'Invullen groen'!D199,""),"")</f>
        <v/>
      </c>
      <c r="E186" s="287">
        <f>IFERROR(IF('Invullen groen'!E199&gt;0,'Invullen groen'!G199,""),"")</f>
        <v/>
      </c>
      <c r="F186" s="364">
        <f>IFERROR(IF('Invullen groen'!L199&lt;&gt;0,'Invullen groen'!L199,""),"")</f>
        <v/>
      </c>
      <c r="G186" s="364">
        <f>IFERROR(IF('Invullen groen'!M199&lt;&gt;0,'Invullen groen'!M199,""),"")</f>
        <v/>
      </c>
      <c r="H186" s="364">
        <f>IFERROR(IF('Invullen groen'!N199&lt;&gt;0,'Invullen groen'!N199,""),"")</f>
        <v/>
      </c>
      <c r="I186" s="364">
        <f>IFERROR(IF('Invullen groen'!O199&lt;&gt;0,'Invullen groen'!O199,""),"")</f>
        <v/>
      </c>
    </row>
    <row r="187" ht="14" customHeight="1">
      <c r="A187" s="287">
        <f>IFERROR(IF('Invullen groen'!E200&gt;0,200-17,""),"")</f>
        <v/>
      </c>
      <c r="B187" s="287">
        <f>IFERROR(IF('Invullen groen'!E200&gt;0,'Invullen groen'!A200,""),"")</f>
        <v/>
      </c>
      <c r="C187" s="287">
        <f>IFERROR(IF('Invullen groen'!E200&gt;0,'Invullen groen'!C200,""),"")</f>
        <v/>
      </c>
      <c r="D187" s="287">
        <f>IFERROR(IF('Invullen groen'!E200&gt;0,'Invullen groen'!D200,""),"")</f>
        <v/>
      </c>
      <c r="E187" s="287">
        <f>IFERROR(IF('Invullen groen'!E200&gt;0,'Invullen groen'!G200,""),"")</f>
        <v/>
      </c>
      <c r="F187" s="364">
        <f>IFERROR(IF('Invullen groen'!L200&lt;&gt;0,'Invullen groen'!L200,""),"")</f>
        <v/>
      </c>
      <c r="G187" s="364">
        <f>IFERROR(IF('Invullen groen'!M200&lt;&gt;0,'Invullen groen'!M200,""),"")</f>
        <v/>
      </c>
      <c r="H187" s="364">
        <f>IFERROR(IF('Invullen groen'!N200&lt;&gt;0,'Invullen groen'!N200,""),"")</f>
        <v/>
      </c>
      <c r="I187" s="364">
        <f>IFERROR(IF('Invullen groen'!O200&lt;&gt;0,'Invullen groen'!O200,""),"")</f>
        <v/>
      </c>
    </row>
    <row r="188" ht="14" customHeight="1">
      <c r="A188" s="287">
        <f>IFERROR(IF('Invullen groen'!E201&gt;0,201-17,""),"")</f>
        <v/>
      </c>
      <c r="B188" s="287">
        <f>IFERROR(IF('Invullen groen'!E201&gt;0,'Invullen groen'!A201,""),"")</f>
        <v/>
      </c>
      <c r="C188" s="287">
        <f>IFERROR(IF('Invullen groen'!E201&gt;0,'Invullen groen'!C201,""),"")</f>
        <v/>
      </c>
      <c r="D188" s="287">
        <f>IFERROR(IF('Invullen groen'!E201&gt;0,'Invullen groen'!D201,""),"")</f>
        <v/>
      </c>
      <c r="E188" s="287">
        <f>IFERROR(IF('Invullen groen'!E201&gt;0,'Invullen groen'!G201,""),"")</f>
        <v/>
      </c>
      <c r="F188" s="364">
        <f>IFERROR(IF('Invullen groen'!L201&lt;&gt;0,'Invullen groen'!L201,""),"")</f>
        <v/>
      </c>
      <c r="G188" s="364">
        <f>IFERROR(IF('Invullen groen'!M201&lt;&gt;0,'Invullen groen'!M201,""),"")</f>
        <v/>
      </c>
      <c r="H188" s="364">
        <f>IFERROR(IF('Invullen groen'!N201&lt;&gt;0,'Invullen groen'!N201,""),"")</f>
        <v/>
      </c>
      <c r="I188" s="364">
        <f>IFERROR(IF('Invullen groen'!O201&lt;&gt;0,'Invullen groen'!O201,""),"")</f>
        <v/>
      </c>
    </row>
    <row r="189" ht="14" customHeight="1">
      <c r="A189" s="287">
        <f>IFERROR(IF('Invullen groen'!E202&gt;0,202-17,""),"")</f>
        <v/>
      </c>
      <c r="B189" s="287">
        <f>IFERROR(IF('Invullen groen'!E202&gt;0,'Invullen groen'!A202,""),"")</f>
        <v/>
      </c>
      <c r="C189" s="287">
        <f>IFERROR(IF('Invullen groen'!E202&gt;0,'Invullen groen'!C202,""),"")</f>
        <v/>
      </c>
      <c r="D189" s="287">
        <f>IFERROR(IF('Invullen groen'!E202&gt;0,'Invullen groen'!D202,""),"")</f>
        <v/>
      </c>
      <c r="E189" s="287">
        <f>IFERROR(IF('Invullen groen'!E202&gt;0,'Invullen groen'!G202,""),"")</f>
        <v/>
      </c>
      <c r="F189" s="364">
        <f>IFERROR(IF('Invullen groen'!L202&lt;&gt;0,'Invullen groen'!L202,""),"")</f>
        <v/>
      </c>
      <c r="G189" s="364">
        <f>IFERROR(IF('Invullen groen'!M202&lt;&gt;0,'Invullen groen'!M202,""),"")</f>
        <v/>
      </c>
      <c r="H189" s="364">
        <f>IFERROR(IF('Invullen groen'!N202&lt;&gt;0,'Invullen groen'!N202,""),"")</f>
        <v/>
      </c>
      <c r="I189" s="364">
        <f>IFERROR(IF('Invullen groen'!O202&lt;&gt;0,'Invullen groen'!O202,""),"")</f>
        <v/>
      </c>
    </row>
    <row r="190" ht="14" customHeight="1">
      <c r="A190" s="287">
        <f>IFERROR(IF('Invullen groen'!E203&gt;0,203-17,""),"")</f>
        <v/>
      </c>
      <c r="B190" s="287">
        <f>IFERROR(IF('Invullen groen'!E203&gt;0,'Invullen groen'!A203,""),"")</f>
        <v/>
      </c>
      <c r="C190" s="287">
        <f>IFERROR(IF('Invullen groen'!E203&gt;0,'Invullen groen'!C203,""),"")</f>
        <v/>
      </c>
      <c r="D190" s="287">
        <f>IFERROR(IF('Invullen groen'!E203&gt;0,'Invullen groen'!D203,""),"")</f>
        <v/>
      </c>
      <c r="E190" s="287">
        <f>IFERROR(IF('Invullen groen'!E203&gt;0,'Invullen groen'!G203,""),"")</f>
        <v/>
      </c>
      <c r="F190" s="364">
        <f>IFERROR(IF('Invullen groen'!L203&lt;&gt;0,'Invullen groen'!L203,""),"")</f>
        <v/>
      </c>
      <c r="G190" s="364">
        <f>IFERROR(IF('Invullen groen'!M203&lt;&gt;0,'Invullen groen'!M203,""),"")</f>
        <v/>
      </c>
      <c r="H190" s="364">
        <f>IFERROR(IF('Invullen groen'!N203&lt;&gt;0,'Invullen groen'!N203,""),"")</f>
        <v/>
      </c>
      <c r="I190" s="364">
        <f>IFERROR(IF('Invullen groen'!O203&lt;&gt;0,'Invullen groen'!O203,""),"")</f>
        <v/>
      </c>
    </row>
    <row r="191" ht="14" customHeight="1">
      <c r="A191" s="287">
        <f>IFERROR(IF('Invullen groen'!E204&gt;0,204-17,""),"")</f>
        <v/>
      </c>
      <c r="B191" s="287">
        <f>IFERROR(IF('Invullen groen'!E204&gt;0,'Invullen groen'!A204,""),"")</f>
        <v/>
      </c>
      <c r="C191" s="287">
        <f>IFERROR(IF('Invullen groen'!E204&gt;0,'Invullen groen'!C204,""),"")</f>
        <v/>
      </c>
      <c r="D191" s="287">
        <f>IFERROR(IF('Invullen groen'!E204&gt;0,'Invullen groen'!D204,""),"")</f>
        <v/>
      </c>
      <c r="E191" s="287">
        <f>IFERROR(IF('Invullen groen'!E204&gt;0,'Invullen groen'!G204,""),"")</f>
        <v/>
      </c>
      <c r="F191" s="364">
        <f>IFERROR(IF('Invullen groen'!L204&lt;&gt;0,'Invullen groen'!L204,""),"")</f>
        <v/>
      </c>
      <c r="G191" s="364">
        <f>IFERROR(IF('Invullen groen'!M204&lt;&gt;0,'Invullen groen'!M204,""),"")</f>
        <v/>
      </c>
      <c r="H191" s="364">
        <f>IFERROR(IF('Invullen groen'!N204&lt;&gt;0,'Invullen groen'!N204,""),"")</f>
        <v/>
      </c>
      <c r="I191" s="364">
        <f>IFERROR(IF('Invullen groen'!O204&lt;&gt;0,'Invullen groen'!O204,""),"")</f>
        <v/>
      </c>
    </row>
    <row r="192" ht="14" customHeight="1">
      <c r="A192" s="287">
        <f>IFERROR(IF('Invullen groen'!E205&gt;0,205-17,""),"")</f>
        <v/>
      </c>
      <c r="B192" s="287">
        <f>IFERROR(IF('Invullen groen'!E205&gt;0,'Invullen groen'!A205,""),"")</f>
        <v/>
      </c>
      <c r="C192" s="287">
        <f>IFERROR(IF('Invullen groen'!E205&gt;0,'Invullen groen'!C205,""),"")</f>
        <v/>
      </c>
      <c r="D192" s="287">
        <f>IFERROR(IF('Invullen groen'!E205&gt;0,'Invullen groen'!D205,""),"")</f>
        <v/>
      </c>
      <c r="E192" s="287">
        <f>IFERROR(IF('Invullen groen'!E205&gt;0,'Invullen groen'!G205,""),"")</f>
        <v/>
      </c>
      <c r="F192" s="364">
        <f>IFERROR(IF('Invullen groen'!L205&lt;&gt;0,'Invullen groen'!L205,""),"")</f>
        <v/>
      </c>
      <c r="G192" s="364">
        <f>IFERROR(IF('Invullen groen'!M205&lt;&gt;0,'Invullen groen'!M205,""),"")</f>
        <v/>
      </c>
      <c r="H192" s="364">
        <f>IFERROR(IF('Invullen groen'!N205&lt;&gt;0,'Invullen groen'!N205,""),"")</f>
        <v/>
      </c>
      <c r="I192" s="364">
        <f>IFERROR(IF('Invullen groen'!O205&lt;&gt;0,'Invullen groen'!O205,""),"")</f>
        <v/>
      </c>
    </row>
    <row r="193" ht="14" customHeight="1">
      <c r="A193" s="287">
        <f>IFERROR(IF('Invullen groen'!E206&gt;0,206-17,""),"")</f>
        <v/>
      </c>
      <c r="B193" s="287">
        <f>IFERROR(IF('Invullen groen'!E206&gt;0,'Invullen groen'!A206,""),"")</f>
        <v/>
      </c>
      <c r="C193" s="287">
        <f>IFERROR(IF('Invullen groen'!E206&gt;0,'Invullen groen'!C206,""),"")</f>
        <v/>
      </c>
      <c r="D193" s="287">
        <f>IFERROR(IF('Invullen groen'!E206&gt;0,'Invullen groen'!D206,""),"")</f>
        <v/>
      </c>
      <c r="E193" s="287">
        <f>IFERROR(IF('Invullen groen'!E206&gt;0,'Invullen groen'!G206,""),"")</f>
        <v/>
      </c>
      <c r="F193" s="364">
        <f>IFERROR(IF('Invullen groen'!L206&lt;&gt;0,'Invullen groen'!L206,""),"")</f>
        <v/>
      </c>
      <c r="G193" s="364">
        <f>IFERROR(IF('Invullen groen'!M206&lt;&gt;0,'Invullen groen'!M206,""),"")</f>
        <v/>
      </c>
      <c r="H193" s="364">
        <f>IFERROR(IF('Invullen groen'!N206&lt;&gt;0,'Invullen groen'!N206,""),"")</f>
        <v/>
      </c>
      <c r="I193" s="364">
        <f>IFERROR(IF('Invullen groen'!O206&lt;&gt;0,'Invullen groen'!O206,""),"")</f>
        <v/>
      </c>
    </row>
    <row r="194" ht="14" customHeight="1">
      <c r="A194" s="287">
        <f>IFERROR(IF('Invullen groen'!E207&gt;0,207-17,""),"")</f>
        <v/>
      </c>
      <c r="B194" s="287">
        <f>IFERROR(IF('Invullen groen'!E207&gt;0,'Invullen groen'!A207,""),"")</f>
        <v/>
      </c>
      <c r="C194" s="287">
        <f>IFERROR(IF('Invullen groen'!E207&gt;0,'Invullen groen'!C207,""),"")</f>
        <v/>
      </c>
      <c r="D194" s="287">
        <f>IFERROR(IF('Invullen groen'!E207&gt;0,'Invullen groen'!D207,""),"")</f>
        <v/>
      </c>
      <c r="E194" s="287">
        <f>IFERROR(IF('Invullen groen'!E207&gt;0,'Invullen groen'!G207,""),"")</f>
        <v/>
      </c>
      <c r="F194" s="364">
        <f>IFERROR(IF('Invullen groen'!L207&lt;&gt;0,'Invullen groen'!L207,""),"")</f>
        <v/>
      </c>
      <c r="G194" s="364">
        <f>IFERROR(IF('Invullen groen'!M207&lt;&gt;0,'Invullen groen'!M207,""),"")</f>
        <v/>
      </c>
      <c r="H194" s="364">
        <f>IFERROR(IF('Invullen groen'!N207&lt;&gt;0,'Invullen groen'!N207,""),"")</f>
        <v/>
      </c>
      <c r="I194" s="364">
        <f>IFERROR(IF('Invullen groen'!O207&lt;&gt;0,'Invullen groen'!O207,""),"")</f>
        <v/>
      </c>
    </row>
    <row r="195" ht="14" customHeight="1">
      <c r="A195" s="287">
        <f>IFERROR(IF('Invullen groen'!E208&gt;0,208-17,""),"")</f>
        <v/>
      </c>
      <c r="B195" s="287">
        <f>IFERROR(IF('Invullen groen'!E208&gt;0,'Invullen groen'!A208,""),"")</f>
        <v/>
      </c>
      <c r="C195" s="287">
        <f>IFERROR(IF('Invullen groen'!E208&gt;0,'Invullen groen'!C208,""),"")</f>
        <v/>
      </c>
      <c r="D195" s="287">
        <f>IFERROR(IF('Invullen groen'!E208&gt;0,'Invullen groen'!D208,""),"")</f>
        <v/>
      </c>
      <c r="E195" s="287">
        <f>IFERROR(IF('Invullen groen'!E208&gt;0,'Invullen groen'!G208,""),"")</f>
        <v/>
      </c>
      <c r="F195" s="364">
        <f>IFERROR(IF('Invullen groen'!L208&lt;&gt;0,'Invullen groen'!L208,""),"")</f>
        <v/>
      </c>
      <c r="G195" s="364">
        <f>IFERROR(IF('Invullen groen'!M208&lt;&gt;0,'Invullen groen'!M208,""),"")</f>
        <v/>
      </c>
      <c r="H195" s="364">
        <f>IFERROR(IF('Invullen groen'!N208&lt;&gt;0,'Invullen groen'!N208,""),"")</f>
        <v/>
      </c>
      <c r="I195" s="364">
        <f>IFERROR(IF('Invullen groen'!O208&lt;&gt;0,'Invullen groen'!O208,""),"")</f>
        <v/>
      </c>
    </row>
    <row r="196" ht="14" customHeight="1">
      <c r="A196" s="287">
        <f>IFERROR(IF('Invullen groen'!E209&gt;0,209-17,""),"")</f>
        <v/>
      </c>
      <c r="B196" s="287">
        <f>IFERROR(IF('Invullen groen'!E209&gt;0,'Invullen groen'!A209,""),"")</f>
        <v/>
      </c>
      <c r="C196" s="287">
        <f>IFERROR(IF('Invullen groen'!E209&gt;0,'Invullen groen'!C209,""),"")</f>
        <v/>
      </c>
      <c r="D196" s="287">
        <f>IFERROR(IF('Invullen groen'!E209&gt;0,'Invullen groen'!D209,""),"")</f>
        <v/>
      </c>
      <c r="E196" s="287">
        <f>IFERROR(IF('Invullen groen'!E209&gt;0,'Invullen groen'!G209,""),"")</f>
        <v/>
      </c>
      <c r="F196" s="364">
        <f>IFERROR(IF('Invullen groen'!L209&lt;&gt;0,'Invullen groen'!L209,""),"")</f>
        <v/>
      </c>
      <c r="G196" s="364">
        <f>IFERROR(IF('Invullen groen'!M209&lt;&gt;0,'Invullen groen'!M209,""),"")</f>
        <v/>
      </c>
      <c r="H196" s="364">
        <f>IFERROR(IF('Invullen groen'!N209&lt;&gt;0,'Invullen groen'!N209,""),"")</f>
        <v/>
      </c>
      <c r="I196" s="364">
        <f>IFERROR(IF('Invullen groen'!O209&lt;&gt;0,'Invullen groen'!O209,""),"")</f>
        <v/>
      </c>
    </row>
    <row r="197" ht="14" customHeight="1">
      <c r="A197" s="287">
        <f>IFERROR(IF('Invullen groen'!E210&gt;0,210-17,""),"")</f>
        <v/>
      </c>
      <c r="B197" s="287">
        <f>IFERROR(IF('Invullen groen'!E210&gt;0,'Invullen groen'!A210,""),"")</f>
        <v/>
      </c>
      <c r="C197" s="287">
        <f>IFERROR(IF('Invullen groen'!E210&gt;0,'Invullen groen'!C210,""),"")</f>
        <v/>
      </c>
      <c r="D197" s="287">
        <f>IFERROR(IF('Invullen groen'!E210&gt;0,'Invullen groen'!D210,""),"")</f>
        <v/>
      </c>
      <c r="E197" s="287">
        <f>IFERROR(IF('Invullen groen'!E210&gt;0,'Invullen groen'!G210,""),"")</f>
        <v/>
      </c>
      <c r="F197" s="364">
        <f>IFERROR(IF('Invullen groen'!L210&lt;&gt;0,'Invullen groen'!L210,""),"")</f>
        <v/>
      </c>
      <c r="G197" s="364">
        <f>IFERROR(IF('Invullen groen'!M210&lt;&gt;0,'Invullen groen'!M210,""),"")</f>
        <v/>
      </c>
      <c r="H197" s="364">
        <f>IFERROR(IF('Invullen groen'!N210&lt;&gt;0,'Invullen groen'!N210,""),"")</f>
        <v/>
      </c>
      <c r="I197" s="364">
        <f>IFERROR(IF('Invullen groen'!O210&lt;&gt;0,'Invullen groen'!O210,""),"")</f>
        <v/>
      </c>
    </row>
    <row r="198" ht="14" customHeight="1">
      <c r="A198" s="287">
        <f>IFERROR(IF('Invullen groen'!E211&gt;0,211-17,""),"")</f>
        <v/>
      </c>
      <c r="B198" s="287">
        <f>IFERROR(IF('Invullen groen'!E211&gt;0,'Invullen groen'!A211,""),"")</f>
        <v/>
      </c>
      <c r="C198" s="287">
        <f>IFERROR(IF('Invullen groen'!E211&gt;0,'Invullen groen'!C211,""),"")</f>
        <v/>
      </c>
      <c r="D198" s="287">
        <f>IFERROR(IF('Invullen groen'!E211&gt;0,'Invullen groen'!D211,""),"")</f>
        <v/>
      </c>
      <c r="E198" s="287">
        <f>IFERROR(IF('Invullen groen'!E211&gt;0,'Invullen groen'!G211,""),"")</f>
        <v/>
      </c>
      <c r="F198" s="364">
        <f>IFERROR(IF('Invullen groen'!L211&lt;&gt;0,'Invullen groen'!L211,""),"")</f>
        <v/>
      </c>
      <c r="G198" s="364">
        <f>IFERROR(IF('Invullen groen'!M211&lt;&gt;0,'Invullen groen'!M211,""),"")</f>
        <v/>
      </c>
      <c r="H198" s="364">
        <f>IFERROR(IF('Invullen groen'!N211&lt;&gt;0,'Invullen groen'!N211,""),"")</f>
        <v/>
      </c>
      <c r="I198" s="364">
        <f>IFERROR(IF('Invullen groen'!O211&lt;&gt;0,'Invullen groen'!O211,""),"")</f>
        <v/>
      </c>
    </row>
    <row r="199" ht="14" customHeight="1">
      <c r="A199" s="287">
        <f>IFERROR(IF('Invullen groen'!E212&gt;0,212-17,""),"")</f>
        <v/>
      </c>
      <c r="B199" s="287">
        <f>IFERROR(IF('Invullen groen'!E212&gt;0,'Invullen groen'!A212,""),"")</f>
        <v/>
      </c>
      <c r="C199" s="287">
        <f>IFERROR(IF('Invullen groen'!E212&gt;0,'Invullen groen'!C212,""),"")</f>
        <v/>
      </c>
      <c r="D199" s="287">
        <f>IFERROR(IF('Invullen groen'!E212&gt;0,'Invullen groen'!D212,""),"")</f>
        <v/>
      </c>
      <c r="E199" s="287">
        <f>IFERROR(IF('Invullen groen'!E212&gt;0,'Invullen groen'!G212,""),"")</f>
        <v/>
      </c>
      <c r="F199" s="364">
        <f>IFERROR(IF('Invullen groen'!L212&lt;&gt;0,'Invullen groen'!L212,""),"")</f>
        <v/>
      </c>
      <c r="G199" s="364">
        <f>IFERROR(IF('Invullen groen'!M212&lt;&gt;0,'Invullen groen'!M212,""),"")</f>
        <v/>
      </c>
      <c r="H199" s="364">
        <f>IFERROR(IF('Invullen groen'!N212&lt;&gt;0,'Invullen groen'!N212,""),"")</f>
        <v/>
      </c>
      <c r="I199" s="364">
        <f>IFERROR(IF('Invullen groen'!O212&lt;&gt;0,'Invullen groen'!O212,""),"")</f>
        <v/>
      </c>
    </row>
    <row r="200" ht="14" customHeight="1">
      <c r="A200" s="287">
        <f>IFERROR(IF('Invullen groen'!E213&gt;0,213-17,""),"")</f>
        <v/>
      </c>
      <c r="B200" s="287">
        <f>IFERROR(IF('Invullen groen'!E213&gt;0,'Invullen groen'!A213,""),"")</f>
        <v/>
      </c>
      <c r="C200" s="287">
        <f>IFERROR(IF('Invullen groen'!E213&gt;0,'Invullen groen'!C213,""),"")</f>
        <v/>
      </c>
      <c r="D200" s="287">
        <f>IFERROR(IF('Invullen groen'!E213&gt;0,'Invullen groen'!D213,""),"")</f>
        <v/>
      </c>
      <c r="E200" s="287">
        <f>IFERROR(IF('Invullen groen'!E213&gt;0,'Invullen groen'!G213,""),"")</f>
        <v/>
      </c>
      <c r="F200" s="364">
        <f>IFERROR(IF('Invullen groen'!L213&lt;&gt;0,'Invullen groen'!L213,""),"")</f>
        <v/>
      </c>
      <c r="G200" s="364">
        <f>IFERROR(IF('Invullen groen'!M213&lt;&gt;0,'Invullen groen'!M213,""),"")</f>
        <v/>
      </c>
      <c r="H200" s="364">
        <f>IFERROR(IF('Invullen groen'!N213&lt;&gt;0,'Invullen groen'!N213,""),"")</f>
        <v/>
      </c>
      <c r="I200" s="364">
        <f>IFERROR(IF('Invullen groen'!O213&lt;&gt;0,'Invullen groen'!O213,""),"")</f>
        <v/>
      </c>
    </row>
    <row r="201" ht="14" customHeight="1">
      <c r="A201" s="287">
        <f>IFERROR(IF('Invullen groen'!E214&gt;0,214-17,""),"")</f>
        <v/>
      </c>
      <c r="B201" s="287">
        <f>IFERROR(IF('Invullen groen'!E214&gt;0,'Invullen groen'!A214,""),"")</f>
        <v/>
      </c>
      <c r="C201" s="287">
        <f>IFERROR(IF('Invullen groen'!E214&gt;0,'Invullen groen'!C214,""),"")</f>
        <v/>
      </c>
      <c r="D201" s="287">
        <f>IFERROR(IF('Invullen groen'!E214&gt;0,'Invullen groen'!D214,""),"")</f>
        <v/>
      </c>
      <c r="E201" s="287">
        <f>IFERROR(IF('Invullen groen'!E214&gt;0,'Invullen groen'!G214,""),"")</f>
        <v/>
      </c>
      <c r="F201" s="364">
        <f>IFERROR(IF('Invullen groen'!L214&lt;&gt;0,'Invullen groen'!L214,""),"")</f>
        <v/>
      </c>
      <c r="G201" s="364">
        <f>IFERROR(IF('Invullen groen'!M214&lt;&gt;0,'Invullen groen'!M214,""),"")</f>
        <v/>
      </c>
      <c r="H201" s="364">
        <f>IFERROR(IF('Invullen groen'!N214&lt;&gt;0,'Invullen groen'!N214,""),"")</f>
        <v/>
      </c>
      <c r="I201" s="364">
        <f>IFERROR(IF('Invullen groen'!O214&lt;&gt;0,'Invullen groen'!O214,""),"")</f>
        <v/>
      </c>
    </row>
    <row r="202" ht="14" customHeight="1">
      <c r="A202" s="287">
        <f>IFERROR(IF('Invullen groen'!E215&gt;0,215-17,""),"")</f>
        <v/>
      </c>
      <c r="B202" s="287">
        <f>IFERROR(IF('Invullen groen'!E215&gt;0,'Invullen groen'!A215,""),"")</f>
        <v/>
      </c>
      <c r="C202" s="287">
        <f>IFERROR(IF('Invullen groen'!E215&gt;0,'Invullen groen'!C215,""),"")</f>
        <v/>
      </c>
      <c r="D202" s="287">
        <f>IFERROR(IF('Invullen groen'!E215&gt;0,'Invullen groen'!D215,""),"")</f>
        <v/>
      </c>
      <c r="E202" s="287">
        <f>IFERROR(IF('Invullen groen'!E215&gt;0,'Invullen groen'!G215,""),"")</f>
        <v/>
      </c>
      <c r="F202" s="364">
        <f>IFERROR(IF('Invullen groen'!L215&lt;&gt;0,'Invullen groen'!L215,""),"")</f>
        <v/>
      </c>
      <c r="G202" s="364">
        <f>IFERROR(IF('Invullen groen'!M215&lt;&gt;0,'Invullen groen'!M215,""),"")</f>
        <v/>
      </c>
      <c r="H202" s="364">
        <f>IFERROR(IF('Invullen groen'!N215&lt;&gt;0,'Invullen groen'!N215,""),"")</f>
        <v/>
      </c>
      <c r="I202" s="364">
        <f>IFERROR(IF('Invullen groen'!O215&lt;&gt;0,'Invullen groen'!O215,""),"")</f>
        <v/>
      </c>
    </row>
    <row r="203" ht="14" customHeight="1">
      <c r="A203" s="287">
        <f>IFERROR(IF('Invullen groen'!E216&gt;0,216-17,""),"")</f>
        <v/>
      </c>
      <c r="B203" s="287">
        <f>IFERROR(IF('Invullen groen'!E216&gt;0,'Invullen groen'!A216,""),"")</f>
        <v/>
      </c>
      <c r="C203" s="287">
        <f>IFERROR(IF('Invullen groen'!E216&gt;0,'Invullen groen'!C216,""),"")</f>
        <v/>
      </c>
      <c r="D203" s="287">
        <f>IFERROR(IF('Invullen groen'!E216&gt;0,'Invullen groen'!D216,""),"")</f>
        <v/>
      </c>
      <c r="E203" s="287">
        <f>IFERROR(IF('Invullen groen'!E216&gt;0,'Invullen groen'!G216,""),"")</f>
        <v/>
      </c>
      <c r="F203" s="364">
        <f>IFERROR(IF('Invullen groen'!L216&lt;&gt;0,'Invullen groen'!L216,""),"")</f>
        <v/>
      </c>
      <c r="G203" s="364">
        <f>IFERROR(IF('Invullen groen'!M216&lt;&gt;0,'Invullen groen'!M216,""),"")</f>
        <v/>
      </c>
      <c r="H203" s="364">
        <f>IFERROR(IF('Invullen groen'!N216&lt;&gt;0,'Invullen groen'!N216,""),"")</f>
        <v/>
      </c>
      <c r="I203" s="364">
        <f>IFERROR(IF('Invullen groen'!O216&lt;&gt;0,'Invullen groen'!O216,""),"")</f>
        <v/>
      </c>
    </row>
    <row r="204" ht="14" customHeight="1">
      <c r="A204" s="287">
        <f>IFERROR(IF('Invullen groen'!E217&gt;0,217-17,""),"")</f>
        <v/>
      </c>
      <c r="B204" s="287">
        <f>IFERROR(IF('Invullen groen'!E217&gt;0,'Invullen groen'!A217,""),"")</f>
        <v/>
      </c>
      <c r="C204" s="287">
        <f>IFERROR(IF('Invullen groen'!E217&gt;0,'Invullen groen'!C217,""),"")</f>
        <v/>
      </c>
      <c r="D204" s="287">
        <f>IFERROR(IF('Invullen groen'!E217&gt;0,'Invullen groen'!D217,""),"")</f>
        <v/>
      </c>
      <c r="E204" s="287">
        <f>IFERROR(IF('Invullen groen'!E217&gt;0,'Invullen groen'!G217,""),"")</f>
        <v/>
      </c>
      <c r="F204" s="364">
        <f>IFERROR(IF('Invullen groen'!L217&lt;&gt;0,'Invullen groen'!L217,""),"")</f>
        <v/>
      </c>
      <c r="G204" s="364">
        <f>IFERROR(IF('Invullen groen'!M217&lt;&gt;0,'Invullen groen'!M217,""),"")</f>
        <v/>
      </c>
      <c r="H204" s="364">
        <f>IFERROR(IF('Invullen groen'!N217&lt;&gt;0,'Invullen groen'!N217,""),"")</f>
        <v/>
      </c>
      <c r="I204" s="364">
        <f>IFERROR(IF('Invullen groen'!O217&lt;&gt;0,'Invullen groen'!O217,""),"")</f>
        <v/>
      </c>
    </row>
    <row r="205" ht="14" customHeight="1">
      <c r="A205" s="287">
        <f>IFERROR(IF('Invullen groen'!E218&gt;0,218-17,""),"")</f>
        <v/>
      </c>
      <c r="B205" s="287">
        <f>IFERROR(IF('Invullen groen'!E218&gt;0,'Invullen groen'!A218,""),"")</f>
        <v/>
      </c>
      <c r="C205" s="287">
        <f>IFERROR(IF('Invullen groen'!E218&gt;0,'Invullen groen'!C218,""),"")</f>
        <v/>
      </c>
      <c r="D205" s="287">
        <f>IFERROR(IF('Invullen groen'!E218&gt;0,'Invullen groen'!D218,""),"")</f>
        <v/>
      </c>
      <c r="E205" s="287">
        <f>IFERROR(IF('Invullen groen'!E218&gt;0,'Invullen groen'!G218,""),"")</f>
        <v/>
      </c>
      <c r="F205" s="364">
        <f>IFERROR(IF('Invullen groen'!L218&lt;&gt;0,'Invullen groen'!L218,""),"")</f>
        <v/>
      </c>
      <c r="G205" s="364">
        <f>IFERROR(IF('Invullen groen'!M218&lt;&gt;0,'Invullen groen'!M218,""),"")</f>
        <v/>
      </c>
      <c r="H205" s="364">
        <f>IFERROR(IF('Invullen groen'!N218&lt;&gt;0,'Invullen groen'!N218,""),"")</f>
        <v/>
      </c>
      <c r="I205" s="364">
        <f>IFERROR(IF('Invullen groen'!O218&lt;&gt;0,'Invullen groen'!O218,""),"")</f>
        <v/>
      </c>
    </row>
    <row r="206" ht="14" customHeight="1">
      <c r="A206" s="287">
        <f>IFERROR(IF('Invullen groen'!E219&gt;0,219-17,""),"")</f>
        <v/>
      </c>
      <c r="B206" s="287">
        <f>IFERROR(IF('Invullen groen'!E219&gt;0,'Invullen groen'!A219,""),"")</f>
        <v/>
      </c>
      <c r="C206" s="287">
        <f>IFERROR(IF('Invullen groen'!E219&gt;0,'Invullen groen'!C219,""),"")</f>
        <v/>
      </c>
      <c r="D206" s="287">
        <f>IFERROR(IF('Invullen groen'!E219&gt;0,'Invullen groen'!D219,""),"")</f>
        <v/>
      </c>
      <c r="E206" s="287">
        <f>IFERROR(IF('Invullen groen'!E219&gt;0,'Invullen groen'!G219,""),"")</f>
        <v/>
      </c>
      <c r="F206" s="364">
        <f>IFERROR(IF('Invullen groen'!L219&lt;&gt;0,'Invullen groen'!L219,""),"")</f>
        <v/>
      </c>
      <c r="G206" s="364">
        <f>IFERROR(IF('Invullen groen'!M219&lt;&gt;0,'Invullen groen'!M219,""),"")</f>
        <v/>
      </c>
      <c r="H206" s="364">
        <f>IFERROR(IF('Invullen groen'!N219&lt;&gt;0,'Invullen groen'!N219,""),"")</f>
        <v/>
      </c>
      <c r="I206" s="364">
        <f>IFERROR(IF('Invullen groen'!O219&lt;&gt;0,'Invullen groen'!O219,""),"")</f>
        <v/>
      </c>
    </row>
    <row r="207" ht="14" customHeight="1">
      <c r="A207" s="287">
        <f>IFERROR(IF('Invullen groen'!E220&gt;0,220-17,""),"")</f>
        <v/>
      </c>
      <c r="B207" s="287">
        <f>IFERROR(IF('Invullen groen'!E220&gt;0,'Invullen groen'!A220,""),"")</f>
        <v/>
      </c>
      <c r="C207" s="287">
        <f>IFERROR(IF('Invullen groen'!E220&gt;0,'Invullen groen'!C220,""),"")</f>
        <v/>
      </c>
      <c r="D207" s="287">
        <f>IFERROR(IF('Invullen groen'!E220&gt;0,'Invullen groen'!D220,""),"")</f>
        <v/>
      </c>
      <c r="E207" s="287">
        <f>IFERROR(IF('Invullen groen'!E220&gt;0,'Invullen groen'!G220,""),"")</f>
        <v/>
      </c>
      <c r="F207" s="364">
        <f>IFERROR(IF('Invullen groen'!L220&lt;&gt;0,'Invullen groen'!L220,""),"")</f>
        <v/>
      </c>
      <c r="G207" s="364">
        <f>IFERROR(IF('Invullen groen'!M220&lt;&gt;0,'Invullen groen'!M220,""),"")</f>
        <v/>
      </c>
      <c r="H207" s="364">
        <f>IFERROR(IF('Invullen groen'!N220&lt;&gt;0,'Invullen groen'!N220,""),"")</f>
        <v/>
      </c>
      <c r="I207" s="364">
        <f>IFERROR(IF('Invullen groen'!O220&lt;&gt;0,'Invullen groen'!O220,""),"")</f>
        <v/>
      </c>
    </row>
    <row r="208" ht="14" customHeight="1">
      <c r="A208" s="287">
        <f>IFERROR(IF('Invullen groen'!E221&gt;0,221-17,""),"")</f>
        <v/>
      </c>
      <c r="B208" s="287">
        <f>IFERROR(IF('Invullen groen'!E221&gt;0,'Invullen groen'!A221,""),"")</f>
        <v/>
      </c>
      <c r="C208" s="287">
        <f>IFERROR(IF('Invullen groen'!E221&gt;0,'Invullen groen'!C221,""),"")</f>
        <v/>
      </c>
      <c r="D208" s="287">
        <f>IFERROR(IF('Invullen groen'!E221&gt;0,'Invullen groen'!D221,""),"")</f>
        <v/>
      </c>
      <c r="E208" s="287">
        <f>IFERROR(IF('Invullen groen'!E221&gt;0,'Invullen groen'!G221,""),"")</f>
        <v/>
      </c>
      <c r="F208" s="364">
        <f>IFERROR(IF('Invullen groen'!L221&lt;&gt;0,'Invullen groen'!L221,""),"")</f>
        <v/>
      </c>
      <c r="G208" s="364">
        <f>IFERROR(IF('Invullen groen'!M221&lt;&gt;0,'Invullen groen'!M221,""),"")</f>
        <v/>
      </c>
      <c r="H208" s="364">
        <f>IFERROR(IF('Invullen groen'!N221&lt;&gt;0,'Invullen groen'!N221,""),"")</f>
        <v/>
      </c>
      <c r="I208" s="364">
        <f>IFERROR(IF('Invullen groen'!O221&lt;&gt;0,'Invullen groen'!O221,""),"")</f>
        <v/>
      </c>
    </row>
    <row r="209" ht="14" customHeight="1">
      <c r="A209" s="287">
        <f>IFERROR(IF('Invullen groen'!E222&gt;0,222-17,""),"")</f>
        <v/>
      </c>
      <c r="B209" s="287">
        <f>IFERROR(IF('Invullen groen'!E222&gt;0,'Invullen groen'!A222,""),"")</f>
        <v/>
      </c>
      <c r="C209" s="287">
        <f>IFERROR(IF('Invullen groen'!E222&gt;0,'Invullen groen'!C222,""),"")</f>
        <v/>
      </c>
      <c r="D209" s="287">
        <f>IFERROR(IF('Invullen groen'!E222&gt;0,'Invullen groen'!D222,""),"")</f>
        <v/>
      </c>
      <c r="E209" s="287">
        <f>IFERROR(IF('Invullen groen'!E222&gt;0,'Invullen groen'!G222,""),"")</f>
        <v/>
      </c>
      <c r="F209" s="364">
        <f>IFERROR(IF('Invullen groen'!L222&lt;&gt;0,'Invullen groen'!L222,""),"")</f>
        <v/>
      </c>
      <c r="G209" s="364">
        <f>IFERROR(IF('Invullen groen'!M222&lt;&gt;0,'Invullen groen'!M222,""),"")</f>
        <v/>
      </c>
      <c r="H209" s="364">
        <f>IFERROR(IF('Invullen groen'!N222&lt;&gt;0,'Invullen groen'!N222,""),"")</f>
        <v/>
      </c>
      <c r="I209" s="364">
        <f>IFERROR(IF('Invullen groen'!O222&lt;&gt;0,'Invullen groen'!O222,""),"")</f>
        <v/>
      </c>
    </row>
    <row r="210" ht="14" customHeight="1">
      <c r="A210" s="287">
        <f>IFERROR(IF('Invullen groen'!E223&gt;0,223-17,""),"")</f>
        <v/>
      </c>
      <c r="B210" s="287">
        <f>IFERROR(IF('Invullen groen'!E223&gt;0,'Invullen groen'!A223,""),"")</f>
        <v/>
      </c>
      <c r="C210" s="287">
        <f>IFERROR(IF('Invullen groen'!E223&gt;0,'Invullen groen'!C223,""),"")</f>
        <v/>
      </c>
      <c r="D210" s="287">
        <f>IFERROR(IF('Invullen groen'!E223&gt;0,'Invullen groen'!D223,""),"")</f>
        <v/>
      </c>
      <c r="E210" s="287">
        <f>IFERROR(IF('Invullen groen'!E223&gt;0,'Invullen groen'!G223,""),"")</f>
        <v/>
      </c>
      <c r="F210" s="364">
        <f>IFERROR(IF('Invullen groen'!L223&lt;&gt;0,'Invullen groen'!L223,""),"")</f>
        <v/>
      </c>
      <c r="G210" s="364">
        <f>IFERROR(IF('Invullen groen'!M223&lt;&gt;0,'Invullen groen'!M223,""),"")</f>
        <v/>
      </c>
      <c r="H210" s="364">
        <f>IFERROR(IF('Invullen groen'!N223&lt;&gt;0,'Invullen groen'!N223,""),"")</f>
        <v/>
      </c>
      <c r="I210" s="364">
        <f>IFERROR(IF('Invullen groen'!O223&lt;&gt;0,'Invullen groen'!O223,""),"")</f>
        <v/>
      </c>
    </row>
    <row r="211" ht="14" customHeight="1">
      <c r="A211" s="287">
        <f>IFERROR(IF('Invullen groen'!E224&gt;0,224-17,""),"")</f>
        <v/>
      </c>
      <c r="B211" s="287">
        <f>IFERROR(IF('Invullen groen'!E224&gt;0,'Invullen groen'!A224,""),"")</f>
        <v/>
      </c>
      <c r="C211" s="287">
        <f>IFERROR(IF('Invullen groen'!E224&gt;0,'Invullen groen'!C224,""),"")</f>
        <v/>
      </c>
      <c r="D211" s="287">
        <f>IFERROR(IF('Invullen groen'!E224&gt;0,'Invullen groen'!D224,""),"")</f>
        <v/>
      </c>
      <c r="E211" s="287">
        <f>IFERROR(IF('Invullen groen'!E224&gt;0,'Invullen groen'!G224,""),"")</f>
        <v/>
      </c>
      <c r="F211" s="364">
        <f>IFERROR(IF('Invullen groen'!L224&lt;&gt;0,'Invullen groen'!L224,""),"")</f>
        <v/>
      </c>
      <c r="G211" s="364">
        <f>IFERROR(IF('Invullen groen'!M224&lt;&gt;0,'Invullen groen'!M224,""),"")</f>
        <v/>
      </c>
      <c r="H211" s="364">
        <f>IFERROR(IF('Invullen groen'!N224&lt;&gt;0,'Invullen groen'!N224,""),"")</f>
        <v/>
      </c>
      <c r="I211" s="364">
        <f>IFERROR(IF('Invullen groen'!O224&lt;&gt;0,'Invullen groen'!O224,""),"")</f>
        <v/>
      </c>
    </row>
    <row r="212" ht="14" customHeight="1">
      <c r="A212" s="287">
        <f>IFERROR(IF('Invullen groen'!E225&gt;0,225-17,""),"")</f>
        <v/>
      </c>
      <c r="B212" s="287">
        <f>IFERROR(IF('Invullen groen'!E225&gt;0,'Invullen groen'!A225,""),"")</f>
        <v/>
      </c>
      <c r="C212" s="287">
        <f>IFERROR(IF('Invullen groen'!E225&gt;0,'Invullen groen'!C225,""),"")</f>
        <v/>
      </c>
      <c r="D212" s="287">
        <f>IFERROR(IF('Invullen groen'!E225&gt;0,'Invullen groen'!D225,""),"")</f>
        <v/>
      </c>
      <c r="E212" s="287">
        <f>IFERROR(IF('Invullen groen'!E225&gt;0,'Invullen groen'!G225,""),"")</f>
        <v/>
      </c>
      <c r="F212" s="364">
        <f>IFERROR(IF('Invullen groen'!L225&lt;&gt;0,'Invullen groen'!L225,""),"")</f>
        <v/>
      </c>
      <c r="G212" s="364">
        <f>IFERROR(IF('Invullen groen'!M225&lt;&gt;0,'Invullen groen'!M225,""),"")</f>
        <v/>
      </c>
      <c r="H212" s="364">
        <f>IFERROR(IF('Invullen groen'!N225&lt;&gt;0,'Invullen groen'!N225,""),"")</f>
        <v/>
      </c>
      <c r="I212" s="364">
        <f>IFERROR(IF('Invullen groen'!O225&lt;&gt;0,'Invullen groen'!O225,""),"")</f>
        <v/>
      </c>
    </row>
    <row r="213" ht="14" customHeight="1">
      <c r="A213" s="287">
        <f>IFERROR(IF('Invullen groen'!E226&gt;0,226-17,""),"")</f>
        <v/>
      </c>
      <c r="B213" s="287">
        <f>IFERROR(IF('Invullen groen'!E226&gt;0,'Invullen groen'!A226,""),"")</f>
        <v/>
      </c>
      <c r="C213" s="287">
        <f>IFERROR(IF('Invullen groen'!E226&gt;0,'Invullen groen'!C226,""),"")</f>
        <v/>
      </c>
      <c r="D213" s="287">
        <f>IFERROR(IF('Invullen groen'!E226&gt;0,'Invullen groen'!D226,""),"")</f>
        <v/>
      </c>
      <c r="E213" s="287">
        <f>IFERROR(IF('Invullen groen'!E226&gt;0,'Invullen groen'!G226,""),"")</f>
        <v/>
      </c>
      <c r="F213" s="364">
        <f>IFERROR(IF('Invullen groen'!L226&lt;&gt;0,'Invullen groen'!L226,""),"")</f>
        <v/>
      </c>
      <c r="G213" s="364">
        <f>IFERROR(IF('Invullen groen'!M226&lt;&gt;0,'Invullen groen'!M226,""),"")</f>
        <v/>
      </c>
      <c r="H213" s="364">
        <f>IFERROR(IF('Invullen groen'!N226&lt;&gt;0,'Invullen groen'!N226,""),"")</f>
        <v/>
      </c>
      <c r="I213" s="364">
        <f>IFERROR(IF('Invullen groen'!O226&lt;&gt;0,'Invullen groen'!O226,""),"")</f>
        <v/>
      </c>
    </row>
    <row r="214" ht="14" customHeight="1">
      <c r="A214" s="287">
        <f>IFERROR(IF('Invullen groen'!E227&gt;0,227-17,""),"")</f>
        <v/>
      </c>
      <c r="B214" s="287">
        <f>IFERROR(IF('Invullen groen'!E227&gt;0,'Invullen groen'!A227,""),"")</f>
        <v/>
      </c>
      <c r="C214" s="287">
        <f>IFERROR(IF('Invullen groen'!E227&gt;0,'Invullen groen'!C227,""),"")</f>
        <v/>
      </c>
      <c r="D214" s="287">
        <f>IFERROR(IF('Invullen groen'!E227&gt;0,'Invullen groen'!D227,""),"")</f>
        <v/>
      </c>
      <c r="E214" s="287">
        <f>IFERROR(IF('Invullen groen'!E227&gt;0,'Invullen groen'!G227,""),"")</f>
        <v/>
      </c>
      <c r="F214" s="364">
        <f>IFERROR(IF('Invullen groen'!L227&lt;&gt;0,'Invullen groen'!L227,""),"")</f>
        <v/>
      </c>
      <c r="G214" s="364">
        <f>IFERROR(IF('Invullen groen'!M227&lt;&gt;0,'Invullen groen'!M227,""),"")</f>
        <v/>
      </c>
      <c r="H214" s="364">
        <f>IFERROR(IF('Invullen groen'!N227&lt;&gt;0,'Invullen groen'!N227,""),"")</f>
        <v/>
      </c>
      <c r="I214" s="364">
        <f>IFERROR(IF('Invullen groen'!O227&lt;&gt;0,'Invullen groen'!O227,""),"")</f>
        <v/>
      </c>
    </row>
    <row r="215" ht="14" customHeight="1">
      <c r="A215" s="287">
        <f>IFERROR(IF('Invullen groen'!E228&gt;0,228-17,""),"")</f>
        <v/>
      </c>
      <c r="B215" s="287">
        <f>IFERROR(IF('Invullen groen'!E228&gt;0,'Invullen groen'!A228,""),"")</f>
        <v/>
      </c>
      <c r="C215" s="287">
        <f>IFERROR(IF('Invullen groen'!E228&gt;0,'Invullen groen'!C228,""),"")</f>
        <v/>
      </c>
      <c r="D215" s="287">
        <f>IFERROR(IF('Invullen groen'!E228&gt;0,'Invullen groen'!D228,""),"")</f>
        <v/>
      </c>
      <c r="E215" s="287">
        <f>IFERROR(IF('Invullen groen'!E228&gt;0,'Invullen groen'!G228,""),"")</f>
        <v/>
      </c>
      <c r="F215" s="364">
        <f>IFERROR(IF('Invullen groen'!L228&lt;&gt;0,'Invullen groen'!L228,""),"")</f>
        <v/>
      </c>
      <c r="G215" s="364">
        <f>IFERROR(IF('Invullen groen'!M228&lt;&gt;0,'Invullen groen'!M228,""),"")</f>
        <v/>
      </c>
      <c r="H215" s="364">
        <f>IFERROR(IF('Invullen groen'!N228&lt;&gt;0,'Invullen groen'!N228,""),"")</f>
        <v/>
      </c>
      <c r="I215" s="364">
        <f>IFERROR(IF('Invullen groen'!O228&lt;&gt;0,'Invullen groen'!O228,""),"")</f>
        <v/>
      </c>
    </row>
    <row r="216" ht="14" customHeight="1">
      <c r="A216" s="287">
        <f>IFERROR(IF('Invullen groen'!E229&gt;0,229-17,""),"")</f>
        <v/>
      </c>
      <c r="B216" s="287">
        <f>IFERROR(IF('Invullen groen'!E229&gt;0,'Invullen groen'!A229,""),"")</f>
        <v/>
      </c>
      <c r="C216" s="287">
        <f>IFERROR(IF('Invullen groen'!E229&gt;0,'Invullen groen'!C229,""),"")</f>
        <v/>
      </c>
      <c r="D216" s="287">
        <f>IFERROR(IF('Invullen groen'!E229&gt;0,'Invullen groen'!D229,""),"")</f>
        <v/>
      </c>
      <c r="E216" s="287">
        <f>IFERROR(IF('Invullen groen'!E229&gt;0,'Invullen groen'!G229,""),"")</f>
        <v/>
      </c>
      <c r="F216" s="364">
        <f>IFERROR(IF('Invullen groen'!L229&lt;&gt;0,'Invullen groen'!L229,""),"")</f>
        <v/>
      </c>
      <c r="G216" s="364">
        <f>IFERROR(IF('Invullen groen'!M229&lt;&gt;0,'Invullen groen'!M229,""),"")</f>
        <v/>
      </c>
      <c r="H216" s="364">
        <f>IFERROR(IF('Invullen groen'!N229&lt;&gt;0,'Invullen groen'!N229,""),"")</f>
        <v/>
      </c>
      <c r="I216" s="364">
        <f>IFERROR(IF('Invullen groen'!O229&lt;&gt;0,'Invullen groen'!O229,""),"")</f>
        <v/>
      </c>
    </row>
    <row r="217" ht="14" customHeight="1">
      <c r="A217" s="287">
        <f>IFERROR(IF('Invullen groen'!E230&gt;0,230-17,""),"")</f>
        <v/>
      </c>
      <c r="B217" s="287">
        <f>IFERROR(IF('Invullen groen'!E230&gt;0,'Invullen groen'!A230,""),"")</f>
        <v/>
      </c>
      <c r="C217" s="287">
        <f>IFERROR(IF('Invullen groen'!E230&gt;0,'Invullen groen'!C230,""),"")</f>
        <v/>
      </c>
      <c r="D217" s="287">
        <f>IFERROR(IF('Invullen groen'!E230&gt;0,'Invullen groen'!D230,""),"")</f>
        <v/>
      </c>
      <c r="E217" s="287">
        <f>IFERROR(IF('Invullen groen'!E230&gt;0,'Invullen groen'!G230,""),"")</f>
        <v/>
      </c>
      <c r="F217" s="364">
        <f>IFERROR(IF('Invullen groen'!L230&lt;&gt;0,'Invullen groen'!L230,""),"")</f>
        <v/>
      </c>
      <c r="G217" s="364">
        <f>IFERROR(IF('Invullen groen'!M230&lt;&gt;0,'Invullen groen'!M230,""),"")</f>
        <v/>
      </c>
      <c r="H217" s="364">
        <f>IFERROR(IF('Invullen groen'!N230&lt;&gt;0,'Invullen groen'!N230,""),"")</f>
        <v/>
      </c>
      <c r="I217" s="364">
        <f>IFERROR(IF('Invullen groen'!O230&lt;&gt;0,'Invullen groen'!O230,""),"")</f>
        <v/>
      </c>
    </row>
    <row r="218" ht="14" customHeight="1">
      <c r="A218" s="287">
        <f>IFERROR(IF('Invullen groen'!E231&gt;0,231-17,""),"")</f>
        <v/>
      </c>
      <c r="B218" s="287">
        <f>IFERROR(IF('Invullen groen'!E231&gt;0,'Invullen groen'!A231,""),"")</f>
        <v/>
      </c>
      <c r="C218" s="287">
        <f>IFERROR(IF('Invullen groen'!E231&gt;0,'Invullen groen'!C231,""),"")</f>
        <v/>
      </c>
      <c r="D218" s="287">
        <f>IFERROR(IF('Invullen groen'!E231&gt;0,'Invullen groen'!D231,""),"")</f>
        <v/>
      </c>
      <c r="E218" s="287">
        <f>IFERROR(IF('Invullen groen'!E231&gt;0,'Invullen groen'!G231,""),"")</f>
        <v/>
      </c>
      <c r="F218" s="364">
        <f>IFERROR(IF('Invullen groen'!L231&lt;&gt;0,'Invullen groen'!L231,""),"")</f>
        <v/>
      </c>
      <c r="G218" s="364">
        <f>IFERROR(IF('Invullen groen'!M231&lt;&gt;0,'Invullen groen'!M231,""),"")</f>
        <v/>
      </c>
      <c r="H218" s="364">
        <f>IFERROR(IF('Invullen groen'!N231&lt;&gt;0,'Invullen groen'!N231,""),"")</f>
        <v/>
      </c>
      <c r="I218" s="364">
        <f>IFERROR(IF('Invullen groen'!O231&lt;&gt;0,'Invullen groen'!O231,""),"")</f>
        <v/>
      </c>
    </row>
    <row r="219" ht="14" customHeight="1">
      <c r="A219" s="287">
        <f>IFERROR(IF('Invullen groen'!E232&gt;0,232-17,""),"")</f>
        <v/>
      </c>
      <c r="B219" s="287">
        <f>IFERROR(IF('Invullen groen'!E232&gt;0,'Invullen groen'!A232,""),"")</f>
        <v/>
      </c>
      <c r="C219" s="287">
        <f>IFERROR(IF('Invullen groen'!E232&gt;0,'Invullen groen'!C232,""),"")</f>
        <v/>
      </c>
      <c r="D219" s="287">
        <f>IFERROR(IF('Invullen groen'!E232&gt;0,'Invullen groen'!D232,""),"")</f>
        <v/>
      </c>
      <c r="E219" s="287">
        <f>IFERROR(IF('Invullen groen'!E232&gt;0,'Invullen groen'!G232,""),"")</f>
        <v/>
      </c>
      <c r="F219" s="364">
        <f>IFERROR(IF('Invullen groen'!L232&lt;&gt;0,'Invullen groen'!L232,""),"")</f>
        <v/>
      </c>
      <c r="G219" s="364">
        <f>IFERROR(IF('Invullen groen'!M232&lt;&gt;0,'Invullen groen'!M232,""),"")</f>
        <v/>
      </c>
      <c r="H219" s="364">
        <f>IFERROR(IF('Invullen groen'!N232&lt;&gt;0,'Invullen groen'!N232,""),"")</f>
        <v/>
      </c>
      <c r="I219" s="364">
        <f>IFERROR(IF('Invullen groen'!O232&lt;&gt;0,'Invullen groen'!O232,""),"")</f>
        <v/>
      </c>
    </row>
    <row r="220" ht="14" customHeight="1">
      <c r="A220" s="287">
        <f>IFERROR(IF('Invullen groen'!E233&gt;0,233-17,""),"")</f>
        <v/>
      </c>
      <c r="B220" s="287">
        <f>IFERROR(IF('Invullen groen'!E233&gt;0,'Invullen groen'!A233,""),"")</f>
        <v/>
      </c>
      <c r="C220" s="287">
        <f>IFERROR(IF('Invullen groen'!E233&gt;0,'Invullen groen'!C233,""),"")</f>
        <v/>
      </c>
      <c r="D220" s="287">
        <f>IFERROR(IF('Invullen groen'!E233&gt;0,'Invullen groen'!D233,""),"")</f>
        <v/>
      </c>
      <c r="E220" s="287">
        <f>IFERROR(IF('Invullen groen'!E233&gt;0,'Invullen groen'!G233,""),"")</f>
        <v/>
      </c>
      <c r="F220" s="364">
        <f>IFERROR(IF('Invullen groen'!L233&lt;&gt;0,'Invullen groen'!L233,""),"")</f>
        <v/>
      </c>
      <c r="G220" s="364">
        <f>IFERROR(IF('Invullen groen'!M233&lt;&gt;0,'Invullen groen'!M233,""),"")</f>
        <v/>
      </c>
      <c r="H220" s="364">
        <f>IFERROR(IF('Invullen groen'!N233&lt;&gt;0,'Invullen groen'!N233,""),"")</f>
        <v/>
      </c>
      <c r="I220" s="364">
        <f>IFERROR(IF('Invullen groen'!O233&lt;&gt;0,'Invullen groen'!O233,""),"")</f>
        <v/>
      </c>
    </row>
    <row r="221" ht="14" customHeight="1">
      <c r="A221" s="287">
        <f>IFERROR(IF('Invullen groen'!E234&gt;0,234-17,""),"")</f>
        <v/>
      </c>
      <c r="B221" s="287">
        <f>IFERROR(IF('Invullen groen'!E234&gt;0,'Invullen groen'!A234,""),"")</f>
        <v/>
      </c>
      <c r="C221" s="287">
        <f>IFERROR(IF('Invullen groen'!E234&gt;0,'Invullen groen'!C234,""),"")</f>
        <v/>
      </c>
      <c r="D221" s="287">
        <f>IFERROR(IF('Invullen groen'!E234&gt;0,'Invullen groen'!D234,""),"")</f>
        <v/>
      </c>
      <c r="E221" s="287">
        <f>IFERROR(IF('Invullen groen'!E234&gt;0,'Invullen groen'!G234,""),"")</f>
        <v/>
      </c>
      <c r="F221" s="364">
        <f>IFERROR(IF('Invullen groen'!L234&lt;&gt;0,'Invullen groen'!L234,""),"")</f>
        <v/>
      </c>
      <c r="G221" s="364">
        <f>IFERROR(IF('Invullen groen'!M234&lt;&gt;0,'Invullen groen'!M234,""),"")</f>
        <v/>
      </c>
      <c r="H221" s="364">
        <f>IFERROR(IF('Invullen groen'!N234&lt;&gt;0,'Invullen groen'!N234,""),"")</f>
        <v/>
      </c>
      <c r="I221" s="364">
        <f>IFERROR(IF('Invullen groen'!O234&lt;&gt;0,'Invullen groen'!O234,""),"")</f>
        <v/>
      </c>
    </row>
    <row r="222" ht="14" customHeight="1">
      <c r="A222" s="287">
        <f>IFERROR(IF('Invullen groen'!E235&gt;0,235-17,""),"")</f>
        <v/>
      </c>
      <c r="B222" s="287">
        <f>IFERROR(IF('Invullen groen'!E235&gt;0,'Invullen groen'!A235,""),"")</f>
        <v/>
      </c>
      <c r="C222" s="287">
        <f>IFERROR(IF('Invullen groen'!E235&gt;0,'Invullen groen'!C235,""),"")</f>
        <v/>
      </c>
      <c r="D222" s="287">
        <f>IFERROR(IF('Invullen groen'!E235&gt;0,'Invullen groen'!D235,""),"")</f>
        <v/>
      </c>
      <c r="E222" s="287">
        <f>IFERROR(IF('Invullen groen'!E235&gt;0,'Invullen groen'!G235,""),"")</f>
        <v/>
      </c>
      <c r="F222" s="364">
        <f>IFERROR(IF('Invullen groen'!L235&lt;&gt;0,'Invullen groen'!L235,""),"")</f>
        <v/>
      </c>
      <c r="G222" s="364">
        <f>IFERROR(IF('Invullen groen'!M235&lt;&gt;0,'Invullen groen'!M235,""),"")</f>
        <v/>
      </c>
      <c r="H222" s="364">
        <f>IFERROR(IF('Invullen groen'!N235&lt;&gt;0,'Invullen groen'!N235,""),"")</f>
        <v/>
      </c>
      <c r="I222" s="364">
        <f>IFERROR(IF('Invullen groen'!O235&lt;&gt;0,'Invullen groen'!O235,""),"")</f>
        <v/>
      </c>
    </row>
    <row r="223" ht="14" customHeight="1">
      <c r="A223" s="287">
        <f>IFERROR(IF('Invullen groen'!E236&gt;0,236-17,""),"")</f>
        <v/>
      </c>
      <c r="B223" s="287">
        <f>IFERROR(IF('Invullen groen'!E236&gt;0,'Invullen groen'!A236,""),"")</f>
        <v/>
      </c>
      <c r="C223" s="287">
        <f>IFERROR(IF('Invullen groen'!E236&gt;0,'Invullen groen'!C236,""),"")</f>
        <v/>
      </c>
      <c r="D223" s="287">
        <f>IFERROR(IF('Invullen groen'!E236&gt;0,'Invullen groen'!D236,""),"")</f>
        <v/>
      </c>
      <c r="E223" s="287">
        <f>IFERROR(IF('Invullen groen'!E236&gt;0,'Invullen groen'!G236,""),"")</f>
        <v/>
      </c>
      <c r="F223" s="364">
        <f>IFERROR(IF('Invullen groen'!L236&lt;&gt;0,'Invullen groen'!L236,""),"")</f>
        <v/>
      </c>
      <c r="G223" s="364">
        <f>IFERROR(IF('Invullen groen'!M236&lt;&gt;0,'Invullen groen'!M236,""),"")</f>
        <v/>
      </c>
      <c r="H223" s="364">
        <f>IFERROR(IF('Invullen groen'!N236&lt;&gt;0,'Invullen groen'!N236,""),"")</f>
        <v/>
      </c>
      <c r="I223" s="364">
        <f>IFERROR(IF('Invullen groen'!O236&lt;&gt;0,'Invullen groen'!O236,""),"")</f>
        <v/>
      </c>
    </row>
    <row r="224" ht="14" customHeight="1">
      <c r="A224" s="287">
        <f>IFERROR(IF('Invullen groen'!E237&gt;0,237-17,""),"")</f>
        <v/>
      </c>
      <c r="B224" s="287">
        <f>IFERROR(IF('Invullen groen'!E237&gt;0,'Invullen groen'!A237,""),"")</f>
        <v/>
      </c>
      <c r="C224" s="287">
        <f>IFERROR(IF('Invullen groen'!E237&gt;0,'Invullen groen'!C237,""),"")</f>
        <v/>
      </c>
      <c r="D224" s="287">
        <f>IFERROR(IF('Invullen groen'!E237&gt;0,'Invullen groen'!D237,""),"")</f>
        <v/>
      </c>
      <c r="E224" s="287">
        <f>IFERROR(IF('Invullen groen'!E237&gt;0,'Invullen groen'!G237,""),"")</f>
        <v/>
      </c>
      <c r="F224" s="364">
        <f>IFERROR(IF('Invullen groen'!L237&lt;&gt;0,'Invullen groen'!L237,""),"")</f>
        <v/>
      </c>
      <c r="G224" s="364">
        <f>IFERROR(IF('Invullen groen'!M237&lt;&gt;0,'Invullen groen'!M237,""),"")</f>
        <v/>
      </c>
      <c r="H224" s="364">
        <f>IFERROR(IF('Invullen groen'!N237&lt;&gt;0,'Invullen groen'!N237,""),"")</f>
        <v/>
      </c>
      <c r="I224" s="364">
        <f>IFERROR(IF('Invullen groen'!O237&lt;&gt;0,'Invullen groen'!O237,""),"")</f>
        <v/>
      </c>
    </row>
    <row r="225" ht="14" customHeight="1">
      <c r="A225" s="287">
        <f>IFERROR(IF('Invullen groen'!E238&gt;0,238-17,""),"")</f>
        <v/>
      </c>
      <c r="B225" s="287">
        <f>IFERROR(IF('Invullen groen'!E238&gt;0,'Invullen groen'!A238,""),"")</f>
        <v/>
      </c>
      <c r="C225" s="287">
        <f>IFERROR(IF('Invullen groen'!E238&gt;0,'Invullen groen'!C238,""),"")</f>
        <v/>
      </c>
      <c r="D225" s="287">
        <f>IFERROR(IF('Invullen groen'!E238&gt;0,'Invullen groen'!D238,""),"")</f>
        <v/>
      </c>
      <c r="E225" s="287">
        <f>IFERROR(IF('Invullen groen'!E238&gt;0,'Invullen groen'!G238,""),"")</f>
        <v/>
      </c>
      <c r="F225" s="364">
        <f>IFERROR(IF('Invullen groen'!L238&lt;&gt;0,'Invullen groen'!L238,""),"")</f>
        <v/>
      </c>
      <c r="G225" s="364">
        <f>IFERROR(IF('Invullen groen'!M238&lt;&gt;0,'Invullen groen'!M238,""),"")</f>
        <v/>
      </c>
      <c r="H225" s="364">
        <f>IFERROR(IF('Invullen groen'!N238&lt;&gt;0,'Invullen groen'!N238,""),"")</f>
        <v/>
      </c>
      <c r="I225" s="364">
        <f>IFERROR(IF('Invullen groen'!O238&lt;&gt;0,'Invullen groen'!O238,""),"")</f>
        <v/>
      </c>
    </row>
    <row r="226" ht="14" customHeight="1">
      <c r="A226" s="287">
        <f>IFERROR(IF('Invullen groen'!E239&gt;0,239-17,""),"")</f>
        <v/>
      </c>
      <c r="B226" s="287">
        <f>IFERROR(IF('Invullen groen'!E239&gt;0,'Invullen groen'!A239,""),"")</f>
        <v/>
      </c>
      <c r="C226" s="287">
        <f>IFERROR(IF('Invullen groen'!E239&gt;0,'Invullen groen'!C239,""),"")</f>
        <v/>
      </c>
      <c r="D226" s="287">
        <f>IFERROR(IF('Invullen groen'!E239&gt;0,'Invullen groen'!D239,""),"")</f>
        <v/>
      </c>
      <c r="E226" s="287">
        <f>IFERROR(IF('Invullen groen'!E239&gt;0,'Invullen groen'!G239,""),"")</f>
        <v/>
      </c>
      <c r="F226" s="364">
        <f>IFERROR(IF('Invullen groen'!L239&lt;&gt;0,'Invullen groen'!L239,""),"")</f>
        <v/>
      </c>
      <c r="G226" s="364">
        <f>IFERROR(IF('Invullen groen'!M239&lt;&gt;0,'Invullen groen'!M239,""),"")</f>
        <v/>
      </c>
      <c r="H226" s="364">
        <f>IFERROR(IF('Invullen groen'!N239&lt;&gt;0,'Invullen groen'!N239,""),"")</f>
        <v/>
      </c>
      <c r="I226" s="364">
        <f>IFERROR(IF('Invullen groen'!O239&lt;&gt;0,'Invullen groen'!O239,""),"")</f>
        <v/>
      </c>
    </row>
    <row r="227" ht="14" customHeight="1">
      <c r="A227" s="287">
        <f>IFERROR(IF('Invullen groen'!E240&gt;0,240-17,""),"")</f>
        <v/>
      </c>
      <c r="B227" s="287">
        <f>IFERROR(IF('Invullen groen'!E240&gt;0,'Invullen groen'!A240,""),"")</f>
        <v/>
      </c>
      <c r="C227" s="287">
        <f>IFERROR(IF('Invullen groen'!E240&gt;0,'Invullen groen'!C240,""),"")</f>
        <v/>
      </c>
      <c r="D227" s="287">
        <f>IFERROR(IF('Invullen groen'!E240&gt;0,'Invullen groen'!D240,""),"")</f>
        <v/>
      </c>
      <c r="E227" s="287">
        <f>IFERROR(IF('Invullen groen'!E240&gt;0,'Invullen groen'!G240,""),"")</f>
        <v/>
      </c>
      <c r="F227" s="364">
        <f>IFERROR(IF('Invullen groen'!L240&lt;&gt;0,'Invullen groen'!L240,""),"")</f>
        <v/>
      </c>
      <c r="G227" s="364">
        <f>IFERROR(IF('Invullen groen'!M240&lt;&gt;0,'Invullen groen'!M240,""),"")</f>
        <v/>
      </c>
      <c r="H227" s="364">
        <f>IFERROR(IF('Invullen groen'!N240&lt;&gt;0,'Invullen groen'!N240,""),"")</f>
        <v/>
      </c>
      <c r="I227" s="364">
        <f>IFERROR(IF('Invullen groen'!O240&lt;&gt;0,'Invullen groen'!O240,""),"")</f>
        <v/>
      </c>
    </row>
    <row r="228" ht="14" customHeight="1">
      <c r="A228" s="287">
        <f>IFERROR(IF('Invullen groen'!E241&gt;0,241-17,""),"")</f>
        <v/>
      </c>
      <c r="B228" s="287">
        <f>IFERROR(IF('Invullen groen'!E241&gt;0,'Invullen groen'!A241,""),"")</f>
        <v/>
      </c>
      <c r="C228" s="287">
        <f>IFERROR(IF('Invullen groen'!E241&gt;0,'Invullen groen'!C241,""),"")</f>
        <v/>
      </c>
      <c r="D228" s="287">
        <f>IFERROR(IF('Invullen groen'!E241&gt;0,'Invullen groen'!D241,""),"")</f>
        <v/>
      </c>
      <c r="E228" s="287">
        <f>IFERROR(IF('Invullen groen'!E241&gt;0,'Invullen groen'!G241,""),"")</f>
        <v/>
      </c>
      <c r="F228" s="364">
        <f>IFERROR(IF('Invullen groen'!L241&lt;&gt;0,'Invullen groen'!L241,""),"")</f>
        <v/>
      </c>
      <c r="G228" s="364">
        <f>IFERROR(IF('Invullen groen'!M241&lt;&gt;0,'Invullen groen'!M241,""),"")</f>
        <v/>
      </c>
      <c r="H228" s="364">
        <f>IFERROR(IF('Invullen groen'!N241&lt;&gt;0,'Invullen groen'!N241,""),"")</f>
        <v/>
      </c>
      <c r="I228" s="364">
        <f>IFERROR(IF('Invullen groen'!O241&lt;&gt;0,'Invullen groen'!O241,""),"")</f>
        <v/>
      </c>
    </row>
    <row r="229">
      <c r="F229" s="360" t="n"/>
      <c r="G229" s="360" t="n"/>
      <c r="H229" s="360" t="n"/>
      <c r="I229" s="360" t="n"/>
    </row>
    <row r="230" ht="15" customHeight="1">
      <c r="A230" s="365" t="inlineStr">
        <is>
          <t>Totaal lasten</t>
        </is>
      </c>
      <c r="B230" s="312" t="n"/>
      <c r="C230" s="312" t="n"/>
      <c r="D230" s="312" t="n"/>
      <c r="E230" s="312" t="n"/>
      <c r="F230" s="366">
        <f>SUMIF('Invullen groen'!Q18:Q241,"&gt;0",'Invullen groen'!Q18:Q241)</f>
        <v/>
      </c>
      <c r="G230" s="366">
        <f>SUMIF('Invullen groen'!M18:M241,"&gt;0",'Invullen groen'!Q18:Q241)</f>
        <v/>
      </c>
      <c r="H230" s="366">
        <f>SUMIF('Invullen groen'!N18:N241,"&gt;0",'Invullen groen'!Q18:Q241)</f>
        <v/>
      </c>
      <c r="I230" s="366">
        <f>SUMIF('Invullen groen'!O18:O241,"&gt;0",'Invullen groen'!Q18:Q241)</f>
        <v/>
      </c>
    </row>
    <row r="231" ht="15" customHeight="1">
      <c r="A231" s="367" t="inlineStr">
        <is>
          <t>Totaal baten</t>
        </is>
      </c>
      <c r="B231" s="312" t="n"/>
      <c r="C231" s="312" t="n"/>
      <c r="D231" s="312" t="n"/>
      <c r="E231" s="312" t="n"/>
      <c r="F231" s="368">
        <f>SUMIF('Invullen groen'!R18:R241,"&lt;&gt;0",'Invullen groen'!R18:R241)</f>
        <v/>
      </c>
      <c r="G231" s="368">
        <f>SUMIF('Invullen groen'!M18:M241,"&lt;&gt;0",'Invullen groen'!R18:R241)</f>
        <v/>
      </c>
      <c r="H231" s="368">
        <f>SUMIF('Invullen groen'!N18:N241,"&lt;&gt;0",'Invullen groen'!R18:R241)</f>
        <v/>
      </c>
      <c r="I231" s="368">
        <f>SUMIF('Invullen groen'!O18:O241,"&lt;&gt;0",'Invullen groen'!R18:R241)</f>
        <v/>
      </c>
    </row>
    <row r="232" ht="18" customHeight="1">
      <c r="A232" s="369" t="inlineStr">
        <is>
          <t>Saldo (lasten + baten)</t>
        </is>
      </c>
      <c r="B232" s="312" t="n"/>
      <c r="C232" s="312" t="n"/>
      <c r="D232" s="312" t="n"/>
      <c r="E232" s="312" t="n"/>
      <c r="F232" s="370">
        <f>F230+F231</f>
        <v/>
      </c>
      <c r="G232" s="370">
        <f>G230+G231</f>
        <v/>
      </c>
      <c r="H232" s="370">
        <f>H230+H231</f>
        <v/>
      </c>
      <c r="I232" s="370">
        <f>I230+I231</f>
        <v/>
      </c>
    </row>
    <row r="233">
      <c r="F233" s="360" t="n"/>
      <c r="G233" s="360" t="n"/>
      <c r="H233" s="360" t="n"/>
      <c r="I233" s="360" t="n"/>
    </row>
    <row r="234">
      <c r="A234" s="298" t="inlineStr">
        <is>
          <t>Automatisch bijgewerkt vanuit tabblad 'Invullen groen' — geen invoer op dit tabblad.  -/- = baten</t>
        </is>
      </c>
    </row>
  </sheetData>
  <mergeCells count="6">
    <mergeCell ref="A2:F2"/>
    <mergeCell ref="A231:E231"/>
    <mergeCell ref="A232:E232"/>
    <mergeCell ref="A234:I234"/>
    <mergeCell ref="A1:I1"/>
    <mergeCell ref="A230:E2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18" customHeight="1">
      <c r="A1" s="460" t="inlineStr">
        <is>
          <t>Samenvatting per programma</t>
        </is>
      </c>
      <c r="B1" s="461" t="n"/>
      <c r="C1" s="461" t="n"/>
      <c r="D1" s="461" t="n"/>
      <c r="E1" s="461" t="n"/>
      <c r="F1" s="461" t="n"/>
      <c r="G1" s="461" t="n"/>
    </row>
    <row r="2" ht="18" customHeight="1">
      <c r="A2" s="462">
        <f>'Invullen groen'!A4</f>
        <v/>
      </c>
      <c r="B2" s="463" t="n"/>
      <c r="C2" s="463" t="n"/>
      <c r="D2" s="463" t="n"/>
      <c r="E2" s="463" t="n"/>
      <c r="F2" s="463" t="n"/>
      <c r="G2" s="463" t="n"/>
    </row>
    <row r="3" ht="18" customHeight="1">
      <c r="A3" s="464" t="n"/>
      <c r="B3" s="464" t="n"/>
      <c r="C3" s="464" t="n"/>
      <c r="D3" s="464" t="n"/>
      <c r="E3" s="464" t="n"/>
      <c r="F3" s="464" t="n"/>
      <c r="G3" s="464" t="n"/>
    </row>
    <row r="4" ht="18" customHeight="1">
      <c r="A4" s="465" t="inlineStr">
        <is>
          <t>Programma</t>
        </is>
      </c>
      <c r="B4" s="466" t="inlineStr">
        <is>
          <t>Lasten 2026</t>
        </is>
      </c>
      <c r="C4" s="466" t="inlineStr">
        <is>
          <t>Baten 2026</t>
        </is>
      </c>
      <c r="D4" s="466" t="inlineStr">
        <is>
          <t>Saldo 2026</t>
        </is>
      </c>
      <c r="E4" s="466" t="inlineStr">
        <is>
          <t>MJR 2027</t>
        </is>
      </c>
      <c r="F4" s="466" t="inlineStr">
        <is>
          <t>MJR 2028</t>
        </is>
      </c>
      <c r="G4" s="466" t="inlineStr">
        <is>
          <t>MJR 2029</t>
        </is>
      </c>
    </row>
    <row r="5" ht="18" customHeight="1">
      <c r="A5" s="467" t="inlineStr">
        <is>
          <t>Bestuur en Ondersteuning</t>
        </is>
      </c>
      <c r="B5" s="468">
        <f>SUMPRODUCT((LOWER('Invullen groen'!A17:A74)="bestuur en ondersteuning")*('Invullen groen'!L17:L74&gt;0)*'Invullen groen'!L17:L74)</f>
        <v/>
      </c>
      <c r="C5" s="468">
        <f>SUMPRODUCT((LOWER('Invullen groen'!A17:A74)="bestuur en ondersteuning")*('Invullen groen'!L17:L74&lt;0)*'Invullen groen'!L17:L74)</f>
        <v/>
      </c>
      <c r="D5" s="468">
        <f>B5+C5</f>
        <v/>
      </c>
      <c r="E5" s="468">
        <f>SUMPRODUCT((LOWER('Invullen groen'!A17:A74)="bestuur en ondersteuning")*IFERROR('Invullen groen'!M17:M74*1,0))</f>
        <v/>
      </c>
      <c r="F5" s="468">
        <f>SUMPRODUCT((LOWER('Invullen groen'!A17:A74)="bestuur en ondersteuning")*IFERROR('Invullen groen'!N17:N74*1,0))</f>
        <v/>
      </c>
      <c r="G5" s="468">
        <f>SUMPRODUCT((LOWER('Invullen groen'!A17:A74)="bestuur en ondersteuning")*IFERROR('Invullen groen'!O17:O74*1,0))</f>
        <v/>
      </c>
    </row>
    <row r="6" ht="18" customHeight="1">
      <c r="A6" s="469" t="inlineStr">
        <is>
          <t>Veiligheid</t>
        </is>
      </c>
      <c r="B6" s="470">
        <f>SUMPRODUCT((LOWER('Invullen groen'!A17:A74)="veiligheid")*('Invullen groen'!L17:L74&gt;0)*'Invullen groen'!L17:L74)</f>
        <v/>
      </c>
      <c r="C6" s="470">
        <f>SUMPRODUCT((LOWER('Invullen groen'!A17:A74)="veiligheid")*('Invullen groen'!L17:L74&lt;0)*'Invullen groen'!L17:L74)</f>
        <v/>
      </c>
      <c r="D6" s="470">
        <f>B6+C6</f>
        <v/>
      </c>
      <c r="E6" s="470">
        <f>SUMPRODUCT((LOWER('Invullen groen'!A17:A74)="veiligheid")*IFERROR('Invullen groen'!M17:M74*1,0))</f>
        <v/>
      </c>
      <c r="F6" s="470">
        <f>SUMPRODUCT((LOWER('Invullen groen'!A17:A74)="veiligheid")*IFERROR('Invullen groen'!N17:N74*1,0))</f>
        <v/>
      </c>
      <c r="G6" s="470">
        <f>SUMPRODUCT((LOWER('Invullen groen'!A17:A74)="veiligheid")*IFERROR('Invullen groen'!O17:O74*1,0))</f>
        <v/>
      </c>
    </row>
    <row r="7" ht="18" customHeight="1">
      <c r="A7" s="467" t="inlineStr">
        <is>
          <t>Verkeer, Vervoer en Waterstaat</t>
        </is>
      </c>
      <c r="B7" s="468">
        <f>SUMPRODUCT((LOWER('Invullen groen'!A17:A74)="verkeer, vervoer en waterstaat")*('Invullen groen'!L17:L74&gt;0)*'Invullen groen'!L17:L74)</f>
        <v/>
      </c>
      <c r="C7" s="468">
        <f>SUMPRODUCT((LOWER('Invullen groen'!A17:A74)="verkeer, vervoer en waterstaat")*('Invullen groen'!L17:L74&lt;0)*'Invullen groen'!L17:L74)</f>
        <v/>
      </c>
      <c r="D7" s="468">
        <f>B7+C7</f>
        <v/>
      </c>
      <c r="E7" s="468">
        <f>SUMPRODUCT((LOWER('Invullen groen'!A17:A74)="verkeer, vervoer en waterstaat")*IFERROR('Invullen groen'!M17:M74*1,0))</f>
        <v/>
      </c>
      <c r="F7" s="468">
        <f>SUMPRODUCT((LOWER('Invullen groen'!A17:A74)="verkeer, vervoer en waterstaat")*IFERROR('Invullen groen'!N17:N74*1,0))</f>
        <v/>
      </c>
      <c r="G7" s="468">
        <f>SUMPRODUCT((LOWER('Invullen groen'!A17:A74)="verkeer, vervoer en waterstaat")*IFERROR('Invullen groen'!O17:O74*1,0))</f>
        <v/>
      </c>
    </row>
    <row r="8" ht="18" customHeight="1">
      <c r="A8" s="469" t="inlineStr">
        <is>
          <t>Economie</t>
        </is>
      </c>
      <c r="B8" s="470">
        <f>SUMPRODUCT((LOWER('Invullen groen'!A17:A74)="economie")*('Invullen groen'!L17:L74&gt;0)*'Invullen groen'!L17:L74)</f>
        <v/>
      </c>
      <c r="C8" s="470">
        <f>SUMPRODUCT((LOWER('Invullen groen'!A17:A74)="economie")*('Invullen groen'!L17:L74&lt;0)*'Invullen groen'!L17:L74)</f>
        <v/>
      </c>
      <c r="D8" s="470">
        <f>B8+C8</f>
        <v/>
      </c>
      <c r="E8" s="470">
        <f>SUMPRODUCT((LOWER('Invullen groen'!A17:A74)="economie")*IFERROR('Invullen groen'!M17:M74*1,0))</f>
        <v/>
      </c>
      <c r="F8" s="470">
        <f>SUMPRODUCT((LOWER('Invullen groen'!A17:A74)="economie")*IFERROR('Invullen groen'!N17:N74*1,0))</f>
        <v/>
      </c>
      <c r="G8" s="470">
        <f>SUMPRODUCT((LOWER('Invullen groen'!A17:A74)="economie")*IFERROR('Invullen groen'!O17:O74*1,0))</f>
        <v/>
      </c>
    </row>
    <row r="9" ht="18" customHeight="1">
      <c r="A9" s="467" t="inlineStr">
        <is>
          <t>Onderwijs</t>
        </is>
      </c>
      <c r="B9" s="468">
        <f>SUMPRODUCT((LOWER('Invullen groen'!A17:A74)="onderwijs")*('Invullen groen'!L17:L74&gt;0)*'Invullen groen'!L17:L74)</f>
        <v/>
      </c>
      <c r="C9" s="468">
        <f>SUMPRODUCT((LOWER('Invullen groen'!A17:A74)="onderwijs")*('Invullen groen'!L17:L74&lt;0)*'Invullen groen'!L17:L74)</f>
        <v/>
      </c>
      <c r="D9" s="468">
        <f>B9+C9</f>
        <v/>
      </c>
      <c r="E9" s="468">
        <f>SUMPRODUCT((LOWER('Invullen groen'!A17:A74)="onderwijs")*IFERROR('Invullen groen'!M17:M74*1,0))</f>
        <v/>
      </c>
      <c r="F9" s="468">
        <f>SUMPRODUCT((LOWER('Invullen groen'!A17:A74)="onderwijs")*IFERROR('Invullen groen'!N17:N74*1,0))</f>
        <v/>
      </c>
      <c r="G9" s="468">
        <f>SUMPRODUCT((LOWER('Invullen groen'!A17:A74)="onderwijs")*IFERROR('Invullen groen'!O17:O74*1,0))</f>
        <v/>
      </c>
    </row>
    <row r="10" ht="18" customHeight="1">
      <c r="A10" s="469" t="inlineStr">
        <is>
          <t>Sport, Cultuur en Recreatie</t>
        </is>
      </c>
      <c r="B10" s="470">
        <f>SUMPRODUCT((LOWER('Invullen groen'!A17:A74)="sport, cultuur en recreatie")*('Invullen groen'!L17:L74&gt;0)*'Invullen groen'!L17:L74)</f>
        <v/>
      </c>
      <c r="C10" s="470">
        <f>SUMPRODUCT((LOWER('Invullen groen'!A17:A74)="sport, cultuur en recreatie")*('Invullen groen'!L17:L74&lt;0)*'Invullen groen'!L17:L74)</f>
        <v/>
      </c>
      <c r="D10" s="470">
        <f>B10+C10</f>
        <v/>
      </c>
      <c r="E10" s="470">
        <f>SUMPRODUCT((LOWER('Invullen groen'!A17:A74)="sport, cultuur en recreatie")*IFERROR('Invullen groen'!M17:M74*1,0))</f>
        <v/>
      </c>
      <c r="F10" s="470">
        <f>SUMPRODUCT((LOWER('Invullen groen'!A17:A74)="sport, cultuur en recreatie")*IFERROR('Invullen groen'!N17:N74*1,0))</f>
        <v/>
      </c>
      <c r="G10" s="470">
        <f>SUMPRODUCT((LOWER('Invullen groen'!A17:A74)="sport, cultuur en recreatie")*IFERROR('Invullen groen'!O17:O74*1,0))</f>
        <v/>
      </c>
    </row>
    <row r="11" ht="18" customHeight="1">
      <c r="A11" s="467" t="inlineStr">
        <is>
          <t>Sociaal Domein</t>
        </is>
      </c>
      <c r="B11" s="468">
        <f>SUMPRODUCT((LOWER('Invullen groen'!A17:A74)="sociaal domein")*('Invullen groen'!L17:L74&gt;0)*'Invullen groen'!L17:L74)</f>
        <v/>
      </c>
      <c r="C11" s="468">
        <f>SUMPRODUCT((LOWER('Invullen groen'!A17:A74)="sociaal domein")*('Invullen groen'!L17:L74&lt;0)*'Invullen groen'!L17:L74)</f>
        <v/>
      </c>
      <c r="D11" s="468">
        <f>B11+C11</f>
        <v/>
      </c>
      <c r="E11" s="468">
        <f>SUMPRODUCT((LOWER('Invullen groen'!A17:A74)="sociaal domein")*IFERROR('Invullen groen'!M17:M74*1,0))</f>
        <v/>
      </c>
      <c r="F11" s="468">
        <f>SUMPRODUCT((LOWER('Invullen groen'!A17:A74)="sociaal domein")*IFERROR('Invullen groen'!N17:N74*1,0))</f>
        <v/>
      </c>
      <c r="G11" s="468">
        <f>SUMPRODUCT((LOWER('Invullen groen'!A17:A74)="sociaal domein")*IFERROR('Invullen groen'!O17:O74*1,0))</f>
        <v/>
      </c>
    </row>
    <row r="12" ht="18" customHeight="1">
      <c r="A12" s="469" t="inlineStr">
        <is>
          <t>Volksgezondheid en Milieu</t>
        </is>
      </c>
      <c r="B12" s="470">
        <f>SUMPRODUCT((LOWER('Invullen groen'!A17:A74)="volksgezondheid en milieu")*('Invullen groen'!L17:L74&gt;0)*'Invullen groen'!L17:L74)</f>
        <v/>
      </c>
      <c r="C12" s="470">
        <f>SUMPRODUCT((LOWER('Invullen groen'!A17:A74)="volksgezondheid en milieu")*('Invullen groen'!L17:L74&lt;0)*'Invullen groen'!L17:L74)</f>
        <v/>
      </c>
      <c r="D12" s="470">
        <f>B12+C12</f>
        <v/>
      </c>
      <c r="E12" s="470">
        <f>SUMPRODUCT((LOWER('Invullen groen'!A17:A74)="volksgezondheid en milieu")*IFERROR('Invullen groen'!M17:M74*1,0))</f>
        <v/>
      </c>
      <c r="F12" s="470">
        <f>SUMPRODUCT((LOWER('Invullen groen'!A17:A74)="volksgezondheid en milieu")*IFERROR('Invullen groen'!N17:N74*1,0))</f>
        <v/>
      </c>
      <c r="G12" s="470">
        <f>SUMPRODUCT((LOWER('Invullen groen'!A17:A74)="volksgezondheid en milieu")*IFERROR('Invullen groen'!O17:O74*1,0))</f>
        <v/>
      </c>
    </row>
    <row r="13" ht="18" customHeight="1">
      <c r="A13" s="467" t="inlineStr">
        <is>
          <t>Volkshuisvesting, RO en Stedelijke Vernieuwing</t>
        </is>
      </c>
      <c r="B13" s="468">
        <f>SUMPRODUCT((LOWER('Invullen groen'!A17:A74)="volkshuisv., ro en stedelijke vernieuwing")*('Invullen groen'!L17:L74&gt;0)*'Invullen groen'!L17:L74)</f>
        <v/>
      </c>
      <c r="C13" s="468">
        <f>SUMPRODUCT((LOWER('Invullen groen'!A17:A74)="volkshuisv., ro en stedelijke vernieuwing")*('Invullen groen'!L17:L74&lt;0)*'Invullen groen'!L17:L74)</f>
        <v/>
      </c>
      <c r="D13" s="468">
        <f>B13+C13</f>
        <v/>
      </c>
      <c r="E13" s="468">
        <f>SUMPRODUCT((LOWER('Invullen groen'!A17:A74)="volkshuisv., ro en stedelijke vernieuwing")*IFERROR('Invullen groen'!M17:M74*1,0))</f>
        <v/>
      </c>
      <c r="F13" s="468">
        <f>SUMPRODUCT((LOWER('Invullen groen'!A17:A74)="volkshuisv., ro en stedelijke vernieuwing")*IFERROR('Invullen groen'!N17:N74*1,0))</f>
        <v/>
      </c>
      <c r="G13" s="468">
        <f>SUMPRODUCT((LOWER('Invullen groen'!A17:A74)="volkshuisv., ro en stedelijke vernieuwing")*IFERROR('Invullen groen'!O17:O74*1,0))</f>
        <v/>
      </c>
    </row>
    <row r="14" ht="18" customHeight="1">
      <c r="A14" s="471" t="inlineStr">
        <is>
          <t>Totaal begrotingswijziging</t>
        </is>
      </c>
      <c r="B14" s="472">
        <f>SUM(B5:B13)</f>
        <v/>
      </c>
      <c r="C14" s="472">
        <f>SUM(C5:C13)</f>
        <v/>
      </c>
      <c r="D14" s="472">
        <f>SUM(D5:D13)</f>
        <v/>
      </c>
      <c r="E14" s="472">
        <f>SUM(E5:E13)</f>
        <v/>
      </c>
      <c r="F14" s="472">
        <f>SUM(F5:F13)</f>
        <v/>
      </c>
      <c r="G14" s="472">
        <f>SUM(G5:G13)</f>
        <v/>
      </c>
    </row>
    <row r="15" ht="18" customHeight="1">
      <c r="A15" s="473" t="inlineStr">
        <is>
          <t>Financiële foto</t>
        </is>
      </c>
      <c r="B15" s="474" t="n"/>
      <c r="C15" s="474" t="n"/>
      <c r="D15" s="474" t="n"/>
      <c r="E15" s="474" t="n"/>
      <c r="F15" s="474" t="n"/>
      <c r="G15" s="474" t="n"/>
    </row>
    <row r="16" ht="18" customHeight="1">
      <c r="A16" s="475" t="inlineStr">
        <is>
          <t>Begin saldo financiële foto (vóór wijziging)</t>
        </is>
      </c>
      <c r="B16" s="476" t="n"/>
      <c r="C16" s="476" t="n"/>
      <c r="D16" s="476" t="n"/>
      <c r="E16" s="476" t="n"/>
      <c r="F16" s="476" t="n"/>
      <c r="G16" s="476" t="n"/>
    </row>
    <row r="17" ht="18" customHeight="1">
      <c r="A17" s="477" t="inlineStr">
        <is>
          <t>Eind saldo financiële foto (ná wijziging)</t>
        </is>
      </c>
      <c r="B17" s="478">
        <f>B16+B14</f>
        <v/>
      </c>
      <c r="C17" s="478">
        <f>C16+C14</f>
        <v/>
      </c>
      <c r="D17" s="478">
        <f>D16+D14</f>
        <v/>
      </c>
      <c r="E17" s="478">
        <f>E16+E14</f>
        <v/>
      </c>
      <c r="F17" s="478">
        <f>F16+F14</f>
        <v/>
      </c>
      <c r="G17" s="478">
        <f>G16+G14</f>
        <v/>
      </c>
    </row>
    <row r="18" ht="18" customHeight="1">
      <c r="A18" s="479" t="inlineStr">
        <is>
          <t>Begin saldo: handmatig invullen vanuit de meest recente financiële foto (voor de wijziging).</t>
        </is>
      </c>
      <c r="B18" s="464" t="n"/>
      <c r="C18" s="464" t="n"/>
      <c r="D18" s="464" t="n"/>
      <c r="E18" s="464" t="n"/>
      <c r="F18" s="464" t="n"/>
      <c r="G18" s="464" t="n"/>
    </row>
    <row r="19" ht="18" customHeight="1">
      <c r="A19" s="464" t="n"/>
      <c r="B19" s="464" t="n"/>
      <c r="C19" s="464" t="n"/>
      <c r="D19" s="464" t="n"/>
      <c r="E19" s="464" t="n"/>
      <c r="F19" s="464" t="n"/>
      <c r="G19" s="464" t="n"/>
    </row>
    <row r="20" ht="18" customHeight="1">
      <c r="A20" s="480" t="inlineStr">
        <is>
          <t>Controle exploitatie (moet 0 zijn)</t>
        </is>
      </c>
      <c r="B20" s="481">
        <f>IFERROR('Invullen groen'!L112,0)</f>
        <v/>
      </c>
      <c r="C20" s="482" t="n"/>
      <c r="D20" s="482" t="n"/>
      <c r="E20" s="482" t="n"/>
      <c r="F20" s="482" t="n"/>
      <c r="G20" s="482" t="n"/>
    </row>
    <row r="21" ht="18" customHeight="1"/>
    <row r="22" ht="18" customHeight="1"/>
    <row r="23" ht="18" customHeight="1"/>
    <row r="24" ht="18" customHeight="1"/>
  </sheetData>
  <mergeCells count="5">
    <mergeCell ref="A1:G1"/>
    <mergeCell ref="A18:G18"/>
    <mergeCell ref="A15:G15"/>
    <mergeCell ref="A2:D2"/>
    <mergeCell ref="A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2" customHeight="1">
      <c r="A1" s="282" t="inlineStr">
        <is>
          <t>Dekkingsoverzicht begrotingswijziging</t>
        </is>
      </c>
    </row>
    <row r="2" ht="16" customHeight="1">
      <c r="A2" s="283">
        <f>'Invullen groen'!A4</f>
        <v/>
      </c>
      <c r="E2" s="284" t="n"/>
      <c r="F2" s="284" t="n"/>
      <c r="G2" s="284" t="n"/>
      <c r="H2" s="362" t="n"/>
    </row>
    <row r="3" ht="6" customHeight="1">
      <c r="D3" s="360" t="n"/>
      <c r="H3" s="360" t="n"/>
    </row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6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79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80" t="inlineStr">
        <is>
          <t>Bedrag 2026</t>
        </is>
      </c>
    </row>
    <row r="6" ht="14" customHeight="1">
      <c r="A6" s="287">
        <f>IFERROR(IF('Invullen groen'!L18&gt;0,1,""),"")</f>
        <v/>
      </c>
      <c r="B6" s="287">
        <f>IFERROR(IF('Invullen groen'!L18&gt;0,'Invullen groen'!A18,""),"")</f>
        <v/>
      </c>
      <c r="C6" s="287">
        <f>IFERROR(IF('Invullen groen'!L18&gt;0,'Invullen groen'!G18,""),"")</f>
        <v/>
      </c>
      <c r="D6" s="364">
        <f>IFERROR(IF('Invullen groen'!L18&gt;0,'Invullen groen'!L18,""),"")</f>
        <v/>
      </c>
      <c r="F6" s="287">
        <f>IFERROR(IF('Invullen groen'!L78&lt;&gt;0,'Invullen groen'!A78,""),"")</f>
        <v/>
      </c>
      <c r="G6" s="287">
        <f>IFERROR(IF('Invullen groen'!L78&lt;&gt;0,'Invullen groen'!G78,""),"")</f>
        <v/>
      </c>
      <c r="H6" s="364">
        <f>IFERROR(IF('Invullen groen'!L78&lt;&gt;0,'Invullen groen'!L78,""),"")</f>
        <v/>
      </c>
    </row>
    <row r="7" ht="14" customHeight="1">
      <c r="A7" s="287">
        <f>IFERROR(IF('Invullen groen'!L19&gt;0,2,""),"")</f>
        <v/>
      </c>
      <c r="B7" s="287">
        <f>IFERROR(IF('Invullen groen'!L19&gt;0,'Invullen groen'!A19,""),"")</f>
        <v/>
      </c>
      <c r="C7" s="287">
        <f>IFERROR(IF('Invullen groen'!L19&gt;0,'Invullen groen'!G19,""),"")</f>
        <v/>
      </c>
      <c r="D7" s="364">
        <f>IFERROR(IF('Invullen groen'!L19&gt;0,'Invullen groen'!L19,""),"")</f>
        <v/>
      </c>
      <c r="F7" s="287">
        <f>IFERROR(IF('Invullen groen'!L79&lt;&gt;0,'Invullen groen'!A79,""),"")</f>
        <v/>
      </c>
      <c r="G7" s="287">
        <f>IFERROR(IF('Invullen groen'!L79&lt;&gt;0,'Invullen groen'!G79,""),"")</f>
        <v/>
      </c>
      <c r="H7" s="364">
        <f>IFERROR(IF('Invullen groen'!L79&lt;&gt;0,'Invullen groen'!L79,""),"")</f>
        <v/>
      </c>
    </row>
    <row r="8" ht="14" customHeight="1">
      <c r="A8" s="287">
        <f>IFERROR(IF('Invullen groen'!L20&gt;0,3,""),"")</f>
        <v/>
      </c>
      <c r="B8" s="287">
        <f>IFERROR(IF('Invullen groen'!L20&gt;0,'Invullen groen'!A20,""),"")</f>
        <v/>
      </c>
      <c r="C8" s="287">
        <f>IFERROR(IF('Invullen groen'!L20&gt;0,'Invullen groen'!G20,""),"")</f>
        <v/>
      </c>
      <c r="D8" s="364">
        <f>IFERROR(IF('Invullen groen'!L20&gt;0,'Invullen groen'!L20,""),"")</f>
        <v/>
      </c>
      <c r="F8" s="287">
        <f>IFERROR(IF('Invullen groen'!L80&lt;&gt;0,'Invullen groen'!A80,""),"")</f>
        <v/>
      </c>
      <c r="G8" s="287">
        <f>IFERROR(IF('Invullen groen'!L80&lt;&gt;0,'Invullen groen'!G80,""),"")</f>
        <v/>
      </c>
      <c r="H8" s="364">
        <f>IFERROR(IF('Invullen groen'!L80&lt;&gt;0,'Invullen groen'!L80,""),"")</f>
        <v/>
      </c>
    </row>
    <row r="9" ht="14" customHeight="1">
      <c r="A9" s="287">
        <f>IFERROR(IF('Invullen groen'!L21&gt;0,4,""),"")</f>
        <v/>
      </c>
      <c r="B9" s="287">
        <f>IFERROR(IF('Invullen groen'!L21&gt;0,'Invullen groen'!A21,""),"")</f>
        <v/>
      </c>
      <c r="C9" s="287">
        <f>IFERROR(IF('Invullen groen'!L21&gt;0,'Invullen groen'!G21,""),"")</f>
        <v/>
      </c>
      <c r="D9" s="364">
        <f>IFERROR(IF('Invullen groen'!L21&gt;0,'Invullen groen'!L21,""),"")</f>
        <v/>
      </c>
      <c r="F9" s="287">
        <f>IFERROR(IF('Invullen groen'!L81&lt;&gt;0,'Invullen groen'!A81,""),"")</f>
        <v/>
      </c>
      <c r="G9" s="287">
        <f>IFERROR(IF('Invullen groen'!L81&lt;&gt;0,'Invullen groen'!G81,""),"")</f>
        <v/>
      </c>
      <c r="H9" s="364">
        <f>IFERROR(IF('Invullen groen'!L81&lt;&gt;0,'Invullen groen'!L81,""),"")</f>
        <v/>
      </c>
    </row>
    <row r="10" ht="14" customHeight="1">
      <c r="A10" s="287">
        <f>IFERROR(IF('Invullen groen'!L22&gt;0,5,""),"")</f>
        <v/>
      </c>
      <c r="B10" s="287">
        <f>IFERROR(IF('Invullen groen'!L22&gt;0,'Invullen groen'!A22,""),"")</f>
        <v/>
      </c>
      <c r="C10" s="287">
        <f>IFERROR(IF('Invullen groen'!L22&gt;0,'Invullen groen'!G22,""),"")</f>
        <v/>
      </c>
      <c r="D10" s="364">
        <f>IFERROR(IF('Invullen groen'!L22&gt;0,'Invullen groen'!L22,""),"")</f>
        <v/>
      </c>
      <c r="F10" s="287">
        <f>IFERROR(IF('Invullen groen'!L82&lt;&gt;0,'Invullen groen'!A82,""),"")</f>
        <v/>
      </c>
      <c r="G10" s="287">
        <f>IFERROR(IF('Invullen groen'!L82&lt;&gt;0,'Invullen groen'!G82,""),"")</f>
        <v/>
      </c>
      <c r="H10" s="364">
        <f>IFERROR(IF('Invullen groen'!L82&lt;&gt;0,'Invullen groen'!L82,""),"")</f>
        <v/>
      </c>
    </row>
    <row r="11" ht="14" customHeight="1">
      <c r="A11" s="287">
        <f>IFERROR(IF('Invullen groen'!L23&gt;0,6,""),"")</f>
        <v/>
      </c>
      <c r="B11" s="287">
        <f>IFERROR(IF('Invullen groen'!L23&gt;0,'Invullen groen'!A23,""),"")</f>
        <v/>
      </c>
      <c r="C11" s="287">
        <f>IFERROR(IF('Invullen groen'!L23&gt;0,'Invullen groen'!G23,""),"")</f>
        <v/>
      </c>
      <c r="D11" s="364">
        <f>IFERROR(IF('Invullen groen'!L23&gt;0,'Invullen groen'!L23,""),"")</f>
        <v/>
      </c>
      <c r="F11" s="287">
        <f>IFERROR(IF('Invullen groen'!L83&lt;&gt;0,'Invullen groen'!A83,""),"")</f>
        <v/>
      </c>
      <c r="G11" s="287">
        <f>IFERROR(IF('Invullen groen'!L83&lt;&gt;0,'Invullen groen'!G83,""),"")</f>
        <v/>
      </c>
      <c r="H11" s="364">
        <f>IFERROR(IF('Invullen groen'!L83&lt;&gt;0,'Invullen groen'!L83,""),"")</f>
        <v/>
      </c>
    </row>
    <row r="12" ht="14" customHeight="1">
      <c r="A12" s="287">
        <f>IFERROR(IF('Invullen groen'!L24&gt;0,7,""),"")</f>
        <v/>
      </c>
      <c r="B12" s="287">
        <f>IFERROR(IF('Invullen groen'!L24&gt;0,'Invullen groen'!A24,""),"")</f>
        <v/>
      </c>
      <c r="C12" s="287">
        <f>IFERROR(IF('Invullen groen'!L24&gt;0,'Invullen groen'!G24,""),"")</f>
        <v/>
      </c>
      <c r="D12" s="364">
        <f>IFERROR(IF('Invullen groen'!L24&gt;0,'Invullen groen'!L24,""),"")</f>
        <v/>
      </c>
      <c r="F12" s="287">
        <f>IFERROR(IF('Invullen groen'!L84&lt;&gt;0,'Invullen groen'!A84,""),"")</f>
        <v/>
      </c>
      <c r="G12" s="287">
        <f>IFERROR(IF('Invullen groen'!L84&lt;&gt;0,'Invullen groen'!G84,""),"")</f>
        <v/>
      </c>
      <c r="H12" s="364">
        <f>IFERROR(IF('Invullen groen'!L84&lt;&gt;0,'Invullen groen'!L84,""),"")</f>
        <v/>
      </c>
    </row>
    <row r="13" ht="14" customHeight="1">
      <c r="A13" s="287">
        <f>IFERROR(IF('Invullen groen'!L25&gt;0,8,""),"")</f>
        <v/>
      </c>
      <c r="B13" s="287">
        <f>IFERROR(IF('Invullen groen'!L25&gt;0,'Invullen groen'!A25,""),"")</f>
        <v/>
      </c>
      <c r="C13" s="287">
        <f>IFERROR(IF('Invullen groen'!L25&gt;0,'Invullen groen'!G25,""),"")</f>
        <v/>
      </c>
      <c r="D13" s="364">
        <f>IFERROR(IF('Invullen groen'!L25&gt;0,'Invullen groen'!L25,""),"")</f>
        <v/>
      </c>
      <c r="F13" s="287">
        <f>IFERROR(IF('Invullen groen'!L85&lt;&gt;0,'Invullen groen'!A85,""),"")</f>
        <v/>
      </c>
      <c r="G13" s="287">
        <f>IFERROR(IF('Invullen groen'!L85&lt;&gt;0,'Invullen groen'!G85,""),"")</f>
        <v/>
      </c>
      <c r="H13" s="364">
        <f>IFERROR(IF('Invullen groen'!L85&lt;&gt;0,'Invullen groen'!L85,""),"")</f>
        <v/>
      </c>
    </row>
    <row r="14" ht="14" customHeight="1">
      <c r="A14" s="287">
        <f>IFERROR(IF('Invullen groen'!L26&gt;0,9,""),"")</f>
        <v/>
      </c>
      <c r="B14" s="287">
        <f>IFERROR(IF('Invullen groen'!L26&gt;0,'Invullen groen'!A26,""),"")</f>
        <v/>
      </c>
      <c r="C14" s="287">
        <f>IFERROR(IF('Invullen groen'!L26&gt;0,'Invullen groen'!G26,""),"")</f>
        <v/>
      </c>
      <c r="D14" s="364">
        <f>IFERROR(IF('Invullen groen'!L26&gt;0,'Invullen groen'!L26,""),"")</f>
        <v/>
      </c>
      <c r="F14" s="287">
        <f>IFERROR(IF('Invullen groen'!L86&lt;&gt;0,'Invullen groen'!A86,""),"")</f>
        <v/>
      </c>
      <c r="G14" s="287">
        <f>IFERROR(IF('Invullen groen'!L86&lt;&gt;0,'Invullen groen'!G86,""),"")</f>
        <v/>
      </c>
      <c r="H14" s="364">
        <f>IFERROR(IF('Invullen groen'!L86&lt;&gt;0,'Invullen groen'!L86,""),"")</f>
        <v/>
      </c>
    </row>
    <row r="15" ht="14" customHeight="1">
      <c r="A15" s="287">
        <f>IFERROR(IF('Invullen groen'!L27&gt;0,10,""),"")</f>
        <v/>
      </c>
      <c r="B15" s="287">
        <f>IFERROR(IF('Invullen groen'!L27&gt;0,'Invullen groen'!A27,""),"")</f>
        <v/>
      </c>
      <c r="C15" s="287">
        <f>IFERROR(IF('Invullen groen'!L27&gt;0,'Invullen groen'!G27,""),"")</f>
        <v/>
      </c>
      <c r="D15" s="364">
        <f>IFERROR(IF('Invullen groen'!L27&gt;0,'Invullen groen'!L27,""),"")</f>
        <v/>
      </c>
      <c r="F15" s="287">
        <f>IFERROR(IF('Invullen groen'!L87&lt;&gt;0,'Invullen groen'!A87,""),"")</f>
        <v/>
      </c>
      <c r="G15" s="287">
        <f>IFERROR(IF('Invullen groen'!L87&lt;&gt;0,'Invullen groen'!G87,""),"")</f>
        <v/>
      </c>
      <c r="H15" s="364">
        <f>IFERROR(IF('Invullen groen'!L87&lt;&gt;0,'Invullen groen'!L87,""),"")</f>
        <v/>
      </c>
    </row>
    <row r="16" ht="14" customHeight="1">
      <c r="A16" s="287">
        <f>IFERROR(IF('Invullen groen'!L28&gt;0,11,""),"")</f>
        <v/>
      </c>
      <c r="B16" s="287">
        <f>IFERROR(IF('Invullen groen'!L28&gt;0,'Invullen groen'!A28,""),"")</f>
        <v/>
      </c>
      <c r="C16" s="287">
        <f>IFERROR(IF('Invullen groen'!L28&gt;0,'Invullen groen'!G28,""),"")</f>
        <v/>
      </c>
      <c r="D16" s="364">
        <f>IFERROR(IF('Invullen groen'!L28&gt;0,'Invullen groen'!L28,""),"")</f>
        <v/>
      </c>
      <c r="F16" s="287">
        <f>IFERROR(IF('Invullen groen'!L88&lt;&gt;0,'Invullen groen'!A88,""),"")</f>
        <v/>
      </c>
      <c r="G16" s="287">
        <f>IFERROR(IF('Invullen groen'!L88&lt;&gt;0,'Invullen groen'!G88,""),"")</f>
        <v/>
      </c>
      <c r="H16" s="364">
        <f>IFERROR(IF('Invullen groen'!L88&lt;&gt;0,'Invullen groen'!L88,""),"")</f>
        <v/>
      </c>
    </row>
    <row r="17" ht="14" customHeight="1">
      <c r="A17" s="287">
        <f>IFERROR(IF('Invullen groen'!L29&gt;0,12,""),"")</f>
        <v/>
      </c>
      <c r="B17" s="287">
        <f>IFERROR(IF('Invullen groen'!L29&gt;0,'Invullen groen'!A29,""),"")</f>
        <v/>
      </c>
      <c r="C17" s="287">
        <f>IFERROR(IF('Invullen groen'!L29&gt;0,'Invullen groen'!G29,""),"")</f>
        <v/>
      </c>
      <c r="D17" s="364">
        <f>IFERROR(IF('Invullen groen'!L29&gt;0,'Invullen groen'!L29,""),"")</f>
        <v/>
      </c>
      <c r="F17" s="287">
        <f>IFERROR(IF('Invullen groen'!L89&lt;&gt;0,'Invullen groen'!A89,""),"")</f>
        <v/>
      </c>
      <c r="G17" s="287">
        <f>IFERROR(IF('Invullen groen'!L89&lt;&gt;0,'Invullen groen'!G89,""),"")</f>
        <v/>
      </c>
      <c r="H17" s="364">
        <f>IFERROR(IF('Invullen groen'!L89&lt;&gt;0,'Invullen groen'!L89,""),"")</f>
        <v/>
      </c>
    </row>
    <row r="18" ht="14" customHeight="1">
      <c r="A18" s="287">
        <f>IFERROR(IF('Invullen groen'!L30&gt;0,13,""),"")</f>
        <v/>
      </c>
      <c r="B18" s="287">
        <f>IFERROR(IF('Invullen groen'!L30&gt;0,'Invullen groen'!A30,""),"")</f>
        <v/>
      </c>
      <c r="C18" s="287">
        <f>IFERROR(IF('Invullen groen'!L30&gt;0,'Invullen groen'!G30,""),"")</f>
        <v/>
      </c>
      <c r="D18" s="364">
        <f>IFERROR(IF('Invullen groen'!L30&gt;0,'Invullen groen'!L30,""),"")</f>
        <v/>
      </c>
      <c r="F18" s="287">
        <f>IFERROR(IF('Invullen groen'!L90&lt;&gt;0,'Invullen groen'!A90,""),"")</f>
        <v/>
      </c>
      <c r="G18" s="287">
        <f>IFERROR(IF('Invullen groen'!L90&lt;&gt;0,'Invullen groen'!G90,""),"")</f>
        <v/>
      </c>
      <c r="H18" s="364">
        <f>IFERROR(IF('Invullen groen'!L90&lt;&gt;0,'Invullen groen'!L90,""),"")</f>
        <v/>
      </c>
    </row>
    <row r="19" ht="14" customHeight="1">
      <c r="A19" s="287">
        <f>IFERROR(IF('Invullen groen'!L31&gt;0,14,""),"")</f>
        <v/>
      </c>
      <c r="B19" s="287">
        <f>IFERROR(IF('Invullen groen'!L31&gt;0,'Invullen groen'!A31,""),"")</f>
        <v/>
      </c>
      <c r="C19" s="287">
        <f>IFERROR(IF('Invullen groen'!L31&gt;0,'Invullen groen'!G31,""),"")</f>
        <v/>
      </c>
      <c r="D19" s="364">
        <f>IFERROR(IF('Invullen groen'!L31&gt;0,'Invullen groen'!L31,""),"")</f>
        <v/>
      </c>
      <c r="F19" s="287">
        <f>IFERROR(IF('Invullen groen'!L91&lt;&gt;0,'Invullen groen'!A91,""),"")</f>
        <v/>
      </c>
      <c r="G19" s="287">
        <f>IFERROR(IF('Invullen groen'!L91&lt;&gt;0,'Invullen groen'!G91,""),"")</f>
        <v/>
      </c>
      <c r="H19" s="364">
        <f>IFERROR(IF('Invullen groen'!L91&lt;&gt;0,'Invullen groen'!L91,""),"")</f>
        <v/>
      </c>
    </row>
    <row r="20" ht="14" customHeight="1">
      <c r="A20" s="287">
        <f>IFERROR(IF('Invullen groen'!L32&gt;0,15,""),"")</f>
        <v/>
      </c>
      <c r="B20" s="287">
        <f>IFERROR(IF('Invullen groen'!L32&gt;0,'Invullen groen'!A32,""),"")</f>
        <v/>
      </c>
      <c r="C20" s="287">
        <f>IFERROR(IF('Invullen groen'!L32&gt;0,'Invullen groen'!G32,""),"")</f>
        <v/>
      </c>
      <c r="D20" s="364">
        <f>IFERROR(IF('Invullen groen'!L32&gt;0,'Invullen groen'!L32,""),"")</f>
        <v/>
      </c>
      <c r="F20" s="287">
        <f>IFERROR(IF('Invullen groen'!L92&lt;&gt;0,'Invullen groen'!A92,""),"")</f>
        <v/>
      </c>
      <c r="G20" s="287">
        <f>IFERROR(IF('Invullen groen'!L92&lt;&gt;0,'Invullen groen'!G92,""),"")</f>
        <v/>
      </c>
      <c r="H20" s="364">
        <f>IFERROR(IF('Invullen groen'!L92&lt;&gt;0,'Invullen groen'!L92,""),"")</f>
        <v/>
      </c>
    </row>
    <row r="21" ht="14" customHeight="1">
      <c r="A21" s="287">
        <f>IFERROR(IF('Invullen groen'!L33&gt;0,16,""),"")</f>
        <v/>
      </c>
      <c r="B21" s="287">
        <f>IFERROR(IF('Invullen groen'!L33&gt;0,'Invullen groen'!A33,""),"")</f>
        <v/>
      </c>
      <c r="C21" s="287">
        <f>IFERROR(IF('Invullen groen'!L33&gt;0,'Invullen groen'!G33,""),"")</f>
        <v/>
      </c>
      <c r="D21" s="364">
        <f>IFERROR(IF('Invullen groen'!L33&gt;0,'Invullen groen'!L33,""),"")</f>
        <v/>
      </c>
      <c r="F21" s="287">
        <f>IFERROR(IF('Invullen groen'!L93&lt;&gt;0,'Invullen groen'!A93,""),"")</f>
        <v/>
      </c>
      <c r="G21" s="287">
        <f>IFERROR(IF('Invullen groen'!L93&lt;&gt;0,'Invullen groen'!G93,""),"")</f>
        <v/>
      </c>
      <c r="H21" s="364">
        <f>IFERROR(IF('Invullen groen'!L93&lt;&gt;0,'Invullen groen'!L93,""),"")</f>
        <v/>
      </c>
    </row>
    <row r="22" ht="14" customHeight="1">
      <c r="A22" s="287">
        <f>IFERROR(IF('Invullen groen'!L34&gt;0,17,""),"")</f>
        <v/>
      </c>
      <c r="B22" s="287">
        <f>IFERROR(IF('Invullen groen'!L34&gt;0,'Invullen groen'!A34,""),"")</f>
        <v/>
      </c>
      <c r="C22" s="287">
        <f>IFERROR(IF('Invullen groen'!L34&gt;0,'Invullen groen'!G34,""),"")</f>
        <v/>
      </c>
      <c r="D22" s="364">
        <f>IFERROR(IF('Invullen groen'!L34&gt;0,'Invullen groen'!L34,""),"")</f>
        <v/>
      </c>
      <c r="F22" s="287">
        <f>IFERROR(IF('Invullen groen'!L94&lt;&gt;0,'Invullen groen'!A94,""),"")</f>
        <v/>
      </c>
      <c r="G22" s="287">
        <f>IFERROR(IF('Invullen groen'!L94&lt;&gt;0,'Invullen groen'!G94,""),"")</f>
        <v/>
      </c>
      <c r="H22" s="364">
        <f>IFERROR(IF('Invullen groen'!L94&lt;&gt;0,'Invullen groen'!L94,""),"")</f>
        <v/>
      </c>
    </row>
    <row r="23" ht="14" customHeight="1">
      <c r="A23" s="287">
        <f>IFERROR(IF('Invullen groen'!L35&gt;0,18,""),"")</f>
        <v/>
      </c>
      <c r="B23" s="287">
        <f>IFERROR(IF('Invullen groen'!L35&gt;0,'Invullen groen'!A35,""),"")</f>
        <v/>
      </c>
      <c r="C23" s="287">
        <f>IFERROR(IF('Invullen groen'!L35&gt;0,'Invullen groen'!G35,""),"")</f>
        <v/>
      </c>
      <c r="D23" s="364">
        <f>IFERROR(IF('Invullen groen'!L35&gt;0,'Invullen groen'!L35,""),"")</f>
        <v/>
      </c>
      <c r="F23" s="287">
        <f>IFERROR(IF('Invullen groen'!L95&lt;&gt;0,'Invullen groen'!A95,""),"")</f>
        <v/>
      </c>
      <c r="G23" s="287">
        <f>IFERROR(IF('Invullen groen'!L95&lt;&gt;0,'Invullen groen'!G95,""),"")</f>
        <v/>
      </c>
      <c r="H23" s="364">
        <f>IFERROR(IF('Invullen groen'!L95&lt;&gt;0,'Invullen groen'!L95,""),"")</f>
        <v/>
      </c>
    </row>
    <row r="24" ht="14" customHeight="1">
      <c r="A24" s="287">
        <f>IFERROR(IF('Invullen groen'!L36&gt;0,19,""),"")</f>
        <v/>
      </c>
      <c r="B24" s="287">
        <f>IFERROR(IF('Invullen groen'!L36&gt;0,'Invullen groen'!A36,""),"")</f>
        <v/>
      </c>
      <c r="C24" s="287">
        <f>IFERROR(IF('Invullen groen'!L36&gt;0,'Invullen groen'!G36,""),"")</f>
        <v/>
      </c>
      <c r="D24" s="364">
        <f>IFERROR(IF('Invullen groen'!L36&gt;0,'Invullen groen'!L36,""),"")</f>
        <v/>
      </c>
      <c r="F24" s="287">
        <f>IFERROR(IF('Invullen groen'!L96&lt;&gt;0,'Invullen groen'!A96,""),"")</f>
        <v/>
      </c>
      <c r="G24" s="287">
        <f>IFERROR(IF('Invullen groen'!L96&lt;&gt;0,'Invullen groen'!G96,""),"")</f>
        <v/>
      </c>
      <c r="H24" s="364">
        <f>IFERROR(IF('Invullen groen'!L96&lt;&gt;0,'Invullen groen'!L96,""),"")</f>
        <v/>
      </c>
    </row>
    <row r="25" ht="14" customHeight="1">
      <c r="A25" s="287">
        <f>IFERROR(IF('Invullen groen'!L37&gt;0,20,""),"")</f>
        <v/>
      </c>
      <c r="B25" s="287">
        <f>IFERROR(IF('Invullen groen'!L37&gt;0,'Invullen groen'!A37,""),"")</f>
        <v/>
      </c>
      <c r="C25" s="287">
        <f>IFERROR(IF('Invullen groen'!L37&gt;0,'Invullen groen'!G37,""),"")</f>
        <v/>
      </c>
      <c r="D25" s="364">
        <f>IFERROR(IF('Invullen groen'!L37&gt;0,'Invullen groen'!L37,""),"")</f>
        <v/>
      </c>
      <c r="F25" s="287">
        <f>IFERROR(IF('Invullen groen'!L97&lt;&gt;0,'Invullen groen'!A97,""),"")</f>
        <v/>
      </c>
      <c r="G25" s="287">
        <f>IFERROR(IF('Invullen groen'!L97&lt;&gt;0,'Invullen groen'!G97,""),"")</f>
        <v/>
      </c>
      <c r="H25" s="364">
        <f>IFERROR(IF('Invullen groen'!L97&lt;&gt;0,'Invullen groen'!L97,""),"")</f>
        <v/>
      </c>
    </row>
    <row r="26" ht="14" customHeight="1">
      <c r="A26" s="287">
        <f>IFERROR(IF('Invullen groen'!L38&gt;0,21,""),"")</f>
        <v/>
      </c>
      <c r="B26" s="287">
        <f>IFERROR(IF('Invullen groen'!L38&gt;0,'Invullen groen'!A38,""),"")</f>
        <v/>
      </c>
      <c r="C26" s="287">
        <f>IFERROR(IF('Invullen groen'!L38&gt;0,'Invullen groen'!G38,""),"")</f>
        <v/>
      </c>
      <c r="D26" s="364">
        <f>IFERROR(IF('Invullen groen'!L38&gt;0,'Invullen groen'!L38,""),"")</f>
        <v/>
      </c>
      <c r="F26" s="287">
        <f>IFERROR(IF('Invullen groen'!L98&lt;&gt;0,'Invullen groen'!A98,""),"")</f>
        <v/>
      </c>
      <c r="G26" s="287">
        <f>IFERROR(IF('Invullen groen'!L98&lt;&gt;0,'Invullen groen'!G98,""),"")</f>
        <v/>
      </c>
      <c r="H26" s="364">
        <f>IFERROR(IF('Invullen groen'!L98&lt;&gt;0,'Invullen groen'!L98,""),"")</f>
        <v/>
      </c>
    </row>
    <row r="27" ht="14" customHeight="1">
      <c r="A27" s="287">
        <f>IFERROR(IF('Invullen groen'!L39&gt;0,22,""),"")</f>
        <v/>
      </c>
      <c r="B27" s="287">
        <f>IFERROR(IF('Invullen groen'!L39&gt;0,'Invullen groen'!A39,""),"")</f>
        <v/>
      </c>
      <c r="C27" s="287">
        <f>IFERROR(IF('Invullen groen'!L39&gt;0,'Invullen groen'!G39,""),"")</f>
        <v/>
      </c>
      <c r="D27" s="364">
        <f>IFERROR(IF('Invullen groen'!L39&gt;0,'Invullen groen'!L39,""),"")</f>
        <v/>
      </c>
      <c r="F27" s="287">
        <f>IFERROR(IF('Invullen groen'!L99&lt;&gt;0,'Invullen groen'!A99,""),"")</f>
        <v/>
      </c>
      <c r="G27" s="287">
        <f>IFERROR(IF('Invullen groen'!L99&lt;&gt;0,'Invullen groen'!G99,""),"")</f>
        <v/>
      </c>
      <c r="H27" s="364">
        <f>IFERROR(IF('Invullen groen'!L99&lt;&gt;0,'Invullen groen'!L99,""),"")</f>
        <v/>
      </c>
    </row>
    <row r="28" ht="14" customHeight="1">
      <c r="A28" s="287">
        <f>IFERROR(IF('Invullen groen'!L40&gt;0,23,""),"")</f>
        <v/>
      </c>
      <c r="B28" s="287">
        <f>IFERROR(IF('Invullen groen'!L40&gt;0,'Invullen groen'!A40,""),"")</f>
        <v/>
      </c>
      <c r="C28" s="287">
        <f>IFERROR(IF('Invullen groen'!L40&gt;0,'Invullen groen'!G40,""),"")</f>
        <v/>
      </c>
      <c r="D28" s="364">
        <f>IFERROR(IF('Invullen groen'!L40&gt;0,'Invullen groen'!L40,""),"")</f>
        <v/>
      </c>
      <c r="F28" s="287">
        <f>IFERROR(IF('Invullen groen'!L100&lt;&gt;0,'Invullen groen'!A100,""),"")</f>
        <v/>
      </c>
      <c r="G28" s="287">
        <f>IFERROR(IF('Invullen groen'!L100&lt;&gt;0,'Invullen groen'!G100,""),"")</f>
        <v/>
      </c>
      <c r="H28" s="364">
        <f>IFERROR(IF('Invullen groen'!L100&lt;&gt;0,'Invullen groen'!L100,""),"")</f>
        <v/>
      </c>
    </row>
    <row r="29" ht="14" customHeight="1">
      <c r="A29" s="287">
        <f>IFERROR(IF('Invullen groen'!L41&gt;0,24,""),"")</f>
        <v/>
      </c>
      <c r="B29" s="287">
        <f>IFERROR(IF('Invullen groen'!L41&gt;0,'Invullen groen'!A41,""),"")</f>
        <v/>
      </c>
      <c r="C29" s="287">
        <f>IFERROR(IF('Invullen groen'!L41&gt;0,'Invullen groen'!G41,""),"")</f>
        <v/>
      </c>
      <c r="D29" s="364">
        <f>IFERROR(IF('Invullen groen'!L41&gt;0,'Invullen groen'!L41,""),"")</f>
        <v/>
      </c>
      <c r="F29" s="287">
        <f>IFERROR(IF('Invullen groen'!L101&lt;&gt;0,'Invullen groen'!A101,""),"")</f>
        <v/>
      </c>
      <c r="G29" s="287">
        <f>IFERROR(IF('Invullen groen'!L101&lt;&gt;0,'Invullen groen'!G101,""),"")</f>
        <v/>
      </c>
      <c r="H29" s="364">
        <f>IFERROR(IF('Invullen groen'!L101&lt;&gt;0,'Invullen groen'!L101,""),"")</f>
        <v/>
      </c>
    </row>
    <row r="30" ht="14" customHeight="1">
      <c r="A30" s="287">
        <f>IFERROR(IF('Invullen groen'!L42&gt;0,25,""),"")</f>
        <v/>
      </c>
      <c r="B30" s="287">
        <f>IFERROR(IF('Invullen groen'!L42&gt;0,'Invullen groen'!A42,""),"")</f>
        <v/>
      </c>
      <c r="C30" s="287">
        <f>IFERROR(IF('Invullen groen'!L42&gt;0,'Invullen groen'!G42,""),"")</f>
        <v/>
      </c>
      <c r="D30" s="364">
        <f>IFERROR(IF('Invullen groen'!L42&gt;0,'Invullen groen'!L42,""),"")</f>
        <v/>
      </c>
      <c r="F30" s="287">
        <f>IFERROR(IF('Invullen groen'!L102&lt;&gt;0,'Invullen groen'!A102,""),"")</f>
        <v/>
      </c>
      <c r="G30" s="287">
        <f>IFERROR(IF('Invullen groen'!L102&lt;&gt;0,'Invullen groen'!G102,""),"")</f>
        <v/>
      </c>
      <c r="H30" s="364">
        <f>IFERROR(IF('Invullen groen'!L102&lt;&gt;0,'Invullen groen'!L102,""),"")</f>
        <v/>
      </c>
    </row>
    <row r="31" ht="14" customHeight="1">
      <c r="A31" s="287">
        <f>IFERROR(IF('Invullen groen'!L43&gt;0,26,""),"")</f>
        <v/>
      </c>
      <c r="B31" s="287">
        <f>IFERROR(IF('Invullen groen'!L43&gt;0,'Invullen groen'!A43,""),"")</f>
        <v/>
      </c>
      <c r="C31" s="287">
        <f>IFERROR(IF('Invullen groen'!L43&gt;0,'Invullen groen'!G43,""),"")</f>
        <v/>
      </c>
      <c r="D31" s="364">
        <f>IFERROR(IF('Invullen groen'!L43&gt;0,'Invullen groen'!L43,""),"")</f>
        <v/>
      </c>
      <c r="F31" s="287">
        <f>IFERROR(IF('Invullen groen'!L103&lt;&gt;0,'Invullen groen'!A103,""),"")</f>
        <v/>
      </c>
      <c r="G31" s="287">
        <f>IFERROR(IF('Invullen groen'!L103&lt;&gt;0,'Invullen groen'!G103,""),"")</f>
        <v/>
      </c>
      <c r="H31" s="364">
        <f>IFERROR(IF('Invullen groen'!L103&lt;&gt;0,'Invullen groen'!L103,""),"")</f>
        <v/>
      </c>
    </row>
    <row r="32" ht="14" customHeight="1">
      <c r="A32" s="287">
        <f>IFERROR(IF('Invullen groen'!L44&gt;0,27,""),"")</f>
        <v/>
      </c>
      <c r="B32" s="287">
        <f>IFERROR(IF('Invullen groen'!L44&gt;0,'Invullen groen'!A44,""),"")</f>
        <v/>
      </c>
      <c r="C32" s="287">
        <f>IFERROR(IF('Invullen groen'!L44&gt;0,'Invullen groen'!G44,""),"")</f>
        <v/>
      </c>
      <c r="D32" s="364">
        <f>IFERROR(IF('Invullen groen'!L44&gt;0,'Invullen groen'!L44,""),"")</f>
        <v/>
      </c>
      <c r="F32" s="287">
        <f>IFERROR(IF('Invullen groen'!L104&lt;&gt;0,'Invullen groen'!A104,""),"")</f>
        <v/>
      </c>
      <c r="G32" s="287">
        <f>IFERROR(IF('Invullen groen'!L104&lt;&gt;0,'Invullen groen'!G104,""),"")</f>
        <v/>
      </c>
      <c r="H32" s="364">
        <f>IFERROR(IF('Invullen groen'!L104&lt;&gt;0,'Invullen groen'!L104,""),"")</f>
        <v/>
      </c>
    </row>
    <row r="33" ht="14" customHeight="1">
      <c r="A33" s="287">
        <f>IFERROR(IF('Invullen groen'!L45&gt;0,28,""),"")</f>
        <v/>
      </c>
      <c r="B33" s="287">
        <f>IFERROR(IF('Invullen groen'!L45&gt;0,'Invullen groen'!A45,""),"")</f>
        <v/>
      </c>
      <c r="C33" s="287">
        <f>IFERROR(IF('Invullen groen'!L45&gt;0,'Invullen groen'!G45,""),"")</f>
        <v/>
      </c>
      <c r="D33" s="364">
        <f>IFERROR(IF('Invullen groen'!L45&gt;0,'Invullen groen'!L45,""),"")</f>
        <v/>
      </c>
      <c r="F33" s="287">
        <f>IFERROR(IF('Invullen groen'!L105&lt;&gt;0,'Invullen groen'!A105,""),"")</f>
        <v/>
      </c>
      <c r="G33" s="287">
        <f>IFERROR(IF('Invullen groen'!L105&lt;&gt;0,'Invullen groen'!G105,""),"")</f>
        <v/>
      </c>
      <c r="H33" s="364">
        <f>IFERROR(IF('Invullen groen'!L105&lt;&gt;0,'Invullen groen'!L105,""),"")</f>
        <v/>
      </c>
    </row>
    <row r="34" ht="14" customHeight="1">
      <c r="A34" s="287">
        <f>IFERROR(IF('Invullen groen'!L46&gt;0,29,""),"")</f>
        <v/>
      </c>
      <c r="B34" s="287">
        <f>IFERROR(IF('Invullen groen'!L46&gt;0,'Invullen groen'!A46,""),"")</f>
        <v/>
      </c>
      <c r="C34" s="287">
        <f>IFERROR(IF('Invullen groen'!L46&gt;0,'Invullen groen'!G46,""),"")</f>
        <v/>
      </c>
      <c r="D34" s="364">
        <f>IFERROR(IF('Invullen groen'!L46&gt;0,'Invullen groen'!L46,""),"")</f>
        <v/>
      </c>
      <c r="F34" s="287">
        <f>IFERROR(IF('Invullen groen'!L106&lt;&gt;0,'Invullen groen'!A106,""),"")</f>
        <v/>
      </c>
      <c r="G34" s="287">
        <f>IFERROR(IF('Invullen groen'!L106&lt;&gt;0,'Invullen groen'!G106,""),"")</f>
        <v/>
      </c>
      <c r="H34" s="364">
        <f>IFERROR(IF('Invullen groen'!L106&lt;&gt;0,'Invullen groen'!L106,""),"")</f>
        <v/>
      </c>
    </row>
    <row r="35" ht="14" customHeight="1">
      <c r="A35" s="287">
        <f>IFERROR(IF('Invullen groen'!L47&gt;0,30,""),"")</f>
        <v/>
      </c>
      <c r="B35" s="287">
        <f>IFERROR(IF('Invullen groen'!L47&gt;0,'Invullen groen'!A47,""),"")</f>
        <v/>
      </c>
      <c r="C35" s="287">
        <f>IFERROR(IF('Invullen groen'!L47&gt;0,'Invullen groen'!G47,""),"")</f>
        <v/>
      </c>
      <c r="D35" s="364">
        <f>IFERROR(IF('Invullen groen'!L47&gt;0,'Invullen groen'!L47,""),"")</f>
        <v/>
      </c>
      <c r="F35" s="287">
        <f>IFERROR(IF('Invullen groen'!L107&lt;&gt;0,'Invullen groen'!A107,""),"")</f>
        <v/>
      </c>
      <c r="G35" s="287">
        <f>IFERROR(IF('Invullen groen'!L107&lt;&gt;0,'Invullen groen'!G107,""),"")</f>
        <v/>
      </c>
      <c r="H35" s="364">
        <f>IFERROR(IF('Invullen groen'!L107&lt;&gt;0,'Invullen groen'!L107,""),"")</f>
        <v/>
      </c>
    </row>
    <row r="36" ht="14" customHeight="1">
      <c r="A36" s="287">
        <f>IFERROR(IF('Invullen groen'!L48&gt;0,31,""),"")</f>
        <v/>
      </c>
      <c r="B36" s="287">
        <f>IFERROR(IF('Invullen groen'!L48&gt;0,'Invullen groen'!A48,""),"")</f>
        <v/>
      </c>
      <c r="C36" s="287">
        <f>IFERROR(IF('Invullen groen'!L48&gt;0,'Invullen groen'!G48,""),"")</f>
        <v/>
      </c>
      <c r="D36" s="364">
        <f>IFERROR(IF('Invullen groen'!L48&gt;0,'Invullen groen'!L48,""),"")</f>
        <v/>
      </c>
      <c r="F36" s="287">
        <f>IFERROR(IF('Invullen groen'!L108&lt;&gt;0,'Invullen groen'!A108,""),"")</f>
        <v/>
      </c>
      <c r="G36" s="287">
        <f>IFERROR(IF('Invullen groen'!L108&lt;&gt;0,'Invullen groen'!G108,""),"")</f>
        <v/>
      </c>
      <c r="H36" s="364">
        <f>IFERROR(IF('Invullen groen'!L108&lt;&gt;0,'Invullen groen'!L108,""),"")</f>
        <v/>
      </c>
    </row>
    <row r="37" ht="14" customHeight="1">
      <c r="A37" s="287">
        <f>IFERROR(IF('Invullen groen'!L49&gt;0,32,""),"")</f>
        <v/>
      </c>
      <c r="B37" s="287">
        <f>IFERROR(IF('Invullen groen'!L49&gt;0,'Invullen groen'!A49,""),"")</f>
        <v/>
      </c>
      <c r="C37" s="287">
        <f>IFERROR(IF('Invullen groen'!L49&gt;0,'Invullen groen'!G49,""),"")</f>
        <v/>
      </c>
      <c r="D37" s="364">
        <f>IFERROR(IF('Invullen groen'!L49&gt;0,'Invullen groen'!L49,""),"")</f>
        <v/>
      </c>
      <c r="F37" s="287">
        <f>IFERROR(IF('Invullen groen'!L109&lt;&gt;0,'Invullen groen'!A109,""),"")</f>
        <v/>
      </c>
      <c r="G37" s="287">
        <f>IFERROR(IF('Invullen groen'!L109&lt;&gt;0,'Invullen groen'!G109,""),"")</f>
        <v/>
      </c>
      <c r="H37" s="364">
        <f>IFERROR(IF('Invullen groen'!L109&lt;&gt;0,'Invullen groen'!L109,""),"")</f>
        <v/>
      </c>
    </row>
    <row r="38" ht="14" customHeight="1">
      <c r="A38" s="287">
        <f>IFERROR(IF('Invullen groen'!L50&gt;0,33,""),"")</f>
        <v/>
      </c>
      <c r="B38" s="287">
        <f>IFERROR(IF('Invullen groen'!L50&gt;0,'Invullen groen'!A50,""),"")</f>
        <v/>
      </c>
      <c r="C38" s="287">
        <f>IFERROR(IF('Invullen groen'!L50&gt;0,'Invullen groen'!G50,""),"")</f>
        <v/>
      </c>
      <c r="D38" s="364">
        <f>IFERROR(IF('Invullen groen'!L50&gt;0,'Invullen groen'!L50,""),"")</f>
        <v/>
      </c>
      <c r="F38" s="287" t="n"/>
      <c r="G38" s="287" t="n"/>
      <c r="H38" s="364" t="n"/>
    </row>
    <row r="39" ht="14" customHeight="1">
      <c r="A39" s="287">
        <f>IFERROR(IF('Invullen groen'!L51&gt;0,34,""),"")</f>
        <v/>
      </c>
      <c r="B39" s="287">
        <f>IFERROR(IF('Invullen groen'!L51&gt;0,'Invullen groen'!A51,""),"")</f>
        <v/>
      </c>
      <c r="C39" s="287">
        <f>IFERROR(IF('Invullen groen'!L51&gt;0,'Invullen groen'!G51,""),"")</f>
        <v/>
      </c>
      <c r="D39" s="364">
        <f>IFERROR(IF('Invullen groen'!L51&gt;0,'Invullen groen'!L51,""),"")</f>
        <v/>
      </c>
      <c r="F39" s="287" t="n"/>
      <c r="G39" s="287" t="n"/>
      <c r="H39" s="364" t="n"/>
    </row>
    <row r="40" ht="14" customHeight="1">
      <c r="A40" s="287">
        <f>IFERROR(IF('Invullen groen'!L52&gt;0,35,""),"")</f>
        <v/>
      </c>
      <c r="B40" s="287">
        <f>IFERROR(IF('Invullen groen'!L52&gt;0,'Invullen groen'!A52,""),"")</f>
        <v/>
      </c>
      <c r="C40" s="287">
        <f>IFERROR(IF('Invullen groen'!L52&gt;0,'Invullen groen'!G52,""),"")</f>
        <v/>
      </c>
      <c r="D40" s="364">
        <f>IFERROR(IF('Invullen groen'!L52&gt;0,'Invullen groen'!L52,""),"")</f>
        <v/>
      </c>
      <c r="F40" s="287" t="n"/>
      <c r="G40" s="287" t="n"/>
      <c r="H40" s="364" t="n"/>
    </row>
    <row r="41" ht="14" customHeight="1">
      <c r="A41" s="287">
        <f>IFERROR(IF('Invullen groen'!L53&gt;0,36,""),"")</f>
        <v/>
      </c>
      <c r="B41" s="287">
        <f>IFERROR(IF('Invullen groen'!L53&gt;0,'Invullen groen'!A53,""),"")</f>
        <v/>
      </c>
      <c r="C41" s="287">
        <f>IFERROR(IF('Invullen groen'!L53&gt;0,'Invullen groen'!G53,""),"")</f>
        <v/>
      </c>
      <c r="D41" s="364">
        <f>IFERROR(IF('Invullen groen'!L53&gt;0,'Invullen groen'!L53,""),"")</f>
        <v/>
      </c>
      <c r="F41" s="287" t="n"/>
      <c r="G41" s="287" t="n"/>
      <c r="H41" s="364" t="n"/>
    </row>
    <row r="42" ht="14" customHeight="1">
      <c r="A42" s="287">
        <f>IFERROR(IF('Invullen groen'!L54&gt;0,37,""),"")</f>
        <v/>
      </c>
      <c r="B42" s="287">
        <f>IFERROR(IF('Invullen groen'!L54&gt;0,'Invullen groen'!A54,""),"")</f>
        <v/>
      </c>
      <c r="C42" s="287">
        <f>IFERROR(IF('Invullen groen'!L54&gt;0,'Invullen groen'!G54,""),"")</f>
        <v/>
      </c>
      <c r="D42" s="364">
        <f>IFERROR(IF('Invullen groen'!L54&gt;0,'Invullen groen'!L54,""),"")</f>
        <v/>
      </c>
      <c r="F42" s="287" t="n"/>
      <c r="G42" s="287" t="n"/>
      <c r="H42" s="364" t="n"/>
    </row>
    <row r="43" ht="14" customHeight="1">
      <c r="A43" s="287">
        <f>IFERROR(IF('Invullen groen'!L55&gt;0,38,""),"")</f>
        <v/>
      </c>
      <c r="B43" s="287">
        <f>IFERROR(IF('Invullen groen'!L55&gt;0,'Invullen groen'!A55,""),"")</f>
        <v/>
      </c>
      <c r="C43" s="287">
        <f>IFERROR(IF('Invullen groen'!L55&gt;0,'Invullen groen'!G55,""),"")</f>
        <v/>
      </c>
      <c r="D43" s="364">
        <f>IFERROR(IF('Invullen groen'!L55&gt;0,'Invullen groen'!L55,""),"")</f>
        <v/>
      </c>
      <c r="F43" s="287" t="n"/>
      <c r="G43" s="287" t="n"/>
      <c r="H43" s="364" t="n"/>
    </row>
    <row r="44" ht="14" customHeight="1">
      <c r="A44" s="287">
        <f>IFERROR(IF('Invullen groen'!L56&gt;0,39,""),"")</f>
        <v/>
      </c>
      <c r="B44" s="287">
        <f>IFERROR(IF('Invullen groen'!L56&gt;0,'Invullen groen'!A56,""),"")</f>
        <v/>
      </c>
      <c r="C44" s="287">
        <f>IFERROR(IF('Invullen groen'!L56&gt;0,'Invullen groen'!G56,""),"")</f>
        <v/>
      </c>
      <c r="D44" s="364">
        <f>IFERROR(IF('Invullen groen'!L56&gt;0,'Invullen groen'!L56,""),"")</f>
        <v/>
      </c>
      <c r="F44" s="287" t="n"/>
      <c r="G44" s="287" t="n"/>
      <c r="H44" s="364" t="n"/>
    </row>
    <row r="45" ht="14" customHeight="1">
      <c r="A45" s="287">
        <f>IFERROR(IF('Invullen groen'!L57&gt;0,40,""),"")</f>
        <v/>
      </c>
      <c r="B45" s="287">
        <f>IFERROR(IF('Invullen groen'!L57&gt;0,'Invullen groen'!A57,""),"")</f>
        <v/>
      </c>
      <c r="C45" s="287">
        <f>IFERROR(IF('Invullen groen'!L57&gt;0,'Invullen groen'!G57,""),"")</f>
        <v/>
      </c>
      <c r="D45" s="364">
        <f>IFERROR(IF('Invullen groen'!L57&gt;0,'Invullen groen'!L57,""),"")</f>
        <v/>
      </c>
      <c r="F45" s="287" t="n"/>
      <c r="G45" s="287" t="n"/>
      <c r="H45" s="364" t="n"/>
    </row>
    <row r="46" ht="14" customHeight="1">
      <c r="A46" s="287">
        <f>IFERROR(IF('Invullen groen'!L58&gt;0,41,""),"")</f>
        <v/>
      </c>
      <c r="B46" s="287">
        <f>IFERROR(IF('Invullen groen'!L58&gt;0,'Invullen groen'!A58,""),"")</f>
        <v/>
      </c>
      <c r="C46" s="287">
        <f>IFERROR(IF('Invullen groen'!L58&gt;0,'Invullen groen'!G58,""),"")</f>
        <v/>
      </c>
      <c r="D46" s="364">
        <f>IFERROR(IF('Invullen groen'!L58&gt;0,'Invullen groen'!L58,""),"")</f>
        <v/>
      </c>
      <c r="F46" s="287" t="n"/>
      <c r="G46" s="287" t="n"/>
      <c r="H46" s="364" t="n"/>
    </row>
    <row r="47" ht="14" customHeight="1">
      <c r="A47" s="287">
        <f>IFERROR(IF('Invullen groen'!L59&gt;0,42,""),"")</f>
        <v/>
      </c>
      <c r="B47" s="287">
        <f>IFERROR(IF('Invullen groen'!L59&gt;0,'Invullen groen'!A59,""),"")</f>
        <v/>
      </c>
      <c r="C47" s="287">
        <f>IFERROR(IF('Invullen groen'!L59&gt;0,'Invullen groen'!G59,""),"")</f>
        <v/>
      </c>
      <c r="D47" s="364">
        <f>IFERROR(IF('Invullen groen'!L59&gt;0,'Invullen groen'!L59,""),"")</f>
        <v/>
      </c>
      <c r="F47" s="287" t="n"/>
      <c r="G47" s="287" t="n"/>
      <c r="H47" s="364" t="n"/>
    </row>
    <row r="48" ht="14" customHeight="1">
      <c r="A48" s="287">
        <f>IFERROR(IF('Invullen groen'!L60&gt;0,43,""),"")</f>
        <v/>
      </c>
      <c r="B48" s="287">
        <f>IFERROR(IF('Invullen groen'!L60&gt;0,'Invullen groen'!A60,""),"")</f>
        <v/>
      </c>
      <c r="C48" s="287">
        <f>IFERROR(IF('Invullen groen'!L60&gt;0,'Invullen groen'!G60,""),"")</f>
        <v/>
      </c>
      <c r="D48" s="364">
        <f>IFERROR(IF('Invullen groen'!L60&gt;0,'Invullen groen'!L60,""),"")</f>
        <v/>
      </c>
      <c r="F48" s="287" t="n"/>
      <c r="G48" s="287" t="n"/>
      <c r="H48" s="364" t="n"/>
    </row>
    <row r="49" ht="14" customHeight="1">
      <c r="A49" s="287">
        <f>IFERROR(IF('Invullen groen'!L61&gt;0,44,""),"")</f>
        <v/>
      </c>
      <c r="B49" s="287">
        <f>IFERROR(IF('Invullen groen'!L61&gt;0,'Invullen groen'!A61,""),"")</f>
        <v/>
      </c>
      <c r="C49" s="287">
        <f>IFERROR(IF('Invullen groen'!L61&gt;0,'Invullen groen'!G61,""),"")</f>
        <v/>
      </c>
      <c r="D49" s="364">
        <f>IFERROR(IF('Invullen groen'!L61&gt;0,'Invullen groen'!L61,""),"")</f>
        <v/>
      </c>
      <c r="F49" s="287" t="n"/>
      <c r="G49" s="287" t="n"/>
      <c r="H49" s="364" t="n"/>
    </row>
    <row r="50" ht="14" customHeight="1">
      <c r="A50" s="287">
        <f>IFERROR(IF('Invullen groen'!L62&gt;0,45,""),"")</f>
        <v/>
      </c>
      <c r="B50" s="287">
        <f>IFERROR(IF('Invullen groen'!L62&gt;0,'Invullen groen'!A62,""),"")</f>
        <v/>
      </c>
      <c r="C50" s="287">
        <f>IFERROR(IF('Invullen groen'!L62&gt;0,'Invullen groen'!G62,""),"")</f>
        <v/>
      </c>
      <c r="D50" s="364">
        <f>IFERROR(IF('Invullen groen'!L62&gt;0,'Invullen groen'!L62,""),"")</f>
        <v/>
      </c>
      <c r="F50" s="287" t="n"/>
      <c r="G50" s="287" t="n"/>
      <c r="H50" s="364" t="n"/>
    </row>
    <row r="51" ht="14" customHeight="1">
      <c r="A51" s="287">
        <f>IFERROR(IF('Invullen groen'!L63&gt;0,46,""),"")</f>
        <v/>
      </c>
      <c r="B51" s="287">
        <f>IFERROR(IF('Invullen groen'!L63&gt;0,'Invullen groen'!A63,""),"")</f>
        <v/>
      </c>
      <c r="C51" s="287">
        <f>IFERROR(IF('Invullen groen'!L63&gt;0,'Invullen groen'!G63,""),"")</f>
        <v/>
      </c>
      <c r="D51" s="364">
        <f>IFERROR(IF('Invullen groen'!L63&gt;0,'Invullen groen'!L63,""),"")</f>
        <v/>
      </c>
      <c r="F51" s="287" t="n"/>
      <c r="G51" s="287" t="n"/>
      <c r="H51" s="364" t="n"/>
    </row>
    <row r="52" ht="14" customHeight="1">
      <c r="A52" s="287">
        <f>IFERROR(IF('Invullen groen'!L64&gt;0,47,""),"")</f>
        <v/>
      </c>
      <c r="B52" s="287">
        <f>IFERROR(IF('Invullen groen'!L64&gt;0,'Invullen groen'!A64,""),"")</f>
        <v/>
      </c>
      <c r="C52" s="287">
        <f>IFERROR(IF('Invullen groen'!L64&gt;0,'Invullen groen'!G64,""),"")</f>
        <v/>
      </c>
      <c r="D52" s="364">
        <f>IFERROR(IF('Invullen groen'!L64&gt;0,'Invullen groen'!L64,""),"")</f>
        <v/>
      </c>
      <c r="F52" s="287" t="n"/>
      <c r="G52" s="287" t="n"/>
      <c r="H52" s="364" t="n"/>
    </row>
    <row r="53" ht="14" customHeight="1">
      <c r="A53" s="287">
        <f>IFERROR(IF('Invullen groen'!L65&gt;0,48,""),"")</f>
        <v/>
      </c>
      <c r="B53" s="287">
        <f>IFERROR(IF('Invullen groen'!L65&gt;0,'Invullen groen'!A65,""),"")</f>
        <v/>
      </c>
      <c r="C53" s="287">
        <f>IFERROR(IF('Invullen groen'!L65&gt;0,'Invullen groen'!G65,""),"")</f>
        <v/>
      </c>
      <c r="D53" s="364">
        <f>IFERROR(IF('Invullen groen'!L65&gt;0,'Invullen groen'!L65,""),"")</f>
        <v/>
      </c>
      <c r="F53" s="287" t="n"/>
      <c r="G53" s="287" t="n"/>
      <c r="H53" s="364" t="n"/>
    </row>
    <row r="54" ht="14" customHeight="1">
      <c r="A54" s="287">
        <f>IFERROR(IF('Invullen groen'!L66&gt;0,49,""),"")</f>
        <v/>
      </c>
      <c r="B54" s="287">
        <f>IFERROR(IF('Invullen groen'!L66&gt;0,'Invullen groen'!A66,""),"")</f>
        <v/>
      </c>
      <c r="C54" s="287">
        <f>IFERROR(IF('Invullen groen'!L66&gt;0,'Invullen groen'!G66,""),"")</f>
        <v/>
      </c>
      <c r="D54" s="364">
        <f>IFERROR(IF('Invullen groen'!L66&gt;0,'Invullen groen'!L66,""),"")</f>
        <v/>
      </c>
      <c r="F54" s="287" t="n"/>
      <c r="G54" s="287" t="n"/>
      <c r="H54" s="364" t="n"/>
    </row>
    <row r="55" ht="14" customHeight="1">
      <c r="A55" s="287">
        <f>IFERROR(IF('Invullen groen'!L67&gt;0,50,""),"")</f>
        <v/>
      </c>
      <c r="B55" s="287">
        <f>IFERROR(IF('Invullen groen'!L67&gt;0,'Invullen groen'!A67,""),"")</f>
        <v/>
      </c>
      <c r="C55" s="287">
        <f>IFERROR(IF('Invullen groen'!L67&gt;0,'Invullen groen'!G67,""),"")</f>
        <v/>
      </c>
      <c r="D55" s="364">
        <f>IFERROR(IF('Invullen groen'!L67&gt;0,'Invullen groen'!L67,""),"")</f>
        <v/>
      </c>
      <c r="F55" s="287" t="n"/>
      <c r="G55" s="287" t="n"/>
      <c r="H55" s="364" t="n"/>
    </row>
    <row r="56" ht="14" customHeight="1">
      <c r="A56" s="287">
        <f>IFERROR(IF('Invullen groen'!L68&gt;0,51,""),"")</f>
        <v/>
      </c>
      <c r="B56" s="287">
        <f>IFERROR(IF('Invullen groen'!L68&gt;0,'Invullen groen'!A68,""),"")</f>
        <v/>
      </c>
      <c r="C56" s="287">
        <f>IFERROR(IF('Invullen groen'!L68&gt;0,'Invullen groen'!G68,""),"")</f>
        <v/>
      </c>
      <c r="D56" s="364">
        <f>IFERROR(IF('Invullen groen'!L68&gt;0,'Invullen groen'!L68,""),"")</f>
        <v/>
      </c>
      <c r="F56" s="287" t="n"/>
      <c r="G56" s="287" t="n"/>
      <c r="H56" s="364" t="n"/>
    </row>
    <row r="57" ht="14" customHeight="1">
      <c r="A57" s="287">
        <f>IFERROR(IF('Invullen groen'!L69&gt;0,52,""),"")</f>
        <v/>
      </c>
      <c r="B57" s="287">
        <f>IFERROR(IF('Invullen groen'!L69&gt;0,'Invullen groen'!A69,""),"")</f>
        <v/>
      </c>
      <c r="C57" s="287">
        <f>IFERROR(IF('Invullen groen'!L69&gt;0,'Invullen groen'!G69,""),"")</f>
        <v/>
      </c>
      <c r="D57" s="364">
        <f>IFERROR(IF('Invullen groen'!L69&gt;0,'Invullen groen'!L69,""),"")</f>
        <v/>
      </c>
      <c r="F57" s="287" t="n"/>
      <c r="G57" s="287" t="n"/>
      <c r="H57" s="364" t="n"/>
    </row>
    <row r="58" ht="14" customHeight="1">
      <c r="A58" s="287">
        <f>IFERROR(IF('Invullen groen'!L70&gt;0,53,""),"")</f>
        <v/>
      </c>
      <c r="B58" s="287">
        <f>IFERROR(IF('Invullen groen'!L70&gt;0,'Invullen groen'!A70,""),"")</f>
        <v/>
      </c>
      <c r="C58" s="287">
        <f>IFERROR(IF('Invullen groen'!L70&gt;0,'Invullen groen'!G70,""),"")</f>
        <v/>
      </c>
      <c r="D58" s="364">
        <f>IFERROR(IF('Invullen groen'!L70&gt;0,'Invullen groen'!L70,""),"")</f>
        <v/>
      </c>
      <c r="F58" s="287" t="n"/>
      <c r="G58" s="287" t="n"/>
      <c r="H58" s="364" t="n"/>
    </row>
    <row r="59" ht="14" customHeight="1">
      <c r="A59" s="287">
        <f>IFERROR(IF('Invullen groen'!L71&gt;0,54,""),"")</f>
        <v/>
      </c>
      <c r="B59" s="287">
        <f>IFERROR(IF('Invullen groen'!L71&gt;0,'Invullen groen'!A71,""),"")</f>
        <v/>
      </c>
      <c r="C59" s="287">
        <f>IFERROR(IF('Invullen groen'!L71&gt;0,'Invullen groen'!G71,""),"")</f>
        <v/>
      </c>
      <c r="D59" s="364">
        <f>IFERROR(IF('Invullen groen'!L71&gt;0,'Invullen groen'!L71,""),"")</f>
        <v/>
      </c>
      <c r="F59" s="287" t="n"/>
      <c r="G59" s="287" t="n"/>
      <c r="H59" s="364" t="n"/>
    </row>
    <row r="60" ht="14" customHeight="1">
      <c r="A60" s="287">
        <f>IFERROR(IF('Invullen groen'!L72&gt;0,55,""),"")</f>
        <v/>
      </c>
      <c r="B60" s="287">
        <f>IFERROR(IF('Invullen groen'!L72&gt;0,'Invullen groen'!A72,""),"")</f>
        <v/>
      </c>
      <c r="C60" s="287">
        <f>IFERROR(IF('Invullen groen'!L72&gt;0,'Invullen groen'!G72,""),"")</f>
        <v/>
      </c>
      <c r="D60" s="364">
        <f>IFERROR(IF('Invullen groen'!L72&gt;0,'Invullen groen'!L72,""),"")</f>
        <v/>
      </c>
      <c r="F60" s="287" t="n"/>
      <c r="G60" s="287" t="n"/>
      <c r="H60" s="364" t="n"/>
    </row>
    <row r="61" ht="14" customHeight="1">
      <c r="A61" s="287">
        <f>IFERROR(IF('Invullen groen'!L73&gt;0,56,""),"")</f>
        <v/>
      </c>
      <c r="B61" s="287">
        <f>IFERROR(IF('Invullen groen'!L73&gt;0,'Invullen groen'!A73,""),"")</f>
        <v/>
      </c>
      <c r="C61" s="287">
        <f>IFERROR(IF('Invullen groen'!L73&gt;0,'Invullen groen'!G73,""),"")</f>
        <v/>
      </c>
      <c r="D61" s="364">
        <f>IFERROR(IF('Invullen groen'!L73&gt;0,'Invullen groen'!L73,""),"")</f>
        <v/>
      </c>
      <c r="F61" s="287" t="n"/>
      <c r="G61" s="287" t="n"/>
      <c r="H61" s="364" t="n"/>
    </row>
    <row r="62" ht="14" customHeight="1">
      <c r="A62" s="287">
        <f>IFERROR(IF('Invullen groen'!L74&gt;0,57,""),"")</f>
        <v/>
      </c>
      <c r="B62" s="287">
        <f>IFERROR(IF('Invullen groen'!L74&gt;0,'Invullen groen'!A74,""),"")</f>
        <v/>
      </c>
      <c r="C62" s="287">
        <f>IFERROR(IF('Invullen groen'!L74&gt;0,'Invullen groen'!G74,""),"")</f>
        <v/>
      </c>
      <c r="D62" s="364">
        <f>IFERROR(IF('Invullen groen'!L74&gt;0,'Invullen groen'!L74,""),"")</f>
        <v/>
      </c>
      <c r="F62" s="287" t="n"/>
      <c r="G62" s="287" t="n"/>
      <c r="H62" s="364" t="n"/>
    </row>
    <row r="63" ht="14" customHeight="1">
      <c r="A63" s="287" t="n"/>
      <c r="B63" s="287" t="n"/>
      <c r="C63" s="287" t="n"/>
      <c r="D63" s="364" t="n"/>
      <c r="F63" s="287" t="n"/>
      <c r="G63" s="287" t="n"/>
      <c r="H63" s="364" t="n"/>
    </row>
    <row r="64" ht="14" customHeight="1">
      <c r="A64" s="431" t="inlineStr">
        <is>
          <t>Totaal lasten</t>
        </is>
      </c>
      <c r="B64" s="287" t="n"/>
      <c r="C64" s="287" t="n"/>
      <c r="D64" s="432">
        <f>SUM(D6:D62)</f>
        <v/>
      </c>
      <c r="F64" s="431" t="inlineStr">
        <is>
          <t>Totaal dekking / baten</t>
        </is>
      </c>
      <c r="G64" s="287" t="n"/>
      <c r="H64" s="432">
        <f>SUM(H6:H62)</f>
        <v/>
      </c>
    </row>
    <row r="65" ht="14" customHeight="1">
      <c r="A65" s="433">
        <f>IF(D64+H64=0,"✓  Budgettair neutraal — saldo = 0","⚠  Niet gedekt — saldo: "&amp;TEXT(D64+H64,"#.##0"))</f>
        <v/>
      </c>
      <c r="B65" s="434" t="n"/>
      <c r="C65" s="434" t="n"/>
      <c r="D65" s="435" t="n"/>
      <c r="E65" s="394" t="n"/>
      <c r="F65" s="434" t="n"/>
      <c r="G65" s="434" t="n"/>
      <c r="H65" s="435" t="n"/>
    </row>
    <row r="66" ht="14" customHeight="1">
      <c r="A66" s="287" t="n"/>
      <c r="B66" s="287" t="n"/>
      <c r="C66" s="287" t="n"/>
      <c r="D66" s="364" t="n"/>
      <c r="F66" s="287" t="n"/>
      <c r="G66" s="287" t="n"/>
      <c r="H66" s="364" t="n"/>
    </row>
    <row r="67" ht="14" customHeight="1">
      <c r="A67" s="436" t="inlineStr">
        <is>
          <t>Lasten = positieve bedragen sectie A (Uitgaven) | Baten/Dekking = sectie B (Dekking uitgaven en inkomsten)</t>
        </is>
      </c>
      <c r="B67" s="287" t="n"/>
      <c r="C67" s="287" t="n"/>
      <c r="D67" s="364" t="n"/>
      <c r="F67" s="287" t="n"/>
      <c r="G67" s="287" t="n"/>
      <c r="H67" s="364" t="n"/>
    </row>
    <row r="68" ht="14" customHeight="1">
      <c r="A68" s="287" t="n"/>
      <c r="B68" s="287" t="n"/>
      <c r="C68" s="287" t="n"/>
      <c r="D68" s="364" t="n"/>
      <c r="F68" s="287" t="n"/>
      <c r="G68" s="287" t="n"/>
      <c r="H68" s="364" t="n"/>
    </row>
    <row r="69" ht="14" customHeight="1">
      <c r="A69" s="287" t="n"/>
      <c r="B69" s="287" t="n"/>
      <c r="C69" s="287" t="n"/>
      <c r="D69" s="364" t="n"/>
      <c r="F69" s="287" t="n"/>
      <c r="G69" s="287" t="n"/>
      <c r="H69" s="364" t="n"/>
    </row>
    <row r="70" ht="14" customHeight="1">
      <c r="A70" s="287" t="n"/>
      <c r="B70" s="287" t="n"/>
      <c r="C70" s="287" t="n"/>
      <c r="D70" s="364" t="n"/>
      <c r="F70" s="287" t="n"/>
      <c r="G70" s="287" t="n"/>
      <c r="H70" s="364" t="n"/>
    </row>
    <row r="71" ht="14" customHeight="1">
      <c r="A71" s="287" t="n"/>
      <c r="B71" s="287" t="n"/>
      <c r="C71" s="287" t="n"/>
      <c r="D71" s="364" t="n"/>
      <c r="F71" s="287" t="n"/>
      <c r="G71" s="287" t="n"/>
      <c r="H71" s="364" t="n"/>
    </row>
    <row r="72" ht="14" customHeight="1">
      <c r="A72" s="287" t="n"/>
      <c r="B72" s="287" t="n"/>
      <c r="C72" s="287" t="n"/>
      <c r="D72" s="364" t="n"/>
      <c r="F72" s="287" t="n"/>
      <c r="G72" s="287" t="n"/>
      <c r="H72" s="364" t="n"/>
    </row>
    <row r="73" ht="14" customHeight="1">
      <c r="A73" s="287" t="n"/>
      <c r="B73" s="287" t="n"/>
      <c r="C73" s="287" t="n"/>
      <c r="D73" s="364" t="n"/>
      <c r="F73" s="287" t="n"/>
      <c r="G73" s="287" t="n"/>
      <c r="H73" s="364" t="n"/>
    </row>
    <row r="74" ht="14" customHeight="1">
      <c r="A74" s="287" t="n"/>
      <c r="B74" s="287" t="n"/>
      <c r="C74" s="287" t="n"/>
      <c r="D74" s="364" t="n"/>
      <c r="F74" s="287" t="n"/>
      <c r="G74" s="287" t="n"/>
      <c r="H74" s="364" t="n"/>
    </row>
    <row r="75" ht="14" customHeight="1">
      <c r="A75" s="287" t="n"/>
      <c r="B75" s="287" t="n"/>
      <c r="C75" s="287" t="n"/>
      <c r="D75" s="364" t="n"/>
      <c r="F75" s="287" t="n"/>
      <c r="G75" s="287" t="n"/>
      <c r="H75" s="364" t="n"/>
    </row>
    <row r="76" ht="14" customHeight="1">
      <c r="A76" s="287" t="n"/>
      <c r="B76" s="287" t="n"/>
      <c r="C76" s="287" t="n"/>
      <c r="D76" s="364" t="n"/>
      <c r="F76" s="287" t="n"/>
      <c r="G76" s="287" t="n"/>
      <c r="H76" s="364" t="n"/>
    </row>
    <row r="77" ht="14" customHeight="1">
      <c r="A77" s="287" t="n"/>
      <c r="B77" s="287" t="n"/>
      <c r="C77" s="287" t="n"/>
      <c r="D77" s="364" t="n"/>
      <c r="F77" s="287" t="n"/>
      <c r="G77" s="287" t="n"/>
      <c r="H77" s="364" t="n"/>
    </row>
    <row r="78" ht="14" customHeight="1">
      <c r="A78" s="287" t="n"/>
      <c r="B78" s="287" t="n"/>
      <c r="C78" s="287" t="n"/>
      <c r="D78" s="364" t="n"/>
      <c r="F78" s="287" t="n"/>
      <c r="G78" s="287" t="n"/>
      <c r="H78" s="364" t="n"/>
    </row>
    <row r="79" ht="14" customHeight="1">
      <c r="A79" s="287" t="n"/>
      <c r="B79" s="287" t="n"/>
      <c r="C79" s="287" t="n"/>
      <c r="D79" s="364" t="n"/>
      <c r="F79" s="287" t="n"/>
      <c r="G79" s="287" t="n"/>
      <c r="H79" s="364" t="n"/>
    </row>
    <row r="80" ht="14" customHeight="1">
      <c r="A80" s="287" t="n"/>
      <c r="B80" s="287" t="n"/>
      <c r="C80" s="287" t="n"/>
      <c r="D80" s="364" t="n"/>
      <c r="F80" s="287" t="n"/>
      <c r="G80" s="287" t="n"/>
      <c r="H80" s="364" t="n"/>
    </row>
    <row r="81" ht="14" customHeight="1">
      <c r="A81" s="287" t="n"/>
      <c r="B81" s="287" t="n"/>
      <c r="C81" s="287" t="n"/>
      <c r="D81" s="364" t="n"/>
      <c r="F81" s="287" t="n"/>
      <c r="G81" s="287" t="n"/>
      <c r="H81" s="364" t="n"/>
    </row>
    <row r="82" ht="14" customHeight="1">
      <c r="A82" s="287" t="n"/>
      <c r="B82" s="287" t="n"/>
      <c r="C82" s="287" t="n"/>
      <c r="D82" s="364" t="n"/>
      <c r="F82" s="287" t="n"/>
      <c r="G82" s="287" t="n"/>
      <c r="H82" s="364" t="n"/>
    </row>
    <row r="83" ht="14" customHeight="1">
      <c r="A83" s="287" t="n"/>
      <c r="B83" s="287" t="n"/>
      <c r="C83" s="287" t="n"/>
      <c r="D83" s="364" t="n"/>
      <c r="F83" s="287" t="n"/>
      <c r="G83" s="287" t="n"/>
      <c r="H83" s="364" t="n"/>
    </row>
    <row r="84" ht="14" customHeight="1">
      <c r="A84" s="287" t="n"/>
      <c r="B84" s="287" t="n"/>
      <c r="C84" s="287" t="n"/>
      <c r="D84" s="364" t="n"/>
      <c r="F84" s="287" t="n"/>
      <c r="G84" s="287" t="n"/>
      <c r="H84" s="364" t="n"/>
    </row>
    <row r="85" ht="14" customHeight="1">
      <c r="A85" s="287" t="n"/>
      <c r="B85" s="287" t="n"/>
      <c r="C85" s="287" t="n"/>
      <c r="D85" s="364" t="n"/>
      <c r="F85" s="287" t="n"/>
      <c r="G85" s="287" t="n"/>
      <c r="H85" s="364" t="n"/>
    </row>
    <row r="86" ht="14" customHeight="1">
      <c r="A86" s="287" t="n"/>
      <c r="B86" s="287" t="n"/>
      <c r="C86" s="287" t="n"/>
      <c r="D86" s="364" t="n"/>
      <c r="F86" s="287" t="n"/>
      <c r="G86" s="287" t="n"/>
      <c r="H86" s="364" t="n"/>
    </row>
    <row r="87" ht="14" customHeight="1">
      <c r="A87" s="287" t="n"/>
      <c r="B87" s="287" t="n"/>
      <c r="C87" s="287" t="n"/>
      <c r="D87" s="364" t="n"/>
      <c r="F87" s="287" t="n"/>
      <c r="G87" s="287" t="n"/>
      <c r="H87" s="364" t="n"/>
    </row>
    <row r="88" ht="14" customHeight="1">
      <c r="A88" s="287" t="n"/>
      <c r="B88" s="287" t="n"/>
      <c r="C88" s="287" t="n"/>
      <c r="D88" s="364" t="n"/>
      <c r="F88" s="287" t="n"/>
      <c r="G88" s="287" t="n"/>
      <c r="H88" s="364" t="n"/>
    </row>
    <row r="89" ht="14" customHeight="1">
      <c r="A89" s="287" t="n"/>
      <c r="B89" s="287" t="n"/>
      <c r="C89" s="287" t="n"/>
      <c r="D89" s="364" t="n"/>
      <c r="F89" s="287" t="n"/>
      <c r="G89" s="287" t="n"/>
      <c r="H89" s="364" t="n"/>
    </row>
    <row r="90" ht="14" customHeight="1">
      <c r="A90" s="287" t="n"/>
      <c r="B90" s="287" t="n"/>
      <c r="C90" s="287" t="n"/>
      <c r="D90" s="364" t="n"/>
      <c r="F90" s="287" t="n"/>
      <c r="G90" s="287" t="n"/>
      <c r="H90" s="364" t="n"/>
    </row>
    <row r="91" ht="14" customHeight="1">
      <c r="A91" s="287" t="n"/>
      <c r="B91" s="287" t="n"/>
      <c r="C91" s="287" t="n"/>
      <c r="D91" s="364" t="n"/>
      <c r="F91" s="287" t="n"/>
      <c r="G91" s="287" t="n"/>
      <c r="H91" s="364" t="n"/>
    </row>
    <row r="92" ht="14" customHeight="1">
      <c r="A92" s="287" t="n"/>
      <c r="B92" s="287" t="n"/>
      <c r="C92" s="287" t="n"/>
      <c r="D92" s="364" t="n"/>
      <c r="F92" s="287" t="n"/>
      <c r="G92" s="287" t="n"/>
      <c r="H92" s="364" t="n"/>
    </row>
    <row r="93" ht="14" customHeight="1">
      <c r="A93" s="287" t="n"/>
      <c r="B93" s="287" t="n"/>
      <c r="C93" s="287" t="n"/>
      <c r="D93" s="364" t="n"/>
      <c r="F93" s="287" t="n"/>
      <c r="G93" s="287" t="n"/>
      <c r="H93" s="364" t="n"/>
    </row>
    <row r="94" ht="14" customHeight="1">
      <c r="A94" s="287" t="n"/>
      <c r="B94" s="287" t="n"/>
      <c r="C94" s="287" t="n"/>
      <c r="D94" s="364" t="n"/>
      <c r="F94" s="287" t="n"/>
      <c r="G94" s="287" t="n"/>
      <c r="H94" s="364" t="n"/>
    </row>
    <row r="95" ht="14" customHeight="1">
      <c r="A95" s="287" t="n"/>
      <c r="B95" s="287" t="n"/>
      <c r="C95" s="287" t="n"/>
      <c r="D95" s="364" t="n"/>
      <c r="F95" s="287" t="n"/>
      <c r="G95" s="287" t="n"/>
      <c r="H95" s="364" t="n"/>
    </row>
    <row r="96" ht="14" customHeight="1">
      <c r="A96" s="287" t="n"/>
      <c r="B96" s="287" t="n"/>
      <c r="C96" s="287" t="n"/>
      <c r="D96" s="364" t="n"/>
      <c r="F96" s="287" t="n"/>
      <c r="G96" s="287" t="n"/>
      <c r="H96" s="364" t="n"/>
    </row>
    <row r="97" ht="14" customHeight="1">
      <c r="A97" s="287" t="n"/>
      <c r="B97" s="287" t="n"/>
      <c r="C97" s="287" t="n"/>
      <c r="D97" s="364" t="n"/>
      <c r="F97" s="287" t="n"/>
      <c r="G97" s="287" t="n"/>
      <c r="H97" s="364" t="n"/>
    </row>
    <row r="98" ht="14" customHeight="1">
      <c r="A98" s="287" t="n"/>
      <c r="B98" s="287" t="n"/>
      <c r="C98" s="287" t="n"/>
      <c r="D98" s="364" t="n"/>
      <c r="F98" s="287" t="n"/>
      <c r="G98" s="287" t="n"/>
      <c r="H98" s="364" t="n"/>
    </row>
    <row r="99" ht="14" customHeight="1">
      <c r="A99" s="287" t="n"/>
      <c r="B99" s="287" t="n"/>
      <c r="C99" s="287" t="n"/>
      <c r="D99" s="364" t="n"/>
      <c r="F99" s="287" t="n"/>
      <c r="G99" s="287" t="n"/>
      <c r="H99" s="364" t="n"/>
    </row>
    <row r="100" ht="14" customHeight="1">
      <c r="A100" s="287" t="n"/>
      <c r="B100" s="287" t="n"/>
      <c r="C100" s="287" t="n"/>
      <c r="D100" s="364" t="n"/>
      <c r="F100" s="287" t="n"/>
      <c r="G100" s="287" t="n"/>
      <c r="H100" s="364" t="n"/>
    </row>
    <row r="101" ht="14" customHeight="1">
      <c r="A101" s="287" t="n"/>
      <c r="B101" s="287" t="n"/>
      <c r="C101" s="287" t="n"/>
      <c r="D101" s="364" t="n"/>
      <c r="F101" s="287" t="n"/>
      <c r="G101" s="287" t="n"/>
      <c r="H101" s="364" t="n"/>
    </row>
    <row r="102" ht="14" customHeight="1">
      <c r="A102" s="287" t="n"/>
      <c r="B102" s="287" t="n"/>
      <c r="C102" s="287" t="n"/>
      <c r="D102" s="364" t="n"/>
      <c r="F102" s="287" t="n"/>
      <c r="G102" s="287" t="n"/>
      <c r="H102" s="364" t="n"/>
    </row>
    <row r="103" ht="14" customHeight="1">
      <c r="A103" s="287" t="n"/>
      <c r="B103" s="287" t="n"/>
      <c r="C103" s="287" t="n"/>
      <c r="D103" s="364" t="n"/>
      <c r="F103" s="287" t="n"/>
      <c r="G103" s="287" t="n"/>
      <c r="H103" s="364" t="n"/>
    </row>
    <row r="104" ht="14" customHeight="1">
      <c r="A104" s="287" t="n"/>
      <c r="B104" s="287" t="n"/>
      <c r="C104" s="287" t="n"/>
      <c r="D104" s="364" t="n"/>
      <c r="F104" s="287" t="n"/>
      <c r="G104" s="287" t="n"/>
      <c r="H104" s="364" t="n"/>
    </row>
    <row r="105" ht="14" customHeight="1">
      <c r="A105" s="287" t="n"/>
      <c r="B105" s="287" t="n"/>
      <c r="C105" s="287" t="n"/>
      <c r="D105" s="364" t="n"/>
      <c r="F105" s="287" t="n"/>
      <c r="G105" s="287" t="n"/>
      <c r="H105" s="364" t="n"/>
    </row>
    <row r="106" ht="14" customHeight="1">
      <c r="A106" s="287" t="n"/>
      <c r="B106" s="287" t="n"/>
      <c r="C106" s="287" t="n"/>
      <c r="D106" s="364" t="n"/>
      <c r="F106" s="287" t="n"/>
      <c r="G106" s="287" t="n"/>
      <c r="H106" s="364" t="n"/>
    </row>
    <row r="107" ht="14" customHeight="1">
      <c r="A107" s="287" t="n"/>
      <c r="B107" s="287" t="n"/>
      <c r="C107" s="287" t="n"/>
      <c r="D107" s="364" t="n"/>
      <c r="F107" s="287" t="n"/>
      <c r="G107" s="287" t="n"/>
      <c r="H107" s="364" t="n"/>
    </row>
    <row r="108" ht="14" customHeight="1">
      <c r="A108" s="287" t="n"/>
      <c r="B108" s="287" t="n"/>
      <c r="C108" s="287" t="n"/>
      <c r="D108" s="364" t="n"/>
      <c r="F108" s="287" t="n"/>
      <c r="G108" s="287" t="n"/>
      <c r="H108" s="364" t="n"/>
    </row>
    <row r="109" ht="14" customHeight="1">
      <c r="A109" s="287" t="n"/>
      <c r="B109" s="287" t="n"/>
      <c r="C109" s="287" t="n"/>
      <c r="D109" s="364" t="n"/>
      <c r="F109" s="287" t="n"/>
      <c r="G109" s="287" t="n"/>
      <c r="H109" s="364" t="n"/>
    </row>
    <row r="110" ht="14" customHeight="1">
      <c r="A110" s="287" t="n"/>
      <c r="B110" s="287" t="n"/>
      <c r="C110" s="287" t="n"/>
      <c r="D110" s="364" t="n"/>
      <c r="F110" s="287" t="n"/>
      <c r="G110" s="287" t="n"/>
      <c r="H110" s="364" t="n"/>
    </row>
    <row r="111" ht="14" customHeight="1">
      <c r="A111" s="287" t="n"/>
      <c r="B111" s="287" t="n"/>
      <c r="C111" s="287" t="n"/>
      <c r="D111" s="364" t="n"/>
      <c r="F111" s="287" t="n"/>
      <c r="G111" s="287" t="n"/>
      <c r="H111" s="364" t="n"/>
    </row>
    <row r="112" ht="14" customHeight="1">
      <c r="A112" s="287" t="n"/>
      <c r="B112" s="287" t="n"/>
      <c r="C112" s="287" t="n"/>
      <c r="D112" s="364" t="n"/>
      <c r="F112" s="287" t="n"/>
      <c r="G112" s="287" t="n"/>
      <c r="H112" s="364" t="n"/>
    </row>
    <row r="113" ht="14" customHeight="1">
      <c r="A113" s="287" t="n"/>
      <c r="B113" s="287" t="n"/>
      <c r="C113" s="287" t="n"/>
      <c r="D113" s="364" t="n"/>
      <c r="F113" s="287" t="n"/>
      <c r="G113" s="287" t="n"/>
      <c r="H113" s="364" t="n"/>
    </row>
    <row r="114" ht="14" customHeight="1">
      <c r="A114" s="287" t="n"/>
      <c r="B114" s="287" t="n"/>
      <c r="C114" s="287" t="n"/>
      <c r="D114" s="364" t="n"/>
      <c r="F114" s="287" t="n"/>
      <c r="G114" s="287" t="n"/>
      <c r="H114" s="364" t="n"/>
    </row>
    <row r="115" ht="14" customHeight="1">
      <c r="A115" s="287" t="n"/>
      <c r="B115" s="287" t="n"/>
      <c r="C115" s="287" t="n"/>
      <c r="D115" s="364" t="n"/>
      <c r="F115" s="287" t="n"/>
      <c r="G115" s="287" t="n"/>
      <c r="H115" s="364" t="n"/>
    </row>
    <row r="116" ht="14" customHeight="1">
      <c r="A116" s="287" t="n"/>
      <c r="B116" s="287" t="n"/>
      <c r="C116" s="287" t="n"/>
      <c r="D116" s="364" t="n"/>
      <c r="F116" s="287" t="n"/>
      <c r="G116" s="287" t="n"/>
      <c r="H116" s="364" t="n"/>
    </row>
    <row r="117" ht="14" customHeight="1">
      <c r="A117" s="287" t="n"/>
      <c r="B117" s="287" t="n"/>
      <c r="C117" s="287" t="n"/>
      <c r="D117" s="364" t="n"/>
      <c r="F117" s="287" t="n"/>
      <c r="G117" s="287" t="n"/>
      <c r="H117" s="364" t="n"/>
    </row>
    <row r="118" ht="14" customHeight="1">
      <c r="A118" s="287" t="n"/>
      <c r="B118" s="287" t="n"/>
      <c r="C118" s="287" t="n"/>
      <c r="D118" s="364" t="n"/>
      <c r="F118" s="287" t="n"/>
      <c r="G118" s="287" t="n"/>
      <c r="H118" s="364" t="n"/>
    </row>
    <row r="119" ht="14" customHeight="1">
      <c r="A119" s="287" t="n"/>
      <c r="B119" s="287" t="n"/>
      <c r="C119" s="287" t="n"/>
      <c r="D119" s="364" t="n"/>
      <c r="F119" s="287" t="n"/>
      <c r="G119" s="287" t="n"/>
      <c r="H119" s="364" t="n"/>
    </row>
    <row r="120" ht="14" customHeight="1">
      <c r="A120" s="287" t="n"/>
      <c r="B120" s="287" t="n"/>
      <c r="C120" s="287" t="n"/>
      <c r="D120" s="364" t="n"/>
      <c r="F120" s="287" t="n"/>
      <c r="G120" s="287" t="n"/>
      <c r="H120" s="364" t="n"/>
    </row>
    <row r="121" ht="14" customHeight="1">
      <c r="A121" s="287" t="n"/>
      <c r="B121" s="287" t="n"/>
      <c r="C121" s="287" t="n"/>
      <c r="D121" s="364" t="n"/>
      <c r="F121" s="287" t="n"/>
      <c r="G121" s="287" t="n"/>
      <c r="H121" s="364" t="n"/>
    </row>
    <row r="122" ht="14" customHeight="1">
      <c r="A122" s="287" t="n"/>
      <c r="B122" s="287" t="n"/>
      <c r="C122" s="287" t="n"/>
      <c r="D122" s="364" t="n"/>
      <c r="F122" s="287" t="n"/>
      <c r="G122" s="287" t="n"/>
      <c r="H122" s="364" t="n"/>
    </row>
    <row r="123" ht="14" customHeight="1">
      <c r="A123" s="287" t="n"/>
      <c r="B123" s="287" t="n"/>
      <c r="C123" s="287" t="n"/>
      <c r="D123" s="364" t="n"/>
      <c r="F123" s="287" t="n"/>
      <c r="G123" s="287" t="n"/>
      <c r="H123" s="364" t="n"/>
    </row>
    <row r="124" ht="14" customHeight="1">
      <c r="A124" s="287" t="n"/>
      <c r="B124" s="287" t="n"/>
      <c r="C124" s="287" t="n"/>
      <c r="D124" s="364" t="n"/>
      <c r="F124" s="287" t="n"/>
      <c r="G124" s="287" t="n"/>
      <c r="H124" s="364" t="n"/>
    </row>
    <row r="125" ht="14" customHeight="1">
      <c r="A125" s="287" t="n"/>
      <c r="B125" s="287" t="n"/>
      <c r="C125" s="287" t="n"/>
      <c r="D125" s="364" t="n"/>
      <c r="F125" s="287" t="n"/>
      <c r="G125" s="287" t="n"/>
      <c r="H125" s="364" t="n"/>
    </row>
    <row r="126" ht="14" customHeight="1">
      <c r="A126" s="287" t="n"/>
      <c r="B126" s="287" t="n"/>
      <c r="C126" s="287" t="n"/>
      <c r="D126" s="364" t="n"/>
      <c r="F126" s="287" t="n"/>
      <c r="G126" s="287" t="n"/>
      <c r="H126" s="364" t="n"/>
    </row>
    <row r="127" ht="14" customHeight="1">
      <c r="A127" s="287" t="n"/>
      <c r="B127" s="287" t="n"/>
      <c r="C127" s="287" t="n"/>
      <c r="D127" s="364" t="n"/>
      <c r="F127" s="287" t="n"/>
      <c r="G127" s="287" t="n"/>
      <c r="H127" s="364" t="n"/>
    </row>
    <row r="128" ht="14" customHeight="1">
      <c r="A128" s="287" t="n"/>
      <c r="B128" s="287" t="n"/>
      <c r="C128" s="287" t="n"/>
      <c r="D128" s="364" t="n"/>
      <c r="F128" s="287" t="n"/>
      <c r="G128" s="287" t="n"/>
      <c r="H128" s="364" t="n"/>
    </row>
    <row r="129" ht="14" customHeight="1">
      <c r="A129" s="287" t="n"/>
      <c r="B129" s="287" t="n"/>
      <c r="C129" s="287" t="n"/>
      <c r="D129" s="364" t="n"/>
      <c r="F129" s="287" t="n"/>
      <c r="G129" s="287" t="n"/>
      <c r="H129" s="364" t="n"/>
    </row>
    <row r="130" ht="14" customHeight="1">
      <c r="A130" s="287" t="n"/>
      <c r="B130" s="287" t="n"/>
      <c r="C130" s="287" t="n"/>
      <c r="D130" s="364" t="n"/>
      <c r="F130" s="287" t="n"/>
      <c r="G130" s="287" t="n"/>
      <c r="H130" s="364" t="n"/>
    </row>
    <row r="131" ht="14" customHeight="1">
      <c r="A131" s="287" t="n"/>
      <c r="B131" s="287" t="n"/>
      <c r="C131" s="287" t="n"/>
      <c r="D131" s="364" t="n"/>
      <c r="F131" s="287" t="n"/>
      <c r="G131" s="287" t="n"/>
      <c r="H131" s="364" t="n"/>
    </row>
    <row r="132" ht="14" customHeight="1">
      <c r="A132" s="287" t="n"/>
      <c r="B132" s="287" t="n"/>
      <c r="C132" s="287" t="n"/>
      <c r="D132" s="364" t="n"/>
      <c r="F132" s="287" t="n"/>
      <c r="G132" s="287" t="n"/>
      <c r="H132" s="364" t="n"/>
    </row>
    <row r="133" ht="14" customHeight="1">
      <c r="A133" s="287" t="n"/>
      <c r="B133" s="287" t="n"/>
      <c r="C133" s="287" t="n"/>
      <c r="D133" s="364" t="n"/>
      <c r="F133" s="287" t="n"/>
      <c r="G133" s="287" t="n"/>
      <c r="H133" s="364" t="n"/>
    </row>
    <row r="134" ht="14" customHeight="1">
      <c r="A134" s="287" t="n"/>
      <c r="B134" s="287" t="n"/>
      <c r="C134" s="287" t="n"/>
      <c r="D134" s="364" t="n"/>
      <c r="F134" s="287" t="n"/>
      <c r="G134" s="287" t="n"/>
      <c r="H134" s="364" t="n"/>
    </row>
    <row r="135" ht="14" customHeight="1">
      <c r="A135" s="287" t="n"/>
      <c r="B135" s="287" t="n"/>
      <c r="C135" s="287" t="n"/>
      <c r="D135" s="364" t="n"/>
      <c r="F135" s="287" t="n"/>
      <c r="G135" s="287" t="n"/>
      <c r="H135" s="364" t="n"/>
    </row>
    <row r="136" ht="14" customHeight="1">
      <c r="A136" s="287" t="n"/>
      <c r="B136" s="287" t="n"/>
      <c r="C136" s="287" t="n"/>
      <c r="D136" s="364" t="n"/>
      <c r="F136" s="287" t="n"/>
      <c r="G136" s="287" t="n"/>
      <c r="H136" s="364" t="n"/>
    </row>
    <row r="137" ht="14" customHeight="1">
      <c r="A137" s="287" t="n"/>
      <c r="B137" s="287" t="n"/>
      <c r="C137" s="287" t="n"/>
      <c r="D137" s="364" t="n"/>
      <c r="F137" s="287" t="n"/>
      <c r="G137" s="287" t="n"/>
      <c r="H137" s="364" t="n"/>
    </row>
    <row r="138" ht="14" customHeight="1">
      <c r="A138" s="287" t="n"/>
      <c r="B138" s="287" t="n"/>
      <c r="C138" s="287" t="n"/>
      <c r="D138" s="364" t="n"/>
      <c r="F138" s="287" t="n"/>
      <c r="G138" s="287" t="n"/>
      <c r="H138" s="364" t="n"/>
    </row>
    <row r="139" ht="14" customHeight="1">
      <c r="A139" s="287" t="n"/>
      <c r="B139" s="287" t="n"/>
      <c r="C139" s="287" t="n"/>
      <c r="D139" s="364" t="n"/>
      <c r="F139" s="287" t="n"/>
      <c r="G139" s="287" t="n"/>
      <c r="H139" s="364" t="n"/>
    </row>
    <row r="140" ht="14" customHeight="1">
      <c r="A140" s="287" t="n"/>
      <c r="B140" s="287" t="n"/>
      <c r="C140" s="287" t="n"/>
      <c r="D140" s="364" t="n"/>
      <c r="F140" s="287" t="n"/>
      <c r="G140" s="287" t="n"/>
      <c r="H140" s="364" t="n"/>
    </row>
    <row r="141" ht="14" customHeight="1">
      <c r="A141" s="287" t="n"/>
      <c r="B141" s="287" t="n"/>
      <c r="C141" s="287" t="n"/>
      <c r="D141" s="364" t="n"/>
      <c r="F141" s="287" t="n"/>
      <c r="G141" s="287" t="n"/>
      <c r="H141" s="364" t="n"/>
    </row>
    <row r="142" ht="14" customHeight="1">
      <c r="A142" s="287" t="n"/>
      <c r="B142" s="287" t="n"/>
      <c r="C142" s="287" t="n"/>
      <c r="D142" s="364" t="n"/>
      <c r="F142" s="287" t="n"/>
      <c r="G142" s="287" t="n"/>
      <c r="H142" s="364" t="n"/>
    </row>
    <row r="143" ht="14" customHeight="1">
      <c r="A143" s="287" t="n"/>
      <c r="B143" s="287" t="n"/>
      <c r="C143" s="287" t="n"/>
      <c r="D143" s="364" t="n"/>
      <c r="F143" s="287" t="n"/>
      <c r="G143" s="287" t="n"/>
      <c r="H143" s="364" t="n"/>
    </row>
    <row r="144" ht="14" customHeight="1">
      <c r="A144" s="287" t="n"/>
      <c r="B144" s="287" t="n"/>
      <c r="C144" s="287" t="n"/>
      <c r="D144" s="364" t="n"/>
      <c r="F144" s="287" t="n"/>
      <c r="G144" s="287" t="n"/>
      <c r="H144" s="364" t="n"/>
    </row>
    <row r="145" ht="14" customHeight="1">
      <c r="A145" s="287" t="n"/>
      <c r="B145" s="287" t="n"/>
      <c r="C145" s="287" t="n"/>
      <c r="D145" s="364" t="n"/>
      <c r="F145" s="287" t="n"/>
      <c r="G145" s="287" t="n"/>
      <c r="H145" s="364" t="n"/>
    </row>
    <row r="146" ht="14" customHeight="1">
      <c r="A146" s="287" t="n"/>
      <c r="B146" s="287" t="n"/>
      <c r="C146" s="287" t="n"/>
      <c r="D146" s="364" t="n"/>
      <c r="F146" s="287" t="n"/>
      <c r="G146" s="287" t="n"/>
      <c r="H146" s="364" t="n"/>
    </row>
    <row r="147" ht="14" customHeight="1">
      <c r="A147" s="287" t="n"/>
      <c r="B147" s="287" t="n"/>
      <c r="C147" s="287" t="n"/>
      <c r="D147" s="364" t="n"/>
      <c r="F147" s="287" t="n"/>
      <c r="G147" s="287" t="n"/>
      <c r="H147" s="364" t="n"/>
    </row>
    <row r="148" ht="14" customHeight="1">
      <c r="A148" s="287" t="n"/>
      <c r="B148" s="287" t="n"/>
      <c r="C148" s="287" t="n"/>
      <c r="D148" s="364" t="n"/>
      <c r="F148" s="287" t="n"/>
      <c r="G148" s="287" t="n"/>
      <c r="H148" s="364" t="n"/>
    </row>
    <row r="149" ht="14" customHeight="1">
      <c r="A149" s="287" t="n"/>
      <c r="B149" s="287" t="n"/>
      <c r="C149" s="287" t="n"/>
      <c r="D149" s="364" t="n"/>
      <c r="F149" s="287" t="n"/>
      <c r="G149" s="287" t="n"/>
      <c r="H149" s="364" t="n"/>
    </row>
    <row r="150" ht="14" customHeight="1">
      <c r="A150" s="287" t="n"/>
      <c r="B150" s="287" t="n"/>
      <c r="C150" s="287" t="n"/>
      <c r="D150" s="364" t="n"/>
      <c r="F150" s="287" t="n"/>
      <c r="G150" s="287" t="n"/>
      <c r="H150" s="364" t="n"/>
    </row>
    <row r="151" ht="14" customHeight="1">
      <c r="A151" s="287" t="n"/>
      <c r="B151" s="287" t="n"/>
      <c r="C151" s="287" t="n"/>
      <c r="D151" s="364" t="n"/>
      <c r="F151" s="287" t="n"/>
      <c r="G151" s="287" t="n"/>
      <c r="H151" s="364" t="n"/>
    </row>
    <row r="152" ht="14" customHeight="1">
      <c r="A152" s="287" t="n"/>
      <c r="B152" s="287" t="n"/>
      <c r="C152" s="287" t="n"/>
      <c r="D152" s="364" t="n"/>
      <c r="F152" s="287" t="n"/>
      <c r="G152" s="287" t="n"/>
      <c r="H152" s="364" t="n"/>
    </row>
    <row r="153" ht="14" customHeight="1">
      <c r="A153" s="287" t="n"/>
      <c r="B153" s="287" t="n"/>
      <c r="C153" s="287" t="n"/>
      <c r="D153" s="364" t="n"/>
      <c r="F153" s="287" t="n"/>
      <c r="G153" s="287" t="n"/>
      <c r="H153" s="364" t="n"/>
    </row>
    <row r="154" ht="14" customHeight="1">
      <c r="A154" s="287" t="n"/>
      <c r="B154" s="287" t="n"/>
      <c r="C154" s="287" t="n"/>
      <c r="D154" s="364" t="n"/>
      <c r="F154" s="287" t="n"/>
      <c r="G154" s="287" t="n"/>
      <c r="H154" s="364" t="n"/>
    </row>
    <row r="155" ht="14" customHeight="1">
      <c r="A155" s="287" t="n"/>
      <c r="B155" s="287" t="n"/>
      <c r="C155" s="287" t="n"/>
      <c r="D155" s="364" t="n"/>
      <c r="F155" s="287" t="n"/>
      <c r="G155" s="287" t="n"/>
      <c r="H155" s="364" t="n"/>
    </row>
    <row r="156" ht="14" customHeight="1">
      <c r="A156" s="287" t="n"/>
      <c r="B156" s="287" t="n"/>
      <c r="C156" s="287" t="n"/>
      <c r="D156" s="364" t="n"/>
      <c r="F156" s="287" t="n"/>
      <c r="G156" s="287" t="n"/>
      <c r="H156" s="364" t="n"/>
    </row>
    <row r="157" ht="14" customHeight="1">
      <c r="A157" s="287" t="n"/>
      <c r="B157" s="287" t="n"/>
      <c r="C157" s="287" t="n"/>
      <c r="D157" s="364" t="n"/>
      <c r="F157" s="287" t="n"/>
      <c r="G157" s="287" t="n"/>
      <c r="H157" s="364" t="n"/>
    </row>
    <row r="158" ht="14" customHeight="1">
      <c r="A158" s="287" t="n"/>
      <c r="B158" s="287" t="n"/>
      <c r="C158" s="287" t="n"/>
      <c r="D158" s="364" t="n"/>
      <c r="F158" s="287" t="n"/>
      <c r="G158" s="287" t="n"/>
      <c r="H158" s="364" t="n"/>
    </row>
    <row r="159" ht="14" customHeight="1">
      <c r="A159" s="287" t="n"/>
      <c r="B159" s="287" t="n"/>
      <c r="C159" s="287" t="n"/>
      <c r="D159" s="364" t="n"/>
      <c r="F159" s="287" t="n"/>
      <c r="G159" s="287" t="n"/>
      <c r="H159" s="364" t="n"/>
    </row>
    <row r="160" ht="14" customHeight="1">
      <c r="A160" s="287" t="n"/>
      <c r="B160" s="287" t="n"/>
      <c r="C160" s="287" t="n"/>
      <c r="D160" s="364" t="n"/>
      <c r="F160" s="287" t="n"/>
      <c r="G160" s="287" t="n"/>
      <c r="H160" s="364" t="n"/>
    </row>
    <row r="161" ht="14" customHeight="1">
      <c r="A161" s="287" t="n"/>
      <c r="B161" s="287" t="n"/>
      <c r="C161" s="287" t="n"/>
      <c r="D161" s="364" t="n"/>
      <c r="F161" s="287" t="n"/>
      <c r="G161" s="287" t="n"/>
      <c r="H161" s="364" t="n"/>
    </row>
    <row r="162" ht="14" customHeight="1">
      <c r="A162" s="287" t="n"/>
      <c r="B162" s="287" t="n"/>
      <c r="C162" s="287" t="n"/>
      <c r="D162" s="364" t="n"/>
      <c r="F162" s="287" t="n"/>
      <c r="G162" s="287" t="n"/>
      <c r="H162" s="364" t="n"/>
    </row>
    <row r="163" ht="14" customHeight="1">
      <c r="A163" s="287" t="n"/>
      <c r="B163" s="287" t="n"/>
      <c r="C163" s="287" t="n"/>
      <c r="D163" s="364" t="n"/>
      <c r="F163" s="287" t="n"/>
      <c r="G163" s="287" t="n"/>
      <c r="H163" s="364" t="n"/>
    </row>
    <row r="164" ht="14" customHeight="1">
      <c r="A164" s="287" t="n"/>
      <c r="B164" s="287" t="n"/>
      <c r="C164" s="287" t="n"/>
      <c r="D164" s="364" t="n"/>
      <c r="F164" s="287" t="n"/>
      <c r="G164" s="287" t="n"/>
      <c r="H164" s="364" t="n"/>
    </row>
    <row r="165" ht="14" customHeight="1">
      <c r="A165" s="287" t="n"/>
      <c r="B165" s="287" t="n"/>
      <c r="C165" s="287" t="n"/>
      <c r="D165" s="364" t="n"/>
      <c r="F165" s="287" t="n"/>
      <c r="G165" s="287" t="n"/>
      <c r="H165" s="364" t="n"/>
    </row>
    <row r="166" ht="14" customHeight="1">
      <c r="A166" s="287" t="n"/>
      <c r="B166" s="287" t="n"/>
      <c r="C166" s="287" t="n"/>
      <c r="D166" s="364" t="n"/>
      <c r="F166" s="287" t="n"/>
      <c r="G166" s="287" t="n"/>
      <c r="H166" s="364" t="n"/>
    </row>
    <row r="167" ht="14" customHeight="1">
      <c r="A167" s="287" t="n"/>
      <c r="B167" s="287" t="n"/>
      <c r="C167" s="287" t="n"/>
      <c r="D167" s="364" t="n"/>
      <c r="F167" s="287" t="n"/>
      <c r="G167" s="287" t="n"/>
      <c r="H167" s="364" t="n"/>
    </row>
    <row r="168" ht="14" customHeight="1">
      <c r="A168" s="287" t="n"/>
      <c r="B168" s="287" t="n"/>
      <c r="C168" s="287" t="n"/>
      <c r="D168" s="364" t="n"/>
      <c r="F168" s="287" t="n"/>
      <c r="G168" s="287" t="n"/>
      <c r="H168" s="364" t="n"/>
    </row>
    <row r="169" ht="14" customHeight="1">
      <c r="A169" s="287" t="n"/>
      <c r="B169" s="287" t="n"/>
      <c r="C169" s="287" t="n"/>
      <c r="D169" s="364" t="n"/>
      <c r="F169" s="287" t="n"/>
      <c r="G169" s="287" t="n"/>
      <c r="H169" s="364" t="n"/>
    </row>
    <row r="170" ht="14" customHeight="1">
      <c r="A170" s="287" t="n"/>
      <c r="B170" s="287" t="n"/>
      <c r="C170" s="287" t="n"/>
      <c r="D170" s="364" t="n"/>
      <c r="F170" s="287" t="n"/>
      <c r="G170" s="287" t="n"/>
      <c r="H170" s="364" t="n"/>
    </row>
    <row r="171" ht="14" customHeight="1">
      <c r="A171" s="287" t="n"/>
      <c r="B171" s="287" t="n"/>
      <c r="C171" s="287" t="n"/>
      <c r="D171" s="364" t="n"/>
      <c r="F171" s="287" t="n"/>
      <c r="G171" s="287" t="n"/>
      <c r="H171" s="364" t="n"/>
    </row>
    <row r="172" ht="14" customHeight="1">
      <c r="A172" s="287" t="n"/>
      <c r="B172" s="287" t="n"/>
      <c r="C172" s="287" t="n"/>
      <c r="D172" s="364" t="n"/>
      <c r="F172" s="287" t="n"/>
      <c r="G172" s="287" t="n"/>
      <c r="H172" s="364" t="n"/>
    </row>
    <row r="173" ht="14" customHeight="1">
      <c r="A173" s="287" t="n"/>
      <c r="B173" s="287" t="n"/>
      <c r="C173" s="287" t="n"/>
      <c r="D173" s="364" t="n"/>
      <c r="F173" s="287" t="n"/>
      <c r="G173" s="287" t="n"/>
      <c r="H173" s="364" t="n"/>
    </row>
    <row r="174" ht="14" customHeight="1">
      <c r="A174" s="287" t="n"/>
      <c r="B174" s="287" t="n"/>
      <c r="C174" s="287" t="n"/>
      <c r="D174" s="364" t="n"/>
      <c r="F174" s="287" t="n"/>
      <c r="G174" s="287" t="n"/>
      <c r="H174" s="364" t="n"/>
    </row>
    <row r="175" ht="14" customHeight="1">
      <c r="A175" s="287" t="n"/>
      <c r="B175" s="287" t="n"/>
      <c r="C175" s="287" t="n"/>
      <c r="D175" s="364" t="n"/>
      <c r="F175" s="287" t="n"/>
      <c r="G175" s="287" t="n"/>
      <c r="H175" s="364" t="n"/>
    </row>
    <row r="176" ht="14" customHeight="1">
      <c r="A176" s="287" t="n"/>
      <c r="B176" s="287" t="n"/>
      <c r="C176" s="287" t="n"/>
      <c r="D176" s="364" t="n"/>
      <c r="F176" s="287" t="n"/>
      <c r="G176" s="287" t="n"/>
      <c r="H176" s="364" t="n"/>
    </row>
    <row r="177" ht="14" customHeight="1">
      <c r="A177" s="287" t="n"/>
      <c r="B177" s="287" t="n"/>
      <c r="C177" s="287" t="n"/>
      <c r="D177" s="364" t="n"/>
      <c r="F177" s="287" t="n"/>
      <c r="G177" s="287" t="n"/>
      <c r="H177" s="364" t="n"/>
    </row>
    <row r="178" ht="14" customHeight="1">
      <c r="A178" s="287" t="n"/>
      <c r="B178" s="287" t="n"/>
      <c r="C178" s="287" t="n"/>
      <c r="D178" s="364" t="n"/>
      <c r="F178" s="287" t="n"/>
      <c r="G178" s="287" t="n"/>
      <c r="H178" s="364" t="n"/>
    </row>
    <row r="179" ht="14" customHeight="1">
      <c r="A179" s="287" t="n"/>
      <c r="B179" s="287" t="n"/>
      <c r="C179" s="287" t="n"/>
      <c r="D179" s="364" t="n"/>
      <c r="F179" s="287" t="n"/>
      <c r="G179" s="287" t="n"/>
      <c r="H179" s="364" t="n"/>
    </row>
    <row r="180" ht="14" customHeight="1">
      <c r="A180" s="287" t="n"/>
      <c r="B180" s="287" t="n"/>
      <c r="C180" s="287" t="n"/>
      <c r="D180" s="364" t="n"/>
      <c r="F180" s="287" t="n"/>
      <c r="G180" s="287" t="n"/>
      <c r="H180" s="364" t="n"/>
    </row>
    <row r="181" ht="14" customHeight="1">
      <c r="A181" s="287" t="n"/>
      <c r="B181" s="287" t="n"/>
      <c r="C181" s="287" t="n"/>
      <c r="D181" s="364" t="n"/>
      <c r="F181" s="287" t="n"/>
      <c r="G181" s="287" t="n"/>
      <c r="H181" s="364" t="n"/>
    </row>
    <row r="182" ht="14" customHeight="1">
      <c r="A182" s="287" t="n"/>
      <c r="B182" s="287" t="n"/>
      <c r="C182" s="287" t="n"/>
      <c r="D182" s="364" t="n"/>
      <c r="F182" s="287" t="n"/>
      <c r="G182" s="287" t="n"/>
      <c r="H182" s="364" t="n"/>
    </row>
    <row r="183" ht="14" customHeight="1">
      <c r="A183" s="287" t="n"/>
      <c r="B183" s="287" t="n"/>
      <c r="C183" s="287" t="n"/>
      <c r="D183" s="364" t="n"/>
      <c r="F183" s="287" t="n"/>
      <c r="G183" s="287" t="n"/>
      <c r="H183" s="364" t="n"/>
    </row>
    <row r="184" ht="14" customHeight="1">
      <c r="A184" s="287" t="n"/>
      <c r="B184" s="287" t="n"/>
      <c r="C184" s="287" t="n"/>
      <c r="D184" s="364" t="n"/>
      <c r="F184" s="287" t="n"/>
      <c r="G184" s="287" t="n"/>
      <c r="H184" s="364" t="n"/>
    </row>
    <row r="185" ht="14" customHeight="1">
      <c r="A185" s="287" t="n"/>
      <c r="B185" s="287" t="n"/>
      <c r="C185" s="287" t="n"/>
      <c r="D185" s="364" t="n"/>
      <c r="F185" s="287" t="n"/>
      <c r="G185" s="287" t="n"/>
      <c r="H185" s="364" t="n"/>
    </row>
    <row r="186" ht="14" customHeight="1">
      <c r="A186" s="287" t="n"/>
      <c r="B186" s="287" t="n"/>
      <c r="C186" s="287" t="n"/>
      <c r="D186" s="364" t="n"/>
      <c r="F186" s="287" t="n"/>
      <c r="G186" s="287" t="n"/>
      <c r="H186" s="364" t="n"/>
    </row>
    <row r="187" ht="14" customHeight="1">
      <c r="A187" s="287" t="n"/>
      <c r="B187" s="287" t="n"/>
      <c r="C187" s="287" t="n"/>
      <c r="D187" s="364" t="n"/>
      <c r="F187" s="287" t="n"/>
      <c r="G187" s="287" t="n"/>
      <c r="H187" s="364" t="n"/>
    </row>
    <row r="188" ht="14" customHeight="1">
      <c r="A188" s="287" t="n"/>
      <c r="B188" s="287" t="n"/>
      <c r="C188" s="287" t="n"/>
      <c r="D188" s="364" t="n"/>
      <c r="F188" s="287" t="n"/>
      <c r="G188" s="287" t="n"/>
      <c r="H188" s="364" t="n"/>
    </row>
    <row r="189" ht="14" customHeight="1">
      <c r="A189" s="287" t="n"/>
      <c r="B189" s="287" t="n"/>
      <c r="C189" s="287" t="n"/>
      <c r="D189" s="364" t="n"/>
      <c r="F189" s="287" t="n"/>
      <c r="G189" s="287" t="n"/>
      <c r="H189" s="364" t="n"/>
    </row>
    <row r="190" ht="14" customHeight="1">
      <c r="A190" s="287" t="n"/>
      <c r="B190" s="287" t="n"/>
      <c r="C190" s="287" t="n"/>
      <c r="D190" s="364" t="n"/>
      <c r="F190" s="287" t="n"/>
      <c r="G190" s="287" t="n"/>
      <c r="H190" s="364" t="n"/>
    </row>
    <row r="191" ht="14" customHeight="1">
      <c r="A191" s="287" t="n"/>
      <c r="B191" s="287" t="n"/>
      <c r="C191" s="287" t="n"/>
      <c r="D191" s="364" t="n"/>
      <c r="F191" s="287" t="n"/>
      <c r="G191" s="287" t="n"/>
      <c r="H191" s="364" t="n"/>
    </row>
    <row r="192" ht="14" customHeight="1">
      <c r="A192" s="287" t="n"/>
      <c r="B192" s="287" t="n"/>
      <c r="C192" s="287" t="n"/>
      <c r="D192" s="364" t="n"/>
      <c r="F192" s="287" t="n"/>
      <c r="G192" s="287" t="n"/>
      <c r="H192" s="364" t="n"/>
    </row>
    <row r="193" ht="14" customHeight="1">
      <c r="A193" s="287" t="n"/>
      <c r="B193" s="287" t="n"/>
      <c r="C193" s="287" t="n"/>
      <c r="D193" s="364" t="n"/>
      <c r="F193" s="287" t="n"/>
      <c r="G193" s="287" t="n"/>
      <c r="H193" s="364" t="n"/>
    </row>
    <row r="194" ht="14" customHeight="1">
      <c r="A194" s="287" t="n"/>
      <c r="B194" s="287" t="n"/>
      <c r="C194" s="287" t="n"/>
      <c r="D194" s="364" t="n"/>
      <c r="F194" s="287" t="n"/>
      <c r="G194" s="287" t="n"/>
      <c r="H194" s="364" t="n"/>
    </row>
    <row r="195" ht="14" customHeight="1">
      <c r="A195" s="287" t="n"/>
      <c r="B195" s="287" t="n"/>
      <c r="C195" s="287" t="n"/>
      <c r="D195" s="364" t="n"/>
      <c r="F195" s="287" t="n"/>
      <c r="G195" s="287" t="n"/>
      <c r="H195" s="364" t="n"/>
    </row>
    <row r="196" ht="14" customHeight="1">
      <c r="A196" s="287" t="n"/>
      <c r="B196" s="287" t="n"/>
      <c r="C196" s="287" t="n"/>
      <c r="D196" s="364" t="n"/>
      <c r="F196" s="287" t="n"/>
      <c r="G196" s="287" t="n"/>
      <c r="H196" s="364" t="n"/>
    </row>
    <row r="197" ht="14" customHeight="1">
      <c r="A197" s="287" t="n"/>
      <c r="B197" s="287" t="n"/>
      <c r="C197" s="287" t="n"/>
      <c r="D197" s="364" t="n"/>
      <c r="F197" s="287" t="n"/>
      <c r="G197" s="287" t="n"/>
      <c r="H197" s="364" t="n"/>
    </row>
    <row r="198" ht="14" customHeight="1">
      <c r="A198" s="287" t="n"/>
      <c r="B198" s="287" t="n"/>
      <c r="C198" s="287" t="n"/>
      <c r="D198" s="364" t="n"/>
      <c r="F198" s="287" t="n"/>
      <c r="G198" s="287" t="n"/>
      <c r="H198" s="364" t="n"/>
    </row>
    <row r="199" ht="14" customHeight="1">
      <c r="A199" s="287" t="n"/>
      <c r="B199" s="287" t="n"/>
      <c r="C199" s="287" t="n"/>
      <c r="D199" s="364" t="n"/>
      <c r="F199" s="287" t="n"/>
      <c r="G199" s="287" t="n"/>
      <c r="H199" s="364" t="n"/>
    </row>
    <row r="200" ht="14" customHeight="1">
      <c r="A200" s="287" t="n"/>
      <c r="B200" s="287" t="n"/>
      <c r="C200" s="287" t="n"/>
      <c r="D200" s="364" t="n"/>
      <c r="F200" s="287" t="n"/>
      <c r="G200" s="287" t="n"/>
      <c r="H200" s="364" t="n"/>
    </row>
    <row r="201" ht="14" customHeight="1">
      <c r="A201" s="287" t="n"/>
      <c r="B201" s="287" t="n"/>
      <c r="C201" s="287" t="n"/>
      <c r="D201" s="364" t="n"/>
      <c r="F201" s="287" t="n"/>
      <c r="G201" s="287" t="n"/>
      <c r="H201" s="364" t="n"/>
    </row>
    <row r="202" ht="14" customHeight="1">
      <c r="A202" s="287" t="n"/>
      <c r="B202" s="287" t="n"/>
      <c r="C202" s="287" t="n"/>
      <c r="D202" s="364" t="n"/>
      <c r="F202" s="287" t="n"/>
      <c r="G202" s="287" t="n"/>
      <c r="H202" s="364" t="n"/>
    </row>
    <row r="203" ht="14" customHeight="1">
      <c r="A203" s="287" t="n"/>
      <c r="B203" s="287" t="n"/>
      <c r="C203" s="287" t="n"/>
      <c r="D203" s="364" t="n"/>
      <c r="F203" s="287" t="n"/>
      <c r="G203" s="287" t="n"/>
      <c r="H203" s="364" t="n"/>
    </row>
    <row r="204" ht="14" customHeight="1">
      <c r="A204" s="287" t="n"/>
      <c r="B204" s="287" t="n"/>
      <c r="C204" s="287" t="n"/>
      <c r="D204" s="364" t="n"/>
      <c r="F204" s="287" t="n"/>
      <c r="G204" s="287" t="n"/>
      <c r="H204" s="364" t="n"/>
    </row>
    <row r="205" ht="14" customHeight="1">
      <c r="A205" s="287" t="n"/>
      <c r="B205" s="287" t="n"/>
      <c r="C205" s="287" t="n"/>
      <c r="D205" s="364" t="n"/>
      <c r="F205" s="287" t="n"/>
      <c r="G205" s="287" t="n"/>
      <c r="H205" s="364" t="n"/>
    </row>
    <row r="206" ht="14" customHeight="1">
      <c r="A206" s="287" t="n"/>
      <c r="B206" s="287" t="n"/>
      <c r="C206" s="287" t="n"/>
      <c r="D206" s="364" t="n"/>
      <c r="F206" s="287" t="n"/>
      <c r="G206" s="287" t="n"/>
      <c r="H206" s="364" t="n"/>
    </row>
    <row r="207" ht="14" customHeight="1">
      <c r="A207" s="287" t="n"/>
      <c r="B207" s="287" t="n"/>
      <c r="C207" s="287" t="n"/>
      <c r="D207" s="364" t="n"/>
      <c r="F207" s="287" t="n"/>
      <c r="G207" s="287" t="n"/>
      <c r="H207" s="364" t="n"/>
    </row>
    <row r="208" ht="14" customHeight="1">
      <c r="A208" s="287" t="n"/>
      <c r="B208" s="287" t="n"/>
      <c r="C208" s="287" t="n"/>
      <c r="D208" s="364" t="n"/>
      <c r="F208" s="287" t="n"/>
      <c r="G208" s="287" t="n"/>
      <c r="H208" s="364" t="n"/>
    </row>
    <row r="209" ht="14" customHeight="1">
      <c r="A209" s="287" t="n"/>
      <c r="B209" s="287" t="n"/>
      <c r="C209" s="287" t="n"/>
      <c r="D209" s="364" t="n"/>
      <c r="F209" s="287" t="n"/>
      <c r="G209" s="287" t="n"/>
      <c r="H209" s="364" t="n"/>
    </row>
    <row r="210" ht="14" customHeight="1">
      <c r="A210" s="287" t="n"/>
      <c r="B210" s="287" t="n"/>
      <c r="C210" s="287" t="n"/>
      <c r="D210" s="364" t="n"/>
      <c r="F210" s="287" t="n"/>
      <c r="G210" s="287" t="n"/>
      <c r="H210" s="364" t="n"/>
    </row>
    <row r="211" ht="14" customHeight="1">
      <c r="A211" s="287" t="n"/>
      <c r="B211" s="287" t="n"/>
      <c r="C211" s="287" t="n"/>
      <c r="D211" s="364" t="n"/>
      <c r="F211" s="287" t="n"/>
      <c r="G211" s="287" t="n"/>
      <c r="H211" s="364" t="n"/>
    </row>
    <row r="212" ht="14" customHeight="1">
      <c r="A212" s="287" t="n"/>
      <c r="B212" s="287" t="n"/>
      <c r="C212" s="287" t="n"/>
      <c r="D212" s="364" t="n"/>
      <c r="F212" s="287" t="n"/>
      <c r="G212" s="287" t="n"/>
      <c r="H212" s="364" t="n"/>
    </row>
    <row r="213" ht="14" customHeight="1">
      <c r="A213" s="287" t="n"/>
      <c r="B213" s="287" t="n"/>
      <c r="C213" s="287" t="n"/>
      <c r="D213" s="364" t="n"/>
      <c r="F213" s="287" t="n"/>
      <c r="G213" s="287" t="n"/>
      <c r="H213" s="364" t="n"/>
    </row>
    <row r="214" ht="14" customHeight="1">
      <c r="A214" s="287" t="n"/>
      <c r="B214" s="287" t="n"/>
      <c r="C214" s="287" t="n"/>
      <c r="D214" s="364" t="n"/>
      <c r="F214" s="287" t="n"/>
      <c r="G214" s="287" t="n"/>
      <c r="H214" s="364" t="n"/>
    </row>
    <row r="215" ht="14" customHeight="1">
      <c r="A215" s="287" t="n"/>
      <c r="B215" s="287" t="n"/>
      <c r="C215" s="287" t="n"/>
      <c r="D215" s="364" t="n"/>
      <c r="F215" s="287" t="n"/>
      <c r="G215" s="287" t="n"/>
      <c r="H215" s="364" t="n"/>
    </row>
    <row r="216" ht="14" customHeight="1">
      <c r="A216" s="287" t="n"/>
      <c r="B216" s="287" t="n"/>
      <c r="C216" s="287" t="n"/>
      <c r="D216" s="364" t="n"/>
      <c r="F216" s="287" t="n"/>
      <c r="G216" s="287" t="n"/>
      <c r="H216" s="364" t="n"/>
    </row>
    <row r="217" ht="14" customHeight="1">
      <c r="A217" s="287" t="n"/>
      <c r="B217" s="287" t="n"/>
      <c r="C217" s="287" t="n"/>
      <c r="D217" s="364" t="n"/>
      <c r="F217" s="287" t="n"/>
      <c r="G217" s="287" t="n"/>
      <c r="H217" s="364" t="n"/>
    </row>
    <row r="218" ht="14" customHeight="1">
      <c r="A218" s="287" t="n"/>
      <c r="B218" s="287" t="n"/>
      <c r="C218" s="287" t="n"/>
      <c r="D218" s="364" t="n"/>
      <c r="F218" s="287" t="n"/>
      <c r="G218" s="287" t="n"/>
      <c r="H218" s="364" t="n"/>
    </row>
    <row r="219" ht="14" customHeight="1">
      <c r="A219" s="287" t="n"/>
      <c r="B219" s="287" t="n"/>
      <c r="C219" s="287" t="n"/>
      <c r="D219" s="364" t="n"/>
      <c r="F219" s="287" t="n"/>
      <c r="G219" s="287" t="n"/>
      <c r="H219" s="364" t="n"/>
    </row>
    <row r="220" ht="14" customHeight="1">
      <c r="A220" s="287" t="n"/>
      <c r="B220" s="287" t="n"/>
      <c r="C220" s="287" t="n"/>
      <c r="D220" s="364" t="n"/>
      <c r="F220" s="287" t="n"/>
      <c r="G220" s="287" t="n"/>
      <c r="H220" s="364" t="n"/>
    </row>
    <row r="221" ht="14" customHeight="1">
      <c r="A221" s="287" t="n"/>
      <c r="B221" s="287" t="n"/>
      <c r="C221" s="287" t="n"/>
      <c r="D221" s="364" t="n"/>
      <c r="F221" s="287" t="n"/>
      <c r="G221" s="287" t="n"/>
      <c r="H221" s="364" t="n"/>
    </row>
    <row r="222" ht="14" customHeight="1">
      <c r="A222" s="287" t="n"/>
      <c r="B222" s="287" t="n"/>
      <c r="C222" s="287" t="n"/>
      <c r="D222" s="364" t="n"/>
      <c r="F222" s="287" t="n"/>
      <c r="G222" s="287" t="n"/>
      <c r="H222" s="364" t="n"/>
    </row>
    <row r="223" ht="14" customHeight="1">
      <c r="A223" s="287" t="n"/>
      <c r="B223" s="287" t="n"/>
      <c r="C223" s="287" t="n"/>
      <c r="D223" s="364" t="n"/>
      <c r="F223" s="287" t="n"/>
      <c r="G223" s="287" t="n"/>
      <c r="H223" s="364" t="n"/>
    </row>
    <row r="224" ht="14" customHeight="1">
      <c r="A224" s="287" t="n"/>
      <c r="B224" s="287" t="n"/>
      <c r="C224" s="287" t="n"/>
      <c r="D224" s="364" t="n"/>
      <c r="F224" s="287" t="n"/>
      <c r="G224" s="287" t="n"/>
      <c r="H224" s="364" t="n"/>
    </row>
    <row r="225" ht="14" customHeight="1">
      <c r="A225" s="287" t="n"/>
      <c r="B225" s="287" t="n"/>
      <c r="C225" s="287" t="n"/>
      <c r="D225" s="364" t="n"/>
      <c r="F225" s="287" t="n"/>
      <c r="G225" s="287" t="n"/>
      <c r="H225" s="364" t="n"/>
    </row>
    <row r="226" ht="14" customHeight="1">
      <c r="A226" s="287" t="n"/>
      <c r="B226" s="287" t="n"/>
      <c r="C226" s="287" t="n"/>
      <c r="D226" s="364" t="n"/>
      <c r="F226" s="287" t="n"/>
      <c r="G226" s="287" t="n"/>
      <c r="H226" s="364" t="n"/>
    </row>
    <row r="227" ht="14" customHeight="1">
      <c r="A227" s="287" t="n"/>
      <c r="B227" s="287" t="n"/>
      <c r="C227" s="287" t="n"/>
      <c r="D227" s="364" t="n"/>
      <c r="F227" s="287" t="n"/>
      <c r="G227" s="287" t="n"/>
      <c r="H227" s="364" t="n"/>
    </row>
    <row r="228" ht="14" customHeight="1">
      <c r="A228" s="287" t="n"/>
      <c r="B228" s="287" t="n"/>
      <c r="C228" s="287" t="n"/>
      <c r="D228" s="364" t="n"/>
      <c r="F228" s="287" t="n"/>
      <c r="G228" s="287" t="n"/>
      <c r="H228" s="364" t="n"/>
    </row>
    <row r="229" ht="14" customHeight="1">
      <c r="A229" s="287" t="n"/>
      <c r="B229" s="287" t="n"/>
      <c r="C229" s="287" t="n"/>
      <c r="D229" s="364" t="n"/>
      <c r="F229" s="287" t="n"/>
      <c r="G229" s="287" t="n"/>
      <c r="H229" s="364" t="n"/>
    </row>
    <row r="230">
      <c r="D230" s="360" t="n"/>
      <c r="H230" s="360" t="n"/>
    </row>
    <row r="231" ht="15" customHeight="1">
      <c r="A231" s="365" t="n"/>
      <c r="D231" s="366" t="n"/>
      <c r="F231" s="367" t="n"/>
      <c r="H231" s="368" t="n"/>
    </row>
    <row r="232">
      <c r="D232" s="360" t="n"/>
      <c r="H232" s="360" t="n"/>
    </row>
    <row r="233" ht="20" customHeight="1">
      <c r="A233" s="310" t="n"/>
      <c r="H233" s="360" t="n"/>
    </row>
    <row r="234">
      <c r="D234" s="360" t="n"/>
      <c r="H234" s="360" t="n"/>
    </row>
    <row r="235">
      <c r="A235" s="298" t="n"/>
    </row>
  </sheetData>
  <mergeCells count="4">
    <mergeCell ref="F4:H4"/>
    <mergeCell ref="A4:D4"/>
    <mergeCell ref="A2:D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2026-06-26T11:10:08Z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