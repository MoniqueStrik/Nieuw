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groen'!B5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groen'!B6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groen'!B7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groen'!B8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groen'!B9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groen'!B10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groen'!B12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groen'!B13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groen'!B14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groen'!B15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groen'!B16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groen'!B17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groen'!B18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groen'!B19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groen'!B20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groen'!B21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groen'!B22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groen'!B23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groen'!B24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groen'!B25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groen'!B26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groen'!B27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groen'!B28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groen'!B29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groen'!B30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groen'!B31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groen'!B32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groen'!B33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groen'!B34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groen'!B35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groen'!B36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groen'!B37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groen'!B38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groen'!B39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groen'!B40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groen'!B41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groen'!B42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groen'!B43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groen'!B44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groen'!B45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groen'!B46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groen'!B47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groen'!B48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groen'!B49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groen'!B50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groen'!B51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groen'!B52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groen'!B53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groen'!B54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groen'!B55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groen'!B56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groen'!B57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groen'!B58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groen'!B59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groen'!B60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groen'!B61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groen'!B62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groen'!B63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groen'!B64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groen'!B65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groen'!B66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groen'!B67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groen'!B68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groen'!B69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groen'!B70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groen'!B71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groen'!B72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groen'!B73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groen'!B74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groen'!B75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groen'!B76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groen'!B77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groen'!B78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groen'!B79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groen'!B80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groen'!B81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groen'!B82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groen'!B83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groen'!B84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groen'!B85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groen'!B86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groen'!B87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groen'!B88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groen'!B89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groen'!B90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groen'!B91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groen'!B92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groen'!B93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groen'!B94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groen'!B95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groen'!B96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groen'!B97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groen'!B98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groen'!B99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groen'!B100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groen'!B101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groen'!B102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groen'!B103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groen'!B104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groen'!B105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groen'!B106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groen'!B107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groen'!B108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groen'!B109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groen'!B114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groen'!B116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groen'!B117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groen'!B118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groen'!B119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groen'!B120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groen'!B121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groen'!B122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groen'!B123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groen'!B124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groen'!B125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groen'!B126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groen'!B127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groen'!B128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groen'!B129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groen'!B130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groen'!B131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groen'!B132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groen'!B133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groen'!B134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groen'!B135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groen'!B136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groen'!B137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groen'!B138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groen'!B139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groen'!B140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groen'!B141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groen'!B142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groen'!B143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groen'!B144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groen'!B145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groen'!B146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groen'!B147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groen'!B148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groen'!B149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groen'!B150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groen'!B151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groen'!B152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groen'!B153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groen'!B154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groen'!B155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groen'!B156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groen'!B157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groen'!B158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groen'!B159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groen'!B160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groen'!B161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groen'!B162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groen'!B163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groen'!B164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groen'!B165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groen'!B166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groen'!B167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groen'!B168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groen'!B169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groen'!B170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groen'!B171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groen'!B172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groen'!B173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groen'!B174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groen'!B175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groen'!B176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groen'!B177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groen'!B178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groen'!B179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groen'!B180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groen'!B181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groen'!B182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groen'!B183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groen'!B184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groen'!B185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groen'!B186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groen'!B187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groen'!B188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groen'!B189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groen'!B190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groen'!B191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groen'!B192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groen'!B193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groen'!B194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groen'!B195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groen'!B196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groen'!B197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groen'!B198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groen'!B199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groen'!B200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groen'!B201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groen'!B202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groen'!B203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groen'!B204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groen'!B205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groen'!B206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groen'!B207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groen'!B208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groen'!B209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groen'!B210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groen'!B211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groen'!B212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groen'!B213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groen'!B214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groen'!B215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groen'!B216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groen'!B217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groen'!B218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groen'!B219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groen'!B220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groen'!B221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groen'!B222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groen'!B223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groen'!B224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groen'!B225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groen'!B226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groen'!B227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groen'!B228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groen'!B229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groen'!B230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groen'!B231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groen'!B232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groen'!B233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groen'!B234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groen'!B235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groen'!B236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groen'!B237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groen'!B238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groen'!B239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groen'!B240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groen'!B241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groen'!B242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groen'!B243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groen'!B244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groen'!B245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groen'!B246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groen'!B247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groen'!B248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groen'!B249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groen'!B250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groen'!B251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groen'!B252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groen'!B253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groen'!B254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groen'!B255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groen'!B256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groen'!B257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groen'!B258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groen'!B259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groen'!B260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groen'!B261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groen'!B262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groen'!B263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groen'!B264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groen'!B265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groen'!B266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groen'!B267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groen'!B268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groen'!B269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groen'!B270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groen'!B271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groen'!B272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groen'!B273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groen'!B274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groen'!B275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groen'!B280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groen'!B282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groen'!B283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groen'!B284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groen'!B285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groen'!B286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groen'!B287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groen'!B288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groen'!B289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groen'!B290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groen'!B291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groen'!B292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groen'!B293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groen'!B294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groen'!B295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groen'!B296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groen'!B297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groen'!B298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groen'!B299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groen'!B300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groen'!B301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groen'!B302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groen'!B303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groen'!B304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groen'!B305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groen'!B306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groen'!B307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groen'!B308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groen'!B309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groen'!B310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groen'!B311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groen'!B312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groen'!B313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groen'!B314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groen'!B315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groen'!B316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groen'!B317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groen'!B318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groen'!B319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groen'!B320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groen'!B321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groen'!B322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groen'!B323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groen'!B324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groen'!B325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groen'!B326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groen'!B327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groen'!B328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groen'!B329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groen'!B330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groen'!B331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groen'!B332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groen'!B333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groen'!B334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groen'!B335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groen'!B336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groen'!B337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groen'!B338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groen'!B339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groen'!B340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groen'!B341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groen'!B342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groen'!B343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groen'!B344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groen'!B345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groen'!B346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groen'!B347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groen'!B348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groen'!B349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groen'!B350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groen'!B351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groen'!B352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groen'!B353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groen'!B354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groen'!B355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groen'!B356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groen'!B357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groen'!B358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groen'!B359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groen'!B360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groen'!B361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groen'!B362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groen'!B363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groen'!B364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groen'!B365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groen'!B366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groen'!B367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groen'!B368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groen'!B369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groen'!B370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groen'!B371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groen'!B372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groen'!B373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groen'!B374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groen'!B375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groen'!B376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groen'!B377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groen'!B378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groen'!B379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groen'!B380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groen'!B381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groen'!B382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groen'!B383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groen'!B384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groen'!B385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groen'!B386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groen'!B387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groen'!B388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groen'!B389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groen'!B390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groen'!B391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groen'!B392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groen'!B393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groen'!B394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groen'!B395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groen'!B396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groen'!B397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groen'!B398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groen'!B399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groen'!B400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groen'!B401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groen'!B402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groen'!B403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groen'!B404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groen'!B405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groen'!B406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groen'!B407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groen'!B408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groen'!B409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groen'!B410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groen'!B411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groen'!B412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groen'!B413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groen'!B414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groen'!B415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groen'!B416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groen'!B417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groen'!B418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groen'!B419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groen'!B420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groen'!B421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groen'!B422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groen'!B423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groen'!B424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groen'!B425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groen'!B426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groen'!B427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groen'!B428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groen'!B429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groen'!B430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groen'!B431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groen'!B432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groen'!B433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groen'!B434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groen'!B435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groen'!B436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groen'!B437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groen'!B438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groen'!B439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groen'!B440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groen'!B441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groen'!B442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groen'!B443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groen'!B444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groen'!B445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groen'!B446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groen'!B447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groen'!B448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groen'!B449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groen'!B450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groen'!B451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groen'!B452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groen'!B453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groen'!B454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groen'!B455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groen'!B456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groen'!B457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groen'!B458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groen'!B459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groen'!B460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groen'!B461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groen'!B462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groen'!B463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groen'!B464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groen'!B465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groen'!B466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groen'!B467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groen'!B468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groen'!B469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groen'!B470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groen'!B471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groen'!B472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groen'!B473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groen'!B474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groen'!B475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groen'!B476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groen'!B477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groen'!B478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groen'!B479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groen'!B480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groen'!B481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groen'!B482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groen'!B483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groen'!B484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groen'!B485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groen'!B486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groen'!B487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groen'!B488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groen'!B489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groen'!B490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groen'!B491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groen'!B492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groen'!B493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groen'!B494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groen'!B495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groen'!B496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groen'!B497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groen'!B498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groen'!B499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groen'!B500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groen'!B501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groen'!B502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groen'!B503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groen'!B504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groen'!B505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groen'!B506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groen'!B507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groen'!B508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groen'!B509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groen'!B510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groen'!B511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groen'!B512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groen'!B513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groen'!B514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groen'!B515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groen'!B516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groen'!B517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groen'!B518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groen'!B519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groen'!B520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groen'!B521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groen'!B522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groen'!B523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groen'!B524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groen'!B525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groen'!B526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groen'!B527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groen'!B528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groen'!B529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groen'!B530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groen'!B531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groen'!B532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groen'!B533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groen'!B534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groen'!B535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groen'!B536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groen'!B537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groen'!B538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groen'!B539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groen'!B540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groen'!B541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groen'!B542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groen'!B543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groen'!B544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groen'!B545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groen'!B546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groen'!B547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groen'!B548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groen'!B549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groen'!B550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groen'!B551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groen'!B552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groen'!B553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groen'!B554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groen'!B555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groen'!B556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groen'!B557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groen'!B558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groen'!B559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groen'!B560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groen'!B561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groen'!B562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groen'!B563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groen'!B564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groen'!B565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groen'!B566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groen'!B567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groen'!B568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groen'!B569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groen'!B570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groen'!B571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groen'!B572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groen'!B573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groen'!B574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groen'!B575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groen'!B576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groen'!B577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groen'!B578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groen'!B579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groen'!B580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groen'!B581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groen'!B582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groen'!B583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groen'!B584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groen'!B585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groen'!B586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groen'!B587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groen'!B588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groen'!B589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groen'!B590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groen'!B591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groen'!B592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groen'!B593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groen'!B594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groen'!B595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groen'!B596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groen'!B597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groen'!B598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groen'!B599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groen'!B600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groen'!B601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groen'!B602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groen'!B603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groen'!B604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groen'!B605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groen'!B606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groen'!B607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groen'!B608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groen'!B609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groen'!B610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groen'!B611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groen'!B612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groen'!B613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groen'!B614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groen'!B615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groen'!B616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groen'!B617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groen'!B618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groen'!B619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groen'!B620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groen'!B621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groen'!B622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groen'!B623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groen'!B624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groen'!B625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groen'!B626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groen'!B627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groen'!B628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groen'!B629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groen'!B630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groen'!B631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groen'!B632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groen'!B633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groen'!B634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groen'!B635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groen'!B636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groen'!B637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groen'!B638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groen'!B639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groen'!B640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groen'!B641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groen'!B642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groen'!B643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groen'!B644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groen'!B645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groen'!B646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groen'!B647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groen'!B648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groen'!B649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groen'!B650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groen'!B651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groen'!B652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groen'!B653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groen'!B654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groen'!B655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groen'!B656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groen'!B657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groen'!B658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groen'!B659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groen'!B660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groen'!B661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groen'!B662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groen'!B663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groen'!B664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groen'!B665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groen'!B666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groen'!B667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groen'!B668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groen'!B669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groen'!B670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groen'!B671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groen'!B672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groen'!B673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groen'!B674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groen'!B675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groen'!B676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groen'!B677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groen'!B678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groen'!B679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groen'!B680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groen'!B681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groen'!B682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groen'!B683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groen'!B684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groen'!B685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groen'!B686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groen'!B687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groen'!B688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groen'!B689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groen'!B690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groen'!B691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groen'!B692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groen'!B693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groen'!B694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groen'!B695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groen'!B696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groen'!B697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groen'!B698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groen'!B699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groen'!B700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groen'!B701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groen'!B702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groen'!B703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groen'!B704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groen'!B705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groen'!B706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groen'!B707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groen'!B708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groen'!B709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groen'!B710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groen'!B711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groen'!B712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groen'!B713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groen'!B714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groen'!B715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groen'!B716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groen'!B717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groen'!B718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groen'!B719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groen'!B720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groen'!B721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groen'!B722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groen'!B723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groen'!B724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groen'!B725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groen'!B726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groen'!B727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groen'!B728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groen'!B729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groen'!B730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groen'!B731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groen'!B732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groen'!B733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groen'!B734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groen'!B735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groen'!B736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groen'!B737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groen'!B738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groen'!B739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groen'!B740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groen'!B741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groen'!B742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groen'!B743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groen'!B744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groen'!B745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groen'!B746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groen'!B747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groen'!B748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groen'!B749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groen'!B750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groen'!B751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groen'!B752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groen'!B753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groen'!B754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groen'!B755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groen'!B756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groen'!B757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groen'!B758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groen'!B759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groen'!B760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groen'!B761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groen'!B762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groen'!B763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groen'!B764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groen'!B765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groen'!B766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groen'!B767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groen'!B768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groen'!B769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groen'!B770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groen'!B771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groen'!B772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groen'!B773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groen'!B774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groen'!B775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groen'!B776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groen'!B777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groen'!B778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groen'!B779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groen'!B780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groen'!B781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groen'!B782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groen'!B783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groen'!B784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groen'!B785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groen'!B786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groen'!B787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groen'!B788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groen'!B789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groen'!B790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groen'!B791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groen'!B792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groen'!B793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groen'!B794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groen'!B795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groen'!B796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groen'!B797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groen'!B798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groen'!B799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groen'!B800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groen'!B801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groen'!B802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groen'!B803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groen'!B804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groen'!B805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groen'!B806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groen'!B807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groen'!B808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groen'!B809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groen'!B810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groen'!B811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groen'!B812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groen'!B813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groen'!B814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groen'!B815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groen'!B816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groen'!B817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groen'!B818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groen'!B819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groen'!B820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groen'!B821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groen'!B822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groen'!B823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groen'!B824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groen'!B825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groen'!B826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groen'!B827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groen'!B828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groen'!B829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groen'!B830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groen'!B831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groen'!B832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groen'!B833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groen'!B834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groen'!B835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groen'!B836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groen'!B837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groen'!B838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groen'!B839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groen'!B840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groen'!B841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groen'!B842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groen'!B843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groen'!B844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groen'!B845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groen'!B846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groen'!B847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groen'!B848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groen'!B849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groen'!B850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groen'!B851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groen'!B852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groen'!B853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groen'!B854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groen'!B855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groen'!B856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groen'!B857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groen'!B858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groen'!B859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groen'!B860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groen'!B861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groen'!B862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groen'!B863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groen'!B864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groen'!B865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groen'!B866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groen'!B867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groen'!B868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groen'!B869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groen'!B870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groen'!B871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groen'!B872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groen'!B873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groen'!B874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groen'!B875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groen'!B876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groen'!B877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groen'!B878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groen'!B879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groen'!B880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groen'!B881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groen'!B882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groen'!B883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groen'!B884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groen'!B885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groen'!B886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groen'!B887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groen'!B888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groen'!B889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groen'!B890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groen'!B891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groen'!B892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groen'!B893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groen'!B894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groen'!B895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groen'!B896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groen'!B897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groen'!B898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groen'!B899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groen'!B900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groen'!B901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groen'!B902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groen'!B903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groen'!B904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groen'!B905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groen'!B906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groen'!B907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groen'!B908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groen'!B909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groen'!B910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groen'!B911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groen'!B912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groen'!B913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groen'!B914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groen'!B915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groen'!B916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groen'!B917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groen'!B918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groen'!B919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groen'!B920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groen'!B921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groen'!B922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groen'!B923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groen'!B924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groen'!B925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groen'!B926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groen'!B927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groen'!B928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groen'!B929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groen'!B930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groen'!B931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groen'!B932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groen'!B933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groen'!B934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groen'!B935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groen'!B936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groen'!B937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groen'!B938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groen'!B939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groen'!B940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groen'!B941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groen'!B942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groen'!B943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groen'!B944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groen'!B945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groen'!B946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groen'!B947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groen'!B948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groen'!B949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groen'!B950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groen'!B951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groen'!B952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groen'!B953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groen'!B954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groen'!B955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groen'!B956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groen'!B957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groen'!B958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groen'!B959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groen'!B960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groen'!B961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groen'!B962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groen'!B963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groen'!B964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groen'!B965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groen'!B966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groen'!B967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groen'!B968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groen'!B969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groen'!B970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groen'!B971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groen'!B972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groen'!B973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groen'!B974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groen'!B975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groen'!B976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groen'!B977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groen'!B978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groen'!B979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groen'!B980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groen'!B981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groen'!B982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groen'!B983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groen'!B984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groen'!B985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groen'!B986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groen'!B987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groen'!B988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groen'!B989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groen'!B990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groen'!B991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groen'!B992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groen'!B993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groen'!B994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groen'!B995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groen'!B996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groen'!B997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groen'!B998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groen'!B999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groen'!B1000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groen'!B1001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groen'!B1002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groen'!B1003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groen'!B1004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groen'!B1005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groen'!B1006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groen'!B1007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groen'!B1008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groen'!B1009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groen'!B1010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groen'!B1011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groen'!B1012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groen'!B1013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groen'!B1014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groen'!B1015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groen'!B1016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groen'!B1017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groen'!B1018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groen'!B1019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groen'!B1020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groen'!B1021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groen'!B1022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groen'!B1023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groen'!B1024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groen'!B1025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groen'!B1026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groen'!B1027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groen'!B1028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groen'!B1029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groen'!B1030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groen'!B1031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groen'!B1032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groen'!B1033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groen'!B1034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groen'!B1035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groen'!B1036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groen'!B1037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groen'!B1038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groen'!B1039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groen'!B1040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groen'!B1041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groen'!B1042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groen'!B1043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groen'!B1044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groen'!B1045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groen'!B1046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groen'!B1047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groen'!B1048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groen'!B1049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groen'!B1050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groen'!B1051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groen'!B1052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groen'!B1053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groen'!B1054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groen'!B1055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groen'!B1056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groen'!B1057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groen'!B1058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groen'!B1059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groen'!B1060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groen'!B1061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groen'!B1062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groen'!B1063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groen'!B1064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groen'!B1065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groen'!B1066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groen'!B1067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groen'!B1068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groen'!B1069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groen'!B1070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groen'!B1071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groen'!B1072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groen'!B1073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groen'!B1074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groen'!B1075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groen'!B1076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groen'!B1077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groen'!B1078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groen'!B1079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groen'!B1080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groen'!B1081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groen'!B1082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groen'!B1083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groen'!B1084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groen'!B1085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groen'!B1086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groen'!B1087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groen'!B1088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groen'!B1089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groen'!B1090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groen'!B1091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groen'!B1092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groen'!B1093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groen'!B1094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groen'!B1095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groen'!B1096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groen'!B1097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groen'!B1098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groen'!B1099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groen'!B1100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groen'!B1101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groen'!B1102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groen'!B1103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groen'!B1104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groen'!B1105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groen'!B1106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groen'!B1107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groen'!B1108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groen'!B1109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groen'!B1110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groen'!B1111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groen'!B1112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groen'!B1113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groen'!B1114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groen'!B1115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groen'!B1116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groen'!B1117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groen'!B1118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groen'!B1119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groen'!B1120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groen'!B1121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groen'!B1122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groen'!B1123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groen'!B1124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groen'!B1125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groen'!B1126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groen'!B1127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groen'!B1128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groen'!B1129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groen'!B1130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groen'!B1131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groen'!B1132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groen'!B1133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groen'!B1134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groen'!B1135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groen'!B1136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groen'!B1137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groen'!B1138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groen'!B1139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groen'!B1140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groen'!B1141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groen'!B1142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groen'!B1143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groen'!B1144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groen'!B1145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groen'!B1146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100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100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100" t="inlineStr">
        <is>
          <t>Omschrijving grootboek</t>
        </is>
      </c>
      <c r="H13" s="62" t="inlineStr">
        <is>
          <t>Nr kosten</t>
        </is>
      </c>
      <c r="I13" s="104" t="inlineStr">
        <is>
          <t>Omschrijving kostencategorie</t>
        </is>
      </c>
      <c r="J13" s="101" t="inlineStr">
        <is>
          <t>Nr ver-</t>
        </is>
      </c>
      <c r="K13" s="103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100" t="n"/>
      <c r="B14" s="101" t="inlineStr">
        <is>
          <t>taakveld</t>
        </is>
      </c>
      <c r="C14" s="107" t="inlineStr">
        <is>
          <t>veld</t>
        </is>
      </c>
      <c r="D14" s="108" t="n"/>
      <c r="E14" s="109" t="n"/>
      <c r="F14" s="110" t="n"/>
      <c r="G14" s="171" t="n"/>
      <c r="H14" s="62" t="inlineStr">
        <is>
          <t>Cat</t>
        </is>
      </c>
      <c r="I14" s="104" t="n"/>
      <c r="J14" s="111" t="inlineStr">
        <is>
          <t>bijzondering</t>
        </is>
      </c>
      <c r="K14" s="112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72" t="n"/>
      <c r="B15" s="71" t="n"/>
      <c r="C15" s="71" t="n"/>
      <c r="D15" s="72" t="n"/>
      <c r="E15" s="71" t="n"/>
      <c r="F15" s="113" t="n"/>
      <c r="G15" s="172" t="n"/>
      <c r="H15" s="63" t="n"/>
      <c r="I15" s="114" t="n"/>
      <c r="J15" s="73" t="n"/>
      <c r="K15" s="115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142" t="inlineStr">
        <is>
          <t>A. Uitgaven en inkomsten</t>
        </is>
      </c>
      <c r="B16" s="118" t="n"/>
      <c r="C16" s="71" t="n"/>
      <c r="D16" s="72" t="n"/>
      <c r="E16" s="71" t="n"/>
      <c r="F16" s="113" t="n"/>
      <c r="G16" s="172" t="n"/>
      <c r="H16" s="63" t="n"/>
      <c r="I16" s="114" t="n"/>
      <c r="J16" s="73" t="n"/>
      <c r="K16" s="115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72">
        <f>IFERROR(VLOOKUP(E17,Tabellen!A:F,4),0)</f>
        <v/>
      </c>
      <c r="B17" s="71">
        <f>IFERROR(VLOOKUP(E17,Tabellen!A:F,6),0)</f>
        <v/>
      </c>
      <c r="C17" s="71">
        <f>IFERROR(VLOOKUP(E17,Tabellen!A:F,5),0)</f>
        <v/>
      </c>
      <c r="D17" s="72">
        <f>IFERROR(VLOOKUP(E17,Tabellen!A:F,6),0)</f>
        <v/>
      </c>
      <c r="E17" s="71" t="n"/>
      <c r="F17" s="113" t="n"/>
      <c r="G17" s="172">
        <f>IFERROR(VLOOKUP(E17,Tabellen!A:F,2),0)</f>
        <v/>
      </c>
      <c r="H17" s="63">
        <f>IFERROR(VLOOKUP(E17,Tabellen!A:H,8),0)</f>
        <v/>
      </c>
      <c r="I17" s="114" t="n"/>
      <c r="J17" s="73" t="n"/>
      <c r="K17" s="115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158">
        <f>IFERROR(VLOOKUP(E18,Tabellen!A:F,4),0)</f>
        <v/>
      </c>
      <c r="B18" s="74">
        <f>IFERROR(VLOOKUP(E18,Tabellen!A:F,6),0)</f>
        <v/>
      </c>
      <c r="C18" s="74">
        <f>IFERROR(VLOOKUP(E18,Tabellen!A:F,5),0)</f>
        <v/>
      </c>
      <c r="D18" s="158">
        <f>IFERROR(VLOOKUP(E18,Tabellen!A:F,6),0)</f>
        <v/>
      </c>
      <c r="E18" s="120" t="n"/>
      <c r="F18" s="75">
        <f>IF(E18&gt;0,$L$4,0)</f>
        <v/>
      </c>
      <c r="G18" s="158">
        <f>IFERROR(VLOOKUP(E18,Tabellen!A:F,2),0)</f>
        <v/>
      </c>
      <c r="H18" s="64">
        <f>IFERROR(VLOOKUP(E18,Tabellen!A:H,8),0)</f>
        <v/>
      </c>
      <c r="I18" s="159">
        <f>IFERROR(VLOOKUP(H18,Tabellen!H:I,2),0)</f>
        <v/>
      </c>
      <c r="J18" s="121" t="n"/>
      <c r="K18" s="122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158">
        <f>IFERROR(VLOOKUP(E19,Tabellen!A:F,4),0)</f>
        <v/>
      </c>
      <c r="B19" s="74">
        <f>IFERROR(VLOOKUP(E19,Tabellen!A:F,6),0)</f>
        <v/>
      </c>
      <c r="C19" s="74">
        <f>IFERROR(VLOOKUP(E19,Tabellen!A:F,5),0)</f>
        <v/>
      </c>
      <c r="D19" s="158">
        <f>IFERROR(VLOOKUP(E19,Tabellen!A:F,6),0)</f>
        <v/>
      </c>
      <c r="E19" s="120" t="n"/>
      <c r="F19" s="75">
        <f>IF(E19&gt;0,$L$4,0)</f>
        <v/>
      </c>
      <c r="G19" s="158">
        <f>IFERROR(VLOOKUP(E19,Tabellen!A:F,2),0)</f>
        <v/>
      </c>
      <c r="H19" s="64">
        <f>IFERROR(VLOOKUP(E19,Tabellen!A:H,8),0)</f>
        <v/>
      </c>
      <c r="I19" s="159">
        <f>IFERROR(VLOOKUP(H19,Tabellen!H:I,2),0)</f>
        <v/>
      </c>
      <c r="J19" s="121" t="n"/>
      <c r="K19" s="122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158">
        <f>IFERROR(VLOOKUP(E20,Tabellen!A:F,4),0)</f>
        <v/>
      </c>
      <c r="B20" s="74">
        <f>IFERROR(VLOOKUP(E20,Tabellen!A:F,6),0)</f>
        <v/>
      </c>
      <c r="C20" s="74">
        <f>IFERROR(VLOOKUP(E20,Tabellen!A:F,5),0)</f>
        <v/>
      </c>
      <c r="D20" s="158">
        <f>IFERROR(VLOOKUP(E20,Tabellen!A:F,6),0)</f>
        <v/>
      </c>
      <c r="E20" s="120" t="n"/>
      <c r="F20" s="75">
        <f>IF(E20&gt;0,$L$4,0)</f>
        <v/>
      </c>
      <c r="G20" s="158">
        <f>IFERROR(VLOOKUP(E20,Tabellen!A:F,2),0)</f>
        <v/>
      </c>
      <c r="H20" s="64">
        <f>IFERROR(VLOOKUP(E20,Tabellen!A:H,8),0)</f>
        <v/>
      </c>
      <c r="I20" s="159">
        <f>IFERROR(VLOOKUP(H20,Tabellen!H:I,2),0)</f>
        <v/>
      </c>
      <c r="J20" s="121" t="n"/>
      <c r="K20" s="122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158">
        <f>IFERROR(VLOOKUP(E21,Tabellen!A:F,4),0)</f>
        <v/>
      </c>
      <c r="B21" s="74">
        <f>IFERROR(VLOOKUP(E21,Tabellen!A:F,6),0)</f>
        <v/>
      </c>
      <c r="C21" s="74">
        <f>IFERROR(VLOOKUP(E21,Tabellen!A:F,5),0)</f>
        <v/>
      </c>
      <c r="D21" s="158">
        <f>IFERROR(VLOOKUP(E21,Tabellen!A:F,6),0)</f>
        <v/>
      </c>
      <c r="E21" s="120" t="n"/>
      <c r="F21" s="75">
        <f>IF(E21&gt;0,$L$4,0)</f>
        <v/>
      </c>
      <c r="G21" s="158">
        <f>IFERROR(VLOOKUP(E21,Tabellen!A:F,2),0)</f>
        <v/>
      </c>
      <c r="H21" s="64">
        <f>IFERROR(VLOOKUP(E21,Tabellen!A:H,8),0)</f>
        <v/>
      </c>
      <c r="I21" s="159">
        <f>IFERROR(VLOOKUP(H21,Tabellen!H:I,2),0)</f>
        <v/>
      </c>
      <c r="J21" s="121" t="n"/>
      <c r="K21" s="122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158">
        <f>IFERROR(VLOOKUP(E22,Tabellen!A:F,4),0)</f>
        <v/>
      </c>
      <c r="B22" s="74">
        <f>IFERROR(VLOOKUP(E22,Tabellen!A:F,6),0)</f>
        <v/>
      </c>
      <c r="C22" s="74">
        <f>IFERROR(VLOOKUP(E22,Tabellen!A:F,5),0)</f>
        <v/>
      </c>
      <c r="D22" s="158">
        <f>IFERROR(VLOOKUP(E22,Tabellen!A:F,6),0)</f>
        <v/>
      </c>
      <c r="E22" s="120" t="n"/>
      <c r="F22" s="75">
        <f>IF(E22&gt;0,$L$4,0)</f>
        <v/>
      </c>
      <c r="G22" s="158">
        <f>IFERROR(VLOOKUP(E22,Tabellen!A:F,2),0)</f>
        <v/>
      </c>
      <c r="H22" s="64">
        <f>IFERROR(VLOOKUP(E22,Tabellen!A:H,8),0)</f>
        <v/>
      </c>
      <c r="I22" s="159">
        <f>IFERROR(VLOOKUP(H22,Tabellen!H:I,2),0)</f>
        <v/>
      </c>
      <c r="J22" s="121" t="n"/>
      <c r="K22" s="122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158">
        <f>IFERROR(VLOOKUP(E23,Tabellen!A:F,4),0)</f>
        <v/>
      </c>
      <c r="B23" s="74">
        <f>IFERROR(VLOOKUP(E23,Tabellen!A:F,6),0)</f>
        <v/>
      </c>
      <c r="C23" s="74">
        <f>IFERROR(VLOOKUP(E23,Tabellen!A:F,5),0)</f>
        <v/>
      </c>
      <c r="D23" s="158">
        <f>IFERROR(VLOOKUP(E23,Tabellen!A:F,6),0)</f>
        <v/>
      </c>
      <c r="E23" s="120" t="n"/>
      <c r="F23" s="75">
        <f>IF(E23&gt;0,$L$4,0)</f>
        <v/>
      </c>
      <c r="G23" s="158">
        <f>IFERROR(VLOOKUP(E23,Tabellen!A:F,2),0)</f>
        <v/>
      </c>
      <c r="H23" s="64">
        <f>IFERROR(VLOOKUP(E23,Tabellen!A:H,8),0)</f>
        <v/>
      </c>
      <c r="I23" s="159">
        <f>IFERROR(VLOOKUP(H23,Tabellen!H:I,2),0)</f>
        <v/>
      </c>
      <c r="J23" s="121" t="n"/>
      <c r="K23" s="122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158">
        <f>IFERROR(VLOOKUP(E24,Tabellen!A:F,4),0)</f>
        <v/>
      </c>
      <c r="B24" s="74">
        <f>IFERROR(VLOOKUP(E24,Tabellen!A:F,6),0)</f>
        <v/>
      </c>
      <c r="C24" s="74">
        <f>IFERROR(VLOOKUP(E24,Tabellen!A:F,5),0)</f>
        <v/>
      </c>
      <c r="D24" s="158">
        <f>IFERROR(VLOOKUP(E24,Tabellen!A:F,6),0)</f>
        <v/>
      </c>
      <c r="E24" s="120" t="n"/>
      <c r="F24" s="75">
        <f>IF(E24&gt;0,$L$4,0)</f>
        <v/>
      </c>
      <c r="G24" s="158">
        <f>IFERROR(VLOOKUP(E24,Tabellen!A:F,2),0)</f>
        <v/>
      </c>
      <c r="H24" s="64">
        <f>IFERROR(VLOOKUP(E24,Tabellen!A:H,8),0)</f>
        <v/>
      </c>
      <c r="I24" s="159">
        <f>IFERROR(VLOOKUP(H24,Tabellen!H:I,2),0)</f>
        <v/>
      </c>
      <c r="J24" s="121" t="n"/>
      <c r="K24" s="122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158">
        <f>IFERROR(VLOOKUP(E25,Tabellen!A:F,4),0)</f>
        <v/>
      </c>
      <c r="B25" s="74">
        <f>IFERROR(VLOOKUP(E25,Tabellen!A:F,6),0)</f>
        <v/>
      </c>
      <c r="C25" s="74">
        <f>IFERROR(VLOOKUP(E25,Tabellen!A:F,5),0)</f>
        <v/>
      </c>
      <c r="D25" s="158">
        <f>IFERROR(VLOOKUP(E25,Tabellen!A:F,6),0)</f>
        <v/>
      </c>
      <c r="E25" s="120" t="n"/>
      <c r="F25" s="75">
        <f>IF(E25&gt;0,$L$4,0)</f>
        <v/>
      </c>
      <c r="G25" s="158">
        <f>IFERROR(VLOOKUP(E25,Tabellen!A:F,2),0)</f>
        <v/>
      </c>
      <c r="H25" s="64">
        <f>IFERROR(VLOOKUP(E25,Tabellen!A:H,8),0)</f>
        <v/>
      </c>
      <c r="I25" s="159">
        <f>IFERROR(VLOOKUP(H25,Tabellen!H:I,2),0)</f>
        <v/>
      </c>
      <c r="J25" s="121" t="n"/>
      <c r="K25" s="122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158">
        <f>IFERROR(VLOOKUP(E26,Tabellen!A:F,4),0)</f>
        <v/>
      </c>
      <c r="B26" s="74">
        <f>IFERROR(VLOOKUP(E26,Tabellen!A:F,6),0)</f>
        <v/>
      </c>
      <c r="C26" s="74">
        <f>IFERROR(VLOOKUP(E26,Tabellen!A:F,5),0)</f>
        <v/>
      </c>
      <c r="D26" s="158">
        <f>IFERROR(VLOOKUP(E26,Tabellen!A:F,6),0)</f>
        <v/>
      </c>
      <c r="E26" s="120" t="n"/>
      <c r="F26" s="75">
        <f>IF(E26&gt;0,$L$4,0)</f>
        <v/>
      </c>
      <c r="G26" s="158">
        <f>IFERROR(VLOOKUP(E26,Tabellen!A:F,2),0)</f>
        <v/>
      </c>
      <c r="H26" s="64">
        <f>IFERROR(VLOOKUP(E26,Tabellen!A:H,8),0)</f>
        <v/>
      </c>
      <c r="I26" s="159">
        <f>IFERROR(VLOOKUP(H26,Tabellen!H:I,2),0)</f>
        <v/>
      </c>
      <c r="J26" s="121" t="n"/>
      <c r="K26" s="122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158">
        <f>IFERROR(VLOOKUP(E27,Tabellen!A:F,4),0)</f>
        <v/>
      </c>
      <c r="B27" s="74">
        <f>IFERROR(VLOOKUP(E27,Tabellen!A:F,6),0)</f>
        <v/>
      </c>
      <c r="C27" s="74">
        <f>IFERROR(VLOOKUP(E27,Tabellen!A:F,5),0)</f>
        <v/>
      </c>
      <c r="D27" s="158">
        <f>IFERROR(VLOOKUP(E27,Tabellen!A:F,6),0)</f>
        <v/>
      </c>
      <c r="E27" s="120" t="n"/>
      <c r="F27" s="75">
        <f>IF(E27&gt;0,$L$4,0)</f>
        <v/>
      </c>
      <c r="G27" s="158">
        <f>IFERROR(VLOOKUP(E27,Tabellen!A:F,2),0)</f>
        <v/>
      </c>
      <c r="H27" s="64">
        <f>IFERROR(VLOOKUP(E27,Tabellen!A:H,8),0)</f>
        <v/>
      </c>
      <c r="I27" s="159">
        <f>IFERROR(VLOOKUP(H27,Tabellen!H:I,2),0)</f>
        <v/>
      </c>
      <c r="J27" s="121" t="n"/>
      <c r="K27" s="122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158">
        <f>IFERROR(VLOOKUP(E28,Tabellen!A:F,4),0)</f>
        <v/>
      </c>
      <c r="B28" s="74">
        <f>IFERROR(VLOOKUP(E28,Tabellen!A:F,6),0)</f>
        <v/>
      </c>
      <c r="C28" s="74">
        <f>IFERROR(VLOOKUP(E28,Tabellen!A:F,5),0)</f>
        <v/>
      </c>
      <c r="D28" s="158">
        <f>IFERROR(VLOOKUP(E28,Tabellen!A:F,6),0)</f>
        <v/>
      </c>
      <c r="E28" s="120" t="n"/>
      <c r="F28" s="75">
        <f>IF(E28&gt;0,$L$4,0)</f>
        <v/>
      </c>
      <c r="G28" s="158">
        <f>IFERROR(VLOOKUP(E28,Tabellen!A:F,2),0)</f>
        <v/>
      </c>
      <c r="H28" s="64">
        <f>IFERROR(VLOOKUP(E28,Tabellen!A:H,8),0)</f>
        <v/>
      </c>
      <c r="I28" s="159">
        <f>IFERROR(VLOOKUP(H28,Tabellen!H:I,2),0)</f>
        <v/>
      </c>
      <c r="J28" s="121" t="n"/>
      <c r="K28" s="122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158">
        <f>IFERROR(VLOOKUP(E29,Tabellen!A:F,4),0)</f>
        <v/>
      </c>
      <c r="B29" s="74">
        <f>IFERROR(VLOOKUP(E29,Tabellen!A:F,6),0)</f>
        <v/>
      </c>
      <c r="C29" s="74">
        <f>IFERROR(VLOOKUP(E29,Tabellen!A:F,5),0)</f>
        <v/>
      </c>
      <c r="D29" s="158">
        <f>IFERROR(VLOOKUP(E29,Tabellen!A:F,6),0)</f>
        <v/>
      </c>
      <c r="E29" s="120" t="n"/>
      <c r="F29" s="75">
        <f>IF(E29&gt;0,$L$4,0)</f>
        <v/>
      </c>
      <c r="G29" s="158">
        <f>IFERROR(VLOOKUP(E29,Tabellen!A:F,2),0)</f>
        <v/>
      </c>
      <c r="H29" s="64">
        <f>IFERROR(VLOOKUP(E29,Tabellen!A:H,8),0)</f>
        <v/>
      </c>
      <c r="I29" s="159">
        <f>IFERROR(VLOOKUP(H29,Tabellen!H:I,2),0)</f>
        <v/>
      </c>
      <c r="J29" s="121" t="n"/>
      <c r="K29" s="122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158">
        <f>IFERROR(VLOOKUP(E30,Tabellen!A:F,4),0)</f>
        <v/>
      </c>
      <c r="B30" s="74">
        <f>IFERROR(VLOOKUP(E30,Tabellen!A:F,6),0)</f>
        <v/>
      </c>
      <c r="C30" s="74">
        <f>IFERROR(VLOOKUP(E30,Tabellen!A:F,5),0)</f>
        <v/>
      </c>
      <c r="D30" s="158">
        <f>IFERROR(VLOOKUP(E30,Tabellen!A:F,6),0)</f>
        <v/>
      </c>
      <c r="E30" s="120" t="n"/>
      <c r="F30" s="75">
        <f>IF(E30&gt;0,$L$4,0)</f>
        <v/>
      </c>
      <c r="G30" s="158">
        <f>IFERROR(VLOOKUP(E30,Tabellen!A:F,2),0)</f>
        <v/>
      </c>
      <c r="H30" s="64">
        <f>IFERROR(VLOOKUP(E30,Tabellen!A:H,8),0)</f>
        <v/>
      </c>
      <c r="I30" s="159">
        <f>IFERROR(VLOOKUP(H30,Tabellen!H:I,2),0)</f>
        <v/>
      </c>
      <c r="J30" s="121" t="n"/>
      <c r="K30" s="122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158">
        <f>IFERROR(VLOOKUP(E31,Tabellen!A:F,4),0)</f>
        <v/>
      </c>
      <c r="B31" s="74">
        <f>IFERROR(VLOOKUP(E31,Tabellen!A:F,6),0)</f>
        <v/>
      </c>
      <c r="C31" s="74">
        <f>IFERROR(VLOOKUP(E31,Tabellen!A:F,5),0)</f>
        <v/>
      </c>
      <c r="D31" s="158">
        <f>IFERROR(VLOOKUP(E31,Tabellen!A:F,6),0)</f>
        <v/>
      </c>
      <c r="E31" s="120" t="n"/>
      <c r="F31" s="75">
        <f>IF(E31&gt;0,$L$4,0)</f>
        <v/>
      </c>
      <c r="G31" s="158">
        <f>IFERROR(VLOOKUP(E31,Tabellen!A:F,2),0)</f>
        <v/>
      </c>
      <c r="H31" s="64">
        <f>IFERROR(VLOOKUP(E31,Tabellen!A:H,8),0)</f>
        <v/>
      </c>
      <c r="I31" s="159">
        <f>IFERROR(VLOOKUP(H31,Tabellen!H:I,2),0)</f>
        <v/>
      </c>
      <c r="J31" s="121" t="n"/>
      <c r="K31" s="122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158">
        <f>IFERROR(VLOOKUP(E32,Tabellen!A:F,4),0)</f>
        <v/>
      </c>
      <c r="B32" s="74">
        <f>IFERROR(VLOOKUP(E32,Tabellen!A:F,6),0)</f>
        <v/>
      </c>
      <c r="C32" s="74">
        <f>IFERROR(VLOOKUP(E32,Tabellen!A:F,5),0)</f>
        <v/>
      </c>
      <c r="D32" s="158">
        <f>IFERROR(VLOOKUP(E32,Tabellen!A:F,6),0)</f>
        <v/>
      </c>
      <c r="E32" s="120" t="n"/>
      <c r="F32" s="75">
        <f>IF(E32&gt;0,$L$4,0)</f>
        <v/>
      </c>
      <c r="G32" s="158">
        <f>IFERROR(VLOOKUP(E32,Tabellen!A:F,2),0)</f>
        <v/>
      </c>
      <c r="H32" s="64">
        <f>IFERROR(VLOOKUP(E32,Tabellen!A:H,8),0)</f>
        <v/>
      </c>
      <c r="I32" s="159">
        <f>IFERROR(VLOOKUP(H32,Tabellen!H:I,2),0)</f>
        <v/>
      </c>
      <c r="J32" s="121" t="n"/>
      <c r="K32" s="122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158">
        <f>IFERROR(VLOOKUP(E33,Tabellen!A:F,4),0)</f>
        <v/>
      </c>
      <c r="B33" s="74">
        <f>IFERROR(VLOOKUP(E33,Tabellen!A:F,6),0)</f>
        <v/>
      </c>
      <c r="C33" s="74">
        <f>IFERROR(VLOOKUP(E33,Tabellen!A:F,5),0)</f>
        <v/>
      </c>
      <c r="D33" s="158">
        <f>IFERROR(VLOOKUP(E33,Tabellen!A:F,6),0)</f>
        <v/>
      </c>
      <c r="E33" s="120" t="n"/>
      <c r="F33" s="75">
        <f>IF(E33&gt;0,$L$4,0)</f>
        <v/>
      </c>
      <c r="G33" s="158">
        <f>IFERROR(VLOOKUP(E33,Tabellen!A:F,2),0)</f>
        <v/>
      </c>
      <c r="H33" s="64">
        <f>IFERROR(VLOOKUP(E33,Tabellen!A:H,8),0)</f>
        <v/>
      </c>
      <c r="I33" s="159">
        <f>IFERROR(VLOOKUP(H33,Tabellen!H:I,2),0)</f>
        <v/>
      </c>
      <c r="J33" s="121" t="n"/>
      <c r="K33" s="122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158">
        <f>IFERROR(VLOOKUP(E34,Tabellen!A:F,4),0)</f>
        <v/>
      </c>
      <c r="B34" s="74">
        <f>IFERROR(VLOOKUP(E34,Tabellen!A:F,6),0)</f>
        <v/>
      </c>
      <c r="C34" s="74">
        <f>IFERROR(VLOOKUP(E34,Tabellen!A:F,5),0)</f>
        <v/>
      </c>
      <c r="D34" s="158">
        <f>IFERROR(VLOOKUP(E34,Tabellen!A:F,6),0)</f>
        <v/>
      </c>
      <c r="E34" s="120" t="n"/>
      <c r="F34" s="75">
        <f>IF(E34&gt;0,$L$4,0)</f>
        <v/>
      </c>
      <c r="G34" s="158">
        <f>IFERROR(VLOOKUP(E34,Tabellen!A:F,2),0)</f>
        <v/>
      </c>
      <c r="H34" s="64">
        <f>IFERROR(VLOOKUP(E34,Tabellen!A:H,8),0)</f>
        <v/>
      </c>
      <c r="I34" s="159">
        <f>IFERROR(VLOOKUP(H34,Tabellen!H:I,2),0)</f>
        <v/>
      </c>
      <c r="J34" s="121" t="n"/>
      <c r="K34" s="122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158">
        <f>IFERROR(VLOOKUP(E35,Tabellen!A:F,4),0)</f>
        <v/>
      </c>
      <c r="B35" s="74">
        <f>IFERROR(VLOOKUP(E35,Tabellen!A:F,6),0)</f>
        <v/>
      </c>
      <c r="C35" s="74">
        <f>IFERROR(VLOOKUP(E35,Tabellen!A:F,5),0)</f>
        <v/>
      </c>
      <c r="D35" s="158">
        <f>IFERROR(VLOOKUP(E35,Tabellen!A:F,6),0)</f>
        <v/>
      </c>
      <c r="E35" s="120" t="n"/>
      <c r="F35" s="75">
        <f>IF(E35&gt;0,$L$4,0)</f>
        <v/>
      </c>
      <c r="G35" s="158">
        <f>IFERROR(VLOOKUP(E35,Tabellen!A:F,2),0)</f>
        <v/>
      </c>
      <c r="H35" s="64">
        <f>IFERROR(VLOOKUP(E35,Tabellen!A:H,8),0)</f>
        <v/>
      </c>
      <c r="I35" s="159">
        <f>IFERROR(VLOOKUP(H35,Tabellen!H:I,2),0)</f>
        <v/>
      </c>
      <c r="J35" s="121" t="n"/>
      <c r="K35" s="122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158">
        <f>IFERROR(VLOOKUP(E36,Tabellen!A:F,4),0)</f>
        <v/>
      </c>
      <c r="B36" s="74">
        <f>IFERROR(VLOOKUP(E36,Tabellen!A:F,6),0)</f>
        <v/>
      </c>
      <c r="C36" s="74">
        <f>IFERROR(VLOOKUP(E36,Tabellen!A:F,5),0)</f>
        <v/>
      </c>
      <c r="D36" s="158">
        <f>IFERROR(VLOOKUP(E36,Tabellen!A:F,6),0)</f>
        <v/>
      </c>
      <c r="E36" s="120" t="n"/>
      <c r="F36" s="75">
        <f>IF(E36&gt;0,$L$4,0)</f>
        <v/>
      </c>
      <c r="G36" s="158">
        <f>IFERROR(VLOOKUP(E36,Tabellen!A:F,2),0)</f>
        <v/>
      </c>
      <c r="H36" s="64">
        <f>IFERROR(VLOOKUP(E36,Tabellen!A:H,8),0)</f>
        <v/>
      </c>
      <c r="I36" s="159">
        <f>IFERROR(VLOOKUP(H36,Tabellen!H:I,2),0)</f>
        <v/>
      </c>
      <c r="J36" s="121" t="n"/>
      <c r="K36" s="122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158">
        <f>IFERROR(VLOOKUP(E37,Tabellen!A:F,4),0)</f>
        <v/>
      </c>
      <c r="B37" s="74">
        <f>IFERROR(VLOOKUP(E37,Tabellen!A:F,6),0)</f>
        <v/>
      </c>
      <c r="C37" s="74">
        <f>IFERROR(VLOOKUP(E37,Tabellen!A:F,5),0)</f>
        <v/>
      </c>
      <c r="D37" s="158">
        <f>IFERROR(VLOOKUP(E37,Tabellen!A:F,6),0)</f>
        <v/>
      </c>
      <c r="E37" s="120" t="n"/>
      <c r="F37" s="75">
        <f>IF(E37&gt;0,$L$4,0)</f>
        <v/>
      </c>
      <c r="G37" s="158">
        <f>IFERROR(VLOOKUP(E37,Tabellen!A:F,2),0)</f>
        <v/>
      </c>
      <c r="H37" s="64">
        <f>IFERROR(VLOOKUP(E37,Tabellen!A:H,8),0)</f>
        <v/>
      </c>
      <c r="I37" s="159">
        <f>IFERROR(VLOOKUP(H37,Tabellen!H:I,2),0)</f>
        <v/>
      </c>
      <c r="J37" s="121" t="n"/>
      <c r="K37" s="122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158">
        <f>IFERROR(VLOOKUP(E38,Tabellen!A:F,4),0)</f>
        <v/>
      </c>
      <c r="B38" s="74">
        <f>IFERROR(VLOOKUP(E38,Tabellen!A:F,6),0)</f>
        <v/>
      </c>
      <c r="C38" s="74">
        <f>IFERROR(VLOOKUP(E38,Tabellen!A:F,5),0)</f>
        <v/>
      </c>
      <c r="D38" s="158">
        <f>IFERROR(VLOOKUP(E38,Tabellen!A:F,6),0)</f>
        <v/>
      </c>
      <c r="E38" s="120" t="n"/>
      <c r="F38" s="75">
        <f>IF(E38&gt;0,$L$4,0)</f>
        <v/>
      </c>
      <c r="G38" s="158">
        <f>IFERROR(VLOOKUP(E38,Tabellen!A:F,2),0)</f>
        <v/>
      </c>
      <c r="H38" s="64">
        <f>IFERROR(VLOOKUP(E38,Tabellen!A:H,8),0)</f>
        <v/>
      </c>
      <c r="I38" s="159">
        <f>IFERROR(VLOOKUP(H38,Tabellen!H:I,2),0)</f>
        <v/>
      </c>
      <c r="J38" s="121" t="n"/>
      <c r="K38" s="122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158">
        <f>IFERROR(VLOOKUP(E39,Tabellen!A:F,4),0)</f>
        <v/>
      </c>
      <c r="B39" s="74">
        <f>IFERROR(VLOOKUP(E39,Tabellen!A:F,6),0)</f>
        <v/>
      </c>
      <c r="C39" s="74">
        <f>IFERROR(VLOOKUP(E39,Tabellen!A:F,5),0)</f>
        <v/>
      </c>
      <c r="D39" s="158">
        <f>IFERROR(VLOOKUP(E39,Tabellen!A:F,6),0)</f>
        <v/>
      </c>
      <c r="E39" s="120" t="n"/>
      <c r="F39" s="75">
        <f>IF(E39&gt;0,$L$4,0)</f>
        <v/>
      </c>
      <c r="G39" s="158">
        <f>IFERROR(VLOOKUP(E39,Tabellen!A:F,2),0)</f>
        <v/>
      </c>
      <c r="H39" s="64">
        <f>IFERROR(VLOOKUP(E39,Tabellen!A:H,8),0)</f>
        <v/>
      </c>
      <c r="I39" s="159">
        <f>IFERROR(VLOOKUP(H39,Tabellen!H:I,2),0)</f>
        <v/>
      </c>
      <c r="J39" s="121" t="n"/>
      <c r="K39" s="122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158">
        <f>IFERROR(VLOOKUP(E40,Tabellen!A:F,4),0)</f>
        <v/>
      </c>
      <c r="B40" s="74">
        <f>IFERROR(VLOOKUP(E40,Tabellen!A:F,6),0)</f>
        <v/>
      </c>
      <c r="C40" s="74">
        <f>IFERROR(VLOOKUP(E40,Tabellen!A:F,5),0)</f>
        <v/>
      </c>
      <c r="D40" s="158">
        <f>IFERROR(VLOOKUP(E40,Tabellen!A:F,6),0)</f>
        <v/>
      </c>
      <c r="E40" s="120" t="n"/>
      <c r="F40" s="75">
        <f>IF(E40&gt;0,$L$4,0)</f>
        <v/>
      </c>
      <c r="G40" s="158">
        <f>IFERROR(VLOOKUP(E40,Tabellen!A:F,2),0)</f>
        <v/>
      </c>
      <c r="H40" s="64">
        <f>IFERROR(VLOOKUP(E40,Tabellen!A:H,8),0)</f>
        <v/>
      </c>
      <c r="I40" s="159">
        <f>IFERROR(VLOOKUP(H40,Tabellen!H:I,2),0)</f>
        <v/>
      </c>
      <c r="J40" s="121" t="n"/>
      <c r="K40" s="122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158">
        <f>IFERROR(VLOOKUP(E41,Tabellen!A:F,4),0)</f>
        <v/>
      </c>
      <c r="B41" s="74">
        <f>IFERROR(VLOOKUP(E41,Tabellen!A:F,6),0)</f>
        <v/>
      </c>
      <c r="C41" s="74">
        <f>IFERROR(VLOOKUP(E41,Tabellen!A:F,5),0)</f>
        <v/>
      </c>
      <c r="D41" s="158">
        <f>IFERROR(VLOOKUP(E41,Tabellen!A:F,6),0)</f>
        <v/>
      </c>
      <c r="E41" s="120" t="n"/>
      <c r="F41" s="75">
        <f>IF(E41&gt;0,$L$4,0)</f>
        <v/>
      </c>
      <c r="G41" s="158">
        <f>IFERROR(VLOOKUP(E41,Tabellen!A:F,2),0)</f>
        <v/>
      </c>
      <c r="H41" s="64">
        <f>IFERROR(VLOOKUP(E41,Tabellen!A:H,8),0)</f>
        <v/>
      </c>
      <c r="I41" s="159">
        <f>IFERROR(VLOOKUP(H41,Tabellen!H:I,2),0)</f>
        <v/>
      </c>
      <c r="J41" s="121" t="n"/>
      <c r="K41" s="122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158">
        <f>IFERROR(VLOOKUP(E42,Tabellen!A:F,4),0)</f>
        <v/>
      </c>
      <c r="B42" s="74">
        <f>IFERROR(VLOOKUP(E42,Tabellen!A:F,6),0)</f>
        <v/>
      </c>
      <c r="C42" s="74">
        <f>IFERROR(VLOOKUP(E42,Tabellen!A:F,5),0)</f>
        <v/>
      </c>
      <c r="D42" s="158">
        <f>IFERROR(VLOOKUP(E42,Tabellen!A:F,6),0)</f>
        <v/>
      </c>
      <c r="E42" s="120" t="n"/>
      <c r="F42" s="75">
        <f>IF(E42&gt;0,$L$4,0)</f>
        <v/>
      </c>
      <c r="G42" s="158">
        <f>IFERROR(VLOOKUP(E42,Tabellen!A:F,2),0)</f>
        <v/>
      </c>
      <c r="H42" s="64">
        <f>IFERROR(VLOOKUP(E42,Tabellen!A:H,8),0)</f>
        <v/>
      </c>
      <c r="I42" s="159">
        <f>IFERROR(VLOOKUP(H42,Tabellen!H:I,2),0)</f>
        <v/>
      </c>
      <c r="J42" s="121" t="n"/>
      <c r="K42" s="122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158">
        <f>IFERROR(VLOOKUP(E43,Tabellen!A:F,4),0)</f>
        <v/>
      </c>
      <c r="B43" s="74">
        <f>IFERROR(VLOOKUP(E43,Tabellen!A:F,6),0)</f>
        <v/>
      </c>
      <c r="C43" s="74">
        <f>IFERROR(VLOOKUP(E43,Tabellen!A:F,5),0)</f>
        <v/>
      </c>
      <c r="D43" s="158">
        <f>IFERROR(VLOOKUP(E43,Tabellen!A:F,6),0)</f>
        <v/>
      </c>
      <c r="E43" s="120" t="n"/>
      <c r="F43" s="75">
        <f>IF(E43&gt;0,$L$4,0)</f>
        <v/>
      </c>
      <c r="G43" s="158">
        <f>IFERROR(VLOOKUP(E43,Tabellen!A:F,2),0)</f>
        <v/>
      </c>
      <c r="H43" s="64">
        <f>IFERROR(VLOOKUP(E43,Tabellen!A:H,8),0)</f>
        <v/>
      </c>
      <c r="I43" s="159">
        <f>IFERROR(VLOOKUP(H43,Tabellen!H:I,2),0)</f>
        <v/>
      </c>
      <c r="J43" s="121" t="n"/>
      <c r="K43" s="122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158">
        <f>IFERROR(VLOOKUP(E44,Tabellen!A:F,4),0)</f>
        <v/>
      </c>
      <c r="B44" s="74">
        <f>IFERROR(VLOOKUP(E44,Tabellen!A:F,6),0)</f>
        <v/>
      </c>
      <c r="C44" s="74">
        <f>IFERROR(VLOOKUP(E44,Tabellen!A:F,5),0)</f>
        <v/>
      </c>
      <c r="D44" s="158">
        <f>IFERROR(VLOOKUP(E44,Tabellen!A:F,6),0)</f>
        <v/>
      </c>
      <c r="E44" s="120" t="n"/>
      <c r="F44" s="75">
        <f>IF(E44&gt;0,$L$4,0)</f>
        <v/>
      </c>
      <c r="G44" s="158">
        <f>IFERROR(VLOOKUP(E44,Tabellen!A:F,2),0)</f>
        <v/>
      </c>
      <c r="H44" s="64">
        <f>IFERROR(VLOOKUP(E44,Tabellen!A:H,8),0)</f>
        <v/>
      </c>
      <c r="I44" s="159">
        <f>IFERROR(VLOOKUP(H44,Tabellen!H:I,2),0)</f>
        <v/>
      </c>
      <c r="J44" s="121" t="n"/>
      <c r="K44" s="122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158">
        <f>IFERROR(VLOOKUP(E45,Tabellen!A:F,4),0)</f>
        <v/>
      </c>
      <c r="B45" s="74">
        <f>IFERROR(VLOOKUP(E45,Tabellen!A:F,6),0)</f>
        <v/>
      </c>
      <c r="C45" s="74">
        <f>IFERROR(VLOOKUP(E45,Tabellen!A:F,5),0)</f>
        <v/>
      </c>
      <c r="D45" s="158">
        <f>IFERROR(VLOOKUP(E45,Tabellen!A:F,6),0)</f>
        <v/>
      </c>
      <c r="E45" s="120" t="n"/>
      <c r="F45" s="75">
        <f>IF(E45&gt;0,$L$4,0)</f>
        <v/>
      </c>
      <c r="G45" s="158">
        <f>IFERROR(VLOOKUP(E45,Tabellen!A:F,2),0)</f>
        <v/>
      </c>
      <c r="H45" s="64">
        <f>IFERROR(VLOOKUP(E45,Tabellen!A:H,8),0)</f>
        <v/>
      </c>
      <c r="I45" s="159">
        <f>IFERROR(VLOOKUP(H45,Tabellen!H:I,2),0)</f>
        <v/>
      </c>
      <c r="J45" s="121" t="n"/>
      <c r="K45" s="122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158">
        <f>IFERROR(VLOOKUP(E46,Tabellen!A:F,4),0)</f>
        <v/>
      </c>
      <c r="B46" s="74">
        <f>IFERROR(VLOOKUP(E46,Tabellen!A:F,6),0)</f>
        <v/>
      </c>
      <c r="C46" s="74">
        <f>IFERROR(VLOOKUP(E46,Tabellen!A:F,5),0)</f>
        <v/>
      </c>
      <c r="D46" s="158">
        <f>IFERROR(VLOOKUP(E46,Tabellen!A:F,6),0)</f>
        <v/>
      </c>
      <c r="E46" s="120" t="n"/>
      <c r="F46" s="75">
        <f>IF(E46&gt;0,$L$4,0)</f>
        <v/>
      </c>
      <c r="G46" s="158">
        <f>IFERROR(VLOOKUP(E46,Tabellen!A:F,2),0)</f>
        <v/>
      </c>
      <c r="H46" s="64">
        <f>IFERROR(VLOOKUP(E46,Tabellen!A:H,8),0)</f>
        <v/>
      </c>
      <c r="I46" s="159">
        <f>IFERROR(VLOOKUP(H46,Tabellen!H:I,2),0)</f>
        <v/>
      </c>
      <c r="J46" s="121" t="n"/>
      <c r="K46" s="122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158">
        <f>IFERROR(VLOOKUP(E47,Tabellen!A:F,4),0)</f>
        <v/>
      </c>
      <c r="B47" s="74">
        <f>IFERROR(VLOOKUP(E47,Tabellen!A:F,6),0)</f>
        <v/>
      </c>
      <c r="C47" s="74">
        <f>IFERROR(VLOOKUP(E47,Tabellen!A:F,5),0)</f>
        <v/>
      </c>
      <c r="D47" s="158">
        <f>IFERROR(VLOOKUP(E47,Tabellen!A:F,6),0)</f>
        <v/>
      </c>
      <c r="E47" s="120" t="n"/>
      <c r="F47" s="75">
        <f>IF(E47&gt;0,$L$4,0)</f>
        <v/>
      </c>
      <c r="G47" s="158">
        <f>IFERROR(VLOOKUP(E47,Tabellen!A:F,2),0)</f>
        <v/>
      </c>
      <c r="H47" s="64">
        <f>IFERROR(VLOOKUP(E47,Tabellen!A:H,8),0)</f>
        <v/>
      </c>
      <c r="I47" s="159">
        <f>IFERROR(VLOOKUP(H47,Tabellen!H:I,2),0)</f>
        <v/>
      </c>
      <c r="J47" s="121" t="n"/>
      <c r="K47" s="122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158">
        <f>IFERROR(VLOOKUP(E48,Tabellen!A:F,4),0)</f>
        <v/>
      </c>
      <c r="B48" s="74">
        <f>IFERROR(VLOOKUP(E48,Tabellen!A:F,6),0)</f>
        <v/>
      </c>
      <c r="C48" s="74">
        <f>IFERROR(VLOOKUP(E48,Tabellen!A:F,5),0)</f>
        <v/>
      </c>
      <c r="D48" s="158">
        <f>IFERROR(VLOOKUP(E48,Tabellen!A:F,6),0)</f>
        <v/>
      </c>
      <c r="E48" s="120" t="n"/>
      <c r="F48" s="75">
        <f>IF(E48&gt;0,$L$4,0)</f>
        <v/>
      </c>
      <c r="G48" s="158">
        <f>IFERROR(VLOOKUP(E48,Tabellen!A:F,2),0)</f>
        <v/>
      </c>
      <c r="H48" s="64">
        <f>IFERROR(VLOOKUP(E48,Tabellen!A:H,8),0)</f>
        <v/>
      </c>
      <c r="I48" s="159">
        <f>IFERROR(VLOOKUP(H48,Tabellen!H:I,2),0)</f>
        <v/>
      </c>
      <c r="J48" s="121" t="n"/>
      <c r="K48" s="122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158">
        <f>IFERROR(VLOOKUP(E49,Tabellen!A:F,4),0)</f>
        <v/>
      </c>
      <c r="B49" s="74">
        <f>IFERROR(VLOOKUP(E49,Tabellen!A:F,6),0)</f>
        <v/>
      </c>
      <c r="C49" s="74">
        <f>IFERROR(VLOOKUP(E49,Tabellen!A:F,5),0)</f>
        <v/>
      </c>
      <c r="D49" s="158">
        <f>IFERROR(VLOOKUP(E49,Tabellen!A:F,6),0)</f>
        <v/>
      </c>
      <c r="E49" s="120" t="n"/>
      <c r="F49" s="75">
        <f>IF(E49&gt;0,$L$4,0)</f>
        <v/>
      </c>
      <c r="G49" s="158">
        <f>IFERROR(VLOOKUP(E49,Tabellen!A:F,2),0)</f>
        <v/>
      </c>
      <c r="H49" s="64">
        <f>IFERROR(VLOOKUP(E49,Tabellen!A:H,8),0)</f>
        <v/>
      </c>
      <c r="I49" s="159">
        <f>IFERROR(VLOOKUP(H49,Tabellen!H:I,2),0)</f>
        <v/>
      </c>
      <c r="J49" s="121" t="n"/>
      <c r="K49" s="122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158">
        <f>IFERROR(VLOOKUP(E50,Tabellen!A:F,4),0)</f>
        <v/>
      </c>
      <c r="B50" s="74">
        <f>IFERROR(VLOOKUP(E50,Tabellen!A:F,6),0)</f>
        <v/>
      </c>
      <c r="C50" s="74">
        <f>IFERROR(VLOOKUP(E50,Tabellen!A:F,5),0)</f>
        <v/>
      </c>
      <c r="D50" s="158">
        <f>IFERROR(VLOOKUP(E50,Tabellen!A:F,6),0)</f>
        <v/>
      </c>
      <c r="E50" s="120" t="n"/>
      <c r="F50" s="75">
        <f>IF(E50&gt;0,$L$4,0)</f>
        <v/>
      </c>
      <c r="G50" s="158">
        <f>IFERROR(VLOOKUP(E50,Tabellen!A:F,2),0)</f>
        <v/>
      </c>
      <c r="H50" s="64">
        <f>IFERROR(VLOOKUP(E50,Tabellen!A:H,8),0)</f>
        <v/>
      </c>
      <c r="I50" s="159">
        <f>IFERROR(VLOOKUP(H50,Tabellen!H:I,2),0)</f>
        <v/>
      </c>
      <c r="J50" s="121" t="n"/>
      <c r="K50" s="122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158">
        <f>IFERROR(VLOOKUP(E51,Tabellen!A:F,4),0)</f>
        <v/>
      </c>
      <c r="B51" s="74">
        <f>IFERROR(VLOOKUP(E51,Tabellen!A:F,6),0)</f>
        <v/>
      </c>
      <c r="C51" s="74">
        <f>IFERROR(VLOOKUP(E51,Tabellen!A:F,5),0)</f>
        <v/>
      </c>
      <c r="D51" s="158">
        <f>IFERROR(VLOOKUP(E51,Tabellen!A:F,6),0)</f>
        <v/>
      </c>
      <c r="E51" s="120" t="n"/>
      <c r="F51" s="75">
        <f>IF(E51&gt;0,$L$4,0)</f>
        <v/>
      </c>
      <c r="G51" s="158">
        <f>IFERROR(VLOOKUP(E51,Tabellen!A:F,2),0)</f>
        <v/>
      </c>
      <c r="H51" s="64">
        <f>IFERROR(VLOOKUP(E51,Tabellen!A:H,8),0)</f>
        <v/>
      </c>
      <c r="I51" s="159">
        <f>IFERROR(VLOOKUP(H51,Tabellen!H:I,2),0)</f>
        <v/>
      </c>
      <c r="J51" s="121" t="n"/>
      <c r="K51" s="122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158">
        <f>IFERROR(VLOOKUP(E52,Tabellen!A:F,4),0)</f>
        <v/>
      </c>
      <c r="B52" s="74">
        <f>IFERROR(VLOOKUP(E52,Tabellen!A:F,6),0)</f>
        <v/>
      </c>
      <c r="C52" s="74">
        <f>IFERROR(VLOOKUP(E52,Tabellen!A:F,5),0)</f>
        <v/>
      </c>
      <c r="D52" s="158">
        <f>IFERROR(VLOOKUP(E52,Tabellen!A:F,6),0)</f>
        <v/>
      </c>
      <c r="E52" s="120" t="n"/>
      <c r="F52" s="75">
        <f>IF(E52&gt;0,$L$4,0)</f>
        <v/>
      </c>
      <c r="G52" s="158">
        <f>IFERROR(VLOOKUP(E52,Tabellen!A:F,2),0)</f>
        <v/>
      </c>
      <c r="H52" s="64">
        <f>IFERROR(VLOOKUP(E52,Tabellen!A:H,8),0)</f>
        <v/>
      </c>
      <c r="I52" s="159">
        <f>IFERROR(VLOOKUP(H52,Tabellen!H:I,2),0)</f>
        <v/>
      </c>
      <c r="J52" s="121" t="n"/>
      <c r="K52" s="122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158">
        <f>IFERROR(VLOOKUP(E53,Tabellen!A:F,4),0)</f>
        <v/>
      </c>
      <c r="B53" s="74">
        <f>IFERROR(VLOOKUP(E53,Tabellen!A:F,6),0)</f>
        <v/>
      </c>
      <c r="C53" s="74">
        <f>IFERROR(VLOOKUP(E53,Tabellen!A:F,5),0)</f>
        <v/>
      </c>
      <c r="D53" s="158">
        <f>IFERROR(VLOOKUP(E53,Tabellen!A:F,6),0)</f>
        <v/>
      </c>
      <c r="E53" s="120" t="n"/>
      <c r="F53" s="75">
        <f>IF(E53&gt;0,$L$4,0)</f>
        <v/>
      </c>
      <c r="G53" s="158">
        <f>IFERROR(VLOOKUP(E53,Tabellen!A:F,2),0)</f>
        <v/>
      </c>
      <c r="H53" s="64">
        <f>IFERROR(VLOOKUP(E53,Tabellen!A:H,8),0)</f>
        <v/>
      </c>
      <c r="I53" s="159">
        <f>IFERROR(VLOOKUP(H53,Tabellen!H:I,2),0)</f>
        <v/>
      </c>
      <c r="J53" s="121" t="n"/>
      <c r="K53" s="122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158">
        <f>IFERROR(VLOOKUP(E54,Tabellen!A:F,4),0)</f>
        <v/>
      </c>
      <c r="B54" s="74">
        <f>IFERROR(VLOOKUP(E54,Tabellen!A:F,6),0)</f>
        <v/>
      </c>
      <c r="C54" s="74">
        <f>IFERROR(VLOOKUP(E54,Tabellen!A:F,5),0)</f>
        <v/>
      </c>
      <c r="D54" s="158">
        <f>IFERROR(VLOOKUP(E54,Tabellen!A:F,6),0)</f>
        <v/>
      </c>
      <c r="E54" s="120" t="n"/>
      <c r="F54" s="75">
        <f>IF(E54&gt;0,$L$4,0)</f>
        <v/>
      </c>
      <c r="G54" s="158">
        <f>IFERROR(VLOOKUP(E54,Tabellen!A:F,2),0)</f>
        <v/>
      </c>
      <c r="H54" s="64">
        <f>IFERROR(VLOOKUP(E54,Tabellen!A:H,8),0)</f>
        <v/>
      </c>
      <c r="I54" s="159">
        <f>IFERROR(VLOOKUP(H54,Tabellen!H:I,2),0)</f>
        <v/>
      </c>
      <c r="J54" s="121" t="n"/>
      <c r="K54" s="122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158">
        <f>IFERROR(VLOOKUP(E55,Tabellen!A:F,4),0)</f>
        <v/>
      </c>
      <c r="B55" s="74">
        <f>IFERROR(VLOOKUP(E55,Tabellen!A:F,6),0)</f>
        <v/>
      </c>
      <c r="C55" s="74">
        <f>IFERROR(VLOOKUP(E55,Tabellen!A:F,5),0)</f>
        <v/>
      </c>
      <c r="D55" s="158">
        <f>IFERROR(VLOOKUP(E55,Tabellen!A:F,6),0)</f>
        <v/>
      </c>
      <c r="E55" s="120" t="n"/>
      <c r="F55" s="75">
        <f>IF(E55&gt;0,$L$4,0)</f>
        <v/>
      </c>
      <c r="G55" s="158">
        <f>IFERROR(VLOOKUP(E55,Tabellen!A:F,2),0)</f>
        <v/>
      </c>
      <c r="H55" s="64">
        <f>IFERROR(VLOOKUP(E55,Tabellen!A:H,8),0)</f>
        <v/>
      </c>
      <c r="I55" s="159">
        <f>IFERROR(VLOOKUP(H55,Tabellen!H:I,2),0)</f>
        <v/>
      </c>
      <c r="J55" s="121" t="n"/>
      <c r="K55" s="122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158">
        <f>IFERROR(VLOOKUP(E56,Tabellen!A:F,4),0)</f>
        <v/>
      </c>
      <c r="B56" s="74">
        <f>IFERROR(VLOOKUP(E56,Tabellen!A:F,6),0)</f>
        <v/>
      </c>
      <c r="C56" s="74">
        <f>IFERROR(VLOOKUP(E56,Tabellen!A:F,5),0)</f>
        <v/>
      </c>
      <c r="D56" s="158">
        <f>IFERROR(VLOOKUP(E56,Tabellen!A:F,6),0)</f>
        <v/>
      </c>
      <c r="E56" s="120" t="n"/>
      <c r="F56" s="75">
        <f>IF(E56&gt;0,$L$4,0)</f>
        <v/>
      </c>
      <c r="G56" s="158">
        <f>IFERROR(VLOOKUP(E56,Tabellen!A:F,2),0)</f>
        <v/>
      </c>
      <c r="H56" s="64">
        <f>IFERROR(VLOOKUP(E56,Tabellen!A:H,8),0)</f>
        <v/>
      </c>
      <c r="I56" s="159">
        <f>IFERROR(VLOOKUP(H56,Tabellen!H:I,2),0)</f>
        <v/>
      </c>
      <c r="J56" s="121" t="n"/>
      <c r="K56" s="122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158">
        <f>IFERROR(VLOOKUP(E57,Tabellen!A:F,4),0)</f>
        <v/>
      </c>
      <c r="B57" s="74">
        <f>IFERROR(VLOOKUP(E57,Tabellen!A:F,6),0)</f>
        <v/>
      </c>
      <c r="C57" s="74">
        <f>IFERROR(VLOOKUP(E57,Tabellen!A:F,5),0)</f>
        <v/>
      </c>
      <c r="D57" s="158">
        <f>IFERROR(VLOOKUP(E57,Tabellen!A:F,6),0)</f>
        <v/>
      </c>
      <c r="E57" s="120" t="n"/>
      <c r="F57" s="75">
        <f>IF(E57&gt;0,$L$4,0)</f>
        <v/>
      </c>
      <c r="G57" s="158">
        <f>IFERROR(VLOOKUP(E57,Tabellen!A:F,2),0)</f>
        <v/>
      </c>
      <c r="H57" s="64">
        <f>IFERROR(VLOOKUP(E57,Tabellen!A:H,8),0)</f>
        <v/>
      </c>
      <c r="I57" s="159">
        <f>IFERROR(VLOOKUP(H57,Tabellen!H:I,2),0)</f>
        <v/>
      </c>
      <c r="J57" s="121" t="n"/>
      <c r="K57" s="122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158">
        <f>IFERROR(VLOOKUP(E58,Tabellen!A:F,4),0)</f>
        <v/>
      </c>
      <c r="B58" s="74">
        <f>IFERROR(VLOOKUP(E58,Tabellen!A:F,6),0)</f>
        <v/>
      </c>
      <c r="C58" s="74">
        <f>IFERROR(VLOOKUP(E58,Tabellen!A:F,5),0)</f>
        <v/>
      </c>
      <c r="D58" s="158">
        <f>IFERROR(VLOOKUP(E58,Tabellen!A:F,6),0)</f>
        <v/>
      </c>
      <c r="E58" s="120" t="n"/>
      <c r="F58" s="75">
        <f>IF(E58&gt;0,$L$4,0)</f>
        <v/>
      </c>
      <c r="G58" s="158">
        <f>IFERROR(VLOOKUP(E58,Tabellen!A:F,2),0)</f>
        <v/>
      </c>
      <c r="H58" s="64">
        <f>IFERROR(VLOOKUP(E58,Tabellen!A:H,8),0)</f>
        <v/>
      </c>
      <c r="I58" s="159">
        <f>IFERROR(VLOOKUP(H58,Tabellen!H:I,2),0)</f>
        <v/>
      </c>
      <c r="J58" s="121" t="n"/>
      <c r="K58" s="122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158">
        <f>IFERROR(VLOOKUP(E59,Tabellen!A:F,4),0)</f>
        <v/>
      </c>
      <c r="B59" s="74">
        <f>IFERROR(VLOOKUP(E59,Tabellen!A:F,6),0)</f>
        <v/>
      </c>
      <c r="C59" s="74">
        <f>IFERROR(VLOOKUP(E59,Tabellen!A:F,5),0)</f>
        <v/>
      </c>
      <c r="D59" s="158">
        <f>IFERROR(VLOOKUP(E59,Tabellen!A:F,6),0)</f>
        <v/>
      </c>
      <c r="E59" s="120" t="n"/>
      <c r="F59" s="75">
        <f>IF(E59&gt;0,$L$4,0)</f>
        <v/>
      </c>
      <c r="G59" s="158">
        <f>IFERROR(VLOOKUP(E59,Tabellen!A:F,2),0)</f>
        <v/>
      </c>
      <c r="H59" s="64">
        <f>IFERROR(VLOOKUP(E59,Tabellen!A:H,8),0)</f>
        <v/>
      </c>
      <c r="I59" s="159">
        <f>IFERROR(VLOOKUP(H59,Tabellen!H:I,2),0)</f>
        <v/>
      </c>
      <c r="J59" s="121" t="n"/>
      <c r="K59" s="122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158">
        <f>IFERROR(VLOOKUP(E60,Tabellen!A:F,4),0)</f>
        <v/>
      </c>
      <c r="B60" s="74">
        <f>IFERROR(VLOOKUP(E60,Tabellen!A:F,6),0)</f>
        <v/>
      </c>
      <c r="C60" s="74">
        <f>IFERROR(VLOOKUP(E60,Tabellen!A:F,5),0)</f>
        <v/>
      </c>
      <c r="D60" s="158">
        <f>IFERROR(VLOOKUP(E60,Tabellen!A:F,6),0)</f>
        <v/>
      </c>
      <c r="E60" s="120" t="n"/>
      <c r="F60" s="75">
        <f>IF(E60&gt;0,$L$4,0)</f>
        <v/>
      </c>
      <c r="G60" s="158">
        <f>IFERROR(VLOOKUP(E60,Tabellen!A:F,2),0)</f>
        <v/>
      </c>
      <c r="H60" s="64">
        <f>IFERROR(VLOOKUP(E60,Tabellen!A:H,8),0)</f>
        <v/>
      </c>
      <c r="I60" s="159">
        <f>IFERROR(VLOOKUP(H60,Tabellen!H:I,2),0)</f>
        <v/>
      </c>
      <c r="J60" s="121" t="n"/>
      <c r="K60" s="122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158">
        <f>IFERROR(VLOOKUP(E61,Tabellen!A:F,4),0)</f>
        <v/>
      </c>
      <c r="B61" s="74">
        <f>IFERROR(VLOOKUP(E61,Tabellen!A:F,6),0)</f>
        <v/>
      </c>
      <c r="C61" s="74">
        <f>IFERROR(VLOOKUP(E61,Tabellen!A:F,5),0)</f>
        <v/>
      </c>
      <c r="D61" s="158">
        <f>IFERROR(VLOOKUP(E61,Tabellen!A:F,6),0)</f>
        <v/>
      </c>
      <c r="E61" s="120" t="n"/>
      <c r="F61" s="75">
        <f>IF(E61&gt;0,$L$4,0)</f>
        <v/>
      </c>
      <c r="G61" s="158">
        <f>IFERROR(VLOOKUP(E61,Tabellen!A:F,2),0)</f>
        <v/>
      </c>
      <c r="H61" s="64">
        <f>IFERROR(VLOOKUP(E61,Tabellen!A:H,8),0)</f>
        <v/>
      </c>
      <c r="I61" s="159">
        <f>IFERROR(VLOOKUP(H61,Tabellen!H:I,2),0)</f>
        <v/>
      </c>
      <c r="J61" s="121" t="n"/>
      <c r="K61" s="122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158">
        <f>IFERROR(VLOOKUP(E62,Tabellen!A:F,4),0)</f>
        <v/>
      </c>
      <c r="B62" s="74">
        <f>IFERROR(VLOOKUP(E62,Tabellen!A:F,6),0)</f>
        <v/>
      </c>
      <c r="C62" s="74">
        <f>IFERROR(VLOOKUP(E62,Tabellen!A:F,5),0)</f>
        <v/>
      </c>
      <c r="D62" s="158">
        <f>IFERROR(VLOOKUP(E62,Tabellen!A:F,6),0)</f>
        <v/>
      </c>
      <c r="E62" s="120" t="n"/>
      <c r="F62" s="75">
        <f>IF(E62&gt;0,$L$4,0)</f>
        <v/>
      </c>
      <c r="G62" s="158">
        <f>IFERROR(VLOOKUP(E62,Tabellen!A:F,2),0)</f>
        <v/>
      </c>
      <c r="H62" s="64">
        <f>IFERROR(VLOOKUP(E62,Tabellen!A:H,8),0)</f>
        <v/>
      </c>
      <c r="I62" s="159">
        <f>IFERROR(VLOOKUP(H62,Tabellen!H:I,2),0)</f>
        <v/>
      </c>
      <c r="J62" s="121" t="n"/>
      <c r="K62" s="122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158">
        <f>IFERROR(VLOOKUP(E63,Tabellen!A:F,4),0)</f>
        <v/>
      </c>
      <c r="B63" s="74">
        <f>IFERROR(VLOOKUP(E63,Tabellen!A:F,6),0)</f>
        <v/>
      </c>
      <c r="C63" s="74">
        <f>IFERROR(VLOOKUP(E63,Tabellen!A:F,5),0)</f>
        <v/>
      </c>
      <c r="D63" s="158">
        <f>IFERROR(VLOOKUP(E63,Tabellen!A:F,6),0)</f>
        <v/>
      </c>
      <c r="E63" s="120" t="n"/>
      <c r="F63" s="75">
        <f>IF(E63&gt;0,$L$4,0)</f>
        <v/>
      </c>
      <c r="G63" s="158">
        <f>IFERROR(VLOOKUP(E63,Tabellen!A:F,2),0)</f>
        <v/>
      </c>
      <c r="H63" s="64">
        <f>IFERROR(VLOOKUP(E63,Tabellen!A:H,8),0)</f>
        <v/>
      </c>
      <c r="I63" s="159">
        <f>IFERROR(VLOOKUP(H63,Tabellen!H:I,2),0)</f>
        <v/>
      </c>
      <c r="J63" s="121" t="n"/>
      <c r="K63" s="122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158">
        <f>IFERROR(VLOOKUP(E64,Tabellen!A:F,4),0)</f>
        <v/>
      </c>
      <c r="B64" s="74">
        <f>IFERROR(VLOOKUP(E64,Tabellen!A:F,6),0)</f>
        <v/>
      </c>
      <c r="C64" s="74">
        <f>IFERROR(VLOOKUP(E64,Tabellen!A:F,5),0)</f>
        <v/>
      </c>
      <c r="D64" s="158">
        <f>IFERROR(VLOOKUP(E64,Tabellen!A:F,6),0)</f>
        <v/>
      </c>
      <c r="E64" s="120" t="n"/>
      <c r="F64" s="75">
        <f>IF(E64&gt;0,$L$4,0)</f>
        <v/>
      </c>
      <c r="G64" s="158">
        <f>IFERROR(VLOOKUP(E64,Tabellen!A:F,2),0)</f>
        <v/>
      </c>
      <c r="H64" s="64">
        <f>IFERROR(VLOOKUP(E64,Tabellen!A:H,8),0)</f>
        <v/>
      </c>
      <c r="I64" s="159">
        <f>IFERROR(VLOOKUP(H64,Tabellen!H:I,2),0)</f>
        <v/>
      </c>
      <c r="J64" s="121" t="n"/>
      <c r="K64" s="122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158">
        <f>IFERROR(VLOOKUP(E65,Tabellen!A:F,4),0)</f>
        <v/>
      </c>
      <c r="B65" s="74">
        <f>IFERROR(VLOOKUP(E65,Tabellen!A:F,6),0)</f>
        <v/>
      </c>
      <c r="C65" s="74">
        <f>IFERROR(VLOOKUP(E65,Tabellen!A:F,5),0)</f>
        <v/>
      </c>
      <c r="D65" s="158">
        <f>IFERROR(VLOOKUP(E65,Tabellen!A:F,6),0)</f>
        <v/>
      </c>
      <c r="E65" s="120" t="n"/>
      <c r="F65" s="75">
        <f>IF(E65&gt;0,$L$4,0)</f>
        <v/>
      </c>
      <c r="G65" s="158">
        <f>IFERROR(VLOOKUP(E65,Tabellen!A:F,2),0)</f>
        <v/>
      </c>
      <c r="H65" s="64">
        <f>IFERROR(VLOOKUP(E65,Tabellen!A:H,8),0)</f>
        <v/>
      </c>
      <c r="I65" s="159">
        <f>IFERROR(VLOOKUP(H65,Tabellen!H:I,2),0)</f>
        <v/>
      </c>
      <c r="J65" s="121" t="n"/>
      <c r="K65" s="122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158">
        <f>IFERROR(VLOOKUP(E66,Tabellen!A:F,4),0)</f>
        <v/>
      </c>
      <c r="B66" s="74">
        <f>IFERROR(VLOOKUP(E66,Tabellen!A:F,6),0)</f>
        <v/>
      </c>
      <c r="C66" s="74">
        <f>IFERROR(VLOOKUP(E66,Tabellen!A:F,5),0)</f>
        <v/>
      </c>
      <c r="D66" s="158">
        <f>IFERROR(VLOOKUP(E66,Tabellen!A:F,6),0)</f>
        <v/>
      </c>
      <c r="E66" s="120" t="n"/>
      <c r="F66" s="75">
        <f>IF(E66&gt;0,$L$4,0)</f>
        <v/>
      </c>
      <c r="G66" s="158">
        <f>IFERROR(VLOOKUP(E66,Tabellen!A:F,2),0)</f>
        <v/>
      </c>
      <c r="H66" s="64">
        <f>IFERROR(VLOOKUP(E66,Tabellen!A:H,8),0)</f>
        <v/>
      </c>
      <c r="I66" s="159">
        <f>IFERROR(VLOOKUP(H66,Tabellen!H:I,2),0)</f>
        <v/>
      </c>
      <c r="J66" s="121" t="n"/>
      <c r="K66" s="122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158">
        <f>IFERROR(VLOOKUP(E67,Tabellen!A:F,4),0)</f>
        <v/>
      </c>
      <c r="B67" s="74">
        <f>IFERROR(VLOOKUP(E67,Tabellen!A:F,6),0)</f>
        <v/>
      </c>
      <c r="C67" s="74">
        <f>IFERROR(VLOOKUP(E67,Tabellen!A:F,5),0)</f>
        <v/>
      </c>
      <c r="D67" s="158">
        <f>IFERROR(VLOOKUP(E67,Tabellen!A:F,6),0)</f>
        <v/>
      </c>
      <c r="E67" s="120" t="n"/>
      <c r="F67" s="75">
        <f>IF(E67&gt;0,$L$4,0)</f>
        <v/>
      </c>
      <c r="G67" s="158">
        <f>IFERROR(VLOOKUP(E67,Tabellen!A:F,2),0)</f>
        <v/>
      </c>
      <c r="H67" s="64">
        <f>IFERROR(VLOOKUP(E67,Tabellen!A:H,8),0)</f>
        <v/>
      </c>
      <c r="I67" s="159">
        <f>IFERROR(VLOOKUP(H67,Tabellen!H:I,2),0)</f>
        <v/>
      </c>
      <c r="J67" s="121" t="n"/>
      <c r="K67" s="122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158">
        <f>IFERROR(VLOOKUP(E68,Tabellen!A:F,4),0)</f>
        <v/>
      </c>
      <c r="B68" s="74">
        <f>IFERROR(VLOOKUP(E68,Tabellen!A:F,6),0)</f>
        <v/>
      </c>
      <c r="C68" s="74">
        <f>IFERROR(VLOOKUP(E68,Tabellen!A:F,5),0)</f>
        <v/>
      </c>
      <c r="D68" s="158">
        <f>IFERROR(VLOOKUP(E68,Tabellen!A:F,6),0)</f>
        <v/>
      </c>
      <c r="E68" s="120" t="n"/>
      <c r="F68" s="75">
        <f>IF(E68&gt;0,$L$4,0)</f>
        <v/>
      </c>
      <c r="G68" s="158">
        <f>IFERROR(VLOOKUP(E68,Tabellen!A:F,2),0)</f>
        <v/>
      </c>
      <c r="H68" s="64">
        <f>IFERROR(VLOOKUP(E68,Tabellen!A:H,8),0)</f>
        <v/>
      </c>
      <c r="I68" s="159">
        <f>IFERROR(VLOOKUP(H68,Tabellen!H:I,2),0)</f>
        <v/>
      </c>
      <c r="J68" s="121" t="n"/>
      <c r="K68" s="122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158">
        <f>IFERROR(VLOOKUP(E69,Tabellen!A:F,4),0)</f>
        <v/>
      </c>
      <c r="B69" s="74">
        <f>IFERROR(VLOOKUP(E69,Tabellen!A:F,6),0)</f>
        <v/>
      </c>
      <c r="C69" s="74">
        <f>IFERROR(VLOOKUP(E69,Tabellen!A:F,5),0)</f>
        <v/>
      </c>
      <c r="D69" s="158">
        <f>IFERROR(VLOOKUP(E69,Tabellen!A:F,6),0)</f>
        <v/>
      </c>
      <c r="E69" s="120" t="n"/>
      <c r="F69" s="75">
        <f>IF(E69&gt;0,$L$4,0)</f>
        <v/>
      </c>
      <c r="G69" s="158">
        <f>IFERROR(VLOOKUP(E69,Tabellen!A:F,2),0)</f>
        <v/>
      </c>
      <c r="H69" s="64">
        <f>IFERROR(VLOOKUP(E69,Tabellen!A:H,8),0)</f>
        <v/>
      </c>
      <c r="I69" s="159">
        <f>IFERROR(VLOOKUP(H69,Tabellen!H:I,2),0)</f>
        <v/>
      </c>
      <c r="J69" s="121" t="n"/>
      <c r="K69" s="122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158">
        <f>IFERROR(VLOOKUP(E70,Tabellen!A:F,4),0)</f>
        <v/>
      </c>
      <c r="B70" s="74">
        <f>IFERROR(VLOOKUP(E70,Tabellen!A:F,6),0)</f>
        <v/>
      </c>
      <c r="C70" s="74">
        <f>IFERROR(VLOOKUP(E70,Tabellen!A:F,5),0)</f>
        <v/>
      </c>
      <c r="D70" s="158">
        <f>IFERROR(VLOOKUP(E70,Tabellen!A:F,6),0)</f>
        <v/>
      </c>
      <c r="E70" s="120" t="n"/>
      <c r="F70" s="75">
        <f>IF(E70&gt;0,$L$4,0)</f>
        <v/>
      </c>
      <c r="G70" s="158">
        <f>IFERROR(VLOOKUP(E70,Tabellen!A:F,2),0)</f>
        <v/>
      </c>
      <c r="H70" s="64">
        <f>IFERROR(VLOOKUP(E70,Tabellen!A:H,8),0)</f>
        <v/>
      </c>
      <c r="I70" s="159">
        <f>IFERROR(VLOOKUP(H70,Tabellen!H:I,2),0)</f>
        <v/>
      </c>
      <c r="J70" s="121" t="n"/>
      <c r="K70" s="122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158">
        <f>IFERROR(VLOOKUP(E71,Tabellen!A:F,4),0)</f>
        <v/>
      </c>
      <c r="B71" s="74">
        <f>IFERROR(VLOOKUP(E71,Tabellen!A:F,6),0)</f>
        <v/>
      </c>
      <c r="C71" s="74">
        <f>IFERROR(VLOOKUP(E71,Tabellen!A:F,5),0)</f>
        <v/>
      </c>
      <c r="D71" s="158">
        <f>IFERROR(VLOOKUP(E71,Tabellen!A:F,6),0)</f>
        <v/>
      </c>
      <c r="E71" s="120" t="n"/>
      <c r="F71" s="75">
        <f>IF(E71&gt;0,$L$4,0)</f>
        <v/>
      </c>
      <c r="G71" s="158">
        <f>IFERROR(VLOOKUP(E71,Tabellen!A:F,2),0)</f>
        <v/>
      </c>
      <c r="H71" s="64">
        <f>IFERROR(VLOOKUP(E71,Tabellen!A:H,8),0)</f>
        <v/>
      </c>
      <c r="I71" s="159">
        <f>IFERROR(VLOOKUP(H71,Tabellen!H:I,2),0)</f>
        <v/>
      </c>
      <c r="J71" s="121" t="n"/>
      <c r="K71" s="122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158">
        <f>IFERROR(VLOOKUP(E72,Tabellen!A:F,4),0)</f>
        <v/>
      </c>
      <c r="B72" s="74">
        <f>IFERROR(VLOOKUP(E72,Tabellen!A:F,6),0)</f>
        <v/>
      </c>
      <c r="C72" s="74">
        <f>IFERROR(VLOOKUP(E72,Tabellen!A:F,5),0)</f>
        <v/>
      </c>
      <c r="D72" s="158">
        <f>IFERROR(VLOOKUP(E72,Tabellen!A:F,6),0)</f>
        <v/>
      </c>
      <c r="E72" s="120" t="n"/>
      <c r="F72" s="75">
        <f>IF(E72&gt;0,$L$4,0)</f>
        <v/>
      </c>
      <c r="G72" s="158">
        <f>IFERROR(VLOOKUP(E72,Tabellen!A:F,2),0)</f>
        <v/>
      </c>
      <c r="H72" s="64">
        <f>IFERROR(VLOOKUP(E72,Tabellen!A:H,8),0)</f>
        <v/>
      </c>
      <c r="I72" s="159">
        <f>IFERROR(VLOOKUP(H72,Tabellen!H:I,2),0)</f>
        <v/>
      </c>
      <c r="J72" s="121" t="n"/>
      <c r="K72" s="122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158">
        <f>IFERROR(VLOOKUP(E73,Tabellen!A:F,4),0)</f>
        <v/>
      </c>
      <c r="B73" s="74">
        <f>IFERROR(VLOOKUP(E73,Tabellen!A:F,6),0)</f>
        <v/>
      </c>
      <c r="C73" s="74">
        <f>IFERROR(VLOOKUP(E73,Tabellen!A:F,5),0)</f>
        <v/>
      </c>
      <c r="D73" s="158">
        <f>IFERROR(VLOOKUP(E73,Tabellen!A:F,6),0)</f>
        <v/>
      </c>
      <c r="E73" s="120" t="n"/>
      <c r="F73" s="75">
        <f>IF(E73&gt;0,$L$4,0)</f>
        <v/>
      </c>
      <c r="G73" s="158">
        <f>IFERROR(VLOOKUP(E73,Tabellen!A:F,2),0)</f>
        <v/>
      </c>
      <c r="H73" s="64">
        <f>IFERROR(VLOOKUP(E73,Tabellen!A:H,8),0)</f>
        <v/>
      </c>
      <c r="I73" s="159">
        <f>IFERROR(VLOOKUP(H73,Tabellen!H:I,2),0)</f>
        <v/>
      </c>
      <c r="J73" s="121" t="n"/>
      <c r="K73" s="122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158">
        <f>IFERROR(VLOOKUP(E74,Tabellen!A:F,4),0)</f>
        <v/>
      </c>
      <c r="B74" s="74">
        <f>IFERROR(VLOOKUP(E74,Tabellen!A:F,6),0)</f>
        <v/>
      </c>
      <c r="C74" s="74">
        <f>IFERROR(VLOOKUP(E74,Tabellen!A:F,5),0)</f>
        <v/>
      </c>
      <c r="D74" s="158">
        <f>IFERROR(VLOOKUP(E74,Tabellen!A:F,6),0)</f>
        <v/>
      </c>
      <c r="E74" s="120" t="n"/>
      <c r="F74" s="75">
        <f>IF(E74&gt;0,$L$4,0)</f>
        <v/>
      </c>
      <c r="G74" s="158">
        <f>IFERROR(VLOOKUP(E74,Tabellen!A:F,2),0)</f>
        <v/>
      </c>
      <c r="H74" s="64">
        <f>IFERROR(VLOOKUP(E74,Tabellen!A:H,8),0)</f>
        <v/>
      </c>
      <c r="I74" s="159">
        <f>IFERROR(VLOOKUP(H74,Tabellen!H:I,2),0)</f>
        <v/>
      </c>
      <c r="J74" s="121" t="n"/>
      <c r="K74" s="122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126" t="inlineStr">
        <is>
          <t>Saldo inkomsten en uitgaven</t>
        </is>
      </c>
      <c r="B75" s="125" t="n"/>
      <c r="C75" s="125" t="n"/>
      <c r="D75" s="126" t="n"/>
      <c r="E75" s="125" t="n"/>
      <c r="F75" s="127" t="n"/>
      <c r="G75" s="173" t="n"/>
      <c r="H75" s="65" t="n"/>
      <c r="I75" s="128" t="n"/>
      <c r="J75" s="129" t="n"/>
      <c r="K75" s="130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72" t="n"/>
      <c r="B76" s="71" t="n"/>
      <c r="C76" s="71" t="n"/>
      <c r="D76" s="72" t="n"/>
      <c r="E76" s="71" t="n"/>
      <c r="F76" s="113" t="n"/>
      <c r="G76" s="172" t="n"/>
      <c r="H76" s="63" t="n"/>
      <c r="I76" s="114" t="n"/>
      <c r="J76" s="73" t="n"/>
      <c r="K76" s="115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142" t="inlineStr">
        <is>
          <t>B. Dekking uitgaven en inkomsten</t>
        </is>
      </c>
      <c r="B77" s="118" t="n"/>
      <c r="C77" s="71" t="n"/>
      <c r="D77" s="72" t="n"/>
      <c r="E77" s="71" t="n"/>
      <c r="F77" s="113" t="n"/>
      <c r="G77" s="172" t="n"/>
      <c r="H77" s="63" t="n"/>
      <c r="I77" s="114" t="n"/>
      <c r="J77" s="73" t="n"/>
      <c r="K77" s="115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158">
        <f>IFERROR(VLOOKUP(E78,Tabellen!A:F,4),0)</f>
        <v/>
      </c>
      <c r="B78" s="199">
        <f>IFERROR(VLOOKUP(E78,Tabellen!A:F,6),0)</f>
        <v/>
      </c>
      <c r="C78" s="120">
        <f>IFERROR(VLOOKUP(E78,Tabellen!A:F,5),0)</f>
        <v/>
      </c>
      <c r="D78" s="158">
        <f>IFERROR(VLOOKUP(E78,Tabellen!A:F,6),0)</f>
        <v/>
      </c>
      <c r="E78" s="120" t="n"/>
      <c r="F78" s="75">
        <f>IF(E78&gt;0,$L$4,0)</f>
        <v/>
      </c>
      <c r="G78" s="174">
        <f>IFERROR(VLOOKUP(E78,Tabellen!A:F,2),0)</f>
        <v/>
      </c>
      <c r="H78" s="66">
        <f>IFERROR(VLOOKUP(E78,Tabellen!A:H,8),0)</f>
        <v/>
      </c>
      <c r="I78" s="159">
        <f>IFERROR(VLOOKUP(H78,Tabellen!H:I,2),0)</f>
        <v/>
      </c>
      <c r="J78" s="121" t="n"/>
      <c r="K78" s="122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158">
        <f>IFERROR(VLOOKUP(E79,Tabellen!A:F,4),0)</f>
        <v/>
      </c>
      <c r="B79" s="199">
        <f>IFERROR(VLOOKUP(E79,Tabellen!A:F,6),0)</f>
        <v/>
      </c>
      <c r="C79" s="120">
        <f>IFERROR(VLOOKUP(E79,Tabellen!A:F,5),0)</f>
        <v/>
      </c>
      <c r="D79" s="158">
        <f>IFERROR(VLOOKUP(E79,Tabellen!A:F,6),0)</f>
        <v/>
      </c>
      <c r="E79" s="120" t="n"/>
      <c r="F79" s="75">
        <f>IF(E79&gt;0,$L$4,0)</f>
        <v/>
      </c>
      <c r="G79" s="174">
        <f>IFERROR(VLOOKUP(E79,Tabellen!A:F,2),0)</f>
        <v/>
      </c>
      <c r="H79" s="66">
        <f>IFERROR(VLOOKUP(E79,Tabellen!A:H,8),0)</f>
        <v/>
      </c>
      <c r="I79" s="159">
        <f>IFERROR(VLOOKUP(H79,Tabellen!H:I,2),0)</f>
        <v/>
      </c>
      <c r="J79" s="121" t="n"/>
      <c r="K79" s="122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158">
        <f>IFERROR(VLOOKUP(E80,Tabellen!A:F,4),0)</f>
        <v/>
      </c>
      <c r="B80" s="199">
        <f>IFERROR(VLOOKUP(E80,Tabellen!A:F,6),0)</f>
        <v/>
      </c>
      <c r="C80" s="120">
        <f>IFERROR(VLOOKUP(E80,Tabellen!A:F,5),0)</f>
        <v/>
      </c>
      <c r="D80" s="158">
        <f>IFERROR(VLOOKUP(E80,Tabellen!A:F,6),0)</f>
        <v/>
      </c>
      <c r="E80" s="120" t="n"/>
      <c r="F80" s="75">
        <f>IF(E80&gt;0,$L$4,0)</f>
        <v/>
      </c>
      <c r="G80" s="174">
        <f>IFERROR(VLOOKUP(E80,Tabellen!A:F,2),0)</f>
        <v/>
      </c>
      <c r="H80" s="66">
        <f>IFERROR(VLOOKUP(E80,Tabellen!A:H,8),0)</f>
        <v/>
      </c>
      <c r="I80" s="159">
        <f>IFERROR(VLOOKUP(H80,Tabellen!H:I,2),0)</f>
        <v/>
      </c>
      <c r="J80" s="121" t="n"/>
      <c r="K80" s="122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158">
        <f>IFERROR(VLOOKUP(E81,Tabellen!A:F,4),0)</f>
        <v/>
      </c>
      <c r="B81" s="199">
        <f>IFERROR(VLOOKUP(E81,Tabellen!A:F,6),0)</f>
        <v/>
      </c>
      <c r="C81" s="120">
        <f>IFERROR(VLOOKUP(E81,Tabellen!A:F,5),0)</f>
        <v/>
      </c>
      <c r="D81" s="158">
        <f>IFERROR(VLOOKUP(E81,Tabellen!A:F,6),0)</f>
        <v/>
      </c>
      <c r="E81" s="120" t="n"/>
      <c r="F81" s="75">
        <f>IF(E81&gt;0,$L$4,0)</f>
        <v/>
      </c>
      <c r="G81" s="174">
        <f>IFERROR(VLOOKUP(E81,Tabellen!A:F,2),0)</f>
        <v/>
      </c>
      <c r="H81" s="66">
        <f>IFERROR(VLOOKUP(E81,Tabellen!A:H,8),0)</f>
        <v/>
      </c>
      <c r="I81" s="159">
        <f>IFERROR(VLOOKUP(H81,Tabellen!H:I,2),0)</f>
        <v/>
      </c>
      <c r="J81" s="121" t="n"/>
      <c r="K81" s="122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158">
        <f>IFERROR(VLOOKUP(E82,Tabellen!A:F,4),0)</f>
        <v/>
      </c>
      <c r="B82" s="199">
        <f>IFERROR(VLOOKUP(E82,Tabellen!A:F,6),0)</f>
        <v/>
      </c>
      <c r="C82" s="120">
        <f>IFERROR(VLOOKUP(E82,Tabellen!A:F,5),0)</f>
        <v/>
      </c>
      <c r="D82" s="158">
        <f>IFERROR(VLOOKUP(E82,Tabellen!A:F,6),0)</f>
        <v/>
      </c>
      <c r="E82" s="120" t="n"/>
      <c r="F82" s="75">
        <f>IF(E82&gt;0,$L$4,0)</f>
        <v/>
      </c>
      <c r="G82" s="174">
        <f>IFERROR(VLOOKUP(E82,Tabellen!A:F,2),0)</f>
        <v/>
      </c>
      <c r="H82" s="66">
        <f>IFERROR(VLOOKUP(E82,Tabellen!A:H,8),0)</f>
        <v/>
      </c>
      <c r="I82" s="159">
        <f>IFERROR(VLOOKUP(H82,Tabellen!H:I,2),0)</f>
        <v/>
      </c>
      <c r="J82" s="121" t="n"/>
      <c r="K82" s="122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158">
        <f>IFERROR(VLOOKUP(E83,Tabellen!A:F,4),0)</f>
        <v/>
      </c>
      <c r="B83" s="74">
        <f>IFERROR(VLOOKUP(E83,Tabellen!A:F,6),0)</f>
        <v/>
      </c>
      <c r="C83" s="120">
        <f>IFERROR(VLOOKUP(E83,Tabellen!A:F,5),0)</f>
        <v/>
      </c>
      <c r="D83" s="158">
        <f>IFERROR(VLOOKUP(E83,Tabellen!A:F,6),0)</f>
        <v/>
      </c>
      <c r="E83" s="120" t="n"/>
      <c r="F83" s="75">
        <f>IF(E83&gt;0,$L$4,0)</f>
        <v/>
      </c>
      <c r="G83" s="174">
        <f>IFERROR(VLOOKUP(E83,Tabellen!A:F,2),0)</f>
        <v/>
      </c>
      <c r="H83" s="66">
        <f>IFERROR(VLOOKUP(E83,Tabellen!A:H,8),0)</f>
        <v/>
      </c>
      <c r="I83" s="159">
        <f>IFERROR(VLOOKUP(H83,Tabellen!H:I,2),0)</f>
        <v/>
      </c>
      <c r="J83" s="121" t="n"/>
      <c r="K83" s="122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158">
        <f>IFERROR(VLOOKUP(E84,Tabellen!A:F,4),0)</f>
        <v/>
      </c>
      <c r="B84" s="199">
        <f>IFERROR(VLOOKUP(E84,Tabellen!A:F,6),0)</f>
        <v/>
      </c>
      <c r="C84" s="120">
        <f>IFERROR(VLOOKUP(E84,Tabellen!A:F,5),0)</f>
        <v/>
      </c>
      <c r="D84" s="158">
        <f>IFERROR(VLOOKUP(E84,Tabellen!A:F,6),0)</f>
        <v/>
      </c>
      <c r="E84" s="120" t="n"/>
      <c r="F84" s="75">
        <f>IF(E84&gt;0,$L$4,0)</f>
        <v/>
      </c>
      <c r="G84" s="174">
        <f>IFERROR(VLOOKUP(E84,Tabellen!A:F,2),0)</f>
        <v/>
      </c>
      <c r="H84" s="66">
        <f>IFERROR(VLOOKUP(E84,Tabellen!A:H,8),0)</f>
        <v/>
      </c>
      <c r="I84" s="159">
        <f>IFERROR(VLOOKUP(H84,Tabellen!H:I,2),0)</f>
        <v/>
      </c>
      <c r="J84" s="121" t="n"/>
      <c r="K84" s="122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158">
        <f>IFERROR(VLOOKUP(E85,Tabellen!A:F,4),0)</f>
        <v/>
      </c>
      <c r="B85" s="74">
        <f>IFERROR(VLOOKUP(E85,Tabellen!A:F,6),0)</f>
        <v/>
      </c>
      <c r="C85" s="120">
        <f>IFERROR(VLOOKUP(E85,Tabellen!A:F,5),0)</f>
        <v/>
      </c>
      <c r="D85" s="158">
        <f>IFERROR(VLOOKUP(E85,Tabellen!A:F,6),0)</f>
        <v/>
      </c>
      <c r="E85" s="120" t="n"/>
      <c r="F85" s="75">
        <f>IF(E85&gt;0,$L$4,0)</f>
        <v/>
      </c>
      <c r="G85" s="174">
        <f>IFERROR(VLOOKUP(E85,Tabellen!A:F,2),0)</f>
        <v/>
      </c>
      <c r="H85" s="66">
        <f>IFERROR(VLOOKUP(E85,Tabellen!A:H,8),0)</f>
        <v/>
      </c>
      <c r="I85" s="159">
        <f>IFERROR(VLOOKUP(H85,Tabellen!H:I,2),0)</f>
        <v/>
      </c>
      <c r="J85" s="121" t="n"/>
      <c r="K85" s="122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158">
        <f>IFERROR(VLOOKUP(E86,Tabellen!A:F,4),0)</f>
        <v/>
      </c>
      <c r="B86" s="74">
        <f>IFERROR(VLOOKUP(E86,Tabellen!A:F,6),0)</f>
        <v/>
      </c>
      <c r="C86" s="120">
        <f>IFERROR(VLOOKUP(E86,Tabellen!A:F,5),0)</f>
        <v/>
      </c>
      <c r="D86" s="158">
        <f>IFERROR(VLOOKUP(E86,Tabellen!A:F,6),0)</f>
        <v/>
      </c>
      <c r="E86" s="120" t="n"/>
      <c r="F86" s="75">
        <f>IF(E86&gt;0,$L$4,0)</f>
        <v/>
      </c>
      <c r="G86" s="174">
        <f>IFERROR(VLOOKUP(E86,Tabellen!A:F,2),0)</f>
        <v/>
      </c>
      <c r="H86" s="66">
        <f>IFERROR(VLOOKUP(E86,Tabellen!A:H,8),0)</f>
        <v/>
      </c>
      <c r="I86" s="159">
        <f>IFERROR(VLOOKUP(H86,Tabellen!H:I,2),0)</f>
        <v/>
      </c>
      <c r="J86" s="121" t="n"/>
      <c r="K86" s="122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158">
        <f>IFERROR(VLOOKUP(E87,Tabellen!A:F,4),0)</f>
        <v/>
      </c>
      <c r="B87" s="74">
        <f>IFERROR(VLOOKUP(E87,Tabellen!A:F,6),0)</f>
        <v/>
      </c>
      <c r="C87" s="120">
        <f>IFERROR(VLOOKUP(E87,Tabellen!A:F,5),0)</f>
        <v/>
      </c>
      <c r="D87" s="158">
        <f>IFERROR(VLOOKUP(E87,Tabellen!A:F,6),0)</f>
        <v/>
      </c>
      <c r="E87" s="120" t="n"/>
      <c r="F87" s="75">
        <f>IF(E87&gt;0,$L$4,0)</f>
        <v/>
      </c>
      <c r="G87" s="174">
        <f>IFERROR(VLOOKUP(E87,Tabellen!A:F,2),0)</f>
        <v/>
      </c>
      <c r="H87" s="66">
        <f>IFERROR(VLOOKUP(E87,Tabellen!A:H,8),0)</f>
        <v/>
      </c>
      <c r="I87" s="159">
        <f>IFERROR(VLOOKUP(H87,Tabellen!H:I,2),0)</f>
        <v/>
      </c>
      <c r="J87" s="121" t="n"/>
      <c r="K87" s="122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158">
        <f>IFERROR(VLOOKUP(E88,Tabellen!A:F,4),0)</f>
        <v/>
      </c>
      <c r="B88" s="74">
        <f>IFERROR(VLOOKUP(E88,Tabellen!A:F,6),0)</f>
        <v/>
      </c>
      <c r="C88" s="120">
        <f>IFERROR(VLOOKUP(E88,Tabellen!A:F,5),0)</f>
        <v/>
      </c>
      <c r="D88" s="158">
        <f>IFERROR(VLOOKUP(E88,Tabellen!A:F,6),0)</f>
        <v/>
      </c>
      <c r="E88" s="120" t="n"/>
      <c r="F88" s="75">
        <f>IF(E88&gt;0,$L$4,0)</f>
        <v/>
      </c>
      <c r="G88" s="174">
        <f>IFERROR(VLOOKUP(E88,Tabellen!A:F,2),0)</f>
        <v/>
      </c>
      <c r="H88" s="66">
        <f>IFERROR(VLOOKUP(E88,Tabellen!A:H,8),0)</f>
        <v/>
      </c>
      <c r="I88" s="159">
        <f>IFERROR(VLOOKUP(H88,Tabellen!H:I,2),0)</f>
        <v/>
      </c>
      <c r="J88" s="121" t="n"/>
      <c r="K88" s="122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158">
        <f>IFERROR(VLOOKUP(E89,Tabellen!A:F,4),0)</f>
        <v/>
      </c>
      <c r="B89" s="74">
        <f>IFERROR(VLOOKUP(E89,Tabellen!A:F,6),0)</f>
        <v/>
      </c>
      <c r="C89" s="120">
        <f>IFERROR(VLOOKUP(E89,Tabellen!A:F,5),0)</f>
        <v/>
      </c>
      <c r="D89" s="158">
        <f>IFERROR(VLOOKUP(E89,Tabellen!A:F,6),0)</f>
        <v/>
      </c>
      <c r="E89" s="120" t="n"/>
      <c r="F89" s="75">
        <f>IF(E89&gt;0,$L$4,0)</f>
        <v/>
      </c>
      <c r="G89" s="174">
        <f>IFERROR(VLOOKUP(E89,Tabellen!A:F,2),0)</f>
        <v/>
      </c>
      <c r="H89" s="66">
        <f>IFERROR(VLOOKUP(E89,Tabellen!A:H,8),0)</f>
        <v/>
      </c>
      <c r="I89" s="159">
        <f>IFERROR(VLOOKUP(H89,Tabellen!H:I,2),0)</f>
        <v/>
      </c>
      <c r="J89" s="121" t="n"/>
      <c r="K89" s="122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158">
        <f>IFERROR(VLOOKUP(E90,Tabellen!A:F,4),0)</f>
        <v/>
      </c>
      <c r="B90" s="74">
        <f>IFERROR(VLOOKUP(E90,Tabellen!A:F,6),0)</f>
        <v/>
      </c>
      <c r="C90" s="120">
        <f>IFERROR(VLOOKUP(E90,Tabellen!A:F,5),0)</f>
        <v/>
      </c>
      <c r="D90" s="158">
        <f>IFERROR(VLOOKUP(E90,Tabellen!A:F,6),0)</f>
        <v/>
      </c>
      <c r="E90" s="120" t="n"/>
      <c r="F90" s="75">
        <f>IF(E90&gt;0,$L$4,0)</f>
        <v/>
      </c>
      <c r="G90" s="174">
        <f>IFERROR(VLOOKUP(E90,Tabellen!A:F,2),0)</f>
        <v/>
      </c>
      <c r="H90" s="66">
        <f>IFERROR(VLOOKUP(E90,Tabellen!A:H,8),0)</f>
        <v/>
      </c>
      <c r="I90" s="159">
        <f>IFERROR(VLOOKUP(H90,Tabellen!H:I,2),0)</f>
        <v/>
      </c>
      <c r="J90" s="121" t="n"/>
      <c r="K90" s="122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158">
        <f>IFERROR(VLOOKUP(E91,Tabellen!A:F,4),0)</f>
        <v/>
      </c>
      <c r="B91" s="74">
        <f>IFERROR(VLOOKUP(E91,Tabellen!A:F,6),0)</f>
        <v/>
      </c>
      <c r="C91" s="120">
        <f>IFERROR(VLOOKUP(E91,Tabellen!A:F,5),0)</f>
        <v/>
      </c>
      <c r="D91" s="158">
        <f>IFERROR(VLOOKUP(E91,Tabellen!A:F,6),0)</f>
        <v/>
      </c>
      <c r="E91" s="120" t="n"/>
      <c r="F91" s="75">
        <f>IF(E91&gt;0,$L$4,0)</f>
        <v/>
      </c>
      <c r="G91" s="174">
        <f>IFERROR(VLOOKUP(E91,Tabellen!A:F,2),0)</f>
        <v/>
      </c>
      <c r="H91" s="66">
        <f>IFERROR(VLOOKUP(E91,Tabellen!A:H,8),0)</f>
        <v/>
      </c>
      <c r="I91" s="159">
        <f>IFERROR(VLOOKUP(H91,Tabellen!H:I,2),0)</f>
        <v/>
      </c>
      <c r="J91" s="121" t="n"/>
      <c r="K91" s="122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158">
        <f>IFERROR(VLOOKUP(E92,Tabellen!A:F,4),0)</f>
        <v/>
      </c>
      <c r="B92" s="74">
        <f>IFERROR(VLOOKUP(E92,Tabellen!A:F,6),0)</f>
        <v/>
      </c>
      <c r="C92" s="120">
        <f>IFERROR(VLOOKUP(E92,Tabellen!A:F,5),0)</f>
        <v/>
      </c>
      <c r="D92" s="158">
        <f>IFERROR(VLOOKUP(E92,Tabellen!A:F,6),0)</f>
        <v/>
      </c>
      <c r="E92" s="120" t="n"/>
      <c r="F92" s="75">
        <f>IF(E92&gt;0,$L$4,0)</f>
        <v/>
      </c>
      <c r="G92" s="174">
        <f>IFERROR(VLOOKUP(E92,Tabellen!A:F,2),0)</f>
        <v/>
      </c>
      <c r="H92" s="66">
        <f>IFERROR(VLOOKUP(E92,Tabellen!A:H,8),0)</f>
        <v/>
      </c>
      <c r="I92" s="159">
        <f>IFERROR(VLOOKUP(H92,Tabellen!H:I,2),0)</f>
        <v/>
      </c>
      <c r="J92" s="121" t="n"/>
      <c r="K92" s="122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158">
        <f>IFERROR(VLOOKUP(E93,Tabellen!A:F,4),0)</f>
        <v/>
      </c>
      <c r="B93" s="74">
        <f>IFERROR(VLOOKUP(E93,Tabellen!A:F,6),0)</f>
        <v/>
      </c>
      <c r="C93" s="120">
        <f>IFERROR(VLOOKUP(E93,Tabellen!A:F,5),0)</f>
        <v/>
      </c>
      <c r="D93" s="158">
        <f>IFERROR(VLOOKUP(E93,Tabellen!A:F,6),0)</f>
        <v/>
      </c>
      <c r="E93" s="120" t="n"/>
      <c r="F93" s="75">
        <f>IF(E93&gt;0,$L$4,0)</f>
        <v/>
      </c>
      <c r="G93" s="174">
        <f>IFERROR(VLOOKUP(E93,Tabellen!A:F,2),0)</f>
        <v/>
      </c>
      <c r="H93" s="66">
        <f>IFERROR(VLOOKUP(E93,Tabellen!A:H,8),0)</f>
        <v/>
      </c>
      <c r="I93" s="159">
        <f>IFERROR(VLOOKUP(H93,Tabellen!H:I,2),0)</f>
        <v/>
      </c>
      <c r="J93" s="121" t="n"/>
      <c r="K93" s="122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158">
        <f>IFERROR(VLOOKUP(E94,Tabellen!A:F,4),0)</f>
        <v/>
      </c>
      <c r="B94" s="74">
        <f>IFERROR(VLOOKUP(E94,Tabellen!A:F,6),0)</f>
        <v/>
      </c>
      <c r="C94" s="120">
        <f>IFERROR(VLOOKUP(E94,Tabellen!A:F,5),0)</f>
        <v/>
      </c>
      <c r="D94" s="158">
        <f>IFERROR(VLOOKUP(E94,Tabellen!A:F,6),0)</f>
        <v/>
      </c>
      <c r="E94" s="120" t="n"/>
      <c r="F94" s="75">
        <f>IF(E94&gt;0,$L$4,0)</f>
        <v/>
      </c>
      <c r="G94" s="174">
        <f>IFERROR(VLOOKUP(E94,Tabellen!A:F,2),0)</f>
        <v/>
      </c>
      <c r="H94" s="66">
        <f>IFERROR(VLOOKUP(E94,Tabellen!A:H,8),0)</f>
        <v/>
      </c>
      <c r="I94" s="159">
        <f>IFERROR(VLOOKUP(H94,Tabellen!H:I,2),0)</f>
        <v/>
      </c>
      <c r="J94" s="121" t="n"/>
      <c r="K94" s="122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158">
        <f>IFERROR(VLOOKUP(E95,Tabellen!A:F,4),0)</f>
        <v/>
      </c>
      <c r="B95" s="74">
        <f>IFERROR(VLOOKUP(E95,Tabellen!A:F,6),0)</f>
        <v/>
      </c>
      <c r="C95" s="120">
        <f>IFERROR(VLOOKUP(E95,Tabellen!A:F,5),0)</f>
        <v/>
      </c>
      <c r="D95" s="158">
        <f>IFERROR(VLOOKUP(E95,Tabellen!A:F,6),0)</f>
        <v/>
      </c>
      <c r="E95" s="120" t="n"/>
      <c r="F95" s="75">
        <f>IF(E95&gt;0,$L$4,0)</f>
        <v/>
      </c>
      <c r="G95" s="174">
        <f>IFERROR(VLOOKUP(E95,Tabellen!A:F,2),0)</f>
        <v/>
      </c>
      <c r="H95" s="66">
        <f>IFERROR(VLOOKUP(E95,Tabellen!A:H,8),0)</f>
        <v/>
      </c>
      <c r="I95" s="159">
        <f>IFERROR(VLOOKUP(H95,Tabellen!H:I,2),0)</f>
        <v/>
      </c>
      <c r="J95" s="121" t="n"/>
      <c r="K95" s="122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158">
        <f>IFERROR(VLOOKUP(E96,Tabellen!A:F,4),0)</f>
        <v/>
      </c>
      <c r="B96" s="74">
        <f>IFERROR(VLOOKUP(E96,Tabellen!A:F,6),0)</f>
        <v/>
      </c>
      <c r="C96" s="120">
        <f>IFERROR(VLOOKUP(E96,Tabellen!A:F,5),0)</f>
        <v/>
      </c>
      <c r="D96" s="158">
        <f>IFERROR(VLOOKUP(E96,Tabellen!A:F,6),0)</f>
        <v/>
      </c>
      <c r="E96" s="120" t="n"/>
      <c r="F96" s="75">
        <f>IF(E96&gt;0,$L$4,0)</f>
        <v/>
      </c>
      <c r="G96" s="174">
        <f>IFERROR(VLOOKUP(E96,Tabellen!A:F,2),0)</f>
        <v/>
      </c>
      <c r="H96" s="66">
        <f>IFERROR(VLOOKUP(E96,Tabellen!A:H,8),0)</f>
        <v/>
      </c>
      <c r="I96" s="159">
        <f>IFERROR(VLOOKUP(H96,Tabellen!H:I,2),0)</f>
        <v/>
      </c>
      <c r="J96" s="121" t="n"/>
      <c r="K96" s="122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158">
        <f>IFERROR(VLOOKUP(E97,Tabellen!A:F,4),0)</f>
        <v/>
      </c>
      <c r="B97" s="74">
        <f>IFERROR(VLOOKUP(E97,Tabellen!A:F,6),0)</f>
        <v/>
      </c>
      <c r="C97" s="120">
        <f>IFERROR(VLOOKUP(E97,Tabellen!A:F,5),0)</f>
        <v/>
      </c>
      <c r="D97" s="158">
        <f>IFERROR(VLOOKUP(E97,Tabellen!A:F,6),0)</f>
        <v/>
      </c>
      <c r="E97" s="120" t="n"/>
      <c r="F97" s="75">
        <f>IF(E97&gt;0,$L$4,0)</f>
        <v/>
      </c>
      <c r="G97" s="174">
        <f>IFERROR(VLOOKUP(E97,Tabellen!A:F,2),0)</f>
        <v/>
      </c>
      <c r="H97" s="66">
        <f>IFERROR(VLOOKUP(E97,Tabellen!A:H,8),0)</f>
        <v/>
      </c>
      <c r="I97" s="159">
        <f>IFERROR(VLOOKUP(H97,Tabellen!H:I,2),0)</f>
        <v/>
      </c>
      <c r="J97" s="121" t="n"/>
      <c r="K97" s="122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158">
        <f>IFERROR(VLOOKUP(E98,Tabellen!A:F,4),0)</f>
        <v/>
      </c>
      <c r="B98" s="74">
        <f>IFERROR(VLOOKUP(E98,Tabellen!A:F,6),0)</f>
        <v/>
      </c>
      <c r="C98" s="120">
        <f>IFERROR(VLOOKUP(E98,Tabellen!A:F,5),0)</f>
        <v/>
      </c>
      <c r="D98" s="158">
        <f>IFERROR(VLOOKUP(E98,Tabellen!A:F,6),0)</f>
        <v/>
      </c>
      <c r="E98" s="120" t="n"/>
      <c r="F98" s="75">
        <f>IF(E98&gt;0,$L$4,0)</f>
        <v/>
      </c>
      <c r="G98" s="174">
        <f>IFERROR(VLOOKUP(E98,Tabellen!A:F,2),0)</f>
        <v/>
      </c>
      <c r="H98" s="66">
        <f>IFERROR(VLOOKUP(E98,Tabellen!A:H,8),0)</f>
        <v/>
      </c>
      <c r="I98" s="159">
        <f>IFERROR(VLOOKUP(H98,Tabellen!H:I,2),0)</f>
        <v/>
      </c>
      <c r="J98" s="121" t="n"/>
      <c r="K98" s="122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158">
        <f>IFERROR(VLOOKUP(E99,Tabellen!A:F,4),0)</f>
        <v/>
      </c>
      <c r="B99" s="74">
        <f>IFERROR(VLOOKUP(E99,Tabellen!A:F,6),0)</f>
        <v/>
      </c>
      <c r="C99" s="120">
        <f>IFERROR(VLOOKUP(E99,Tabellen!A:F,5),0)</f>
        <v/>
      </c>
      <c r="D99" s="158">
        <f>IFERROR(VLOOKUP(E99,Tabellen!A:F,6),0)</f>
        <v/>
      </c>
      <c r="E99" s="120" t="n"/>
      <c r="F99" s="75">
        <f>IF(E99&gt;0,$L$4,0)</f>
        <v/>
      </c>
      <c r="G99" s="174">
        <f>IFERROR(VLOOKUP(E99,Tabellen!A:F,2),0)</f>
        <v/>
      </c>
      <c r="H99" s="66">
        <f>IFERROR(VLOOKUP(E99,Tabellen!A:H,8),0)</f>
        <v/>
      </c>
      <c r="I99" s="159">
        <f>IFERROR(VLOOKUP(H99,Tabellen!H:I,2),0)</f>
        <v/>
      </c>
      <c r="J99" s="121" t="n"/>
      <c r="K99" s="122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158">
        <f>IFERROR(VLOOKUP(E100,Tabellen!A:F,4),0)</f>
        <v/>
      </c>
      <c r="B100" s="74">
        <f>IFERROR(VLOOKUP(E100,Tabellen!A:F,6),0)</f>
        <v/>
      </c>
      <c r="C100" s="120">
        <f>IFERROR(VLOOKUP(E100,Tabellen!A:F,5),0)</f>
        <v/>
      </c>
      <c r="D100" s="158">
        <f>IFERROR(VLOOKUP(E100,Tabellen!A:F,6),0)</f>
        <v/>
      </c>
      <c r="E100" s="120" t="n"/>
      <c r="F100" s="75">
        <f>IF(E100&gt;0,$L$4,0)</f>
        <v/>
      </c>
      <c r="G100" s="174">
        <f>IFERROR(VLOOKUP(E100,Tabellen!A:F,2),0)</f>
        <v/>
      </c>
      <c r="H100" s="66">
        <f>IFERROR(VLOOKUP(E100,Tabellen!A:H,8),0)</f>
        <v/>
      </c>
      <c r="I100" s="159">
        <f>IFERROR(VLOOKUP(H100,Tabellen!H:I,2),0)</f>
        <v/>
      </c>
      <c r="J100" s="121" t="n"/>
      <c r="K100" s="122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158">
        <f>IFERROR(VLOOKUP(E101,Tabellen!A:F,4),0)</f>
        <v/>
      </c>
      <c r="B101" s="74">
        <f>IFERROR(VLOOKUP(E101,Tabellen!A:F,6),0)</f>
        <v/>
      </c>
      <c r="C101" s="120">
        <f>IFERROR(VLOOKUP(E101,Tabellen!A:F,5),0)</f>
        <v/>
      </c>
      <c r="D101" s="158">
        <f>IFERROR(VLOOKUP(E101,Tabellen!A:F,6),0)</f>
        <v/>
      </c>
      <c r="E101" s="120" t="n"/>
      <c r="F101" s="75">
        <f>IF(E101&gt;0,$L$4,0)</f>
        <v/>
      </c>
      <c r="G101" s="174">
        <f>IFERROR(VLOOKUP(E101,Tabellen!A:F,2),0)</f>
        <v/>
      </c>
      <c r="H101" s="66">
        <f>IFERROR(VLOOKUP(E101,Tabellen!A:H,8),0)</f>
        <v/>
      </c>
      <c r="I101" s="159">
        <f>IFERROR(VLOOKUP(H101,Tabellen!H:I,2),0)</f>
        <v/>
      </c>
      <c r="J101" s="121" t="n"/>
      <c r="K101" s="122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158">
        <f>IFERROR(VLOOKUP(E102,Tabellen!A:F,4),0)</f>
        <v/>
      </c>
      <c r="B102" s="74">
        <f>IFERROR(VLOOKUP(E102,Tabellen!A:F,6),0)</f>
        <v/>
      </c>
      <c r="C102" s="120">
        <f>IFERROR(VLOOKUP(E102,Tabellen!A:F,5),0)</f>
        <v/>
      </c>
      <c r="D102" s="158">
        <f>IFERROR(VLOOKUP(E102,Tabellen!A:F,6),0)</f>
        <v/>
      </c>
      <c r="E102" s="120" t="n"/>
      <c r="F102" s="75">
        <f>IF(E102&gt;0,$L$4,0)</f>
        <v/>
      </c>
      <c r="G102" s="174">
        <f>IFERROR(VLOOKUP(E102,Tabellen!A:F,2),0)</f>
        <v/>
      </c>
      <c r="H102" s="66">
        <f>IFERROR(VLOOKUP(E102,Tabellen!A:H,8),0)</f>
        <v/>
      </c>
      <c r="I102" s="159">
        <f>IFERROR(VLOOKUP(H102,Tabellen!H:I,2),0)</f>
        <v/>
      </c>
      <c r="J102" s="121" t="n"/>
      <c r="K102" s="122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158">
        <f>IFERROR(VLOOKUP(E103,Tabellen!A:F,4),0)</f>
        <v/>
      </c>
      <c r="B103" s="74">
        <f>IFERROR(VLOOKUP(E103,Tabellen!A:F,6),0)</f>
        <v/>
      </c>
      <c r="C103" s="120">
        <f>IFERROR(VLOOKUP(E103,Tabellen!A:F,5),0)</f>
        <v/>
      </c>
      <c r="D103" s="158">
        <f>IFERROR(VLOOKUP(E103,Tabellen!A:F,6),0)</f>
        <v/>
      </c>
      <c r="E103" s="120" t="n"/>
      <c r="F103" s="75">
        <f>IF(E103&gt;0,$L$4,0)</f>
        <v/>
      </c>
      <c r="G103" s="174">
        <f>IFERROR(VLOOKUP(E103,Tabellen!A:F,2),0)</f>
        <v/>
      </c>
      <c r="H103" s="66">
        <f>IFERROR(VLOOKUP(E103,Tabellen!A:H,8),0)</f>
        <v/>
      </c>
      <c r="I103" s="159">
        <f>IFERROR(VLOOKUP(H103,Tabellen!H:I,2),0)</f>
        <v/>
      </c>
      <c r="J103" s="121" t="n"/>
      <c r="K103" s="122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158">
        <f>IFERROR(VLOOKUP(E104,Tabellen!A:F,4),0)</f>
        <v/>
      </c>
      <c r="B104" s="74">
        <f>IFERROR(VLOOKUP(E104,Tabellen!A:F,6),0)</f>
        <v/>
      </c>
      <c r="C104" s="120">
        <f>IFERROR(VLOOKUP(E104,Tabellen!A:F,5),0)</f>
        <v/>
      </c>
      <c r="D104" s="158">
        <f>IFERROR(VLOOKUP(E104,Tabellen!A:F,6),0)</f>
        <v/>
      </c>
      <c r="E104" s="120" t="n"/>
      <c r="F104" s="75">
        <f>IF(E104&gt;0,$L$4,0)</f>
        <v/>
      </c>
      <c r="G104" s="174">
        <f>IFERROR(VLOOKUP(E104,Tabellen!A:F,2),0)</f>
        <v/>
      </c>
      <c r="H104" s="66">
        <f>IFERROR(VLOOKUP(E104,Tabellen!A:H,8),0)</f>
        <v/>
      </c>
      <c r="I104" s="159">
        <f>IFERROR(VLOOKUP(H104,Tabellen!H:I,2),0)</f>
        <v/>
      </c>
      <c r="J104" s="121" t="n"/>
      <c r="K104" s="122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158">
        <f>IFERROR(VLOOKUP(E105,Tabellen!A:F,4),0)</f>
        <v/>
      </c>
      <c r="B105" s="74">
        <f>IFERROR(VLOOKUP(E105,Tabellen!A:F,6),0)</f>
        <v/>
      </c>
      <c r="C105" s="120">
        <f>IFERROR(VLOOKUP(E105,Tabellen!A:F,5),0)</f>
        <v/>
      </c>
      <c r="D105" s="158">
        <f>IFERROR(VLOOKUP(E105,Tabellen!A:F,6),0)</f>
        <v/>
      </c>
      <c r="E105" s="120" t="n"/>
      <c r="F105" s="75">
        <f>IF(E105&gt;0,$L$4,0)</f>
        <v/>
      </c>
      <c r="G105" s="174">
        <f>IFERROR(VLOOKUP(E105,Tabellen!A:F,2),0)</f>
        <v/>
      </c>
      <c r="H105" s="66">
        <f>IFERROR(VLOOKUP(E105,Tabellen!A:H,8),0)</f>
        <v/>
      </c>
      <c r="I105" s="159">
        <f>IFERROR(VLOOKUP(H105,Tabellen!H:I,2),0)</f>
        <v/>
      </c>
      <c r="J105" s="121" t="n"/>
      <c r="K105" s="122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158">
        <f>IFERROR(VLOOKUP(E106,Tabellen!A:F,4),0)</f>
        <v/>
      </c>
      <c r="B106" s="74">
        <f>IFERROR(VLOOKUP(E106,Tabellen!A:F,6),0)</f>
        <v/>
      </c>
      <c r="C106" s="120">
        <f>IFERROR(VLOOKUP(E106,Tabellen!A:F,5),0)</f>
        <v/>
      </c>
      <c r="D106" s="158">
        <f>IFERROR(VLOOKUP(E106,Tabellen!A:F,6),0)</f>
        <v/>
      </c>
      <c r="E106" s="120" t="n"/>
      <c r="F106" s="75">
        <f>IF(E106&gt;0,$L$4,0)</f>
        <v/>
      </c>
      <c r="G106" s="174">
        <f>IFERROR(VLOOKUP(E106,Tabellen!A:F,2),0)</f>
        <v/>
      </c>
      <c r="H106" s="66">
        <f>IFERROR(VLOOKUP(E106,Tabellen!A:H,8),0)</f>
        <v/>
      </c>
      <c r="I106" s="159">
        <f>IFERROR(VLOOKUP(H106,Tabellen!H:I,2),0)</f>
        <v/>
      </c>
      <c r="J106" s="121" t="n"/>
      <c r="K106" s="122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158">
        <f>IFERROR(VLOOKUP(E107,Tabellen!A:F,4),0)</f>
        <v/>
      </c>
      <c r="B107" s="74">
        <f>IFERROR(VLOOKUP(E107,Tabellen!A:F,6),0)</f>
        <v/>
      </c>
      <c r="C107" s="120">
        <f>IFERROR(VLOOKUP(E107,Tabellen!A:F,5),0)</f>
        <v/>
      </c>
      <c r="D107" s="158">
        <f>IFERROR(VLOOKUP(E107,Tabellen!A:F,6),0)</f>
        <v/>
      </c>
      <c r="E107" s="120" t="n"/>
      <c r="F107" s="75">
        <f>IF(E107&gt;0,$L$4,0)</f>
        <v/>
      </c>
      <c r="G107" s="174">
        <f>IFERROR(VLOOKUP(E107,Tabellen!A:F,2),0)</f>
        <v/>
      </c>
      <c r="H107" s="66">
        <f>IFERROR(VLOOKUP(E107,Tabellen!A:H,8),0)</f>
        <v/>
      </c>
      <c r="I107" s="159">
        <f>IFERROR(VLOOKUP(H107,Tabellen!H:I,2),0)</f>
        <v/>
      </c>
      <c r="J107" s="121" t="n"/>
      <c r="K107" s="122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158">
        <f>IFERROR(VLOOKUP(E108,Tabellen!A:F,4),0)</f>
        <v/>
      </c>
      <c r="B108" s="74">
        <f>IFERROR(VLOOKUP(E108,Tabellen!A:F,6),0)</f>
        <v/>
      </c>
      <c r="C108" s="120">
        <f>IFERROR(VLOOKUP(E108,Tabellen!A:F,5),0)</f>
        <v/>
      </c>
      <c r="D108" s="158">
        <f>IFERROR(VLOOKUP(E108,Tabellen!A:F,6),0)</f>
        <v/>
      </c>
      <c r="E108" s="120" t="n"/>
      <c r="F108" s="75">
        <f>IF(E108&gt;0,$L$4,0)</f>
        <v/>
      </c>
      <c r="G108" s="174">
        <f>IFERROR(VLOOKUP(E108,Tabellen!A:F,2),0)</f>
        <v/>
      </c>
      <c r="H108" s="66">
        <f>IFERROR(VLOOKUP(E108,Tabellen!A:H,8),0)</f>
        <v/>
      </c>
      <c r="I108" s="159">
        <f>IFERROR(VLOOKUP(H108,Tabellen!H:I,2),0)</f>
        <v/>
      </c>
      <c r="J108" s="121" t="n"/>
      <c r="K108" s="122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158">
        <f>IFERROR(VLOOKUP(E109,Tabellen!A:F,4),0)</f>
        <v/>
      </c>
      <c r="B109" s="74">
        <f>IFERROR(VLOOKUP(E109,Tabellen!A:F,6),0)</f>
        <v/>
      </c>
      <c r="C109" s="120">
        <f>IFERROR(VLOOKUP(E109,Tabellen!A:F,5),0)</f>
        <v/>
      </c>
      <c r="D109" s="158">
        <f>IFERROR(VLOOKUP(E109,Tabellen!A:F,6),0)</f>
        <v/>
      </c>
      <c r="E109" s="120" t="n"/>
      <c r="F109" s="75">
        <f>IF(E109&gt;0,$L$4,0)</f>
        <v/>
      </c>
      <c r="G109" s="174">
        <f>IFERROR(VLOOKUP(E109,Tabellen!A:F,2),0)</f>
        <v/>
      </c>
      <c r="H109" s="64">
        <f>IFERROR(VLOOKUP(E109,Tabellen!A:H,8),0)</f>
        <v/>
      </c>
      <c r="I109" s="159">
        <f>IFERROR(VLOOKUP(H109,Tabellen!H:I,2),0)</f>
        <v/>
      </c>
      <c r="J109" s="121" t="n"/>
      <c r="K109" s="122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126" t="inlineStr">
        <is>
          <t>Saldo inkomsten en uitgavenmutaties, dekking</t>
        </is>
      </c>
      <c r="B110" s="125" t="n"/>
      <c r="C110" s="125" t="n"/>
      <c r="D110" s="126" t="n"/>
      <c r="E110" s="125" t="n"/>
      <c r="F110" s="127" t="n"/>
      <c r="G110" s="173" t="n"/>
      <c r="H110" s="65" t="n"/>
      <c r="I110" s="128" t="n"/>
      <c r="J110" s="129" t="n"/>
      <c r="K110" s="130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72" t="n"/>
      <c r="B111" s="71" t="n"/>
      <c r="C111" s="71" t="n"/>
      <c r="D111" s="72" t="n"/>
      <c r="E111" s="71" t="n"/>
      <c r="F111" s="113" t="n"/>
      <c r="G111" s="172" t="n"/>
      <c r="H111" s="63" t="n"/>
      <c r="I111" s="114" t="n"/>
      <c r="J111" s="73" t="n"/>
      <c r="K111" s="115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133" t="inlineStr">
        <is>
          <t>Controle mutatie inkomsten en uitgaven (exploitatiemutaties -/- dekking = leeg)</t>
        </is>
      </c>
      <c r="B112" s="81" t="n"/>
      <c r="C112" s="81" t="n"/>
      <c r="D112" s="133" t="n"/>
      <c r="E112" s="133" t="n"/>
      <c r="F112" s="81" t="n"/>
      <c r="G112" s="133" t="n"/>
      <c r="H112" s="67" t="n"/>
      <c r="I112" s="134" t="n"/>
      <c r="J112" s="135" t="n"/>
      <c r="K112" s="136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84" t="n"/>
      <c r="B113" s="83" t="n"/>
      <c r="C113" s="83" t="n"/>
      <c r="D113" s="84" t="n"/>
      <c r="E113" s="84" t="n"/>
      <c r="F113" s="83" t="n"/>
      <c r="G113" s="84" t="n"/>
      <c r="H113" s="68" t="n"/>
      <c r="I113" s="138" t="n"/>
      <c r="J113" s="139" t="n"/>
      <c r="K113" s="140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84" t="n"/>
      <c r="B114" s="83" t="n"/>
      <c r="C114" s="83" t="n"/>
      <c r="D114" s="84" t="n"/>
      <c r="E114" s="84" t="n"/>
      <c r="F114" s="83" t="n"/>
      <c r="G114" s="84" t="n"/>
      <c r="H114" s="68" t="n"/>
      <c r="I114" s="138" t="n"/>
      <c r="J114" s="139" t="n"/>
      <c r="K114" s="140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95" t="inlineStr">
        <is>
          <t>Mutaties in de balans (investerings- en financieringsstaat)</t>
        </is>
      </c>
      <c r="B115" s="94" t="n"/>
      <c r="C115" s="83" t="n"/>
      <c r="D115" s="84" t="n"/>
      <c r="E115" s="84" t="n"/>
      <c r="F115" s="83" t="n"/>
      <c r="G115" s="84" t="n"/>
      <c r="H115" s="68" t="n"/>
      <c r="I115" s="141" t="n"/>
      <c r="J115" s="83" t="n"/>
      <c r="K115" s="8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84" t="n"/>
      <c r="B116" s="83" t="n"/>
      <c r="C116" s="83" t="n"/>
      <c r="D116" s="84" t="n"/>
      <c r="E116" s="84" t="n"/>
      <c r="F116" s="83" t="n"/>
      <c r="G116" s="84" t="n"/>
      <c r="H116" s="68" t="n"/>
      <c r="I116" s="138" t="n"/>
      <c r="J116" s="139" t="n"/>
      <c r="K116" s="140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100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100" t="inlineStr">
        <is>
          <t>nvt</t>
        </is>
      </c>
      <c r="E117" s="102" t="n"/>
      <c r="F117" s="112" t="n"/>
      <c r="G117" s="175" t="inlineStr">
        <is>
          <t>Omschrijving boeking</t>
        </is>
      </c>
      <c r="H117" s="62" t="inlineStr">
        <is>
          <t>Kosten</t>
        </is>
      </c>
      <c r="I117" s="104" t="inlineStr">
        <is>
          <t>Omschrijving kostencategorie</t>
        </is>
      </c>
      <c r="J117" s="101" t="inlineStr">
        <is>
          <t>Nr ver-</t>
        </is>
      </c>
      <c r="K117" s="103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100" t="n"/>
      <c r="B118" s="101" t="n"/>
      <c r="C118" s="107" t="n"/>
      <c r="D118" s="100" t="n"/>
      <c r="E118" s="102" t="n"/>
      <c r="F118" s="110" t="n"/>
      <c r="G118" s="171" t="n"/>
      <c r="H118" s="62" t="inlineStr">
        <is>
          <t>Cat</t>
        </is>
      </c>
      <c r="I118" s="104" t="n"/>
      <c r="J118" s="111" t="inlineStr">
        <is>
          <t>bijzondering</t>
        </is>
      </c>
      <c r="K118" s="112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72" t="n"/>
      <c r="B119" s="71" t="n"/>
      <c r="C119" s="71" t="n"/>
      <c r="D119" s="72" t="n"/>
      <c r="E119" s="72" t="n"/>
      <c r="F119" s="113" t="n"/>
      <c r="G119" s="172" t="n"/>
      <c r="H119" s="63" t="n"/>
      <c r="I119" s="114" t="n"/>
      <c r="J119" s="73" t="n"/>
      <c r="K119" s="115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142" t="inlineStr">
        <is>
          <t>C. Investeringen</t>
        </is>
      </c>
      <c r="B120" s="118" t="n"/>
      <c r="C120" s="71" t="n"/>
      <c r="D120" s="72" t="n"/>
      <c r="E120" s="72" t="n"/>
      <c r="F120" s="113" t="n"/>
      <c r="G120" s="172" t="n"/>
      <c r="H120" s="63" t="n"/>
      <c r="I120" s="114" t="n"/>
      <c r="J120" s="73" t="n"/>
      <c r="K120" s="115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72" t="n"/>
      <c r="B121" s="71" t="n"/>
      <c r="C121" s="71" t="n"/>
      <c r="D121" s="72" t="n"/>
      <c r="E121" s="71" t="n"/>
      <c r="F121" s="113" t="n"/>
      <c r="G121" s="172" t="n"/>
      <c r="H121" s="63" t="n"/>
      <c r="I121" s="114" t="n"/>
      <c r="J121" s="73" t="n"/>
      <c r="K121" s="115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144" t="inlineStr">
        <is>
          <t>Activa</t>
        </is>
      </c>
      <c r="B122" s="74" t="n"/>
      <c r="C122" s="74" t="n"/>
      <c r="D122" s="158" t="n"/>
      <c r="E122" s="74">
        <f>IF(J122&gt;1,"+",0)</f>
        <v/>
      </c>
      <c r="F122" s="70">
        <f>IF(E122&gt;0,$L$4,0)</f>
        <v/>
      </c>
      <c r="G122" s="174" t="n"/>
      <c r="H122" s="64" t="n"/>
      <c r="I122" s="159">
        <f>IFERROR(VLOOKUP(H122,Tabellen!H:I,2),0)</f>
        <v/>
      </c>
      <c r="J122" s="121" t="n"/>
      <c r="K122" s="122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144" t="n"/>
      <c r="B123" s="74" t="n"/>
      <c r="C123" s="74" t="n"/>
      <c r="D123" s="158" t="n"/>
      <c r="E123" s="74">
        <f>IF(J123&gt;1,"+",0)</f>
        <v/>
      </c>
      <c r="F123" s="70">
        <f>IF(E123&gt;0,$L$4,0)</f>
        <v/>
      </c>
      <c r="G123" s="174" t="n"/>
      <c r="H123" s="64" t="n"/>
      <c r="I123" s="159">
        <f>IFERROR(VLOOKUP(H123,Tabellen!H:I,2),0)</f>
        <v/>
      </c>
      <c r="J123" s="121" t="n"/>
      <c r="K123" s="122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144" t="n"/>
      <c r="B124" s="74" t="n"/>
      <c r="C124" s="74" t="n"/>
      <c r="D124" s="158" t="n"/>
      <c r="E124" s="74">
        <f>IF(J124&gt;1,"+",0)</f>
        <v/>
      </c>
      <c r="F124" s="70">
        <f>IF(E124&gt;0,$L$4,0)</f>
        <v/>
      </c>
      <c r="G124" s="174" t="n"/>
      <c r="H124" s="64" t="n"/>
      <c r="I124" s="159">
        <f>IFERROR(VLOOKUP(H124,Tabellen!H:I,2),0)</f>
        <v/>
      </c>
      <c r="J124" s="121" t="n"/>
      <c r="K124" s="122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144" t="n"/>
      <c r="B125" s="74" t="n"/>
      <c r="C125" s="74" t="n"/>
      <c r="D125" s="158" t="n"/>
      <c r="E125" s="74">
        <f>IF(J125&gt;1,"+",0)</f>
        <v/>
      </c>
      <c r="F125" s="70">
        <f>IF(E125&gt;0,$L$4,0)</f>
        <v/>
      </c>
      <c r="G125" s="174" t="n"/>
      <c r="H125" s="64" t="n"/>
      <c r="I125" s="159">
        <f>IFERROR(VLOOKUP(H125,Tabellen!H:I,2),0)</f>
        <v/>
      </c>
      <c r="J125" s="121" t="n"/>
      <c r="K125" s="122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144" t="n"/>
      <c r="B126" s="74" t="n"/>
      <c r="C126" s="74" t="n"/>
      <c r="D126" s="158" t="n"/>
      <c r="E126" s="74">
        <f>IF(J126&gt;1,"+",0)</f>
        <v/>
      </c>
      <c r="F126" s="70">
        <f>IF(E126&gt;0,$L$4,0)</f>
        <v/>
      </c>
      <c r="G126" s="174" t="n"/>
      <c r="H126" s="64" t="n"/>
      <c r="I126" s="159">
        <f>IFERROR(VLOOKUP(H126,Tabellen!H:I,2),0)</f>
        <v/>
      </c>
      <c r="J126" s="121" t="n"/>
      <c r="K126" s="122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144" t="n"/>
      <c r="B127" s="74" t="n"/>
      <c r="C127" s="74" t="n"/>
      <c r="D127" s="158" t="n"/>
      <c r="E127" s="74">
        <f>IF(J127&gt;1,"+",0)</f>
        <v/>
      </c>
      <c r="F127" s="70">
        <f>IF(E127&gt;0,$L$4,0)</f>
        <v/>
      </c>
      <c r="G127" s="174" t="n"/>
      <c r="H127" s="64" t="n"/>
      <c r="I127" s="159">
        <f>IFERROR(VLOOKUP(H127,Tabellen!H:I,2),0)</f>
        <v/>
      </c>
      <c r="J127" s="121" t="n"/>
      <c r="K127" s="122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144" t="n"/>
      <c r="B128" s="74" t="n"/>
      <c r="C128" s="74" t="n"/>
      <c r="D128" s="158" t="n"/>
      <c r="E128" s="74">
        <f>IF(J128&gt;1,"+",0)</f>
        <v/>
      </c>
      <c r="F128" s="70">
        <f>IF(E128&gt;0,$L$4,0)</f>
        <v/>
      </c>
      <c r="G128" s="174" t="n"/>
      <c r="H128" s="64" t="n"/>
      <c r="I128" s="159">
        <f>IFERROR(VLOOKUP(H128,Tabellen!H:I,2),0)</f>
        <v/>
      </c>
      <c r="J128" s="121" t="n"/>
      <c r="K128" s="122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144" t="n"/>
      <c r="B129" s="74" t="n"/>
      <c r="C129" s="74" t="n"/>
      <c r="D129" s="158" t="n"/>
      <c r="E129" s="74">
        <f>IF(J129&gt;1,"+",0)</f>
        <v/>
      </c>
      <c r="F129" s="70">
        <f>IF(E129&gt;0,$L$4,0)</f>
        <v/>
      </c>
      <c r="G129" s="174" t="n"/>
      <c r="H129" s="64" t="n"/>
      <c r="I129" s="159">
        <f>IFERROR(VLOOKUP(H129,Tabellen!H:I,2),0)</f>
        <v/>
      </c>
      <c r="J129" s="121" t="n"/>
      <c r="K129" s="122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144" t="n"/>
      <c r="B130" s="74" t="n"/>
      <c r="C130" s="74" t="n"/>
      <c r="D130" s="158" t="n"/>
      <c r="E130" s="74">
        <f>IF(J130&gt;1,"+",0)</f>
        <v/>
      </c>
      <c r="F130" s="70">
        <f>IF(E130&gt;0,$L$4,0)</f>
        <v/>
      </c>
      <c r="G130" s="174" t="n"/>
      <c r="H130" s="64" t="n"/>
      <c r="I130" s="159">
        <f>IFERROR(VLOOKUP(H130,Tabellen!H:I,2),0)</f>
        <v/>
      </c>
      <c r="J130" s="121" t="n"/>
      <c r="K130" s="122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144" t="n"/>
      <c r="B131" s="74" t="n"/>
      <c r="C131" s="74" t="n"/>
      <c r="D131" s="158" t="n"/>
      <c r="E131" s="74">
        <f>IF(J131&gt;1,"+",0)</f>
        <v/>
      </c>
      <c r="F131" s="70">
        <f>IF(E131&gt;0,$L$4,0)</f>
        <v/>
      </c>
      <c r="G131" s="174" t="n"/>
      <c r="H131" s="64" t="n"/>
      <c r="I131" s="159">
        <f>IFERROR(VLOOKUP(H131,Tabellen!H:I,2),0)</f>
        <v/>
      </c>
      <c r="J131" s="121" t="n"/>
      <c r="K131" s="122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144" t="n"/>
      <c r="B132" s="74" t="n"/>
      <c r="C132" s="74" t="n"/>
      <c r="D132" s="158" t="n"/>
      <c r="E132" s="74">
        <f>IF(J132&gt;1,"+",0)</f>
        <v/>
      </c>
      <c r="F132" s="70">
        <f>IF(E132&gt;0,$L$4,0)</f>
        <v/>
      </c>
      <c r="G132" s="174" t="n"/>
      <c r="H132" s="64" t="n"/>
      <c r="I132" s="159">
        <f>IFERROR(VLOOKUP(H132,Tabellen!H:I,2),0)</f>
        <v/>
      </c>
      <c r="J132" s="121" t="n"/>
      <c r="K132" s="122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144" t="n"/>
      <c r="B133" s="74" t="n"/>
      <c r="C133" s="74" t="n"/>
      <c r="D133" s="158" t="n"/>
      <c r="E133" s="74">
        <f>IF(J133&gt;1,"+",0)</f>
        <v/>
      </c>
      <c r="F133" s="70">
        <f>IF(E133&gt;0,$L$4,0)</f>
        <v/>
      </c>
      <c r="G133" s="174" t="n"/>
      <c r="H133" s="64" t="n"/>
      <c r="I133" s="159">
        <f>IFERROR(VLOOKUP(H133,Tabellen!H:I,2),0)</f>
        <v/>
      </c>
      <c r="J133" s="121" t="n"/>
      <c r="K133" s="122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144" t="n"/>
      <c r="B134" s="74" t="n"/>
      <c r="C134" s="74" t="n"/>
      <c r="D134" s="158" t="n"/>
      <c r="E134" s="74">
        <f>IF(J134&gt;1,"+",0)</f>
        <v/>
      </c>
      <c r="F134" s="70">
        <f>IF(E134&gt;0,$L$4,0)</f>
        <v/>
      </c>
      <c r="G134" s="174" t="n"/>
      <c r="H134" s="64" t="n"/>
      <c r="I134" s="159">
        <f>IFERROR(VLOOKUP(H134,Tabellen!H:I,2),0)</f>
        <v/>
      </c>
      <c r="J134" s="121" t="n"/>
      <c r="K134" s="122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144" t="n"/>
      <c r="B135" s="74" t="n"/>
      <c r="C135" s="74" t="n"/>
      <c r="D135" s="158" t="n"/>
      <c r="E135" s="74">
        <f>IF(J135&gt;1,"+",0)</f>
        <v/>
      </c>
      <c r="F135" s="70">
        <f>IF(E135&gt;0,$L$4,0)</f>
        <v/>
      </c>
      <c r="G135" s="174" t="n"/>
      <c r="H135" s="64" t="n"/>
      <c r="I135" s="159">
        <f>IFERROR(VLOOKUP(H135,Tabellen!H:I,2),0)</f>
        <v/>
      </c>
      <c r="J135" s="121" t="n"/>
      <c r="K135" s="122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144" t="n"/>
      <c r="B136" s="74" t="n"/>
      <c r="C136" s="74" t="n"/>
      <c r="D136" s="158" t="n"/>
      <c r="E136" s="74">
        <f>IF(J136&gt;1,"+",0)</f>
        <v/>
      </c>
      <c r="F136" s="70">
        <f>IF(E136&gt;0,$L$4,0)</f>
        <v/>
      </c>
      <c r="G136" s="174" t="n"/>
      <c r="H136" s="64" t="n"/>
      <c r="I136" s="159">
        <f>IFERROR(VLOOKUP(H136,Tabellen!H:I,2),0)</f>
        <v/>
      </c>
      <c r="J136" s="121" t="n"/>
      <c r="K136" s="122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144" t="n"/>
      <c r="B137" s="74" t="n"/>
      <c r="C137" s="74" t="n"/>
      <c r="D137" s="158" t="n"/>
      <c r="E137" s="74">
        <f>IF(J137&gt;1,"+",0)</f>
        <v/>
      </c>
      <c r="F137" s="70">
        <f>IF(E137&gt;0,$L$4,0)</f>
        <v/>
      </c>
      <c r="G137" s="174" t="n"/>
      <c r="H137" s="64" t="n"/>
      <c r="I137" s="159">
        <f>IFERROR(VLOOKUP(H137,Tabellen!H:I,2),0)</f>
        <v/>
      </c>
      <c r="J137" s="121" t="n"/>
      <c r="K137" s="122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144" t="n"/>
      <c r="B138" s="74" t="n"/>
      <c r="C138" s="74" t="n"/>
      <c r="D138" s="158" t="n"/>
      <c r="E138" s="74">
        <f>IF(J138&gt;1,"+",0)</f>
        <v/>
      </c>
      <c r="F138" s="70">
        <f>IF(E138&gt;0,$L$4,0)</f>
        <v/>
      </c>
      <c r="G138" s="174" t="n"/>
      <c r="H138" s="64" t="n"/>
      <c r="I138" s="159">
        <f>IFERROR(VLOOKUP(H138,Tabellen!H:I,2),0)</f>
        <v/>
      </c>
      <c r="J138" s="121" t="n"/>
      <c r="K138" s="122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144" t="n"/>
      <c r="B139" s="74" t="n"/>
      <c r="C139" s="74" t="n"/>
      <c r="D139" s="158" t="n"/>
      <c r="E139" s="74">
        <f>IF(J139&gt;1,"+",0)</f>
        <v/>
      </c>
      <c r="F139" s="70">
        <f>IF(E139&gt;0,$L$4,0)</f>
        <v/>
      </c>
      <c r="G139" s="174" t="n"/>
      <c r="H139" s="64" t="n"/>
      <c r="I139" s="159">
        <f>IFERROR(VLOOKUP(H139,Tabellen!H:I,2),0)</f>
        <v/>
      </c>
      <c r="J139" s="121" t="n"/>
      <c r="K139" s="122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144" t="n"/>
      <c r="B140" s="74" t="n"/>
      <c r="C140" s="74" t="n"/>
      <c r="D140" s="158" t="n"/>
      <c r="E140" s="74">
        <f>IF(J140&gt;1,"+",0)</f>
        <v/>
      </c>
      <c r="F140" s="70">
        <f>IF(E140&gt;0,$L$4,0)</f>
        <v/>
      </c>
      <c r="G140" s="174" t="n"/>
      <c r="H140" s="64" t="n"/>
      <c r="I140" s="159">
        <f>IFERROR(VLOOKUP(H140,Tabellen!H:I,2),0)</f>
        <v/>
      </c>
      <c r="J140" s="121" t="n"/>
      <c r="K140" s="122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144" t="n"/>
      <c r="B141" s="74" t="n"/>
      <c r="C141" s="74" t="n"/>
      <c r="D141" s="158" t="n"/>
      <c r="E141" s="74">
        <f>IF(J141&gt;1,"+",0)</f>
        <v/>
      </c>
      <c r="F141" s="70">
        <f>IF(E141&gt;0,$L$4,0)</f>
        <v/>
      </c>
      <c r="G141" s="174" t="n"/>
      <c r="H141" s="64" t="n"/>
      <c r="I141" s="159">
        <f>IFERROR(VLOOKUP(H141,Tabellen!H:I,2),0)</f>
        <v/>
      </c>
      <c r="J141" s="121" t="n"/>
      <c r="K141" s="122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144" t="n"/>
      <c r="B142" s="74" t="n"/>
      <c r="C142" s="74" t="n"/>
      <c r="D142" s="158" t="n"/>
      <c r="E142" s="74">
        <f>IF(J142&gt;1,"+",0)</f>
        <v/>
      </c>
      <c r="F142" s="70">
        <f>IF(E142&gt;0,$L$4,0)</f>
        <v/>
      </c>
      <c r="G142" s="174" t="n"/>
      <c r="H142" s="64" t="n"/>
      <c r="I142" s="159">
        <f>IFERROR(VLOOKUP(H142,Tabellen!H:I,2),0)</f>
        <v/>
      </c>
      <c r="J142" s="121" t="n"/>
      <c r="K142" s="122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144" t="n"/>
      <c r="B143" s="74" t="n"/>
      <c r="C143" s="74" t="n"/>
      <c r="D143" s="158" t="n"/>
      <c r="E143" s="74">
        <f>IF(J143&gt;1,"+",0)</f>
        <v/>
      </c>
      <c r="F143" s="70">
        <f>IF(E143&gt;0,$L$4,0)</f>
        <v/>
      </c>
      <c r="G143" s="174" t="n"/>
      <c r="H143" s="64" t="n"/>
      <c r="I143" s="159">
        <f>IFERROR(VLOOKUP(H143,Tabellen!H:I,2),0)</f>
        <v/>
      </c>
      <c r="J143" s="121" t="n"/>
      <c r="K143" s="122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144" t="n"/>
      <c r="B144" s="74" t="n"/>
      <c r="C144" s="74" t="n"/>
      <c r="D144" s="158" t="n"/>
      <c r="E144" s="74">
        <f>IF(J144&gt;1,"+",0)</f>
        <v/>
      </c>
      <c r="F144" s="70">
        <f>IF(E144&gt;0,$L$4,0)</f>
        <v/>
      </c>
      <c r="G144" s="174" t="n"/>
      <c r="H144" s="64" t="n"/>
      <c r="I144" s="159">
        <f>IFERROR(VLOOKUP(H144,Tabellen!H:I,2),0)</f>
        <v/>
      </c>
      <c r="J144" s="121" t="n"/>
      <c r="K144" s="122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144" t="n"/>
      <c r="B145" s="74" t="n"/>
      <c r="C145" s="74" t="n"/>
      <c r="D145" s="158" t="n"/>
      <c r="E145" s="74">
        <f>IF(J145&gt;1,"+",0)</f>
        <v/>
      </c>
      <c r="F145" s="70">
        <f>IF(E145&gt;0,$L$4,0)</f>
        <v/>
      </c>
      <c r="G145" s="174" t="n"/>
      <c r="H145" s="64" t="n"/>
      <c r="I145" s="159">
        <f>IFERROR(VLOOKUP(H145,Tabellen!H:I,2),0)</f>
        <v/>
      </c>
      <c r="J145" s="121" t="n"/>
      <c r="K145" s="122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144" t="n"/>
      <c r="B146" s="74" t="n"/>
      <c r="C146" s="74" t="n"/>
      <c r="D146" s="158" t="n"/>
      <c r="E146" s="74">
        <f>IF(J146&gt;1,"+",0)</f>
        <v/>
      </c>
      <c r="F146" s="70">
        <f>IF(E146&gt;0,$L$4,0)</f>
        <v/>
      </c>
      <c r="G146" s="174" t="n"/>
      <c r="H146" s="64" t="n"/>
      <c r="I146" s="159">
        <f>IFERROR(VLOOKUP(H146,Tabellen!H:I,2),0)</f>
        <v/>
      </c>
      <c r="J146" s="121" t="n"/>
      <c r="K146" s="122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144" t="n"/>
      <c r="B147" s="74" t="n"/>
      <c r="C147" s="74" t="n"/>
      <c r="D147" s="158" t="n"/>
      <c r="E147" s="74">
        <f>IF(J147&gt;1,"+",0)</f>
        <v/>
      </c>
      <c r="F147" s="70">
        <f>IF(E147&gt;0,$L$4,0)</f>
        <v/>
      </c>
      <c r="G147" s="174" t="n"/>
      <c r="H147" s="64" t="n"/>
      <c r="I147" s="159">
        <f>IFERROR(VLOOKUP(H147,Tabellen!H:I,2),0)</f>
        <v/>
      </c>
      <c r="J147" s="121" t="n"/>
      <c r="K147" s="122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144" t="n"/>
      <c r="B148" s="74" t="n"/>
      <c r="C148" s="74" t="n"/>
      <c r="D148" s="158" t="n"/>
      <c r="E148" s="74">
        <f>IF(J148&gt;1,"+",0)</f>
        <v/>
      </c>
      <c r="F148" s="70">
        <f>IF(E148&gt;0,$L$4,0)</f>
        <v/>
      </c>
      <c r="G148" s="174" t="n"/>
      <c r="H148" s="64" t="n"/>
      <c r="I148" s="159">
        <f>IFERROR(VLOOKUP(H148,Tabellen!H:I,2),0)</f>
        <v/>
      </c>
      <c r="J148" s="121" t="n"/>
      <c r="K148" s="122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144" t="n"/>
      <c r="B149" s="74" t="n"/>
      <c r="C149" s="74" t="n"/>
      <c r="D149" s="158" t="n"/>
      <c r="E149" s="74">
        <f>IF(J149&gt;1,"+",0)</f>
        <v/>
      </c>
      <c r="F149" s="70">
        <f>IF(E149&gt;0,$L$4,0)</f>
        <v/>
      </c>
      <c r="G149" s="174" t="n"/>
      <c r="H149" s="64" t="n"/>
      <c r="I149" s="159">
        <f>IFERROR(VLOOKUP(H149,Tabellen!H:I,2),0)</f>
        <v/>
      </c>
      <c r="J149" s="121" t="n"/>
      <c r="K149" s="122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144" t="n"/>
      <c r="B150" s="74" t="n"/>
      <c r="C150" s="74" t="n"/>
      <c r="D150" s="158" t="n"/>
      <c r="E150" s="74">
        <f>IF(J150&gt;1,"+",0)</f>
        <v/>
      </c>
      <c r="F150" s="70">
        <f>IF(E150&gt;0,$L$4,0)</f>
        <v/>
      </c>
      <c r="G150" s="174" t="n"/>
      <c r="H150" s="64" t="n"/>
      <c r="I150" s="159">
        <f>IFERROR(VLOOKUP(H150,Tabellen!H:I,2),0)</f>
        <v/>
      </c>
      <c r="J150" s="121" t="n"/>
      <c r="K150" s="122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144" t="n"/>
      <c r="B151" s="74" t="n"/>
      <c r="C151" s="74" t="n"/>
      <c r="D151" s="158" t="n"/>
      <c r="E151" s="74">
        <f>IF(J151&gt;1,"+",0)</f>
        <v/>
      </c>
      <c r="F151" s="70">
        <f>IF(E151&gt;0,$L$4,0)</f>
        <v/>
      </c>
      <c r="G151" s="174" t="n"/>
      <c r="H151" s="64" t="n"/>
      <c r="I151" s="159">
        <f>IFERROR(VLOOKUP(H151,Tabellen!H:I,2),0)</f>
        <v/>
      </c>
      <c r="J151" s="121" t="n"/>
      <c r="K151" s="122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144" t="n"/>
      <c r="B152" s="74" t="n"/>
      <c r="C152" s="74" t="n"/>
      <c r="D152" s="158" t="n"/>
      <c r="E152" s="74">
        <f>IF(J152&gt;1,"+",0)</f>
        <v/>
      </c>
      <c r="F152" s="70">
        <f>IF(E152&gt;0,$L$4,0)</f>
        <v/>
      </c>
      <c r="G152" s="174" t="n"/>
      <c r="H152" s="64" t="n"/>
      <c r="I152" s="159">
        <f>IFERROR(VLOOKUP(H152,Tabellen!H:I,2),0)</f>
        <v/>
      </c>
      <c r="J152" s="121" t="n"/>
      <c r="K152" s="122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144" t="n"/>
      <c r="B153" s="74" t="n"/>
      <c r="C153" s="74" t="n"/>
      <c r="D153" s="158" t="n"/>
      <c r="E153" s="74">
        <f>IF(J153&gt;1,"+",0)</f>
        <v/>
      </c>
      <c r="F153" s="70">
        <f>IF(E153&gt;0,$L$4,0)</f>
        <v/>
      </c>
      <c r="G153" s="174" t="n"/>
      <c r="H153" s="64" t="n"/>
      <c r="I153" s="159">
        <f>IFERROR(VLOOKUP(H153,Tabellen!H:I,2),0)</f>
        <v/>
      </c>
      <c r="J153" s="121" t="n"/>
      <c r="K153" s="122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144" t="n"/>
      <c r="B154" s="74" t="n"/>
      <c r="C154" s="74" t="n"/>
      <c r="D154" s="158" t="n"/>
      <c r="E154" s="74">
        <f>IF(J154&gt;1,"+",0)</f>
        <v/>
      </c>
      <c r="F154" s="70">
        <f>IF(E154&gt;0,$L$4,0)</f>
        <v/>
      </c>
      <c r="G154" s="174" t="n"/>
      <c r="H154" s="64" t="n"/>
      <c r="I154" s="159">
        <f>IFERROR(VLOOKUP(H154,Tabellen!H:I,2),0)</f>
        <v/>
      </c>
      <c r="J154" s="121" t="n"/>
      <c r="K154" s="122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144" t="n"/>
      <c r="B155" s="74" t="n"/>
      <c r="C155" s="74" t="n"/>
      <c r="D155" s="158" t="n"/>
      <c r="E155" s="74">
        <f>IF(J155&gt;1,"+",0)</f>
        <v/>
      </c>
      <c r="F155" s="70">
        <f>IF(E155&gt;0,$L$4,0)</f>
        <v/>
      </c>
      <c r="G155" s="174" t="n"/>
      <c r="H155" s="64" t="n"/>
      <c r="I155" s="159">
        <f>IFERROR(VLOOKUP(H155,Tabellen!H:I,2),0)</f>
        <v/>
      </c>
      <c r="J155" s="121" t="n"/>
      <c r="K155" s="122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144" t="n"/>
      <c r="B156" s="74" t="n"/>
      <c r="C156" s="74" t="n"/>
      <c r="D156" s="158" t="n"/>
      <c r="E156" s="74">
        <f>IF(J156&gt;1,"+",0)</f>
        <v/>
      </c>
      <c r="F156" s="70">
        <f>IF(E156&gt;0,$L$4,0)</f>
        <v/>
      </c>
      <c r="G156" s="174" t="n"/>
      <c r="H156" s="64" t="n"/>
      <c r="I156" s="159">
        <f>IFERROR(VLOOKUP(H156,Tabellen!H:I,2),0)</f>
        <v/>
      </c>
      <c r="J156" s="121" t="n"/>
      <c r="K156" s="122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144" t="n"/>
      <c r="B157" s="74" t="n"/>
      <c r="C157" s="74" t="n"/>
      <c r="D157" s="158" t="n"/>
      <c r="E157" s="74">
        <f>IF(J157&gt;1,"+",0)</f>
        <v/>
      </c>
      <c r="F157" s="70">
        <f>IF(E157&gt;0,$L$4,0)</f>
        <v/>
      </c>
      <c r="G157" s="174" t="n"/>
      <c r="H157" s="64" t="n"/>
      <c r="I157" s="159">
        <f>IFERROR(VLOOKUP(H157,Tabellen!H:I,2),0)</f>
        <v/>
      </c>
      <c r="J157" s="121" t="n"/>
      <c r="K157" s="122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144" t="n"/>
      <c r="B158" s="74" t="n"/>
      <c r="C158" s="74" t="n"/>
      <c r="D158" s="158" t="n"/>
      <c r="E158" s="74">
        <f>IF(J158&gt;1,"+",0)</f>
        <v/>
      </c>
      <c r="F158" s="70">
        <f>IF(E158&gt;0,$L$4,0)</f>
        <v/>
      </c>
      <c r="G158" s="174" t="n"/>
      <c r="H158" s="64" t="n"/>
      <c r="I158" s="159">
        <f>IFERROR(VLOOKUP(H158,Tabellen!H:I,2),0)</f>
        <v/>
      </c>
      <c r="J158" s="121" t="n"/>
      <c r="K158" s="122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144" t="n"/>
      <c r="B159" s="74" t="n"/>
      <c r="C159" s="74" t="n"/>
      <c r="D159" s="158" t="n"/>
      <c r="E159" s="74">
        <f>IF(J159&gt;1,"+",0)</f>
        <v/>
      </c>
      <c r="F159" s="70">
        <f>IF(E159&gt;0,$L$4,0)</f>
        <v/>
      </c>
      <c r="G159" s="174" t="n"/>
      <c r="H159" s="64" t="n"/>
      <c r="I159" s="159">
        <f>IFERROR(VLOOKUP(H159,Tabellen!H:I,2),0)</f>
        <v/>
      </c>
      <c r="J159" s="121" t="n"/>
      <c r="K159" s="122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144" t="n"/>
      <c r="B160" s="74" t="n"/>
      <c r="C160" s="74" t="n"/>
      <c r="D160" s="158" t="n"/>
      <c r="E160" s="74">
        <f>IF(J160&gt;1,"+",0)</f>
        <v/>
      </c>
      <c r="F160" s="70">
        <f>IF(E160&gt;0,$L$4,0)</f>
        <v/>
      </c>
      <c r="G160" s="174" t="n"/>
      <c r="H160" s="64" t="n"/>
      <c r="I160" s="159">
        <f>IFERROR(VLOOKUP(H160,Tabellen!H:I,2),0)</f>
        <v/>
      </c>
      <c r="J160" s="121" t="n"/>
      <c r="K160" s="122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144" t="n"/>
      <c r="B161" s="74" t="n"/>
      <c r="C161" s="74" t="n"/>
      <c r="D161" s="158" t="n"/>
      <c r="E161" s="74">
        <f>IF(J161&gt;1,"+",0)</f>
        <v/>
      </c>
      <c r="F161" s="70">
        <f>IF(E161&gt;0,$L$4,0)</f>
        <v/>
      </c>
      <c r="G161" s="174" t="n"/>
      <c r="H161" s="64" t="n"/>
      <c r="I161" s="159">
        <f>IFERROR(VLOOKUP(H161,Tabellen!H:I,2),0)</f>
        <v/>
      </c>
      <c r="J161" s="121" t="n"/>
      <c r="K161" s="122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144" t="n"/>
      <c r="B162" s="74" t="n"/>
      <c r="C162" s="74" t="n"/>
      <c r="D162" s="158" t="n"/>
      <c r="E162" s="74">
        <f>IF(J162&gt;1,"+",0)</f>
        <v/>
      </c>
      <c r="F162" s="70">
        <f>IF(E162&gt;0,$L$4,0)</f>
        <v/>
      </c>
      <c r="G162" s="174" t="n"/>
      <c r="H162" s="64" t="n"/>
      <c r="I162" s="159">
        <f>IFERROR(VLOOKUP(H162,Tabellen!H:I,2),0)</f>
        <v/>
      </c>
      <c r="J162" s="121" t="n"/>
      <c r="K162" s="122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144" t="n"/>
      <c r="B163" s="74" t="n"/>
      <c r="C163" s="74" t="n"/>
      <c r="D163" s="158" t="n"/>
      <c r="E163" s="74">
        <f>IF(J163&gt;1,"+",0)</f>
        <v/>
      </c>
      <c r="F163" s="70">
        <f>IF(E163&gt;0,$L$4,0)</f>
        <v/>
      </c>
      <c r="G163" s="174" t="n"/>
      <c r="H163" s="64" t="n"/>
      <c r="I163" s="159">
        <f>IFERROR(VLOOKUP(H163,Tabellen!H:I,2),0)</f>
        <v/>
      </c>
      <c r="J163" s="121" t="n"/>
      <c r="K163" s="122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144" t="n"/>
      <c r="B164" s="74" t="n"/>
      <c r="C164" s="74" t="n"/>
      <c r="D164" s="158" t="n"/>
      <c r="E164" s="74">
        <f>IF(J164&gt;1,"+",0)</f>
        <v/>
      </c>
      <c r="F164" s="70">
        <f>IF(E164&gt;0,$L$4,0)</f>
        <v/>
      </c>
      <c r="G164" s="174" t="n"/>
      <c r="H164" s="64" t="n"/>
      <c r="I164" s="159">
        <f>IFERROR(VLOOKUP(H164,Tabellen!H:I,2),0)</f>
        <v/>
      </c>
      <c r="J164" s="121" t="n"/>
      <c r="K164" s="122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144" t="n"/>
      <c r="B165" s="74" t="n"/>
      <c r="C165" s="74" t="n"/>
      <c r="D165" s="158" t="n"/>
      <c r="E165" s="74">
        <f>IF(J165&gt;1,"+",0)</f>
        <v/>
      </c>
      <c r="F165" s="70">
        <f>IF(E165&gt;0,$L$4,0)</f>
        <v/>
      </c>
      <c r="G165" s="174" t="n"/>
      <c r="H165" s="64" t="n"/>
      <c r="I165" s="159">
        <f>IFERROR(VLOOKUP(H165,Tabellen!H:I,2),0)</f>
        <v/>
      </c>
      <c r="J165" s="121" t="n"/>
      <c r="K165" s="122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144" t="n"/>
      <c r="B166" s="74" t="n"/>
      <c r="C166" s="74" t="n"/>
      <c r="D166" s="158" t="n"/>
      <c r="E166" s="74">
        <f>IF(J166&gt;1,"+",0)</f>
        <v/>
      </c>
      <c r="F166" s="70">
        <f>IF(E166&gt;0,$L$4,0)</f>
        <v/>
      </c>
      <c r="G166" s="174" t="n"/>
      <c r="H166" s="64" t="n"/>
      <c r="I166" s="159">
        <f>IFERROR(VLOOKUP(H166,Tabellen!H:I,2),0)</f>
        <v/>
      </c>
      <c r="J166" s="121" t="n"/>
      <c r="K166" s="122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144" t="n"/>
      <c r="B167" s="74" t="n"/>
      <c r="C167" s="74" t="n"/>
      <c r="D167" s="158" t="n"/>
      <c r="E167" s="74">
        <f>IF(J167&gt;1,"+",0)</f>
        <v/>
      </c>
      <c r="F167" s="70">
        <f>IF(E167&gt;0,$L$4,0)</f>
        <v/>
      </c>
      <c r="G167" s="174" t="n"/>
      <c r="H167" s="64" t="n"/>
      <c r="I167" s="159">
        <f>IFERROR(VLOOKUP(H167,Tabellen!H:I,2),0)</f>
        <v/>
      </c>
      <c r="J167" s="121" t="n"/>
      <c r="K167" s="122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126" t="inlineStr">
        <is>
          <t>Saldo mutaties investeringen</t>
        </is>
      </c>
      <c r="B168" s="125" t="n"/>
      <c r="C168" s="125" t="n"/>
      <c r="D168" s="126" t="n"/>
      <c r="E168" s="143">
        <f>IF(J168&gt;1,"+",0)</f>
        <v/>
      </c>
      <c r="F168" s="127" t="n"/>
      <c r="G168" s="173" t="n"/>
      <c r="H168" s="65" t="n"/>
      <c r="I168" s="128" t="n"/>
      <c r="J168" s="129" t="n"/>
      <c r="K168" s="130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72" t="n"/>
      <c r="B169" s="71" t="n"/>
      <c r="C169" s="71" t="n"/>
      <c r="D169" s="72" t="n"/>
      <c r="E169" s="71">
        <f>IF(J169&gt;1,"+",0)</f>
        <v/>
      </c>
      <c r="F169" s="113" t="n"/>
      <c r="G169" s="172" t="n"/>
      <c r="H169" s="63" t="n"/>
      <c r="I169" s="114" t="n"/>
      <c r="J169" s="73" t="n"/>
      <c r="K169" s="115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142" t="inlineStr">
        <is>
          <t>D. Reserves</t>
        </is>
      </c>
      <c r="B170" s="118" t="n"/>
      <c r="C170" s="71" t="n"/>
      <c r="D170" s="72" t="n"/>
      <c r="E170" s="71">
        <f>IF(J170&gt;1,"+",0)</f>
        <v/>
      </c>
      <c r="F170" s="113" t="n"/>
      <c r="G170" s="172" t="n"/>
      <c r="H170" s="63" t="n"/>
      <c r="I170" s="114" t="n"/>
      <c r="J170" s="73" t="n"/>
      <c r="K170" s="115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72" t="n"/>
      <c r="B171" s="71" t="n"/>
      <c r="C171" s="71" t="n"/>
      <c r="D171" s="72" t="n"/>
      <c r="E171" s="71">
        <f>IF(J171&gt;1,"+",0)</f>
        <v/>
      </c>
      <c r="F171" s="113" t="n"/>
      <c r="G171" s="172" t="n"/>
      <c r="H171" s="63" t="n"/>
      <c r="I171" s="114" t="n"/>
      <c r="J171" s="73" t="n"/>
      <c r="K171" s="115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144" t="n"/>
      <c r="B172" s="74" t="n"/>
      <c r="C172" s="74" t="n"/>
      <c r="D172" s="158" t="n"/>
      <c r="E172" s="74">
        <f>IF(J172&gt;1,"+",0)</f>
        <v/>
      </c>
      <c r="F172" s="75" t="n"/>
      <c r="G172" s="174" t="n"/>
      <c r="H172" s="64" t="n"/>
      <c r="I172" s="159">
        <f>IFERROR(VLOOKUP(H172,Tabellen!H:I,2),0)</f>
        <v/>
      </c>
      <c r="J172" s="121" t="n"/>
      <c r="K172" s="122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144" t="n"/>
      <c r="B173" s="74" t="n"/>
      <c r="C173" s="74" t="n"/>
      <c r="D173" s="158" t="n"/>
      <c r="E173" s="74">
        <f>IF(J173&gt;1,"+",0)</f>
        <v/>
      </c>
      <c r="F173" s="75" t="n"/>
      <c r="G173" s="174" t="n"/>
      <c r="H173" s="64" t="n"/>
      <c r="I173" s="159">
        <f>IFERROR(VLOOKUP(H173,Tabellen!H:I,2),0)</f>
        <v/>
      </c>
      <c r="J173" s="121" t="n"/>
      <c r="K173" s="122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144" t="n"/>
      <c r="B174" s="74" t="n"/>
      <c r="C174" s="74" t="n"/>
      <c r="D174" s="158" t="n"/>
      <c r="E174" s="74">
        <f>IF(J174&gt;1,"+",0)</f>
        <v/>
      </c>
      <c r="F174" s="75">
        <f>IF(E174&gt;0,$L$4,0)</f>
        <v/>
      </c>
      <c r="G174" s="174" t="n"/>
      <c r="H174" s="64" t="n"/>
      <c r="I174" s="159">
        <f>IFERROR(VLOOKUP(H174,Tabellen!H:I,2),0)</f>
        <v/>
      </c>
      <c r="J174" s="121" t="n"/>
      <c r="K174" s="122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144" t="n"/>
      <c r="B175" s="74" t="n"/>
      <c r="C175" s="74" t="n"/>
      <c r="D175" s="158" t="n"/>
      <c r="E175" s="74">
        <f>IF(J175&gt;1,"+",0)</f>
        <v/>
      </c>
      <c r="F175" s="75">
        <f>IF(E175&gt;0,$L$4,0)</f>
        <v/>
      </c>
      <c r="G175" s="174" t="n"/>
      <c r="H175" s="64" t="n"/>
      <c r="I175" s="159">
        <f>IFERROR(VLOOKUP(H175,Tabellen!H:I,2),0)</f>
        <v/>
      </c>
      <c r="J175" s="121" t="n"/>
      <c r="K175" s="122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144" t="n"/>
      <c r="B176" s="74" t="n"/>
      <c r="C176" s="74" t="n"/>
      <c r="D176" s="158" t="n"/>
      <c r="E176" s="74">
        <f>IF(J176&gt;1,"+",0)</f>
        <v/>
      </c>
      <c r="F176" s="75">
        <f>IF(E176&gt;0,$L$4,0)</f>
        <v/>
      </c>
      <c r="G176" s="174" t="n"/>
      <c r="H176" s="64" t="n"/>
      <c r="I176" s="159">
        <f>IFERROR(VLOOKUP(H176,Tabellen!H:I,2),0)</f>
        <v/>
      </c>
      <c r="J176" s="121" t="n"/>
      <c r="K176" s="122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144" t="n"/>
      <c r="B177" s="74" t="n"/>
      <c r="C177" s="74" t="n"/>
      <c r="D177" s="158" t="n"/>
      <c r="E177" s="74">
        <f>IF(J177&gt;1,"+",0)</f>
        <v/>
      </c>
      <c r="F177" s="75">
        <f>IF(E177&gt;0,$L$4,0)</f>
        <v/>
      </c>
      <c r="G177" s="174" t="n"/>
      <c r="H177" s="64" t="n"/>
      <c r="I177" s="159">
        <f>IFERROR(VLOOKUP(H177,Tabellen!H:I,2),0)</f>
        <v/>
      </c>
      <c r="J177" s="121" t="n"/>
      <c r="K177" s="122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144" t="n"/>
      <c r="B178" s="74" t="n"/>
      <c r="C178" s="74" t="n"/>
      <c r="D178" s="158" t="n"/>
      <c r="E178" s="74">
        <f>IF(J178&gt;1,"+",0)</f>
        <v/>
      </c>
      <c r="F178" s="75">
        <f>IF(E178&gt;0,$L$4,0)</f>
        <v/>
      </c>
      <c r="G178" s="174" t="n"/>
      <c r="H178" s="64" t="n"/>
      <c r="I178" s="159">
        <f>IFERROR(VLOOKUP(H178,Tabellen!H:I,2),0)</f>
        <v/>
      </c>
      <c r="J178" s="121" t="n"/>
      <c r="K178" s="122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144" t="n"/>
      <c r="B179" s="74" t="n"/>
      <c r="C179" s="74" t="n"/>
      <c r="D179" s="158" t="n"/>
      <c r="E179" s="74">
        <f>IF(J179&gt;1,"+",0)</f>
        <v/>
      </c>
      <c r="F179" s="75">
        <f>IF(E179&gt;0,$L$4,0)</f>
        <v/>
      </c>
      <c r="G179" s="174" t="n"/>
      <c r="H179" s="64" t="n"/>
      <c r="I179" s="159">
        <f>IFERROR(VLOOKUP(H179,Tabellen!H:I,2),0)</f>
        <v/>
      </c>
      <c r="J179" s="121" t="n"/>
      <c r="K179" s="122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144" t="n"/>
      <c r="B180" s="74" t="n"/>
      <c r="C180" s="74" t="n"/>
      <c r="D180" s="158" t="n"/>
      <c r="E180" s="74">
        <f>IF(J180&gt;1,"+",0)</f>
        <v/>
      </c>
      <c r="F180" s="75">
        <f>IF(E180&gt;0,$L$4,0)</f>
        <v/>
      </c>
      <c r="G180" s="174" t="n"/>
      <c r="H180" s="64" t="n"/>
      <c r="I180" s="159">
        <f>IFERROR(VLOOKUP(H180,Tabellen!H:I,2),0)</f>
        <v/>
      </c>
      <c r="J180" s="121" t="n"/>
      <c r="K180" s="122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144" t="n"/>
      <c r="B181" s="74" t="n"/>
      <c r="C181" s="74" t="n"/>
      <c r="D181" s="158" t="n"/>
      <c r="E181" s="74">
        <f>IF(J181&gt;1,"+",0)</f>
        <v/>
      </c>
      <c r="F181" s="75">
        <f>IF(E181&gt;0,$L$4,0)</f>
        <v/>
      </c>
      <c r="G181" s="174" t="n"/>
      <c r="H181" s="64" t="n"/>
      <c r="I181" s="159">
        <f>IFERROR(VLOOKUP(H181,Tabellen!H:I,2),0)</f>
        <v/>
      </c>
      <c r="J181" s="121" t="n"/>
      <c r="K181" s="122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144" t="n"/>
      <c r="B182" s="74" t="n"/>
      <c r="C182" s="74" t="n"/>
      <c r="D182" s="158" t="n"/>
      <c r="E182" s="74">
        <f>IF(J182&gt;1,"+",0)</f>
        <v/>
      </c>
      <c r="F182" s="75">
        <f>IF(E182&gt;0,$L$4,0)</f>
        <v/>
      </c>
      <c r="G182" s="174" t="n"/>
      <c r="H182" s="64" t="n"/>
      <c r="I182" s="159">
        <f>IFERROR(VLOOKUP(H182,Tabellen!H:I,2),0)</f>
        <v/>
      </c>
      <c r="J182" s="121" t="n"/>
      <c r="K182" s="122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144" t="n"/>
      <c r="B183" s="74" t="n"/>
      <c r="C183" s="74" t="n"/>
      <c r="D183" s="158" t="n"/>
      <c r="E183" s="74">
        <f>IF(J183&gt;1,"+",0)</f>
        <v/>
      </c>
      <c r="F183" s="75">
        <f>IF(E183&gt;0,$L$4,0)</f>
        <v/>
      </c>
      <c r="G183" s="174" t="n"/>
      <c r="H183" s="64" t="n"/>
      <c r="I183" s="159">
        <f>IFERROR(VLOOKUP(H183,Tabellen!H:I,2),0)</f>
        <v/>
      </c>
      <c r="J183" s="121" t="n"/>
      <c r="K183" s="122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144" t="n"/>
      <c r="B184" s="74" t="n"/>
      <c r="C184" s="74" t="n"/>
      <c r="D184" s="158" t="n"/>
      <c r="E184" s="74">
        <f>IF(J184&gt;1,"+",0)</f>
        <v/>
      </c>
      <c r="F184" s="75">
        <f>IF(E184&gt;0,$L$4,0)</f>
        <v/>
      </c>
      <c r="G184" s="174" t="n"/>
      <c r="H184" s="64" t="n"/>
      <c r="I184" s="159">
        <f>IFERROR(VLOOKUP(H184,Tabellen!H:I,2),0)</f>
        <v/>
      </c>
      <c r="J184" s="121" t="n"/>
      <c r="K184" s="122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144" t="n"/>
      <c r="B185" s="74" t="n"/>
      <c r="C185" s="74" t="n"/>
      <c r="D185" s="158" t="n"/>
      <c r="E185" s="74">
        <f>IF(J185&gt;1,"+",0)</f>
        <v/>
      </c>
      <c r="F185" s="75">
        <f>IF(E185&gt;0,$L$4,0)</f>
        <v/>
      </c>
      <c r="G185" s="174" t="n"/>
      <c r="H185" s="64" t="n"/>
      <c r="I185" s="159">
        <f>IFERROR(VLOOKUP(H185,Tabellen!H:I,2),0)</f>
        <v/>
      </c>
      <c r="J185" s="121" t="n"/>
      <c r="K185" s="122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144" t="n"/>
      <c r="B186" s="74" t="n"/>
      <c r="C186" s="74" t="n"/>
      <c r="D186" s="158" t="n"/>
      <c r="E186" s="74">
        <f>IF(J186&gt;1,"+",0)</f>
        <v/>
      </c>
      <c r="F186" s="75">
        <f>IF(E186&gt;0,$L$4,0)</f>
        <v/>
      </c>
      <c r="G186" s="174" t="n"/>
      <c r="H186" s="64" t="n"/>
      <c r="I186" s="159">
        <f>IFERROR(VLOOKUP(H186,Tabellen!H:I,2),0)</f>
        <v/>
      </c>
      <c r="J186" s="121" t="n"/>
      <c r="K186" s="122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144" t="n"/>
      <c r="B187" s="74" t="n"/>
      <c r="C187" s="74" t="n"/>
      <c r="D187" s="158" t="n"/>
      <c r="E187" s="74">
        <f>IF(J187&gt;1,"+",0)</f>
        <v/>
      </c>
      <c r="F187" s="75">
        <f>IF(E187&gt;0,$L$4,0)</f>
        <v/>
      </c>
      <c r="G187" s="174" t="n"/>
      <c r="H187" s="64" t="n"/>
      <c r="I187" s="159">
        <f>IFERROR(VLOOKUP(H187,Tabellen!H:I,2),0)</f>
        <v/>
      </c>
      <c r="J187" s="121" t="n"/>
      <c r="K187" s="122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144" t="n"/>
      <c r="B188" s="74" t="n"/>
      <c r="C188" s="74" t="n"/>
      <c r="D188" s="158" t="n"/>
      <c r="E188" s="74">
        <f>IF(J188&gt;1,"+",0)</f>
        <v/>
      </c>
      <c r="F188" s="75">
        <f>IF(E188&gt;0,$L$4,0)</f>
        <v/>
      </c>
      <c r="G188" s="174" t="n"/>
      <c r="H188" s="64" t="n"/>
      <c r="I188" s="159">
        <f>IFERROR(VLOOKUP(H188,Tabellen!H:I,2),0)</f>
        <v/>
      </c>
      <c r="J188" s="121" t="n"/>
      <c r="K188" s="122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144" t="n"/>
      <c r="B189" s="74" t="n"/>
      <c r="C189" s="74" t="n"/>
      <c r="D189" s="158" t="n"/>
      <c r="E189" s="74">
        <f>IF(J189&gt;1,"+",0)</f>
        <v/>
      </c>
      <c r="F189" s="75">
        <f>IF(E189&gt;0,$L$4,0)</f>
        <v/>
      </c>
      <c r="G189" s="174" t="n"/>
      <c r="H189" s="64" t="n"/>
      <c r="I189" s="159">
        <f>IFERROR(VLOOKUP(H189,Tabellen!H:I,2),0)</f>
        <v/>
      </c>
      <c r="J189" s="121" t="n"/>
      <c r="K189" s="122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144" t="n"/>
      <c r="B190" s="74" t="n"/>
      <c r="C190" s="74" t="n"/>
      <c r="D190" s="158" t="n"/>
      <c r="E190" s="74">
        <f>IF(J190&gt;1,"+",0)</f>
        <v/>
      </c>
      <c r="F190" s="75">
        <f>IF(E190&gt;0,$L$4,0)</f>
        <v/>
      </c>
      <c r="G190" s="174" t="n"/>
      <c r="H190" s="64" t="n"/>
      <c r="I190" s="159">
        <f>IFERROR(VLOOKUP(H190,Tabellen!H:I,2),0)</f>
        <v/>
      </c>
      <c r="J190" s="121" t="n"/>
      <c r="K190" s="122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144" t="n"/>
      <c r="B191" s="74" t="n"/>
      <c r="C191" s="74" t="n"/>
      <c r="D191" s="158" t="n"/>
      <c r="E191" s="74">
        <f>IF(J191&gt;1,"+",0)</f>
        <v/>
      </c>
      <c r="F191" s="75">
        <f>IF(E191&gt;0,$L$4,0)</f>
        <v/>
      </c>
      <c r="G191" s="174" t="n"/>
      <c r="H191" s="64" t="n"/>
      <c r="I191" s="159">
        <f>IFERROR(VLOOKUP(H191,Tabellen!H:I,2),0)</f>
        <v/>
      </c>
      <c r="J191" s="121" t="n"/>
      <c r="K191" s="122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144" t="n"/>
      <c r="B192" s="74" t="n"/>
      <c r="C192" s="74" t="n"/>
      <c r="D192" s="158" t="n"/>
      <c r="E192" s="74">
        <f>IF(J192&gt;1,"+",0)</f>
        <v/>
      </c>
      <c r="F192" s="75">
        <f>IF(E192&gt;0,$L$4,0)</f>
        <v/>
      </c>
      <c r="G192" s="174" t="n"/>
      <c r="H192" s="64" t="n"/>
      <c r="I192" s="159">
        <f>IFERROR(VLOOKUP(H192,Tabellen!H:I,2),0)</f>
        <v/>
      </c>
      <c r="J192" s="121" t="n"/>
      <c r="K192" s="122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144" t="n"/>
      <c r="B193" s="74" t="n"/>
      <c r="C193" s="74" t="n"/>
      <c r="D193" s="158" t="n"/>
      <c r="E193" s="74">
        <f>IF(J193&gt;1,"+",0)</f>
        <v/>
      </c>
      <c r="F193" s="75">
        <f>IF(E193&gt;0,$L$4,0)</f>
        <v/>
      </c>
      <c r="G193" s="174" t="n"/>
      <c r="H193" s="64" t="n"/>
      <c r="I193" s="159">
        <f>IFERROR(VLOOKUP(H193,Tabellen!H:I,2),0)</f>
        <v/>
      </c>
      <c r="J193" s="121" t="n"/>
      <c r="K193" s="122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144" t="n"/>
      <c r="B194" s="74" t="n"/>
      <c r="C194" s="74" t="n"/>
      <c r="D194" s="158" t="n"/>
      <c r="E194" s="74">
        <f>IF(J194&gt;1,"+",0)</f>
        <v/>
      </c>
      <c r="F194" s="75">
        <f>IF(E194&gt;0,$L$4,0)</f>
        <v/>
      </c>
      <c r="G194" s="174" t="n"/>
      <c r="H194" s="64" t="n"/>
      <c r="I194" s="159">
        <f>IFERROR(VLOOKUP(H194,Tabellen!H:I,2),0)</f>
        <v/>
      </c>
      <c r="J194" s="121" t="n"/>
      <c r="K194" s="122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144" t="n"/>
      <c r="B195" s="74" t="n"/>
      <c r="C195" s="74" t="n"/>
      <c r="D195" s="158" t="n"/>
      <c r="E195" s="74">
        <f>IF(J195&gt;1,"+",0)</f>
        <v/>
      </c>
      <c r="F195" s="75">
        <f>IF(E195&gt;0,$L$4,0)</f>
        <v/>
      </c>
      <c r="G195" s="174" t="n"/>
      <c r="H195" s="64" t="n"/>
      <c r="I195" s="159">
        <f>IFERROR(VLOOKUP(H195,Tabellen!H:I,2),0)</f>
        <v/>
      </c>
      <c r="J195" s="121" t="n"/>
      <c r="K195" s="122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144" t="n"/>
      <c r="B196" s="74" t="n"/>
      <c r="C196" s="74" t="n"/>
      <c r="D196" s="158" t="n"/>
      <c r="E196" s="74">
        <f>IF(J196&gt;1,"+",0)</f>
        <v/>
      </c>
      <c r="F196" s="75">
        <f>IF(E196&gt;0,$L$4,0)</f>
        <v/>
      </c>
      <c r="G196" s="174" t="n"/>
      <c r="H196" s="64" t="n"/>
      <c r="I196" s="159">
        <f>IFERROR(VLOOKUP(H196,Tabellen!H:I,2),0)</f>
        <v/>
      </c>
      <c r="J196" s="121" t="n"/>
      <c r="K196" s="122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144" t="n"/>
      <c r="B197" s="74" t="n"/>
      <c r="C197" s="74" t="n"/>
      <c r="D197" s="158" t="n"/>
      <c r="E197" s="74">
        <f>IF(J197&gt;1,"+",0)</f>
        <v/>
      </c>
      <c r="F197" s="75">
        <f>IF(E197&gt;0,$L$4,0)</f>
        <v/>
      </c>
      <c r="G197" s="174" t="n"/>
      <c r="H197" s="64" t="n"/>
      <c r="I197" s="159">
        <f>IFERROR(VLOOKUP(H197,Tabellen!H:I,2),0)</f>
        <v/>
      </c>
      <c r="J197" s="121" t="n"/>
      <c r="K197" s="122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144" t="n"/>
      <c r="B198" s="74" t="n"/>
      <c r="C198" s="74" t="n"/>
      <c r="D198" s="158" t="n"/>
      <c r="E198" s="74">
        <f>IF(J198&gt;1,"+",0)</f>
        <v/>
      </c>
      <c r="F198" s="75">
        <f>IF(E198&gt;0,$L$4,0)</f>
        <v/>
      </c>
      <c r="G198" s="174" t="n"/>
      <c r="H198" s="64" t="n"/>
      <c r="I198" s="159">
        <f>IFERROR(VLOOKUP(H198,Tabellen!H:I,2),0)</f>
        <v/>
      </c>
      <c r="J198" s="121" t="n"/>
      <c r="K198" s="122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144" t="n"/>
      <c r="B199" s="74" t="n"/>
      <c r="C199" s="74" t="n"/>
      <c r="D199" s="158" t="n"/>
      <c r="E199" s="74">
        <f>IF(J199&gt;1,"+",0)</f>
        <v/>
      </c>
      <c r="F199" s="75">
        <f>IF(E199&gt;0,$L$4,0)</f>
        <v/>
      </c>
      <c r="G199" s="174" t="n"/>
      <c r="H199" s="64" t="n"/>
      <c r="I199" s="159">
        <f>IFERROR(VLOOKUP(H199,Tabellen!H:I,2),0)</f>
        <v/>
      </c>
      <c r="J199" s="121" t="n"/>
      <c r="K199" s="122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144" t="n"/>
      <c r="B200" s="74" t="n"/>
      <c r="C200" s="74" t="n"/>
      <c r="D200" s="158" t="n"/>
      <c r="E200" s="74">
        <f>IF(J200&gt;1,"+",0)</f>
        <v/>
      </c>
      <c r="F200" s="75">
        <f>IF(E200&gt;0,$L$4,0)</f>
        <v/>
      </c>
      <c r="G200" s="174" t="n"/>
      <c r="H200" s="64" t="n"/>
      <c r="I200" s="159">
        <f>IFERROR(VLOOKUP(H200,Tabellen!H:I,2),0)</f>
        <v/>
      </c>
      <c r="J200" s="121" t="n"/>
      <c r="K200" s="122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144" t="n"/>
      <c r="B201" s="74" t="n"/>
      <c r="C201" s="74" t="n"/>
      <c r="D201" s="158" t="n"/>
      <c r="E201" s="74">
        <f>IF(J201&gt;1,"+",0)</f>
        <v/>
      </c>
      <c r="F201" s="75">
        <f>IF(E201&gt;0,$L$4,0)</f>
        <v/>
      </c>
      <c r="G201" s="174" t="n"/>
      <c r="H201" s="64" t="n"/>
      <c r="I201" s="159">
        <f>IFERROR(VLOOKUP(H201,Tabellen!H:I,2),0)</f>
        <v/>
      </c>
      <c r="J201" s="121" t="n"/>
      <c r="K201" s="122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144" t="n"/>
      <c r="B202" s="74" t="n"/>
      <c r="C202" s="74" t="n"/>
      <c r="D202" s="158" t="n"/>
      <c r="E202" s="74">
        <f>IF(J202&gt;1,"+",0)</f>
        <v/>
      </c>
      <c r="F202" s="75">
        <f>IF(E202&gt;0,$L$4,0)</f>
        <v/>
      </c>
      <c r="G202" s="174" t="n"/>
      <c r="H202" s="64" t="n"/>
      <c r="I202" s="159">
        <f>IFERROR(VLOOKUP(H202,Tabellen!H:I,2),0)</f>
        <v/>
      </c>
      <c r="J202" s="121" t="n"/>
      <c r="K202" s="122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144" t="n"/>
      <c r="B203" s="74" t="n"/>
      <c r="C203" s="74" t="n"/>
      <c r="D203" s="158" t="n"/>
      <c r="E203" s="74">
        <f>IF(J203&gt;1,"+",0)</f>
        <v/>
      </c>
      <c r="F203" s="75">
        <f>IF(E203&gt;0,$L$4,0)</f>
        <v/>
      </c>
      <c r="G203" s="174" t="n"/>
      <c r="H203" s="64" t="n"/>
      <c r="I203" s="159">
        <f>IFERROR(VLOOKUP(H203,Tabellen!H:I,2),0)</f>
        <v/>
      </c>
      <c r="J203" s="121" t="n"/>
      <c r="K203" s="122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144" t="n"/>
      <c r="B204" s="74" t="n"/>
      <c r="C204" s="74" t="n"/>
      <c r="D204" s="158" t="n"/>
      <c r="E204" s="74">
        <f>IF(J204&gt;1,"+",0)</f>
        <v/>
      </c>
      <c r="F204" s="75">
        <f>IF(E204&gt;0,$L$4,0)</f>
        <v/>
      </c>
      <c r="G204" s="174" t="n"/>
      <c r="H204" s="64" t="n"/>
      <c r="I204" s="159">
        <f>IFERROR(VLOOKUP(H204,Tabellen!H:I,2),0)</f>
        <v/>
      </c>
      <c r="J204" s="121" t="n"/>
      <c r="K204" s="122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144" t="n"/>
      <c r="B205" s="74" t="n"/>
      <c r="C205" s="74" t="n"/>
      <c r="D205" s="158" t="n"/>
      <c r="E205" s="74">
        <f>IF(J205&gt;1,"+",0)</f>
        <v/>
      </c>
      <c r="F205" s="75">
        <f>IF(E205&gt;0,$L$4,0)</f>
        <v/>
      </c>
      <c r="G205" s="174" t="n"/>
      <c r="H205" s="64" t="n"/>
      <c r="I205" s="159">
        <f>IFERROR(VLOOKUP(H205,Tabellen!H:I,2),0)</f>
        <v/>
      </c>
      <c r="J205" s="121" t="n"/>
      <c r="K205" s="122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144" t="n"/>
      <c r="B206" s="74" t="n"/>
      <c r="C206" s="74" t="n"/>
      <c r="D206" s="158" t="n"/>
      <c r="E206" s="74">
        <f>IF(J206&gt;1,"+",0)</f>
        <v/>
      </c>
      <c r="F206" s="75">
        <f>IF(E206&gt;0,$L$4,0)</f>
        <v/>
      </c>
      <c r="G206" s="174" t="n"/>
      <c r="H206" s="64" t="n"/>
      <c r="I206" s="159">
        <f>IFERROR(VLOOKUP(H206,Tabellen!H:I,2),0)</f>
        <v/>
      </c>
      <c r="J206" s="121" t="n"/>
      <c r="K206" s="122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144" t="n"/>
      <c r="B207" s="74" t="n"/>
      <c r="C207" s="74" t="n"/>
      <c r="D207" s="158" t="n"/>
      <c r="E207" s="74">
        <f>IF(J207&gt;1,"+",0)</f>
        <v/>
      </c>
      <c r="F207" s="75">
        <f>IF(E207&gt;0,$L$4,0)</f>
        <v/>
      </c>
      <c r="G207" s="174" t="n"/>
      <c r="H207" s="64" t="n"/>
      <c r="I207" s="159">
        <f>IFERROR(VLOOKUP(H207,Tabellen!H:I,2),0)</f>
        <v/>
      </c>
      <c r="J207" s="121" t="n"/>
      <c r="K207" s="122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144" t="n"/>
      <c r="B208" s="74" t="n"/>
      <c r="C208" s="74" t="n"/>
      <c r="D208" s="158" t="n"/>
      <c r="E208" s="74">
        <f>IF(J208&gt;1,"+",0)</f>
        <v/>
      </c>
      <c r="F208" s="75">
        <f>IF(E208&gt;0,$L$4,0)</f>
        <v/>
      </c>
      <c r="G208" s="174" t="n"/>
      <c r="H208" s="64" t="n"/>
      <c r="I208" s="159">
        <f>IFERROR(VLOOKUP(H208,Tabellen!H:I,2),0)</f>
        <v/>
      </c>
      <c r="J208" s="121" t="n"/>
      <c r="K208" s="122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144" t="n"/>
      <c r="B209" s="74" t="n"/>
      <c r="C209" s="74" t="n"/>
      <c r="D209" s="158" t="n"/>
      <c r="E209" s="74">
        <f>IF(J209&gt;1,"+",0)</f>
        <v/>
      </c>
      <c r="F209" s="75">
        <f>IF(E209&gt;0,$L$4,0)</f>
        <v/>
      </c>
      <c r="G209" s="174" t="n"/>
      <c r="H209" s="64" t="n"/>
      <c r="I209" s="159">
        <f>IFERROR(VLOOKUP(H209,Tabellen!H:I,2),0)</f>
        <v/>
      </c>
      <c r="J209" s="121" t="n"/>
      <c r="K209" s="122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144" t="n"/>
      <c r="B210" s="74" t="n"/>
      <c r="C210" s="74" t="n"/>
      <c r="D210" s="158" t="n"/>
      <c r="E210" s="74">
        <f>IF(J210&gt;1,"+",0)</f>
        <v/>
      </c>
      <c r="F210" s="75">
        <f>IF(E210&gt;0,$L$4,0)</f>
        <v/>
      </c>
      <c r="G210" s="174" t="n"/>
      <c r="H210" s="64" t="n"/>
      <c r="I210" s="159">
        <f>IFERROR(VLOOKUP(H210,Tabellen!H:I,2),0)</f>
        <v/>
      </c>
      <c r="J210" s="121" t="n"/>
      <c r="K210" s="122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144" t="n"/>
      <c r="B211" s="74" t="n"/>
      <c r="C211" s="74" t="n"/>
      <c r="D211" s="158" t="n"/>
      <c r="E211" s="74">
        <f>IF(J211&gt;1,"+",0)</f>
        <v/>
      </c>
      <c r="F211" s="75">
        <f>IF(E211&gt;0,$L$4,0)</f>
        <v/>
      </c>
      <c r="G211" s="174" t="n"/>
      <c r="H211" s="64" t="n"/>
      <c r="I211" s="159">
        <f>IFERROR(VLOOKUP(H211,Tabellen!H:I,2),0)</f>
        <v/>
      </c>
      <c r="J211" s="121" t="n"/>
      <c r="K211" s="122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144" t="n"/>
      <c r="B212" s="74" t="n"/>
      <c r="C212" s="74" t="n"/>
      <c r="D212" s="158" t="n"/>
      <c r="E212" s="74">
        <f>IF(J212&gt;1,"+",0)</f>
        <v/>
      </c>
      <c r="F212" s="75">
        <f>IF(E212&gt;0,$L$4,0)</f>
        <v/>
      </c>
      <c r="G212" s="174" t="n"/>
      <c r="H212" s="64" t="n"/>
      <c r="I212" s="159">
        <f>IFERROR(VLOOKUP(H212,Tabellen!H:I,2),0)</f>
        <v/>
      </c>
      <c r="J212" s="121" t="n"/>
      <c r="K212" s="122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144" t="n"/>
      <c r="B213" s="74" t="n"/>
      <c r="C213" s="74" t="n"/>
      <c r="D213" s="158" t="n"/>
      <c r="E213" s="74">
        <f>IF(J213&gt;1,"+",0)</f>
        <v/>
      </c>
      <c r="F213" s="75">
        <f>IF(E213&gt;0,$L$4,0)</f>
        <v/>
      </c>
      <c r="G213" s="174" t="n"/>
      <c r="H213" s="64" t="n"/>
      <c r="I213" s="159">
        <f>IFERROR(VLOOKUP(H213,Tabellen!H:I,2),0)</f>
        <v/>
      </c>
      <c r="J213" s="121" t="n"/>
      <c r="K213" s="122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144" t="n"/>
      <c r="B214" s="74" t="n"/>
      <c r="C214" s="74" t="n"/>
      <c r="D214" s="158" t="n"/>
      <c r="E214" s="74">
        <f>IF(J214&gt;1,"+",0)</f>
        <v/>
      </c>
      <c r="F214" s="75">
        <f>IF(E214&gt;0,$L$4,0)</f>
        <v/>
      </c>
      <c r="G214" s="174" t="n"/>
      <c r="H214" s="64" t="n"/>
      <c r="I214" s="159">
        <f>IFERROR(VLOOKUP(H214,Tabellen!H:I,2),0)</f>
        <v/>
      </c>
      <c r="J214" s="121" t="n"/>
      <c r="K214" s="122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144" t="n"/>
      <c r="B215" s="74" t="n"/>
      <c r="C215" s="74" t="n"/>
      <c r="D215" s="158" t="n"/>
      <c r="E215" s="74">
        <f>IF(J215&gt;1,"+",0)</f>
        <v/>
      </c>
      <c r="F215" s="75">
        <f>IF(E215&gt;0,$L$4,0)</f>
        <v/>
      </c>
      <c r="G215" s="174" t="n"/>
      <c r="H215" s="64" t="n"/>
      <c r="I215" s="159">
        <f>IFERROR(VLOOKUP(H215,Tabellen!H:I,2),0)</f>
        <v/>
      </c>
      <c r="J215" s="121" t="n"/>
      <c r="K215" s="122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144" t="n"/>
      <c r="B216" s="74" t="n"/>
      <c r="C216" s="74" t="n"/>
      <c r="D216" s="158" t="n"/>
      <c r="E216" s="74">
        <f>IF(J216&gt;1,"+",0)</f>
        <v/>
      </c>
      <c r="F216" s="75">
        <f>IF(E216&gt;0,$L$4,0)</f>
        <v/>
      </c>
      <c r="G216" s="174" t="n"/>
      <c r="H216" s="64" t="n"/>
      <c r="I216" s="159">
        <f>IFERROR(VLOOKUP(H216,Tabellen!H:I,2),0)</f>
        <v/>
      </c>
      <c r="J216" s="121" t="n"/>
      <c r="K216" s="122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126" t="inlineStr">
        <is>
          <t>Saldo mutaties reserves</t>
        </is>
      </c>
      <c r="B217" s="125" t="n"/>
      <c r="C217" s="125" t="n"/>
      <c r="D217" s="126" t="n"/>
      <c r="E217" s="143">
        <f>IF(J217&gt;1,"+",0)</f>
        <v/>
      </c>
      <c r="F217" s="127" t="n"/>
      <c r="G217" s="173" t="n"/>
      <c r="H217" s="65" t="n"/>
      <c r="I217" s="128" t="n"/>
      <c r="J217" s="129" t="n"/>
      <c r="K217" s="130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72" t="n"/>
      <c r="B218" s="71" t="n"/>
      <c r="C218" s="71" t="n"/>
      <c r="D218" s="72" t="n"/>
      <c r="E218" s="71">
        <f>IF(J218&gt;1,"+",0)</f>
        <v/>
      </c>
      <c r="F218" s="113" t="n"/>
      <c r="G218" s="172" t="n"/>
      <c r="H218" s="63" t="n"/>
      <c r="I218" s="114" t="n"/>
      <c r="J218" s="73" t="n"/>
      <c r="K218" s="115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142" t="inlineStr">
        <is>
          <t>E. Voorzieningen</t>
        </is>
      </c>
      <c r="B219" s="118" t="n"/>
      <c r="C219" s="71" t="n"/>
      <c r="D219" s="72" t="n"/>
      <c r="E219" s="71">
        <f>IF(J219&gt;1,"+",0)</f>
        <v/>
      </c>
      <c r="F219" s="113" t="n"/>
      <c r="G219" s="172" t="n"/>
      <c r="H219" s="63" t="n"/>
      <c r="I219" s="114" t="n"/>
      <c r="J219" s="73" t="n"/>
      <c r="K219" s="115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144" t="inlineStr">
        <is>
          <t>Voorzieningen</t>
        </is>
      </c>
      <c r="B220" s="74" t="n"/>
      <c r="C220" s="74" t="n"/>
      <c r="D220" s="158" t="n"/>
      <c r="E220" s="74">
        <f>IF(J220&gt;1,"+",0)</f>
        <v/>
      </c>
      <c r="F220" s="75">
        <f>IF(E220&gt;0,$L$4,0)</f>
        <v/>
      </c>
      <c r="G220" s="174" t="n"/>
      <c r="H220" s="64" t="n"/>
      <c r="I220" s="159">
        <f>IFERROR(VLOOKUP(H220,Tabellen!H:I,2),0)</f>
        <v/>
      </c>
      <c r="J220" s="121" t="n"/>
      <c r="K220" s="122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144" t="n"/>
      <c r="B221" s="74" t="n"/>
      <c r="C221" s="74" t="n"/>
      <c r="D221" s="158" t="n"/>
      <c r="E221" s="74">
        <f>IF(J221&gt;1,"+",0)</f>
        <v/>
      </c>
      <c r="F221" s="75">
        <f>IF(E221&gt;0,$L$4,0)</f>
        <v/>
      </c>
      <c r="G221" s="174" t="n"/>
      <c r="H221" s="64" t="n"/>
      <c r="I221" s="159">
        <f>IFERROR(VLOOKUP(H221,Tabellen!H:I,2),0)</f>
        <v/>
      </c>
      <c r="J221" s="121" t="n"/>
      <c r="K221" s="122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144" t="n"/>
      <c r="B222" s="74" t="n"/>
      <c r="C222" s="74" t="n"/>
      <c r="D222" s="158" t="n"/>
      <c r="E222" s="74">
        <f>IF(J222&gt;1,"+",0)</f>
        <v/>
      </c>
      <c r="F222" s="75">
        <f>IF(E222&gt;0,$L$4,0)</f>
        <v/>
      </c>
      <c r="G222" s="174" t="n"/>
      <c r="H222" s="64" t="n"/>
      <c r="I222" s="159">
        <f>IFERROR(VLOOKUP(H222,Tabellen!H:I,2),0)</f>
        <v/>
      </c>
      <c r="J222" s="121" t="n"/>
      <c r="K222" s="122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144" t="n"/>
      <c r="B223" s="74" t="n"/>
      <c r="C223" s="74" t="n"/>
      <c r="D223" s="158" t="n"/>
      <c r="E223" s="74">
        <f>IF(J223&gt;1,"+",0)</f>
        <v/>
      </c>
      <c r="F223" s="75">
        <f>IF(E223&gt;0,$L$4,0)</f>
        <v/>
      </c>
      <c r="G223" s="174" t="n"/>
      <c r="H223" s="64" t="n"/>
      <c r="I223" s="159">
        <f>IFERROR(VLOOKUP(H223,Tabellen!H:I,2),0)</f>
        <v/>
      </c>
      <c r="J223" s="121" t="n"/>
      <c r="K223" s="122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144" t="n"/>
      <c r="B224" s="74" t="n"/>
      <c r="C224" s="74" t="n"/>
      <c r="D224" s="158" t="n"/>
      <c r="E224" s="74">
        <f>IF(J224&gt;1,"+",0)</f>
        <v/>
      </c>
      <c r="F224" s="75">
        <f>IF(E224&gt;0,$L$4,0)</f>
        <v/>
      </c>
      <c r="G224" s="174" t="n"/>
      <c r="H224" s="64" t="n"/>
      <c r="I224" s="159">
        <f>IFERROR(VLOOKUP(H224,Tabellen!H:I,2),0)</f>
        <v/>
      </c>
      <c r="J224" s="121" t="n"/>
      <c r="K224" s="122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144" t="n"/>
      <c r="B225" s="74" t="n"/>
      <c r="C225" s="74" t="n"/>
      <c r="D225" s="158" t="n"/>
      <c r="E225" s="74">
        <f>IF(J225&gt;1,"+",0)</f>
        <v/>
      </c>
      <c r="F225" s="75">
        <f>IF(E225&gt;0,$L$4,0)</f>
        <v/>
      </c>
      <c r="G225" s="174" t="n"/>
      <c r="H225" s="64" t="n"/>
      <c r="I225" s="159">
        <f>IFERROR(VLOOKUP(H225,Tabellen!H:I,2),0)</f>
        <v/>
      </c>
      <c r="J225" s="121" t="n"/>
      <c r="K225" s="122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144" t="n"/>
      <c r="B226" s="74" t="n"/>
      <c r="C226" s="74" t="n"/>
      <c r="D226" s="158" t="n"/>
      <c r="E226" s="74">
        <f>IF(J226&gt;1,"+",0)</f>
        <v/>
      </c>
      <c r="F226" s="75">
        <f>IF(E226&gt;0,$L$4,0)</f>
        <v/>
      </c>
      <c r="G226" s="174" t="n"/>
      <c r="H226" s="64" t="n"/>
      <c r="I226" s="159">
        <f>IFERROR(VLOOKUP(H226,Tabellen!H:I,2),0)</f>
        <v/>
      </c>
      <c r="J226" s="121" t="n"/>
      <c r="K226" s="122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144" t="n"/>
      <c r="B227" s="74" t="n"/>
      <c r="C227" s="74" t="n"/>
      <c r="D227" s="158" t="n"/>
      <c r="E227" s="74">
        <f>IF(J227&gt;1,"+",0)</f>
        <v/>
      </c>
      <c r="F227" s="75">
        <f>IF(E227&gt;0,$L$4,0)</f>
        <v/>
      </c>
      <c r="G227" s="174" t="n"/>
      <c r="H227" s="64" t="n"/>
      <c r="I227" s="159">
        <f>IFERROR(VLOOKUP(H227,Tabellen!H:I,2),0)</f>
        <v/>
      </c>
      <c r="J227" s="121" t="n"/>
      <c r="K227" s="122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144" t="n"/>
      <c r="B228" s="74" t="n"/>
      <c r="C228" s="74" t="n"/>
      <c r="D228" s="158" t="n"/>
      <c r="E228" s="74">
        <f>IF(J228&gt;1,"+",0)</f>
        <v/>
      </c>
      <c r="F228" s="75">
        <f>IF(E228&gt;0,$L$4,0)</f>
        <v/>
      </c>
      <c r="G228" s="174" t="n"/>
      <c r="H228" s="64" t="n"/>
      <c r="I228" s="159">
        <f>IFERROR(VLOOKUP(H228,Tabellen!H:I,2),0)</f>
        <v/>
      </c>
      <c r="J228" s="121" t="n"/>
      <c r="K228" s="122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144" t="n"/>
      <c r="B229" s="74" t="n"/>
      <c r="C229" s="74" t="n"/>
      <c r="D229" s="158" t="n"/>
      <c r="E229" s="74">
        <f>IF(J229&gt;1,"+",0)</f>
        <v/>
      </c>
      <c r="F229" s="75">
        <f>IF(E229&gt;0,$L$4,0)</f>
        <v/>
      </c>
      <c r="G229" s="174" t="n"/>
      <c r="H229" s="64" t="n"/>
      <c r="I229" s="159">
        <f>IFERROR(VLOOKUP(H229,Tabellen!H:I,2),0)</f>
        <v/>
      </c>
      <c r="J229" s="121" t="n"/>
      <c r="K229" s="122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144" t="n"/>
      <c r="B230" s="74" t="n"/>
      <c r="C230" s="74" t="n"/>
      <c r="D230" s="158" t="n"/>
      <c r="E230" s="74">
        <f>IF(J230&gt;1,"+",0)</f>
        <v/>
      </c>
      <c r="F230" s="75">
        <f>IF(E230&gt;0,$L$4,0)</f>
        <v/>
      </c>
      <c r="G230" s="174" t="n"/>
      <c r="H230" s="64" t="n"/>
      <c r="I230" s="159">
        <f>IFERROR(VLOOKUP(H230,Tabellen!H:I,2),0)</f>
        <v/>
      </c>
      <c r="J230" s="121" t="n"/>
      <c r="K230" s="122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144" t="n"/>
      <c r="B231" s="74" t="n"/>
      <c r="C231" s="74" t="n"/>
      <c r="D231" s="158" t="n"/>
      <c r="E231" s="74">
        <f>IF(J231&gt;1,"+",0)</f>
        <v/>
      </c>
      <c r="F231" s="75">
        <f>IF(E231&gt;0,$L$4,0)</f>
        <v/>
      </c>
      <c r="G231" s="174" t="n"/>
      <c r="H231" s="64" t="n"/>
      <c r="I231" s="159">
        <f>IFERROR(VLOOKUP(H231,Tabellen!H:I,2),0)</f>
        <v/>
      </c>
      <c r="J231" s="121" t="n"/>
      <c r="K231" s="122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144" t="n"/>
      <c r="B232" s="74" t="n"/>
      <c r="C232" s="74" t="n"/>
      <c r="D232" s="158" t="n"/>
      <c r="E232" s="74">
        <f>IF(J232&gt;1,"+",0)</f>
        <v/>
      </c>
      <c r="F232" s="75">
        <f>IF(E232&gt;0,$L$4,0)</f>
        <v/>
      </c>
      <c r="G232" s="174" t="n"/>
      <c r="H232" s="64" t="n"/>
      <c r="I232" s="159">
        <f>IFERROR(VLOOKUP(H232,Tabellen!H:I,2),0)</f>
        <v/>
      </c>
      <c r="J232" s="121" t="n"/>
      <c r="K232" s="122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144" t="n"/>
      <c r="B233" s="74" t="n"/>
      <c r="C233" s="74" t="n"/>
      <c r="D233" s="158" t="n"/>
      <c r="E233" s="74">
        <f>IF(J233&gt;1,"+",0)</f>
        <v/>
      </c>
      <c r="F233" s="75">
        <f>IF(E233&gt;0,$L$4,0)</f>
        <v/>
      </c>
      <c r="G233" s="174" t="n"/>
      <c r="H233" s="64" t="n"/>
      <c r="I233" s="159">
        <f>IFERROR(VLOOKUP(H233,Tabellen!H:I,2),0)</f>
        <v/>
      </c>
      <c r="J233" s="121" t="n"/>
      <c r="K233" s="122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144" t="n"/>
      <c r="B234" s="74" t="n"/>
      <c r="C234" s="74" t="n"/>
      <c r="D234" s="158" t="n"/>
      <c r="E234" s="74">
        <f>IF(J234&gt;1,"+",0)</f>
        <v/>
      </c>
      <c r="F234" s="75">
        <f>IF(E234&gt;0,$L$4,0)</f>
        <v/>
      </c>
      <c r="G234" s="174" t="n"/>
      <c r="H234" s="64" t="n"/>
      <c r="I234" s="159">
        <f>IFERROR(VLOOKUP(H234,Tabellen!H:I,2),0)</f>
        <v/>
      </c>
      <c r="J234" s="121" t="n"/>
      <c r="K234" s="122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144" t="n"/>
      <c r="B235" s="74" t="n"/>
      <c r="C235" s="74" t="n"/>
      <c r="D235" s="158" t="n"/>
      <c r="E235" s="74">
        <f>IF(J235&gt;1,"+",0)</f>
        <v/>
      </c>
      <c r="F235" s="75">
        <f>IF(E235&gt;0,$L$4,0)</f>
        <v/>
      </c>
      <c r="G235" s="174" t="n"/>
      <c r="H235" s="64" t="n"/>
      <c r="I235" s="159">
        <f>IFERROR(VLOOKUP(H235,Tabellen!H:I,2),0)</f>
        <v/>
      </c>
      <c r="J235" s="121" t="n"/>
      <c r="K235" s="122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144" t="n"/>
      <c r="B236" s="74" t="n"/>
      <c r="C236" s="74" t="n"/>
      <c r="D236" s="158" t="n"/>
      <c r="E236" s="74">
        <f>IF(J236&gt;1,"+",0)</f>
        <v/>
      </c>
      <c r="F236" s="75">
        <f>IF(E236&gt;0,$L$4,0)</f>
        <v/>
      </c>
      <c r="G236" s="174" t="n"/>
      <c r="H236" s="64" t="n"/>
      <c r="I236" s="159">
        <f>IFERROR(VLOOKUP(H236,Tabellen!H:I,2),0)</f>
        <v/>
      </c>
      <c r="J236" s="121" t="n"/>
      <c r="K236" s="122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144" t="n"/>
      <c r="B237" s="74" t="n"/>
      <c r="C237" s="74" t="n"/>
      <c r="D237" s="158" t="n"/>
      <c r="E237" s="74">
        <f>IF(J237&gt;1,"+",0)</f>
        <v/>
      </c>
      <c r="F237" s="75">
        <f>IF(E237&gt;0,$L$4,0)</f>
        <v/>
      </c>
      <c r="G237" s="174" t="n"/>
      <c r="H237" s="64" t="n"/>
      <c r="I237" s="159">
        <f>IFERROR(VLOOKUP(H237,Tabellen!H:I,2),0)</f>
        <v/>
      </c>
      <c r="J237" s="121" t="n"/>
      <c r="K237" s="122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144" t="n"/>
      <c r="B238" s="74" t="n"/>
      <c r="C238" s="74" t="n"/>
      <c r="D238" s="158" t="n"/>
      <c r="E238" s="74">
        <f>IF(J238&gt;1,"+",0)</f>
        <v/>
      </c>
      <c r="F238" s="75">
        <f>IF(E238&gt;0,$L$4,0)</f>
        <v/>
      </c>
      <c r="G238" s="174" t="n"/>
      <c r="H238" s="64" t="n"/>
      <c r="I238" s="159">
        <f>IFERROR(VLOOKUP(H238,Tabellen!H:I,2),0)</f>
        <v/>
      </c>
      <c r="J238" s="121" t="n"/>
      <c r="K238" s="122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144" t="n"/>
      <c r="B239" s="74" t="n"/>
      <c r="C239" s="74" t="n"/>
      <c r="D239" s="158" t="n"/>
      <c r="E239" s="74">
        <f>IF(J239&gt;1,"+",0)</f>
        <v/>
      </c>
      <c r="F239" s="75">
        <f>IF(E239&gt;0,$L$4,0)</f>
        <v/>
      </c>
      <c r="G239" s="174" t="n"/>
      <c r="H239" s="64" t="n"/>
      <c r="I239" s="159">
        <f>IFERROR(VLOOKUP(H239,Tabellen!H:I,2),0)</f>
        <v/>
      </c>
      <c r="J239" s="121" t="n"/>
      <c r="K239" s="122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144" t="n"/>
      <c r="B240" s="74" t="n"/>
      <c r="C240" s="74" t="n"/>
      <c r="D240" s="158" t="n"/>
      <c r="E240" s="74">
        <f>IF(J240&gt;1,"+",0)</f>
        <v/>
      </c>
      <c r="F240" s="75">
        <f>IF(E240&gt;0,$L$4,0)</f>
        <v/>
      </c>
      <c r="G240" s="174" t="n"/>
      <c r="H240" s="64" t="n"/>
      <c r="I240" s="159">
        <f>IFERROR(VLOOKUP(H240,Tabellen!H:I,2),0)</f>
        <v/>
      </c>
      <c r="J240" s="121" t="n"/>
      <c r="K240" s="122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144" t="n"/>
      <c r="B241" s="74" t="n"/>
      <c r="C241" s="74" t="n"/>
      <c r="D241" s="158" t="n"/>
      <c r="E241" s="74">
        <f>IF(J241&gt;1,"+",0)</f>
        <v/>
      </c>
      <c r="F241" s="75">
        <f>IF(E241&gt;0,$L$4,0)</f>
        <v/>
      </c>
      <c r="G241" s="174" t="n"/>
      <c r="H241" s="64" t="n"/>
      <c r="I241" s="159">
        <f>IFERROR(VLOOKUP(H241,Tabellen!H:I,2),0)</f>
        <v/>
      </c>
      <c r="J241" s="121" t="n"/>
      <c r="K241" s="122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144" t="n"/>
      <c r="B242" s="74" t="n"/>
      <c r="C242" s="74" t="n"/>
      <c r="D242" s="158" t="n"/>
      <c r="E242" s="74">
        <f>IF(J242&gt;1,"+",0)</f>
        <v/>
      </c>
      <c r="F242" s="75">
        <f>IF(E242&gt;0,$L$4,0)</f>
        <v/>
      </c>
      <c r="G242" s="174" t="n"/>
      <c r="H242" s="64" t="n"/>
      <c r="I242" s="159">
        <f>IFERROR(VLOOKUP(H242,Tabellen!H:I,2),0)</f>
        <v/>
      </c>
      <c r="J242" s="121" t="n"/>
      <c r="K242" s="122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144" t="n"/>
      <c r="B243" s="74" t="n"/>
      <c r="C243" s="74" t="n"/>
      <c r="D243" s="158" t="n"/>
      <c r="E243" s="74">
        <f>IF(J243&gt;1,"+",0)</f>
        <v/>
      </c>
      <c r="F243" s="75">
        <f>IF(E243&gt;0,$L$4,0)</f>
        <v/>
      </c>
      <c r="G243" s="174" t="n"/>
      <c r="H243" s="64" t="n"/>
      <c r="I243" s="159">
        <f>IFERROR(VLOOKUP(H243,Tabellen!H:I,2),0)</f>
        <v/>
      </c>
      <c r="J243" s="121" t="n"/>
      <c r="K243" s="122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144" t="n"/>
      <c r="B244" s="74" t="n"/>
      <c r="C244" s="74" t="n"/>
      <c r="D244" s="158" t="n"/>
      <c r="E244" s="74">
        <f>IF(J244&gt;1,"+",0)</f>
        <v/>
      </c>
      <c r="F244" s="75">
        <f>IF(E244&gt;0,$L$4,0)</f>
        <v/>
      </c>
      <c r="G244" s="174" t="n"/>
      <c r="H244" s="64" t="n"/>
      <c r="I244" s="159">
        <f>IFERROR(VLOOKUP(H244,Tabellen!H:I,2),0)</f>
        <v/>
      </c>
      <c r="J244" s="121" t="n"/>
      <c r="K244" s="122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144" t="n"/>
      <c r="B245" s="74" t="n"/>
      <c r="C245" s="74" t="n"/>
      <c r="D245" s="158" t="n"/>
      <c r="E245" s="74">
        <f>IF(J245&gt;1,"+",0)</f>
        <v/>
      </c>
      <c r="F245" s="75">
        <f>IF(E245&gt;0,$L$4,0)</f>
        <v/>
      </c>
      <c r="G245" s="174" t="n"/>
      <c r="H245" s="64" t="n"/>
      <c r="I245" s="159">
        <f>IFERROR(VLOOKUP(H245,Tabellen!H:I,2),0)</f>
        <v/>
      </c>
      <c r="J245" s="121" t="n"/>
      <c r="K245" s="122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144" t="n"/>
      <c r="B246" s="74" t="n"/>
      <c r="C246" s="74" t="n"/>
      <c r="D246" s="158" t="n"/>
      <c r="E246" s="74">
        <f>IF(J246&gt;1,"+",0)</f>
        <v/>
      </c>
      <c r="F246" s="75">
        <f>IF(E246&gt;0,$L$4,0)</f>
        <v/>
      </c>
      <c r="G246" s="174" t="n"/>
      <c r="H246" s="64" t="n"/>
      <c r="I246" s="159">
        <f>IFERROR(VLOOKUP(H246,Tabellen!H:I,2),0)</f>
        <v/>
      </c>
      <c r="J246" s="121" t="n"/>
      <c r="K246" s="122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144" t="n"/>
      <c r="B247" s="74" t="n"/>
      <c r="C247" s="74" t="n"/>
      <c r="D247" s="158" t="n"/>
      <c r="E247" s="74">
        <f>IF(J247&gt;1,"+",0)</f>
        <v/>
      </c>
      <c r="F247" s="75">
        <f>IF(E247&gt;0,$L$4,0)</f>
        <v/>
      </c>
      <c r="G247" s="174" t="n"/>
      <c r="H247" s="64" t="n"/>
      <c r="I247" s="159">
        <f>IFERROR(VLOOKUP(H247,Tabellen!H:I,2),0)</f>
        <v/>
      </c>
      <c r="J247" s="121" t="n"/>
      <c r="K247" s="122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144" t="n"/>
      <c r="B248" s="74" t="n"/>
      <c r="C248" s="74" t="n"/>
      <c r="D248" s="158" t="n"/>
      <c r="E248" s="74">
        <f>IF(J248&gt;1,"+",0)</f>
        <v/>
      </c>
      <c r="F248" s="75">
        <f>IF(E248&gt;0,$L$4,0)</f>
        <v/>
      </c>
      <c r="G248" s="174" t="n"/>
      <c r="H248" s="64" t="n"/>
      <c r="I248" s="159">
        <f>IFERROR(VLOOKUP(H248,Tabellen!H:I,2),0)</f>
        <v/>
      </c>
      <c r="J248" s="121" t="n"/>
      <c r="K248" s="122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144" t="n"/>
      <c r="B249" s="74" t="n"/>
      <c r="C249" s="74" t="n"/>
      <c r="D249" s="158" t="n"/>
      <c r="E249" s="74">
        <f>IF(J249&gt;1,"+",0)</f>
        <v/>
      </c>
      <c r="F249" s="75">
        <f>IF(E249&gt;0,$L$4,0)</f>
        <v/>
      </c>
      <c r="G249" s="174" t="n"/>
      <c r="H249" s="64" t="n"/>
      <c r="I249" s="159">
        <f>IFERROR(VLOOKUP(H249,Tabellen!H:I,2),0)</f>
        <v/>
      </c>
      <c r="J249" s="121" t="n"/>
      <c r="K249" s="122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144" t="n"/>
      <c r="B250" s="74" t="n"/>
      <c r="C250" s="74" t="n"/>
      <c r="D250" s="158" t="n"/>
      <c r="E250" s="74">
        <f>IF(J250&gt;1,"+",0)</f>
        <v/>
      </c>
      <c r="F250" s="75">
        <f>IF(E250&gt;0,$L$4,0)</f>
        <v/>
      </c>
      <c r="G250" s="174" t="n"/>
      <c r="H250" s="64" t="n"/>
      <c r="I250" s="159">
        <f>IFERROR(VLOOKUP(H250,Tabellen!H:I,2),0)</f>
        <v/>
      </c>
      <c r="J250" s="121" t="n"/>
      <c r="K250" s="122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144" t="n"/>
      <c r="B251" s="74" t="n"/>
      <c r="C251" s="74" t="n"/>
      <c r="D251" s="158" t="n"/>
      <c r="E251" s="74">
        <f>IF(J251&gt;1,"+",0)</f>
        <v/>
      </c>
      <c r="F251" s="75">
        <f>IF(E251&gt;0,$L$4,0)</f>
        <v/>
      </c>
      <c r="G251" s="174" t="n"/>
      <c r="H251" s="64" t="n"/>
      <c r="I251" s="159">
        <f>IFERROR(VLOOKUP(H251,Tabellen!H:I,2),0)</f>
        <v/>
      </c>
      <c r="J251" s="121" t="n"/>
      <c r="K251" s="122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144" t="n"/>
      <c r="B252" s="74" t="n"/>
      <c r="C252" s="74" t="n"/>
      <c r="D252" s="158" t="n"/>
      <c r="E252" s="74">
        <f>IF(J252&gt;1,"+",0)</f>
        <v/>
      </c>
      <c r="F252" s="75">
        <f>IF(E252&gt;0,$L$4,0)</f>
        <v/>
      </c>
      <c r="G252" s="174" t="n"/>
      <c r="H252" s="64" t="n"/>
      <c r="I252" s="159">
        <f>IFERROR(VLOOKUP(H252,Tabellen!H:I,2),0)</f>
        <v/>
      </c>
      <c r="J252" s="121" t="n"/>
      <c r="K252" s="122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144" t="n"/>
      <c r="B253" s="74" t="n"/>
      <c r="C253" s="74" t="n"/>
      <c r="D253" s="158" t="n"/>
      <c r="E253" s="74">
        <f>IF(J253&gt;1,"+",0)</f>
        <v/>
      </c>
      <c r="F253" s="75">
        <f>IF(E253&gt;0,$L$4,0)</f>
        <v/>
      </c>
      <c r="G253" s="174" t="n"/>
      <c r="H253" s="64" t="n"/>
      <c r="I253" s="159">
        <f>IFERROR(VLOOKUP(H253,Tabellen!H:I,2),0)</f>
        <v/>
      </c>
      <c r="J253" s="121" t="n"/>
      <c r="K253" s="122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144" t="n"/>
      <c r="B254" s="74" t="n"/>
      <c r="C254" s="74" t="n"/>
      <c r="D254" s="158" t="n"/>
      <c r="E254" s="74">
        <f>IF(J254&gt;1,"+",0)</f>
        <v/>
      </c>
      <c r="F254" s="75">
        <f>IF(E254&gt;0,$L$4,0)</f>
        <v/>
      </c>
      <c r="G254" s="174" t="n"/>
      <c r="H254" s="64" t="n"/>
      <c r="I254" s="159">
        <f>IFERROR(VLOOKUP(H254,Tabellen!H:I,2),0)</f>
        <v/>
      </c>
      <c r="J254" s="121" t="n"/>
      <c r="K254" s="122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144" t="n"/>
      <c r="B255" s="74" t="n"/>
      <c r="C255" s="74" t="n"/>
      <c r="D255" s="158" t="n"/>
      <c r="E255" s="74">
        <f>IF(J255&gt;1,"+",0)</f>
        <v/>
      </c>
      <c r="F255" s="75">
        <f>IF(E255&gt;0,$L$4,0)</f>
        <v/>
      </c>
      <c r="G255" s="174" t="n"/>
      <c r="H255" s="64" t="n"/>
      <c r="I255" s="159">
        <f>IFERROR(VLOOKUP(H255,Tabellen!H:I,2),0)</f>
        <v/>
      </c>
      <c r="J255" s="121" t="n"/>
      <c r="K255" s="122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144" t="n"/>
      <c r="B256" s="74" t="n"/>
      <c r="C256" s="74" t="n"/>
      <c r="D256" s="158" t="n"/>
      <c r="E256" s="74">
        <f>IF(J256&gt;1,"+",0)</f>
        <v/>
      </c>
      <c r="F256" s="75">
        <f>IF(E256&gt;0,$L$4,0)</f>
        <v/>
      </c>
      <c r="G256" s="174" t="n"/>
      <c r="H256" s="64" t="n"/>
      <c r="I256" s="159">
        <f>IFERROR(VLOOKUP(H256,Tabellen!H:I,2),0)</f>
        <v/>
      </c>
      <c r="J256" s="121" t="n"/>
      <c r="K256" s="122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144" t="n"/>
      <c r="B257" s="74" t="n"/>
      <c r="C257" s="74" t="n"/>
      <c r="D257" s="158" t="n"/>
      <c r="E257" s="74">
        <f>IF(J257&gt;1,"+",0)</f>
        <v/>
      </c>
      <c r="F257" s="75">
        <f>IF(E257&gt;0,$L$4,0)</f>
        <v/>
      </c>
      <c r="G257" s="174" t="n"/>
      <c r="H257" s="64" t="n"/>
      <c r="I257" s="159">
        <f>IFERROR(VLOOKUP(H257,Tabellen!H:I,2),0)</f>
        <v/>
      </c>
      <c r="J257" s="121" t="n"/>
      <c r="K257" s="122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144" t="n"/>
      <c r="B258" s="74" t="n"/>
      <c r="C258" s="74" t="n"/>
      <c r="D258" s="158" t="n"/>
      <c r="E258" s="74">
        <f>IF(J258&gt;1,"+",0)</f>
        <v/>
      </c>
      <c r="F258" s="75">
        <f>IF(E258&gt;0,$L$4,0)</f>
        <v/>
      </c>
      <c r="G258" s="174" t="n"/>
      <c r="H258" s="64" t="n"/>
      <c r="I258" s="159">
        <f>IFERROR(VLOOKUP(H258,Tabellen!H:I,2),0)</f>
        <v/>
      </c>
      <c r="J258" s="121" t="n"/>
      <c r="K258" s="122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144" t="n"/>
      <c r="B259" s="74" t="n"/>
      <c r="C259" s="74" t="n"/>
      <c r="D259" s="158" t="n"/>
      <c r="E259" s="74">
        <f>IF(J259&gt;1,"+",0)</f>
        <v/>
      </c>
      <c r="F259" s="75">
        <f>IF(E259&gt;0,$L$4,0)</f>
        <v/>
      </c>
      <c r="G259" s="174" t="n"/>
      <c r="H259" s="64" t="n"/>
      <c r="I259" s="159">
        <f>IFERROR(VLOOKUP(H259,Tabellen!H:I,2),0)</f>
        <v/>
      </c>
      <c r="J259" s="121" t="n"/>
      <c r="K259" s="122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144" t="n"/>
      <c r="B260" s="74" t="n"/>
      <c r="C260" s="74" t="n"/>
      <c r="D260" s="158" t="n"/>
      <c r="E260" s="74">
        <f>IF(J260&gt;1,"+",0)</f>
        <v/>
      </c>
      <c r="F260" s="75">
        <f>IF(E260&gt;0,$L$4,0)</f>
        <v/>
      </c>
      <c r="G260" s="174" t="n"/>
      <c r="H260" s="64" t="n"/>
      <c r="I260" s="159">
        <f>IFERROR(VLOOKUP(H260,Tabellen!H:I,2),0)</f>
        <v/>
      </c>
      <c r="J260" s="121" t="n"/>
      <c r="K260" s="122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144" t="n"/>
      <c r="B261" s="74" t="n"/>
      <c r="C261" s="74" t="n"/>
      <c r="D261" s="158" t="n"/>
      <c r="E261" s="74">
        <f>IF(J261&gt;1,"+",0)</f>
        <v/>
      </c>
      <c r="F261" s="75">
        <f>IF(E261&gt;0,$L$4,0)</f>
        <v/>
      </c>
      <c r="G261" s="174" t="n"/>
      <c r="H261" s="64" t="n"/>
      <c r="I261" s="159">
        <f>IFERROR(VLOOKUP(H261,Tabellen!H:I,2),0)</f>
        <v/>
      </c>
      <c r="J261" s="121" t="n"/>
      <c r="K261" s="122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144" t="n"/>
      <c r="B262" s="74" t="n"/>
      <c r="C262" s="74" t="n"/>
      <c r="D262" s="158" t="n"/>
      <c r="E262" s="74">
        <f>IF(J262&gt;1,"+",0)</f>
        <v/>
      </c>
      <c r="F262" s="75">
        <f>IF(E262&gt;0,$L$4,0)</f>
        <v/>
      </c>
      <c r="G262" s="174" t="n"/>
      <c r="H262" s="64" t="n"/>
      <c r="I262" s="159">
        <f>IFERROR(VLOOKUP(H262,Tabellen!H:I,2),0)</f>
        <v/>
      </c>
      <c r="J262" s="121" t="n"/>
      <c r="K262" s="122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144" t="n"/>
      <c r="B263" s="74" t="n"/>
      <c r="C263" s="74" t="n"/>
      <c r="D263" s="158" t="n"/>
      <c r="E263" s="74">
        <f>IF(J263&gt;1,"+",0)</f>
        <v/>
      </c>
      <c r="F263" s="75">
        <f>IF(E263&gt;0,$L$4,0)</f>
        <v/>
      </c>
      <c r="G263" s="174" t="n"/>
      <c r="H263" s="64" t="n"/>
      <c r="I263" s="159">
        <f>IFERROR(VLOOKUP(H263,Tabellen!H:I,2),0)</f>
        <v/>
      </c>
      <c r="J263" s="121" t="n"/>
      <c r="K263" s="122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144" t="n"/>
      <c r="B264" s="74" t="n"/>
      <c r="C264" s="74" t="n"/>
      <c r="D264" s="158" t="n"/>
      <c r="E264" s="74">
        <f>IF(J264&gt;1,"+",0)</f>
        <v/>
      </c>
      <c r="F264" s="75">
        <f>IF(E264&gt;0,$L$4,0)</f>
        <v/>
      </c>
      <c r="G264" s="174" t="n"/>
      <c r="H264" s="64" t="n"/>
      <c r="I264" s="159">
        <f>IFERROR(VLOOKUP(H264,Tabellen!H:I,2),0)</f>
        <v/>
      </c>
      <c r="J264" s="121" t="n"/>
      <c r="K264" s="122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144" t="n"/>
      <c r="B265" s="74" t="n"/>
      <c r="C265" s="74" t="n"/>
      <c r="D265" s="158" t="n"/>
      <c r="E265" s="74">
        <f>IF(J265&gt;1,"+",0)</f>
        <v/>
      </c>
      <c r="F265" s="75">
        <f>IF(E265&gt;0,$L$4,0)</f>
        <v/>
      </c>
      <c r="G265" s="174" t="n"/>
      <c r="H265" s="64" t="n"/>
      <c r="I265" s="159">
        <f>IFERROR(VLOOKUP(H265,Tabellen!H:I,2),0)</f>
        <v/>
      </c>
      <c r="J265" s="121" t="n"/>
      <c r="K265" s="122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144" t="n"/>
      <c r="B266" s="74" t="n"/>
      <c r="C266" s="74" t="n"/>
      <c r="D266" s="158" t="n"/>
      <c r="E266" s="74">
        <f>IF(J266&gt;1,"+",0)</f>
        <v/>
      </c>
      <c r="F266" s="75">
        <f>IF(E266&gt;0,$L$4,0)</f>
        <v/>
      </c>
      <c r="G266" s="174" t="n"/>
      <c r="H266" s="64" t="n"/>
      <c r="I266" s="159">
        <f>IFERROR(VLOOKUP(H266,Tabellen!H:I,2),0)</f>
        <v/>
      </c>
      <c r="J266" s="121" t="n"/>
      <c r="K266" s="122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144" t="n"/>
      <c r="B267" s="74" t="n"/>
      <c r="C267" s="74" t="n"/>
      <c r="D267" s="158" t="n"/>
      <c r="E267" s="74">
        <f>IF(J267&gt;1,"+",0)</f>
        <v/>
      </c>
      <c r="F267" s="75">
        <f>IF(E267&gt;0,$L$4,0)</f>
        <v/>
      </c>
      <c r="G267" s="174" t="n"/>
      <c r="H267" s="64" t="n"/>
      <c r="I267" s="159">
        <f>IFERROR(VLOOKUP(H267,Tabellen!H:I,2),0)</f>
        <v/>
      </c>
      <c r="J267" s="121" t="n"/>
      <c r="K267" s="122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144" t="n"/>
      <c r="B268" s="74" t="n"/>
      <c r="C268" s="74" t="n"/>
      <c r="D268" s="158" t="n"/>
      <c r="E268" s="74">
        <f>IF(J268&gt;1,"+",0)</f>
        <v/>
      </c>
      <c r="F268" s="75">
        <f>IF(E268&gt;0,$L$4,0)</f>
        <v/>
      </c>
      <c r="G268" s="174" t="n"/>
      <c r="H268" s="64" t="n"/>
      <c r="I268" s="159">
        <f>IFERROR(VLOOKUP(H268,Tabellen!H:I,2),0)</f>
        <v/>
      </c>
      <c r="J268" s="121" t="n"/>
      <c r="K268" s="122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144" t="n"/>
      <c r="B269" s="74" t="n"/>
      <c r="C269" s="74" t="n"/>
      <c r="D269" s="158" t="n"/>
      <c r="E269" s="74">
        <f>IF(J269&gt;1,"+",0)</f>
        <v/>
      </c>
      <c r="F269" s="75">
        <f>IF(E269&gt;0,$L$4,0)</f>
        <v/>
      </c>
      <c r="G269" s="174" t="n"/>
      <c r="H269" s="64" t="n"/>
      <c r="I269" s="159">
        <f>IFERROR(VLOOKUP(H269,Tabellen!H:I,2),0)</f>
        <v/>
      </c>
      <c r="J269" s="121" t="n"/>
      <c r="K269" s="122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144" t="n"/>
      <c r="B270" s="74" t="n"/>
      <c r="C270" s="74" t="n"/>
      <c r="D270" s="158" t="n"/>
      <c r="E270" s="74">
        <f>IF(J270&gt;1,"+",0)</f>
        <v/>
      </c>
      <c r="F270" s="75">
        <f>IF(E270&gt;0,$L$4,0)</f>
        <v/>
      </c>
      <c r="G270" s="174" t="n"/>
      <c r="H270" s="64" t="n"/>
      <c r="I270" s="159">
        <f>IFERROR(VLOOKUP(H270,Tabellen!H:I,2),0)</f>
        <v/>
      </c>
      <c r="J270" s="121" t="n"/>
      <c r="K270" s="122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144" t="n"/>
      <c r="B271" s="74" t="n"/>
      <c r="C271" s="74" t="n"/>
      <c r="D271" s="158" t="n"/>
      <c r="E271" s="74">
        <f>IF(J271&gt;1,"+",0)</f>
        <v/>
      </c>
      <c r="F271" s="75">
        <f>IF(E271&gt;0,$L$4,0)</f>
        <v/>
      </c>
      <c r="G271" s="174" t="n"/>
      <c r="H271" s="64" t="n"/>
      <c r="I271" s="159">
        <f>IFERROR(VLOOKUP(H271,Tabellen!H:I,2),0)</f>
        <v/>
      </c>
      <c r="J271" s="121" t="n"/>
      <c r="K271" s="122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144" t="n"/>
      <c r="B272" s="74" t="n"/>
      <c r="C272" s="74" t="n"/>
      <c r="D272" s="158" t="n"/>
      <c r="E272" s="74">
        <f>IF(J272&gt;1,"+",0)</f>
        <v/>
      </c>
      <c r="F272" s="75">
        <f>IF(E272&gt;0,$L$4,0)</f>
        <v/>
      </c>
      <c r="G272" s="174" t="n"/>
      <c r="H272" s="64" t="n"/>
      <c r="I272" s="159">
        <f>IFERROR(VLOOKUP(H272,Tabellen!H:I,2),0)</f>
        <v/>
      </c>
      <c r="J272" s="121" t="n"/>
      <c r="K272" s="122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126" t="inlineStr">
        <is>
          <t>Saldo mutaties voorzieningen</t>
        </is>
      </c>
      <c r="B273" s="125" t="n"/>
      <c r="C273" s="125" t="n"/>
      <c r="D273" s="126" t="n"/>
      <c r="E273" s="143">
        <f>IF(J273&gt;1,"+",0)</f>
        <v/>
      </c>
      <c r="F273" s="127" t="n"/>
      <c r="G273" s="173" t="n"/>
      <c r="H273" s="65" t="n"/>
      <c r="I273" s="128" t="n"/>
      <c r="J273" s="129" t="n"/>
      <c r="K273" s="130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72" t="n"/>
      <c r="B274" s="71" t="n"/>
      <c r="C274" s="71" t="n"/>
      <c r="D274" s="72" t="n"/>
      <c r="E274" s="71">
        <f>IF(J274&gt;1,"+",0)</f>
        <v/>
      </c>
      <c r="F274" s="113" t="n"/>
      <c r="G274" s="172" t="n"/>
      <c r="H274" s="63" t="n"/>
      <c r="I274" s="114" t="n"/>
      <c r="J274" s="73" t="n"/>
      <c r="K274" s="115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72" t="n"/>
      <c r="B275" s="71" t="n"/>
      <c r="C275" s="71" t="n"/>
      <c r="D275" s="72" t="n"/>
      <c r="E275" s="71">
        <f>IF(J275&gt;1,"+",0)</f>
        <v/>
      </c>
      <c r="F275" s="113" t="n"/>
      <c r="G275" s="172" t="n"/>
      <c r="H275" s="63" t="n"/>
      <c r="I275" s="114" t="n"/>
      <c r="J275" s="73" t="n"/>
      <c r="K275" s="115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15" t="inlineStr">
        <is>
          <t>Sluitrekening balans</t>
        </is>
      </c>
      <c r="B276" s="16" t="n"/>
      <c r="C276" s="160" t="inlineStr">
        <is>
          <t>-</t>
        </is>
      </c>
      <c r="D276" s="15" t="n"/>
      <c r="E276" s="74">
        <f>IF(J276&gt;1,"+",0)</f>
        <v/>
      </c>
      <c r="F276" s="75">
        <f>IF(E276&gt;0,$L$4,0)</f>
        <v/>
      </c>
      <c r="G276" s="176" t="inlineStr">
        <is>
          <t>Sluitrekening balans</t>
        </is>
      </c>
      <c r="H276" s="161" t="n">
        <v>86100</v>
      </c>
      <c r="I276" s="159">
        <f>IFERROR(VLOOKUP(H276,Tabellen!H:I,2),0)</f>
        <v/>
      </c>
      <c r="J276" s="42" t="n">
        <v>2999999</v>
      </c>
      <c r="K276" s="115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72" t="n"/>
      <c r="B277" s="71" t="n"/>
      <c r="C277" s="71" t="n"/>
      <c r="D277" s="72" t="n"/>
      <c r="E277" s="72" t="n"/>
      <c r="F277" s="113" t="n"/>
      <c r="G277" s="172" t="n"/>
      <c r="H277" s="63" t="n"/>
      <c r="I277" s="114" t="n"/>
      <c r="J277" s="73" t="n"/>
      <c r="K277" s="115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146" t="inlineStr">
        <is>
          <t>Controle balansmutaties (saldo mutaties -/- sluitrekening balans = leeg)</t>
        </is>
      </c>
      <c r="B278" s="145" t="n"/>
      <c r="C278" s="145" t="n"/>
      <c r="D278" s="146" t="n"/>
      <c r="E278" s="146" t="n"/>
      <c r="F278" s="147" t="n"/>
      <c r="G278" s="177" t="n"/>
      <c r="H278" s="69" t="n"/>
      <c r="I278" s="148" t="n"/>
      <c r="J278" s="149" t="n"/>
      <c r="K278" s="150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84" t="n"/>
      <c r="B279" s="83" t="n"/>
      <c r="C279" s="83" t="n"/>
      <c r="D279" s="84" t="n"/>
      <c r="E279" s="84" t="n"/>
      <c r="F279" s="83" t="n"/>
      <c r="G279" s="84" t="n"/>
      <c r="I279" s="86" t="n"/>
      <c r="J279" s="83" t="n"/>
      <c r="K279" s="84" t="n"/>
      <c r="L279" s="87" t="n"/>
      <c r="M279" s="87" t="n"/>
      <c r="N279" s="87" t="n"/>
      <c r="O279" s="87" t="n"/>
    </row>
    <row r="280">
      <c r="A280" s="84" t="n"/>
      <c r="B280" s="83" t="n"/>
      <c r="C280" s="83" t="n"/>
      <c r="D280" s="84" t="n"/>
      <c r="E280" s="84" t="n"/>
      <c r="F280" s="83" t="n"/>
      <c r="G280" s="84" t="n"/>
      <c r="I280" s="86" t="n"/>
      <c r="J280" s="83" t="n"/>
      <c r="K280" s="84" t="n"/>
      <c r="L280" s="87" t="n"/>
      <c r="M280" s="87" t="n"/>
      <c r="N280" s="87" t="n"/>
      <c r="O280" s="87" t="n"/>
    </row>
    <row r="281" ht="15" customHeight="1">
      <c r="A281" s="184" t="inlineStr">
        <is>
          <t>Aldus vastgesteld in de raadsvergadering van:</t>
        </is>
      </c>
      <c r="B281" s="152" t="n"/>
      <c r="C281" s="168" t="n"/>
      <c r="D281" s="153" t="inlineStr">
        <is>
          <t>x-xx-2026</t>
        </is>
      </c>
    </row>
    <row r="282" ht="15" customHeight="1">
      <c r="A282" s="184" t="n"/>
      <c r="B282" s="152" t="n"/>
      <c r="C282" s="157" t="n"/>
      <c r="D282" s="154" t="n"/>
      <c r="L282" s="79" t="n">
        <v>0</v>
      </c>
    </row>
    <row r="283" ht="15" customHeight="1">
      <c r="A283" s="184" t="inlineStr">
        <is>
          <t>De Gemeenteraad,</t>
        </is>
      </c>
      <c r="B283" s="152" t="n"/>
      <c r="C283" s="157" t="n"/>
      <c r="D283" s="154" t="n"/>
    </row>
    <row r="284" ht="15" customHeight="1">
      <c r="A284" s="185" t="n"/>
      <c r="B284" s="155" t="n"/>
      <c r="C284" s="155" t="n"/>
      <c r="D284" s="154" t="n"/>
    </row>
    <row r="285" ht="15" customHeight="1">
      <c r="A285" s="184" t="inlineStr">
        <is>
          <t>De Griffier,</t>
        </is>
      </c>
      <c r="B285" s="152" t="n"/>
      <c r="C285" s="169" t="inlineStr">
        <is>
          <t>De voorzitter,</t>
        </is>
      </c>
      <c r="D285" s="154" t="n"/>
    </row>
    <row r="286" ht="15" customHeight="1">
      <c r="A286" s="185" t="n"/>
      <c r="B286" s="155" t="n"/>
      <c r="C286" s="155" t="n"/>
      <c r="D286" s="154" t="n"/>
    </row>
    <row r="287" ht="15" customHeight="1">
      <c r="A287" s="186" t="n"/>
      <c r="B287" s="154" t="n"/>
      <c r="C287" s="168" t="n"/>
      <c r="D287" s="154" t="n"/>
    </row>
    <row r="288" ht="15" customHeight="1">
      <c r="A288" s="186" t="n"/>
      <c r="B288" s="154" t="n"/>
      <c r="C288" s="168" t="n"/>
      <c r="D288" s="154" t="n"/>
    </row>
    <row r="289">
      <c r="A289" s="187" t="n"/>
      <c r="B289" s="156" t="n"/>
      <c r="C289" s="170" t="n"/>
      <c r="D289" s="157" t="n"/>
    </row>
    <row r="290" ht="15" customHeight="1">
      <c r="A290" s="184" t="n"/>
      <c r="B290" s="152" t="n"/>
      <c r="C290" s="157" t="n"/>
      <c r="D290" s="154" t="n"/>
    </row>
    <row r="291" ht="15" customHeight="1">
      <c r="A291" s="184" t="inlineStr">
        <is>
          <t>R. Swinkels</t>
        </is>
      </c>
      <c r="B291" s="152" t="n"/>
      <c r="C291" s="220" t="inlineStr">
        <is>
          <t>R. Donders-de Leest</t>
        </is>
      </c>
      <c r="D291" s="154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2026-06-25T11:13:12Z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