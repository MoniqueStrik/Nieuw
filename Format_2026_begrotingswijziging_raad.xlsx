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4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</fonts>
  <fills count="2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</fills>
  <borders count="27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437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groen'!C5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groen'!C13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groen'!C14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groen'!C16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groen'!C17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groen'!C18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groen'!C19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groen'!C20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groen'!C21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groen'!C22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groen'!C23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groen'!C24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groen'!C25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groen'!C26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groen'!C27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groen'!C28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groen'!C29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groen'!C30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groen'!C31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groen'!C32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groen'!C33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groen'!C34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groen'!C35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groen'!C36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groen'!C37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groen'!C38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groen'!C39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groen'!C40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groen'!C41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groen'!C42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groen'!C43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groen'!C44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groen'!C45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groen'!C46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groen'!C47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groen'!C48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groen'!C49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groen'!C50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groen'!C51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groen'!C52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groen'!C53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groen'!C54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groen'!C55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groen'!C56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groen'!C57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groen'!C58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groen'!C59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groen'!C60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groen'!C61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groen'!C62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groen'!C63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groen'!C64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groen'!C65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groen'!C66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groen'!C67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groen'!C68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groen'!C69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groen'!C70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groen'!C71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groen'!C72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groen'!C73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groen'!C74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313">
        <f>+'Invullen groen'!A75</f>
        <v/>
      </c>
      <c r="B78" s="314">
        <f>+'Invullen groen'!C75</f>
        <v/>
      </c>
      <c r="C78" s="315">
        <f>+'Invullen groen'!G75</f>
        <v/>
      </c>
      <c r="D78" s="316">
        <f>+'Invullen groen'!I75</f>
        <v/>
      </c>
      <c r="E78" s="317">
        <f>+'Invullen groen'!L75</f>
        <v/>
      </c>
      <c r="F78" s="317">
        <f>+'Invullen groen'!M75</f>
        <v/>
      </c>
      <c r="G78" s="317">
        <f>+'Invullen groen'!N75</f>
        <v/>
      </c>
      <c r="H78" s="317">
        <f>+'Invullen groen'!O75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6" customHeight="1">
      <c r="A79" s="15">
        <f>+'Invullen groen'!A76</f>
        <v/>
      </c>
      <c r="B79" s="16">
        <f>+'Invullen groen'!C76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6" customHeight="1">
      <c r="A80" s="319">
        <f>+'Invullen groen'!A77</f>
        <v/>
      </c>
      <c r="B80" s="320">
        <f>+'Invullen groen'!C77</f>
        <v/>
      </c>
      <c r="C80" s="321">
        <f>+'Invullen groen'!G77</f>
        <v/>
      </c>
      <c r="D80" s="321">
        <f>+'Invullen groen'!I77</f>
        <v/>
      </c>
      <c r="E80" s="322">
        <f>+'Invullen groen'!L77</f>
        <v/>
      </c>
      <c r="F80" s="322">
        <f>+'Invullen groen'!M77</f>
        <v/>
      </c>
      <c r="G80" s="322">
        <f>+'Invullen groen'!N77</f>
        <v/>
      </c>
      <c r="H80" s="322">
        <f>+'Invullen groen'!O77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15">
        <f>+'Invullen groen'!A78</f>
        <v/>
      </c>
      <c r="B81" s="16">
        <f>+'Invullen groen'!C78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groen'!C79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groen'!C80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groen'!C81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groen'!C82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groen'!C83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groen'!C84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groen'!C85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groen'!C86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groen'!C87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groen'!C88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groen'!C89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groen'!C90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groen'!C91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groen'!C92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groen'!C93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groen'!C94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groen'!C95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groen'!C96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groen'!C97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groen'!C98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groen'!C99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groen'!C100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groen'!C101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groen'!C102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groen'!C103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groen'!C104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groen'!C105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groen'!C106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groen'!C107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groen'!C108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groen'!C109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323">
        <f>+'Invullen groen'!A110</f>
        <v/>
      </c>
      <c r="B113" s="324" t="n"/>
      <c r="C113" s="325">
        <f>+'Invullen groen'!G110</f>
        <v/>
      </c>
      <c r="D113" s="326">
        <f>+'Invullen groen'!I110</f>
        <v/>
      </c>
      <c r="E113" s="327">
        <f>+'Invullen groen'!L110</f>
        <v/>
      </c>
      <c r="F113" s="327">
        <f>+'Invullen groen'!M110</f>
        <v/>
      </c>
      <c r="G113" s="327">
        <f>+'Invullen groen'!N110</f>
        <v/>
      </c>
      <c r="H113" s="327">
        <f>+'Invullen groen'!O110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387">
        <f>+'Invullen groen'!A112</f>
        <v/>
      </c>
      <c r="B114" s="388">
        <f>+'Invullen groen'!C114</f>
        <v/>
      </c>
      <c r="C114" s="389">
        <f>+'Invullen groen'!G114</f>
        <v/>
      </c>
      <c r="D114" s="390">
        <f>+'Invullen groen'!I114</f>
        <v/>
      </c>
      <c r="E114" s="391">
        <f>+'Invullen groen'!L112</f>
        <v/>
      </c>
      <c r="F114" s="392">
        <f>+'Invullen groen'!M114</f>
        <v/>
      </c>
      <c r="G114" s="392">
        <f>+'Invullen groen'!N114</f>
        <v/>
      </c>
      <c r="H114" s="392">
        <f>+'Invullen groen'!O114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groen'!I120</f>
        <v/>
      </c>
      <c r="E120" s="399">
        <f>+'Invullen groen'!L120</f>
        <v/>
      </c>
      <c r="F120" s="399">
        <f>+'Invullen groen'!M120</f>
        <v/>
      </c>
      <c r="G120" s="399">
        <f>+'Invullen groen'!N120</f>
        <v/>
      </c>
      <c r="H120" s="399">
        <f>+'Invullen groen'!O120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groen'!I170</f>
        <v/>
      </c>
      <c r="E170" s="405">
        <f>+'Invullen groen'!L170</f>
        <v/>
      </c>
      <c r="F170" s="405">
        <f>+'Invullen groen'!M170</f>
        <v/>
      </c>
      <c r="G170" s="405">
        <f>+'Invullen groen'!N170</f>
        <v/>
      </c>
      <c r="H170" s="405">
        <f>+'Invullen groen'!O170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>
        <f>IFERROR(IF('Invullen groen'!E91&gt;0,'Invullen groen'!E91,""),"")</f>
        <v/>
      </c>
      <c r="B76">
        <f>IFERROR(IF('Invullen groen'!H91&gt;0,'Invullen groen'!H91,""),"")</f>
        <v/>
      </c>
      <c r="C76">
        <f>IFERROR(IF('Invullen groen'!J91&gt;0,'Invullen groen'!J91,""),"")</f>
        <v/>
      </c>
      <c r="E76">
        <f>IFERROR(IF(LEN(J76)&lt;=36,J76,IFERROR(LEFT(J76,FIND(CHAR(1),SUBSTITUTE(LEFT(J76,36)," ",CHAR(1),LEN(LEFT(J76,36))-LEN(SUBSTITUTE(LEFT(J76,36)," ",""))))-1),LEFT(J76,36))),"")</f>
        <v/>
      </c>
      <c r="F76" s="236">
        <f>IFERROR(IF('Invullen groen'!L91=0,"",INT('Invullen groen'!L91)),"")</f>
        <v/>
      </c>
      <c r="G76" s="236">
        <f>IFERROR(IF('Invullen groen'!M91=0,"",INT('Invullen groen'!M91)),"")</f>
        <v/>
      </c>
      <c r="H76" s="236">
        <f>IFERROR(IF('Invullen groen'!N91=0,"",INT('Invullen groen'!N91)),"")</f>
        <v/>
      </c>
      <c r="I76" s="236">
        <f>IFERROR(IF('Invullen groen'!O91=0,"",INT('Invullen groen'!O91)),"")</f>
        <v/>
      </c>
      <c r="J76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>
        <f>IFERROR(IF('Invullen groen'!E92&gt;0,'Invullen groen'!E92,""),"")</f>
        <v/>
      </c>
      <c r="B77">
        <f>IFERROR(IF('Invullen groen'!H92&gt;0,'Invullen groen'!H92,""),"")</f>
        <v/>
      </c>
      <c r="C77">
        <f>IFERROR(IF('Invullen groen'!J92&gt;0,'Invullen groen'!J92,""),"")</f>
        <v/>
      </c>
      <c r="E77">
        <f>IFERROR(IF(LEN(J77)&lt;=36,J77,IFERROR(LEFT(J77,FIND(CHAR(1),SUBSTITUTE(LEFT(J77,36)," ",CHAR(1),LEN(LEFT(J77,36))-LEN(SUBSTITUTE(LEFT(J77,36)," ",""))))-1),LEFT(J77,36))),"")</f>
        <v/>
      </c>
      <c r="F77" s="236">
        <f>IFERROR(IF('Invullen groen'!L92=0,"",INT('Invullen groen'!L92)),"")</f>
        <v/>
      </c>
      <c r="G77" s="236">
        <f>IFERROR(IF('Invullen groen'!M92=0,"",INT('Invullen groen'!M92)),"")</f>
        <v/>
      </c>
      <c r="H77" s="236">
        <f>IFERROR(IF('Invullen groen'!N92=0,"",INT('Invullen groen'!N92)),"")</f>
        <v/>
      </c>
      <c r="I77" s="236">
        <f>IFERROR(IF('Invullen groen'!O92=0,"",INT('Invullen groen'!O92)),"")</f>
        <v/>
      </c>
      <c r="J77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>
        <f>IFERROR(IF('Invullen groen'!E93&gt;0,'Invullen groen'!E93,""),"")</f>
        <v/>
      </c>
      <c r="B78">
        <f>IFERROR(IF('Invullen groen'!H93&gt;0,'Invullen groen'!H93,""),"")</f>
        <v/>
      </c>
      <c r="C78">
        <f>IFERROR(IF('Invullen groen'!J93&gt;0,'Invullen groen'!J93,""),"")</f>
        <v/>
      </c>
      <c r="E78">
        <f>IFERROR(IF(LEN(J78)&lt;=36,J78,IFERROR(LEFT(J78,FIND(CHAR(1),SUBSTITUTE(LEFT(J78,36)," ",CHAR(1),LEN(LEFT(J78,36))-LEN(SUBSTITUTE(LEFT(J78,36)," ",""))))-1),LEFT(J78,36))),"")</f>
        <v/>
      </c>
      <c r="F78" s="236">
        <f>IFERROR(IF('Invullen groen'!L93=0,"",INT('Invullen groen'!L93)),"")</f>
        <v/>
      </c>
      <c r="G78" s="236">
        <f>IFERROR(IF('Invullen groen'!M93=0,"",INT('Invullen groen'!M93)),"")</f>
        <v/>
      </c>
      <c r="H78" s="236">
        <f>IFERROR(IF('Invullen groen'!N93=0,"",INT('Invullen groen'!N93)),"")</f>
        <v/>
      </c>
      <c r="I78" s="236">
        <f>IFERROR(IF('Invullen groen'!O93=0,"",INT('Invullen groen'!O93)),"")</f>
        <v/>
      </c>
      <c r="J78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>
        <f>IFERROR(IF('Invullen groen'!E94&gt;0,'Invullen groen'!E94,""),"")</f>
        <v/>
      </c>
      <c r="B79">
        <f>IFERROR(IF('Invullen groen'!H94&gt;0,'Invullen groen'!H94,""),"")</f>
        <v/>
      </c>
      <c r="C79">
        <f>IFERROR(IF('Invullen groen'!J94&gt;0,'Invullen groen'!J94,""),"")</f>
        <v/>
      </c>
      <c r="E79">
        <f>IFERROR(IF(LEN(J79)&lt;=36,J79,IFERROR(LEFT(J79,FIND(CHAR(1),SUBSTITUTE(LEFT(J79,36)," ",CHAR(1),LEN(LEFT(J79,36))-LEN(SUBSTITUTE(LEFT(J79,36)," ",""))))-1),LEFT(J79,36))),"")</f>
        <v/>
      </c>
      <c r="F79" s="236">
        <f>IFERROR(IF('Invullen groen'!L94=0,"",INT('Invullen groen'!L94)),"")</f>
        <v/>
      </c>
      <c r="G79" s="236">
        <f>IFERROR(IF('Invullen groen'!M94=0,"",INT('Invullen groen'!M94)),"")</f>
        <v/>
      </c>
      <c r="H79" s="236">
        <f>IFERROR(IF('Invullen groen'!N94=0,"",INT('Invullen groen'!N94)),"")</f>
        <v/>
      </c>
      <c r="I79" s="236">
        <f>IFERROR(IF('Invullen groen'!O94=0,"",INT('Invullen groen'!O94)),"")</f>
        <v/>
      </c>
      <c r="J79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>
        <f>IFERROR(IF('Invullen groen'!E95&gt;0,'Invullen groen'!E95,""),"")</f>
        <v/>
      </c>
      <c r="B80">
        <f>IFERROR(IF('Invullen groen'!H95&gt;0,'Invullen groen'!H95,""),"")</f>
        <v/>
      </c>
      <c r="C80">
        <f>IFERROR(IF('Invullen groen'!J95&gt;0,'Invullen groen'!J95,""),"")</f>
        <v/>
      </c>
      <c r="E80">
        <f>IFERROR(IF(LEN(J80)&lt;=36,J80,IFERROR(LEFT(J80,FIND(CHAR(1),SUBSTITUTE(LEFT(J80,36)," ",CHAR(1),LEN(LEFT(J80,36))-LEN(SUBSTITUTE(LEFT(J80,36)," ",""))))-1),LEFT(J80,36))),"")</f>
        <v/>
      </c>
      <c r="F80" s="236">
        <f>IFERROR(IF('Invullen groen'!L95=0,"",INT('Invullen groen'!L95)),"")</f>
        <v/>
      </c>
      <c r="G80" s="236">
        <f>IFERROR(IF('Invullen groen'!M95=0,"",INT('Invullen groen'!M95)),"")</f>
        <v/>
      </c>
      <c r="H80" s="236">
        <f>IFERROR(IF('Invullen groen'!N95=0,"",INT('Invullen groen'!N95)),"")</f>
        <v/>
      </c>
      <c r="I80" s="236">
        <f>IFERROR(IF('Invullen groen'!O95=0,"",INT('Invullen groen'!O95)),"")</f>
        <v/>
      </c>
      <c r="J80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>
        <f>IFERROR(IF('Invullen groen'!E96&gt;0,'Invullen groen'!E96,""),"")</f>
        <v/>
      </c>
      <c r="B81">
        <f>IFERROR(IF('Invullen groen'!H96&gt;0,'Invullen groen'!H96,""),"")</f>
        <v/>
      </c>
      <c r="C81">
        <f>IFERROR(IF('Invullen groen'!J96&gt;0,'Invullen groen'!J96,""),"")</f>
        <v/>
      </c>
      <c r="E81">
        <f>IFERROR(IF(LEN(J81)&lt;=36,J81,IFERROR(LEFT(J81,FIND(CHAR(1),SUBSTITUTE(LEFT(J81,36)," ",CHAR(1),LEN(LEFT(J81,36))-LEN(SUBSTITUTE(LEFT(J81,36)," ",""))))-1),LEFT(J81,36))),"")</f>
        <v/>
      </c>
      <c r="F81" s="236">
        <f>IFERROR(IF('Invullen groen'!L96=0,"",INT('Invullen groen'!L96)),"")</f>
        <v/>
      </c>
      <c r="G81" s="236">
        <f>IFERROR(IF('Invullen groen'!M96=0,"",INT('Invullen groen'!M96)),"")</f>
        <v/>
      </c>
      <c r="H81" s="236">
        <f>IFERROR(IF('Invullen groen'!N96=0,"",INT('Invullen groen'!N96)),"")</f>
        <v/>
      </c>
      <c r="I81" s="236">
        <f>IFERROR(IF('Invullen groen'!O96=0,"",INT('Invullen groen'!O96)),"")</f>
        <v/>
      </c>
      <c r="J81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>
        <f>IFERROR(IF('Invullen groen'!E97&gt;0,'Invullen groen'!E97,""),"")</f>
        <v/>
      </c>
      <c r="B82">
        <f>IFERROR(IF('Invullen groen'!H97&gt;0,'Invullen groen'!H97,""),"")</f>
        <v/>
      </c>
      <c r="C82">
        <f>IFERROR(IF('Invullen groen'!J97&gt;0,'Invullen groen'!J97,""),"")</f>
        <v/>
      </c>
      <c r="E82">
        <f>IFERROR(IF(LEN(J82)&lt;=36,J82,IFERROR(LEFT(J82,FIND(CHAR(1),SUBSTITUTE(LEFT(J82,36)," ",CHAR(1),LEN(LEFT(J82,36))-LEN(SUBSTITUTE(LEFT(J82,36)," ",""))))-1),LEFT(J82,36))),"")</f>
        <v/>
      </c>
      <c r="F82" s="236">
        <f>IFERROR(IF('Invullen groen'!L97=0,"",INT('Invullen groen'!L97)),"")</f>
        <v/>
      </c>
      <c r="G82" s="236">
        <f>IFERROR(IF('Invullen groen'!M97=0,"",INT('Invullen groen'!M97)),"")</f>
        <v/>
      </c>
      <c r="H82" s="236">
        <f>IFERROR(IF('Invullen groen'!N97=0,"",INT('Invullen groen'!N97)),"")</f>
        <v/>
      </c>
      <c r="I82" s="236">
        <f>IFERROR(IF('Invullen groen'!O97=0,"",INT('Invullen groen'!O97)),"")</f>
        <v/>
      </c>
      <c r="J82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>
        <f>IFERROR(IF('Invullen groen'!E98&gt;0,'Invullen groen'!E98,""),"")</f>
        <v/>
      </c>
      <c r="B83">
        <f>IFERROR(IF('Invullen groen'!H98&gt;0,'Invullen groen'!H98,""),"")</f>
        <v/>
      </c>
      <c r="C83">
        <f>IFERROR(IF('Invullen groen'!J98&gt;0,'Invullen groen'!J98,""),"")</f>
        <v/>
      </c>
      <c r="E83">
        <f>IFERROR(IF(LEN(J83)&lt;=36,J83,IFERROR(LEFT(J83,FIND(CHAR(1),SUBSTITUTE(LEFT(J83,36)," ",CHAR(1),LEN(LEFT(J83,36))-LEN(SUBSTITUTE(LEFT(J83,36)," ",""))))-1),LEFT(J83,36))),"")</f>
        <v/>
      </c>
      <c r="F83" s="236">
        <f>IFERROR(IF('Invullen groen'!L98=0,"",INT('Invullen groen'!L98)),"")</f>
        <v/>
      </c>
      <c r="G83" s="236">
        <f>IFERROR(IF('Invullen groen'!M98=0,"",INT('Invullen groen'!M98)),"")</f>
        <v/>
      </c>
      <c r="H83" s="236">
        <f>IFERROR(IF('Invullen groen'!N98=0,"",INT('Invullen groen'!N98)),"")</f>
        <v/>
      </c>
      <c r="I83" s="236">
        <f>IFERROR(IF('Invullen groen'!O98=0,"",INT('Invullen groen'!O98)),"")</f>
        <v/>
      </c>
      <c r="J83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>
        <f>IFERROR(IF('Invullen groen'!E99&gt;0,'Invullen groen'!E99,""),"")</f>
        <v/>
      </c>
      <c r="B84">
        <f>IFERROR(IF('Invullen groen'!H99&gt;0,'Invullen groen'!H99,""),"")</f>
        <v/>
      </c>
      <c r="C84">
        <f>IFERROR(IF('Invullen groen'!J99&gt;0,'Invullen groen'!J99,""),"")</f>
        <v/>
      </c>
      <c r="E84">
        <f>IFERROR(IF(LEN(J84)&lt;=36,J84,IFERROR(LEFT(J84,FIND(CHAR(1),SUBSTITUTE(LEFT(J84,36)," ",CHAR(1),LEN(LEFT(J84,36))-LEN(SUBSTITUTE(LEFT(J84,36)," ",""))))-1),LEFT(J84,36))),"")</f>
        <v/>
      </c>
      <c r="F84" s="236">
        <f>IFERROR(IF('Invullen groen'!L99=0,"",INT('Invullen groen'!L99)),"")</f>
        <v/>
      </c>
      <c r="G84" s="236">
        <f>IFERROR(IF('Invullen groen'!M99=0,"",INT('Invullen groen'!M99)),"")</f>
        <v/>
      </c>
      <c r="H84" s="236">
        <f>IFERROR(IF('Invullen groen'!N99=0,"",INT('Invullen groen'!N99)),"")</f>
        <v/>
      </c>
      <c r="I84" s="236">
        <f>IFERROR(IF('Invullen groen'!O99=0,"",INT('Invullen groen'!O99)),"")</f>
        <v/>
      </c>
      <c r="J8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>
        <f>IFERROR(IF('Invullen groen'!E100&gt;0,'Invullen groen'!E100,""),"")</f>
        <v/>
      </c>
      <c r="B85">
        <f>IFERROR(IF('Invullen groen'!H100&gt;0,'Invullen groen'!H100,""),"")</f>
        <v/>
      </c>
      <c r="C85">
        <f>IFERROR(IF('Invullen groen'!J100&gt;0,'Invullen groen'!J100,""),"")</f>
        <v/>
      </c>
      <c r="E85">
        <f>IFERROR(IF(LEN(J85)&lt;=36,J85,IFERROR(LEFT(J85,FIND(CHAR(1),SUBSTITUTE(LEFT(J85,36)," ",CHAR(1),LEN(LEFT(J85,36))-LEN(SUBSTITUTE(LEFT(J85,36)," ",""))))-1),LEFT(J85,36))),"")</f>
        <v/>
      </c>
      <c r="F85" s="236">
        <f>IFERROR(IF('Invullen groen'!L100=0,"",INT('Invullen groen'!L100)),"")</f>
        <v/>
      </c>
      <c r="G85" s="236">
        <f>IFERROR(IF('Invullen groen'!M100=0,"",INT('Invullen groen'!M100)),"")</f>
        <v/>
      </c>
      <c r="H85" s="236">
        <f>IFERROR(IF('Invullen groen'!N100=0,"",INT('Invullen groen'!N100)),"")</f>
        <v/>
      </c>
      <c r="I85" s="236">
        <f>IFERROR(IF('Invullen groen'!O100=0,"",INT('Invullen groen'!O100)),"")</f>
        <v/>
      </c>
      <c r="J85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>
        <f>IFERROR(IF('Invullen groen'!E101&gt;0,'Invullen groen'!E101,""),"")</f>
        <v/>
      </c>
      <c r="B86">
        <f>IFERROR(IF('Invullen groen'!H101&gt;0,'Invullen groen'!H101,""),"")</f>
        <v/>
      </c>
      <c r="C86">
        <f>IFERROR(IF('Invullen groen'!J101&gt;0,'Invullen groen'!J101,""),"")</f>
        <v/>
      </c>
      <c r="E86">
        <f>IFERROR(IF(LEN(J86)&lt;=36,J86,IFERROR(LEFT(J86,FIND(CHAR(1),SUBSTITUTE(LEFT(J86,36)," ",CHAR(1),LEN(LEFT(J86,36))-LEN(SUBSTITUTE(LEFT(J86,36)," ",""))))-1),LEFT(J86,36))),"")</f>
        <v/>
      </c>
      <c r="F86" s="236">
        <f>IFERROR(IF('Invullen groen'!L101=0,"",INT('Invullen groen'!L101)),"")</f>
        <v/>
      </c>
      <c r="G86" s="236">
        <f>IFERROR(IF('Invullen groen'!M101=0,"",INT('Invullen groen'!M101)),"")</f>
        <v/>
      </c>
      <c r="H86" s="236">
        <f>IFERROR(IF('Invullen groen'!N101=0,"",INT('Invullen groen'!N101)),"")</f>
        <v/>
      </c>
      <c r="I86" s="236">
        <f>IFERROR(IF('Invullen groen'!O101=0,"",INT('Invullen groen'!O101)),"")</f>
        <v/>
      </c>
      <c r="J86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>
        <f>IFERROR(IF('Invullen groen'!E102&gt;0,'Invullen groen'!E102,""),"")</f>
        <v/>
      </c>
      <c r="B87">
        <f>IFERROR(IF('Invullen groen'!H102&gt;0,'Invullen groen'!H102,""),"")</f>
        <v/>
      </c>
      <c r="C87">
        <f>IFERROR(IF('Invullen groen'!J102&gt;0,'Invullen groen'!J102,""),"")</f>
        <v/>
      </c>
      <c r="E87">
        <f>IFERROR(IF(LEN(J87)&lt;=36,J87,IFERROR(LEFT(J87,FIND(CHAR(1),SUBSTITUTE(LEFT(J87,36)," ",CHAR(1),LEN(LEFT(J87,36))-LEN(SUBSTITUTE(LEFT(J87,36)," ",""))))-1),LEFT(J87,36))),"")</f>
        <v/>
      </c>
      <c r="F87" s="236">
        <f>IFERROR(IF('Invullen groen'!L102=0,"",INT('Invullen groen'!L102)),"")</f>
        <v/>
      </c>
      <c r="G87" s="236">
        <f>IFERROR(IF('Invullen groen'!M102=0,"",INT('Invullen groen'!M102)),"")</f>
        <v/>
      </c>
      <c r="H87" s="236">
        <f>IFERROR(IF('Invullen groen'!N102=0,"",INT('Invullen groen'!N102)),"")</f>
        <v/>
      </c>
      <c r="I87" s="236">
        <f>IFERROR(IF('Invullen groen'!O102=0,"",INT('Invullen groen'!O102)),"")</f>
        <v/>
      </c>
      <c r="J87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>
        <f>IFERROR(IF('Invullen groen'!E103&gt;0,'Invullen groen'!E103,""),"")</f>
        <v/>
      </c>
      <c r="B88">
        <f>IFERROR(IF('Invullen groen'!H103&gt;0,'Invullen groen'!H103,""),"")</f>
        <v/>
      </c>
      <c r="C88">
        <f>IFERROR(IF('Invullen groen'!J103&gt;0,'Invullen groen'!J103,""),"")</f>
        <v/>
      </c>
      <c r="E88">
        <f>IFERROR(IF(LEN(J88)&lt;=36,J88,IFERROR(LEFT(J88,FIND(CHAR(1),SUBSTITUTE(LEFT(J88,36)," ",CHAR(1),LEN(LEFT(J88,36))-LEN(SUBSTITUTE(LEFT(J88,36)," ",""))))-1),LEFT(J88,36))),"")</f>
        <v/>
      </c>
      <c r="F88" s="236">
        <f>IFERROR(IF('Invullen groen'!L103=0,"",INT('Invullen groen'!L103)),"")</f>
        <v/>
      </c>
      <c r="G88" s="236">
        <f>IFERROR(IF('Invullen groen'!M103=0,"",INT('Invullen groen'!M103)),"")</f>
        <v/>
      </c>
      <c r="H88" s="236">
        <f>IFERROR(IF('Invullen groen'!N103=0,"",INT('Invullen groen'!N103)),"")</f>
        <v/>
      </c>
      <c r="I88" s="236">
        <f>IFERROR(IF('Invullen groen'!O103=0,"",INT('Invullen groen'!O103)),"")</f>
        <v/>
      </c>
      <c r="J88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>
        <f>IFERROR(IF('Invullen groen'!E104&gt;0,'Invullen groen'!E104,""),"")</f>
        <v/>
      </c>
      <c r="B89">
        <f>IFERROR(IF('Invullen groen'!H104&gt;0,'Invullen groen'!H104,""),"")</f>
        <v/>
      </c>
      <c r="C89">
        <f>IFERROR(IF('Invullen groen'!J104&gt;0,'Invullen groen'!J104,""),"")</f>
        <v/>
      </c>
      <c r="E89">
        <f>IFERROR(IF(LEN(J89)&lt;=36,J89,IFERROR(LEFT(J89,FIND(CHAR(1),SUBSTITUTE(LEFT(J89,36)," ",CHAR(1),LEN(LEFT(J89,36))-LEN(SUBSTITUTE(LEFT(J89,36)," ",""))))-1),LEFT(J89,36))),"")</f>
        <v/>
      </c>
      <c r="F89" s="236">
        <f>IFERROR(IF('Invullen groen'!L104=0,"",INT('Invullen groen'!L104)),"")</f>
        <v/>
      </c>
      <c r="G89" s="236">
        <f>IFERROR(IF('Invullen groen'!M104=0,"",INT('Invullen groen'!M104)),"")</f>
        <v/>
      </c>
      <c r="H89" s="236">
        <f>IFERROR(IF('Invullen groen'!N104=0,"",INT('Invullen groen'!N104)),"")</f>
        <v/>
      </c>
      <c r="I89" s="236">
        <f>IFERROR(IF('Invullen groen'!O104=0,"",INT('Invullen groen'!O104)),"")</f>
        <v/>
      </c>
      <c r="J89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>
        <f>IFERROR(IF('Invullen groen'!E105&gt;0,'Invullen groen'!E105,""),"")</f>
        <v/>
      </c>
      <c r="B90">
        <f>IFERROR(IF('Invullen groen'!H105&gt;0,'Invullen groen'!H105,""),"")</f>
        <v/>
      </c>
      <c r="C90">
        <f>IFERROR(IF('Invullen groen'!J105&gt;0,'Invullen groen'!J105,""),"")</f>
        <v/>
      </c>
      <c r="E90">
        <f>IFERROR(IF(LEN(J90)&lt;=36,J90,IFERROR(LEFT(J90,FIND(CHAR(1),SUBSTITUTE(LEFT(J90,36)," ",CHAR(1),LEN(LEFT(J90,36))-LEN(SUBSTITUTE(LEFT(J90,36)," ",""))))-1),LEFT(J90,36))),"")</f>
        <v/>
      </c>
      <c r="F90" s="236">
        <f>IFERROR(IF('Invullen groen'!L105=0,"",INT('Invullen groen'!L105)),"")</f>
        <v/>
      </c>
      <c r="G90" s="236">
        <f>IFERROR(IF('Invullen groen'!M105=0,"",INT('Invullen groen'!M105)),"")</f>
        <v/>
      </c>
      <c r="H90" s="236">
        <f>IFERROR(IF('Invullen groen'!N105=0,"",INT('Invullen groen'!N105)),"")</f>
        <v/>
      </c>
      <c r="I90" s="236">
        <f>IFERROR(IF('Invullen groen'!O105=0,"",INT('Invullen groen'!O105)),"")</f>
        <v/>
      </c>
      <c r="J90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>
        <f>IFERROR(IF('Invullen groen'!E106&gt;0,'Invullen groen'!E106,""),"")</f>
        <v/>
      </c>
      <c r="B91">
        <f>IFERROR(IF('Invullen groen'!H106&gt;0,'Invullen groen'!H106,""),"")</f>
        <v/>
      </c>
      <c r="C91">
        <f>IFERROR(IF('Invullen groen'!J106&gt;0,'Invullen groen'!J106,""),"")</f>
        <v/>
      </c>
      <c r="E91">
        <f>IFERROR(IF(LEN(J91)&lt;=36,J91,IFERROR(LEFT(J91,FIND(CHAR(1),SUBSTITUTE(LEFT(J91,36)," ",CHAR(1),LEN(LEFT(J91,36))-LEN(SUBSTITUTE(LEFT(J91,36)," ",""))))-1),LEFT(J91,36))),"")</f>
        <v/>
      </c>
      <c r="F91" s="236">
        <f>IFERROR(IF('Invullen groen'!L106=0,"",INT('Invullen groen'!L106)),"")</f>
        <v/>
      </c>
      <c r="G91" s="236">
        <f>IFERROR(IF('Invullen groen'!M106=0,"",INT('Invullen groen'!M106)),"")</f>
        <v/>
      </c>
      <c r="H91" s="236">
        <f>IFERROR(IF('Invullen groen'!N106=0,"",INT('Invullen groen'!N106)),"")</f>
        <v/>
      </c>
      <c r="I91" s="236">
        <f>IFERROR(IF('Invullen groen'!O106=0,"",INT('Invullen groen'!O106)),"")</f>
        <v/>
      </c>
      <c r="J91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>
        <f>IFERROR(IF('Invullen groen'!E107&gt;0,'Invullen groen'!E107,""),"")</f>
        <v/>
      </c>
      <c r="B92">
        <f>IFERROR(IF('Invullen groen'!H107&gt;0,'Invullen groen'!H107,""),"")</f>
        <v/>
      </c>
      <c r="C92">
        <f>IFERROR(IF('Invullen groen'!J107&gt;0,'Invullen groen'!J107,""),"")</f>
        <v/>
      </c>
      <c r="E92">
        <f>IFERROR(IF(LEN(J92)&lt;=36,J92,IFERROR(LEFT(J92,FIND(CHAR(1),SUBSTITUTE(LEFT(J92,36)," ",CHAR(1),LEN(LEFT(J92,36))-LEN(SUBSTITUTE(LEFT(J92,36)," ",""))))-1),LEFT(J92,36))),"")</f>
        <v/>
      </c>
      <c r="F92" s="236">
        <f>IFERROR(IF('Invullen groen'!L107=0,"",INT('Invullen groen'!L107)),"")</f>
        <v/>
      </c>
      <c r="G92" s="236">
        <f>IFERROR(IF('Invullen groen'!M107=0,"",INT('Invullen groen'!M107)),"")</f>
        <v/>
      </c>
      <c r="H92" s="236">
        <f>IFERROR(IF('Invullen groen'!N107=0,"",INT('Invullen groen'!N107)),"")</f>
        <v/>
      </c>
      <c r="I92" s="236">
        <f>IFERROR(IF('Invullen groen'!O107=0,"",INT('Invullen groen'!O107)),"")</f>
        <v/>
      </c>
      <c r="J92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>
        <f>IFERROR(IF('Invullen groen'!E108&gt;0,'Invullen groen'!E108,""),"")</f>
        <v/>
      </c>
      <c r="B93">
        <f>IFERROR(IF('Invullen groen'!H108&gt;0,'Invullen groen'!H108,""),"")</f>
        <v/>
      </c>
      <c r="C93">
        <f>IFERROR(IF('Invullen groen'!J108&gt;0,'Invullen groen'!J108,""),"")</f>
        <v/>
      </c>
      <c r="E93">
        <f>IFERROR(IF(LEN(J93)&lt;=36,J93,IFERROR(LEFT(J93,FIND(CHAR(1),SUBSTITUTE(LEFT(J93,36)," ",CHAR(1),LEN(LEFT(J93,36))-LEN(SUBSTITUTE(LEFT(J93,36)," ",""))))-1),LEFT(J93,36))),"")</f>
        <v/>
      </c>
      <c r="F93" s="236">
        <f>IFERROR(IF('Invullen groen'!L108=0,"",INT('Invullen groen'!L108)),"")</f>
        <v/>
      </c>
      <c r="G93" s="236">
        <f>IFERROR(IF('Invullen groen'!M108=0,"",INT('Invullen groen'!M108)),"")</f>
        <v/>
      </c>
      <c r="H93" s="236">
        <f>IFERROR(IF('Invullen groen'!N108=0,"",INT('Invullen groen'!N108)),"")</f>
        <v/>
      </c>
      <c r="I93" s="236">
        <f>IFERROR(IF('Invullen groen'!O108=0,"",INT('Invullen groen'!O108)),"")</f>
        <v/>
      </c>
      <c r="J93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>
        <f>IFERROR(IF('Invullen groen'!E109&gt;0,'Invullen groen'!E109,""),"")</f>
        <v/>
      </c>
      <c r="B94">
        <f>IFERROR(IF('Invullen groen'!H109&gt;0,'Invullen groen'!H109,""),"")</f>
        <v/>
      </c>
      <c r="C94">
        <f>IFERROR(IF('Invullen groen'!J109&gt;0,'Invullen groen'!J109,""),"")</f>
        <v/>
      </c>
      <c r="E94">
        <f>IFERROR(IF(LEN(J94)&lt;=36,J94,IFERROR(LEFT(J94,FIND(CHAR(1),SUBSTITUTE(LEFT(J94,36)," ",CHAR(1),LEN(LEFT(J94,36))-LEN(SUBSTITUTE(LEFT(J94,36)," ",""))))-1),LEFT(J94,36))),"")</f>
        <v/>
      </c>
      <c r="F94" s="236">
        <f>IFERROR(IF('Invullen groen'!L109=0,"",INT('Invullen groen'!L109)),"")</f>
        <v/>
      </c>
      <c r="G94" s="236">
        <f>IFERROR(IF('Invullen groen'!M109=0,"",INT('Invullen groen'!M109)),"")</f>
        <v/>
      </c>
      <c r="H94" s="236">
        <f>IFERROR(IF('Invullen groen'!N109=0,"",INT('Invullen groen'!N109)),"")</f>
        <v/>
      </c>
      <c r="I94" s="236">
        <f>IFERROR(IF('Invullen groen'!O109=0,"",INT('Invullen groen'!O109)),"")</f>
        <v/>
      </c>
      <c r="J9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>
        <f>IF(AND('Invullen groen'!J121&gt;0,'Invullen groen'!J121&lt;&gt;2999999),"+","")</f>
        <v/>
      </c>
      <c r="B95">
        <f>IFERROR(IF('Invullen groen'!H121&gt;0,'Invullen groen'!H121,""),"")</f>
        <v/>
      </c>
      <c r="C95">
        <f>IFERROR(IF('Invullen groen'!J121&gt;0,'Invullen groen'!J121,""),"")</f>
        <v/>
      </c>
      <c r="E95">
        <f>IFERROR(IF(LEN(J95)&lt;=36,J95,IFERROR(LEFT(J95,FIND(CHAR(1),SUBSTITUTE(LEFT(J95,36)," ",CHAR(1),LEN(LEFT(J95,36))-LEN(SUBSTITUTE(LEFT(J95,36)," ",""))))-1),LEFT(J95,36))),"")</f>
        <v/>
      </c>
      <c r="F95" s="236">
        <f>IFERROR(IF('Invullen groen'!L121=0,"",INT('Invullen groen'!L121)),"")</f>
        <v/>
      </c>
      <c r="G95" s="236">
        <f>IFERROR(IF('Invullen groen'!M121=0,"",INT('Invullen groen'!M121)),"")</f>
        <v/>
      </c>
      <c r="H95" s="236">
        <f>IFERROR(IF('Invullen groen'!N121=0,"",INT('Invullen groen'!N121)),"")</f>
        <v/>
      </c>
      <c r="I95" s="236">
        <f>IFERROR(IF('Invullen groen'!O121=0,"",INT('Invullen groen'!O121)),"")</f>
        <v/>
      </c>
      <c r="J95">
        <f>IF(AND('Invullen groen'!J121&gt;0,'Invullen groen'!J121&lt;&gt;2999999),IFERROR($K$1&amp;" "&amp;TRIM(SUBSTITUTE(SUBSTITUTE(SUBSTITUTE(SUBSTITUTE(SUBSTITUTE(SUBSTITUTE(SUBSTITUTE(SUBSTITUTE(SUBSTITUTE(SUBSTITUTE(SUBSTITUTE(SUBSTITUTE(LOWER(IF(LEFT(TEXT('Invullen groen'!E121,"0"),1)="6",'Invullen groen'!K121,IF('Invullen groen'!J121&gt;0,'Invullen groen'!G121,'Invullen groen'!K121))),"2024",""),"2025",""),"2026",""),"2027",""),"2028",""),"2029",""),"taakveld ",""),"installaties","inst"),"ruwbouw","ruwb"),"afbouw","afb"),"bijstelling","bijst"),"investeringen","invest")),""),"")</f>
        <v/>
      </c>
    </row>
    <row r="96">
      <c r="A96" s="237">
        <f>IF(AND('Invullen groen'!J122&gt;0,'Invullen groen'!J122&lt;&gt;2999999),"+","")</f>
        <v/>
      </c>
      <c r="B96">
        <f>IFERROR(IF('Invullen groen'!H122&gt;0,'Invullen groen'!H122,""),"")</f>
        <v/>
      </c>
      <c r="C96">
        <f>IFERROR(IF('Invullen groen'!J122&gt;0,'Invullen groen'!J122,""),"")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groen'!L122=0,"",INT('Invullen groen'!L122)),"")</f>
        <v/>
      </c>
      <c r="G96" s="236">
        <f>IFERROR(IF('Invullen groen'!M122=0,"",INT('Invullen groen'!M122)),"")</f>
        <v/>
      </c>
      <c r="H96" s="236">
        <f>IFERROR(IF('Invullen groen'!N122=0,"",INT('Invullen groen'!N122)),"")</f>
        <v/>
      </c>
      <c r="I96" s="236">
        <f>IFERROR(IF('Invullen groen'!O122=0,"",INT('Invullen groen'!O122)),"")</f>
        <v/>
      </c>
      <c r="J96">
        <f>IF(AND('Invullen groen'!J122&gt;0,'Invullen groen'!J122&lt;&gt;2999999),IFERROR($K$1&amp;" "&amp;TRIM(SUBSTITUTE(SUBSTITUTE(SUBSTITUTE(SUBSTITUTE(SUBSTITUTE(SUBSTITUTE(SUBSTITUTE(SUBSTITUTE(SUBSTITUTE(SUBSTITUTE(SUBSTITUTE(SUBSTITUTE(LOWER(IF(LEFT(TEXT('Invullen groen'!E122,"0"),1)="6",'Invullen groen'!K122,IF('Invullen groen'!J122&gt;0,'Invullen groen'!G122,'Invullen groen'!K122))),"2024",""),"2025",""),"2026",""),"2027",""),"2028",""),"2029",""),"taakveld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IF(AND('Invullen groen'!J123&gt;0,'Invullen groen'!J123&lt;&gt;2999999),"+","")</f>
        <v/>
      </c>
      <c r="B97">
        <f>IFERROR(IF('Invullen groen'!H123&gt;0,'Invullen groen'!H123,""),"")</f>
        <v/>
      </c>
      <c r="C97">
        <f>IFERROR(IF('Invullen groen'!J123&gt;0,'Invullen groen'!J123,""),"")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groen'!L123=0,"",INT('Invullen groen'!L123)),"")</f>
        <v/>
      </c>
      <c r="G97" s="236">
        <f>IFERROR(IF('Invullen groen'!M123=0,"",INT('Invullen groen'!M123)),"")</f>
        <v/>
      </c>
      <c r="H97" s="236">
        <f>IFERROR(IF('Invullen groen'!N123=0,"",INT('Invullen groen'!N123)),"")</f>
        <v/>
      </c>
      <c r="I97" s="236">
        <f>IFERROR(IF('Invullen groen'!O123=0,"",INT('Invullen groen'!O123)),"")</f>
        <v/>
      </c>
      <c r="J97">
        <f>IF(AND('Invullen groen'!J123&gt;0,'Invullen groen'!J123&lt;&gt;2999999),IFERROR($K$1&amp;" "&amp;TRIM(SUBSTITUTE(SUBSTITUTE(SUBSTITUTE(SUBSTITUTE(SUBSTITUTE(SUBSTITUTE(SUBSTITUTE(SUBSTITUTE(SUBSTITUTE(SUBSTITUTE(SUBSTITUTE(SUBSTITUTE(LOWER(IF(LEFT(TEXT('Invullen groen'!E123,"0"),1)="6",'Invullen groen'!K123,IF('Invullen groen'!J123&gt;0,'Invullen groen'!G123,'Invullen groen'!K123))),"2024",""),"2025",""),"2026",""),"2027",""),"2028",""),"2029",""),"taakveld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IF(AND('Invullen groen'!J124&gt;0,'Invullen groen'!J124&lt;&gt;2999999),"+","")</f>
        <v/>
      </c>
      <c r="B98">
        <f>IFERROR(IF('Invullen groen'!H124&gt;0,'Invullen groen'!H124,""),"")</f>
        <v/>
      </c>
      <c r="C98">
        <f>IFERROR(IF('Invullen groen'!J124&gt;0,'Invullen groen'!J124,""),"")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groen'!L124=0,"",INT('Invullen groen'!L124)),"")</f>
        <v/>
      </c>
      <c r="G98" s="236">
        <f>IFERROR(IF('Invullen groen'!M124=0,"",INT('Invullen groen'!M124)),"")</f>
        <v/>
      </c>
      <c r="H98" s="236">
        <f>IFERROR(IF('Invullen groen'!N124=0,"",INT('Invullen groen'!N124)),"")</f>
        <v/>
      </c>
      <c r="I98" s="236">
        <f>IFERROR(IF('Invullen groen'!O124=0,"",INT('Invullen groen'!O124)),"")</f>
        <v/>
      </c>
      <c r="J98">
        <f>IF(AND('Invullen groen'!J124&gt;0,'Invullen groen'!J124&lt;&gt;2999999),IFERROR($K$1&amp;" "&amp;TRIM(SUBSTITUTE(SUBSTITUTE(SUBSTITUTE(SUBSTITUTE(SUBSTITUTE(SUBSTITUTE(SUBSTITUTE(SUBSTITUTE(SUBSTITUTE(SUBSTITUTE(SUBSTITUTE(SUBSTITUTE(LOWER(IF(LEFT(TEXT('Invullen groen'!E124,"0"),1)="6",'Invullen groen'!K124,IF('Invullen groen'!J124&gt;0,'Invullen groen'!G124,'Invullen groen'!K124))),"2024",""),"2025",""),"2026",""),"2027",""),"2028",""),"2029",""),"taakveld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IF(AND('Invullen groen'!J125&gt;0,'Invullen groen'!J125&lt;&gt;2999999),"+","")</f>
        <v/>
      </c>
      <c r="B99">
        <f>IFERROR(IF('Invullen groen'!H125&gt;0,'Invullen groen'!H125,""),"")</f>
        <v/>
      </c>
      <c r="C99">
        <f>IFERROR(IF('Invullen groen'!J125&gt;0,'Invullen groen'!J125,""),"")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groen'!L125=0,"",INT('Invullen groen'!L125)),"")</f>
        <v/>
      </c>
      <c r="G99" s="236">
        <f>IFERROR(IF('Invullen groen'!M125=0,"",INT('Invullen groen'!M125)),"")</f>
        <v/>
      </c>
      <c r="H99" s="236">
        <f>IFERROR(IF('Invullen groen'!N125=0,"",INT('Invullen groen'!N125)),"")</f>
        <v/>
      </c>
      <c r="I99" s="236">
        <f>IFERROR(IF('Invullen groen'!O125=0,"",INT('Invullen groen'!O125)),"")</f>
        <v/>
      </c>
      <c r="J99">
        <f>IF(AND('Invullen groen'!J125&gt;0,'Invullen groen'!J125&lt;&gt;2999999),IFERROR($K$1&amp;" "&amp;TRIM(SUBSTITUTE(SUBSTITUTE(SUBSTITUTE(SUBSTITUTE(SUBSTITUTE(SUBSTITUTE(SUBSTITUTE(SUBSTITUTE(SUBSTITUTE(SUBSTITUTE(SUBSTITUTE(SUBSTITUTE(LOWER(IF(LEFT(TEXT('Invullen groen'!E125,"0"),1)="6",'Invullen groen'!K125,IF('Invullen groen'!J125&gt;0,'Invullen groen'!G125,'Invullen groen'!K125))),"2024",""),"2025",""),"2026",""),"2027",""),"2028",""),"2029",""),"taakveld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IF(AND('Invullen groen'!J126&gt;0,'Invullen groen'!J126&lt;&gt;2999999),"+","")</f>
        <v/>
      </c>
      <c r="B100">
        <f>IFERROR(IF('Invullen groen'!H126&gt;0,'Invullen groen'!H126,""),"")</f>
        <v/>
      </c>
      <c r="C100">
        <f>IFERROR(IF('Invullen groen'!J126&gt;0,'Invullen groen'!J126,""),"")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groen'!L126=0,"",INT('Invullen groen'!L126)),"")</f>
        <v/>
      </c>
      <c r="G100" s="236">
        <f>IFERROR(IF('Invullen groen'!M126=0,"",INT('Invullen groen'!M126)),"")</f>
        <v/>
      </c>
      <c r="H100" s="236">
        <f>IFERROR(IF('Invullen groen'!N126=0,"",INT('Invullen groen'!N126)),"")</f>
        <v/>
      </c>
      <c r="I100" s="236">
        <f>IFERROR(IF('Invullen groen'!O126=0,"",INT('Invullen groen'!O126)),"")</f>
        <v/>
      </c>
      <c r="J100">
        <f>IF(AND('Invullen groen'!J126&gt;0,'Invullen groen'!J126&lt;&gt;2999999),IFERROR($K$1&amp;" "&amp;TRIM(SUBSTITUTE(SUBSTITUTE(SUBSTITUTE(SUBSTITUTE(SUBSTITUTE(SUBSTITUTE(SUBSTITUTE(SUBSTITUTE(SUBSTITUTE(SUBSTITUTE(SUBSTITUTE(SUBSTITUTE(LOWER(IF(LEFT(TEXT('Invullen groen'!E126,"0"),1)="6",'Invullen groen'!K126,IF('Invullen groen'!J126&gt;0,'Invullen groen'!G126,'Invullen groen'!K126))),"2024",""),"2025",""),"2026",""),"2027",""),"2028",""),"2029",""),"taakveld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IF(AND('Invullen groen'!J127&gt;0,'Invullen groen'!J127&lt;&gt;2999999),"+","")</f>
        <v/>
      </c>
      <c r="B101">
        <f>IFERROR(IF('Invullen groen'!H127&gt;0,'Invullen groen'!H127,""),"")</f>
        <v/>
      </c>
      <c r="C101">
        <f>IFERROR(IF('Invullen groen'!J127&gt;0,'Invullen groen'!J127,""),"")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groen'!L127=0,"",INT('Invullen groen'!L127)),"")</f>
        <v/>
      </c>
      <c r="G101" s="236">
        <f>IFERROR(IF('Invullen groen'!M127=0,"",INT('Invullen groen'!M127)),"")</f>
        <v/>
      </c>
      <c r="H101" s="236">
        <f>IFERROR(IF('Invullen groen'!N127=0,"",INT('Invullen groen'!N127)),"")</f>
        <v/>
      </c>
      <c r="I101" s="236">
        <f>IFERROR(IF('Invullen groen'!O127=0,"",INT('Invullen groen'!O127)),"")</f>
        <v/>
      </c>
      <c r="J101">
        <f>IF(AND('Invullen groen'!J127&gt;0,'Invullen groen'!J127&lt;&gt;2999999),IFERROR($K$1&amp;" "&amp;TRIM(SUBSTITUTE(SUBSTITUTE(SUBSTITUTE(SUBSTITUTE(SUBSTITUTE(SUBSTITUTE(SUBSTITUTE(SUBSTITUTE(SUBSTITUTE(SUBSTITUTE(SUBSTITUTE(SUBSTITUTE(LOWER(IF(LEFT(TEXT('Invullen groen'!E127,"0"),1)="6",'Invullen groen'!K127,IF('Invullen groen'!J127&gt;0,'Invullen groen'!G127,'Invullen groen'!K127))),"2024",""),"2025",""),"2026",""),"2027",""),"2028",""),"2029",""),"taakveld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IF(AND('Invullen groen'!J128&gt;0,'Invullen groen'!J128&lt;&gt;2999999),"+","")</f>
        <v/>
      </c>
      <c r="B102">
        <f>IFERROR(IF('Invullen groen'!H128&gt;0,'Invullen groen'!H128,""),"")</f>
        <v/>
      </c>
      <c r="C102">
        <f>IFERROR(IF('Invullen groen'!J128&gt;0,'Invullen groen'!J128,""),"")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groen'!L128=0,"",INT('Invullen groen'!L128)),"")</f>
        <v/>
      </c>
      <c r="G102" s="236">
        <f>IFERROR(IF('Invullen groen'!M128=0,"",INT('Invullen groen'!M128)),"")</f>
        <v/>
      </c>
      <c r="H102" s="236">
        <f>IFERROR(IF('Invullen groen'!N128=0,"",INT('Invullen groen'!N128)),"")</f>
        <v/>
      </c>
      <c r="I102" s="236">
        <f>IFERROR(IF('Invullen groen'!O128=0,"",INT('Invullen groen'!O128)),"")</f>
        <v/>
      </c>
      <c r="J102">
        <f>IF(AND('Invullen groen'!J128&gt;0,'Invullen groen'!J128&lt;&gt;2999999),IFERROR($K$1&amp;" "&amp;TRIM(SUBSTITUTE(SUBSTITUTE(SUBSTITUTE(SUBSTITUTE(SUBSTITUTE(SUBSTITUTE(SUBSTITUTE(SUBSTITUTE(SUBSTITUTE(SUBSTITUTE(SUBSTITUTE(SUBSTITUTE(LOWER(IF(LEFT(TEXT('Invullen groen'!E128,"0"),1)="6",'Invullen groen'!K128,IF('Invullen groen'!J128&gt;0,'Invullen groen'!G128,'Invullen groen'!K128))),"2024",""),"2025",""),"2026",""),"2027",""),"2028",""),"2029",""),"taakveld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IF(AND('Invullen groen'!J129&gt;0,'Invullen groen'!J129&lt;&gt;2999999),"+","")</f>
        <v/>
      </c>
      <c r="B103">
        <f>IFERROR(IF('Invullen groen'!H129&gt;0,'Invullen groen'!H129,""),"")</f>
        <v/>
      </c>
      <c r="C103">
        <f>IFERROR(IF('Invullen groen'!J129&gt;0,'Invullen groen'!J129,""),"")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groen'!L129=0,"",INT('Invullen groen'!L129)),"")</f>
        <v/>
      </c>
      <c r="G103" s="236">
        <f>IFERROR(IF('Invullen groen'!M129=0,"",INT('Invullen groen'!M129)),"")</f>
        <v/>
      </c>
      <c r="H103" s="236">
        <f>IFERROR(IF('Invullen groen'!N129=0,"",INT('Invullen groen'!N129)),"")</f>
        <v/>
      </c>
      <c r="I103" s="236">
        <f>IFERROR(IF('Invullen groen'!O129=0,"",INT('Invullen groen'!O129)),"")</f>
        <v/>
      </c>
      <c r="J103">
        <f>IF(AND('Invullen groen'!J129&gt;0,'Invullen groen'!J129&lt;&gt;2999999),IFERROR($K$1&amp;" "&amp;TRIM(SUBSTITUTE(SUBSTITUTE(SUBSTITUTE(SUBSTITUTE(SUBSTITUTE(SUBSTITUTE(SUBSTITUTE(SUBSTITUTE(SUBSTITUTE(SUBSTITUTE(SUBSTITUTE(SUBSTITUTE(LOWER(IF(LEFT(TEXT('Invullen groen'!E129,"0"),1)="6",'Invullen groen'!K129,IF('Invullen groen'!J129&gt;0,'Invullen groen'!G129,'Invullen groen'!K129))),"2024",""),"2025",""),"2026",""),"2027",""),"2028",""),"2029",""),"taakveld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IF(AND('Invullen groen'!J130&gt;0,'Invullen groen'!J130&lt;&gt;2999999),"+","")</f>
        <v/>
      </c>
      <c r="B104">
        <f>IFERROR(IF('Invullen groen'!H130&gt;0,'Invullen groen'!H130,""),"")</f>
        <v/>
      </c>
      <c r="C104">
        <f>IFERROR(IF('Invullen groen'!J130&gt;0,'Invullen groen'!J130,""),"")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groen'!L130=0,"",INT('Invullen groen'!L130)),"")</f>
        <v/>
      </c>
      <c r="G104" s="236">
        <f>IFERROR(IF('Invullen groen'!M130=0,"",INT('Invullen groen'!M130)),"")</f>
        <v/>
      </c>
      <c r="H104" s="236">
        <f>IFERROR(IF('Invullen groen'!N130=0,"",INT('Invullen groen'!N130)),"")</f>
        <v/>
      </c>
      <c r="I104" s="236">
        <f>IFERROR(IF('Invullen groen'!O130=0,"",INT('Invullen groen'!O130)),"")</f>
        <v/>
      </c>
      <c r="J104">
        <f>IF(AND('Invullen groen'!J130&gt;0,'Invullen groen'!J130&lt;&gt;2999999),IFERROR($K$1&amp;" "&amp;TRIM(SUBSTITUTE(SUBSTITUTE(SUBSTITUTE(SUBSTITUTE(SUBSTITUTE(SUBSTITUTE(SUBSTITUTE(SUBSTITUTE(SUBSTITUTE(SUBSTITUTE(SUBSTITUTE(SUBSTITUTE(LOWER(IF(LEFT(TEXT('Invullen groen'!E130,"0"),1)="6",'Invullen groen'!K130,IF('Invullen groen'!J130&gt;0,'Invullen groen'!G130,'Invullen groen'!K130))),"2024",""),"2025",""),"2026",""),"2027",""),"2028",""),"2029",""),"taakveld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IF(AND('Invullen groen'!J131&gt;0,'Invullen groen'!J131&lt;&gt;2999999),"+","")</f>
        <v/>
      </c>
      <c r="B105">
        <f>IFERROR(IF('Invullen groen'!H131&gt;0,'Invullen groen'!H131,""),"")</f>
        <v/>
      </c>
      <c r="C105">
        <f>IFERROR(IF('Invullen groen'!J131&gt;0,'Invullen groen'!J131,""),"")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groen'!L131=0,"",INT('Invullen groen'!L131)),"")</f>
        <v/>
      </c>
      <c r="G105" s="236">
        <f>IFERROR(IF('Invullen groen'!M131=0,"",INT('Invullen groen'!M131)),"")</f>
        <v/>
      </c>
      <c r="H105" s="236">
        <f>IFERROR(IF('Invullen groen'!N131=0,"",INT('Invullen groen'!N131)),"")</f>
        <v/>
      </c>
      <c r="I105" s="236">
        <f>IFERROR(IF('Invullen groen'!O131=0,"",INT('Invullen groen'!O131)),"")</f>
        <v/>
      </c>
      <c r="J105">
        <f>IF(AND('Invullen groen'!J131&gt;0,'Invullen groen'!J131&lt;&gt;2999999),IFERROR($K$1&amp;" "&amp;TRIM(SUBSTITUTE(SUBSTITUTE(SUBSTITUTE(SUBSTITUTE(SUBSTITUTE(SUBSTITUTE(SUBSTITUTE(SUBSTITUTE(SUBSTITUTE(SUBSTITUTE(SUBSTITUTE(SUBSTITUTE(LOWER(IF(LEFT(TEXT('Invullen groen'!E131,"0"),1)="6",'Invullen groen'!K131,IF('Invullen groen'!J131&gt;0,'Invullen groen'!G131,'Invullen groen'!K131))),"2024",""),"2025",""),"2026",""),"2027",""),"2028",""),"2029",""),"taakveld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IF(AND('Invullen groen'!J132&gt;0,'Invullen groen'!J132&lt;&gt;2999999),"+","")</f>
        <v/>
      </c>
      <c r="B106">
        <f>IFERROR(IF('Invullen groen'!H132&gt;0,'Invullen groen'!H132,""),"")</f>
        <v/>
      </c>
      <c r="C106">
        <f>IFERROR(IF('Invullen groen'!J132&gt;0,'Invullen groen'!J132,""),"")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groen'!L132=0,"",INT('Invullen groen'!L132)),"")</f>
        <v/>
      </c>
      <c r="G106" s="236">
        <f>IFERROR(IF('Invullen groen'!M132=0,"",INT('Invullen groen'!M132)),"")</f>
        <v/>
      </c>
      <c r="H106" s="236">
        <f>IFERROR(IF('Invullen groen'!N132=0,"",INT('Invullen groen'!N132)),"")</f>
        <v/>
      </c>
      <c r="I106" s="236">
        <f>IFERROR(IF('Invullen groen'!O132=0,"",INT('Invullen groen'!O132)),"")</f>
        <v/>
      </c>
      <c r="J106">
        <f>IF(AND('Invullen groen'!J132&gt;0,'Invullen groen'!J132&lt;&gt;2999999),IFERROR($K$1&amp;" "&amp;TRIM(SUBSTITUTE(SUBSTITUTE(SUBSTITUTE(SUBSTITUTE(SUBSTITUTE(SUBSTITUTE(SUBSTITUTE(SUBSTITUTE(SUBSTITUTE(SUBSTITUTE(SUBSTITUTE(SUBSTITUTE(LOWER(IF(LEFT(TEXT('Invullen groen'!E132,"0"),1)="6",'Invullen groen'!K132,IF('Invullen groen'!J132&gt;0,'Invullen groen'!G132,'Invullen groen'!K132))),"2024",""),"2025",""),"2026",""),"2027",""),"2028",""),"2029",""),"taakveld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IF(AND('Invullen groen'!J133&gt;0,'Invullen groen'!J133&lt;&gt;2999999),"+","")</f>
        <v/>
      </c>
      <c r="B107">
        <f>IFERROR(IF('Invullen groen'!H133&gt;0,'Invullen groen'!H133,""),"")</f>
        <v/>
      </c>
      <c r="C107">
        <f>IFERROR(IF('Invullen groen'!J133&gt;0,'Invullen groen'!J133,""),"")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groen'!L133=0,"",INT('Invullen groen'!L133)),"")</f>
        <v/>
      </c>
      <c r="G107" s="236">
        <f>IFERROR(IF('Invullen groen'!M133=0,"",INT('Invullen groen'!M133)),"")</f>
        <v/>
      </c>
      <c r="H107" s="236">
        <f>IFERROR(IF('Invullen groen'!N133=0,"",INT('Invullen groen'!N133)),"")</f>
        <v/>
      </c>
      <c r="I107" s="236">
        <f>IFERROR(IF('Invullen groen'!O133=0,"",INT('Invullen groen'!O133)),"")</f>
        <v/>
      </c>
      <c r="J107">
        <f>IF(AND('Invullen groen'!J133&gt;0,'Invullen groen'!J133&lt;&gt;2999999),IFERROR($K$1&amp;" "&amp;TRIM(SUBSTITUTE(SUBSTITUTE(SUBSTITUTE(SUBSTITUTE(SUBSTITUTE(SUBSTITUTE(SUBSTITUTE(SUBSTITUTE(SUBSTITUTE(SUBSTITUTE(SUBSTITUTE(SUBSTITUTE(LOWER(IF(LEFT(TEXT('Invullen groen'!E133,"0"),1)="6",'Invullen groen'!K133,IF('Invullen groen'!J133&gt;0,'Invullen groen'!G133,'Invullen groen'!K133))),"2024",""),"2025",""),"2026",""),"2027",""),"2028",""),"2029",""),"taakveld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IF(AND('Invullen groen'!J134&gt;0,'Invullen groen'!J134&lt;&gt;2999999),"+","")</f>
        <v/>
      </c>
      <c r="B108">
        <f>IFERROR(IF('Invullen groen'!H134&gt;0,'Invullen groen'!H134,""),"")</f>
        <v/>
      </c>
      <c r="C108">
        <f>IFERROR(IF('Invullen groen'!J134&gt;0,'Invullen groen'!J134,""),"")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groen'!L134=0,"",INT('Invullen groen'!L134)),"")</f>
        <v/>
      </c>
      <c r="G108" s="236">
        <f>IFERROR(IF('Invullen groen'!M134=0,"",INT('Invullen groen'!M134)),"")</f>
        <v/>
      </c>
      <c r="H108" s="236">
        <f>IFERROR(IF('Invullen groen'!N134=0,"",INT('Invullen groen'!N134)),"")</f>
        <v/>
      </c>
      <c r="I108" s="236">
        <f>IFERROR(IF('Invullen groen'!O134=0,"",INT('Invullen groen'!O134)),"")</f>
        <v/>
      </c>
      <c r="J108">
        <f>IF(AND('Invullen groen'!J134&gt;0,'Invullen groen'!J134&lt;&gt;2999999),IFERROR($K$1&amp;" "&amp;TRIM(SUBSTITUTE(SUBSTITUTE(SUBSTITUTE(SUBSTITUTE(SUBSTITUTE(SUBSTITUTE(SUBSTITUTE(SUBSTITUTE(SUBSTITUTE(SUBSTITUTE(SUBSTITUTE(SUBSTITUTE(LOWER(IF(LEFT(TEXT('Invullen groen'!E134,"0"),1)="6",'Invullen groen'!K134,IF('Invullen groen'!J134&gt;0,'Invullen groen'!G134,'Invullen groen'!K134))),"2024",""),"2025",""),"2026",""),"2027",""),"2028",""),"2029",""),"taakveld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IF(AND('Invullen groen'!J135&gt;0,'Invullen groen'!J135&lt;&gt;2999999),"+","")</f>
        <v/>
      </c>
      <c r="B109">
        <f>IFERROR(IF('Invullen groen'!H135&gt;0,'Invullen groen'!H135,""),"")</f>
        <v/>
      </c>
      <c r="C109">
        <f>IFERROR(IF('Invullen groen'!J135&gt;0,'Invullen groen'!J135,""),"")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groen'!L135=0,"",INT('Invullen groen'!L135)),"")</f>
        <v/>
      </c>
      <c r="G109" s="236">
        <f>IFERROR(IF('Invullen groen'!M135=0,"",INT('Invullen groen'!M135)),"")</f>
        <v/>
      </c>
      <c r="H109" s="236">
        <f>IFERROR(IF('Invullen groen'!N135=0,"",INT('Invullen groen'!N135)),"")</f>
        <v/>
      </c>
      <c r="I109" s="236">
        <f>IFERROR(IF('Invullen groen'!O135=0,"",INT('Invullen groen'!O135)),"")</f>
        <v/>
      </c>
      <c r="J109">
        <f>IF(AND('Invullen groen'!J135&gt;0,'Invullen groen'!J135&lt;&gt;2999999),IFERROR($K$1&amp;" "&amp;TRIM(SUBSTITUTE(SUBSTITUTE(SUBSTITUTE(SUBSTITUTE(SUBSTITUTE(SUBSTITUTE(SUBSTITUTE(SUBSTITUTE(SUBSTITUTE(SUBSTITUTE(SUBSTITUTE(SUBSTITUTE(LOWER(IF(LEFT(TEXT('Invullen groen'!E135,"0"),1)="6",'Invullen groen'!K135,IF('Invullen groen'!J135&gt;0,'Invullen groen'!G135,'Invullen groen'!K135))),"2024",""),"2025",""),"2026",""),"2027",""),"2028",""),"2029",""),"taakveld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IF(AND('Invullen groen'!J136&gt;0,'Invullen groen'!J136&lt;&gt;2999999),"+","")</f>
        <v/>
      </c>
      <c r="B110">
        <f>IFERROR(IF('Invullen groen'!H136&gt;0,'Invullen groen'!H136,""),"")</f>
        <v/>
      </c>
      <c r="C110">
        <f>IFERROR(IF('Invullen groen'!J136&gt;0,'Invullen groen'!J136,""),"")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groen'!L136=0,"",INT('Invullen groen'!L136)),"")</f>
        <v/>
      </c>
      <c r="G110" s="236">
        <f>IFERROR(IF('Invullen groen'!M136=0,"",INT('Invullen groen'!M136)),"")</f>
        <v/>
      </c>
      <c r="H110" s="236">
        <f>IFERROR(IF('Invullen groen'!N136=0,"",INT('Invullen groen'!N136)),"")</f>
        <v/>
      </c>
      <c r="I110" s="236">
        <f>IFERROR(IF('Invullen groen'!O136=0,"",INT('Invullen groen'!O136)),"")</f>
        <v/>
      </c>
      <c r="J110">
        <f>IF(AND('Invullen groen'!J136&gt;0,'Invullen groen'!J136&lt;&gt;2999999),IFERROR($K$1&amp;" "&amp;TRIM(SUBSTITUTE(SUBSTITUTE(SUBSTITUTE(SUBSTITUTE(SUBSTITUTE(SUBSTITUTE(SUBSTITUTE(SUBSTITUTE(SUBSTITUTE(SUBSTITUTE(SUBSTITUTE(SUBSTITUTE(LOWER(IF(LEFT(TEXT('Invullen groen'!E136,"0"),1)="6",'Invullen groen'!K136,IF('Invullen groen'!J136&gt;0,'Invullen groen'!G136,'Invullen groen'!K136))),"2024",""),"2025",""),"2026",""),"2027",""),"2028",""),"2029",""),"taakveld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IF(AND('Invullen groen'!J137&gt;0,'Invullen groen'!J137&lt;&gt;2999999),"+","")</f>
        <v/>
      </c>
      <c r="B111">
        <f>IFERROR(IF('Invullen groen'!H137&gt;0,'Invullen groen'!H137,""),"")</f>
        <v/>
      </c>
      <c r="C111">
        <f>IFERROR(IF('Invullen groen'!J137&gt;0,'Invullen groen'!J137,""),"")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groen'!L137=0,"",INT('Invullen groen'!L137)),"")</f>
        <v/>
      </c>
      <c r="G111" s="236">
        <f>IFERROR(IF('Invullen groen'!M137=0,"",INT('Invullen groen'!M137)),"")</f>
        <v/>
      </c>
      <c r="H111" s="236">
        <f>IFERROR(IF('Invullen groen'!N137=0,"",INT('Invullen groen'!N137)),"")</f>
        <v/>
      </c>
      <c r="I111" s="236">
        <f>IFERROR(IF('Invullen groen'!O137=0,"",INT('Invullen groen'!O137)),"")</f>
        <v/>
      </c>
      <c r="J111">
        <f>IF(AND('Invullen groen'!J137&gt;0,'Invullen groen'!J137&lt;&gt;2999999),IFERROR($K$1&amp;" "&amp;TRIM(SUBSTITUTE(SUBSTITUTE(SUBSTITUTE(SUBSTITUTE(SUBSTITUTE(SUBSTITUTE(SUBSTITUTE(SUBSTITUTE(SUBSTITUTE(SUBSTITUTE(SUBSTITUTE(SUBSTITUTE(LOWER(IF(LEFT(TEXT('Invullen groen'!E137,"0"),1)="6",'Invullen groen'!K137,IF('Invullen groen'!J137&gt;0,'Invullen groen'!G137,'Invullen groen'!K137))),"2024",""),"2025",""),"2026",""),"2027",""),"2028",""),"2029",""),"taakveld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IF(AND('Invullen groen'!J138&gt;0,'Invullen groen'!J138&lt;&gt;2999999),"+","")</f>
        <v/>
      </c>
      <c r="B112">
        <f>IFERROR(IF('Invullen groen'!H138&gt;0,'Invullen groen'!H138,""),"")</f>
        <v/>
      </c>
      <c r="C112">
        <f>IFERROR(IF('Invullen groen'!J138&gt;0,'Invullen groen'!J138,""),"")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groen'!L138=0,"",INT('Invullen groen'!L138)),"")</f>
        <v/>
      </c>
      <c r="G112" s="236">
        <f>IFERROR(IF('Invullen groen'!M138=0,"",INT('Invullen groen'!M138)),"")</f>
        <v/>
      </c>
      <c r="H112" s="236">
        <f>IFERROR(IF('Invullen groen'!N138=0,"",INT('Invullen groen'!N138)),"")</f>
        <v/>
      </c>
      <c r="I112" s="236">
        <f>IFERROR(IF('Invullen groen'!O138=0,"",INT('Invullen groen'!O138)),"")</f>
        <v/>
      </c>
      <c r="J112">
        <f>IF(AND('Invullen groen'!J138&gt;0,'Invullen groen'!J138&lt;&gt;2999999),IFERROR($K$1&amp;" "&amp;TRIM(SUBSTITUTE(SUBSTITUTE(SUBSTITUTE(SUBSTITUTE(SUBSTITUTE(SUBSTITUTE(SUBSTITUTE(SUBSTITUTE(SUBSTITUTE(SUBSTITUTE(SUBSTITUTE(SUBSTITUTE(LOWER(IF(LEFT(TEXT('Invullen groen'!E138,"0"),1)="6",'Invullen groen'!K138,IF('Invullen groen'!J138&gt;0,'Invullen groen'!G138,'Invullen groen'!K138))),"2024",""),"2025",""),"2026",""),"2027",""),"2028",""),"2029",""),"taakveld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IF(AND('Invullen groen'!J139&gt;0,'Invullen groen'!J139&lt;&gt;2999999),"+","")</f>
        <v/>
      </c>
      <c r="B113">
        <f>IFERROR(IF('Invullen groen'!H139&gt;0,'Invullen groen'!H139,""),"")</f>
        <v/>
      </c>
      <c r="C113">
        <f>IFERROR(IF('Invullen groen'!J139&gt;0,'Invullen groen'!J139,""),"")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groen'!L139=0,"",INT('Invullen groen'!L139)),"")</f>
        <v/>
      </c>
      <c r="G113" s="236">
        <f>IFERROR(IF('Invullen groen'!M139=0,"",INT('Invullen groen'!M139)),"")</f>
        <v/>
      </c>
      <c r="H113" s="236">
        <f>IFERROR(IF('Invullen groen'!N139=0,"",INT('Invullen groen'!N139)),"")</f>
        <v/>
      </c>
      <c r="I113" s="236">
        <f>IFERROR(IF('Invullen groen'!O139=0,"",INT('Invullen groen'!O139)),"")</f>
        <v/>
      </c>
      <c r="J113">
        <f>IF(AND('Invullen groen'!J139&gt;0,'Invullen groen'!J139&lt;&gt;2999999),IFERROR($K$1&amp;" "&amp;TRIM(SUBSTITUTE(SUBSTITUTE(SUBSTITUTE(SUBSTITUTE(SUBSTITUTE(SUBSTITUTE(SUBSTITUTE(SUBSTITUTE(SUBSTITUTE(SUBSTITUTE(SUBSTITUTE(SUBSTITUTE(LOWER(IF(LEFT(TEXT('Invullen groen'!E139,"0"),1)="6",'Invullen groen'!K139,IF('Invullen groen'!J139&gt;0,'Invullen groen'!G139,'Invullen groen'!K139))),"2024",""),"2025",""),"2026",""),"2027",""),"2028",""),"2029",""),"taakveld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IF(AND('Invullen groen'!J140&gt;0,'Invullen groen'!J140&lt;&gt;2999999),"+","")</f>
        <v/>
      </c>
      <c r="B114">
        <f>IFERROR(IF('Invullen groen'!H140&gt;0,'Invullen groen'!H140,""),"")</f>
        <v/>
      </c>
      <c r="C114">
        <f>IFERROR(IF('Invullen groen'!J140&gt;0,'Invullen groen'!J140,""),"")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groen'!L140=0,"",INT('Invullen groen'!L140)),"")</f>
        <v/>
      </c>
      <c r="G114" s="236">
        <f>IFERROR(IF('Invullen groen'!M140=0,"",INT('Invullen groen'!M140)),"")</f>
        <v/>
      </c>
      <c r="H114" s="236">
        <f>IFERROR(IF('Invullen groen'!N140=0,"",INT('Invullen groen'!N140)),"")</f>
        <v/>
      </c>
      <c r="I114" s="236">
        <f>IFERROR(IF('Invullen groen'!O140=0,"",INT('Invullen groen'!O140)),"")</f>
        <v/>
      </c>
      <c r="J114">
        <f>IF(AND('Invullen groen'!J140&gt;0,'Invullen groen'!J140&lt;&gt;2999999),IFERROR($K$1&amp;" "&amp;TRIM(SUBSTITUTE(SUBSTITUTE(SUBSTITUTE(SUBSTITUTE(SUBSTITUTE(SUBSTITUTE(SUBSTITUTE(SUBSTITUTE(SUBSTITUTE(SUBSTITUTE(SUBSTITUTE(SUBSTITUTE(LOWER(IF(LEFT(TEXT('Invullen groen'!E140,"0"),1)="6",'Invullen groen'!K140,IF('Invullen groen'!J140&gt;0,'Invullen groen'!G140,'Invullen groen'!K140))),"2024",""),"2025",""),"2026",""),"2027",""),"2028",""),"2029",""),"taakveld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IF(AND('Invullen groen'!J141&gt;0,'Invullen groen'!J141&lt;&gt;2999999),"+","")</f>
        <v/>
      </c>
      <c r="B115">
        <f>IFERROR(IF('Invullen groen'!H141&gt;0,'Invullen groen'!H141,""),"")</f>
        <v/>
      </c>
      <c r="C115">
        <f>IFERROR(IF('Invullen groen'!J141&gt;0,'Invullen groen'!J141,""),"")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groen'!L141=0,"",INT('Invullen groen'!L141)),"")</f>
        <v/>
      </c>
      <c r="G115" s="236">
        <f>IFERROR(IF('Invullen groen'!M141=0,"",INT('Invullen groen'!M141)),"")</f>
        <v/>
      </c>
      <c r="H115" s="236">
        <f>IFERROR(IF('Invullen groen'!N141=0,"",INT('Invullen groen'!N141)),"")</f>
        <v/>
      </c>
      <c r="I115" s="236">
        <f>IFERROR(IF('Invullen groen'!O141=0,"",INT('Invullen groen'!O141)),"")</f>
        <v/>
      </c>
      <c r="J115">
        <f>IF(AND('Invullen groen'!J141&gt;0,'Invullen groen'!J141&lt;&gt;2999999),IFERROR($K$1&amp;" "&amp;TRIM(SUBSTITUTE(SUBSTITUTE(SUBSTITUTE(SUBSTITUTE(SUBSTITUTE(SUBSTITUTE(SUBSTITUTE(SUBSTITUTE(SUBSTITUTE(SUBSTITUTE(SUBSTITUTE(SUBSTITUTE(LOWER(IF(LEFT(TEXT('Invullen groen'!E141,"0"),1)="6",'Invullen groen'!K141,IF('Invullen groen'!J141&gt;0,'Invullen groen'!G141,'Invullen groen'!K141))),"2024",""),"2025",""),"2026",""),"2027",""),"2028",""),"2029",""),"taakveld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IF(AND('Invullen groen'!J142&gt;0,'Invullen groen'!J142&lt;&gt;2999999),"+","")</f>
        <v/>
      </c>
      <c r="B116">
        <f>IFERROR(IF('Invullen groen'!H142&gt;0,'Invullen groen'!H142,""),"")</f>
        <v/>
      </c>
      <c r="C116">
        <f>IFERROR(IF('Invullen groen'!J142&gt;0,'Invullen groen'!J142,""),"")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groen'!L142=0,"",INT('Invullen groen'!L142)),"")</f>
        <v/>
      </c>
      <c r="G116" s="236">
        <f>IFERROR(IF('Invullen groen'!M142=0,"",INT('Invullen groen'!M142)),"")</f>
        <v/>
      </c>
      <c r="H116" s="236">
        <f>IFERROR(IF('Invullen groen'!N142=0,"",INT('Invullen groen'!N142)),"")</f>
        <v/>
      </c>
      <c r="I116" s="236">
        <f>IFERROR(IF('Invullen groen'!O142=0,"",INT('Invullen groen'!O142)),"")</f>
        <v/>
      </c>
      <c r="J116">
        <f>IF(AND('Invullen groen'!J142&gt;0,'Invullen groen'!J142&lt;&gt;2999999),IFERROR($K$1&amp;" "&amp;TRIM(SUBSTITUTE(SUBSTITUTE(SUBSTITUTE(SUBSTITUTE(SUBSTITUTE(SUBSTITUTE(SUBSTITUTE(SUBSTITUTE(SUBSTITUTE(SUBSTITUTE(SUBSTITUTE(SUBSTITUTE(LOWER(IF(LEFT(TEXT('Invullen groen'!E142,"0"),1)="6",'Invullen groen'!K142,IF('Invullen groen'!J142&gt;0,'Invullen groen'!G142,'Invullen groen'!K142))),"2024",""),"2025",""),"2026",""),"2027",""),"2028",""),"2029",""),"taakveld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IF(AND('Invullen groen'!J143&gt;0,'Invullen groen'!J143&lt;&gt;2999999),"+","")</f>
        <v/>
      </c>
      <c r="B117">
        <f>IFERROR(IF('Invullen groen'!H143&gt;0,'Invullen groen'!H143,""),"")</f>
        <v/>
      </c>
      <c r="C117">
        <f>IFERROR(IF('Invullen groen'!J143&gt;0,'Invullen groen'!J143,""),"")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groen'!L143=0,"",INT('Invullen groen'!L143)),"")</f>
        <v/>
      </c>
      <c r="G117" s="236">
        <f>IFERROR(IF('Invullen groen'!M143=0,"",INT('Invullen groen'!M143)),"")</f>
        <v/>
      </c>
      <c r="H117" s="236">
        <f>IFERROR(IF('Invullen groen'!N143=0,"",INT('Invullen groen'!N143)),"")</f>
        <v/>
      </c>
      <c r="I117" s="236">
        <f>IFERROR(IF('Invullen groen'!O143=0,"",INT('Invullen groen'!O143)),"")</f>
        <v/>
      </c>
      <c r="J117">
        <f>IF(AND('Invullen groen'!J143&gt;0,'Invullen groen'!J143&lt;&gt;2999999),IFERROR($K$1&amp;" "&amp;TRIM(SUBSTITUTE(SUBSTITUTE(SUBSTITUTE(SUBSTITUTE(SUBSTITUTE(SUBSTITUTE(SUBSTITUTE(SUBSTITUTE(SUBSTITUTE(SUBSTITUTE(SUBSTITUTE(SUBSTITUTE(LOWER(IF(LEFT(TEXT('Invullen groen'!E143,"0"),1)="6",'Invullen groen'!K143,IF('Invullen groen'!J143&gt;0,'Invullen groen'!G143,'Invullen groen'!K143))),"2024",""),"2025",""),"2026",""),"2027",""),"2028",""),"2029",""),"taakveld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IF(AND('Invullen groen'!J144&gt;0,'Invullen groen'!J144&lt;&gt;2999999),"+","")</f>
        <v/>
      </c>
      <c r="B118">
        <f>IFERROR(IF('Invullen groen'!H144&gt;0,'Invullen groen'!H144,""),"")</f>
        <v/>
      </c>
      <c r="C118">
        <f>IFERROR(IF('Invullen groen'!J144&gt;0,'Invullen groen'!J144,""),"")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groen'!L144=0,"",INT('Invullen groen'!L144)),"")</f>
        <v/>
      </c>
      <c r="G118" s="236">
        <f>IFERROR(IF('Invullen groen'!M144=0,"",INT('Invullen groen'!M144)),"")</f>
        <v/>
      </c>
      <c r="H118" s="236">
        <f>IFERROR(IF('Invullen groen'!N144=0,"",INT('Invullen groen'!N144)),"")</f>
        <v/>
      </c>
      <c r="I118" s="236">
        <f>IFERROR(IF('Invullen groen'!O144=0,"",INT('Invullen groen'!O144)),"")</f>
        <v/>
      </c>
      <c r="J118">
        <f>IF(AND('Invullen groen'!J144&gt;0,'Invullen groen'!J144&lt;&gt;2999999),IFERROR($K$1&amp;" "&amp;TRIM(SUBSTITUTE(SUBSTITUTE(SUBSTITUTE(SUBSTITUTE(SUBSTITUTE(SUBSTITUTE(SUBSTITUTE(SUBSTITUTE(SUBSTITUTE(SUBSTITUTE(SUBSTITUTE(SUBSTITUTE(LOWER(IF(LEFT(TEXT('Invullen groen'!E144,"0"),1)="6",'Invullen groen'!K144,IF('Invullen groen'!J144&gt;0,'Invullen groen'!G144,'Invullen groen'!K144))),"2024",""),"2025",""),"2026",""),"2027",""),"2028",""),"2029",""),"taakveld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IF(AND('Invullen groen'!J145&gt;0,'Invullen groen'!J145&lt;&gt;2999999),"+","")</f>
        <v/>
      </c>
      <c r="B119">
        <f>IFERROR(IF('Invullen groen'!H145&gt;0,'Invullen groen'!H145,""),"")</f>
        <v/>
      </c>
      <c r="C119">
        <f>IFERROR(IF('Invullen groen'!J145&gt;0,'Invullen groen'!J145,""),"")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groen'!L145=0,"",INT('Invullen groen'!L145)),"")</f>
        <v/>
      </c>
      <c r="G119" s="236">
        <f>IFERROR(IF('Invullen groen'!M145=0,"",INT('Invullen groen'!M145)),"")</f>
        <v/>
      </c>
      <c r="H119" s="236">
        <f>IFERROR(IF('Invullen groen'!N145=0,"",INT('Invullen groen'!N145)),"")</f>
        <v/>
      </c>
      <c r="I119" s="236">
        <f>IFERROR(IF('Invullen groen'!O145=0,"",INT('Invullen groen'!O145)),"")</f>
        <v/>
      </c>
      <c r="J119">
        <f>IF(AND('Invullen groen'!J145&gt;0,'Invullen groen'!J145&lt;&gt;2999999),IFERROR($K$1&amp;" "&amp;TRIM(SUBSTITUTE(SUBSTITUTE(SUBSTITUTE(SUBSTITUTE(SUBSTITUTE(SUBSTITUTE(SUBSTITUTE(SUBSTITUTE(SUBSTITUTE(SUBSTITUTE(SUBSTITUTE(SUBSTITUTE(LOWER(IF(LEFT(TEXT('Invullen groen'!E145,"0"),1)="6",'Invullen groen'!K145,IF('Invullen groen'!J145&gt;0,'Invullen groen'!G145,'Invullen groen'!K145))),"2024",""),"2025",""),"2026",""),"2027",""),"2028",""),"2029",""),"taakveld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IF(AND('Invullen groen'!J146&gt;0,'Invullen groen'!J146&lt;&gt;2999999),"+","")</f>
        <v/>
      </c>
      <c r="B120">
        <f>IFERROR(IF('Invullen groen'!H146&gt;0,'Invullen groen'!H146,""),"")</f>
        <v/>
      </c>
      <c r="C120">
        <f>IFERROR(IF('Invullen groen'!J146&gt;0,'Invullen groen'!J146,""),"")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groen'!L146=0,"",INT('Invullen groen'!L146)),"")</f>
        <v/>
      </c>
      <c r="G120" s="236">
        <f>IFERROR(IF('Invullen groen'!M146=0,"",INT('Invullen groen'!M146)),"")</f>
        <v/>
      </c>
      <c r="H120" s="236">
        <f>IFERROR(IF('Invullen groen'!N146=0,"",INT('Invullen groen'!N146)),"")</f>
        <v/>
      </c>
      <c r="I120" s="236">
        <f>IFERROR(IF('Invullen groen'!O146=0,"",INT('Invullen groen'!O146)),"")</f>
        <v/>
      </c>
      <c r="J120">
        <f>IF(AND('Invullen groen'!J146&gt;0,'Invullen groen'!J146&lt;&gt;2999999),IFERROR($K$1&amp;" "&amp;TRIM(SUBSTITUTE(SUBSTITUTE(SUBSTITUTE(SUBSTITUTE(SUBSTITUTE(SUBSTITUTE(SUBSTITUTE(SUBSTITUTE(SUBSTITUTE(SUBSTITUTE(SUBSTITUTE(SUBSTITUTE(LOWER(IF(LEFT(TEXT('Invullen groen'!E146,"0"),1)="6",'Invullen groen'!K146,IF('Invullen groen'!J146&gt;0,'Invullen groen'!G146,'Invullen groen'!K146))),"2024",""),"2025",""),"2026",""),"2027",""),"2028",""),"2029",""),"taakveld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IF(AND('Invullen groen'!J147&gt;0,'Invullen groen'!J147&lt;&gt;2999999),"+","")</f>
        <v/>
      </c>
      <c r="B121">
        <f>IFERROR(IF('Invullen groen'!H147&gt;0,'Invullen groen'!H147,""),"")</f>
        <v/>
      </c>
      <c r="C121">
        <f>IFERROR(IF('Invullen groen'!J147&gt;0,'Invullen groen'!J147,""),"")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groen'!L147=0,"",INT('Invullen groen'!L147)),"")</f>
        <v/>
      </c>
      <c r="G121" s="236">
        <f>IFERROR(IF('Invullen groen'!M147=0,"",INT('Invullen groen'!M147)),"")</f>
        <v/>
      </c>
      <c r="H121" s="236">
        <f>IFERROR(IF('Invullen groen'!N147=0,"",INT('Invullen groen'!N147)),"")</f>
        <v/>
      </c>
      <c r="I121" s="236">
        <f>IFERROR(IF('Invullen groen'!O147=0,"",INT('Invullen groen'!O147)),"")</f>
        <v/>
      </c>
      <c r="J121">
        <f>IF(AND('Invullen groen'!J147&gt;0,'Invullen groen'!J147&lt;&gt;2999999),IFERROR($K$1&amp;" "&amp;TRIM(SUBSTITUTE(SUBSTITUTE(SUBSTITUTE(SUBSTITUTE(SUBSTITUTE(SUBSTITUTE(SUBSTITUTE(SUBSTITUTE(SUBSTITUTE(SUBSTITUTE(SUBSTITUTE(SUBSTITUTE(LOWER(IF(LEFT(TEXT('Invullen groen'!E147,"0"),1)="6",'Invullen groen'!K147,IF('Invullen groen'!J147&gt;0,'Invullen groen'!G147,'Invullen groen'!K147))),"2024",""),"2025",""),"2026",""),"2027",""),"2028",""),"2029",""),"taakveld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IF(AND('Invullen groen'!J148&gt;0,'Invullen groen'!J148&lt;&gt;2999999),"+","")</f>
        <v/>
      </c>
      <c r="B122">
        <f>IFERROR(IF('Invullen groen'!H148&gt;0,'Invullen groen'!H148,""),"")</f>
        <v/>
      </c>
      <c r="C122">
        <f>IFERROR(IF('Invullen groen'!J148&gt;0,'Invullen groen'!J148,""),"")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groen'!L148=0,"",INT('Invullen groen'!L148)),"")</f>
        <v/>
      </c>
      <c r="G122" s="236">
        <f>IFERROR(IF('Invullen groen'!M148=0,"",INT('Invullen groen'!M148)),"")</f>
        <v/>
      </c>
      <c r="H122" s="236">
        <f>IFERROR(IF('Invullen groen'!N148=0,"",INT('Invullen groen'!N148)),"")</f>
        <v/>
      </c>
      <c r="I122" s="236">
        <f>IFERROR(IF('Invullen groen'!O148=0,"",INT('Invullen groen'!O148)),"")</f>
        <v/>
      </c>
      <c r="J122">
        <f>IF(AND('Invullen groen'!J148&gt;0,'Invullen groen'!J148&lt;&gt;2999999),IFERROR($K$1&amp;" "&amp;TRIM(SUBSTITUTE(SUBSTITUTE(SUBSTITUTE(SUBSTITUTE(SUBSTITUTE(SUBSTITUTE(SUBSTITUTE(SUBSTITUTE(SUBSTITUTE(SUBSTITUTE(SUBSTITUTE(SUBSTITUTE(LOWER(IF(LEFT(TEXT('Invullen groen'!E148,"0"),1)="6",'Invullen groen'!K148,IF('Invullen groen'!J148&gt;0,'Invullen groen'!G148,'Invullen groen'!K148))),"2024",""),"2025",""),"2026",""),"2027",""),"2028",""),"2029",""),"taakveld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IF(AND('Invullen groen'!J149&gt;0,'Invullen groen'!J149&lt;&gt;2999999),"+","")</f>
        <v/>
      </c>
      <c r="B123">
        <f>IFERROR(IF('Invullen groen'!H149&gt;0,'Invullen groen'!H149,""),"")</f>
        <v/>
      </c>
      <c r="C123">
        <f>IFERROR(IF('Invullen groen'!J149&gt;0,'Invullen groen'!J149,""),"")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groen'!L149=0,"",INT('Invullen groen'!L149)),"")</f>
        <v/>
      </c>
      <c r="G123" s="236">
        <f>IFERROR(IF('Invullen groen'!M149=0,"",INT('Invullen groen'!M149)),"")</f>
        <v/>
      </c>
      <c r="H123" s="236">
        <f>IFERROR(IF('Invullen groen'!N149=0,"",INT('Invullen groen'!N149)),"")</f>
        <v/>
      </c>
      <c r="I123" s="236">
        <f>IFERROR(IF('Invullen groen'!O149=0,"",INT('Invullen groen'!O149)),"")</f>
        <v/>
      </c>
      <c r="J123">
        <f>IF(AND('Invullen groen'!J149&gt;0,'Invullen groen'!J149&lt;&gt;2999999),IFERROR($K$1&amp;" "&amp;TRIM(SUBSTITUTE(SUBSTITUTE(SUBSTITUTE(SUBSTITUTE(SUBSTITUTE(SUBSTITUTE(SUBSTITUTE(SUBSTITUTE(SUBSTITUTE(SUBSTITUTE(SUBSTITUTE(SUBSTITUTE(LOWER(IF(LEFT(TEXT('Invullen groen'!E149,"0"),1)="6",'Invullen groen'!K149,IF('Invullen groen'!J149&gt;0,'Invullen groen'!G149,'Invullen groen'!K149))),"2024",""),"2025",""),"2026",""),"2027",""),"2028",""),"2029",""),"taakveld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IF(AND('Invullen groen'!J150&gt;0,'Invullen groen'!J150&lt;&gt;2999999),"+","")</f>
        <v/>
      </c>
      <c r="B124">
        <f>IFERROR(IF('Invullen groen'!H150&gt;0,'Invullen groen'!H150,""),"")</f>
        <v/>
      </c>
      <c r="C124">
        <f>IFERROR(IF('Invullen groen'!J150&gt;0,'Invullen groen'!J150,""),"")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groen'!L150=0,"",INT('Invullen groen'!L150)),"")</f>
        <v/>
      </c>
      <c r="G124" s="236">
        <f>IFERROR(IF('Invullen groen'!M150=0,"",INT('Invullen groen'!M150)),"")</f>
        <v/>
      </c>
      <c r="H124" s="236">
        <f>IFERROR(IF('Invullen groen'!N150=0,"",INT('Invullen groen'!N150)),"")</f>
        <v/>
      </c>
      <c r="I124" s="236">
        <f>IFERROR(IF('Invullen groen'!O150=0,"",INT('Invullen groen'!O150)),"")</f>
        <v/>
      </c>
      <c r="J124">
        <f>IF(AND('Invullen groen'!J150&gt;0,'Invullen groen'!J150&lt;&gt;2999999),IFERROR($K$1&amp;" "&amp;TRIM(SUBSTITUTE(SUBSTITUTE(SUBSTITUTE(SUBSTITUTE(SUBSTITUTE(SUBSTITUTE(SUBSTITUTE(SUBSTITUTE(SUBSTITUTE(SUBSTITUTE(SUBSTITUTE(SUBSTITUTE(LOWER(IF(LEFT(TEXT('Invullen groen'!E150,"0"),1)="6",'Invullen groen'!K150,IF('Invullen groen'!J150&gt;0,'Invullen groen'!G150,'Invullen groen'!K150))),"2024",""),"2025",""),"2026",""),"2027",""),"2028",""),"2029",""),"taakveld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IF(AND('Invullen groen'!J151&gt;0,'Invullen groen'!J151&lt;&gt;2999999),"+","")</f>
        <v/>
      </c>
      <c r="B125">
        <f>IFERROR(IF('Invullen groen'!H151&gt;0,'Invullen groen'!H151,""),"")</f>
        <v/>
      </c>
      <c r="C125">
        <f>IFERROR(IF('Invullen groen'!J151&gt;0,'Invullen groen'!J151,""),"")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groen'!L151=0,"",INT('Invullen groen'!L151)),"")</f>
        <v/>
      </c>
      <c r="G125" s="236">
        <f>IFERROR(IF('Invullen groen'!M151=0,"",INT('Invullen groen'!M151)),"")</f>
        <v/>
      </c>
      <c r="H125" s="236">
        <f>IFERROR(IF('Invullen groen'!N151=0,"",INT('Invullen groen'!N151)),"")</f>
        <v/>
      </c>
      <c r="I125" s="236">
        <f>IFERROR(IF('Invullen groen'!O151=0,"",INT('Invullen groen'!O151)),"")</f>
        <v/>
      </c>
      <c r="J125">
        <f>IF(AND('Invullen groen'!J151&gt;0,'Invullen groen'!J151&lt;&gt;2999999),IFERROR($K$1&amp;" "&amp;TRIM(SUBSTITUTE(SUBSTITUTE(SUBSTITUTE(SUBSTITUTE(SUBSTITUTE(SUBSTITUTE(SUBSTITUTE(SUBSTITUTE(SUBSTITUTE(SUBSTITUTE(SUBSTITUTE(SUBSTITUTE(LOWER(IF(LEFT(TEXT('Invullen groen'!E151,"0"),1)="6",'Invullen groen'!K151,IF('Invullen groen'!J151&gt;0,'Invullen groen'!G151,'Invullen groen'!K151))),"2024",""),"2025",""),"2026",""),"2027",""),"2028",""),"2029",""),"taakveld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IF(AND('Invullen groen'!J152&gt;0,'Invullen groen'!J152&lt;&gt;2999999),"+","")</f>
        <v/>
      </c>
      <c r="B126">
        <f>IFERROR(IF('Invullen groen'!H152&gt;0,'Invullen groen'!H152,""),"")</f>
        <v/>
      </c>
      <c r="C126">
        <f>IFERROR(IF('Invullen groen'!J152&gt;0,'Invullen groen'!J152,""),"")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groen'!L152=0,"",INT('Invullen groen'!L152)),"")</f>
        <v/>
      </c>
      <c r="G126" s="236">
        <f>IFERROR(IF('Invullen groen'!M152=0,"",INT('Invullen groen'!M152)),"")</f>
        <v/>
      </c>
      <c r="H126" s="236">
        <f>IFERROR(IF('Invullen groen'!N152=0,"",INT('Invullen groen'!N152)),"")</f>
        <v/>
      </c>
      <c r="I126" s="236">
        <f>IFERROR(IF('Invullen groen'!O152=0,"",INT('Invullen groen'!O152)),"")</f>
        <v/>
      </c>
      <c r="J126">
        <f>IF(AND('Invullen groen'!J152&gt;0,'Invullen groen'!J152&lt;&gt;2999999),IFERROR($K$1&amp;" "&amp;TRIM(SUBSTITUTE(SUBSTITUTE(SUBSTITUTE(SUBSTITUTE(SUBSTITUTE(SUBSTITUTE(SUBSTITUTE(SUBSTITUTE(SUBSTITUTE(SUBSTITUTE(SUBSTITUTE(SUBSTITUTE(LOWER(IF(LEFT(TEXT('Invullen groen'!E152,"0"),1)="6",'Invullen groen'!K152,IF('Invullen groen'!J152&gt;0,'Invullen groen'!G152,'Invullen groen'!K152))),"2024",""),"2025",""),"2026",""),"2027",""),"2028",""),"2029",""),"taakveld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IF(AND('Invullen groen'!J153&gt;0,'Invullen groen'!J153&lt;&gt;2999999),"+","")</f>
        <v/>
      </c>
      <c r="B127">
        <f>IFERROR(IF('Invullen groen'!H153&gt;0,'Invullen groen'!H153,""),"")</f>
        <v/>
      </c>
      <c r="C127">
        <f>IFERROR(IF('Invullen groen'!J153&gt;0,'Invullen groen'!J153,""),"")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groen'!L153=0,"",INT('Invullen groen'!L153)),"")</f>
        <v/>
      </c>
      <c r="G127" s="236">
        <f>IFERROR(IF('Invullen groen'!M153=0,"",INT('Invullen groen'!M153)),"")</f>
        <v/>
      </c>
      <c r="H127" s="236">
        <f>IFERROR(IF('Invullen groen'!N153=0,"",INT('Invullen groen'!N153)),"")</f>
        <v/>
      </c>
      <c r="I127" s="236">
        <f>IFERROR(IF('Invullen groen'!O153=0,"",INT('Invullen groen'!O153)),"")</f>
        <v/>
      </c>
      <c r="J127">
        <f>IF(AND('Invullen groen'!J153&gt;0,'Invullen groen'!J153&lt;&gt;2999999),IFERROR($K$1&amp;" "&amp;TRIM(SUBSTITUTE(SUBSTITUTE(SUBSTITUTE(SUBSTITUTE(SUBSTITUTE(SUBSTITUTE(SUBSTITUTE(SUBSTITUTE(SUBSTITUTE(SUBSTITUTE(SUBSTITUTE(SUBSTITUTE(LOWER(IF(LEFT(TEXT('Invullen groen'!E153,"0"),1)="6",'Invullen groen'!K153,IF('Invullen groen'!J153&gt;0,'Invullen groen'!G153,'Invullen groen'!K153))),"2024",""),"2025",""),"2026",""),"2027",""),"2028",""),"2029",""),"taakveld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IF(AND('Invullen groen'!J154&gt;0,'Invullen groen'!J154&lt;&gt;2999999),"+","")</f>
        <v/>
      </c>
      <c r="B128">
        <f>IFERROR(IF('Invullen groen'!H154&gt;0,'Invullen groen'!H154,""),"")</f>
        <v/>
      </c>
      <c r="C128">
        <f>IFERROR(IF('Invullen groen'!J154&gt;0,'Invullen groen'!J154,""),"")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groen'!L154=0,"",INT('Invullen groen'!L154)),"")</f>
        <v/>
      </c>
      <c r="G128" s="236">
        <f>IFERROR(IF('Invullen groen'!M154=0,"",INT('Invullen groen'!M154)),"")</f>
        <v/>
      </c>
      <c r="H128" s="236">
        <f>IFERROR(IF('Invullen groen'!N154=0,"",INT('Invullen groen'!N154)),"")</f>
        <v/>
      </c>
      <c r="I128" s="236">
        <f>IFERROR(IF('Invullen groen'!O154=0,"",INT('Invullen groen'!O154)),"")</f>
        <v/>
      </c>
      <c r="J128">
        <f>IF(AND('Invullen groen'!J154&gt;0,'Invullen groen'!J154&lt;&gt;2999999),IFERROR($K$1&amp;" "&amp;TRIM(SUBSTITUTE(SUBSTITUTE(SUBSTITUTE(SUBSTITUTE(SUBSTITUTE(SUBSTITUTE(SUBSTITUTE(SUBSTITUTE(SUBSTITUTE(SUBSTITUTE(SUBSTITUTE(SUBSTITUTE(LOWER(IF(LEFT(TEXT('Invullen groen'!E154,"0"),1)="6",'Invullen groen'!K154,IF('Invullen groen'!J154&gt;0,'Invullen groen'!G154,'Invullen groen'!K154))),"2024",""),"2025",""),"2026",""),"2027",""),"2028",""),"2029",""),"taakveld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IF(AND('Invullen groen'!J155&gt;0,'Invullen groen'!J155&lt;&gt;2999999),"+","")</f>
        <v/>
      </c>
      <c r="B129">
        <f>IFERROR(IF('Invullen groen'!H155&gt;0,'Invullen groen'!H155,""),"")</f>
        <v/>
      </c>
      <c r="C129">
        <f>IFERROR(IF('Invullen groen'!J155&gt;0,'Invullen groen'!J155,""),"")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groen'!L155=0,"",INT('Invullen groen'!L155)),"")</f>
        <v/>
      </c>
      <c r="G129" s="236">
        <f>IFERROR(IF('Invullen groen'!M155=0,"",INT('Invullen groen'!M155)),"")</f>
        <v/>
      </c>
      <c r="H129" s="236">
        <f>IFERROR(IF('Invullen groen'!N155=0,"",INT('Invullen groen'!N155)),"")</f>
        <v/>
      </c>
      <c r="I129" s="236">
        <f>IFERROR(IF('Invullen groen'!O155=0,"",INT('Invullen groen'!O155)),"")</f>
        <v/>
      </c>
      <c r="J129">
        <f>IF(AND('Invullen groen'!J155&gt;0,'Invullen groen'!J155&lt;&gt;2999999),IFERROR($K$1&amp;" "&amp;TRIM(SUBSTITUTE(SUBSTITUTE(SUBSTITUTE(SUBSTITUTE(SUBSTITUTE(SUBSTITUTE(SUBSTITUTE(SUBSTITUTE(SUBSTITUTE(SUBSTITUTE(SUBSTITUTE(SUBSTITUTE(LOWER(IF(LEFT(TEXT('Invullen groen'!E155,"0"),1)="6",'Invullen groen'!K155,IF('Invullen groen'!J155&gt;0,'Invullen groen'!G155,'Invullen groen'!K155))),"2024",""),"2025",""),"2026",""),"2027",""),"2028",""),"2029",""),"taakveld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IF(AND('Invullen groen'!J156&gt;0,'Invullen groen'!J156&lt;&gt;2999999),"+","")</f>
        <v/>
      </c>
      <c r="B130">
        <f>IFERROR(IF('Invullen groen'!H156&gt;0,'Invullen groen'!H156,""),"")</f>
        <v/>
      </c>
      <c r="C130">
        <f>IFERROR(IF('Invullen groen'!J156&gt;0,'Invullen groen'!J156,""),"")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groen'!L156=0,"",INT('Invullen groen'!L156)),"")</f>
        <v/>
      </c>
      <c r="G130" s="236">
        <f>IFERROR(IF('Invullen groen'!M156=0,"",INT('Invullen groen'!M156)),"")</f>
        <v/>
      </c>
      <c r="H130" s="236">
        <f>IFERROR(IF('Invullen groen'!N156=0,"",INT('Invullen groen'!N156)),"")</f>
        <v/>
      </c>
      <c r="I130" s="236">
        <f>IFERROR(IF('Invullen groen'!O156=0,"",INT('Invullen groen'!O156)),"")</f>
        <v/>
      </c>
      <c r="J130">
        <f>IF(AND('Invullen groen'!J156&gt;0,'Invullen groen'!J156&lt;&gt;2999999),IFERROR($K$1&amp;" "&amp;TRIM(SUBSTITUTE(SUBSTITUTE(SUBSTITUTE(SUBSTITUTE(SUBSTITUTE(SUBSTITUTE(SUBSTITUTE(SUBSTITUTE(SUBSTITUTE(SUBSTITUTE(SUBSTITUTE(SUBSTITUTE(LOWER(IF(LEFT(TEXT('Invullen groen'!E156,"0"),1)="6",'Invullen groen'!K156,IF('Invullen groen'!J156&gt;0,'Invullen groen'!G156,'Invullen groen'!K156))),"2024",""),"2025",""),"2026",""),"2027",""),"2028",""),"2029",""),"taakveld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IF(AND('Invullen groen'!J157&gt;0,'Invullen groen'!J157&lt;&gt;2999999),"+","")</f>
        <v/>
      </c>
      <c r="B131">
        <f>IFERROR(IF('Invullen groen'!H157&gt;0,'Invullen groen'!H157,""),"")</f>
        <v/>
      </c>
      <c r="C131">
        <f>IFERROR(IF('Invullen groen'!J157&gt;0,'Invullen groen'!J157,""),"")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groen'!L157=0,"",INT('Invullen groen'!L157)),"")</f>
        <v/>
      </c>
      <c r="G131" s="236">
        <f>IFERROR(IF('Invullen groen'!M157=0,"",INT('Invullen groen'!M157)),"")</f>
        <v/>
      </c>
      <c r="H131" s="236">
        <f>IFERROR(IF('Invullen groen'!N157=0,"",INT('Invullen groen'!N157)),"")</f>
        <v/>
      </c>
      <c r="I131" s="236">
        <f>IFERROR(IF('Invullen groen'!O157=0,"",INT('Invullen groen'!O157)),"")</f>
        <v/>
      </c>
      <c r="J131">
        <f>IF(AND('Invullen groen'!J157&gt;0,'Invullen groen'!J157&lt;&gt;2999999),IFERROR($K$1&amp;" "&amp;TRIM(SUBSTITUTE(SUBSTITUTE(SUBSTITUTE(SUBSTITUTE(SUBSTITUTE(SUBSTITUTE(SUBSTITUTE(SUBSTITUTE(SUBSTITUTE(SUBSTITUTE(SUBSTITUTE(SUBSTITUTE(LOWER(IF(LEFT(TEXT('Invullen groen'!E157,"0"),1)="6",'Invullen groen'!K157,IF('Invullen groen'!J157&gt;0,'Invullen groen'!G157,'Invullen groen'!K157))),"2024",""),"2025",""),"2026",""),"2027",""),"2028",""),"2029",""),"taakveld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IF(AND('Invullen groen'!J158&gt;0,'Invullen groen'!J158&lt;&gt;2999999),"+","")</f>
        <v/>
      </c>
      <c r="B132">
        <f>IFERROR(IF('Invullen groen'!H158&gt;0,'Invullen groen'!H158,""),"")</f>
        <v/>
      </c>
      <c r="C132">
        <f>IFERROR(IF('Invullen groen'!J158&gt;0,'Invullen groen'!J158,""),"")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groen'!L158=0,"",INT('Invullen groen'!L158)),"")</f>
        <v/>
      </c>
      <c r="G132" s="236">
        <f>IFERROR(IF('Invullen groen'!M158=0,"",INT('Invullen groen'!M158)),"")</f>
        <v/>
      </c>
      <c r="H132" s="236">
        <f>IFERROR(IF('Invullen groen'!N158=0,"",INT('Invullen groen'!N158)),"")</f>
        <v/>
      </c>
      <c r="I132" s="236">
        <f>IFERROR(IF('Invullen groen'!O158=0,"",INT('Invullen groen'!O158)),"")</f>
        <v/>
      </c>
      <c r="J132">
        <f>IF(AND('Invullen groen'!J158&gt;0,'Invullen groen'!J158&lt;&gt;2999999),IFERROR($K$1&amp;" "&amp;TRIM(SUBSTITUTE(SUBSTITUTE(SUBSTITUTE(SUBSTITUTE(SUBSTITUTE(SUBSTITUTE(SUBSTITUTE(SUBSTITUTE(SUBSTITUTE(SUBSTITUTE(SUBSTITUTE(SUBSTITUTE(LOWER(IF(LEFT(TEXT('Invullen groen'!E158,"0"),1)="6",'Invullen groen'!K158,IF('Invullen groen'!J158&gt;0,'Invullen groen'!G158,'Invullen groen'!K158))),"2024",""),"2025",""),"2026",""),"2027",""),"2028",""),"2029",""),"taakveld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IF(AND('Invullen groen'!J159&gt;0,'Invullen groen'!J159&lt;&gt;2999999),"+","")</f>
        <v/>
      </c>
      <c r="B133">
        <f>IFERROR(IF('Invullen groen'!H159&gt;0,'Invullen groen'!H159,""),"")</f>
        <v/>
      </c>
      <c r="C133">
        <f>IFERROR(IF('Invullen groen'!J159&gt;0,'Invullen groen'!J159,""),"")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groen'!L159=0,"",INT('Invullen groen'!L159)),"")</f>
        <v/>
      </c>
      <c r="G133" s="236">
        <f>IFERROR(IF('Invullen groen'!M159=0,"",INT('Invullen groen'!M159)),"")</f>
        <v/>
      </c>
      <c r="H133" s="236">
        <f>IFERROR(IF('Invullen groen'!N159=0,"",INT('Invullen groen'!N159)),"")</f>
        <v/>
      </c>
      <c r="I133" s="236">
        <f>IFERROR(IF('Invullen groen'!O159=0,"",INT('Invullen groen'!O159)),"")</f>
        <v/>
      </c>
      <c r="J133">
        <f>IF(AND('Invullen groen'!J159&gt;0,'Invullen groen'!J159&lt;&gt;2999999),IFERROR($K$1&amp;" "&amp;TRIM(SUBSTITUTE(SUBSTITUTE(SUBSTITUTE(SUBSTITUTE(SUBSTITUTE(SUBSTITUTE(SUBSTITUTE(SUBSTITUTE(SUBSTITUTE(SUBSTITUTE(SUBSTITUTE(SUBSTITUTE(LOWER(IF(LEFT(TEXT('Invullen groen'!E159,"0"),1)="6",'Invullen groen'!K159,IF('Invullen groen'!J159&gt;0,'Invullen groen'!G159,'Invullen groen'!K159))),"2024",""),"2025",""),"2026",""),"2027",""),"2028",""),"2029",""),"taakveld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IF(AND('Invullen groen'!J160&gt;0,'Invullen groen'!J160&lt;&gt;2999999),"+","")</f>
        <v/>
      </c>
      <c r="B134">
        <f>IFERROR(IF('Invullen groen'!H160&gt;0,'Invullen groen'!H160,""),"")</f>
        <v/>
      </c>
      <c r="C134">
        <f>IFERROR(IF('Invullen groen'!J160&gt;0,'Invullen groen'!J160,""),"")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groen'!L160=0,"",INT('Invullen groen'!L160)),"")</f>
        <v/>
      </c>
      <c r="G134" s="236">
        <f>IFERROR(IF('Invullen groen'!M160=0,"",INT('Invullen groen'!M160)),"")</f>
        <v/>
      </c>
      <c r="H134" s="236">
        <f>IFERROR(IF('Invullen groen'!N160=0,"",INT('Invullen groen'!N160)),"")</f>
        <v/>
      </c>
      <c r="I134" s="236">
        <f>IFERROR(IF('Invullen groen'!O160=0,"",INT('Invullen groen'!O160)),"")</f>
        <v/>
      </c>
      <c r="J134">
        <f>IF(AND('Invullen groen'!J160&gt;0,'Invullen groen'!J160&lt;&gt;2999999),IFERROR($K$1&amp;" "&amp;TRIM(SUBSTITUTE(SUBSTITUTE(SUBSTITUTE(SUBSTITUTE(SUBSTITUTE(SUBSTITUTE(SUBSTITUTE(SUBSTITUTE(SUBSTITUTE(SUBSTITUTE(SUBSTITUTE(SUBSTITUTE(LOWER(IF(LEFT(TEXT('Invullen groen'!E160,"0"),1)="6",'Invullen groen'!K160,IF('Invullen groen'!J160&gt;0,'Invullen groen'!G160,'Invullen groen'!K160))),"2024",""),"2025",""),"2026",""),"2027",""),"2028",""),"2029",""),"taakveld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IF(AND('Invullen groen'!J161&gt;0,'Invullen groen'!J161&lt;&gt;2999999),"+","")</f>
        <v/>
      </c>
      <c r="B135">
        <f>IFERROR(IF('Invullen groen'!H161&gt;0,'Invullen groen'!H161,""),"")</f>
        <v/>
      </c>
      <c r="C135">
        <f>IFERROR(IF('Invullen groen'!J161&gt;0,'Invullen groen'!J161,""),"")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groen'!L161=0,"",INT('Invullen groen'!L161)),"")</f>
        <v/>
      </c>
      <c r="G135" s="236">
        <f>IFERROR(IF('Invullen groen'!M161=0,"",INT('Invullen groen'!M161)),"")</f>
        <v/>
      </c>
      <c r="H135" s="236">
        <f>IFERROR(IF('Invullen groen'!N161=0,"",INT('Invullen groen'!N161)),"")</f>
        <v/>
      </c>
      <c r="I135" s="236">
        <f>IFERROR(IF('Invullen groen'!O161=0,"",INT('Invullen groen'!O161)),"")</f>
        <v/>
      </c>
      <c r="J135">
        <f>IF(AND('Invullen groen'!J161&gt;0,'Invullen groen'!J161&lt;&gt;2999999),IFERROR($K$1&amp;" "&amp;TRIM(SUBSTITUTE(SUBSTITUTE(SUBSTITUTE(SUBSTITUTE(SUBSTITUTE(SUBSTITUTE(SUBSTITUTE(SUBSTITUTE(SUBSTITUTE(SUBSTITUTE(SUBSTITUTE(SUBSTITUTE(LOWER(IF(LEFT(TEXT('Invullen groen'!E161,"0"),1)="6",'Invullen groen'!K161,IF('Invullen groen'!J161&gt;0,'Invullen groen'!G161,'Invullen groen'!K161))),"2024",""),"2025",""),"2026",""),"2027",""),"2028",""),"2029",""),"taakveld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IF(AND('Invullen groen'!J162&gt;0,'Invullen groen'!J162&lt;&gt;2999999),"+","")</f>
        <v/>
      </c>
      <c r="B136">
        <f>IFERROR(IF('Invullen groen'!H162&gt;0,'Invullen groen'!H162,""),"")</f>
        <v/>
      </c>
      <c r="C136">
        <f>IFERROR(IF('Invullen groen'!J162&gt;0,'Invullen groen'!J162,""),"")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groen'!L162=0,"",INT('Invullen groen'!L162)),"")</f>
        <v/>
      </c>
      <c r="G136" s="236">
        <f>IFERROR(IF('Invullen groen'!M162=0,"",INT('Invullen groen'!M162)),"")</f>
        <v/>
      </c>
      <c r="H136" s="236">
        <f>IFERROR(IF('Invullen groen'!N162=0,"",INT('Invullen groen'!N162)),"")</f>
        <v/>
      </c>
      <c r="I136" s="236">
        <f>IFERROR(IF('Invullen groen'!O162=0,"",INT('Invullen groen'!O162)),"")</f>
        <v/>
      </c>
      <c r="J136">
        <f>IF(AND('Invullen groen'!J162&gt;0,'Invullen groen'!J162&lt;&gt;2999999),IFERROR($K$1&amp;" "&amp;TRIM(SUBSTITUTE(SUBSTITUTE(SUBSTITUTE(SUBSTITUTE(SUBSTITUTE(SUBSTITUTE(SUBSTITUTE(SUBSTITUTE(SUBSTITUTE(SUBSTITUTE(SUBSTITUTE(SUBSTITUTE(LOWER(IF(LEFT(TEXT('Invullen groen'!E162,"0"),1)="6",'Invullen groen'!K162,IF('Invullen groen'!J162&gt;0,'Invullen groen'!G162,'Invullen groen'!K162))),"2024",""),"2025",""),"2026",""),"2027",""),"2028",""),"2029",""),"taakveld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IF(AND('Invullen groen'!J163&gt;0,'Invullen groen'!J163&lt;&gt;2999999),"+","")</f>
        <v/>
      </c>
      <c r="B137">
        <f>IFERROR(IF('Invullen groen'!H163&gt;0,'Invullen groen'!H163,""),"")</f>
        <v/>
      </c>
      <c r="C137">
        <f>IFERROR(IF('Invullen groen'!J163&gt;0,'Invullen groen'!J163,""),"")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groen'!L163=0,"",INT('Invullen groen'!L163)),"")</f>
        <v/>
      </c>
      <c r="G137" s="236">
        <f>IFERROR(IF('Invullen groen'!M163=0,"",INT('Invullen groen'!M163)),"")</f>
        <v/>
      </c>
      <c r="H137" s="236">
        <f>IFERROR(IF('Invullen groen'!N163=0,"",INT('Invullen groen'!N163)),"")</f>
        <v/>
      </c>
      <c r="I137" s="236">
        <f>IFERROR(IF('Invullen groen'!O163=0,"",INT('Invullen groen'!O163)),"")</f>
        <v/>
      </c>
      <c r="J137">
        <f>IF(AND('Invullen groen'!J163&gt;0,'Invullen groen'!J163&lt;&gt;2999999),IFERROR($K$1&amp;" "&amp;TRIM(SUBSTITUTE(SUBSTITUTE(SUBSTITUTE(SUBSTITUTE(SUBSTITUTE(SUBSTITUTE(SUBSTITUTE(SUBSTITUTE(SUBSTITUTE(SUBSTITUTE(SUBSTITUTE(SUBSTITUTE(LOWER(IF(LEFT(TEXT('Invullen groen'!E163,"0"),1)="6",'Invullen groen'!K163,IF('Invullen groen'!J163&gt;0,'Invullen groen'!G163,'Invullen groen'!K163))),"2024",""),"2025",""),"2026",""),"2027",""),"2028",""),"2029",""),"taakveld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IF(AND('Invullen groen'!J164&gt;0,'Invullen groen'!J164&lt;&gt;2999999),"+","")</f>
        <v/>
      </c>
      <c r="B138">
        <f>IFERROR(IF('Invullen groen'!H164&gt;0,'Invullen groen'!H164,""),"")</f>
        <v/>
      </c>
      <c r="C138">
        <f>IFERROR(IF('Invullen groen'!J164&gt;0,'Invullen groen'!J164,""),"")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groen'!L164=0,"",INT('Invullen groen'!L164)),"")</f>
        <v/>
      </c>
      <c r="G138" s="236">
        <f>IFERROR(IF('Invullen groen'!M164=0,"",INT('Invullen groen'!M164)),"")</f>
        <v/>
      </c>
      <c r="H138" s="236">
        <f>IFERROR(IF('Invullen groen'!N164=0,"",INT('Invullen groen'!N164)),"")</f>
        <v/>
      </c>
      <c r="I138" s="236">
        <f>IFERROR(IF('Invullen groen'!O164=0,"",INT('Invullen groen'!O164)),"")</f>
        <v/>
      </c>
      <c r="J138">
        <f>IF(AND('Invullen groen'!J164&gt;0,'Invullen groen'!J164&lt;&gt;2999999),IFERROR($K$1&amp;" "&amp;TRIM(SUBSTITUTE(SUBSTITUTE(SUBSTITUTE(SUBSTITUTE(SUBSTITUTE(SUBSTITUTE(SUBSTITUTE(SUBSTITUTE(SUBSTITUTE(SUBSTITUTE(SUBSTITUTE(SUBSTITUTE(LOWER(IF(LEFT(TEXT('Invullen groen'!E164,"0"),1)="6",'Invullen groen'!K164,IF('Invullen groen'!J164&gt;0,'Invullen groen'!G164,'Invullen groen'!K164))),"2024",""),"2025",""),"2026",""),"2027",""),"2028",""),"2029",""),"taakveld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IF(AND('Invullen groen'!J165&gt;0,'Invullen groen'!J165&lt;&gt;2999999),"+","")</f>
        <v/>
      </c>
      <c r="B139">
        <f>IFERROR(IF('Invullen groen'!H165&gt;0,'Invullen groen'!H165,""),"")</f>
        <v/>
      </c>
      <c r="C139">
        <f>IFERROR(IF('Invullen groen'!J165&gt;0,'Invullen groen'!J165,""),"")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groen'!L165=0,"",INT('Invullen groen'!L165)),"")</f>
        <v/>
      </c>
      <c r="G139" s="236">
        <f>IFERROR(IF('Invullen groen'!M165=0,"",INT('Invullen groen'!M165)),"")</f>
        <v/>
      </c>
      <c r="H139" s="236">
        <f>IFERROR(IF('Invullen groen'!N165=0,"",INT('Invullen groen'!N165)),"")</f>
        <v/>
      </c>
      <c r="I139" s="236">
        <f>IFERROR(IF('Invullen groen'!O165=0,"",INT('Invullen groen'!O165)),"")</f>
        <v/>
      </c>
      <c r="J139">
        <f>IF(AND('Invullen groen'!J165&gt;0,'Invullen groen'!J165&lt;&gt;2999999),IFERROR($K$1&amp;" "&amp;TRIM(SUBSTITUTE(SUBSTITUTE(SUBSTITUTE(SUBSTITUTE(SUBSTITUTE(SUBSTITUTE(SUBSTITUTE(SUBSTITUTE(SUBSTITUTE(SUBSTITUTE(SUBSTITUTE(SUBSTITUTE(LOWER(IF(LEFT(TEXT('Invullen groen'!E165,"0"),1)="6",'Invullen groen'!K165,IF('Invullen groen'!J165&gt;0,'Invullen groen'!G165,'Invullen groen'!K165))),"2024",""),"2025",""),"2026",""),"2027",""),"2028",""),"2029",""),"taakveld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IF(AND('Invullen groen'!J166&gt;0,'Invullen groen'!J166&lt;&gt;2999999),"+","")</f>
        <v/>
      </c>
      <c r="B140">
        <f>IFERROR(IF('Invullen groen'!H166&gt;0,'Invullen groen'!H166,""),"")</f>
        <v/>
      </c>
      <c r="C140">
        <f>IFERROR(IF('Invullen groen'!J166&gt;0,'Invullen groen'!J166,""),"")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groen'!L166=0,"",INT('Invullen groen'!L166)),"")</f>
        <v/>
      </c>
      <c r="G140" s="236">
        <f>IFERROR(IF('Invullen groen'!M166=0,"",INT('Invullen groen'!M166)),"")</f>
        <v/>
      </c>
      <c r="H140" s="236">
        <f>IFERROR(IF('Invullen groen'!N166=0,"",INT('Invullen groen'!N166)),"")</f>
        <v/>
      </c>
      <c r="I140" s="236">
        <f>IFERROR(IF('Invullen groen'!O166=0,"",INT('Invullen groen'!O166)),"")</f>
        <v/>
      </c>
      <c r="J140">
        <f>IF(AND('Invullen groen'!J166&gt;0,'Invullen groen'!J166&lt;&gt;2999999),IFERROR($K$1&amp;" "&amp;TRIM(SUBSTITUTE(SUBSTITUTE(SUBSTITUTE(SUBSTITUTE(SUBSTITUTE(SUBSTITUTE(SUBSTITUTE(SUBSTITUTE(SUBSTITUTE(SUBSTITUTE(SUBSTITUTE(SUBSTITUTE(LOWER(IF(LEFT(TEXT('Invullen groen'!E166,"0"),1)="6",'Invullen groen'!K166,IF('Invullen groen'!J166&gt;0,'Invullen groen'!G166,'Invullen groen'!K166))),"2024",""),"2025",""),"2026",""),"2027",""),"2028",""),"2029",""),"taakveld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IF(AND('Invullen groen'!J167&gt;0,'Invullen groen'!J167&lt;&gt;2999999),"+","")</f>
        <v/>
      </c>
      <c r="B141">
        <f>IFERROR(IF('Invullen groen'!H167&gt;0,'Invullen groen'!H167,""),"")</f>
        <v/>
      </c>
      <c r="C141">
        <f>IFERROR(IF('Invullen groen'!J167&gt;0,'Invullen groen'!J167,""),"")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groen'!L167=0,"",INT('Invullen groen'!L167)),"")</f>
        <v/>
      </c>
      <c r="G141" s="236">
        <f>IFERROR(IF('Invullen groen'!M167=0,"",INT('Invullen groen'!M167)),"")</f>
        <v/>
      </c>
      <c r="H141" s="236">
        <f>IFERROR(IF('Invullen groen'!N167=0,"",INT('Invullen groen'!N167)),"")</f>
        <v/>
      </c>
      <c r="I141" s="236">
        <f>IFERROR(IF('Invullen groen'!O167=0,"",INT('Invullen groen'!O167)),"")</f>
        <v/>
      </c>
      <c r="J141">
        <f>IF(AND('Invullen groen'!J167&gt;0,'Invullen groen'!J167&lt;&gt;2999999),IFERROR($K$1&amp;" "&amp;TRIM(SUBSTITUTE(SUBSTITUTE(SUBSTITUTE(SUBSTITUTE(SUBSTITUTE(SUBSTITUTE(SUBSTITUTE(SUBSTITUTE(SUBSTITUTE(SUBSTITUTE(SUBSTITUTE(SUBSTITUTE(LOWER(IF(LEFT(TEXT('Invullen groen'!E167,"0"),1)="6",'Invullen groen'!K167,IF('Invullen groen'!J167&gt;0,'Invullen groen'!G167,'Invullen groen'!K167))),"2024",""),"2025",""),"2026",""),"2027",""),"2028",""),"2029",""),"taakveld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IF(AND('Invullen groen'!J171&gt;0,'Invullen groen'!J171&lt;&gt;2999999),"+","")</f>
        <v/>
      </c>
      <c r="B142">
        <f>IFERROR(IF('Invullen groen'!H171&gt;0,'Invullen groen'!H171,""),"")</f>
        <v/>
      </c>
      <c r="C142">
        <f>IFERROR(IF('Invullen groen'!J171&gt;0,'Invullen groen'!J171,""),"")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groen'!L171=0,"",INT('Invullen groen'!L171)),"")</f>
        <v/>
      </c>
      <c r="G142" s="236">
        <f>IFERROR(IF('Invullen groen'!M171=0,"",INT('Invullen groen'!M171)),"")</f>
        <v/>
      </c>
      <c r="H142" s="236">
        <f>IFERROR(IF('Invullen groen'!N171=0,"",INT('Invullen groen'!N171)),"")</f>
        <v/>
      </c>
      <c r="I142" s="236">
        <f>IFERROR(IF('Invullen groen'!O171=0,"",INT('Invullen groen'!O171)),"")</f>
        <v/>
      </c>
      <c r="J142">
        <f>IF(AND('Invullen groen'!J171&gt;0,'Invullen groen'!J171&lt;&gt;2999999),IFERROR($K$1&amp;" "&amp;TRIM(SUBSTITUTE(SUBSTITUTE(SUBSTITUTE(SUBSTITUTE(SUBSTITUTE(SUBSTITUTE(SUBSTITUTE(SUBSTITUTE(SUBSTITUTE(SUBSTITUTE(SUBSTITUTE(SUBSTITUTE(LOWER(IF(LEFT(TEXT('Invullen groen'!E171,"0"),1)="6",'Invullen groen'!K171,IF('Invullen groen'!J171&gt;0,'Invullen groen'!G171,'Invullen groen'!K171))),"2024",""),"2025",""),"2026",""),"2027",""),"2028",""),"2029",""),"taakveld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IF(AND('Invullen groen'!J172&gt;0,'Invullen groen'!J172&lt;&gt;2999999),"+","")</f>
        <v/>
      </c>
      <c r="B143">
        <f>IFERROR(IF('Invullen groen'!H172&gt;0,'Invullen groen'!H172,""),"")</f>
        <v/>
      </c>
      <c r="C143">
        <f>IFERROR(IF('Invullen groen'!J172&gt;0,'Invullen groen'!J172,""),"")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groen'!L172=0,"",INT('Invullen groen'!L172)),"")</f>
        <v/>
      </c>
      <c r="G143" s="236">
        <f>IFERROR(IF('Invullen groen'!M172=0,"",INT('Invullen groen'!M172)),"")</f>
        <v/>
      </c>
      <c r="H143" s="236">
        <f>IFERROR(IF('Invullen groen'!N172=0,"",INT('Invullen groen'!N172)),"")</f>
        <v/>
      </c>
      <c r="I143" s="236">
        <f>IFERROR(IF('Invullen groen'!O172=0,"",INT('Invullen groen'!O172)),"")</f>
        <v/>
      </c>
      <c r="J143">
        <f>IF(AND('Invullen groen'!J172&gt;0,'Invullen groen'!J172&lt;&gt;2999999),IFERROR($K$1&amp;" "&amp;TRIM(SUBSTITUTE(SUBSTITUTE(SUBSTITUTE(SUBSTITUTE(SUBSTITUTE(SUBSTITUTE(SUBSTITUTE(SUBSTITUTE(SUBSTITUTE(SUBSTITUTE(SUBSTITUTE(SUBSTITUTE(LOWER(IF(LEFT(TEXT('Invullen groen'!E172,"0"),1)="6",'Invullen groen'!K172,IF('Invullen groen'!J172&gt;0,'Invullen groen'!G172,'Invullen groen'!K172))),"2024",""),"2025",""),"2026",""),"2027",""),"2028",""),"2029",""),"taakveld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IF(AND('Invullen groen'!J173&gt;0,'Invullen groen'!J173&lt;&gt;2999999),"+","")</f>
        <v/>
      </c>
      <c r="B144">
        <f>IFERROR(IF('Invullen groen'!H173&gt;0,'Invullen groen'!H173,""),"")</f>
        <v/>
      </c>
      <c r="C144">
        <f>IFERROR(IF('Invullen groen'!J173&gt;0,'Invullen groen'!J173,""),"")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groen'!L173=0,"",INT('Invullen groen'!L173)),"")</f>
        <v/>
      </c>
      <c r="G144" s="236">
        <f>IFERROR(IF('Invullen groen'!M173=0,"",INT('Invullen groen'!M173)),"")</f>
        <v/>
      </c>
      <c r="H144" s="236">
        <f>IFERROR(IF('Invullen groen'!N173=0,"",INT('Invullen groen'!N173)),"")</f>
        <v/>
      </c>
      <c r="I144" s="236">
        <f>IFERROR(IF('Invullen groen'!O173=0,"",INT('Invullen groen'!O173)),"")</f>
        <v/>
      </c>
      <c r="J144">
        <f>IF(AND('Invullen groen'!J173&gt;0,'Invullen groen'!J173&lt;&gt;2999999),IFERROR($K$1&amp;" "&amp;TRIM(SUBSTITUTE(SUBSTITUTE(SUBSTITUTE(SUBSTITUTE(SUBSTITUTE(SUBSTITUTE(SUBSTITUTE(SUBSTITUTE(SUBSTITUTE(SUBSTITUTE(SUBSTITUTE(SUBSTITUTE(LOWER(IF(LEFT(TEXT('Invullen groen'!E173,"0"),1)="6",'Invullen groen'!K173,IF('Invullen groen'!J173&gt;0,'Invullen groen'!G173,'Invullen groen'!K173))),"2024",""),"2025",""),"2026",""),"2027",""),"2028",""),"2029",""),"taakveld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IF(AND('Invullen groen'!J174&gt;0,'Invullen groen'!J174&lt;&gt;2999999),"+","")</f>
        <v/>
      </c>
      <c r="B145">
        <f>IFERROR(IF('Invullen groen'!H174&gt;0,'Invullen groen'!H174,""),"")</f>
        <v/>
      </c>
      <c r="C145">
        <f>IFERROR(IF('Invullen groen'!J174&gt;0,'Invullen groen'!J174,""),"")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groen'!L174=0,"",INT('Invullen groen'!L174)),"")</f>
        <v/>
      </c>
      <c r="G145" s="236">
        <f>IFERROR(IF('Invullen groen'!M174=0,"",INT('Invullen groen'!M174)),"")</f>
        <v/>
      </c>
      <c r="H145" s="236">
        <f>IFERROR(IF('Invullen groen'!N174=0,"",INT('Invullen groen'!N174)),"")</f>
        <v/>
      </c>
      <c r="I145" s="236">
        <f>IFERROR(IF('Invullen groen'!O174=0,"",INT('Invullen groen'!O174)),"")</f>
        <v/>
      </c>
      <c r="J145">
        <f>IF(AND('Invullen groen'!J174&gt;0,'Invullen groen'!J174&lt;&gt;2999999),IFERROR($K$1&amp;" "&amp;TRIM(SUBSTITUTE(SUBSTITUTE(SUBSTITUTE(SUBSTITUTE(SUBSTITUTE(SUBSTITUTE(SUBSTITUTE(SUBSTITUTE(SUBSTITUTE(SUBSTITUTE(SUBSTITUTE(SUBSTITUTE(LOWER(IF(LEFT(TEXT('Invullen groen'!E174,"0"),1)="6",'Invullen groen'!K174,IF('Invullen groen'!J174&gt;0,'Invullen groen'!G174,'Invullen groen'!K174))),"2024",""),"2025",""),"2026",""),"2027",""),"2028",""),"2029",""),"taakveld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IF(AND('Invullen groen'!J175&gt;0,'Invullen groen'!J175&lt;&gt;2999999),"+","")</f>
        <v/>
      </c>
      <c r="B146">
        <f>IFERROR(IF('Invullen groen'!H175&gt;0,'Invullen groen'!H175,""),"")</f>
        <v/>
      </c>
      <c r="C146">
        <f>IFERROR(IF('Invullen groen'!J175&gt;0,'Invullen groen'!J175,""),"")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groen'!L175=0,"",INT('Invullen groen'!L175)),"")</f>
        <v/>
      </c>
      <c r="G146" s="236">
        <f>IFERROR(IF('Invullen groen'!M175=0,"",INT('Invullen groen'!M175)),"")</f>
        <v/>
      </c>
      <c r="H146" s="236">
        <f>IFERROR(IF('Invullen groen'!N175=0,"",INT('Invullen groen'!N175)),"")</f>
        <v/>
      </c>
      <c r="I146" s="236">
        <f>IFERROR(IF('Invullen groen'!O175=0,"",INT('Invullen groen'!O175)),"")</f>
        <v/>
      </c>
      <c r="J146">
        <f>IF(AND('Invullen groen'!J175&gt;0,'Invullen groen'!J175&lt;&gt;2999999),IFERROR($K$1&amp;" "&amp;TRIM(SUBSTITUTE(SUBSTITUTE(SUBSTITUTE(SUBSTITUTE(SUBSTITUTE(SUBSTITUTE(SUBSTITUTE(SUBSTITUTE(SUBSTITUTE(SUBSTITUTE(SUBSTITUTE(SUBSTITUTE(LOWER(IF(LEFT(TEXT('Invullen groen'!E175,"0"),1)="6",'Invullen groen'!K175,IF('Invullen groen'!J175&gt;0,'Invullen groen'!G175,'Invullen groen'!K175))),"2024",""),"2025",""),"2026",""),"2027",""),"2028",""),"2029",""),"taakveld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IF(AND('Invullen groen'!J176&gt;0,'Invullen groen'!J176&lt;&gt;2999999),"+","")</f>
        <v/>
      </c>
      <c r="B147">
        <f>IFERROR(IF('Invullen groen'!H176&gt;0,'Invullen groen'!H176,""),"")</f>
        <v/>
      </c>
      <c r="C147">
        <f>IFERROR(IF('Invullen groen'!J176&gt;0,'Invullen groen'!J176,""),"")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groen'!L176=0,"",INT('Invullen groen'!L176)),"")</f>
        <v/>
      </c>
      <c r="G147" s="236">
        <f>IFERROR(IF('Invullen groen'!M176=0,"",INT('Invullen groen'!M176)),"")</f>
        <v/>
      </c>
      <c r="H147" s="236">
        <f>IFERROR(IF('Invullen groen'!N176=0,"",INT('Invullen groen'!N176)),"")</f>
        <v/>
      </c>
      <c r="I147" s="236">
        <f>IFERROR(IF('Invullen groen'!O176=0,"",INT('Invullen groen'!O176)),"")</f>
        <v/>
      </c>
      <c r="J147">
        <f>IF(AND('Invullen groen'!J176&gt;0,'Invullen groen'!J176&lt;&gt;2999999),IFERROR($K$1&amp;" "&amp;TRIM(SUBSTITUTE(SUBSTITUTE(SUBSTITUTE(SUBSTITUTE(SUBSTITUTE(SUBSTITUTE(SUBSTITUTE(SUBSTITUTE(SUBSTITUTE(SUBSTITUTE(SUBSTITUTE(SUBSTITUTE(LOWER(IF(LEFT(TEXT('Invullen groen'!E176,"0"),1)="6",'Invullen groen'!K176,IF('Invullen groen'!J176&gt;0,'Invullen groen'!G176,'Invullen groen'!K176))),"2024",""),"2025",""),"2026",""),"2027",""),"2028",""),"2029",""),"taakveld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IF(AND('Invullen groen'!J177&gt;0,'Invullen groen'!J177&lt;&gt;2999999),"+","")</f>
        <v/>
      </c>
      <c r="B148">
        <f>IFERROR(IF('Invullen groen'!H177&gt;0,'Invullen groen'!H177,""),"")</f>
        <v/>
      </c>
      <c r="C148">
        <f>IFERROR(IF('Invullen groen'!J177&gt;0,'Invullen groen'!J177,""),"")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groen'!L177=0,"",INT('Invullen groen'!L177)),"")</f>
        <v/>
      </c>
      <c r="G148" s="236">
        <f>IFERROR(IF('Invullen groen'!M177=0,"",INT('Invullen groen'!M177)),"")</f>
        <v/>
      </c>
      <c r="H148" s="236">
        <f>IFERROR(IF('Invullen groen'!N177=0,"",INT('Invullen groen'!N177)),"")</f>
        <v/>
      </c>
      <c r="I148" s="236">
        <f>IFERROR(IF('Invullen groen'!O177=0,"",INT('Invullen groen'!O177)),"")</f>
        <v/>
      </c>
      <c r="J148">
        <f>IF(AND('Invullen groen'!J177&gt;0,'Invullen groen'!J177&lt;&gt;2999999),IFERROR($K$1&amp;" "&amp;TRIM(SUBSTITUTE(SUBSTITUTE(SUBSTITUTE(SUBSTITUTE(SUBSTITUTE(SUBSTITUTE(SUBSTITUTE(SUBSTITUTE(SUBSTITUTE(SUBSTITUTE(SUBSTITUTE(SUBSTITUTE(LOWER(IF(LEFT(TEXT('Invullen groen'!E177,"0"),1)="6",'Invullen groen'!K177,IF('Invullen groen'!J177&gt;0,'Invullen groen'!G177,'Invullen groen'!K177))),"2024",""),"2025",""),"2026",""),"2027",""),"2028",""),"2029",""),"taakveld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IF(AND('Invullen groen'!J178&gt;0,'Invullen groen'!J178&lt;&gt;2999999),"+","")</f>
        <v/>
      </c>
      <c r="B149">
        <f>IFERROR(IF('Invullen groen'!H178&gt;0,'Invullen groen'!H178,""),"")</f>
        <v/>
      </c>
      <c r="C149">
        <f>IFERROR(IF('Invullen groen'!J178&gt;0,'Invullen groen'!J178,""),"")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groen'!L178=0,"",INT('Invullen groen'!L178)),"")</f>
        <v/>
      </c>
      <c r="G149" s="236">
        <f>IFERROR(IF('Invullen groen'!M178=0,"",INT('Invullen groen'!M178)),"")</f>
        <v/>
      </c>
      <c r="H149" s="236">
        <f>IFERROR(IF('Invullen groen'!N178=0,"",INT('Invullen groen'!N178)),"")</f>
        <v/>
      </c>
      <c r="I149" s="236">
        <f>IFERROR(IF('Invullen groen'!O178=0,"",INT('Invullen groen'!O178)),"")</f>
        <v/>
      </c>
      <c r="J149">
        <f>IF(AND('Invullen groen'!J178&gt;0,'Invullen groen'!J178&lt;&gt;2999999),IFERROR($K$1&amp;" "&amp;TRIM(SUBSTITUTE(SUBSTITUTE(SUBSTITUTE(SUBSTITUTE(SUBSTITUTE(SUBSTITUTE(SUBSTITUTE(SUBSTITUTE(SUBSTITUTE(SUBSTITUTE(SUBSTITUTE(SUBSTITUTE(LOWER(IF(LEFT(TEXT('Invullen groen'!E178,"0"),1)="6",'Invullen groen'!K178,IF('Invullen groen'!J178&gt;0,'Invullen groen'!G178,'Invullen groen'!K178))),"2024",""),"2025",""),"2026",""),"2027",""),"2028",""),"2029",""),"taakveld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IF(AND('Invullen groen'!J179&gt;0,'Invullen groen'!J179&lt;&gt;2999999),"+","")</f>
        <v/>
      </c>
      <c r="B150">
        <f>IFERROR(IF('Invullen groen'!H179&gt;0,'Invullen groen'!H179,""),"")</f>
        <v/>
      </c>
      <c r="C150">
        <f>IFERROR(IF('Invullen groen'!J179&gt;0,'Invullen groen'!J179,""),"")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groen'!L179=0,"",INT('Invullen groen'!L179)),"")</f>
        <v/>
      </c>
      <c r="G150" s="236">
        <f>IFERROR(IF('Invullen groen'!M179=0,"",INT('Invullen groen'!M179)),"")</f>
        <v/>
      </c>
      <c r="H150" s="236">
        <f>IFERROR(IF('Invullen groen'!N179=0,"",INT('Invullen groen'!N179)),"")</f>
        <v/>
      </c>
      <c r="I150" s="236">
        <f>IFERROR(IF('Invullen groen'!O179=0,"",INT('Invullen groen'!O179)),"")</f>
        <v/>
      </c>
      <c r="J150">
        <f>IF(AND('Invullen groen'!J179&gt;0,'Invullen groen'!J179&lt;&gt;2999999),IFERROR($K$1&amp;" "&amp;TRIM(SUBSTITUTE(SUBSTITUTE(SUBSTITUTE(SUBSTITUTE(SUBSTITUTE(SUBSTITUTE(SUBSTITUTE(SUBSTITUTE(SUBSTITUTE(SUBSTITUTE(SUBSTITUTE(SUBSTITUTE(LOWER(IF(LEFT(TEXT('Invullen groen'!E179,"0"),1)="6",'Invullen groen'!K179,IF('Invullen groen'!J179&gt;0,'Invullen groen'!G179,'Invullen groen'!K179))),"2024",""),"2025",""),"2026",""),"2027",""),"2028",""),"2029",""),"taakveld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IF(AND('Invullen groen'!J180&gt;0,'Invullen groen'!J180&lt;&gt;2999999),"+","")</f>
        <v/>
      </c>
      <c r="B151">
        <f>IFERROR(IF('Invullen groen'!H180&gt;0,'Invullen groen'!H180,""),"")</f>
        <v/>
      </c>
      <c r="C151">
        <f>IFERROR(IF('Invullen groen'!J180&gt;0,'Invullen groen'!J180,""),"")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groen'!L180=0,"",INT('Invullen groen'!L180)),"")</f>
        <v/>
      </c>
      <c r="G151" s="236">
        <f>IFERROR(IF('Invullen groen'!M180=0,"",INT('Invullen groen'!M180)),"")</f>
        <v/>
      </c>
      <c r="H151" s="236">
        <f>IFERROR(IF('Invullen groen'!N180=0,"",INT('Invullen groen'!N180)),"")</f>
        <v/>
      </c>
      <c r="I151" s="236">
        <f>IFERROR(IF('Invullen groen'!O180=0,"",INT('Invullen groen'!O180)),"")</f>
        <v/>
      </c>
      <c r="J151">
        <f>IF(AND('Invullen groen'!J180&gt;0,'Invullen groen'!J180&lt;&gt;2999999),IFERROR($K$1&amp;" "&amp;TRIM(SUBSTITUTE(SUBSTITUTE(SUBSTITUTE(SUBSTITUTE(SUBSTITUTE(SUBSTITUTE(SUBSTITUTE(SUBSTITUTE(SUBSTITUTE(SUBSTITUTE(SUBSTITUTE(SUBSTITUTE(LOWER(IF(LEFT(TEXT('Invullen groen'!E180,"0"),1)="6",'Invullen groen'!K180,IF('Invullen groen'!J180&gt;0,'Invullen groen'!G180,'Invullen groen'!K180))),"2024",""),"2025",""),"2026",""),"2027",""),"2028",""),"2029",""),"taakveld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IF(AND('Invullen groen'!J181&gt;0,'Invullen groen'!J181&lt;&gt;2999999),"+","")</f>
        <v/>
      </c>
      <c r="B152">
        <f>IFERROR(IF('Invullen groen'!H181&gt;0,'Invullen groen'!H181,""),"")</f>
        <v/>
      </c>
      <c r="C152">
        <f>IFERROR(IF('Invullen groen'!J181&gt;0,'Invullen groen'!J181,""),"")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groen'!L181=0,"",INT('Invullen groen'!L181)),"")</f>
        <v/>
      </c>
      <c r="G152" s="236">
        <f>IFERROR(IF('Invullen groen'!M181=0,"",INT('Invullen groen'!M181)),"")</f>
        <v/>
      </c>
      <c r="H152" s="236">
        <f>IFERROR(IF('Invullen groen'!N181=0,"",INT('Invullen groen'!N181)),"")</f>
        <v/>
      </c>
      <c r="I152" s="236">
        <f>IFERROR(IF('Invullen groen'!O181=0,"",INT('Invullen groen'!O181)),"")</f>
        <v/>
      </c>
      <c r="J152">
        <f>IF(AND('Invullen groen'!J181&gt;0,'Invullen groen'!J181&lt;&gt;2999999),IFERROR($K$1&amp;" "&amp;TRIM(SUBSTITUTE(SUBSTITUTE(SUBSTITUTE(SUBSTITUTE(SUBSTITUTE(SUBSTITUTE(SUBSTITUTE(SUBSTITUTE(SUBSTITUTE(SUBSTITUTE(SUBSTITUTE(SUBSTITUTE(LOWER(IF(LEFT(TEXT('Invullen groen'!E181,"0"),1)="6",'Invullen groen'!K181,IF('Invullen groen'!J181&gt;0,'Invullen groen'!G181,'Invullen groen'!K181))),"2024",""),"2025",""),"2026",""),"2027",""),"2028",""),"2029",""),"taakveld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IF(AND('Invullen groen'!J182&gt;0,'Invullen groen'!J182&lt;&gt;2999999),"+","")</f>
        <v/>
      </c>
      <c r="B153">
        <f>IFERROR(IF('Invullen groen'!H182&gt;0,'Invullen groen'!H182,""),"")</f>
        <v/>
      </c>
      <c r="C153">
        <f>IFERROR(IF('Invullen groen'!J182&gt;0,'Invullen groen'!J182,""),"")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groen'!L182=0,"",INT('Invullen groen'!L182)),"")</f>
        <v/>
      </c>
      <c r="G153" s="236">
        <f>IFERROR(IF('Invullen groen'!M182=0,"",INT('Invullen groen'!M182)),"")</f>
        <v/>
      </c>
      <c r="H153" s="236">
        <f>IFERROR(IF('Invullen groen'!N182=0,"",INT('Invullen groen'!N182)),"")</f>
        <v/>
      </c>
      <c r="I153" s="236">
        <f>IFERROR(IF('Invullen groen'!O182=0,"",INT('Invullen groen'!O182)),"")</f>
        <v/>
      </c>
      <c r="J153">
        <f>IF(AND('Invullen groen'!J182&gt;0,'Invullen groen'!J182&lt;&gt;2999999),IFERROR($K$1&amp;" "&amp;TRIM(SUBSTITUTE(SUBSTITUTE(SUBSTITUTE(SUBSTITUTE(SUBSTITUTE(SUBSTITUTE(SUBSTITUTE(SUBSTITUTE(SUBSTITUTE(SUBSTITUTE(SUBSTITUTE(SUBSTITUTE(LOWER(IF(LEFT(TEXT('Invullen groen'!E182,"0"),1)="6",'Invullen groen'!K182,IF('Invullen groen'!J182&gt;0,'Invullen groen'!G182,'Invullen groen'!K182))),"2024",""),"2025",""),"2026",""),"2027",""),"2028",""),"2029",""),"taakveld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IF(AND('Invullen groen'!J183&gt;0,'Invullen groen'!J183&lt;&gt;2999999),"+","")</f>
        <v/>
      </c>
      <c r="B154">
        <f>IFERROR(IF('Invullen groen'!H183&gt;0,'Invullen groen'!H183,""),"")</f>
        <v/>
      </c>
      <c r="C154">
        <f>IFERROR(IF('Invullen groen'!J183&gt;0,'Invullen groen'!J183,""),"")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groen'!L183=0,"",INT('Invullen groen'!L183)),"")</f>
        <v/>
      </c>
      <c r="G154" s="236">
        <f>IFERROR(IF('Invullen groen'!M183=0,"",INT('Invullen groen'!M183)),"")</f>
        <v/>
      </c>
      <c r="H154" s="236">
        <f>IFERROR(IF('Invullen groen'!N183=0,"",INT('Invullen groen'!N183)),"")</f>
        <v/>
      </c>
      <c r="I154" s="236">
        <f>IFERROR(IF('Invullen groen'!O183=0,"",INT('Invullen groen'!O183)),"")</f>
        <v/>
      </c>
      <c r="J154">
        <f>IF(AND('Invullen groen'!J183&gt;0,'Invullen groen'!J183&lt;&gt;2999999),IFERROR($K$1&amp;" "&amp;TRIM(SUBSTITUTE(SUBSTITUTE(SUBSTITUTE(SUBSTITUTE(SUBSTITUTE(SUBSTITUTE(SUBSTITUTE(SUBSTITUTE(SUBSTITUTE(SUBSTITUTE(SUBSTITUTE(SUBSTITUTE(LOWER(IF(LEFT(TEXT('Invullen groen'!E183,"0"),1)="6",'Invullen groen'!K183,IF('Invullen groen'!J183&gt;0,'Invullen groen'!G183,'Invullen groen'!K183))),"2024",""),"2025",""),"2026",""),"2027",""),"2028",""),"2029",""),"taakveld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IF(AND('Invullen groen'!J184&gt;0,'Invullen groen'!J184&lt;&gt;2999999),"+","")</f>
        <v/>
      </c>
      <c r="B155">
        <f>IFERROR(IF('Invullen groen'!H184&gt;0,'Invullen groen'!H184,""),"")</f>
        <v/>
      </c>
      <c r="C155">
        <f>IFERROR(IF('Invullen groen'!J184&gt;0,'Invullen groen'!J184,""),"")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groen'!L184=0,"",INT('Invullen groen'!L184)),"")</f>
        <v/>
      </c>
      <c r="G155" s="236">
        <f>IFERROR(IF('Invullen groen'!M184=0,"",INT('Invullen groen'!M184)),"")</f>
        <v/>
      </c>
      <c r="H155" s="236">
        <f>IFERROR(IF('Invullen groen'!N184=0,"",INT('Invullen groen'!N184)),"")</f>
        <v/>
      </c>
      <c r="I155" s="236">
        <f>IFERROR(IF('Invullen groen'!O184=0,"",INT('Invullen groen'!O184)),"")</f>
        <v/>
      </c>
      <c r="J155">
        <f>IF(AND('Invullen groen'!J184&gt;0,'Invullen groen'!J184&lt;&gt;2999999),IFERROR($K$1&amp;" "&amp;TRIM(SUBSTITUTE(SUBSTITUTE(SUBSTITUTE(SUBSTITUTE(SUBSTITUTE(SUBSTITUTE(SUBSTITUTE(SUBSTITUTE(SUBSTITUTE(SUBSTITUTE(SUBSTITUTE(SUBSTITUTE(LOWER(IF(LEFT(TEXT('Invullen groen'!E184,"0"),1)="6",'Invullen groen'!K184,IF('Invullen groen'!J184&gt;0,'Invullen groen'!G184,'Invullen groen'!K184))),"2024",""),"2025",""),"2026",""),"2027",""),"2028",""),"2029",""),"taakveld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IF(AND('Invullen groen'!J185&gt;0,'Invullen groen'!J185&lt;&gt;2999999),"+","")</f>
        <v/>
      </c>
      <c r="B156">
        <f>IFERROR(IF('Invullen groen'!H185&gt;0,'Invullen groen'!H185,""),"")</f>
        <v/>
      </c>
      <c r="C156">
        <f>IFERROR(IF('Invullen groen'!J185&gt;0,'Invullen groen'!J185,""),"")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groen'!L185=0,"",INT('Invullen groen'!L185)),"")</f>
        <v/>
      </c>
      <c r="G156" s="236">
        <f>IFERROR(IF('Invullen groen'!M185=0,"",INT('Invullen groen'!M185)),"")</f>
        <v/>
      </c>
      <c r="H156" s="236">
        <f>IFERROR(IF('Invullen groen'!N185=0,"",INT('Invullen groen'!N185)),"")</f>
        <v/>
      </c>
      <c r="I156" s="236">
        <f>IFERROR(IF('Invullen groen'!O185=0,"",INT('Invullen groen'!O185)),"")</f>
        <v/>
      </c>
      <c r="J156">
        <f>IF(AND('Invullen groen'!J185&gt;0,'Invullen groen'!J185&lt;&gt;2999999),IFERROR($K$1&amp;" "&amp;TRIM(SUBSTITUTE(SUBSTITUTE(SUBSTITUTE(SUBSTITUTE(SUBSTITUTE(SUBSTITUTE(SUBSTITUTE(SUBSTITUTE(SUBSTITUTE(SUBSTITUTE(SUBSTITUTE(SUBSTITUTE(LOWER(IF(LEFT(TEXT('Invullen groen'!E185,"0"),1)="6",'Invullen groen'!K185,IF('Invullen groen'!J185&gt;0,'Invullen groen'!G185,'Invullen groen'!K185))),"2024",""),"2025",""),"2026",""),"2027",""),"2028",""),"2029",""),"taakveld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IF(AND('Invullen groen'!J186&gt;0,'Invullen groen'!J186&lt;&gt;2999999),"+","")</f>
        <v/>
      </c>
      <c r="B157">
        <f>IFERROR(IF('Invullen groen'!H186&gt;0,'Invullen groen'!H186,""),"")</f>
        <v/>
      </c>
      <c r="C157">
        <f>IFERROR(IF('Invullen groen'!J186&gt;0,'Invullen groen'!J186,""),"")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groen'!L186=0,"",INT('Invullen groen'!L186)),"")</f>
        <v/>
      </c>
      <c r="G157" s="236">
        <f>IFERROR(IF('Invullen groen'!M186=0,"",INT('Invullen groen'!M186)),"")</f>
        <v/>
      </c>
      <c r="H157" s="236">
        <f>IFERROR(IF('Invullen groen'!N186=0,"",INT('Invullen groen'!N186)),"")</f>
        <v/>
      </c>
      <c r="I157" s="236">
        <f>IFERROR(IF('Invullen groen'!O186=0,"",INT('Invullen groen'!O186)),"")</f>
        <v/>
      </c>
      <c r="J157">
        <f>IF(AND('Invullen groen'!J186&gt;0,'Invullen groen'!J186&lt;&gt;2999999),IFERROR($K$1&amp;" "&amp;TRIM(SUBSTITUTE(SUBSTITUTE(SUBSTITUTE(SUBSTITUTE(SUBSTITUTE(SUBSTITUTE(SUBSTITUTE(SUBSTITUTE(SUBSTITUTE(SUBSTITUTE(SUBSTITUTE(SUBSTITUTE(LOWER(IF(LEFT(TEXT('Invullen groen'!E186,"0"),1)="6",'Invullen groen'!K186,IF('Invullen groen'!J186&gt;0,'Invullen groen'!G186,'Invullen groen'!K186))),"2024",""),"2025",""),"2026",""),"2027",""),"2028",""),"2029",""),"taakveld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IF(AND('Invullen groen'!J187&gt;0,'Invullen groen'!J187&lt;&gt;2999999),"+","")</f>
        <v/>
      </c>
      <c r="B158">
        <f>IFERROR(IF('Invullen groen'!H187&gt;0,'Invullen groen'!H187,""),"")</f>
        <v/>
      </c>
      <c r="C158">
        <f>IFERROR(IF('Invullen groen'!J187&gt;0,'Invullen groen'!J187,""),"")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groen'!L187=0,"",INT('Invullen groen'!L187)),"")</f>
        <v/>
      </c>
      <c r="G158" s="236">
        <f>IFERROR(IF('Invullen groen'!M187=0,"",INT('Invullen groen'!M187)),"")</f>
        <v/>
      </c>
      <c r="H158" s="236">
        <f>IFERROR(IF('Invullen groen'!N187=0,"",INT('Invullen groen'!N187)),"")</f>
        <v/>
      </c>
      <c r="I158" s="236">
        <f>IFERROR(IF('Invullen groen'!O187=0,"",INT('Invullen groen'!O187)),"")</f>
        <v/>
      </c>
      <c r="J158">
        <f>IF(AND('Invullen groen'!J187&gt;0,'Invullen groen'!J187&lt;&gt;2999999),IFERROR($K$1&amp;" "&amp;TRIM(SUBSTITUTE(SUBSTITUTE(SUBSTITUTE(SUBSTITUTE(SUBSTITUTE(SUBSTITUTE(SUBSTITUTE(SUBSTITUTE(SUBSTITUTE(SUBSTITUTE(SUBSTITUTE(SUBSTITUTE(LOWER(IF(LEFT(TEXT('Invullen groen'!E187,"0"),1)="6",'Invullen groen'!K187,IF('Invullen groen'!J187&gt;0,'Invullen groen'!G187,'Invullen groen'!K187))),"2024",""),"2025",""),"2026",""),"2027",""),"2028",""),"2029",""),"taakveld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IF(AND('Invullen groen'!J188&gt;0,'Invullen groen'!J188&lt;&gt;2999999),"+","")</f>
        <v/>
      </c>
      <c r="B159">
        <f>IFERROR(IF('Invullen groen'!H188&gt;0,'Invullen groen'!H188,""),"")</f>
        <v/>
      </c>
      <c r="C159">
        <f>IFERROR(IF('Invullen groen'!J188&gt;0,'Invullen groen'!J188,""),"")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groen'!L188=0,"",INT('Invullen groen'!L188)),"")</f>
        <v/>
      </c>
      <c r="G159" s="236">
        <f>IFERROR(IF('Invullen groen'!M188=0,"",INT('Invullen groen'!M188)),"")</f>
        <v/>
      </c>
      <c r="H159" s="236">
        <f>IFERROR(IF('Invullen groen'!N188=0,"",INT('Invullen groen'!N188)),"")</f>
        <v/>
      </c>
      <c r="I159" s="236">
        <f>IFERROR(IF('Invullen groen'!O188=0,"",INT('Invullen groen'!O188)),"")</f>
        <v/>
      </c>
      <c r="J159">
        <f>IF(AND('Invullen groen'!J188&gt;0,'Invullen groen'!J188&lt;&gt;2999999),IFERROR($K$1&amp;" "&amp;TRIM(SUBSTITUTE(SUBSTITUTE(SUBSTITUTE(SUBSTITUTE(SUBSTITUTE(SUBSTITUTE(SUBSTITUTE(SUBSTITUTE(SUBSTITUTE(SUBSTITUTE(SUBSTITUTE(SUBSTITUTE(LOWER(IF(LEFT(TEXT('Invullen groen'!E188,"0"),1)="6",'Invullen groen'!K188,IF('Invullen groen'!J188&gt;0,'Invullen groen'!G188,'Invullen groen'!K188))),"2024",""),"2025",""),"2026",""),"2027",""),"2028",""),"2029",""),"taakveld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IF(AND('Invullen groen'!J189&gt;0,'Invullen groen'!J189&lt;&gt;2999999),"+","")</f>
        <v/>
      </c>
      <c r="B160">
        <f>IFERROR(IF('Invullen groen'!H189&gt;0,'Invullen groen'!H189,""),"")</f>
        <v/>
      </c>
      <c r="C160">
        <f>IFERROR(IF('Invullen groen'!J189&gt;0,'Invullen groen'!J189,""),"")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groen'!L189=0,"",INT('Invullen groen'!L189)),"")</f>
        <v/>
      </c>
      <c r="G160" s="236">
        <f>IFERROR(IF('Invullen groen'!M189=0,"",INT('Invullen groen'!M189)),"")</f>
        <v/>
      </c>
      <c r="H160" s="236">
        <f>IFERROR(IF('Invullen groen'!N189=0,"",INT('Invullen groen'!N189)),"")</f>
        <v/>
      </c>
      <c r="I160" s="236">
        <f>IFERROR(IF('Invullen groen'!O189=0,"",INT('Invullen groen'!O189)),"")</f>
        <v/>
      </c>
      <c r="J160">
        <f>IF(AND('Invullen groen'!J189&gt;0,'Invullen groen'!J189&lt;&gt;2999999),IFERROR($K$1&amp;" "&amp;TRIM(SUBSTITUTE(SUBSTITUTE(SUBSTITUTE(SUBSTITUTE(SUBSTITUTE(SUBSTITUTE(SUBSTITUTE(SUBSTITUTE(SUBSTITUTE(SUBSTITUTE(SUBSTITUTE(SUBSTITUTE(LOWER(IF(LEFT(TEXT('Invullen groen'!E189,"0"),1)="6",'Invullen groen'!K189,IF('Invullen groen'!J189&gt;0,'Invullen groen'!G189,'Invullen groen'!K189))),"2024",""),"2025",""),"2026",""),"2027",""),"2028",""),"2029",""),"taakveld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IF(AND('Invullen groen'!J190&gt;0,'Invullen groen'!J190&lt;&gt;2999999),"+","")</f>
        <v/>
      </c>
      <c r="B161">
        <f>IFERROR(IF('Invullen groen'!H190&gt;0,'Invullen groen'!H190,""),"")</f>
        <v/>
      </c>
      <c r="C161">
        <f>IFERROR(IF('Invullen groen'!J190&gt;0,'Invullen groen'!J190,""),"")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groen'!L190=0,"",INT('Invullen groen'!L190)),"")</f>
        <v/>
      </c>
      <c r="G161" s="236">
        <f>IFERROR(IF('Invullen groen'!M190=0,"",INT('Invullen groen'!M190)),"")</f>
        <v/>
      </c>
      <c r="H161" s="236">
        <f>IFERROR(IF('Invullen groen'!N190=0,"",INT('Invullen groen'!N190)),"")</f>
        <v/>
      </c>
      <c r="I161" s="236">
        <f>IFERROR(IF('Invullen groen'!O190=0,"",INT('Invullen groen'!O190)),"")</f>
        <v/>
      </c>
      <c r="J161">
        <f>IF(AND('Invullen groen'!J190&gt;0,'Invullen groen'!J190&lt;&gt;2999999),IFERROR($K$1&amp;" "&amp;TRIM(SUBSTITUTE(SUBSTITUTE(SUBSTITUTE(SUBSTITUTE(SUBSTITUTE(SUBSTITUTE(SUBSTITUTE(SUBSTITUTE(SUBSTITUTE(SUBSTITUTE(SUBSTITUTE(SUBSTITUTE(LOWER(IF(LEFT(TEXT('Invullen groen'!E190,"0"),1)="6",'Invullen groen'!K190,IF('Invullen groen'!J190&gt;0,'Invullen groen'!G190,'Invullen groen'!K190))),"2024",""),"2025",""),"2026",""),"2027",""),"2028",""),"2029",""),"taakveld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IF(AND('Invullen groen'!J191&gt;0,'Invullen groen'!J191&lt;&gt;2999999),"+","")</f>
        <v/>
      </c>
      <c r="B162">
        <f>IFERROR(IF('Invullen groen'!H191&gt;0,'Invullen groen'!H191,""),"")</f>
        <v/>
      </c>
      <c r="C162">
        <f>IFERROR(IF('Invullen groen'!J191&gt;0,'Invullen groen'!J191,""),"")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groen'!L191=0,"",INT('Invullen groen'!L191)),"")</f>
        <v/>
      </c>
      <c r="G162" s="236">
        <f>IFERROR(IF('Invullen groen'!M191=0,"",INT('Invullen groen'!M191)),"")</f>
        <v/>
      </c>
      <c r="H162" s="236">
        <f>IFERROR(IF('Invullen groen'!N191=0,"",INT('Invullen groen'!N191)),"")</f>
        <v/>
      </c>
      <c r="I162" s="236">
        <f>IFERROR(IF('Invullen groen'!O191=0,"",INT('Invullen groen'!O191)),"")</f>
        <v/>
      </c>
      <c r="J162">
        <f>IF(AND('Invullen groen'!J191&gt;0,'Invullen groen'!J191&lt;&gt;2999999),IFERROR($K$1&amp;" "&amp;TRIM(SUBSTITUTE(SUBSTITUTE(SUBSTITUTE(SUBSTITUTE(SUBSTITUTE(SUBSTITUTE(SUBSTITUTE(SUBSTITUTE(SUBSTITUTE(SUBSTITUTE(SUBSTITUTE(SUBSTITUTE(LOWER(IF(LEFT(TEXT('Invullen groen'!E191,"0"),1)="6",'Invullen groen'!K191,IF('Invullen groen'!J191&gt;0,'Invullen groen'!G191,'Invullen groen'!K191))),"2024",""),"2025",""),"2026",""),"2027",""),"2028",""),"2029",""),"taakveld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IF(AND('Invullen groen'!J192&gt;0,'Invullen groen'!J192&lt;&gt;2999999),"+","")</f>
        <v/>
      </c>
      <c r="B163">
        <f>IFERROR(IF('Invullen groen'!H192&gt;0,'Invullen groen'!H192,""),"")</f>
        <v/>
      </c>
      <c r="C163">
        <f>IFERROR(IF('Invullen groen'!J192&gt;0,'Invullen groen'!J192,""),"")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groen'!L192=0,"",INT('Invullen groen'!L192)),"")</f>
        <v/>
      </c>
      <c r="G163" s="236">
        <f>IFERROR(IF('Invullen groen'!M192=0,"",INT('Invullen groen'!M192)),"")</f>
        <v/>
      </c>
      <c r="H163" s="236">
        <f>IFERROR(IF('Invullen groen'!N192=0,"",INT('Invullen groen'!N192)),"")</f>
        <v/>
      </c>
      <c r="I163" s="236">
        <f>IFERROR(IF('Invullen groen'!O192=0,"",INT('Invullen groen'!O192)),"")</f>
        <v/>
      </c>
      <c r="J163">
        <f>IF(AND('Invullen groen'!J192&gt;0,'Invullen groen'!J192&lt;&gt;2999999),IFERROR($K$1&amp;" "&amp;TRIM(SUBSTITUTE(SUBSTITUTE(SUBSTITUTE(SUBSTITUTE(SUBSTITUTE(SUBSTITUTE(SUBSTITUTE(SUBSTITUTE(SUBSTITUTE(SUBSTITUTE(SUBSTITUTE(SUBSTITUTE(LOWER(IF(LEFT(TEXT('Invullen groen'!E192,"0"),1)="6",'Invullen groen'!K192,IF('Invullen groen'!J192&gt;0,'Invullen groen'!G192,'Invullen groen'!K192))),"2024",""),"2025",""),"2026",""),"2027",""),"2028",""),"2029",""),"taakveld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IF(AND('Invullen groen'!J193&gt;0,'Invullen groen'!J193&lt;&gt;2999999),"+","")</f>
        <v/>
      </c>
      <c r="B164">
        <f>IFERROR(IF('Invullen groen'!H193&gt;0,'Invullen groen'!H193,""),"")</f>
        <v/>
      </c>
      <c r="C164">
        <f>IFERROR(IF('Invullen groen'!J193&gt;0,'Invullen groen'!J193,""),"")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groen'!L193=0,"",INT('Invullen groen'!L193)),"")</f>
        <v/>
      </c>
      <c r="G164" s="236">
        <f>IFERROR(IF('Invullen groen'!M193=0,"",INT('Invullen groen'!M193)),"")</f>
        <v/>
      </c>
      <c r="H164" s="236">
        <f>IFERROR(IF('Invullen groen'!N193=0,"",INT('Invullen groen'!N193)),"")</f>
        <v/>
      </c>
      <c r="I164" s="236">
        <f>IFERROR(IF('Invullen groen'!O193=0,"",INT('Invullen groen'!O193)),"")</f>
        <v/>
      </c>
      <c r="J164">
        <f>IF(AND('Invullen groen'!J193&gt;0,'Invullen groen'!J193&lt;&gt;2999999),IFERROR($K$1&amp;" "&amp;TRIM(SUBSTITUTE(SUBSTITUTE(SUBSTITUTE(SUBSTITUTE(SUBSTITUTE(SUBSTITUTE(SUBSTITUTE(SUBSTITUTE(SUBSTITUTE(SUBSTITUTE(SUBSTITUTE(SUBSTITUTE(LOWER(IF(LEFT(TEXT('Invullen groen'!E193,"0"),1)="6",'Invullen groen'!K193,IF('Invullen groen'!J193&gt;0,'Invullen groen'!G193,'Invullen groen'!K193))),"2024",""),"2025",""),"2026",""),"2027",""),"2028",""),"2029",""),"taakveld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IF(AND('Invullen groen'!J194&gt;0,'Invullen groen'!J194&lt;&gt;2999999),"+","")</f>
        <v/>
      </c>
      <c r="B165">
        <f>IFERROR(IF('Invullen groen'!H194&gt;0,'Invullen groen'!H194,""),"")</f>
        <v/>
      </c>
      <c r="C165">
        <f>IFERROR(IF('Invullen groen'!J194&gt;0,'Invullen groen'!J194,""),"")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groen'!L194=0,"",INT('Invullen groen'!L194)),"")</f>
        <v/>
      </c>
      <c r="G165" s="236">
        <f>IFERROR(IF('Invullen groen'!M194=0,"",INT('Invullen groen'!M194)),"")</f>
        <v/>
      </c>
      <c r="H165" s="236">
        <f>IFERROR(IF('Invullen groen'!N194=0,"",INT('Invullen groen'!N194)),"")</f>
        <v/>
      </c>
      <c r="I165" s="236">
        <f>IFERROR(IF('Invullen groen'!O194=0,"",INT('Invullen groen'!O194)),"")</f>
        <v/>
      </c>
      <c r="J165">
        <f>IF(AND('Invullen groen'!J194&gt;0,'Invullen groen'!J194&lt;&gt;2999999),IFERROR($K$1&amp;" "&amp;TRIM(SUBSTITUTE(SUBSTITUTE(SUBSTITUTE(SUBSTITUTE(SUBSTITUTE(SUBSTITUTE(SUBSTITUTE(SUBSTITUTE(SUBSTITUTE(SUBSTITUTE(SUBSTITUTE(SUBSTITUTE(LOWER(IF(LEFT(TEXT('Invullen groen'!E194,"0"),1)="6",'Invullen groen'!K194,IF('Invullen groen'!J194&gt;0,'Invullen groen'!G194,'Invullen groen'!K194))),"2024",""),"2025",""),"2026",""),"2027",""),"2028",""),"2029",""),"taakveld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IF(AND('Invullen groen'!J195&gt;0,'Invullen groen'!J195&lt;&gt;2999999),"+","")</f>
        <v/>
      </c>
      <c r="B166">
        <f>IFERROR(IF('Invullen groen'!H195&gt;0,'Invullen groen'!H195,""),"")</f>
        <v/>
      </c>
      <c r="C166">
        <f>IFERROR(IF('Invullen groen'!J195&gt;0,'Invullen groen'!J195,""),"")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groen'!L195=0,"",INT('Invullen groen'!L195)),"")</f>
        <v/>
      </c>
      <c r="G166" s="236">
        <f>IFERROR(IF('Invullen groen'!M195=0,"",INT('Invullen groen'!M195)),"")</f>
        <v/>
      </c>
      <c r="H166" s="236">
        <f>IFERROR(IF('Invullen groen'!N195=0,"",INT('Invullen groen'!N195)),"")</f>
        <v/>
      </c>
      <c r="I166" s="236">
        <f>IFERROR(IF('Invullen groen'!O195=0,"",INT('Invullen groen'!O195)),"")</f>
        <v/>
      </c>
      <c r="J166">
        <f>IF(AND('Invullen groen'!J195&gt;0,'Invullen groen'!J195&lt;&gt;2999999),IFERROR($K$1&amp;" "&amp;TRIM(SUBSTITUTE(SUBSTITUTE(SUBSTITUTE(SUBSTITUTE(SUBSTITUTE(SUBSTITUTE(SUBSTITUTE(SUBSTITUTE(SUBSTITUTE(SUBSTITUTE(SUBSTITUTE(SUBSTITUTE(LOWER(IF(LEFT(TEXT('Invullen groen'!E195,"0"),1)="6",'Invullen groen'!K195,IF('Invullen groen'!J195&gt;0,'Invullen groen'!G195,'Invullen groen'!K195))),"2024",""),"2025",""),"2026",""),"2027",""),"2028",""),"2029",""),"taakveld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IF(AND('Invullen groen'!J196&gt;0,'Invullen groen'!J196&lt;&gt;2999999),"+","")</f>
        <v/>
      </c>
      <c r="B167">
        <f>IFERROR(IF('Invullen groen'!H196&gt;0,'Invullen groen'!H196,""),"")</f>
        <v/>
      </c>
      <c r="C167">
        <f>IFERROR(IF('Invullen groen'!J196&gt;0,'Invullen groen'!J196,""),"")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groen'!L196=0,"",INT('Invullen groen'!L196)),"")</f>
        <v/>
      </c>
      <c r="G167" s="236">
        <f>IFERROR(IF('Invullen groen'!M196=0,"",INT('Invullen groen'!M196)),"")</f>
        <v/>
      </c>
      <c r="H167" s="236">
        <f>IFERROR(IF('Invullen groen'!N196=0,"",INT('Invullen groen'!N196)),"")</f>
        <v/>
      </c>
      <c r="I167" s="236">
        <f>IFERROR(IF('Invullen groen'!O196=0,"",INT('Invullen groen'!O196)),"")</f>
        <v/>
      </c>
      <c r="J167">
        <f>IF(AND('Invullen groen'!J196&gt;0,'Invullen groen'!J196&lt;&gt;2999999),IFERROR($K$1&amp;" "&amp;TRIM(SUBSTITUTE(SUBSTITUTE(SUBSTITUTE(SUBSTITUTE(SUBSTITUTE(SUBSTITUTE(SUBSTITUTE(SUBSTITUTE(SUBSTITUTE(SUBSTITUTE(SUBSTITUTE(SUBSTITUTE(LOWER(IF(LEFT(TEXT('Invullen groen'!E196,"0"),1)="6",'Invullen groen'!K196,IF('Invullen groen'!J196&gt;0,'Invullen groen'!G196,'Invullen groen'!K196))),"2024",""),"2025",""),"2026",""),"2027",""),"2028",""),"2029",""),"taakveld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IF(AND('Invullen groen'!J197&gt;0,'Invullen groen'!J197&lt;&gt;2999999),"+","")</f>
        <v/>
      </c>
      <c r="B168">
        <f>IFERROR(IF('Invullen groen'!H197&gt;0,'Invullen groen'!H197,""),"")</f>
        <v/>
      </c>
      <c r="C168">
        <f>IFERROR(IF('Invullen groen'!J197&gt;0,'Invullen groen'!J197,""),"")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groen'!L197=0,"",INT('Invullen groen'!L197)),"")</f>
        <v/>
      </c>
      <c r="G168" s="236">
        <f>IFERROR(IF('Invullen groen'!M197=0,"",INT('Invullen groen'!M197)),"")</f>
        <v/>
      </c>
      <c r="H168" s="236">
        <f>IFERROR(IF('Invullen groen'!N197=0,"",INT('Invullen groen'!N197)),"")</f>
        <v/>
      </c>
      <c r="I168" s="236">
        <f>IFERROR(IF('Invullen groen'!O197=0,"",INT('Invullen groen'!O197)),"")</f>
        <v/>
      </c>
      <c r="J168">
        <f>IF(AND('Invullen groen'!J197&gt;0,'Invullen groen'!J197&lt;&gt;2999999),IFERROR($K$1&amp;" "&amp;TRIM(SUBSTITUTE(SUBSTITUTE(SUBSTITUTE(SUBSTITUTE(SUBSTITUTE(SUBSTITUTE(SUBSTITUTE(SUBSTITUTE(SUBSTITUTE(SUBSTITUTE(SUBSTITUTE(SUBSTITUTE(LOWER(IF(LEFT(TEXT('Invullen groen'!E197,"0"),1)="6",'Invullen groen'!K197,IF('Invullen groen'!J197&gt;0,'Invullen groen'!G197,'Invullen groen'!K197))),"2024",""),"2025",""),"2026",""),"2027",""),"2028",""),"2029",""),"taakveld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IF(AND('Invullen groen'!J198&gt;0,'Invullen groen'!J198&lt;&gt;2999999),"+","")</f>
        <v/>
      </c>
      <c r="B169">
        <f>IFERROR(IF('Invullen groen'!H198&gt;0,'Invullen groen'!H198,""),"")</f>
        <v/>
      </c>
      <c r="C169">
        <f>IFERROR(IF('Invullen groen'!J198&gt;0,'Invullen groen'!J198,""),"")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groen'!L198=0,"",INT('Invullen groen'!L198)),"")</f>
        <v/>
      </c>
      <c r="G169" s="236">
        <f>IFERROR(IF('Invullen groen'!M198=0,"",INT('Invullen groen'!M198)),"")</f>
        <v/>
      </c>
      <c r="H169" s="236">
        <f>IFERROR(IF('Invullen groen'!N198=0,"",INT('Invullen groen'!N198)),"")</f>
        <v/>
      </c>
      <c r="I169" s="236">
        <f>IFERROR(IF('Invullen groen'!O198=0,"",INT('Invullen groen'!O198)),"")</f>
        <v/>
      </c>
      <c r="J169">
        <f>IF(AND('Invullen groen'!J198&gt;0,'Invullen groen'!J198&lt;&gt;2999999),IFERROR($K$1&amp;" "&amp;TRIM(SUBSTITUTE(SUBSTITUTE(SUBSTITUTE(SUBSTITUTE(SUBSTITUTE(SUBSTITUTE(SUBSTITUTE(SUBSTITUTE(SUBSTITUTE(SUBSTITUTE(SUBSTITUTE(SUBSTITUTE(LOWER(IF(LEFT(TEXT('Invullen groen'!E198,"0"),1)="6",'Invullen groen'!K198,IF('Invullen groen'!J198&gt;0,'Invullen groen'!G198,'Invullen groen'!K198))),"2024",""),"2025",""),"2026",""),"2027",""),"2028",""),"2029",""),"taakveld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IF(AND('Invullen groen'!J199&gt;0,'Invullen groen'!J199&lt;&gt;2999999),"+","")</f>
        <v/>
      </c>
      <c r="B170">
        <f>IFERROR(IF('Invullen groen'!H199&gt;0,'Invullen groen'!H199,""),"")</f>
        <v/>
      </c>
      <c r="C170">
        <f>IFERROR(IF('Invullen groen'!J199&gt;0,'Invullen groen'!J199,""),"")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groen'!L199=0,"",INT('Invullen groen'!L199)),"")</f>
        <v/>
      </c>
      <c r="G170" s="236">
        <f>IFERROR(IF('Invullen groen'!M199=0,"",INT('Invullen groen'!M199)),"")</f>
        <v/>
      </c>
      <c r="H170" s="236">
        <f>IFERROR(IF('Invullen groen'!N199=0,"",INT('Invullen groen'!N199)),"")</f>
        <v/>
      </c>
      <c r="I170" s="236">
        <f>IFERROR(IF('Invullen groen'!O199=0,"",INT('Invullen groen'!O199)),"")</f>
        <v/>
      </c>
      <c r="J170">
        <f>IF(AND('Invullen groen'!J199&gt;0,'Invullen groen'!J199&lt;&gt;2999999),IFERROR($K$1&amp;" "&amp;TRIM(SUBSTITUTE(SUBSTITUTE(SUBSTITUTE(SUBSTITUTE(SUBSTITUTE(SUBSTITUTE(SUBSTITUTE(SUBSTITUTE(SUBSTITUTE(SUBSTITUTE(SUBSTITUTE(SUBSTITUTE(LOWER(IF(LEFT(TEXT('Invullen groen'!E199,"0"),1)="6",'Invullen groen'!K199,IF('Invullen groen'!J199&gt;0,'Invullen groen'!G199,'Invullen groen'!K199))),"2024",""),"2025",""),"2026",""),"2027",""),"2028",""),"2029",""),"taakveld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IF(AND('Invullen groen'!J200&gt;0,'Invullen groen'!J200&lt;&gt;2999999),"+","")</f>
        <v/>
      </c>
      <c r="B171">
        <f>IFERROR(IF('Invullen groen'!H200&gt;0,'Invullen groen'!H200,""),"")</f>
        <v/>
      </c>
      <c r="C171">
        <f>IFERROR(IF('Invullen groen'!J200&gt;0,'Invullen groen'!J200,""),"")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groen'!L200=0,"",INT('Invullen groen'!L200)),"")</f>
        <v/>
      </c>
      <c r="G171" s="236">
        <f>IFERROR(IF('Invullen groen'!M200=0,"",INT('Invullen groen'!M200)),"")</f>
        <v/>
      </c>
      <c r="H171" s="236">
        <f>IFERROR(IF('Invullen groen'!N200=0,"",INT('Invullen groen'!N200)),"")</f>
        <v/>
      </c>
      <c r="I171" s="236">
        <f>IFERROR(IF('Invullen groen'!O200=0,"",INT('Invullen groen'!O200)),"")</f>
        <v/>
      </c>
      <c r="J171">
        <f>IF(AND('Invullen groen'!J200&gt;0,'Invullen groen'!J200&lt;&gt;2999999),IFERROR($K$1&amp;" "&amp;TRIM(SUBSTITUTE(SUBSTITUTE(SUBSTITUTE(SUBSTITUTE(SUBSTITUTE(SUBSTITUTE(SUBSTITUTE(SUBSTITUTE(SUBSTITUTE(SUBSTITUTE(SUBSTITUTE(SUBSTITUTE(LOWER(IF(LEFT(TEXT('Invullen groen'!E200,"0"),1)="6",'Invullen groen'!K200,IF('Invullen groen'!J200&gt;0,'Invullen groen'!G200,'Invullen groen'!K200))),"2024",""),"2025",""),"2026",""),"2027",""),"2028",""),"2029",""),"taakveld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IF(AND('Invullen groen'!J201&gt;0,'Invullen groen'!J201&lt;&gt;2999999),"+","")</f>
        <v/>
      </c>
      <c r="B172">
        <f>IFERROR(IF('Invullen groen'!H201&gt;0,'Invullen groen'!H201,""),"")</f>
        <v/>
      </c>
      <c r="C172">
        <f>IFERROR(IF('Invullen groen'!J201&gt;0,'Invullen groen'!J201,""),"")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groen'!L201=0,"",INT('Invullen groen'!L201)),"")</f>
        <v/>
      </c>
      <c r="G172" s="236">
        <f>IFERROR(IF('Invullen groen'!M201=0,"",INT('Invullen groen'!M201)),"")</f>
        <v/>
      </c>
      <c r="H172" s="236">
        <f>IFERROR(IF('Invullen groen'!N201=0,"",INT('Invullen groen'!N201)),"")</f>
        <v/>
      </c>
      <c r="I172" s="236">
        <f>IFERROR(IF('Invullen groen'!O201=0,"",INT('Invullen groen'!O201)),"")</f>
        <v/>
      </c>
      <c r="J172">
        <f>IF(AND('Invullen groen'!J201&gt;0,'Invullen groen'!J201&lt;&gt;2999999),IFERROR($K$1&amp;" "&amp;TRIM(SUBSTITUTE(SUBSTITUTE(SUBSTITUTE(SUBSTITUTE(SUBSTITUTE(SUBSTITUTE(SUBSTITUTE(SUBSTITUTE(SUBSTITUTE(SUBSTITUTE(SUBSTITUTE(SUBSTITUTE(LOWER(IF(LEFT(TEXT('Invullen groen'!E201,"0"),1)="6",'Invullen groen'!K201,IF('Invullen groen'!J201&gt;0,'Invullen groen'!G201,'Invullen groen'!K201))),"2024",""),"2025",""),"2026",""),"2027",""),"2028",""),"2029",""),"taakveld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IF(AND('Invullen groen'!J202&gt;0,'Invullen groen'!J202&lt;&gt;2999999),"+","")</f>
        <v/>
      </c>
      <c r="B173">
        <f>IFERROR(IF('Invullen groen'!H202&gt;0,'Invullen groen'!H202,""),"")</f>
        <v/>
      </c>
      <c r="C173">
        <f>IFERROR(IF('Invullen groen'!J202&gt;0,'Invullen groen'!J202,""),"")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groen'!L202=0,"",INT('Invullen groen'!L202)),"")</f>
        <v/>
      </c>
      <c r="G173" s="236">
        <f>IFERROR(IF('Invullen groen'!M202=0,"",INT('Invullen groen'!M202)),"")</f>
        <v/>
      </c>
      <c r="H173" s="236">
        <f>IFERROR(IF('Invullen groen'!N202=0,"",INT('Invullen groen'!N202)),"")</f>
        <v/>
      </c>
      <c r="I173" s="236">
        <f>IFERROR(IF('Invullen groen'!O202=0,"",INT('Invullen groen'!O202)),"")</f>
        <v/>
      </c>
      <c r="J173">
        <f>IF(AND('Invullen groen'!J202&gt;0,'Invullen groen'!J202&lt;&gt;2999999),IFERROR($K$1&amp;" "&amp;TRIM(SUBSTITUTE(SUBSTITUTE(SUBSTITUTE(SUBSTITUTE(SUBSTITUTE(SUBSTITUTE(SUBSTITUTE(SUBSTITUTE(SUBSTITUTE(SUBSTITUTE(SUBSTITUTE(SUBSTITUTE(LOWER(IF(LEFT(TEXT('Invullen groen'!E202,"0"),1)="6",'Invullen groen'!K202,IF('Invullen groen'!J202&gt;0,'Invullen groen'!G202,'Invullen groen'!K202))),"2024",""),"2025",""),"2026",""),"2027",""),"2028",""),"2029",""),"taakveld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IF(AND('Invullen groen'!J203&gt;0,'Invullen groen'!J203&lt;&gt;2999999),"+","")</f>
        <v/>
      </c>
      <c r="B174">
        <f>IFERROR(IF('Invullen groen'!H203&gt;0,'Invullen groen'!H203,""),"")</f>
        <v/>
      </c>
      <c r="C174">
        <f>IFERROR(IF('Invullen groen'!J203&gt;0,'Invullen groen'!J203,""),"")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groen'!L203=0,"",INT('Invullen groen'!L203)),"")</f>
        <v/>
      </c>
      <c r="G174" s="236">
        <f>IFERROR(IF('Invullen groen'!M203=0,"",INT('Invullen groen'!M203)),"")</f>
        <v/>
      </c>
      <c r="H174" s="236">
        <f>IFERROR(IF('Invullen groen'!N203=0,"",INT('Invullen groen'!N203)),"")</f>
        <v/>
      </c>
      <c r="I174" s="236">
        <f>IFERROR(IF('Invullen groen'!O203=0,"",INT('Invullen groen'!O203)),"")</f>
        <v/>
      </c>
      <c r="J174">
        <f>IF(AND('Invullen groen'!J203&gt;0,'Invullen groen'!J203&lt;&gt;2999999),IFERROR($K$1&amp;" "&amp;TRIM(SUBSTITUTE(SUBSTITUTE(SUBSTITUTE(SUBSTITUTE(SUBSTITUTE(SUBSTITUTE(SUBSTITUTE(SUBSTITUTE(SUBSTITUTE(SUBSTITUTE(SUBSTITUTE(SUBSTITUTE(LOWER(IF(LEFT(TEXT('Invullen groen'!E203,"0"),1)="6",'Invullen groen'!K203,IF('Invullen groen'!J203&gt;0,'Invullen groen'!G203,'Invullen groen'!K203))),"2024",""),"2025",""),"2026",""),"2027",""),"2028",""),"2029",""),"taakveld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IF(AND('Invullen groen'!J204&gt;0,'Invullen groen'!J204&lt;&gt;2999999),"+","")</f>
        <v/>
      </c>
      <c r="B175">
        <f>IFERROR(IF('Invullen groen'!H204&gt;0,'Invullen groen'!H204,""),"")</f>
        <v/>
      </c>
      <c r="C175">
        <f>IFERROR(IF('Invullen groen'!J204&gt;0,'Invullen groen'!J204,""),"")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groen'!L204=0,"",INT('Invullen groen'!L204)),"")</f>
        <v/>
      </c>
      <c r="G175" s="236">
        <f>IFERROR(IF('Invullen groen'!M204=0,"",INT('Invullen groen'!M204)),"")</f>
        <v/>
      </c>
      <c r="H175" s="236">
        <f>IFERROR(IF('Invullen groen'!N204=0,"",INT('Invullen groen'!N204)),"")</f>
        <v/>
      </c>
      <c r="I175" s="236">
        <f>IFERROR(IF('Invullen groen'!O204=0,"",INT('Invullen groen'!O204)),"")</f>
        <v/>
      </c>
      <c r="J175">
        <f>IF(AND('Invullen groen'!J204&gt;0,'Invullen groen'!J204&lt;&gt;2999999),IFERROR($K$1&amp;" "&amp;TRIM(SUBSTITUTE(SUBSTITUTE(SUBSTITUTE(SUBSTITUTE(SUBSTITUTE(SUBSTITUTE(SUBSTITUTE(SUBSTITUTE(SUBSTITUTE(SUBSTITUTE(SUBSTITUTE(SUBSTITUTE(LOWER(IF(LEFT(TEXT('Invullen groen'!E204,"0"),1)="6",'Invullen groen'!K204,IF('Invullen groen'!J204&gt;0,'Invullen groen'!G204,'Invullen groen'!K204))),"2024",""),"2025",""),"2026",""),"2027",""),"2028",""),"2029",""),"taakveld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IF(AND('Invullen groen'!J205&gt;0,'Invullen groen'!J205&lt;&gt;2999999),"+","")</f>
        <v/>
      </c>
      <c r="B176">
        <f>IFERROR(IF('Invullen groen'!H205&gt;0,'Invullen groen'!H205,""),"")</f>
        <v/>
      </c>
      <c r="C176">
        <f>IFERROR(IF('Invullen groen'!J205&gt;0,'Invullen groen'!J205,""),"")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groen'!L205=0,"",INT('Invullen groen'!L205)),"")</f>
        <v/>
      </c>
      <c r="G176" s="236">
        <f>IFERROR(IF('Invullen groen'!M205=0,"",INT('Invullen groen'!M205)),"")</f>
        <v/>
      </c>
      <c r="H176" s="236">
        <f>IFERROR(IF('Invullen groen'!N205=0,"",INT('Invullen groen'!N205)),"")</f>
        <v/>
      </c>
      <c r="I176" s="236">
        <f>IFERROR(IF('Invullen groen'!O205=0,"",INT('Invullen groen'!O205)),"")</f>
        <v/>
      </c>
      <c r="J176">
        <f>IF(AND('Invullen groen'!J205&gt;0,'Invullen groen'!J205&lt;&gt;2999999),IFERROR($K$1&amp;" "&amp;TRIM(SUBSTITUTE(SUBSTITUTE(SUBSTITUTE(SUBSTITUTE(SUBSTITUTE(SUBSTITUTE(SUBSTITUTE(SUBSTITUTE(SUBSTITUTE(SUBSTITUTE(SUBSTITUTE(SUBSTITUTE(LOWER(IF(LEFT(TEXT('Invullen groen'!E205,"0"),1)="6",'Invullen groen'!K205,IF('Invullen groen'!J205&gt;0,'Invullen groen'!G205,'Invullen groen'!K205))),"2024",""),"2025",""),"2026",""),"2027",""),"2028",""),"2029",""),"taakveld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IF(AND('Invullen groen'!J206&gt;0,'Invullen groen'!J206&lt;&gt;2999999),"+","")</f>
        <v/>
      </c>
      <c r="B177">
        <f>IFERROR(IF('Invullen groen'!H206&gt;0,'Invullen groen'!H206,""),"")</f>
        <v/>
      </c>
      <c r="C177">
        <f>IFERROR(IF('Invullen groen'!J206&gt;0,'Invullen groen'!J206,""),"")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groen'!L206=0,"",INT('Invullen groen'!L206)),"")</f>
        <v/>
      </c>
      <c r="G177" s="236">
        <f>IFERROR(IF('Invullen groen'!M206=0,"",INT('Invullen groen'!M206)),"")</f>
        <v/>
      </c>
      <c r="H177" s="236">
        <f>IFERROR(IF('Invullen groen'!N206=0,"",INT('Invullen groen'!N206)),"")</f>
        <v/>
      </c>
      <c r="I177" s="236">
        <f>IFERROR(IF('Invullen groen'!O206=0,"",INT('Invullen groen'!O206)),"")</f>
        <v/>
      </c>
      <c r="J177">
        <f>IF(AND('Invullen groen'!J206&gt;0,'Invullen groen'!J206&lt;&gt;2999999),IFERROR($K$1&amp;" "&amp;TRIM(SUBSTITUTE(SUBSTITUTE(SUBSTITUTE(SUBSTITUTE(SUBSTITUTE(SUBSTITUTE(SUBSTITUTE(SUBSTITUTE(SUBSTITUTE(SUBSTITUTE(SUBSTITUTE(SUBSTITUTE(LOWER(IF(LEFT(TEXT('Invullen groen'!E206,"0"),1)="6",'Invullen groen'!K206,IF('Invullen groen'!J206&gt;0,'Invullen groen'!G206,'Invullen groen'!K206))),"2024",""),"2025",""),"2026",""),"2027",""),"2028",""),"2029",""),"taakveld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IF(AND('Invullen groen'!J207&gt;0,'Invullen groen'!J207&lt;&gt;2999999),"+","")</f>
        <v/>
      </c>
      <c r="B178">
        <f>IFERROR(IF('Invullen groen'!H207&gt;0,'Invullen groen'!H207,""),"")</f>
        <v/>
      </c>
      <c r="C178">
        <f>IFERROR(IF('Invullen groen'!J207&gt;0,'Invullen groen'!J207,""),"")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groen'!L207=0,"",INT('Invullen groen'!L207)),"")</f>
        <v/>
      </c>
      <c r="G178" s="236">
        <f>IFERROR(IF('Invullen groen'!M207=0,"",INT('Invullen groen'!M207)),"")</f>
        <v/>
      </c>
      <c r="H178" s="236">
        <f>IFERROR(IF('Invullen groen'!N207=0,"",INT('Invullen groen'!N207)),"")</f>
        <v/>
      </c>
      <c r="I178" s="236">
        <f>IFERROR(IF('Invullen groen'!O207=0,"",INT('Invullen groen'!O207)),"")</f>
        <v/>
      </c>
      <c r="J178">
        <f>IF(AND('Invullen groen'!J207&gt;0,'Invullen groen'!J207&lt;&gt;2999999),IFERROR($K$1&amp;" "&amp;TRIM(SUBSTITUTE(SUBSTITUTE(SUBSTITUTE(SUBSTITUTE(SUBSTITUTE(SUBSTITUTE(SUBSTITUTE(SUBSTITUTE(SUBSTITUTE(SUBSTITUTE(SUBSTITUTE(SUBSTITUTE(LOWER(IF(LEFT(TEXT('Invullen groen'!E207,"0"),1)="6",'Invullen groen'!K207,IF('Invullen groen'!J207&gt;0,'Invullen groen'!G207,'Invullen groen'!K207))),"2024",""),"2025",""),"2026",""),"2027",""),"2028",""),"2029",""),"taakveld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IF(AND('Invullen groen'!J208&gt;0,'Invullen groen'!J208&lt;&gt;2999999),"+","")</f>
        <v/>
      </c>
      <c r="B179">
        <f>IFERROR(IF('Invullen groen'!H208&gt;0,'Invullen groen'!H208,""),"")</f>
        <v/>
      </c>
      <c r="C179">
        <f>IFERROR(IF('Invullen groen'!J208&gt;0,'Invullen groen'!J208,""),"")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groen'!L208=0,"",INT('Invullen groen'!L208)),"")</f>
        <v/>
      </c>
      <c r="G179" s="236">
        <f>IFERROR(IF('Invullen groen'!M208=0,"",INT('Invullen groen'!M208)),"")</f>
        <v/>
      </c>
      <c r="H179" s="236">
        <f>IFERROR(IF('Invullen groen'!N208=0,"",INT('Invullen groen'!N208)),"")</f>
        <v/>
      </c>
      <c r="I179" s="236">
        <f>IFERROR(IF('Invullen groen'!O208=0,"",INT('Invullen groen'!O208)),"")</f>
        <v/>
      </c>
      <c r="J179">
        <f>IF(AND('Invullen groen'!J208&gt;0,'Invullen groen'!J208&lt;&gt;2999999),IFERROR($K$1&amp;" "&amp;TRIM(SUBSTITUTE(SUBSTITUTE(SUBSTITUTE(SUBSTITUTE(SUBSTITUTE(SUBSTITUTE(SUBSTITUTE(SUBSTITUTE(SUBSTITUTE(SUBSTITUTE(SUBSTITUTE(SUBSTITUTE(LOWER(IF(LEFT(TEXT('Invullen groen'!E208,"0"),1)="6",'Invullen groen'!K208,IF('Invullen groen'!J208&gt;0,'Invullen groen'!G208,'Invullen groen'!K208))),"2024",""),"2025",""),"2026",""),"2027",""),"2028",""),"2029",""),"taakveld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IF(AND('Invullen groen'!J209&gt;0,'Invullen groen'!J209&lt;&gt;2999999),"+","")</f>
        <v/>
      </c>
      <c r="B180">
        <f>IFERROR(IF('Invullen groen'!H209&gt;0,'Invullen groen'!H209,""),"")</f>
        <v/>
      </c>
      <c r="C180">
        <f>IFERROR(IF('Invullen groen'!J209&gt;0,'Invullen groen'!J209,""),"")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groen'!L209=0,"",INT('Invullen groen'!L209)),"")</f>
        <v/>
      </c>
      <c r="G180" s="236">
        <f>IFERROR(IF('Invullen groen'!M209=0,"",INT('Invullen groen'!M209)),"")</f>
        <v/>
      </c>
      <c r="H180" s="236">
        <f>IFERROR(IF('Invullen groen'!N209=0,"",INT('Invullen groen'!N209)),"")</f>
        <v/>
      </c>
      <c r="I180" s="236">
        <f>IFERROR(IF('Invullen groen'!O209=0,"",INT('Invullen groen'!O209)),"")</f>
        <v/>
      </c>
      <c r="J180">
        <f>IF(AND('Invullen groen'!J209&gt;0,'Invullen groen'!J209&lt;&gt;2999999),IFERROR($K$1&amp;" "&amp;TRIM(SUBSTITUTE(SUBSTITUTE(SUBSTITUTE(SUBSTITUTE(SUBSTITUTE(SUBSTITUTE(SUBSTITUTE(SUBSTITUTE(SUBSTITUTE(SUBSTITUTE(SUBSTITUTE(SUBSTITUTE(LOWER(IF(LEFT(TEXT('Invullen groen'!E209,"0"),1)="6",'Invullen groen'!K209,IF('Invullen groen'!J209&gt;0,'Invullen groen'!G209,'Invullen groen'!K209))),"2024",""),"2025",""),"2026",""),"2027",""),"2028",""),"2029",""),"taakveld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IF(AND('Invullen groen'!J210&gt;0,'Invullen groen'!J210&lt;&gt;2999999),"+","")</f>
        <v/>
      </c>
      <c r="B181">
        <f>IFERROR(IF('Invullen groen'!H210&gt;0,'Invullen groen'!H210,""),"")</f>
        <v/>
      </c>
      <c r="C181">
        <f>IFERROR(IF('Invullen groen'!J210&gt;0,'Invullen groen'!J210,""),"")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groen'!L210=0,"",INT('Invullen groen'!L210)),"")</f>
        <v/>
      </c>
      <c r="G181" s="236">
        <f>IFERROR(IF('Invullen groen'!M210=0,"",INT('Invullen groen'!M210)),"")</f>
        <v/>
      </c>
      <c r="H181" s="236">
        <f>IFERROR(IF('Invullen groen'!N210=0,"",INT('Invullen groen'!N210)),"")</f>
        <v/>
      </c>
      <c r="I181" s="236">
        <f>IFERROR(IF('Invullen groen'!O210=0,"",INT('Invullen groen'!O210)),"")</f>
        <v/>
      </c>
      <c r="J181">
        <f>IF(AND('Invullen groen'!J210&gt;0,'Invullen groen'!J210&lt;&gt;2999999),IFERROR($K$1&amp;" "&amp;TRIM(SUBSTITUTE(SUBSTITUTE(SUBSTITUTE(SUBSTITUTE(SUBSTITUTE(SUBSTITUTE(SUBSTITUTE(SUBSTITUTE(SUBSTITUTE(SUBSTITUTE(SUBSTITUTE(SUBSTITUTE(LOWER(IF(LEFT(TEXT('Invullen groen'!E210,"0"),1)="6",'Invullen groen'!K210,IF('Invullen groen'!J210&gt;0,'Invullen groen'!G210,'Invullen groen'!K210))),"2024",""),"2025",""),"2026",""),"2027",""),"2028",""),"2029",""),"taakveld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IF(AND('Invullen groen'!J211&gt;0,'Invullen groen'!J211&lt;&gt;2999999),"+","")</f>
        <v/>
      </c>
      <c r="B182">
        <f>IFERROR(IF('Invullen groen'!H211&gt;0,'Invullen groen'!H211,""),"")</f>
        <v/>
      </c>
      <c r="C182">
        <f>IFERROR(IF('Invullen groen'!J211&gt;0,'Invullen groen'!J211,""),"")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groen'!L211=0,"",INT('Invullen groen'!L211)),"")</f>
        <v/>
      </c>
      <c r="G182" s="236">
        <f>IFERROR(IF('Invullen groen'!M211=0,"",INT('Invullen groen'!M211)),"")</f>
        <v/>
      </c>
      <c r="H182" s="236">
        <f>IFERROR(IF('Invullen groen'!N211=0,"",INT('Invullen groen'!N211)),"")</f>
        <v/>
      </c>
      <c r="I182" s="236">
        <f>IFERROR(IF('Invullen groen'!O211=0,"",INT('Invullen groen'!O211)),"")</f>
        <v/>
      </c>
      <c r="J182">
        <f>IF(AND('Invullen groen'!J211&gt;0,'Invullen groen'!J211&lt;&gt;2999999),IFERROR($K$1&amp;" "&amp;TRIM(SUBSTITUTE(SUBSTITUTE(SUBSTITUTE(SUBSTITUTE(SUBSTITUTE(SUBSTITUTE(SUBSTITUTE(SUBSTITUTE(SUBSTITUTE(SUBSTITUTE(SUBSTITUTE(SUBSTITUTE(LOWER(IF(LEFT(TEXT('Invullen groen'!E211,"0"),1)="6",'Invullen groen'!K211,IF('Invullen groen'!J211&gt;0,'Invullen groen'!G211,'Invullen groen'!K211))),"2024",""),"2025",""),"2026",""),"2027",""),"2028",""),"2029",""),"taakveld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IF(AND('Invullen groen'!J212&gt;0,'Invullen groen'!J212&lt;&gt;2999999),"+","")</f>
        <v/>
      </c>
      <c r="B183">
        <f>IFERROR(IF('Invullen groen'!H212&gt;0,'Invullen groen'!H212,""),"")</f>
        <v/>
      </c>
      <c r="C183">
        <f>IFERROR(IF('Invullen groen'!J212&gt;0,'Invullen groen'!J212,""),"")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groen'!L212=0,"",INT('Invullen groen'!L212)),"")</f>
        <v/>
      </c>
      <c r="G183" s="236">
        <f>IFERROR(IF('Invullen groen'!M212=0,"",INT('Invullen groen'!M212)),"")</f>
        <v/>
      </c>
      <c r="H183" s="236">
        <f>IFERROR(IF('Invullen groen'!N212=0,"",INT('Invullen groen'!N212)),"")</f>
        <v/>
      </c>
      <c r="I183" s="236">
        <f>IFERROR(IF('Invullen groen'!O212=0,"",INT('Invullen groen'!O212)),"")</f>
        <v/>
      </c>
      <c r="J183">
        <f>IF(AND('Invullen groen'!J212&gt;0,'Invullen groen'!J212&lt;&gt;2999999),IFERROR($K$1&amp;" "&amp;TRIM(SUBSTITUTE(SUBSTITUTE(SUBSTITUTE(SUBSTITUTE(SUBSTITUTE(SUBSTITUTE(SUBSTITUTE(SUBSTITUTE(SUBSTITUTE(SUBSTITUTE(SUBSTITUTE(SUBSTITUTE(LOWER(IF(LEFT(TEXT('Invullen groen'!E212,"0"),1)="6",'Invullen groen'!K212,IF('Invullen groen'!J212&gt;0,'Invullen groen'!G212,'Invullen groen'!K212))),"2024",""),"2025",""),"2026",""),"2027",""),"2028",""),"2029",""),"taakveld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IF(AND('Invullen groen'!J213&gt;0,'Invullen groen'!J213&lt;&gt;2999999),"+","")</f>
        <v/>
      </c>
      <c r="B184">
        <f>IFERROR(IF('Invullen groen'!H213&gt;0,'Invullen groen'!H213,""),"")</f>
        <v/>
      </c>
      <c r="C184">
        <f>IFERROR(IF('Invullen groen'!J213&gt;0,'Invullen groen'!J213,""),"")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groen'!L213=0,"",INT('Invullen groen'!L213)),"")</f>
        <v/>
      </c>
      <c r="G184" s="236">
        <f>IFERROR(IF('Invullen groen'!M213=0,"",INT('Invullen groen'!M213)),"")</f>
        <v/>
      </c>
      <c r="H184" s="236">
        <f>IFERROR(IF('Invullen groen'!N213=0,"",INT('Invullen groen'!N213)),"")</f>
        <v/>
      </c>
      <c r="I184" s="236">
        <f>IFERROR(IF('Invullen groen'!O213=0,"",INT('Invullen groen'!O213)),"")</f>
        <v/>
      </c>
      <c r="J184">
        <f>IF(AND('Invullen groen'!J213&gt;0,'Invullen groen'!J213&lt;&gt;2999999),IFERROR($K$1&amp;" "&amp;TRIM(SUBSTITUTE(SUBSTITUTE(SUBSTITUTE(SUBSTITUTE(SUBSTITUTE(SUBSTITUTE(SUBSTITUTE(SUBSTITUTE(SUBSTITUTE(SUBSTITUTE(SUBSTITUTE(SUBSTITUTE(LOWER(IF(LEFT(TEXT('Invullen groen'!E213,"0"),1)="6",'Invullen groen'!K213,IF('Invullen groen'!J213&gt;0,'Invullen groen'!G213,'Invullen groen'!K213))),"2024",""),"2025",""),"2026",""),"2027",""),"2028",""),"2029",""),"taakveld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IF(AND('Invullen groen'!J214&gt;0,'Invullen groen'!J214&lt;&gt;2999999),"+","")</f>
        <v/>
      </c>
      <c r="B185">
        <f>IFERROR(IF('Invullen groen'!H214&gt;0,'Invullen groen'!H214,""),"")</f>
        <v/>
      </c>
      <c r="C185">
        <f>IFERROR(IF('Invullen groen'!J214&gt;0,'Invullen groen'!J214,""),"")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groen'!L214=0,"",INT('Invullen groen'!L214)),"")</f>
        <v/>
      </c>
      <c r="G185" s="236">
        <f>IFERROR(IF('Invullen groen'!M214=0,"",INT('Invullen groen'!M214)),"")</f>
        <v/>
      </c>
      <c r="H185" s="236">
        <f>IFERROR(IF('Invullen groen'!N214=0,"",INT('Invullen groen'!N214)),"")</f>
        <v/>
      </c>
      <c r="I185" s="236">
        <f>IFERROR(IF('Invullen groen'!O214=0,"",INT('Invullen groen'!O214)),"")</f>
        <v/>
      </c>
      <c r="J185">
        <f>IF(AND('Invullen groen'!J214&gt;0,'Invullen groen'!J214&lt;&gt;2999999),IFERROR($K$1&amp;" "&amp;TRIM(SUBSTITUTE(SUBSTITUTE(SUBSTITUTE(SUBSTITUTE(SUBSTITUTE(SUBSTITUTE(SUBSTITUTE(SUBSTITUTE(SUBSTITUTE(SUBSTITUTE(SUBSTITUTE(SUBSTITUTE(LOWER(IF(LEFT(TEXT('Invullen groen'!E214,"0"),1)="6",'Invullen groen'!K214,IF('Invullen groen'!J214&gt;0,'Invullen groen'!G214,'Invullen groen'!K214))),"2024",""),"2025",""),"2026",""),"2027",""),"2028",""),"2029",""),"taakveld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IF(AND('Invullen groen'!J215&gt;0,'Invullen groen'!J215&lt;&gt;2999999),"+","")</f>
        <v/>
      </c>
      <c r="B186">
        <f>IFERROR(IF('Invullen groen'!H215&gt;0,'Invullen groen'!H215,""),"")</f>
        <v/>
      </c>
      <c r="C186">
        <f>IFERROR(IF('Invullen groen'!J215&gt;0,'Invullen groen'!J215,""),"")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groen'!L215=0,"",INT('Invullen groen'!L215)),"")</f>
        <v/>
      </c>
      <c r="G186" s="236">
        <f>IFERROR(IF('Invullen groen'!M215=0,"",INT('Invullen groen'!M215)),"")</f>
        <v/>
      </c>
      <c r="H186" s="236">
        <f>IFERROR(IF('Invullen groen'!N215=0,"",INT('Invullen groen'!N215)),"")</f>
        <v/>
      </c>
      <c r="I186" s="236">
        <f>IFERROR(IF('Invullen groen'!O215=0,"",INT('Invullen groen'!O215)),"")</f>
        <v/>
      </c>
      <c r="J186">
        <f>IF(AND('Invullen groen'!J215&gt;0,'Invullen groen'!J215&lt;&gt;2999999),IFERROR($K$1&amp;" "&amp;TRIM(SUBSTITUTE(SUBSTITUTE(SUBSTITUTE(SUBSTITUTE(SUBSTITUTE(SUBSTITUTE(SUBSTITUTE(SUBSTITUTE(SUBSTITUTE(SUBSTITUTE(SUBSTITUTE(SUBSTITUTE(LOWER(IF(LEFT(TEXT('Invullen groen'!E215,"0"),1)="6",'Invullen groen'!K215,IF('Invullen groen'!J215&gt;0,'Invullen groen'!G215,'Invullen groen'!K215))),"2024",""),"2025",""),"2026",""),"2027",""),"2028",""),"2029",""),"taakveld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IF(AND('Invullen groen'!J216&gt;0,'Invullen groen'!J216&lt;&gt;2999999),"+","")</f>
        <v/>
      </c>
      <c r="B187">
        <f>IFERROR(IF('Invullen groen'!H216&gt;0,'Invullen groen'!H216,""),"")</f>
        <v/>
      </c>
      <c r="C187">
        <f>IFERROR(IF('Invullen groen'!J216&gt;0,'Invullen groen'!J216,""),"")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groen'!L216=0,"",INT('Invullen groen'!L216)),"")</f>
        <v/>
      </c>
      <c r="G187" s="236">
        <f>IFERROR(IF('Invullen groen'!M216=0,"",INT('Invullen groen'!M216)),"")</f>
        <v/>
      </c>
      <c r="H187" s="236">
        <f>IFERROR(IF('Invullen groen'!N216=0,"",INT('Invullen groen'!N216)),"")</f>
        <v/>
      </c>
      <c r="I187" s="236">
        <f>IFERROR(IF('Invullen groen'!O216=0,"",INT('Invullen groen'!O216)),"")</f>
        <v/>
      </c>
      <c r="J187">
        <f>IF(AND('Invullen groen'!J216&gt;0,'Invullen groen'!J216&lt;&gt;2999999),IFERROR($K$1&amp;" "&amp;TRIM(SUBSTITUTE(SUBSTITUTE(SUBSTITUTE(SUBSTITUTE(SUBSTITUTE(SUBSTITUTE(SUBSTITUTE(SUBSTITUTE(SUBSTITUTE(SUBSTITUTE(SUBSTITUTE(SUBSTITUTE(LOWER(IF(LEFT(TEXT('Invullen groen'!E216,"0"),1)="6",'Invullen groen'!K216,IF('Invullen groen'!J216&gt;0,'Invullen groen'!G216,'Invullen groen'!K216))),"2024",""),"2025",""),"2026",""),"2027",""),"2028",""),"2029",""),"taakveld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IF(AND('Invullen groen'!J220&gt;0,'Invullen groen'!J220&lt;&gt;2999999),"+","")</f>
        <v/>
      </c>
      <c r="B188">
        <f>IFERROR(IF('Invullen groen'!H220&gt;0,'Invullen groen'!H220,""),"")</f>
        <v/>
      </c>
      <c r="C188">
        <f>IFERROR(IF('Invullen groen'!J220&gt;0,'Invullen groen'!J220,""),"")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groen'!L220=0,"",INT('Invullen groen'!L220)),"")</f>
        <v/>
      </c>
      <c r="G188" s="236">
        <f>IFERROR(IF('Invullen groen'!M220=0,"",INT('Invullen groen'!M220)),"")</f>
        <v/>
      </c>
      <c r="H188" s="236">
        <f>IFERROR(IF('Invullen groen'!N220=0,"",INT('Invullen groen'!N220)),"")</f>
        <v/>
      </c>
      <c r="I188" s="236">
        <f>IFERROR(IF('Invullen groen'!O220=0,"",INT('Invullen groen'!O220)),"")</f>
        <v/>
      </c>
      <c r="J188">
        <f>IF(AND('Invullen groen'!J220&gt;0,'Invullen groen'!J220&lt;&gt;2999999),IFERROR($K$1&amp;" "&amp;TRIM(SUBSTITUTE(SUBSTITUTE(SUBSTITUTE(SUBSTITUTE(SUBSTITUTE(SUBSTITUTE(SUBSTITUTE(SUBSTITUTE(SUBSTITUTE(SUBSTITUTE(SUBSTITUTE(SUBSTITUTE(LOWER(IF(LEFT(TEXT('Invullen groen'!E220,"0"),1)="6",'Invullen groen'!K220,IF('Invullen groen'!J220&gt;0,'Invullen groen'!G220,'Invullen groen'!K220))),"2024",""),"2025",""),"2026",""),"2027",""),"2028",""),"2029",""),"taakveld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IF(AND('Invullen groen'!J221&gt;0,'Invullen groen'!J221&lt;&gt;2999999),"+","")</f>
        <v/>
      </c>
      <c r="B189">
        <f>IFERROR(IF('Invullen groen'!H221&gt;0,'Invullen groen'!H221,""),"")</f>
        <v/>
      </c>
      <c r="C189">
        <f>IFERROR(IF('Invullen groen'!J221&gt;0,'Invullen groen'!J221,""),"")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groen'!L221=0,"",INT('Invullen groen'!L221)),"")</f>
        <v/>
      </c>
      <c r="G189" s="236">
        <f>IFERROR(IF('Invullen groen'!M221=0,"",INT('Invullen groen'!M221)),"")</f>
        <v/>
      </c>
      <c r="H189" s="236">
        <f>IFERROR(IF('Invullen groen'!N221=0,"",INT('Invullen groen'!N221)),"")</f>
        <v/>
      </c>
      <c r="I189" s="236">
        <f>IFERROR(IF('Invullen groen'!O221=0,"",INT('Invullen groen'!O221)),"")</f>
        <v/>
      </c>
      <c r="J189">
        <f>IF(AND('Invullen groen'!J221&gt;0,'Invullen groen'!J221&lt;&gt;2999999),IFERROR($K$1&amp;" "&amp;TRIM(SUBSTITUTE(SUBSTITUTE(SUBSTITUTE(SUBSTITUTE(SUBSTITUTE(SUBSTITUTE(SUBSTITUTE(SUBSTITUTE(SUBSTITUTE(SUBSTITUTE(SUBSTITUTE(SUBSTITUTE(LOWER(IF(LEFT(TEXT('Invullen groen'!E221,"0"),1)="6",'Invullen groen'!K221,IF('Invullen groen'!J221&gt;0,'Invullen groen'!G221,'Invullen groen'!K221))),"2024",""),"2025",""),"2026",""),"2027",""),"2028",""),"2029",""),"taakveld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IF(AND('Invullen groen'!J222&gt;0,'Invullen groen'!J222&lt;&gt;2999999),"+","")</f>
        <v/>
      </c>
      <c r="B190">
        <f>IFERROR(IF('Invullen groen'!H222&gt;0,'Invullen groen'!H222,""),"")</f>
        <v/>
      </c>
      <c r="C190">
        <f>IFERROR(IF('Invullen groen'!J222&gt;0,'Invullen groen'!J222,""),"")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groen'!L222=0,"",INT('Invullen groen'!L222)),"")</f>
        <v/>
      </c>
      <c r="G190" s="236">
        <f>IFERROR(IF('Invullen groen'!M222=0,"",INT('Invullen groen'!M222)),"")</f>
        <v/>
      </c>
      <c r="H190" s="236">
        <f>IFERROR(IF('Invullen groen'!N222=0,"",INT('Invullen groen'!N222)),"")</f>
        <v/>
      </c>
      <c r="I190" s="236">
        <f>IFERROR(IF('Invullen groen'!O222=0,"",INT('Invullen groen'!O222)),"")</f>
        <v/>
      </c>
      <c r="J190">
        <f>IF(AND('Invullen groen'!J222&gt;0,'Invullen groen'!J222&lt;&gt;2999999),IFERROR($K$1&amp;" "&amp;TRIM(SUBSTITUTE(SUBSTITUTE(SUBSTITUTE(SUBSTITUTE(SUBSTITUTE(SUBSTITUTE(SUBSTITUTE(SUBSTITUTE(SUBSTITUTE(SUBSTITUTE(SUBSTITUTE(SUBSTITUTE(LOWER(IF(LEFT(TEXT('Invullen groen'!E222,"0"),1)="6",'Invullen groen'!K222,IF('Invullen groen'!J222&gt;0,'Invullen groen'!G222,'Invullen groen'!K222))),"2024",""),"2025",""),"2026",""),"2027",""),"2028",""),"2029",""),"taakveld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IF(AND('Invullen groen'!J223&gt;0,'Invullen groen'!J223&lt;&gt;2999999),"+","")</f>
        <v/>
      </c>
      <c r="B191">
        <f>IFERROR(IF('Invullen groen'!H223&gt;0,'Invullen groen'!H223,""),"")</f>
        <v/>
      </c>
      <c r="C191">
        <f>IFERROR(IF('Invullen groen'!J223&gt;0,'Invullen groen'!J223,""),"")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groen'!L223=0,"",INT('Invullen groen'!L223)),"")</f>
        <v/>
      </c>
      <c r="G191" s="236">
        <f>IFERROR(IF('Invullen groen'!M223=0,"",INT('Invullen groen'!M223)),"")</f>
        <v/>
      </c>
      <c r="H191" s="236">
        <f>IFERROR(IF('Invullen groen'!N223=0,"",INT('Invullen groen'!N223)),"")</f>
        <v/>
      </c>
      <c r="I191" s="236">
        <f>IFERROR(IF('Invullen groen'!O223=0,"",INT('Invullen groen'!O223)),"")</f>
        <v/>
      </c>
      <c r="J191">
        <f>IF(AND('Invullen groen'!J223&gt;0,'Invullen groen'!J223&lt;&gt;2999999),IFERROR($K$1&amp;" "&amp;TRIM(SUBSTITUTE(SUBSTITUTE(SUBSTITUTE(SUBSTITUTE(SUBSTITUTE(SUBSTITUTE(SUBSTITUTE(SUBSTITUTE(SUBSTITUTE(SUBSTITUTE(SUBSTITUTE(SUBSTITUTE(LOWER(IF(LEFT(TEXT('Invullen groen'!E223,"0"),1)="6",'Invullen groen'!K223,IF('Invullen groen'!J223&gt;0,'Invullen groen'!G223,'Invullen groen'!K223))),"2024",""),"2025",""),"2026",""),"2027",""),"2028",""),"2029",""),"taakveld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IF(AND('Invullen groen'!J224&gt;0,'Invullen groen'!J224&lt;&gt;2999999),"+","")</f>
        <v/>
      </c>
      <c r="B192">
        <f>IFERROR(IF('Invullen groen'!H224&gt;0,'Invullen groen'!H224,""),"")</f>
        <v/>
      </c>
      <c r="C192">
        <f>IFERROR(IF('Invullen groen'!J224&gt;0,'Invullen groen'!J224,""),"")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groen'!L224=0,"",INT('Invullen groen'!L224)),"")</f>
        <v/>
      </c>
      <c r="G192" s="236">
        <f>IFERROR(IF('Invullen groen'!M224=0,"",INT('Invullen groen'!M224)),"")</f>
        <v/>
      </c>
      <c r="H192" s="236">
        <f>IFERROR(IF('Invullen groen'!N224=0,"",INT('Invullen groen'!N224)),"")</f>
        <v/>
      </c>
      <c r="I192" s="236">
        <f>IFERROR(IF('Invullen groen'!O224=0,"",INT('Invullen groen'!O224)),"")</f>
        <v/>
      </c>
      <c r="J192">
        <f>IF(AND('Invullen groen'!J224&gt;0,'Invullen groen'!J224&lt;&gt;2999999),IFERROR($K$1&amp;" "&amp;TRIM(SUBSTITUTE(SUBSTITUTE(SUBSTITUTE(SUBSTITUTE(SUBSTITUTE(SUBSTITUTE(SUBSTITUTE(SUBSTITUTE(SUBSTITUTE(SUBSTITUTE(SUBSTITUTE(SUBSTITUTE(LOWER(IF(LEFT(TEXT('Invullen groen'!E224,"0"),1)="6",'Invullen groen'!K224,IF('Invullen groen'!J224&gt;0,'Invullen groen'!G224,'Invullen groen'!K224))),"2024",""),"2025",""),"2026",""),"2027",""),"2028",""),"2029",""),"taakveld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IF(AND('Invullen groen'!J225&gt;0,'Invullen groen'!J225&lt;&gt;2999999),"+","")</f>
        <v/>
      </c>
      <c r="B193">
        <f>IFERROR(IF('Invullen groen'!H225&gt;0,'Invullen groen'!H225,""),"")</f>
        <v/>
      </c>
      <c r="C193">
        <f>IFERROR(IF('Invullen groen'!J225&gt;0,'Invullen groen'!J225,""),"")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groen'!L225=0,"",INT('Invullen groen'!L225)),"")</f>
        <v/>
      </c>
      <c r="G193" s="236">
        <f>IFERROR(IF('Invullen groen'!M225=0,"",INT('Invullen groen'!M225)),"")</f>
        <v/>
      </c>
      <c r="H193" s="236">
        <f>IFERROR(IF('Invullen groen'!N225=0,"",INT('Invullen groen'!N225)),"")</f>
        <v/>
      </c>
      <c r="I193" s="236">
        <f>IFERROR(IF('Invullen groen'!O225=0,"",INT('Invullen groen'!O225)),"")</f>
        <v/>
      </c>
      <c r="J193">
        <f>IF(AND('Invullen groen'!J225&gt;0,'Invullen groen'!J225&lt;&gt;2999999),IFERROR($K$1&amp;" "&amp;TRIM(SUBSTITUTE(SUBSTITUTE(SUBSTITUTE(SUBSTITUTE(SUBSTITUTE(SUBSTITUTE(SUBSTITUTE(SUBSTITUTE(SUBSTITUTE(SUBSTITUTE(SUBSTITUTE(SUBSTITUTE(LOWER(IF(LEFT(TEXT('Invullen groen'!E225,"0"),1)="6",'Invullen groen'!K225,IF('Invullen groen'!J225&gt;0,'Invullen groen'!G225,'Invullen groen'!K225))),"2024",""),"2025",""),"2026",""),"2027",""),"2028",""),"2029",""),"taakveld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IF(AND('Invullen groen'!J226&gt;0,'Invullen groen'!J226&lt;&gt;2999999),"+","")</f>
        <v/>
      </c>
      <c r="B194">
        <f>IFERROR(IF('Invullen groen'!H226&gt;0,'Invullen groen'!H226,""),"")</f>
        <v/>
      </c>
      <c r="C194">
        <f>IFERROR(IF('Invullen groen'!J226&gt;0,'Invullen groen'!J226,""),"")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groen'!L226=0,"",INT('Invullen groen'!L226)),"")</f>
        <v/>
      </c>
      <c r="G194" s="236">
        <f>IFERROR(IF('Invullen groen'!M226=0,"",INT('Invullen groen'!M226)),"")</f>
        <v/>
      </c>
      <c r="H194" s="236">
        <f>IFERROR(IF('Invullen groen'!N226=0,"",INT('Invullen groen'!N226)),"")</f>
        <v/>
      </c>
      <c r="I194" s="236">
        <f>IFERROR(IF('Invullen groen'!O226=0,"",INT('Invullen groen'!O226)),"")</f>
        <v/>
      </c>
      <c r="J194">
        <f>IF(AND('Invullen groen'!J226&gt;0,'Invullen groen'!J226&lt;&gt;2999999),IFERROR($K$1&amp;" "&amp;TRIM(SUBSTITUTE(SUBSTITUTE(SUBSTITUTE(SUBSTITUTE(SUBSTITUTE(SUBSTITUTE(SUBSTITUTE(SUBSTITUTE(SUBSTITUTE(SUBSTITUTE(SUBSTITUTE(SUBSTITUTE(LOWER(IF(LEFT(TEXT('Invullen groen'!E226,"0"),1)="6",'Invullen groen'!K226,IF('Invullen groen'!J226&gt;0,'Invullen groen'!G226,'Invullen groen'!K226))),"2024",""),"2025",""),"2026",""),"2027",""),"2028",""),"2029",""),"taakveld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IF(AND('Invullen groen'!J227&gt;0,'Invullen groen'!J227&lt;&gt;2999999),"+","")</f>
        <v/>
      </c>
      <c r="B195">
        <f>IFERROR(IF('Invullen groen'!H227&gt;0,'Invullen groen'!H227,""),"")</f>
        <v/>
      </c>
      <c r="C195">
        <f>IFERROR(IF('Invullen groen'!J227&gt;0,'Invullen groen'!J227,""),"")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groen'!L227=0,"",INT('Invullen groen'!L227)),"")</f>
        <v/>
      </c>
      <c r="G195" s="236">
        <f>IFERROR(IF('Invullen groen'!M227=0,"",INT('Invullen groen'!M227)),"")</f>
        <v/>
      </c>
      <c r="H195" s="236">
        <f>IFERROR(IF('Invullen groen'!N227=0,"",INT('Invullen groen'!N227)),"")</f>
        <v/>
      </c>
      <c r="I195" s="236">
        <f>IFERROR(IF('Invullen groen'!O227=0,"",INT('Invullen groen'!O227)),"")</f>
        <v/>
      </c>
      <c r="J195">
        <f>IF(AND('Invullen groen'!J227&gt;0,'Invullen groen'!J227&lt;&gt;2999999),IFERROR($K$1&amp;" "&amp;TRIM(SUBSTITUTE(SUBSTITUTE(SUBSTITUTE(SUBSTITUTE(SUBSTITUTE(SUBSTITUTE(SUBSTITUTE(SUBSTITUTE(SUBSTITUTE(SUBSTITUTE(SUBSTITUTE(SUBSTITUTE(LOWER(IF(LEFT(TEXT('Invullen groen'!E227,"0"),1)="6",'Invullen groen'!K227,IF('Invullen groen'!J227&gt;0,'Invullen groen'!G227,'Invullen groen'!K227))),"2024",""),"2025",""),"2026",""),"2027",""),"2028",""),"2029",""),"taakveld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IF(AND('Invullen groen'!J228&gt;0,'Invullen groen'!J228&lt;&gt;2999999),"+","")</f>
        <v/>
      </c>
      <c r="B196">
        <f>IFERROR(IF('Invullen groen'!H228&gt;0,'Invullen groen'!H228,""),"")</f>
        <v/>
      </c>
      <c r="C196">
        <f>IFERROR(IF('Invullen groen'!J228&gt;0,'Invullen groen'!J228,""),"")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groen'!L228=0,"",INT('Invullen groen'!L228)),"")</f>
        <v/>
      </c>
      <c r="G196" s="236">
        <f>IFERROR(IF('Invullen groen'!M228=0,"",INT('Invullen groen'!M228)),"")</f>
        <v/>
      </c>
      <c r="H196" s="236">
        <f>IFERROR(IF('Invullen groen'!N228=0,"",INT('Invullen groen'!N228)),"")</f>
        <v/>
      </c>
      <c r="I196" s="236">
        <f>IFERROR(IF('Invullen groen'!O228=0,"",INT('Invullen groen'!O228)),"")</f>
        <v/>
      </c>
      <c r="J196">
        <f>IF(AND('Invullen groen'!J228&gt;0,'Invullen groen'!J228&lt;&gt;2999999),IFERROR($K$1&amp;" "&amp;TRIM(SUBSTITUTE(SUBSTITUTE(SUBSTITUTE(SUBSTITUTE(SUBSTITUTE(SUBSTITUTE(SUBSTITUTE(SUBSTITUTE(SUBSTITUTE(SUBSTITUTE(SUBSTITUTE(SUBSTITUTE(LOWER(IF(LEFT(TEXT('Invullen groen'!E228,"0"),1)="6",'Invullen groen'!K228,IF('Invullen groen'!J228&gt;0,'Invullen groen'!G228,'Invullen groen'!K228))),"2024",""),"2025",""),"2026",""),"2027",""),"2028",""),"2029",""),"taakveld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IF(AND('Invullen groen'!J229&gt;0,'Invullen groen'!J229&lt;&gt;2999999),"+","")</f>
        <v/>
      </c>
      <c r="B197">
        <f>IFERROR(IF('Invullen groen'!H229&gt;0,'Invullen groen'!H229,""),"")</f>
        <v/>
      </c>
      <c r="C197">
        <f>IFERROR(IF('Invullen groen'!J229&gt;0,'Invullen groen'!J229,""),"")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groen'!L229=0,"",INT('Invullen groen'!L229)),"")</f>
        <v/>
      </c>
      <c r="G197" s="236">
        <f>IFERROR(IF('Invullen groen'!M229=0,"",INT('Invullen groen'!M229)),"")</f>
        <v/>
      </c>
      <c r="H197" s="236">
        <f>IFERROR(IF('Invullen groen'!N229=0,"",INT('Invullen groen'!N229)),"")</f>
        <v/>
      </c>
      <c r="I197" s="236">
        <f>IFERROR(IF('Invullen groen'!O229=0,"",INT('Invullen groen'!O229)),"")</f>
        <v/>
      </c>
      <c r="J197">
        <f>IF(AND('Invullen groen'!J229&gt;0,'Invullen groen'!J229&lt;&gt;2999999),IFERROR($K$1&amp;" "&amp;TRIM(SUBSTITUTE(SUBSTITUTE(SUBSTITUTE(SUBSTITUTE(SUBSTITUTE(SUBSTITUTE(SUBSTITUTE(SUBSTITUTE(SUBSTITUTE(SUBSTITUTE(SUBSTITUTE(SUBSTITUTE(LOWER(IF(LEFT(TEXT('Invullen groen'!E229,"0"),1)="6",'Invullen groen'!K229,IF('Invullen groen'!J229&gt;0,'Invullen groen'!G229,'Invullen groen'!K229))),"2024",""),"2025",""),"2026",""),"2027",""),"2028",""),"2029",""),"taakveld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IF(AND('Invullen groen'!J230&gt;0,'Invullen groen'!J230&lt;&gt;2999999),"+","")</f>
        <v/>
      </c>
      <c r="B198">
        <f>IFERROR(IF('Invullen groen'!H230&gt;0,'Invullen groen'!H230,""),"")</f>
        <v/>
      </c>
      <c r="C198">
        <f>IFERROR(IF('Invullen groen'!J230&gt;0,'Invullen groen'!J230,""),"")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groen'!L230=0,"",INT('Invullen groen'!L230)),"")</f>
        <v/>
      </c>
      <c r="G198" s="236">
        <f>IFERROR(IF('Invullen groen'!M230=0,"",INT('Invullen groen'!M230)),"")</f>
        <v/>
      </c>
      <c r="H198" s="236">
        <f>IFERROR(IF('Invullen groen'!N230=0,"",INT('Invullen groen'!N230)),"")</f>
        <v/>
      </c>
      <c r="I198" s="236">
        <f>IFERROR(IF('Invullen groen'!O230=0,"",INT('Invullen groen'!O230)),"")</f>
        <v/>
      </c>
      <c r="J198">
        <f>IF(AND('Invullen groen'!J230&gt;0,'Invullen groen'!J230&lt;&gt;2999999),IFERROR($K$1&amp;" "&amp;TRIM(SUBSTITUTE(SUBSTITUTE(SUBSTITUTE(SUBSTITUTE(SUBSTITUTE(SUBSTITUTE(SUBSTITUTE(SUBSTITUTE(SUBSTITUTE(SUBSTITUTE(SUBSTITUTE(SUBSTITUTE(LOWER(IF(LEFT(TEXT('Invullen groen'!E230,"0"),1)="6",'Invullen groen'!K230,IF('Invullen groen'!J230&gt;0,'Invullen groen'!G230,'Invullen groen'!K230))),"2024",""),"2025",""),"2026",""),"2027",""),"2028",""),"2029",""),"taakveld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IF(AND('Invullen groen'!J231&gt;0,'Invullen groen'!J231&lt;&gt;2999999),"+","")</f>
        <v/>
      </c>
      <c r="B199">
        <f>IFERROR(IF('Invullen groen'!H231&gt;0,'Invullen groen'!H231,""),"")</f>
        <v/>
      </c>
      <c r="C199">
        <f>IFERROR(IF('Invullen groen'!J231&gt;0,'Invullen groen'!J231,""),"")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groen'!L231=0,"",INT('Invullen groen'!L231)),"")</f>
        <v/>
      </c>
      <c r="G199" s="236">
        <f>IFERROR(IF('Invullen groen'!M231=0,"",INT('Invullen groen'!M231)),"")</f>
        <v/>
      </c>
      <c r="H199" s="236">
        <f>IFERROR(IF('Invullen groen'!N231=0,"",INT('Invullen groen'!N231)),"")</f>
        <v/>
      </c>
      <c r="I199" s="236">
        <f>IFERROR(IF('Invullen groen'!O231=0,"",INT('Invullen groen'!O231)),"")</f>
        <v/>
      </c>
      <c r="J199">
        <f>IF(AND('Invullen groen'!J231&gt;0,'Invullen groen'!J231&lt;&gt;2999999),IFERROR($K$1&amp;" "&amp;TRIM(SUBSTITUTE(SUBSTITUTE(SUBSTITUTE(SUBSTITUTE(SUBSTITUTE(SUBSTITUTE(SUBSTITUTE(SUBSTITUTE(SUBSTITUTE(SUBSTITUTE(SUBSTITUTE(SUBSTITUTE(LOWER(IF(LEFT(TEXT('Invullen groen'!E231,"0"),1)="6",'Invullen groen'!K231,IF('Invullen groen'!J231&gt;0,'Invullen groen'!G231,'Invullen groen'!K231))),"2024",""),"2025",""),"2026",""),"2027",""),"2028",""),"2029",""),"taakveld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IF(AND('Invullen groen'!J232&gt;0,'Invullen groen'!J232&lt;&gt;2999999),"+","")</f>
        <v/>
      </c>
      <c r="B200">
        <f>IFERROR(IF('Invullen groen'!H232&gt;0,'Invullen groen'!H232,""),"")</f>
        <v/>
      </c>
      <c r="C200">
        <f>IFERROR(IF('Invullen groen'!J232&gt;0,'Invullen groen'!J232,""),"")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groen'!L232=0,"",INT('Invullen groen'!L232)),"")</f>
        <v/>
      </c>
      <c r="G200" s="236">
        <f>IFERROR(IF('Invullen groen'!M232=0,"",INT('Invullen groen'!M232)),"")</f>
        <v/>
      </c>
      <c r="H200" s="236">
        <f>IFERROR(IF('Invullen groen'!N232=0,"",INT('Invullen groen'!N232)),"")</f>
        <v/>
      </c>
      <c r="I200" s="236">
        <f>IFERROR(IF('Invullen groen'!O232=0,"",INT('Invullen groen'!O232)),"")</f>
        <v/>
      </c>
      <c r="J200">
        <f>IF(AND('Invullen groen'!J232&gt;0,'Invullen groen'!J232&lt;&gt;2999999),IFERROR($K$1&amp;" "&amp;TRIM(SUBSTITUTE(SUBSTITUTE(SUBSTITUTE(SUBSTITUTE(SUBSTITUTE(SUBSTITUTE(SUBSTITUTE(SUBSTITUTE(SUBSTITUTE(SUBSTITUTE(SUBSTITUTE(SUBSTITUTE(LOWER(IF(LEFT(TEXT('Invullen groen'!E232,"0"),1)="6",'Invullen groen'!K232,IF('Invullen groen'!J232&gt;0,'Invullen groen'!G232,'Invullen groen'!K232))),"2024",""),"2025",""),"2026",""),"2027",""),"2028",""),"2029",""),"taakveld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IF(AND('Invullen groen'!J233&gt;0,'Invullen groen'!J233&lt;&gt;2999999),"+","")</f>
        <v/>
      </c>
      <c r="B201">
        <f>IFERROR(IF('Invullen groen'!H233&gt;0,'Invullen groen'!H233,""),"")</f>
        <v/>
      </c>
      <c r="C201">
        <f>IFERROR(IF('Invullen groen'!J233&gt;0,'Invullen groen'!J233,""),"")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groen'!L233=0,"",INT('Invullen groen'!L233)),"")</f>
        <v/>
      </c>
      <c r="G201" s="236">
        <f>IFERROR(IF('Invullen groen'!M233=0,"",INT('Invullen groen'!M233)),"")</f>
        <v/>
      </c>
      <c r="H201" s="236">
        <f>IFERROR(IF('Invullen groen'!N233=0,"",INT('Invullen groen'!N233)),"")</f>
        <v/>
      </c>
      <c r="I201" s="236">
        <f>IFERROR(IF('Invullen groen'!O233=0,"",INT('Invullen groen'!O233)),"")</f>
        <v/>
      </c>
      <c r="J201">
        <f>IF(AND('Invullen groen'!J233&gt;0,'Invullen groen'!J233&lt;&gt;2999999),IFERROR($K$1&amp;" "&amp;TRIM(SUBSTITUTE(SUBSTITUTE(SUBSTITUTE(SUBSTITUTE(SUBSTITUTE(SUBSTITUTE(SUBSTITUTE(SUBSTITUTE(SUBSTITUTE(SUBSTITUTE(SUBSTITUTE(SUBSTITUTE(LOWER(IF(LEFT(TEXT('Invullen groen'!E233,"0"),1)="6",'Invullen groen'!K233,IF('Invullen groen'!J233&gt;0,'Invullen groen'!G233,'Invullen groen'!K233))),"2024",""),"2025",""),"2026",""),"2027",""),"2028",""),"2029",""),"taakveld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IF(AND('Invullen groen'!J234&gt;0,'Invullen groen'!J234&lt;&gt;2999999),"+","")</f>
        <v/>
      </c>
      <c r="B202">
        <f>IFERROR(IF('Invullen groen'!H234&gt;0,'Invullen groen'!H234,""),"")</f>
        <v/>
      </c>
      <c r="C202">
        <f>IFERROR(IF('Invullen groen'!J234&gt;0,'Invullen groen'!J234,""),"")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groen'!L234=0,"",INT('Invullen groen'!L234)),"")</f>
        <v/>
      </c>
      <c r="G202" s="236">
        <f>IFERROR(IF('Invullen groen'!M234=0,"",INT('Invullen groen'!M234)),"")</f>
        <v/>
      </c>
      <c r="H202" s="236">
        <f>IFERROR(IF('Invullen groen'!N234=0,"",INT('Invullen groen'!N234)),"")</f>
        <v/>
      </c>
      <c r="I202" s="236">
        <f>IFERROR(IF('Invullen groen'!O234=0,"",INT('Invullen groen'!O234)),"")</f>
        <v/>
      </c>
      <c r="J202">
        <f>IF(AND('Invullen groen'!J234&gt;0,'Invullen groen'!J234&lt;&gt;2999999),IFERROR($K$1&amp;" "&amp;TRIM(SUBSTITUTE(SUBSTITUTE(SUBSTITUTE(SUBSTITUTE(SUBSTITUTE(SUBSTITUTE(SUBSTITUTE(SUBSTITUTE(SUBSTITUTE(SUBSTITUTE(SUBSTITUTE(SUBSTITUTE(LOWER(IF(LEFT(TEXT('Invullen groen'!E234,"0"),1)="6",'Invullen groen'!K234,IF('Invullen groen'!J234&gt;0,'Invullen groen'!G234,'Invullen groen'!K234))),"2024",""),"2025",""),"2026",""),"2027",""),"2028",""),"2029",""),"taakveld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IF(AND('Invullen groen'!J235&gt;0,'Invullen groen'!J235&lt;&gt;2999999),"+","")</f>
        <v/>
      </c>
      <c r="B203">
        <f>IFERROR(IF('Invullen groen'!H235&gt;0,'Invullen groen'!H235,""),"")</f>
        <v/>
      </c>
      <c r="C203">
        <f>IFERROR(IF('Invullen groen'!J235&gt;0,'Invullen groen'!J235,""),"")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groen'!L235=0,"",INT('Invullen groen'!L235)),"")</f>
        <v/>
      </c>
      <c r="G203" s="236">
        <f>IFERROR(IF('Invullen groen'!M235=0,"",INT('Invullen groen'!M235)),"")</f>
        <v/>
      </c>
      <c r="H203" s="236">
        <f>IFERROR(IF('Invullen groen'!N235=0,"",INT('Invullen groen'!N235)),"")</f>
        <v/>
      </c>
      <c r="I203" s="236">
        <f>IFERROR(IF('Invullen groen'!O235=0,"",INT('Invullen groen'!O235)),"")</f>
        <v/>
      </c>
      <c r="J203">
        <f>IF(AND('Invullen groen'!J235&gt;0,'Invullen groen'!J235&lt;&gt;2999999),IFERROR($K$1&amp;" "&amp;TRIM(SUBSTITUTE(SUBSTITUTE(SUBSTITUTE(SUBSTITUTE(SUBSTITUTE(SUBSTITUTE(SUBSTITUTE(SUBSTITUTE(SUBSTITUTE(SUBSTITUTE(SUBSTITUTE(SUBSTITUTE(LOWER(IF(LEFT(TEXT('Invullen groen'!E235,"0"),1)="6",'Invullen groen'!K235,IF('Invullen groen'!J235&gt;0,'Invullen groen'!G235,'Invullen groen'!K235))),"2024",""),"2025",""),"2026",""),"2027",""),"2028",""),"2029",""),"taakveld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IF(AND('Invullen groen'!J236&gt;0,'Invullen groen'!J236&lt;&gt;2999999),"+","")</f>
        <v/>
      </c>
      <c r="B204">
        <f>IFERROR(IF('Invullen groen'!H236&gt;0,'Invullen groen'!H236,""),"")</f>
        <v/>
      </c>
      <c r="C204">
        <f>IFERROR(IF('Invullen groen'!J236&gt;0,'Invullen groen'!J236,""),"")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groen'!L236=0,"",INT('Invullen groen'!L236)),"")</f>
        <v/>
      </c>
      <c r="G204" s="236">
        <f>IFERROR(IF('Invullen groen'!M236=0,"",INT('Invullen groen'!M236)),"")</f>
        <v/>
      </c>
      <c r="H204" s="236">
        <f>IFERROR(IF('Invullen groen'!N236=0,"",INT('Invullen groen'!N236)),"")</f>
        <v/>
      </c>
      <c r="I204" s="236">
        <f>IFERROR(IF('Invullen groen'!O236=0,"",INT('Invullen groen'!O236)),"")</f>
        <v/>
      </c>
      <c r="J204">
        <f>IF(AND('Invullen groen'!J236&gt;0,'Invullen groen'!J236&lt;&gt;2999999),IFERROR($K$1&amp;" "&amp;TRIM(SUBSTITUTE(SUBSTITUTE(SUBSTITUTE(SUBSTITUTE(SUBSTITUTE(SUBSTITUTE(SUBSTITUTE(SUBSTITUTE(SUBSTITUTE(SUBSTITUTE(SUBSTITUTE(SUBSTITUTE(LOWER(IF(LEFT(TEXT('Invullen groen'!E236,"0"),1)="6",'Invullen groen'!K236,IF('Invullen groen'!J236&gt;0,'Invullen groen'!G236,'Invullen groen'!K236))),"2024",""),"2025",""),"2026",""),"2027",""),"2028",""),"2029",""),"taakveld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IF(AND('Invullen groen'!J237&gt;0,'Invullen groen'!J237&lt;&gt;2999999),"+","")</f>
        <v/>
      </c>
      <c r="B205">
        <f>IFERROR(IF('Invullen groen'!H237&gt;0,'Invullen groen'!H237,""),"")</f>
        <v/>
      </c>
      <c r="C205">
        <f>IFERROR(IF('Invullen groen'!J237&gt;0,'Invullen groen'!J237,""),"")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groen'!L237=0,"",INT('Invullen groen'!L237)),"")</f>
        <v/>
      </c>
      <c r="G205" s="236">
        <f>IFERROR(IF('Invullen groen'!M237=0,"",INT('Invullen groen'!M237)),"")</f>
        <v/>
      </c>
      <c r="H205" s="236">
        <f>IFERROR(IF('Invullen groen'!N237=0,"",INT('Invullen groen'!N237)),"")</f>
        <v/>
      </c>
      <c r="I205" s="236">
        <f>IFERROR(IF('Invullen groen'!O237=0,"",INT('Invullen groen'!O237)),"")</f>
        <v/>
      </c>
      <c r="J205">
        <f>IF(AND('Invullen groen'!J237&gt;0,'Invullen groen'!J237&lt;&gt;2999999),IFERROR($K$1&amp;" "&amp;TRIM(SUBSTITUTE(SUBSTITUTE(SUBSTITUTE(SUBSTITUTE(SUBSTITUTE(SUBSTITUTE(SUBSTITUTE(SUBSTITUTE(SUBSTITUTE(SUBSTITUTE(SUBSTITUTE(SUBSTITUTE(LOWER(IF(LEFT(TEXT('Invullen groen'!E237,"0"),1)="6",'Invullen groen'!K237,IF('Invullen groen'!J237&gt;0,'Invullen groen'!G237,'Invullen groen'!K237))),"2024",""),"2025",""),"2026",""),"2027",""),"2028",""),"2029",""),"taakveld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IF(AND('Invullen groen'!J238&gt;0,'Invullen groen'!J238&lt;&gt;2999999),"+","")</f>
        <v/>
      </c>
      <c r="B206">
        <f>IFERROR(IF('Invullen groen'!H238&gt;0,'Invullen groen'!H238,""),"")</f>
        <v/>
      </c>
      <c r="C206">
        <f>IFERROR(IF('Invullen groen'!J238&gt;0,'Invullen groen'!J238,""),"")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groen'!L238=0,"",INT('Invullen groen'!L238)),"")</f>
        <v/>
      </c>
      <c r="G206" s="236">
        <f>IFERROR(IF('Invullen groen'!M238=0,"",INT('Invullen groen'!M238)),"")</f>
        <v/>
      </c>
      <c r="H206" s="236">
        <f>IFERROR(IF('Invullen groen'!N238=0,"",INT('Invullen groen'!N238)),"")</f>
        <v/>
      </c>
      <c r="I206" s="236">
        <f>IFERROR(IF('Invullen groen'!O238=0,"",INT('Invullen groen'!O238)),"")</f>
        <v/>
      </c>
      <c r="J206">
        <f>IF(AND('Invullen groen'!J238&gt;0,'Invullen groen'!J238&lt;&gt;2999999),IFERROR($K$1&amp;" "&amp;TRIM(SUBSTITUTE(SUBSTITUTE(SUBSTITUTE(SUBSTITUTE(SUBSTITUTE(SUBSTITUTE(SUBSTITUTE(SUBSTITUTE(SUBSTITUTE(SUBSTITUTE(SUBSTITUTE(SUBSTITUTE(LOWER(IF(LEFT(TEXT('Invullen groen'!E238,"0"),1)="6",'Invullen groen'!K238,IF('Invullen groen'!J238&gt;0,'Invullen groen'!G238,'Invullen groen'!K238))),"2024",""),"2025",""),"2026",""),"2027",""),"2028",""),"2029",""),"taakveld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IF(AND('Invullen groen'!J239&gt;0,'Invullen groen'!J239&lt;&gt;2999999),"+","")</f>
        <v/>
      </c>
      <c r="B207">
        <f>IFERROR(IF('Invullen groen'!H239&gt;0,'Invullen groen'!H239,""),"")</f>
        <v/>
      </c>
      <c r="C207">
        <f>IFERROR(IF('Invullen groen'!J239&gt;0,'Invullen groen'!J239,""),"")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groen'!L239=0,"",INT('Invullen groen'!L239)),"")</f>
        <v/>
      </c>
      <c r="G207" s="236">
        <f>IFERROR(IF('Invullen groen'!M239=0,"",INT('Invullen groen'!M239)),"")</f>
        <v/>
      </c>
      <c r="H207" s="236">
        <f>IFERROR(IF('Invullen groen'!N239=0,"",INT('Invullen groen'!N239)),"")</f>
        <v/>
      </c>
      <c r="I207" s="236">
        <f>IFERROR(IF('Invullen groen'!O239=0,"",INT('Invullen groen'!O239)),"")</f>
        <v/>
      </c>
      <c r="J207">
        <f>IF(AND('Invullen groen'!J239&gt;0,'Invullen groen'!J239&lt;&gt;2999999),IFERROR($K$1&amp;" "&amp;TRIM(SUBSTITUTE(SUBSTITUTE(SUBSTITUTE(SUBSTITUTE(SUBSTITUTE(SUBSTITUTE(SUBSTITUTE(SUBSTITUTE(SUBSTITUTE(SUBSTITUTE(SUBSTITUTE(SUBSTITUTE(LOWER(IF(LEFT(TEXT('Invullen groen'!E239,"0"),1)="6",'Invullen groen'!K239,IF('Invullen groen'!J239&gt;0,'Invullen groen'!G239,'Invullen groen'!K239))),"2024",""),"2025",""),"2026",""),"2027",""),"2028",""),"2029",""),"taakveld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IF(AND('Invullen groen'!J240&gt;0,'Invullen groen'!J240&lt;&gt;2999999),"+","")</f>
        <v/>
      </c>
      <c r="B208">
        <f>IFERROR(IF('Invullen groen'!H240&gt;0,'Invullen groen'!H240,""),"")</f>
        <v/>
      </c>
      <c r="C208">
        <f>IFERROR(IF('Invullen groen'!J240&gt;0,'Invullen groen'!J240,""),"")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groen'!L240=0,"",INT('Invullen groen'!L240)),"")</f>
        <v/>
      </c>
      <c r="G208" s="236">
        <f>IFERROR(IF('Invullen groen'!M240=0,"",INT('Invullen groen'!M240)),"")</f>
        <v/>
      </c>
      <c r="H208" s="236">
        <f>IFERROR(IF('Invullen groen'!N240=0,"",INT('Invullen groen'!N240)),"")</f>
        <v/>
      </c>
      <c r="I208" s="236">
        <f>IFERROR(IF('Invullen groen'!O240=0,"",INT('Invullen groen'!O240)),"")</f>
        <v/>
      </c>
      <c r="J208">
        <f>IF(AND('Invullen groen'!J240&gt;0,'Invullen groen'!J240&lt;&gt;2999999),IFERROR($K$1&amp;" "&amp;TRIM(SUBSTITUTE(SUBSTITUTE(SUBSTITUTE(SUBSTITUTE(SUBSTITUTE(SUBSTITUTE(SUBSTITUTE(SUBSTITUTE(SUBSTITUTE(SUBSTITUTE(SUBSTITUTE(SUBSTITUTE(LOWER(IF(LEFT(TEXT('Invullen groen'!E240,"0"),1)="6",'Invullen groen'!K240,IF('Invullen groen'!J240&gt;0,'Invullen groen'!G240,'Invullen groen'!K240))),"2024",""),"2025",""),"2026",""),"2027",""),"2028",""),"2029",""),"taakveld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IF(AND('Invullen groen'!J241&gt;0,'Invullen groen'!J241&lt;&gt;2999999),"+","")</f>
        <v/>
      </c>
      <c r="B209">
        <f>IFERROR(IF('Invullen groen'!H241&gt;0,'Invullen groen'!H241,""),"")</f>
        <v/>
      </c>
      <c r="C209">
        <f>IFERROR(IF('Invullen groen'!J241&gt;0,'Invullen groen'!J241,""),"")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groen'!L241=0,"",INT('Invullen groen'!L241)),"")</f>
        <v/>
      </c>
      <c r="G209" s="236">
        <f>IFERROR(IF('Invullen groen'!M241=0,"",INT('Invullen groen'!M241)),"")</f>
        <v/>
      </c>
      <c r="H209" s="236">
        <f>IFERROR(IF('Invullen groen'!N241=0,"",INT('Invullen groen'!N241)),"")</f>
        <v/>
      </c>
      <c r="I209" s="236">
        <f>IFERROR(IF('Invullen groen'!O241=0,"",INT('Invullen groen'!O241)),"")</f>
        <v/>
      </c>
      <c r="J209">
        <f>IF(AND('Invullen groen'!J241&gt;0,'Invullen groen'!J241&lt;&gt;2999999),IFERROR($K$1&amp;" "&amp;TRIM(SUBSTITUTE(SUBSTITUTE(SUBSTITUTE(SUBSTITUTE(SUBSTITUTE(SUBSTITUTE(SUBSTITUTE(SUBSTITUTE(SUBSTITUTE(SUBSTITUTE(SUBSTITUTE(SUBSTITUTE(LOWER(IF(LEFT(TEXT('Invullen groen'!E241,"0"),1)="6",'Invullen groen'!K241,IF('Invullen groen'!J241&gt;0,'Invullen groen'!G241,'Invullen groen'!K241))),"2024",""),"2025",""),"2026",""),"2027",""),"2028",""),"2029",""),"taakveld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IF(AND('Invullen groen'!J242&gt;0,'Invullen groen'!J242&lt;&gt;2999999),"+","")</f>
        <v/>
      </c>
      <c r="B210">
        <f>IFERROR(IF('Invullen groen'!H242&gt;0,'Invullen groen'!H242,""),"")</f>
        <v/>
      </c>
      <c r="C210">
        <f>IFERROR(IF('Invullen groen'!J242&gt;0,'Invullen groen'!J242,""),"")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groen'!L242=0,"",INT('Invullen groen'!L242)),"")</f>
        <v/>
      </c>
      <c r="G210" s="236">
        <f>IFERROR(IF('Invullen groen'!M242=0,"",INT('Invullen groen'!M242)),"")</f>
        <v/>
      </c>
      <c r="H210" s="236">
        <f>IFERROR(IF('Invullen groen'!N242=0,"",INT('Invullen groen'!N242)),"")</f>
        <v/>
      </c>
      <c r="I210" s="236">
        <f>IFERROR(IF('Invullen groen'!O242=0,"",INT('Invullen groen'!O242)),"")</f>
        <v/>
      </c>
      <c r="J210">
        <f>IF(AND('Invullen groen'!J242&gt;0,'Invullen groen'!J242&lt;&gt;2999999),IFERROR($K$1&amp;" "&amp;TRIM(SUBSTITUTE(SUBSTITUTE(SUBSTITUTE(SUBSTITUTE(SUBSTITUTE(SUBSTITUTE(SUBSTITUTE(SUBSTITUTE(SUBSTITUTE(SUBSTITUTE(SUBSTITUTE(SUBSTITUTE(LOWER(IF(LEFT(TEXT('Invullen groen'!E242,"0"),1)="6",'Invullen groen'!K242,IF('Invullen groen'!J242&gt;0,'Invullen groen'!G242,'Invullen groen'!K242))),"2024",""),"2025",""),"2026",""),"2027",""),"2028",""),"2029",""),"taakveld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IF(AND('Invullen groen'!J243&gt;0,'Invullen groen'!J243&lt;&gt;2999999),"+","")</f>
        <v/>
      </c>
      <c r="B211">
        <f>IFERROR(IF('Invullen groen'!H243&gt;0,'Invullen groen'!H243,""),"")</f>
        <v/>
      </c>
      <c r="C211">
        <f>IFERROR(IF('Invullen groen'!J243&gt;0,'Invullen groen'!J243,""),"")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groen'!L243=0,"",INT('Invullen groen'!L243)),"")</f>
        <v/>
      </c>
      <c r="G211" s="236">
        <f>IFERROR(IF('Invullen groen'!M243=0,"",INT('Invullen groen'!M243)),"")</f>
        <v/>
      </c>
      <c r="H211" s="236">
        <f>IFERROR(IF('Invullen groen'!N243=0,"",INT('Invullen groen'!N243)),"")</f>
        <v/>
      </c>
      <c r="I211" s="236">
        <f>IFERROR(IF('Invullen groen'!O243=0,"",INT('Invullen groen'!O243)),"")</f>
        <v/>
      </c>
      <c r="J211">
        <f>IF(AND('Invullen groen'!J243&gt;0,'Invullen groen'!J243&lt;&gt;2999999),IFERROR($K$1&amp;" "&amp;TRIM(SUBSTITUTE(SUBSTITUTE(SUBSTITUTE(SUBSTITUTE(SUBSTITUTE(SUBSTITUTE(SUBSTITUTE(SUBSTITUTE(SUBSTITUTE(SUBSTITUTE(SUBSTITUTE(SUBSTITUTE(LOWER(IF(LEFT(TEXT('Invullen groen'!E243,"0"),1)="6",'Invullen groen'!K243,IF('Invullen groen'!J243&gt;0,'Invullen groen'!G243,'Invullen groen'!K243))),"2024",""),"2025",""),"2026",""),"2027",""),"2028",""),"2029",""),"taakveld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IF(AND('Invullen groen'!J244&gt;0,'Invullen groen'!J244&lt;&gt;2999999),"+","")</f>
        <v/>
      </c>
      <c r="B212">
        <f>IFERROR(IF('Invullen groen'!H244&gt;0,'Invullen groen'!H244,""),"")</f>
        <v/>
      </c>
      <c r="C212">
        <f>IFERROR(IF('Invullen groen'!J244&gt;0,'Invullen groen'!J244,""),"")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groen'!L244=0,"",INT('Invullen groen'!L244)),"")</f>
        <v/>
      </c>
      <c r="G212" s="236">
        <f>IFERROR(IF('Invullen groen'!M244=0,"",INT('Invullen groen'!M244)),"")</f>
        <v/>
      </c>
      <c r="H212" s="236">
        <f>IFERROR(IF('Invullen groen'!N244=0,"",INT('Invullen groen'!N244)),"")</f>
        <v/>
      </c>
      <c r="I212" s="236">
        <f>IFERROR(IF('Invullen groen'!O244=0,"",INT('Invullen groen'!O244)),"")</f>
        <v/>
      </c>
      <c r="J212">
        <f>IF(AND('Invullen groen'!J244&gt;0,'Invullen groen'!J244&lt;&gt;2999999),IFERROR($K$1&amp;" "&amp;TRIM(SUBSTITUTE(SUBSTITUTE(SUBSTITUTE(SUBSTITUTE(SUBSTITUTE(SUBSTITUTE(SUBSTITUTE(SUBSTITUTE(SUBSTITUTE(SUBSTITUTE(SUBSTITUTE(SUBSTITUTE(LOWER(IF(LEFT(TEXT('Invullen groen'!E244,"0"),1)="6",'Invullen groen'!K244,IF('Invullen groen'!J244&gt;0,'Invullen groen'!G244,'Invullen groen'!K244))),"2024",""),"2025",""),"2026",""),"2027",""),"2028",""),"2029",""),"taakveld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IF(AND('Invullen groen'!J245&gt;0,'Invullen groen'!J245&lt;&gt;2999999),"+","")</f>
        <v/>
      </c>
      <c r="B213">
        <f>IFERROR(IF('Invullen groen'!H245&gt;0,'Invullen groen'!H245,""),"")</f>
        <v/>
      </c>
      <c r="C213">
        <f>IFERROR(IF('Invullen groen'!J245&gt;0,'Invullen groen'!J245,""),"")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groen'!L245=0,"",INT('Invullen groen'!L245)),"")</f>
        <v/>
      </c>
      <c r="G213" s="236">
        <f>IFERROR(IF('Invullen groen'!M245=0,"",INT('Invullen groen'!M245)),"")</f>
        <v/>
      </c>
      <c r="H213" s="236">
        <f>IFERROR(IF('Invullen groen'!N245=0,"",INT('Invullen groen'!N245)),"")</f>
        <v/>
      </c>
      <c r="I213" s="236">
        <f>IFERROR(IF('Invullen groen'!O245=0,"",INT('Invullen groen'!O245)),"")</f>
        <v/>
      </c>
      <c r="J213">
        <f>IF(AND('Invullen groen'!J245&gt;0,'Invullen groen'!J245&lt;&gt;2999999),IFERROR($K$1&amp;" "&amp;TRIM(SUBSTITUTE(SUBSTITUTE(SUBSTITUTE(SUBSTITUTE(SUBSTITUTE(SUBSTITUTE(SUBSTITUTE(SUBSTITUTE(SUBSTITUTE(SUBSTITUTE(SUBSTITUTE(SUBSTITUTE(LOWER(IF(LEFT(TEXT('Invullen groen'!E245,"0"),1)="6",'Invullen groen'!K245,IF('Invullen groen'!J245&gt;0,'Invullen groen'!G245,'Invullen groen'!K245))),"2024",""),"2025",""),"2026",""),"2027",""),"2028",""),"2029",""),"taakveld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IF(AND('Invullen groen'!J246&gt;0,'Invullen groen'!J246&lt;&gt;2999999),"+","")</f>
        <v/>
      </c>
      <c r="B214">
        <f>IFERROR(IF('Invullen groen'!H246&gt;0,'Invullen groen'!H246,""),"")</f>
        <v/>
      </c>
      <c r="C214">
        <f>IFERROR(IF('Invullen groen'!J246&gt;0,'Invullen groen'!J246,""),"")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groen'!L246=0,"",INT('Invullen groen'!L246)),"")</f>
        <v/>
      </c>
      <c r="G214" s="236">
        <f>IFERROR(IF('Invullen groen'!M246=0,"",INT('Invullen groen'!M246)),"")</f>
        <v/>
      </c>
      <c r="H214" s="236">
        <f>IFERROR(IF('Invullen groen'!N246=0,"",INT('Invullen groen'!N246)),"")</f>
        <v/>
      </c>
      <c r="I214" s="236">
        <f>IFERROR(IF('Invullen groen'!O246=0,"",INT('Invullen groen'!O246)),"")</f>
        <v/>
      </c>
      <c r="J214">
        <f>IF(AND('Invullen groen'!J246&gt;0,'Invullen groen'!J246&lt;&gt;2999999),IFERROR($K$1&amp;" "&amp;TRIM(SUBSTITUTE(SUBSTITUTE(SUBSTITUTE(SUBSTITUTE(SUBSTITUTE(SUBSTITUTE(SUBSTITUTE(SUBSTITUTE(SUBSTITUTE(SUBSTITUTE(SUBSTITUTE(SUBSTITUTE(LOWER(IF(LEFT(TEXT('Invullen groen'!E246,"0"),1)="6",'Invullen groen'!K246,IF('Invullen groen'!J246&gt;0,'Invullen groen'!G246,'Invullen groen'!K246))),"2024",""),"2025",""),"2026",""),"2027",""),"2028",""),"2029",""),"taakveld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IF(AND('Invullen groen'!J247&gt;0,'Invullen groen'!J247&lt;&gt;2999999),"+","")</f>
        <v/>
      </c>
      <c r="B215">
        <f>IFERROR(IF('Invullen groen'!H247&gt;0,'Invullen groen'!H247,""),"")</f>
        <v/>
      </c>
      <c r="C215">
        <f>IFERROR(IF('Invullen groen'!J247&gt;0,'Invullen groen'!J247,""),"")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groen'!L247=0,"",INT('Invullen groen'!L247)),"")</f>
        <v/>
      </c>
      <c r="G215" s="236">
        <f>IFERROR(IF('Invullen groen'!M247=0,"",INT('Invullen groen'!M247)),"")</f>
        <v/>
      </c>
      <c r="H215" s="236">
        <f>IFERROR(IF('Invullen groen'!N247=0,"",INT('Invullen groen'!N247)),"")</f>
        <v/>
      </c>
      <c r="I215" s="236">
        <f>IFERROR(IF('Invullen groen'!O247=0,"",INT('Invullen groen'!O247)),"")</f>
        <v/>
      </c>
      <c r="J215">
        <f>IF(AND('Invullen groen'!J247&gt;0,'Invullen groen'!J247&lt;&gt;2999999),IFERROR($K$1&amp;" "&amp;TRIM(SUBSTITUTE(SUBSTITUTE(SUBSTITUTE(SUBSTITUTE(SUBSTITUTE(SUBSTITUTE(SUBSTITUTE(SUBSTITUTE(SUBSTITUTE(SUBSTITUTE(SUBSTITUTE(SUBSTITUTE(LOWER(IF(LEFT(TEXT('Invullen groen'!E247,"0"),1)="6",'Invullen groen'!K247,IF('Invullen groen'!J247&gt;0,'Invullen groen'!G247,'Invullen groen'!K247))),"2024",""),"2025",""),"2026",""),"2027",""),"2028",""),"2029",""),"taakveld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IF(AND('Invullen groen'!J248&gt;0,'Invullen groen'!J248&lt;&gt;2999999),"+","")</f>
        <v/>
      </c>
      <c r="B216">
        <f>IFERROR(IF('Invullen groen'!H248&gt;0,'Invullen groen'!H248,""),"")</f>
        <v/>
      </c>
      <c r="C216">
        <f>IFERROR(IF('Invullen groen'!J248&gt;0,'Invullen groen'!J248,""),"")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groen'!L248=0,"",INT('Invullen groen'!L248)),"")</f>
        <v/>
      </c>
      <c r="G216" s="236">
        <f>IFERROR(IF('Invullen groen'!M248=0,"",INT('Invullen groen'!M248)),"")</f>
        <v/>
      </c>
      <c r="H216" s="236">
        <f>IFERROR(IF('Invullen groen'!N248=0,"",INT('Invullen groen'!N248)),"")</f>
        <v/>
      </c>
      <c r="I216" s="236">
        <f>IFERROR(IF('Invullen groen'!O248=0,"",INT('Invullen groen'!O248)),"")</f>
        <v/>
      </c>
      <c r="J216">
        <f>IF(AND('Invullen groen'!J248&gt;0,'Invullen groen'!J248&lt;&gt;2999999),IFERROR($K$1&amp;" "&amp;TRIM(SUBSTITUTE(SUBSTITUTE(SUBSTITUTE(SUBSTITUTE(SUBSTITUTE(SUBSTITUTE(SUBSTITUTE(SUBSTITUTE(SUBSTITUTE(SUBSTITUTE(SUBSTITUTE(SUBSTITUTE(LOWER(IF(LEFT(TEXT('Invullen groen'!E248,"0"),1)="6",'Invullen groen'!K248,IF('Invullen groen'!J248&gt;0,'Invullen groen'!G248,'Invullen groen'!K248))),"2024",""),"2025",""),"2026",""),"2027",""),"2028",""),"2029",""),"taakveld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IF(AND('Invullen groen'!J249&gt;0,'Invullen groen'!J249&lt;&gt;2999999),"+","")</f>
        <v/>
      </c>
      <c r="B217">
        <f>IFERROR(IF('Invullen groen'!H249&gt;0,'Invullen groen'!H249,""),"")</f>
        <v/>
      </c>
      <c r="C217">
        <f>IFERROR(IF('Invullen groen'!J249&gt;0,'Invullen groen'!J249,""),"")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groen'!L249=0,"",INT('Invullen groen'!L249)),"")</f>
        <v/>
      </c>
      <c r="G217" s="236">
        <f>IFERROR(IF('Invullen groen'!M249=0,"",INT('Invullen groen'!M249)),"")</f>
        <v/>
      </c>
      <c r="H217" s="236">
        <f>IFERROR(IF('Invullen groen'!N249=0,"",INT('Invullen groen'!N249)),"")</f>
        <v/>
      </c>
      <c r="I217" s="236">
        <f>IFERROR(IF('Invullen groen'!O249=0,"",INT('Invullen groen'!O249)),"")</f>
        <v/>
      </c>
      <c r="J217">
        <f>IF(AND('Invullen groen'!J249&gt;0,'Invullen groen'!J249&lt;&gt;2999999),IFERROR($K$1&amp;" "&amp;TRIM(SUBSTITUTE(SUBSTITUTE(SUBSTITUTE(SUBSTITUTE(SUBSTITUTE(SUBSTITUTE(SUBSTITUTE(SUBSTITUTE(SUBSTITUTE(SUBSTITUTE(SUBSTITUTE(SUBSTITUTE(LOWER(IF(LEFT(TEXT('Invullen groen'!E249,"0"),1)="6",'Invullen groen'!K249,IF('Invullen groen'!J249&gt;0,'Invullen groen'!G249,'Invullen groen'!K249))),"2024",""),"2025",""),"2026",""),"2027",""),"2028",""),"2029",""),"taakveld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IF(AND('Invullen groen'!J250&gt;0,'Invullen groen'!J250&lt;&gt;2999999),"+","")</f>
        <v/>
      </c>
      <c r="B218">
        <f>IFERROR(IF('Invullen groen'!H250&gt;0,'Invullen groen'!H250,""),"")</f>
        <v/>
      </c>
      <c r="C218">
        <f>IFERROR(IF('Invullen groen'!J250&gt;0,'Invullen groen'!J250,""),"")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groen'!L250=0,"",INT('Invullen groen'!L250)),"")</f>
        <v/>
      </c>
      <c r="G218" s="236">
        <f>IFERROR(IF('Invullen groen'!M250=0,"",INT('Invullen groen'!M250)),"")</f>
        <v/>
      </c>
      <c r="H218" s="236">
        <f>IFERROR(IF('Invullen groen'!N250=0,"",INT('Invullen groen'!N250)),"")</f>
        <v/>
      </c>
      <c r="I218" s="236">
        <f>IFERROR(IF('Invullen groen'!O250=0,"",INT('Invullen groen'!O250)),"")</f>
        <v/>
      </c>
      <c r="J218">
        <f>IF(AND('Invullen groen'!J250&gt;0,'Invullen groen'!J250&lt;&gt;2999999),IFERROR($K$1&amp;" "&amp;TRIM(SUBSTITUTE(SUBSTITUTE(SUBSTITUTE(SUBSTITUTE(SUBSTITUTE(SUBSTITUTE(SUBSTITUTE(SUBSTITUTE(SUBSTITUTE(SUBSTITUTE(SUBSTITUTE(SUBSTITUTE(LOWER(IF(LEFT(TEXT('Invullen groen'!E250,"0"),1)="6",'Invullen groen'!K250,IF('Invullen groen'!J250&gt;0,'Invullen groen'!G250,'Invullen groen'!K250))),"2024",""),"2025",""),"2026",""),"2027",""),"2028",""),"2029",""),"taakveld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IF(AND('Invullen groen'!J251&gt;0,'Invullen groen'!J251&lt;&gt;2999999),"+","")</f>
        <v/>
      </c>
      <c r="B219">
        <f>IFERROR(IF('Invullen groen'!H251&gt;0,'Invullen groen'!H251,""),"")</f>
        <v/>
      </c>
      <c r="C219">
        <f>IFERROR(IF('Invullen groen'!J251&gt;0,'Invullen groen'!J251,""),"")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groen'!L251=0,"",INT('Invullen groen'!L251)),"")</f>
        <v/>
      </c>
      <c r="G219" s="236">
        <f>IFERROR(IF('Invullen groen'!M251=0,"",INT('Invullen groen'!M251)),"")</f>
        <v/>
      </c>
      <c r="H219" s="236">
        <f>IFERROR(IF('Invullen groen'!N251=0,"",INT('Invullen groen'!N251)),"")</f>
        <v/>
      </c>
      <c r="I219" s="236">
        <f>IFERROR(IF('Invullen groen'!O251=0,"",INT('Invullen groen'!O251)),"")</f>
        <v/>
      </c>
      <c r="J219">
        <f>IF(AND('Invullen groen'!J251&gt;0,'Invullen groen'!J251&lt;&gt;2999999),IFERROR($K$1&amp;" "&amp;TRIM(SUBSTITUTE(SUBSTITUTE(SUBSTITUTE(SUBSTITUTE(SUBSTITUTE(SUBSTITUTE(SUBSTITUTE(SUBSTITUTE(SUBSTITUTE(SUBSTITUTE(SUBSTITUTE(SUBSTITUTE(LOWER(IF(LEFT(TEXT('Invullen groen'!E251,"0"),1)="6",'Invullen groen'!K251,IF('Invullen groen'!J251&gt;0,'Invullen groen'!G251,'Invullen groen'!K251))),"2024",""),"2025",""),"2026",""),"2027",""),"2028",""),"2029",""),"taakveld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IF(AND('Invullen groen'!J252&gt;0,'Invullen groen'!J252&lt;&gt;2999999),"+","")</f>
        <v/>
      </c>
      <c r="B220">
        <f>IFERROR(IF('Invullen groen'!H252&gt;0,'Invullen groen'!H252,""),"")</f>
        <v/>
      </c>
      <c r="C220">
        <f>IFERROR(IF('Invullen groen'!J252&gt;0,'Invullen groen'!J252,""),"")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groen'!L252=0,"",INT('Invullen groen'!L252)),"")</f>
        <v/>
      </c>
      <c r="G220" s="236">
        <f>IFERROR(IF('Invullen groen'!M252=0,"",INT('Invullen groen'!M252)),"")</f>
        <v/>
      </c>
      <c r="H220" s="236">
        <f>IFERROR(IF('Invullen groen'!N252=0,"",INT('Invullen groen'!N252)),"")</f>
        <v/>
      </c>
      <c r="I220" s="236">
        <f>IFERROR(IF('Invullen groen'!O252=0,"",INT('Invullen groen'!O252)),"")</f>
        <v/>
      </c>
      <c r="J220">
        <f>IF(AND('Invullen groen'!J252&gt;0,'Invullen groen'!J252&lt;&gt;2999999),IFERROR($K$1&amp;" "&amp;TRIM(SUBSTITUTE(SUBSTITUTE(SUBSTITUTE(SUBSTITUTE(SUBSTITUTE(SUBSTITUTE(SUBSTITUTE(SUBSTITUTE(SUBSTITUTE(SUBSTITUTE(SUBSTITUTE(SUBSTITUTE(LOWER(IF(LEFT(TEXT('Invullen groen'!E252,"0"),1)="6",'Invullen groen'!K252,IF('Invullen groen'!J252&gt;0,'Invullen groen'!G252,'Invullen groen'!K252))),"2024",""),"2025",""),"2026",""),"2027",""),"2028",""),"2029",""),"taakveld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IF(AND('Invullen groen'!J253&gt;0,'Invullen groen'!J253&lt;&gt;2999999),"+","")</f>
        <v/>
      </c>
      <c r="B221">
        <f>IFERROR(IF('Invullen groen'!H253&gt;0,'Invullen groen'!H253,""),"")</f>
        <v/>
      </c>
      <c r="C221">
        <f>IFERROR(IF('Invullen groen'!J253&gt;0,'Invullen groen'!J253,""),"")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groen'!L253=0,"",INT('Invullen groen'!L253)),"")</f>
        <v/>
      </c>
      <c r="G221" s="236">
        <f>IFERROR(IF('Invullen groen'!M253=0,"",INT('Invullen groen'!M253)),"")</f>
        <v/>
      </c>
      <c r="H221" s="236">
        <f>IFERROR(IF('Invullen groen'!N253=0,"",INT('Invullen groen'!N253)),"")</f>
        <v/>
      </c>
      <c r="I221" s="236">
        <f>IFERROR(IF('Invullen groen'!O253=0,"",INT('Invullen groen'!O253)),"")</f>
        <v/>
      </c>
      <c r="J221">
        <f>IF(AND('Invullen groen'!J253&gt;0,'Invullen groen'!J253&lt;&gt;2999999),IFERROR($K$1&amp;" "&amp;TRIM(SUBSTITUTE(SUBSTITUTE(SUBSTITUTE(SUBSTITUTE(SUBSTITUTE(SUBSTITUTE(SUBSTITUTE(SUBSTITUTE(SUBSTITUTE(SUBSTITUTE(SUBSTITUTE(SUBSTITUTE(LOWER(IF(LEFT(TEXT('Invullen groen'!E253,"0"),1)="6",'Invullen groen'!K253,IF('Invullen groen'!J253&gt;0,'Invullen groen'!G253,'Invullen groen'!K253))),"2024",""),"2025",""),"2026",""),"2027",""),"2028",""),"2029",""),"taakveld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IF(AND('Invullen groen'!J254&gt;0,'Invullen groen'!J254&lt;&gt;2999999),"+","")</f>
        <v/>
      </c>
      <c r="B222">
        <f>IFERROR(IF('Invullen groen'!H254&gt;0,'Invullen groen'!H254,""),"")</f>
        <v/>
      </c>
      <c r="C222">
        <f>IFERROR(IF('Invullen groen'!J254&gt;0,'Invullen groen'!J254,""),"")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groen'!L254=0,"",INT('Invullen groen'!L254)),"")</f>
        <v/>
      </c>
      <c r="G222" s="236">
        <f>IFERROR(IF('Invullen groen'!M254=0,"",INT('Invullen groen'!M254)),"")</f>
        <v/>
      </c>
      <c r="H222" s="236">
        <f>IFERROR(IF('Invullen groen'!N254=0,"",INT('Invullen groen'!N254)),"")</f>
        <v/>
      </c>
      <c r="I222" s="236">
        <f>IFERROR(IF('Invullen groen'!O254=0,"",INT('Invullen groen'!O254)),"")</f>
        <v/>
      </c>
      <c r="J222">
        <f>IF(AND('Invullen groen'!J254&gt;0,'Invullen groen'!J254&lt;&gt;2999999),IFERROR($K$1&amp;" "&amp;TRIM(SUBSTITUTE(SUBSTITUTE(SUBSTITUTE(SUBSTITUTE(SUBSTITUTE(SUBSTITUTE(SUBSTITUTE(SUBSTITUTE(SUBSTITUTE(SUBSTITUTE(SUBSTITUTE(SUBSTITUTE(LOWER(IF(LEFT(TEXT('Invullen groen'!E254,"0"),1)="6",'Invullen groen'!K254,IF('Invullen groen'!J254&gt;0,'Invullen groen'!G254,'Invullen groen'!K254))),"2024",""),"2025",""),"2026",""),"2027",""),"2028",""),"2029",""),"taakveld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IF(AND('Invullen groen'!J255&gt;0,'Invullen groen'!J255&lt;&gt;2999999),"+","")</f>
        <v/>
      </c>
      <c r="B223">
        <f>IFERROR(IF('Invullen groen'!H255&gt;0,'Invullen groen'!H255,""),"")</f>
        <v/>
      </c>
      <c r="C223">
        <f>IFERROR(IF('Invullen groen'!J255&gt;0,'Invullen groen'!J255,""),"")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groen'!L255=0,"",INT('Invullen groen'!L255)),"")</f>
        <v/>
      </c>
      <c r="G223" s="236">
        <f>IFERROR(IF('Invullen groen'!M255=0,"",INT('Invullen groen'!M255)),"")</f>
        <v/>
      </c>
      <c r="H223" s="236">
        <f>IFERROR(IF('Invullen groen'!N255=0,"",INT('Invullen groen'!N255)),"")</f>
        <v/>
      </c>
      <c r="I223" s="236">
        <f>IFERROR(IF('Invullen groen'!O255=0,"",INT('Invullen groen'!O255)),"")</f>
        <v/>
      </c>
      <c r="J223">
        <f>IF(AND('Invullen groen'!J255&gt;0,'Invullen groen'!J255&lt;&gt;2999999),IFERROR($K$1&amp;" "&amp;TRIM(SUBSTITUTE(SUBSTITUTE(SUBSTITUTE(SUBSTITUTE(SUBSTITUTE(SUBSTITUTE(SUBSTITUTE(SUBSTITUTE(SUBSTITUTE(SUBSTITUTE(SUBSTITUTE(SUBSTITUTE(LOWER(IF(LEFT(TEXT('Invullen groen'!E255,"0"),1)="6",'Invullen groen'!K255,IF('Invullen groen'!J255&gt;0,'Invullen groen'!G255,'Invullen groen'!K255))),"2024",""),"2025",""),"2026",""),"2027",""),"2028",""),"2029",""),"taakveld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IF(AND('Invullen groen'!J256&gt;0,'Invullen groen'!J256&lt;&gt;2999999),"+","")</f>
        <v/>
      </c>
      <c r="B224">
        <f>IFERROR(IF('Invullen groen'!H256&gt;0,'Invullen groen'!H256,""),"")</f>
        <v/>
      </c>
      <c r="C224">
        <f>IFERROR(IF('Invullen groen'!J256&gt;0,'Invullen groen'!J256,""),"")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groen'!L256=0,"",INT('Invullen groen'!L256)),"")</f>
        <v/>
      </c>
      <c r="G224" s="236">
        <f>IFERROR(IF('Invullen groen'!M256=0,"",INT('Invullen groen'!M256)),"")</f>
        <v/>
      </c>
      <c r="H224" s="236">
        <f>IFERROR(IF('Invullen groen'!N256=0,"",INT('Invullen groen'!N256)),"")</f>
        <v/>
      </c>
      <c r="I224" s="236">
        <f>IFERROR(IF('Invullen groen'!O256=0,"",INT('Invullen groen'!O256)),"")</f>
        <v/>
      </c>
      <c r="J224">
        <f>IF(AND('Invullen groen'!J256&gt;0,'Invullen groen'!J256&lt;&gt;2999999),IFERROR($K$1&amp;" "&amp;TRIM(SUBSTITUTE(SUBSTITUTE(SUBSTITUTE(SUBSTITUTE(SUBSTITUTE(SUBSTITUTE(SUBSTITUTE(SUBSTITUTE(SUBSTITUTE(SUBSTITUTE(SUBSTITUTE(SUBSTITUTE(LOWER(IF(LEFT(TEXT('Invullen groen'!E256,"0"),1)="6",'Invullen groen'!K256,IF('Invullen groen'!J256&gt;0,'Invullen groen'!G256,'Invullen groen'!K256))),"2024",""),"2025",""),"2026",""),"2027",""),"2028",""),"2029",""),"taakveld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IF(AND('Invullen groen'!J257&gt;0,'Invullen groen'!J257&lt;&gt;2999999),"+","")</f>
        <v/>
      </c>
      <c r="B225">
        <f>IFERROR(IF('Invullen groen'!H257&gt;0,'Invullen groen'!H257,""),"")</f>
        <v/>
      </c>
      <c r="C225">
        <f>IFERROR(IF('Invullen groen'!J257&gt;0,'Invullen groen'!J257,""),"")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groen'!L257=0,"",INT('Invullen groen'!L257)),"")</f>
        <v/>
      </c>
      <c r="G225" s="236">
        <f>IFERROR(IF('Invullen groen'!M257=0,"",INT('Invullen groen'!M257)),"")</f>
        <v/>
      </c>
      <c r="H225" s="236">
        <f>IFERROR(IF('Invullen groen'!N257=0,"",INT('Invullen groen'!N257)),"")</f>
        <v/>
      </c>
      <c r="I225" s="236">
        <f>IFERROR(IF('Invullen groen'!O257=0,"",INT('Invullen groen'!O257)),"")</f>
        <v/>
      </c>
      <c r="J225">
        <f>IF(AND('Invullen groen'!J257&gt;0,'Invullen groen'!J257&lt;&gt;2999999),IFERROR($K$1&amp;" "&amp;TRIM(SUBSTITUTE(SUBSTITUTE(SUBSTITUTE(SUBSTITUTE(SUBSTITUTE(SUBSTITUTE(SUBSTITUTE(SUBSTITUTE(SUBSTITUTE(SUBSTITUTE(SUBSTITUTE(SUBSTITUTE(LOWER(IF(LEFT(TEXT('Invullen groen'!E257,"0"),1)="6",'Invullen groen'!K257,IF('Invullen groen'!J257&gt;0,'Invullen groen'!G257,'Invullen groen'!K257))),"2024",""),"2025",""),"2026",""),"2027",""),"2028",""),"2029",""),"taakveld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IF(AND('Invullen groen'!J258&gt;0,'Invullen groen'!J258&lt;&gt;2999999),"+","")</f>
        <v/>
      </c>
      <c r="B226">
        <f>IFERROR(IF('Invullen groen'!H258&gt;0,'Invullen groen'!H258,""),"")</f>
        <v/>
      </c>
      <c r="C226">
        <f>IFERROR(IF('Invullen groen'!J258&gt;0,'Invullen groen'!J258,""),"")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groen'!L258=0,"",INT('Invullen groen'!L258)),"")</f>
        <v/>
      </c>
      <c r="G226" s="236">
        <f>IFERROR(IF('Invullen groen'!M258=0,"",INT('Invullen groen'!M258)),"")</f>
        <v/>
      </c>
      <c r="H226" s="236">
        <f>IFERROR(IF('Invullen groen'!N258=0,"",INT('Invullen groen'!N258)),"")</f>
        <v/>
      </c>
      <c r="I226" s="236">
        <f>IFERROR(IF('Invullen groen'!O258=0,"",INT('Invullen groen'!O258)),"")</f>
        <v/>
      </c>
      <c r="J226">
        <f>IF(AND('Invullen groen'!J258&gt;0,'Invullen groen'!J258&lt;&gt;2999999),IFERROR($K$1&amp;" "&amp;TRIM(SUBSTITUTE(SUBSTITUTE(SUBSTITUTE(SUBSTITUTE(SUBSTITUTE(SUBSTITUTE(SUBSTITUTE(SUBSTITUTE(SUBSTITUTE(SUBSTITUTE(SUBSTITUTE(SUBSTITUTE(LOWER(IF(LEFT(TEXT('Invullen groen'!E258,"0"),1)="6",'Invullen groen'!K258,IF('Invullen groen'!J258&gt;0,'Invullen groen'!G258,'Invullen groen'!K258))),"2024",""),"2025",""),"2026",""),"2027",""),"2028",""),"2029",""),"taakveld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IF(AND('Invullen groen'!J259&gt;0,'Invullen groen'!J259&lt;&gt;2999999),"+","")</f>
        <v/>
      </c>
      <c r="B227">
        <f>IFERROR(IF('Invullen groen'!H259&gt;0,'Invullen groen'!H259,""),"")</f>
        <v/>
      </c>
      <c r="C227">
        <f>IFERROR(IF('Invullen groen'!J259&gt;0,'Invullen groen'!J259,""),"")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groen'!L259=0,"",INT('Invullen groen'!L259)),"")</f>
        <v/>
      </c>
      <c r="G227" s="236">
        <f>IFERROR(IF('Invullen groen'!M259=0,"",INT('Invullen groen'!M259)),"")</f>
        <v/>
      </c>
      <c r="H227" s="236">
        <f>IFERROR(IF('Invullen groen'!N259=0,"",INT('Invullen groen'!N259)),"")</f>
        <v/>
      </c>
      <c r="I227" s="236">
        <f>IFERROR(IF('Invullen groen'!O259=0,"",INT('Invullen groen'!O259)),"")</f>
        <v/>
      </c>
      <c r="J227">
        <f>IF(AND('Invullen groen'!J259&gt;0,'Invullen groen'!J259&lt;&gt;2999999),IFERROR($K$1&amp;" "&amp;TRIM(SUBSTITUTE(SUBSTITUTE(SUBSTITUTE(SUBSTITUTE(SUBSTITUTE(SUBSTITUTE(SUBSTITUTE(SUBSTITUTE(SUBSTITUTE(SUBSTITUTE(SUBSTITUTE(SUBSTITUTE(LOWER(IF(LEFT(TEXT('Invullen groen'!E259,"0"),1)="6",'Invullen groen'!K259,IF('Invullen groen'!J259&gt;0,'Invullen groen'!G259,'Invullen groen'!K259))),"2024",""),"2025",""),"2026",""),"2027",""),"2028",""),"2029",""),"taakveld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IF(AND('Invullen groen'!J260&gt;0,'Invullen groen'!J260&lt;&gt;2999999),"+","")</f>
        <v/>
      </c>
      <c r="B228">
        <f>IFERROR(IF('Invullen groen'!H260&gt;0,'Invullen groen'!H260,""),"")</f>
        <v/>
      </c>
      <c r="C228">
        <f>IFERROR(IF('Invullen groen'!J260&gt;0,'Invullen groen'!J260,""),"")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groen'!L260=0,"",INT('Invullen groen'!L260)),"")</f>
        <v/>
      </c>
      <c r="G228" s="236">
        <f>IFERROR(IF('Invullen groen'!M260=0,"",INT('Invullen groen'!M260)),"")</f>
        <v/>
      </c>
      <c r="H228" s="236">
        <f>IFERROR(IF('Invullen groen'!N260=0,"",INT('Invullen groen'!N260)),"")</f>
        <v/>
      </c>
      <c r="I228" s="236">
        <f>IFERROR(IF('Invullen groen'!O260=0,"",INT('Invullen groen'!O260)),"")</f>
        <v/>
      </c>
      <c r="J228">
        <f>IF(AND('Invullen groen'!J260&gt;0,'Invullen groen'!J260&lt;&gt;2999999),IFERROR($K$1&amp;" "&amp;TRIM(SUBSTITUTE(SUBSTITUTE(SUBSTITUTE(SUBSTITUTE(SUBSTITUTE(SUBSTITUTE(SUBSTITUTE(SUBSTITUTE(SUBSTITUTE(SUBSTITUTE(SUBSTITUTE(SUBSTITUTE(LOWER(IF(LEFT(TEXT('Invullen groen'!E260,"0"),1)="6",'Invullen groen'!K260,IF('Invullen groen'!J260&gt;0,'Invullen groen'!G260,'Invullen groen'!K260))),"2024",""),"2025",""),"2026",""),"2027",""),"2028",""),"2029",""),"taakveld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IF(AND('Invullen groen'!J261&gt;0,'Invullen groen'!J261&lt;&gt;2999999),"+","")</f>
        <v/>
      </c>
      <c r="B229">
        <f>IFERROR(IF('Invullen groen'!H261&gt;0,'Invullen groen'!H261,""),"")</f>
        <v/>
      </c>
      <c r="C229">
        <f>IFERROR(IF('Invullen groen'!J261&gt;0,'Invullen groen'!J261,""),"")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groen'!L261=0,"",INT('Invullen groen'!L261)),"")</f>
        <v/>
      </c>
      <c r="G229" s="236">
        <f>IFERROR(IF('Invullen groen'!M261=0,"",INT('Invullen groen'!M261)),"")</f>
        <v/>
      </c>
      <c r="H229" s="236">
        <f>IFERROR(IF('Invullen groen'!N261=0,"",INT('Invullen groen'!N261)),"")</f>
        <v/>
      </c>
      <c r="I229" s="236">
        <f>IFERROR(IF('Invullen groen'!O261=0,"",INT('Invullen groen'!O261)),"")</f>
        <v/>
      </c>
      <c r="J229">
        <f>IF(AND('Invullen groen'!J261&gt;0,'Invullen groen'!J261&lt;&gt;2999999),IFERROR($K$1&amp;" "&amp;TRIM(SUBSTITUTE(SUBSTITUTE(SUBSTITUTE(SUBSTITUTE(SUBSTITUTE(SUBSTITUTE(SUBSTITUTE(SUBSTITUTE(SUBSTITUTE(SUBSTITUTE(SUBSTITUTE(SUBSTITUTE(LOWER(IF(LEFT(TEXT('Invullen groen'!E261,"0"),1)="6",'Invullen groen'!K261,IF('Invullen groen'!J261&gt;0,'Invullen groen'!G261,'Invullen groen'!K261))),"2024",""),"2025",""),"2026",""),"2027",""),"2028",""),"2029",""),"taakveld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IF(AND('Invullen groen'!J262&gt;0,'Invullen groen'!J262&lt;&gt;2999999),"+","")</f>
        <v/>
      </c>
      <c r="B230">
        <f>IFERROR(IF('Invullen groen'!H262&gt;0,'Invullen groen'!H262,""),"")</f>
        <v/>
      </c>
      <c r="C230">
        <f>IFERROR(IF('Invullen groen'!J262&gt;0,'Invullen groen'!J262,""),"")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groen'!L262=0,"",INT('Invullen groen'!L262)),"")</f>
        <v/>
      </c>
      <c r="G230" s="236">
        <f>IFERROR(IF('Invullen groen'!M262=0,"",INT('Invullen groen'!M262)),"")</f>
        <v/>
      </c>
      <c r="H230" s="236">
        <f>IFERROR(IF('Invullen groen'!N262=0,"",INT('Invullen groen'!N262)),"")</f>
        <v/>
      </c>
      <c r="I230" s="236">
        <f>IFERROR(IF('Invullen groen'!O262=0,"",INT('Invullen groen'!O262)),"")</f>
        <v/>
      </c>
      <c r="J230">
        <f>IF(AND('Invullen groen'!J262&gt;0,'Invullen groen'!J262&lt;&gt;2999999),IFERROR($K$1&amp;" "&amp;TRIM(SUBSTITUTE(SUBSTITUTE(SUBSTITUTE(SUBSTITUTE(SUBSTITUTE(SUBSTITUTE(SUBSTITUTE(SUBSTITUTE(SUBSTITUTE(SUBSTITUTE(SUBSTITUTE(SUBSTITUTE(LOWER(IF(LEFT(TEXT('Invullen groen'!E262,"0"),1)="6",'Invullen groen'!K262,IF('Invullen groen'!J262&gt;0,'Invullen groen'!G262,'Invullen groen'!K262))),"2024",""),"2025",""),"2026",""),"2027",""),"2028",""),"2029",""),"taakveld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IF(AND('Invullen groen'!J263&gt;0,'Invullen groen'!J263&lt;&gt;2999999),"+","")</f>
        <v/>
      </c>
      <c r="B231">
        <f>IFERROR(IF('Invullen groen'!H263&gt;0,'Invullen groen'!H263,""),"")</f>
        <v/>
      </c>
      <c r="C231">
        <f>IFERROR(IF('Invullen groen'!J263&gt;0,'Invullen groen'!J263,""),"")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groen'!L263=0,"",INT('Invullen groen'!L263)),"")</f>
        <v/>
      </c>
      <c r="G231" s="236">
        <f>IFERROR(IF('Invullen groen'!M263=0,"",INT('Invullen groen'!M263)),"")</f>
        <v/>
      </c>
      <c r="H231" s="236">
        <f>IFERROR(IF('Invullen groen'!N263=0,"",INT('Invullen groen'!N263)),"")</f>
        <v/>
      </c>
      <c r="I231" s="236">
        <f>IFERROR(IF('Invullen groen'!O263=0,"",INT('Invullen groen'!O263)),"")</f>
        <v/>
      </c>
      <c r="J231">
        <f>IF(AND('Invullen groen'!J263&gt;0,'Invullen groen'!J263&lt;&gt;2999999),IFERROR($K$1&amp;" "&amp;TRIM(SUBSTITUTE(SUBSTITUTE(SUBSTITUTE(SUBSTITUTE(SUBSTITUTE(SUBSTITUTE(SUBSTITUTE(SUBSTITUTE(SUBSTITUTE(SUBSTITUTE(SUBSTITUTE(SUBSTITUTE(LOWER(IF(LEFT(TEXT('Invullen groen'!E263,"0"),1)="6",'Invullen groen'!K263,IF('Invullen groen'!J263&gt;0,'Invullen groen'!G263,'Invullen groen'!K263))),"2024",""),"2025",""),"2026",""),"2027",""),"2028",""),"2029",""),"taakveld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IF(AND('Invullen groen'!J264&gt;0,'Invullen groen'!J264&lt;&gt;2999999),"+","")</f>
        <v/>
      </c>
      <c r="B232">
        <f>IFERROR(IF('Invullen groen'!H264&gt;0,'Invullen groen'!H264,""),"")</f>
        <v/>
      </c>
      <c r="C232">
        <f>IFERROR(IF('Invullen groen'!J264&gt;0,'Invullen groen'!J264,""),"")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groen'!L264=0,"",INT('Invullen groen'!L264)),"")</f>
        <v/>
      </c>
      <c r="G232" s="236">
        <f>IFERROR(IF('Invullen groen'!M264=0,"",INT('Invullen groen'!M264)),"")</f>
        <v/>
      </c>
      <c r="H232" s="236">
        <f>IFERROR(IF('Invullen groen'!N264=0,"",INT('Invullen groen'!N264)),"")</f>
        <v/>
      </c>
      <c r="I232" s="236">
        <f>IFERROR(IF('Invullen groen'!O264=0,"",INT('Invullen groen'!O264)),"")</f>
        <v/>
      </c>
      <c r="J232">
        <f>IF(AND('Invullen groen'!J264&gt;0,'Invullen groen'!J264&lt;&gt;2999999),IFERROR($K$1&amp;" "&amp;TRIM(SUBSTITUTE(SUBSTITUTE(SUBSTITUTE(SUBSTITUTE(SUBSTITUTE(SUBSTITUTE(SUBSTITUTE(SUBSTITUTE(SUBSTITUTE(SUBSTITUTE(SUBSTITUTE(SUBSTITUTE(LOWER(IF(LEFT(TEXT('Invullen groen'!E264,"0"),1)="6",'Invullen groen'!K264,IF('Invullen groen'!J264&gt;0,'Invullen groen'!G264,'Invullen groen'!K264))),"2024",""),"2025",""),"2026",""),"2027",""),"2028",""),"2029",""),"taakveld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IF(AND('Invullen groen'!J265&gt;0,'Invullen groen'!J265&lt;&gt;2999999),"+","")</f>
        <v/>
      </c>
      <c r="B233">
        <f>IFERROR(IF('Invullen groen'!H265&gt;0,'Invullen groen'!H265,""),"")</f>
        <v/>
      </c>
      <c r="C233">
        <f>IFERROR(IF('Invullen groen'!J265&gt;0,'Invullen groen'!J265,""),"")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groen'!L265=0,"",INT('Invullen groen'!L265)),"")</f>
        <v/>
      </c>
      <c r="G233" s="236">
        <f>IFERROR(IF('Invullen groen'!M265=0,"",INT('Invullen groen'!M265)),"")</f>
        <v/>
      </c>
      <c r="H233" s="236">
        <f>IFERROR(IF('Invullen groen'!N265=0,"",INT('Invullen groen'!N265)),"")</f>
        <v/>
      </c>
      <c r="I233" s="236">
        <f>IFERROR(IF('Invullen groen'!O265=0,"",INT('Invullen groen'!O265)),"")</f>
        <v/>
      </c>
      <c r="J233">
        <f>IF(AND('Invullen groen'!J265&gt;0,'Invullen groen'!J265&lt;&gt;2999999),IFERROR($K$1&amp;" "&amp;TRIM(SUBSTITUTE(SUBSTITUTE(SUBSTITUTE(SUBSTITUTE(SUBSTITUTE(SUBSTITUTE(SUBSTITUTE(SUBSTITUTE(SUBSTITUTE(SUBSTITUTE(SUBSTITUTE(SUBSTITUTE(LOWER(IF(LEFT(TEXT('Invullen groen'!E265,"0"),1)="6",'Invullen groen'!K265,IF('Invullen groen'!J265&gt;0,'Invullen groen'!G265,'Invullen groen'!K265))),"2024",""),"2025",""),"2026",""),"2027",""),"2028",""),"2029",""),"taakveld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IF(AND('Invullen groen'!J266&gt;0,'Invullen groen'!J266&lt;&gt;2999999),"+","")</f>
        <v/>
      </c>
      <c r="B234">
        <f>IFERROR(IF('Invullen groen'!H266&gt;0,'Invullen groen'!H266,""),"")</f>
        <v/>
      </c>
      <c r="C234">
        <f>IFERROR(IF('Invullen groen'!J266&gt;0,'Invullen groen'!J266,""),"")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groen'!L266=0,"",INT('Invullen groen'!L266)),"")</f>
        <v/>
      </c>
      <c r="G234" s="236">
        <f>IFERROR(IF('Invullen groen'!M266=0,"",INT('Invullen groen'!M266)),"")</f>
        <v/>
      </c>
      <c r="H234" s="236">
        <f>IFERROR(IF('Invullen groen'!N266=0,"",INT('Invullen groen'!N266)),"")</f>
        <v/>
      </c>
      <c r="I234" s="236">
        <f>IFERROR(IF('Invullen groen'!O266=0,"",INT('Invullen groen'!O266)),"")</f>
        <v/>
      </c>
      <c r="J234">
        <f>IF(AND('Invullen groen'!J266&gt;0,'Invullen groen'!J266&lt;&gt;2999999),IFERROR($K$1&amp;" "&amp;TRIM(SUBSTITUTE(SUBSTITUTE(SUBSTITUTE(SUBSTITUTE(SUBSTITUTE(SUBSTITUTE(SUBSTITUTE(SUBSTITUTE(SUBSTITUTE(SUBSTITUTE(SUBSTITUTE(SUBSTITUTE(LOWER(IF(LEFT(TEXT('Invullen groen'!E266,"0"),1)="6",'Invullen groen'!K266,IF('Invullen groen'!J266&gt;0,'Invullen groen'!G266,'Invullen groen'!K266))),"2024",""),"2025",""),"2026",""),"2027",""),"2028",""),"2029",""),"taakveld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IF(AND('Invullen groen'!J267&gt;0,'Invullen groen'!J267&lt;&gt;2999999),"+","")</f>
        <v/>
      </c>
      <c r="B235">
        <f>IFERROR(IF('Invullen groen'!H267&gt;0,'Invullen groen'!H267,""),"")</f>
        <v/>
      </c>
      <c r="C235">
        <f>IFERROR(IF('Invullen groen'!J267&gt;0,'Invullen groen'!J267,""),"")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groen'!L267=0,"",INT('Invullen groen'!L267)),"")</f>
        <v/>
      </c>
      <c r="G235" s="236">
        <f>IFERROR(IF('Invullen groen'!M267=0,"",INT('Invullen groen'!M267)),"")</f>
        <v/>
      </c>
      <c r="H235" s="236">
        <f>IFERROR(IF('Invullen groen'!N267=0,"",INT('Invullen groen'!N267)),"")</f>
        <v/>
      </c>
      <c r="I235" s="236">
        <f>IFERROR(IF('Invullen groen'!O267=0,"",INT('Invullen groen'!O267)),"")</f>
        <v/>
      </c>
      <c r="J235">
        <f>IF(AND('Invullen groen'!J267&gt;0,'Invullen groen'!J267&lt;&gt;2999999),IFERROR($K$1&amp;" "&amp;TRIM(SUBSTITUTE(SUBSTITUTE(SUBSTITUTE(SUBSTITUTE(SUBSTITUTE(SUBSTITUTE(SUBSTITUTE(SUBSTITUTE(SUBSTITUTE(SUBSTITUTE(SUBSTITUTE(SUBSTITUTE(LOWER(IF(LEFT(TEXT('Invullen groen'!E267,"0"),1)="6",'Invullen groen'!K267,IF('Invullen groen'!J267&gt;0,'Invullen groen'!G267,'Invullen groen'!K267))),"2024",""),"2025",""),"2026",""),"2027",""),"2028",""),"2029",""),"taakveld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IF(AND('Invullen groen'!J268&gt;0,'Invullen groen'!J268&lt;&gt;2999999),"+","")</f>
        <v/>
      </c>
      <c r="B236">
        <f>IFERROR(IF('Invullen groen'!H268&gt;0,'Invullen groen'!H268,""),"")</f>
        <v/>
      </c>
      <c r="C236">
        <f>IFERROR(IF('Invullen groen'!J268&gt;0,'Invullen groen'!J268,""),"")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groen'!L268=0,"",INT('Invullen groen'!L268)),"")</f>
        <v/>
      </c>
      <c r="G236" s="236">
        <f>IFERROR(IF('Invullen groen'!M268=0,"",INT('Invullen groen'!M268)),"")</f>
        <v/>
      </c>
      <c r="H236" s="236">
        <f>IFERROR(IF('Invullen groen'!N268=0,"",INT('Invullen groen'!N268)),"")</f>
        <v/>
      </c>
      <c r="I236" s="236">
        <f>IFERROR(IF('Invullen groen'!O268=0,"",INT('Invullen groen'!O268)),"")</f>
        <v/>
      </c>
      <c r="J236">
        <f>IF(AND('Invullen groen'!J268&gt;0,'Invullen groen'!J268&lt;&gt;2999999),IFERROR($K$1&amp;" "&amp;TRIM(SUBSTITUTE(SUBSTITUTE(SUBSTITUTE(SUBSTITUTE(SUBSTITUTE(SUBSTITUTE(SUBSTITUTE(SUBSTITUTE(SUBSTITUTE(SUBSTITUTE(SUBSTITUTE(SUBSTITUTE(LOWER(IF(LEFT(TEXT('Invullen groen'!E268,"0"),1)="6",'Invullen groen'!K268,IF('Invullen groen'!J268&gt;0,'Invullen groen'!G268,'Invullen groen'!K268))),"2024",""),"2025",""),"2026",""),"2027",""),"2028",""),"2029",""),"taakveld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IF(AND('Invullen groen'!J269&gt;0,'Invullen groen'!J269&lt;&gt;2999999),"+","")</f>
        <v/>
      </c>
      <c r="B237">
        <f>IFERROR(IF('Invullen groen'!H269&gt;0,'Invullen groen'!H269,""),"")</f>
        <v/>
      </c>
      <c r="C237">
        <f>IFERROR(IF('Invullen groen'!J269&gt;0,'Invullen groen'!J269,""),"")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groen'!L269=0,"",INT('Invullen groen'!L269)),"")</f>
        <v/>
      </c>
      <c r="G237" s="236">
        <f>IFERROR(IF('Invullen groen'!M269=0,"",INT('Invullen groen'!M269)),"")</f>
        <v/>
      </c>
      <c r="H237" s="236">
        <f>IFERROR(IF('Invullen groen'!N269=0,"",INT('Invullen groen'!N269)),"")</f>
        <v/>
      </c>
      <c r="I237" s="236">
        <f>IFERROR(IF('Invullen groen'!O269=0,"",INT('Invullen groen'!O269)),"")</f>
        <v/>
      </c>
      <c r="J237">
        <f>IF(AND('Invullen groen'!J269&gt;0,'Invullen groen'!J269&lt;&gt;2999999),IFERROR($K$1&amp;" "&amp;TRIM(SUBSTITUTE(SUBSTITUTE(SUBSTITUTE(SUBSTITUTE(SUBSTITUTE(SUBSTITUTE(SUBSTITUTE(SUBSTITUTE(SUBSTITUTE(SUBSTITUTE(SUBSTITUTE(SUBSTITUTE(LOWER(IF(LEFT(TEXT('Invullen groen'!E269,"0"),1)="6",'Invullen groen'!K269,IF('Invullen groen'!J269&gt;0,'Invullen groen'!G269,'Invullen groen'!K269))),"2024",""),"2025",""),"2026",""),"2027",""),"2028",""),"2029",""),"taakveld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IF(AND('Invullen groen'!J270&gt;0,'Invullen groen'!J270&lt;&gt;2999999),"+","")</f>
        <v/>
      </c>
      <c r="B238">
        <f>IFERROR(IF('Invullen groen'!H270&gt;0,'Invullen groen'!H270,""),"")</f>
        <v/>
      </c>
      <c r="C238">
        <f>IFERROR(IF('Invullen groen'!J270&gt;0,'Invullen groen'!J270,""),"")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groen'!L270=0,"",INT('Invullen groen'!L270)),"")</f>
        <v/>
      </c>
      <c r="G238" s="236">
        <f>IFERROR(IF('Invullen groen'!M270=0,"",INT('Invullen groen'!M270)),"")</f>
        <v/>
      </c>
      <c r="H238" s="236">
        <f>IFERROR(IF('Invullen groen'!N270=0,"",INT('Invullen groen'!N270)),"")</f>
        <v/>
      </c>
      <c r="I238" s="236">
        <f>IFERROR(IF('Invullen groen'!O270=0,"",INT('Invullen groen'!O270)),"")</f>
        <v/>
      </c>
      <c r="J238">
        <f>IF(AND('Invullen groen'!J270&gt;0,'Invullen groen'!J270&lt;&gt;2999999),IFERROR($K$1&amp;" "&amp;TRIM(SUBSTITUTE(SUBSTITUTE(SUBSTITUTE(SUBSTITUTE(SUBSTITUTE(SUBSTITUTE(SUBSTITUTE(SUBSTITUTE(SUBSTITUTE(SUBSTITUTE(SUBSTITUTE(SUBSTITUTE(LOWER(IF(LEFT(TEXT('Invullen groen'!E270,"0"),1)="6",'Invullen groen'!K270,IF('Invullen groen'!J270&gt;0,'Invullen groen'!G270,'Invullen groen'!K270))),"2024",""),"2025",""),"2026",""),"2027",""),"2028",""),"2029",""),"taakveld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IF(AND('Invullen groen'!J271&gt;0,'Invullen groen'!J271&lt;&gt;2999999),"+","")</f>
        <v/>
      </c>
      <c r="B239">
        <f>IFERROR(IF('Invullen groen'!H271&gt;0,'Invullen groen'!H271,""),"")</f>
        <v/>
      </c>
      <c r="C239">
        <f>IFERROR(IF('Invullen groen'!J271&gt;0,'Invullen groen'!J271,""),"")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groen'!L271=0,"",INT('Invullen groen'!L271)),"")</f>
        <v/>
      </c>
      <c r="G239" s="236">
        <f>IFERROR(IF('Invullen groen'!M271=0,"",INT('Invullen groen'!M271)),"")</f>
        <v/>
      </c>
      <c r="H239" s="236">
        <f>IFERROR(IF('Invullen groen'!N271=0,"",INT('Invullen groen'!N271)),"")</f>
        <v/>
      </c>
      <c r="I239" s="236">
        <f>IFERROR(IF('Invullen groen'!O271=0,"",INT('Invullen groen'!O271)),"")</f>
        <v/>
      </c>
      <c r="J239">
        <f>IF(AND('Invullen groen'!J271&gt;0,'Invullen groen'!J271&lt;&gt;2999999),IFERROR($K$1&amp;" "&amp;TRIM(SUBSTITUTE(SUBSTITUTE(SUBSTITUTE(SUBSTITUTE(SUBSTITUTE(SUBSTITUTE(SUBSTITUTE(SUBSTITUTE(SUBSTITUTE(SUBSTITUTE(SUBSTITUTE(SUBSTITUTE(LOWER(IF(LEFT(TEXT('Invullen groen'!E271,"0"),1)="6",'Invullen groen'!K271,IF('Invullen groen'!J271&gt;0,'Invullen groen'!G271,'Invullen groen'!K271))),"2024",""),"2025",""),"2026",""),"2027",""),"2028",""),"2029",""),"taakveld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>
        <f>IF(AND('Invullen groen'!J272&gt;0,'Invullen groen'!J272&lt;&gt;2999999),"+","")</f>
        <v/>
      </c>
      <c r="B240">
        <f>IFERROR(IF('Invullen groen'!H272&gt;0,'Invullen groen'!H272,""),"")</f>
        <v/>
      </c>
      <c r="C240">
        <f>IFERROR(IF('Invullen groen'!J272&gt;0,'Invullen groen'!J272,""),"")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236">
        <f>IFERROR(IF('Invullen groen'!L272=0,"",INT('Invullen groen'!L272)),"")</f>
        <v/>
      </c>
      <c r="G240" s="236">
        <f>IFERROR(IF('Invullen groen'!M272=0,"",INT('Invullen groen'!M272)),"")</f>
        <v/>
      </c>
      <c r="H240" s="236">
        <f>IFERROR(IF('Invullen groen'!N272=0,"",INT('Invullen groen'!N272)),"")</f>
        <v/>
      </c>
      <c r="I240" s="236">
        <f>IFERROR(IF('Invullen groen'!O272=0,"",INT('Invullen groen'!O272)),"")</f>
        <v/>
      </c>
      <c r="J240">
        <f>IF(AND('Invullen groen'!J272&gt;0,'Invullen groen'!J272&lt;&gt;2999999),IFERROR($K$1&amp;" "&amp;TRIM(SUBSTITUTE(SUBSTITUTE(SUBSTITUTE(SUBSTITUTE(SUBSTITUTE(SUBSTITUTE(SUBSTITUTE(SUBSTITUTE(SUBSTITUTE(SUBSTITUTE(SUBSTITUTE(SUBSTITUTE(LOWER(IF(LEFT(TEXT('Invullen groen'!E272,"0"),1)="6",'Invullen groen'!K272,IF('Invullen groen'!J272&gt;0,'Invullen groen'!G272,'Invullen groen'!K272))),"2024",""),"2025",""),"2026",""),"2027",""),"2028",""),"2029",""),"taakveld ",""),"installaties","inst"),"ruwbouw","ruwb"),"afbouw","afb"),"bijstelling","bijst"),"investeringen","invest")),""),"")</f>
        <v/>
      </c>
    </row>
    <row r="241">
      <c r="A241" t="n">
        <v>2999999</v>
      </c>
      <c r="B241" t="n">
        <v>86100</v>
      </c>
      <c r="E241">
        <f>$K$1&amp;" sluitrekening balans"</f>
        <v/>
      </c>
      <c r="F241" s="236">
        <f>IFERROR(-SUM(F95:F240),0)</f>
        <v/>
      </c>
      <c r="G241" s="236">
        <f>IFERROR(-SUM(G95:G240),0)</f>
        <v/>
      </c>
      <c r="H241" s="236">
        <f>IFERROR(-SUM(H95:H240),0)</f>
        <v/>
      </c>
      <c r="I241" s="236">
        <f>IFERROR(-SUM(I95:I240),0)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width="12" customWidth="1" style="76" min="2" max="2"/>
    <col width="10" customWidth="1" style="76" min="3" max="3"/>
    <col width="22" customWidth="1" style="77" min="4" max="4"/>
    <col width="14" customWidth="1" style="77" min="5" max="5"/>
    <col width="10" customWidth="1" style="76" min="6" max="6"/>
    <col width="40" customWidth="1" style="77" min="7" max="7"/>
    <col width="12" customWidth="1" style="61" min="8" max="8"/>
    <col width="30" customWidth="1" style="78" min="9" max="9"/>
    <col width="16" customWidth="1" style="76" min="10" max="10"/>
    <col width="32" customWidth="1" style="77" min="11" max="11"/>
    <col width="14" customWidth="1" style="79" min="12" max="15"/>
    <col width="14" customWidth="1" min="13" max="13"/>
    <col width="14" customWidth="1" min="14" max="14"/>
    <col width="14" customWidth="1" min="15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238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238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238" t="inlineStr">
        <is>
          <t>Omschrijving grootboek</t>
        </is>
      </c>
      <c r="H13" s="62" t="inlineStr">
        <is>
          <t>Nr kosten</t>
        </is>
      </c>
      <c r="I13" s="239" t="inlineStr">
        <is>
          <t>Omschrijving kostencategorie</t>
        </is>
      </c>
      <c r="J13" s="101" t="inlineStr">
        <is>
          <t>Nr ver-</t>
        </is>
      </c>
      <c r="K13" s="240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238" t="n"/>
      <c r="B14" s="101" t="inlineStr">
        <is>
          <t>taakveld</t>
        </is>
      </c>
      <c r="C14" s="107" t="inlineStr">
        <is>
          <t>veld</t>
        </is>
      </c>
      <c r="D14" s="241" t="n"/>
      <c r="E14" s="109" t="n"/>
      <c r="F14" s="110" t="n"/>
      <c r="G14" s="242" t="n"/>
      <c r="H14" s="62" t="inlineStr">
        <is>
          <t>Cat</t>
        </is>
      </c>
      <c r="I14" s="239" t="n"/>
      <c r="J14" s="111" t="inlineStr">
        <is>
          <t>bijzondering</t>
        </is>
      </c>
      <c r="K14" s="243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244" t="n"/>
      <c r="B15" s="71" t="n"/>
      <c r="C15" s="71" t="n"/>
      <c r="D15" s="244" t="n"/>
      <c r="E15" s="71" t="n"/>
      <c r="F15" s="113" t="n"/>
      <c r="G15" s="245" t="n"/>
      <c r="H15" s="63" t="n"/>
      <c r="I15" s="246" t="n"/>
      <c r="J15" s="73" t="n"/>
      <c r="K15" s="247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6" customHeight="1">
      <c r="A16" s="329" t="inlineStr">
        <is>
          <t>A. Uitgaven en inkomsten</t>
        </is>
      </c>
      <c r="B16" s="330" t="n"/>
      <c r="C16" s="330" t="n"/>
      <c r="D16" s="331" t="n"/>
      <c r="E16" s="330" t="n"/>
      <c r="F16" s="332" t="n"/>
      <c r="G16" s="333" t="n"/>
      <c r="H16" s="334" t="n"/>
      <c r="I16" s="335" t="n"/>
      <c r="J16" s="332" t="n"/>
      <c r="K16" s="336" t="n"/>
      <c r="L16" s="337" t="n"/>
      <c r="M16" s="337" t="n"/>
      <c r="N16" s="337" t="n"/>
      <c r="O16" s="337" t="n"/>
      <c r="P16" s="338" t="n"/>
      <c r="Q16" s="339" t="inlineStr">
        <is>
          <t>→ alleen directe lasten en baten; reserves/voorzieningen in sectie B</t>
        </is>
      </c>
      <c r="R16" s="340" t="n"/>
      <c r="S16" s="338" t="n"/>
      <c r="T16" s="338" t="n"/>
    </row>
    <row r="17" ht="15" customHeight="1">
      <c r="A17" s="244">
        <f>IFERROR(VLOOKUP(E17,Tabellen!A:F,4),0)</f>
        <v/>
      </c>
      <c r="B17" s="71" t="n"/>
      <c r="C17" s="71">
        <f>IFERROR(VLOOKUP(E17,Tabellen!A:F,5),0)</f>
        <v/>
      </c>
      <c r="D17" s="244">
        <f>IFERROR(VLOOKUP(E17,Tabellen!A:F,6),0)</f>
        <v/>
      </c>
      <c r="E17" s="71" t="n"/>
      <c r="F17" s="113" t="n"/>
      <c r="G17" s="245">
        <f>IFERROR(VLOOKUP(E17,Tabellen!A:F,2),0)</f>
        <v/>
      </c>
      <c r="H17" s="63">
        <f>IFERROR(VLOOKUP(E17,Tabellen!A:H,8),0)</f>
        <v/>
      </c>
      <c r="I17" s="246" t="n"/>
      <c r="J17" s="73" t="n"/>
      <c r="K17" s="247" t="n"/>
      <c r="L17" s="116" t="n"/>
      <c r="M17" s="116" t="n"/>
      <c r="N17" s="116" t="n"/>
      <c r="O17" s="116" t="n"/>
      <c r="Q17" s="119" t="n"/>
      <c r="R17" s="119" t="n"/>
    </row>
    <row r="18" ht="15" customHeight="1">
      <c r="A18" s="249">
        <f>IFERROR(VLOOKUP(E18,Tabellen!A:F,4),0)</f>
        <v/>
      </c>
      <c r="B18" s="74" t="n"/>
      <c r="C18" s="74">
        <f>IFERROR(VLOOKUP(E18,Tabellen!A:F,5),0)</f>
        <v/>
      </c>
      <c r="D18" s="249">
        <f>IFERROR(VLOOKUP(E18,Tabellen!A:F,6),0)</f>
        <v/>
      </c>
      <c r="E18" s="120" t="n"/>
      <c r="F18" s="75">
        <f>IF(E18&gt;0,$L$4,0)</f>
        <v/>
      </c>
      <c r="G18" s="249">
        <f>IFERROR(VLOOKUP(E18,Tabellen!A:F,2),0)</f>
        <v/>
      </c>
      <c r="H18" s="64">
        <f>IFERROR(VLOOKUP(E18,Tabellen!A:H,8),0)</f>
        <v/>
      </c>
      <c r="I18" s="250">
        <f>IFERROR(VLOOKUP(H18,Tabellen!H:I,2),0)</f>
        <v/>
      </c>
      <c r="J18" s="121" t="n"/>
      <c r="K18" s="251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249">
        <f>IFERROR(VLOOKUP(E19,Tabellen!A:F,4),0)</f>
        <v/>
      </c>
      <c r="B19" s="74" t="n"/>
      <c r="C19" s="74">
        <f>IFERROR(VLOOKUP(E19,Tabellen!A:F,5),0)</f>
        <v/>
      </c>
      <c r="D19" s="249">
        <f>IFERROR(VLOOKUP(E19,Tabellen!A:F,6),0)</f>
        <v/>
      </c>
      <c r="E19" s="120" t="n"/>
      <c r="F19" s="75">
        <f>IF(E19&gt;0,$L$4,0)</f>
        <v/>
      </c>
      <c r="G19" s="249">
        <f>IFERROR(VLOOKUP(E19,Tabellen!A:F,2),0)</f>
        <v/>
      </c>
      <c r="H19" s="64">
        <f>IFERROR(VLOOKUP(E19,Tabellen!A:H,8),0)</f>
        <v/>
      </c>
      <c r="I19" s="250">
        <f>IFERROR(VLOOKUP(H19,Tabellen!H:I,2),0)</f>
        <v/>
      </c>
      <c r="J19" s="121" t="n"/>
      <c r="K19" s="251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249">
        <f>IFERROR(VLOOKUP(E20,Tabellen!A:F,4),0)</f>
        <v/>
      </c>
      <c r="B20" s="74" t="n"/>
      <c r="C20" s="74">
        <f>IFERROR(VLOOKUP(E20,Tabellen!A:F,5),0)</f>
        <v/>
      </c>
      <c r="D20" s="249">
        <f>IFERROR(VLOOKUP(E20,Tabellen!A:F,6),0)</f>
        <v/>
      </c>
      <c r="E20" s="120" t="n"/>
      <c r="F20" s="75">
        <f>IF(E20&gt;0,$L$4,0)</f>
        <v/>
      </c>
      <c r="G20" s="249">
        <f>IFERROR(VLOOKUP(E20,Tabellen!A:F,2),0)</f>
        <v/>
      </c>
      <c r="H20" s="64">
        <f>IFERROR(VLOOKUP(E20,Tabellen!A:H,8),0)</f>
        <v/>
      </c>
      <c r="I20" s="250">
        <f>IFERROR(VLOOKUP(H20,Tabellen!H:I,2),0)</f>
        <v/>
      </c>
      <c r="J20" s="121" t="n"/>
      <c r="K20" s="251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249">
        <f>IFERROR(VLOOKUP(E21,Tabellen!A:F,4),0)</f>
        <v/>
      </c>
      <c r="B21" s="74" t="n"/>
      <c r="C21" s="74">
        <f>IFERROR(VLOOKUP(E21,Tabellen!A:F,5),0)</f>
        <v/>
      </c>
      <c r="D21" s="249">
        <f>IFERROR(VLOOKUP(E21,Tabellen!A:F,6),0)</f>
        <v/>
      </c>
      <c r="E21" s="120" t="n"/>
      <c r="F21" s="75">
        <f>IF(E21&gt;0,$L$4,0)</f>
        <v/>
      </c>
      <c r="G21" s="249">
        <f>IFERROR(VLOOKUP(E21,Tabellen!A:F,2),0)</f>
        <v/>
      </c>
      <c r="H21" s="64">
        <f>IFERROR(VLOOKUP(E21,Tabellen!A:H,8),0)</f>
        <v/>
      </c>
      <c r="I21" s="250">
        <f>IFERROR(VLOOKUP(H21,Tabellen!H:I,2),0)</f>
        <v/>
      </c>
      <c r="J21" s="121" t="n"/>
      <c r="K21" s="251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249">
        <f>IFERROR(VLOOKUP(E22,Tabellen!A:F,4),0)</f>
        <v/>
      </c>
      <c r="B22" s="74" t="n"/>
      <c r="C22" s="74">
        <f>IFERROR(VLOOKUP(E22,Tabellen!A:F,5),0)</f>
        <v/>
      </c>
      <c r="D22" s="249">
        <f>IFERROR(VLOOKUP(E22,Tabellen!A:F,6),0)</f>
        <v/>
      </c>
      <c r="E22" s="120" t="n"/>
      <c r="F22" s="75">
        <f>IF(E22&gt;0,$L$4,0)</f>
        <v/>
      </c>
      <c r="G22" s="249">
        <f>IFERROR(VLOOKUP(E22,Tabellen!A:F,2),0)</f>
        <v/>
      </c>
      <c r="H22" s="64">
        <f>IFERROR(VLOOKUP(E22,Tabellen!A:H,8),0)</f>
        <v/>
      </c>
      <c r="I22" s="250">
        <f>IFERROR(VLOOKUP(H22,Tabellen!H:I,2),0)</f>
        <v/>
      </c>
      <c r="J22" s="121" t="n"/>
      <c r="K22" s="251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249">
        <f>IFERROR(VLOOKUP(E23,Tabellen!A:F,4),0)</f>
        <v/>
      </c>
      <c r="B23" s="74" t="n"/>
      <c r="C23" s="74">
        <f>IFERROR(VLOOKUP(E23,Tabellen!A:F,5),0)</f>
        <v/>
      </c>
      <c r="D23" s="249">
        <f>IFERROR(VLOOKUP(E23,Tabellen!A:F,6),0)</f>
        <v/>
      </c>
      <c r="E23" s="120" t="n"/>
      <c r="F23" s="75">
        <f>IF(E23&gt;0,$L$4,0)</f>
        <v/>
      </c>
      <c r="G23" s="249">
        <f>IFERROR(VLOOKUP(E23,Tabellen!A:F,2),0)</f>
        <v/>
      </c>
      <c r="H23" s="64">
        <f>IFERROR(VLOOKUP(E23,Tabellen!A:H,8),0)</f>
        <v/>
      </c>
      <c r="I23" s="250">
        <f>IFERROR(VLOOKUP(H23,Tabellen!H:I,2),0)</f>
        <v/>
      </c>
      <c r="J23" s="121" t="n"/>
      <c r="K23" s="251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249">
        <f>IFERROR(VLOOKUP(E24,Tabellen!A:F,4),0)</f>
        <v/>
      </c>
      <c r="B24" s="74" t="n"/>
      <c r="C24" s="74">
        <f>IFERROR(VLOOKUP(E24,Tabellen!A:F,5),0)</f>
        <v/>
      </c>
      <c r="D24" s="249">
        <f>IFERROR(VLOOKUP(E24,Tabellen!A:F,6),0)</f>
        <v/>
      </c>
      <c r="E24" s="120" t="n"/>
      <c r="F24" s="75">
        <f>IF(E24&gt;0,$L$4,0)</f>
        <v/>
      </c>
      <c r="G24" s="249">
        <f>IFERROR(VLOOKUP(E24,Tabellen!A:F,2),0)</f>
        <v/>
      </c>
      <c r="H24" s="64">
        <f>IFERROR(VLOOKUP(E24,Tabellen!A:H,8),0)</f>
        <v/>
      </c>
      <c r="I24" s="250">
        <f>IFERROR(VLOOKUP(H24,Tabellen!H:I,2),0)</f>
        <v/>
      </c>
      <c r="J24" s="121" t="n"/>
      <c r="K24" s="251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249">
        <f>IFERROR(VLOOKUP(E25,Tabellen!A:F,4),0)</f>
        <v/>
      </c>
      <c r="B25" s="74" t="n"/>
      <c r="C25" s="74">
        <f>IFERROR(VLOOKUP(E25,Tabellen!A:F,5),0)</f>
        <v/>
      </c>
      <c r="D25" s="249">
        <f>IFERROR(VLOOKUP(E25,Tabellen!A:F,6),0)</f>
        <v/>
      </c>
      <c r="E25" s="120" t="n"/>
      <c r="F25" s="75">
        <f>IF(E25&gt;0,$L$4,0)</f>
        <v/>
      </c>
      <c r="G25" s="249">
        <f>IFERROR(VLOOKUP(E25,Tabellen!A:F,2),0)</f>
        <v/>
      </c>
      <c r="H25" s="64">
        <f>IFERROR(VLOOKUP(E25,Tabellen!A:H,8),0)</f>
        <v/>
      </c>
      <c r="I25" s="250">
        <f>IFERROR(VLOOKUP(H25,Tabellen!H:I,2),0)</f>
        <v/>
      </c>
      <c r="J25" s="121" t="n"/>
      <c r="K25" s="251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249">
        <f>IFERROR(VLOOKUP(E26,Tabellen!A:F,4),0)</f>
        <v/>
      </c>
      <c r="B26" s="74" t="n"/>
      <c r="C26" s="74">
        <f>IFERROR(VLOOKUP(E26,Tabellen!A:F,5),0)</f>
        <v/>
      </c>
      <c r="D26" s="249">
        <f>IFERROR(VLOOKUP(E26,Tabellen!A:F,6),0)</f>
        <v/>
      </c>
      <c r="E26" s="120" t="n"/>
      <c r="F26" s="75">
        <f>IF(E26&gt;0,$L$4,0)</f>
        <v/>
      </c>
      <c r="G26" s="249">
        <f>IFERROR(VLOOKUP(E26,Tabellen!A:F,2),0)</f>
        <v/>
      </c>
      <c r="H26" s="64">
        <f>IFERROR(VLOOKUP(E26,Tabellen!A:H,8),0)</f>
        <v/>
      </c>
      <c r="I26" s="250">
        <f>IFERROR(VLOOKUP(H26,Tabellen!H:I,2),0)</f>
        <v/>
      </c>
      <c r="J26" s="121" t="n"/>
      <c r="K26" s="251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249">
        <f>IFERROR(VLOOKUP(E27,Tabellen!A:F,4),0)</f>
        <v/>
      </c>
      <c r="B27" s="74" t="n"/>
      <c r="C27" s="74">
        <f>IFERROR(VLOOKUP(E27,Tabellen!A:F,5),0)</f>
        <v/>
      </c>
      <c r="D27" s="249">
        <f>IFERROR(VLOOKUP(E27,Tabellen!A:F,6),0)</f>
        <v/>
      </c>
      <c r="E27" s="120" t="n"/>
      <c r="F27" s="75">
        <f>IF(E27&gt;0,$L$4,0)</f>
        <v/>
      </c>
      <c r="G27" s="249">
        <f>IFERROR(VLOOKUP(E27,Tabellen!A:F,2),0)</f>
        <v/>
      </c>
      <c r="H27" s="64">
        <f>IFERROR(VLOOKUP(E27,Tabellen!A:H,8),0)</f>
        <v/>
      </c>
      <c r="I27" s="250">
        <f>IFERROR(VLOOKUP(H27,Tabellen!H:I,2),0)</f>
        <v/>
      </c>
      <c r="J27" s="121" t="n"/>
      <c r="K27" s="251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249">
        <f>IFERROR(VLOOKUP(E28,Tabellen!A:F,4),0)</f>
        <v/>
      </c>
      <c r="B28" s="74" t="n"/>
      <c r="C28" s="74">
        <f>IFERROR(VLOOKUP(E28,Tabellen!A:F,5),0)</f>
        <v/>
      </c>
      <c r="D28" s="249">
        <f>IFERROR(VLOOKUP(E28,Tabellen!A:F,6),0)</f>
        <v/>
      </c>
      <c r="E28" s="120" t="n"/>
      <c r="F28" s="75">
        <f>IF(E28&gt;0,$L$4,0)</f>
        <v/>
      </c>
      <c r="G28" s="249">
        <f>IFERROR(VLOOKUP(E28,Tabellen!A:F,2),0)</f>
        <v/>
      </c>
      <c r="H28" s="64">
        <f>IFERROR(VLOOKUP(E28,Tabellen!A:H,8),0)</f>
        <v/>
      </c>
      <c r="I28" s="250">
        <f>IFERROR(VLOOKUP(H28,Tabellen!H:I,2),0)</f>
        <v/>
      </c>
      <c r="J28" s="121" t="n"/>
      <c r="K28" s="251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249">
        <f>IFERROR(VLOOKUP(E29,Tabellen!A:F,4),0)</f>
        <v/>
      </c>
      <c r="B29" s="74" t="n"/>
      <c r="C29" s="74">
        <f>IFERROR(VLOOKUP(E29,Tabellen!A:F,5),0)</f>
        <v/>
      </c>
      <c r="D29" s="249">
        <f>IFERROR(VLOOKUP(E29,Tabellen!A:F,6),0)</f>
        <v/>
      </c>
      <c r="E29" s="120" t="n"/>
      <c r="F29" s="75">
        <f>IF(E29&gt;0,$L$4,0)</f>
        <v/>
      </c>
      <c r="G29" s="249">
        <f>IFERROR(VLOOKUP(E29,Tabellen!A:F,2),0)</f>
        <v/>
      </c>
      <c r="H29" s="64">
        <f>IFERROR(VLOOKUP(E29,Tabellen!A:H,8),0)</f>
        <v/>
      </c>
      <c r="I29" s="250">
        <f>IFERROR(VLOOKUP(H29,Tabellen!H:I,2),0)</f>
        <v/>
      </c>
      <c r="J29" s="121" t="n"/>
      <c r="K29" s="251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249">
        <f>IFERROR(VLOOKUP(E30,Tabellen!A:F,4),0)</f>
        <v/>
      </c>
      <c r="B30" s="74" t="n"/>
      <c r="C30" s="74">
        <f>IFERROR(VLOOKUP(E30,Tabellen!A:F,5),0)</f>
        <v/>
      </c>
      <c r="D30" s="249">
        <f>IFERROR(VLOOKUP(E30,Tabellen!A:F,6),0)</f>
        <v/>
      </c>
      <c r="E30" s="120" t="n"/>
      <c r="F30" s="75">
        <f>IF(E30&gt;0,$L$4,0)</f>
        <v/>
      </c>
      <c r="G30" s="249">
        <f>IFERROR(VLOOKUP(E30,Tabellen!A:F,2),0)</f>
        <v/>
      </c>
      <c r="H30" s="64">
        <f>IFERROR(VLOOKUP(E30,Tabellen!A:H,8),0)</f>
        <v/>
      </c>
      <c r="I30" s="250">
        <f>IFERROR(VLOOKUP(H30,Tabellen!H:I,2),0)</f>
        <v/>
      </c>
      <c r="J30" s="121" t="n"/>
      <c r="K30" s="251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249">
        <f>IFERROR(VLOOKUP(E31,Tabellen!A:F,4),0)</f>
        <v/>
      </c>
      <c r="B31" s="74" t="n"/>
      <c r="C31" s="74">
        <f>IFERROR(VLOOKUP(E31,Tabellen!A:F,5),0)</f>
        <v/>
      </c>
      <c r="D31" s="249">
        <f>IFERROR(VLOOKUP(E31,Tabellen!A:F,6),0)</f>
        <v/>
      </c>
      <c r="E31" s="120" t="n"/>
      <c r="F31" s="75">
        <f>IF(E31&gt;0,$L$4,0)</f>
        <v/>
      </c>
      <c r="G31" s="249">
        <f>IFERROR(VLOOKUP(E31,Tabellen!A:F,2),0)</f>
        <v/>
      </c>
      <c r="H31" s="64">
        <f>IFERROR(VLOOKUP(E31,Tabellen!A:H,8),0)</f>
        <v/>
      </c>
      <c r="I31" s="250">
        <f>IFERROR(VLOOKUP(H31,Tabellen!H:I,2),0)</f>
        <v/>
      </c>
      <c r="J31" s="121" t="n"/>
      <c r="K31" s="251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249">
        <f>IFERROR(VLOOKUP(E32,Tabellen!A:F,4),0)</f>
        <v/>
      </c>
      <c r="B32" s="74" t="n"/>
      <c r="C32" s="74">
        <f>IFERROR(VLOOKUP(E32,Tabellen!A:F,5),0)</f>
        <v/>
      </c>
      <c r="D32" s="249">
        <f>IFERROR(VLOOKUP(E32,Tabellen!A:F,6),0)</f>
        <v/>
      </c>
      <c r="E32" s="120" t="n"/>
      <c r="F32" s="75">
        <f>IF(E32&gt;0,$L$4,0)</f>
        <v/>
      </c>
      <c r="G32" s="249">
        <f>IFERROR(VLOOKUP(E32,Tabellen!A:F,2),0)</f>
        <v/>
      </c>
      <c r="H32" s="64">
        <f>IFERROR(VLOOKUP(E32,Tabellen!A:H,8),0)</f>
        <v/>
      </c>
      <c r="I32" s="250">
        <f>IFERROR(VLOOKUP(H32,Tabellen!H:I,2),0)</f>
        <v/>
      </c>
      <c r="J32" s="121" t="n"/>
      <c r="K32" s="251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249">
        <f>IFERROR(VLOOKUP(E33,Tabellen!A:F,4),0)</f>
        <v/>
      </c>
      <c r="B33" s="74" t="n"/>
      <c r="C33" s="74">
        <f>IFERROR(VLOOKUP(E33,Tabellen!A:F,5),0)</f>
        <v/>
      </c>
      <c r="D33" s="249">
        <f>IFERROR(VLOOKUP(E33,Tabellen!A:F,6),0)</f>
        <v/>
      </c>
      <c r="E33" s="120" t="n"/>
      <c r="F33" s="75">
        <f>IF(E33&gt;0,$L$4,0)</f>
        <v/>
      </c>
      <c r="G33" s="249">
        <f>IFERROR(VLOOKUP(E33,Tabellen!A:F,2),0)</f>
        <v/>
      </c>
      <c r="H33" s="64">
        <f>IFERROR(VLOOKUP(E33,Tabellen!A:H,8),0)</f>
        <v/>
      </c>
      <c r="I33" s="250">
        <f>IFERROR(VLOOKUP(H33,Tabellen!H:I,2),0)</f>
        <v/>
      </c>
      <c r="J33" s="121" t="n"/>
      <c r="K33" s="251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249">
        <f>IFERROR(VLOOKUP(E34,Tabellen!A:F,4),0)</f>
        <v/>
      </c>
      <c r="B34" s="74" t="n"/>
      <c r="C34" s="74">
        <f>IFERROR(VLOOKUP(E34,Tabellen!A:F,5),0)</f>
        <v/>
      </c>
      <c r="D34" s="249">
        <f>IFERROR(VLOOKUP(E34,Tabellen!A:F,6),0)</f>
        <v/>
      </c>
      <c r="E34" s="120" t="n"/>
      <c r="F34" s="75">
        <f>IF(E34&gt;0,$L$4,0)</f>
        <v/>
      </c>
      <c r="G34" s="249">
        <f>IFERROR(VLOOKUP(E34,Tabellen!A:F,2),0)</f>
        <v/>
      </c>
      <c r="H34" s="64">
        <f>IFERROR(VLOOKUP(E34,Tabellen!A:H,8),0)</f>
        <v/>
      </c>
      <c r="I34" s="250">
        <f>IFERROR(VLOOKUP(H34,Tabellen!H:I,2),0)</f>
        <v/>
      </c>
      <c r="J34" s="121" t="n"/>
      <c r="K34" s="251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249">
        <f>IFERROR(VLOOKUP(E35,Tabellen!A:F,4),0)</f>
        <v/>
      </c>
      <c r="B35" s="74" t="n"/>
      <c r="C35" s="74">
        <f>IFERROR(VLOOKUP(E35,Tabellen!A:F,5),0)</f>
        <v/>
      </c>
      <c r="D35" s="249">
        <f>IFERROR(VLOOKUP(E35,Tabellen!A:F,6),0)</f>
        <v/>
      </c>
      <c r="E35" s="120" t="n"/>
      <c r="F35" s="75">
        <f>IF(E35&gt;0,$L$4,0)</f>
        <v/>
      </c>
      <c r="G35" s="249">
        <f>IFERROR(VLOOKUP(E35,Tabellen!A:F,2),0)</f>
        <v/>
      </c>
      <c r="H35" s="64">
        <f>IFERROR(VLOOKUP(E35,Tabellen!A:H,8),0)</f>
        <v/>
      </c>
      <c r="I35" s="250">
        <f>IFERROR(VLOOKUP(H35,Tabellen!H:I,2),0)</f>
        <v/>
      </c>
      <c r="J35" s="121" t="n"/>
      <c r="K35" s="251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249">
        <f>IFERROR(VLOOKUP(E36,Tabellen!A:F,4),0)</f>
        <v/>
      </c>
      <c r="B36" s="74" t="n"/>
      <c r="C36" s="74">
        <f>IFERROR(VLOOKUP(E36,Tabellen!A:F,5),0)</f>
        <v/>
      </c>
      <c r="D36" s="249">
        <f>IFERROR(VLOOKUP(E36,Tabellen!A:F,6),0)</f>
        <v/>
      </c>
      <c r="E36" s="120" t="n"/>
      <c r="F36" s="75">
        <f>IF(E36&gt;0,$L$4,0)</f>
        <v/>
      </c>
      <c r="G36" s="249">
        <f>IFERROR(VLOOKUP(E36,Tabellen!A:F,2),0)</f>
        <v/>
      </c>
      <c r="H36" s="64">
        <f>IFERROR(VLOOKUP(E36,Tabellen!A:H,8),0)</f>
        <v/>
      </c>
      <c r="I36" s="250">
        <f>IFERROR(VLOOKUP(H36,Tabellen!H:I,2),0)</f>
        <v/>
      </c>
      <c r="J36" s="121" t="n"/>
      <c r="K36" s="251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249">
        <f>IFERROR(VLOOKUP(E37,Tabellen!A:F,4),0)</f>
        <v/>
      </c>
      <c r="B37" s="74" t="n"/>
      <c r="C37" s="74">
        <f>IFERROR(VLOOKUP(E37,Tabellen!A:F,5),0)</f>
        <v/>
      </c>
      <c r="D37" s="249">
        <f>IFERROR(VLOOKUP(E37,Tabellen!A:F,6),0)</f>
        <v/>
      </c>
      <c r="E37" s="120" t="n"/>
      <c r="F37" s="75">
        <f>IF(E37&gt;0,$L$4,0)</f>
        <v/>
      </c>
      <c r="G37" s="249">
        <f>IFERROR(VLOOKUP(E37,Tabellen!A:F,2),0)</f>
        <v/>
      </c>
      <c r="H37" s="64">
        <f>IFERROR(VLOOKUP(E37,Tabellen!A:H,8),0)</f>
        <v/>
      </c>
      <c r="I37" s="250">
        <f>IFERROR(VLOOKUP(H37,Tabellen!H:I,2),0)</f>
        <v/>
      </c>
      <c r="J37" s="121" t="n"/>
      <c r="K37" s="251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249">
        <f>IFERROR(VLOOKUP(E38,Tabellen!A:F,4),0)</f>
        <v/>
      </c>
      <c r="B38" s="74" t="n"/>
      <c r="C38" s="74">
        <f>IFERROR(VLOOKUP(E38,Tabellen!A:F,5),0)</f>
        <v/>
      </c>
      <c r="D38" s="249">
        <f>IFERROR(VLOOKUP(E38,Tabellen!A:F,6),0)</f>
        <v/>
      </c>
      <c r="E38" s="120" t="n"/>
      <c r="F38" s="75">
        <f>IF(E38&gt;0,$L$4,0)</f>
        <v/>
      </c>
      <c r="G38" s="249">
        <f>IFERROR(VLOOKUP(E38,Tabellen!A:F,2),0)</f>
        <v/>
      </c>
      <c r="H38" s="64">
        <f>IFERROR(VLOOKUP(E38,Tabellen!A:H,8),0)</f>
        <v/>
      </c>
      <c r="I38" s="250">
        <f>IFERROR(VLOOKUP(H38,Tabellen!H:I,2),0)</f>
        <v/>
      </c>
      <c r="J38" s="121" t="n"/>
      <c r="K38" s="251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249">
        <f>IFERROR(VLOOKUP(E39,Tabellen!A:F,4),0)</f>
        <v/>
      </c>
      <c r="B39" s="74" t="n"/>
      <c r="C39" s="74">
        <f>IFERROR(VLOOKUP(E39,Tabellen!A:F,5),0)</f>
        <v/>
      </c>
      <c r="D39" s="249">
        <f>IFERROR(VLOOKUP(E39,Tabellen!A:F,6),0)</f>
        <v/>
      </c>
      <c r="E39" s="120" t="n"/>
      <c r="F39" s="75">
        <f>IF(E39&gt;0,$L$4,0)</f>
        <v/>
      </c>
      <c r="G39" s="249">
        <f>IFERROR(VLOOKUP(E39,Tabellen!A:F,2),0)</f>
        <v/>
      </c>
      <c r="H39" s="64">
        <f>IFERROR(VLOOKUP(E39,Tabellen!A:H,8),0)</f>
        <v/>
      </c>
      <c r="I39" s="250">
        <f>IFERROR(VLOOKUP(H39,Tabellen!H:I,2),0)</f>
        <v/>
      </c>
      <c r="J39" s="121" t="n"/>
      <c r="K39" s="251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249">
        <f>IFERROR(VLOOKUP(E40,Tabellen!A:F,4),0)</f>
        <v/>
      </c>
      <c r="B40" s="74" t="n"/>
      <c r="C40" s="74">
        <f>IFERROR(VLOOKUP(E40,Tabellen!A:F,5),0)</f>
        <v/>
      </c>
      <c r="D40" s="249">
        <f>IFERROR(VLOOKUP(E40,Tabellen!A:F,6),0)</f>
        <v/>
      </c>
      <c r="E40" s="120" t="n"/>
      <c r="F40" s="75">
        <f>IF(E40&gt;0,$L$4,0)</f>
        <v/>
      </c>
      <c r="G40" s="249">
        <f>IFERROR(VLOOKUP(E40,Tabellen!A:F,2),0)</f>
        <v/>
      </c>
      <c r="H40" s="64">
        <f>IFERROR(VLOOKUP(E40,Tabellen!A:H,8),0)</f>
        <v/>
      </c>
      <c r="I40" s="250">
        <f>IFERROR(VLOOKUP(H40,Tabellen!H:I,2),0)</f>
        <v/>
      </c>
      <c r="J40" s="121" t="n"/>
      <c r="K40" s="251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249">
        <f>IFERROR(VLOOKUP(E41,Tabellen!A:F,4),0)</f>
        <v/>
      </c>
      <c r="B41" s="74" t="n"/>
      <c r="C41" s="74">
        <f>IFERROR(VLOOKUP(E41,Tabellen!A:F,5),0)</f>
        <v/>
      </c>
      <c r="D41" s="249">
        <f>IFERROR(VLOOKUP(E41,Tabellen!A:F,6),0)</f>
        <v/>
      </c>
      <c r="E41" s="120" t="n"/>
      <c r="F41" s="75">
        <f>IF(E41&gt;0,$L$4,0)</f>
        <v/>
      </c>
      <c r="G41" s="249">
        <f>IFERROR(VLOOKUP(E41,Tabellen!A:F,2),0)</f>
        <v/>
      </c>
      <c r="H41" s="64">
        <f>IFERROR(VLOOKUP(E41,Tabellen!A:H,8),0)</f>
        <v/>
      </c>
      <c r="I41" s="250">
        <f>IFERROR(VLOOKUP(H41,Tabellen!H:I,2),0)</f>
        <v/>
      </c>
      <c r="J41" s="121" t="n"/>
      <c r="K41" s="251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249">
        <f>IFERROR(VLOOKUP(E42,Tabellen!A:F,4),0)</f>
        <v/>
      </c>
      <c r="B42" s="74" t="n"/>
      <c r="C42" s="74">
        <f>IFERROR(VLOOKUP(E42,Tabellen!A:F,5),0)</f>
        <v/>
      </c>
      <c r="D42" s="249">
        <f>IFERROR(VLOOKUP(E42,Tabellen!A:F,6),0)</f>
        <v/>
      </c>
      <c r="E42" s="120" t="n"/>
      <c r="F42" s="75">
        <f>IF(E42&gt;0,$L$4,0)</f>
        <v/>
      </c>
      <c r="G42" s="249">
        <f>IFERROR(VLOOKUP(E42,Tabellen!A:F,2),0)</f>
        <v/>
      </c>
      <c r="H42" s="64">
        <f>IFERROR(VLOOKUP(E42,Tabellen!A:H,8),0)</f>
        <v/>
      </c>
      <c r="I42" s="250">
        <f>IFERROR(VLOOKUP(H42,Tabellen!H:I,2),0)</f>
        <v/>
      </c>
      <c r="J42" s="121" t="n"/>
      <c r="K42" s="251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249">
        <f>IFERROR(VLOOKUP(E43,Tabellen!A:F,4),0)</f>
        <v/>
      </c>
      <c r="B43" s="74" t="n"/>
      <c r="C43" s="74">
        <f>IFERROR(VLOOKUP(E43,Tabellen!A:F,5),0)</f>
        <v/>
      </c>
      <c r="D43" s="249">
        <f>IFERROR(VLOOKUP(E43,Tabellen!A:F,6),0)</f>
        <v/>
      </c>
      <c r="E43" s="120" t="n"/>
      <c r="F43" s="75">
        <f>IF(E43&gt;0,$L$4,0)</f>
        <v/>
      </c>
      <c r="G43" s="249">
        <f>IFERROR(VLOOKUP(E43,Tabellen!A:F,2),0)</f>
        <v/>
      </c>
      <c r="H43" s="64">
        <f>IFERROR(VLOOKUP(E43,Tabellen!A:H,8),0)</f>
        <v/>
      </c>
      <c r="I43" s="250">
        <f>IFERROR(VLOOKUP(H43,Tabellen!H:I,2),0)</f>
        <v/>
      </c>
      <c r="J43" s="121" t="n"/>
      <c r="K43" s="251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249">
        <f>IFERROR(VLOOKUP(E44,Tabellen!A:F,4),0)</f>
        <v/>
      </c>
      <c r="B44" s="74" t="n"/>
      <c r="C44" s="74">
        <f>IFERROR(VLOOKUP(E44,Tabellen!A:F,5),0)</f>
        <v/>
      </c>
      <c r="D44" s="249">
        <f>IFERROR(VLOOKUP(E44,Tabellen!A:F,6),0)</f>
        <v/>
      </c>
      <c r="E44" s="120" t="n"/>
      <c r="F44" s="75">
        <f>IF(E44&gt;0,$L$4,0)</f>
        <v/>
      </c>
      <c r="G44" s="249">
        <f>IFERROR(VLOOKUP(E44,Tabellen!A:F,2),0)</f>
        <v/>
      </c>
      <c r="H44" s="64">
        <f>IFERROR(VLOOKUP(E44,Tabellen!A:H,8),0)</f>
        <v/>
      </c>
      <c r="I44" s="250">
        <f>IFERROR(VLOOKUP(H44,Tabellen!H:I,2),0)</f>
        <v/>
      </c>
      <c r="J44" s="121" t="n"/>
      <c r="K44" s="251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249">
        <f>IFERROR(VLOOKUP(E45,Tabellen!A:F,4),0)</f>
        <v/>
      </c>
      <c r="B45" s="74" t="n"/>
      <c r="C45" s="74">
        <f>IFERROR(VLOOKUP(E45,Tabellen!A:F,5),0)</f>
        <v/>
      </c>
      <c r="D45" s="249">
        <f>IFERROR(VLOOKUP(E45,Tabellen!A:F,6),0)</f>
        <v/>
      </c>
      <c r="E45" s="120" t="n"/>
      <c r="F45" s="75">
        <f>IF(E45&gt;0,$L$4,0)</f>
        <v/>
      </c>
      <c r="G45" s="249">
        <f>IFERROR(VLOOKUP(E45,Tabellen!A:F,2),0)</f>
        <v/>
      </c>
      <c r="H45" s="64">
        <f>IFERROR(VLOOKUP(E45,Tabellen!A:H,8),0)</f>
        <v/>
      </c>
      <c r="I45" s="250">
        <f>IFERROR(VLOOKUP(H45,Tabellen!H:I,2),0)</f>
        <v/>
      </c>
      <c r="J45" s="121" t="n"/>
      <c r="K45" s="251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249">
        <f>IFERROR(VLOOKUP(E46,Tabellen!A:F,4),0)</f>
        <v/>
      </c>
      <c r="B46" s="74" t="n"/>
      <c r="C46" s="74">
        <f>IFERROR(VLOOKUP(E46,Tabellen!A:F,5),0)</f>
        <v/>
      </c>
      <c r="D46" s="249">
        <f>IFERROR(VLOOKUP(E46,Tabellen!A:F,6),0)</f>
        <v/>
      </c>
      <c r="E46" s="120" t="n"/>
      <c r="F46" s="75">
        <f>IF(E46&gt;0,$L$4,0)</f>
        <v/>
      </c>
      <c r="G46" s="249">
        <f>IFERROR(VLOOKUP(E46,Tabellen!A:F,2),0)</f>
        <v/>
      </c>
      <c r="H46" s="64">
        <f>IFERROR(VLOOKUP(E46,Tabellen!A:H,8),0)</f>
        <v/>
      </c>
      <c r="I46" s="250">
        <f>IFERROR(VLOOKUP(H46,Tabellen!H:I,2),0)</f>
        <v/>
      </c>
      <c r="J46" s="121" t="n"/>
      <c r="K46" s="251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249">
        <f>IFERROR(VLOOKUP(E47,Tabellen!A:F,4),0)</f>
        <v/>
      </c>
      <c r="B47" s="74" t="n"/>
      <c r="C47" s="74">
        <f>IFERROR(VLOOKUP(E47,Tabellen!A:F,5),0)</f>
        <v/>
      </c>
      <c r="D47" s="249">
        <f>IFERROR(VLOOKUP(E47,Tabellen!A:F,6),0)</f>
        <v/>
      </c>
      <c r="E47" s="120" t="n"/>
      <c r="F47" s="75">
        <f>IF(E47&gt;0,$L$4,0)</f>
        <v/>
      </c>
      <c r="G47" s="249">
        <f>IFERROR(VLOOKUP(E47,Tabellen!A:F,2),0)</f>
        <v/>
      </c>
      <c r="H47" s="64">
        <f>IFERROR(VLOOKUP(E47,Tabellen!A:H,8),0)</f>
        <v/>
      </c>
      <c r="I47" s="250">
        <f>IFERROR(VLOOKUP(H47,Tabellen!H:I,2),0)</f>
        <v/>
      </c>
      <c r="J47" s="121" t="n"/>
      <c r="K47" s="251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249">
        <f>IFERROR(VLOOKUP(E48,Tabellen!A:F,4),0)</f>
        <v/>
      </c>
      <c r="B48" s="74" t="n"/>
      <c r="C48" s="74">
        <f>IFERROR(VLOOKUP(E48,Tabellen!A:F,5),0)</f>
        <v/>
      </c>
      <c r="D48" s="249">
        <f>IFERROR(VLOOKUP(E48,Tabellen!A:F,6),0)</f>
        <v/>
      </c>
      <c r="E48" s="120" t="n"/>
      <c r="F48" s="75">
        <f>IF(E48&gt;0,$L$4,0)</f>
        <v/>
      </c>
      <c r="G48" s="249">
        <f>IFERROR(VLOOKUP(E48,Tabellen!A:F,2),0)</f>
        <v/>
      </c>
      <c r="H48" s="64">
        <f>IFERROR(VLOOKUP(E48,Tabellen!A:H,8),0)</f>
        <v/>
      </c>
      <c r="I48" s="250">
        <f>IFERROR(VLOOKUP(H48,Tabellen!H:I,2),0)</f>
        <v/>
      </c>
      <c r="J48" s="121" t="n"/>
      <c r="K48" s="251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249">
        <f>IFERROR(VLOOKUP(E49,Tabellen!A:F,4),0)</f>
        <v/>
      </c>
      <c r="B49" s="74" t="n"/>
      <c r="C49" s="74">
        <f>IFERROR(VLOOKUP(E49,Tabellen!A:F,5),0)</f>
        <v/>
      </c>
      <c r="D49" s="249">
        <f>IFERROR(VLOOKUP(E49,Tabellen!A:F,6),0)</f>
        <v/>
      </c>
      <c r="E49" s="120" t="n"/>
      <c r="F49" s="75">
        <f>IF(E49&gt;0,$L$4,0)</f>
        <v/>
      </c>
      <c r="G49" s="249">
        <f>IFERROR(VLOOKUP(E49,Tabellen!A:F,2),0)</f>
        <v/>
      </c>
      <c r="H49" s="64">
        <f>IFERROR(VLOOKUP(E49,Tabellen!A:H,8),0)</f>
        <v/>
      </c>
      <c r="I49" s="250">
        <f>IFERROR(VLOOKUP(H49,Tabellen!H:I,2),0)</f>
        <v/>
      </c>
      <c r="J49" s="121" t="n"/>
      <c r="K49" s="251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249">
        <f>IFERROR(VLOOKUP(E50,Tabellen!A:F,4),0)</f>
        <v/>
      </c>
      <c r="B50" s="74" t="n"/>
      <c r="C50" s="74">
        <f>IFERROR(VLOOKUP(E50,Tabellen!A:F,5),0)</f>
        <v/>
      </c>
      <c r="D50" s="249">
        <f>IFERROR(VLOOKUP(E50,Tabellen!A:F,6),0)</f>
        <v/>
      </c>
      <c r="E50" s="120" t="n"/>
      <c r="F50" s="75">
        <f>IF(E50&gt;0,$L$4,0)</f>
        <v/>
      </c>
      <c r="G50" s="249">
        <f>IFERROR(VLOOKUP(E50,Tabellen!A:F,2),0)</f>
        <v/>
      </c>
      <c r="H50" s="64">
        <f>IFERROR(VLOOKUP(E50,Tabellen!A:H,8),0)</f>
        <v/>
      </c>
      <c r="I50" s="250">
        <f>IFERROR(VLOOKUP(H50,Tabellen!H:I,2),0)</f>
        <v/>
      </c>
      <c r="J50" s="121" t="n"/>
      <c r="K50" s="251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249">
        <f>IFERROR(VLOOKUP(E51,Tabellen!A:F,4),0)</f>
        <v/>
      </c>
      <c r="B51" s="74" t="n"/>
      <c r="C51" s="74">
        <f>IFERROR(VLOOKUP(E51,Tabellen!A:F,5),0)</f>
        <v/>
      </c>
      <c r="D51" s="249">
        <f>IFERROR(VLOOKUP(E51,Tabellen!A:F,6),0)</f>
        <v/>
      </c>
      <c r="E51" s="120" t="n"/>
      <c r="F51" s="75">
        <f>IF(E51&gt;0,$L$4,0)</f>
        <v/>
      </c>
      <c r="G51" s="249">
        <f>IFERROR(VLOOKUP(E51,Tabellen!A:F,2),0)</f>
        <v/>
      </c>
      <c r="H51" s="64">
        <f>IFERROR(VLOOKUP(E51,Tabellen!A:H,8),0)</f>
        <v/>
      </c>
      <c r="I51" s="250">
        <f>IFERROR(VLOOKUP(H51,Tabellen!H:I,2),0)</f>
        <v/>
      </c>
      <c r="J51" s="121" t="n"/>
      <c r="K51" s="251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249">
        <f>IFERROR(VLOOKUP(E52,Tabellen!A:F,4),0)</f>
        <v/>
      </c>
      <c r="B52" s="74" t="n"/>
      <c r="C52" s="74">
        <f>IFERROR(VLOOKUP(E52,Tabellen!A:F,5),0)</f>
        <v/>
      </c>
      <c r="D52" s="249">
        <f>IFERROR(VLOOKUP(E52,Tabellen!A:F,6),0)</f>
        <v/>
      </c>
      <c r="E52" s="120" t="n"/>
      <c r="F52" s="75">
        <f>IF(E52&gt;0,$L$4,0)</f>
        <v/>
      </c>
      <c r="G52" s="249">
        <f>IFERROR(VLOOKUP(E52,Tabellen!A:F,2),0)</f>
        <v/>
      </c>
      <c r="H52" s="64">
        <f>IFERROR(VLOOKUP(E52,Tabellen!A:H,8),0)</f>
        <v/>
      </c>
      <c r="I52" s="250">
        <f>IFERROR(VLOOKUP(H52,Tabellen!H:I,2),0)</f>
        <v/>
      </c>
      <c r="J52" s="121" t="n"/>
      <c r="K52" s="251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249">
        <f>IFERROR(VLOOKUP(E53,Tabellen!A:F,4),0)</f>
        <v/>
      </c>
      <c r="B53" s="74" t="n"/>
      <c r="C53" s="74">
        <f>IFERROR(VLOOKUP(E53,Tabellen!A:F,5),0)</f>
        <v/>
      </c>
      <c r="D53" s="249">
        <f>IFERROR(VLOOKUP(E53,Tabellen!A:F,6),0)</f>
        <v/>
      </c>
      <c r="E53" s="120" t="n"/>
      <c r="F53" s="75">
        <f>IF(E53&gt;0,$L$4,0)</f>
        <v/>
      </c>
      <c r="G53" s="249">
        <f>IFERROR(VLOOKUP(E53,Tabellen!A:F,2),0)</f>
        <v/>
      </c>
      <c r="H53" s="64">
        <f>IFERROR(VLOOKUP(E53,Tabellen!A:H,8),0)</f>
        <v/>
      </c>
      <c r="I53" s="250">
        <f>IFERROR(VLOOKUP(H53,Tabellen!H:I,2),0)</f>
        <v/>
      </c>
      <c r="J53" s="121" t="n"/>
      <c r="K53" s="251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249">
        <f>IFERROR(VLOOKUP(E54,Tabellen!A:F,4),0)</f>
        <v/>
      </c>
      <c r="B54" s="74" t="n"/>
      <c r="C54" s="74">
        <f>IFERROR(VLOOKUP(E54,Tabellen!A:F,5),0)</f>
        <v/>
      </c>
      <c r="D54" s="249">
        <f>IFERROR(VLOOKUP(E54,Tabellen!A:F,6),0)</f>
        <v/>
      </c>
      <c r="E54" s="120" t="n"/>
      <c r="F54" s="75">
        <f>IF(E54&gt;0,$L$4,0)</f>
        <v/>
      </c>
      <c r="G54" s="249">
        <f>IFERROR(VLOOKUP(E54,Tabellen!A:F,2),0)</f>
        <v/>
      </c>
      <c r="H54" s="64">
        <f>IFERROR(VLOOKUP(E54,Tabellen!A:H,8),0)</f>
        <v/>
      </c>
      <c r="I54" s="250">
        <f>IFERROR(VLOOKUP(H54,Tabellen!H:I,2),0)</f>
        <v/>
      </c>
      <c r="J54" s="121" t="n"/>
      <c r="K54" s="251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249">
        <f>IFERROR(VLOOKUP(E55,Tabellen!A:F,4),0)</f>
        <v/>
      </c>
      <c r="B55" s="74" t="n"/>
      <c r="C55" s="74">
        <f>IFERROR(VLOOKUP(E55,Tabellen!A:F,5),0)</f>
        <v/>
      </c>
      <c r="D55" s="249">
        <f>IFERROR(VLOOKUP(E55,Tabellen!A:F,6),0)</f>
        <v/>
      </c>
      <c r="E55" s="120" t="n"/>
      <c r="F55" s="75">
        <f>IF(E55&gt;0,$L$4,0)</f>
        <v/>
      </c>
      <c r="G55" s="249">
        <f>IFERROR(VLOOKUP(E55,Tabellen!A:F,2),0)</f>
        <v/>
      </c>
      <c r="H55" s="64">
        <f>IFERROR(VLOOKUP(E55,Tabellen!A:H,8),0)</f>
        <v/>
      </c>
      <c r="I55" s="250">
        <f>IFERROR(VLOOKUP(H55,Tabellen!H:I,2),0)</f>
        <v/>
      </c>
      <c r="J55" s="121" t="n"/>
      <c r="K55" s="251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249">
        <f>IFERROR(VLOOKUP(E56,Tabellen!A:F,4),0)</f>
        <v/>
      </c>
      <c r="B56" s="74" t="n"/>
      <c r="C56" s="74">
        <f>IFERROR(VLOOKUP(E56,Tabellen!A:F,5),0)</f>
        <v/>
      </c>
      <c r="D56" s="249">
        <f>IFERROR(VLOOKUP(E56,Tabellen!A:F,6),0)</f>
        <v/>
      </c>
      <c r="E56" s="120" t="n"/>
      <c r="F56" s="75">
        <f>IF(E56&gt;0,$L$4,0)</f>
        <v/>
      </c>
      <c r="G56" s="249">
        <f>IFERROR(VLOOKUP(E56,Tabellen!A:F,2),0)</f>
        <v/>
      </c>
      <c r="H56" s="64">
        <f>IFERROR(VLOOKUP(E56,Tabellen!A:H,8),0)</f>
        <v/>
      </c>
      <c r="I56" s="250">
        <f>IFERROR(VLOOKUP(H56,Tabellen!H:I,2),0)</f>
        <v/>
      </c>
      <c r="J56" s="121" t="n"/>
      <c r="K56" s="251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249">
        <f>IFERROR(VLOOKUP(E57,Tabellen!A:F,4),0)</f>
        <v/>
      </c>
      <c r="B57" s="74" t="n"/>
      <c r="C57" s="74">
        <f>IFERROR(VLOOKUP(E57,Tabellen!A:F,5),0)</f>
        <v/>
      </c>
      <c r="D57" s="249">
        <f>IFERROR(VLOOKUP(E57,Tabellen!A:F,6),0)</f>
        <v/>
      </c>
      <c r="E57" s="120" t="n"/>
      <c r="F57" s="75">
        <f>IF(E57&gt;0,$L$4,0)</f>
        <v/>
      </c>
      <c r="G57" s="249">
        <f>IFERROR(VLOOKUP(E57,Tabellen!A:F,2),0)</f>
        <v/>
      </c>
      <c r="H57" s="64">
        <f>IFERROR(VLOOKUP(E57,Tabellen!A:H,8),0)</f>
        <v/>
      </c>
      <c r="I57" s="250">
        <f>IFERROR(VLOOKUP(H57,Tabellen!H:I,2),0)</f>
        <v/>
      </c>
      <c r="J57" s="121" t="n"/>
      <c r="K57" s="251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249">
        <f>IFERROR(VLOOKUP(E58,Tabellen!A:F,4),0)</f>
        <v/>
      </c>
      <c r="B58" s="74" t="n"/>
      <c r="C58" s="74">
        <f>IFERROR(VLOOKUP(E58,Tabellen!A:F,5),0)</f>
        <v/>
      </c>
      <c r="D58" s="249">
        <f>IFERROR(VLOOKUP(E58,Tabellen!A:F,6),0)</f>
        <v/>
      </c>
      <c r="E58" s="120" t="n"/>
      <c r="F58" s="75">
        <f>IF(E58&gt;0,$L$4,0)</f>
        <v/>
      </c>
      <c r="G58" s="249">
        <f>IFERROR(VLOOKUP(E58,Tabellen!A:F,2),0)</f>
        <v/>
      </c>
      <c r="H58" s="64">
        <f>IFERROR(VLOOKUP(E58,Tabellen!A:H,8),0)</f>
        <v/>
      </c>
      <c r="I58" s="250">
        <f>IFERROR(VLOOKUP(H58,Tabellen!H:I,2),0)</f>
        <v/>
      </c>
      <c r="J58" s="121" t="n"/>
      <c r="K58" s="251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249">
        <f>IFERROR(VLOOKUP(E59,Tabellen!A:F,4),0)</f>
        <v/>
      </c>
      <c r="B59" s="74" t="n"/>
      <c r="C59" s="74">
        <f>IFERROR(VLOOKUP(E59,Tabellen!A:F,5),0)</f>
        <v/>
      </c>
      <c r="D59" s="249">
        <f>IFERROR(VLOOKUP(E59,Tabellen!A:F,6),0)</f>
        <v/>
      </c>
      <c r="E59" s="120" t="n"/>
      <c r="F59" s="75">
        <f>IF(E59&gt;0,$L$4,0)</f>
        <v/>
      </c>
      <c r="G59" s="249">
        <f>IFERROR(VLOOKUP(E59,Tabellen!A:F,2),0)</f>
        <v/>
      </c>
      <c r="H59" s="64">
        <f>IFERROR(VLOOKUP(E59,Tabellen!A:H,8),0)</f>
        <v/>
      </c>
      <c r="I59" s="250">
        <f>IFERROR(VLOOKUP(H59,Tabellen!H:I,2),0)</f>
        <v/>
      </c>
      <c r="J59" s="121" t="n"/>
      <c r="K59" s="251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249">
        <f>IFERROR(VLOOKUP(E60,Tabellen!A:F,4),0)</f>
        <v/>
      </c>
      <c r="B60" s="74" t="n"/>
      <c r="C60" s="74">
        <f>IFERROR(VLOOKUP(E60,Tabellen!A:F,5),0)</f>
        <v/>
      </c>
      <c r="D60" s="249">
        <f>IFERROR(VLOOKUP(E60,Tabellen!A:F,6),0)</f>
        <v/>
      </c>
      <c r="E60" s="120" t="n"/>
      <c r="F60" s="75">
        <f>IF(E60&gt;0,$L$4,0)</f>
        <v/>
      </c>
      <c r="G60" s="249">
        <f>IFERROR(VLOOKUP(E60,Tabellen!A:F,2),0)</f>
        <v/>
      </c>
      <c r="H60" s="64">
        <f>IFERROR(VLOOKUP(E60,Tabellen!A:H,8),0)</f>
        <v/>
      </c>
      <c r="I60" s="250">
        <f>IFERROR(VLOOKUP(H60,Tabellen!H:I,2),0)</f>
        <v/>
      </c>
      <c r="J60" s="121" t="n"/>
      <c r="K60" s="251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249">
        <f>IFERROR(VLOOKUP(E61,Tabellen!A:F,4),0)</f>
        <v/>
      </c>
      <c r="B61" s="74" t="n"/>
      <c r="C61" s="74">
        <f>IFERROR(VLOOKUP(E61,Tabellen!A:F,5),0)</f>
        <v/>
      </c>
      <c r="D61" s="249">
        <f>IFERROR(VLOOKUP(E61,Tabellen!A:F,6),0)</f>
        <v/>
      </c>
      <c r="E61" s="120" t="n"/>
      <c r="F61" s="75">
        <f>IF(E61&gt;0,$L$4,0)</f>
        <v/>
      </c>
      <c r="G61" s="249">
        <f>IFERROR(VLOOKUP(E61,Tabellen!A:F,2),0)</f>
        <v/>
      </c>
      <c r="H61" s="64">
        <f>IFERROR(VLOOKUP(E61,Tabellen!A:H,8),0)</f>
        <v/>
      </c>
      <c r="I61" s="250">
        <f>IFERROR(VLOOKUP(H61,Tabellen!H:I,2),0)</f>
        <v/>
      </c>
      <c r="J61" s="121" t="n"/>
      <c r="K61" s="251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249">
        <f>IFERROR(VLOOKUP(E62,Tabellen!A:F,4),0)</f>
        <v/>
      </c>
      <c r="B62" s="74" t="n"/>
      <c r="C62" s="74">
        <f>IFERROR(VLOOKUP(E62,Tabellen!A:F,5),0)</f>
        <v/>
      </c>
      <c r="D62" s="249">
        <f>IFERROR(VLOOKUP(E62,Tabellen!A:F,6),0)</f>
        <v/>
      </c>
      <c r="E62" s="120" t="n"/>
      <c r="F62" s="75">
        <f>IF(E62&gt;0,$L$4,0)</f>
        <v/>
      </c>
      <c r="G62" s="249">
        <f>IFERROR(VLOOKUP(E62,Tabellen!A:F,2),0)</f>
        <v/>
      </c>
      <c r="H62" s="64">
        <f>IFERROR(VLOOKUP(E62,Tabellen!A:H,8),0)</f>
        <v/>
      </c>
      <c r="I62" s="250">
        <f>IFERROR(VLOOKUP(H62,Tabellen!H:I,2),0)</f>
        <v/>
      </c>
      <c r="J62" s="121" t="n"/>
      <c r="K62" s="251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249">
        <f>IFERROR(VLOOKUP(E63,Tabellen!A:F,4),0)</f>
        <v/>
      </c>
      <c r="B63" s="74" t="n"/>
      <c r="C63" s="74">
        <f>IFERROR(VLOOKUP(E63,Tabellen!A:F,5),0)</f>
        <v/>
      </c>
      <c r="D63" s="249">
        <f>IFERROR(VLOOKUP(E63,Tabellen!A:F,6),0)</f>
        <v/>
      </c>
      <c r="E63" s="120" t="n"/>
      <c r="F63" s="75">
        <f>IF(E63&gt;0,$L$4,0)</f>
        <v/>
      </c>
      <c r="G63" s="249">
        <f>IFERROR(VLOOKUP(E63,Tabellen!A:F,2),0)</f>
        <v/>
      </c>
      <c r="H63" s="64">
        <f>IFERROR(VLOOKUP(E63,Tabellen!A:H,8),0)</f>
        <v/>
      </c>
      <c r="I63" s="250">
        <f>IFERROR(VLOOKUP(H63,Tabellen!H:I,2),0)</f>
        <v/>
      </c>
      <c r="J63" s="121" t="n"/>
      <c r="K63" s="251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249">
        <f>IFERROR(VLOOKUP(E64,Tabellen!A:F,4),0)</f>
        <v/>
      </c>
      <c r="B64" s="74" t="n"/>
      <c r="C64" s="74">
        <f>IFERROR(VLOOKUP(E64,Tabellen!A:F,5),0)</f>
        <v/>
      </c>
      <c r="D64" s="249">
        <f>IFERROR(VLOOKUP(E64,Tabellen!A:F,6),0)</f>
        <v/>
      </c>
      <c r="E64" s="120" t="n"/>
      <c r="F64" s="75">
        <f>IF(E64&gt;0,$L$4,0)</f>
        <v/>
      </c>
      <c r="G64" s="249">
        <f>IFERROR(VLOOKUP(E64,Tabellen!A:F,2),0)</f>
        <v/>
      </c>
      <c r="H64" s="64">
        <f>IFERROR(VLOOKUP(E64,Tabellen!A:H,8),0)</f>
        <v/>
      </c>
      <c r="I64" s="250">
        <f>IFERROR(VLOOKUP(H64,Tabellen!H:I,2),0)</f>
        <v/>
      </c>
      <c r="J64" s="121" t="n"/>
      <c r="K64" s="251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249">
        <f>IFERROR(VLOOKUP(E65,Tabellen!A:F,4),0)</f>
        <v/>
      </c>
      <c r="B65" s="74" t="n"/>
      <c r="C65" s="74">
        <f>IFERROR(VLOOKUP(E65,Tabellen!A:F,5),0)</f>
        <v/>
      </c>
      <c r="D65" s="249">
        <f>IFERROR(VLOOKUP(E65,Tabellen!A:F,6),0)</f>
        <v/>
      </c>
      <c r="E65" s="120" t="n"/>
      <c r="F65" s="75">
        <f>IF(E65&gt;0,$L$4,0)</f>
        <v/>
      </c>
      <c r="G65" s="249">
        <f>IFERROR(VLOOKUP(E65,Tabellen!A:F,2),0)</f>
        <v/>
      </c>
      <c r="H65" s="64">
        <f>IFERROR(VLOOKUP(E65,Tabellen!A:H,8),0)</f>
        <v/>
      </c>
      <c r="I65" s="250">
        <f>IFERROR(VLOOKUP(H65,Tabellen!H:I,2),0)</f>
        <v/>
      </c>
      <c r="J65" s="121" t="n"/>
      <c r="K65" s="251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249">
        <f>IFERROR(VLOOKUP(E66,Tabellen!A:F,4),0)</f>
        <v/>
      </c>
      <c r="B66" s="74" t="n"/>
      <c r="C66" s="74">
        <f>IFERROR(VLOOKUP(E66,Tabellen!A:F,5),0)</f>
        <v/>
      </c>
      <c r="D66" s="249">
        <f>IFERROR(VLOOKUP(E66,Tabellen!A:F,6),0)</f>
        <v/>
      </c>
      <c r="E66" s="120" t="n"/>
      <c r="F66" s="75">
        <f>IF(E66&gt;0,$L$4,0)</f>
        <v/>
      </c>
      <c r="G66" s="249">
        <f>IFERROR(VLOOKUP(E66,Tabellen!A:F,2),0)</f>
        <v/>
      </c>
      <c r="H66" s="64">
        <f>IFERROR(VLOOKUP(E66,Tabellen!A:H,8),0)</f>
        <v/>
      </c>
      <c r="I66" s="250">
        <f>IFERROR(VLOOKUP(H66,Tabellen!H:I,2),0)</f>
        <v/>
      </c>
      <c r="J66" s="121" t="n"/>
      <c r="K66" s="251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249">
        <f>IFERROR(VLOOKUP(E67,Tabellen!A:F,4),0)</f>
        <v/>
      </c>
      <c r="B67" s="74" t="n"/>
      <c r="C67" s="74">
        <f>IFERROR(VLOOKUP(E67,Tabellen!A:F,5),0)</f>
        <v/>
      </c>
      <c r="D67" s="249">
        <f>IFERROR(VLOOKUP(E67,Tabellen!A:F,6),0)</f>
        <v/>
      </c>
      <c r="E67" s="120" t="n"/>
      <c r="F67" s="75">
        <f>IF(E67&gt;0,$L$4,0)</f>
        <v/>
      </c>
      <c r="G67" s="249">
        <f>IFERROR(VLOOKUP(E67,Tabellen!A:F,2),0)</f>
        <v/>
      </c>
      <c r="H67" s="64">
        <f>IFERROR(VLOOKUP(E67,Tabellen!A:H,8),0)</f>
        <v/>
      </c>
      <c r="I67" s="250">
        <f>IFERROR(VLOOKUP(H67,Tabellen!H:I,2),0)</f>
        <v/>
      </c>
      <c r="J67" s="121" t="n"/>
      <c r="K67" s="251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249">
        <f>IFERROR(VLOOKUP(E68,Tabellen!A:F,4),0)</f>
        <v/>
      </c>
      <c r="B68" s="74" t="n"/>
      <c r="C68" s="74">
        <f>IFERROR(VLOOKUP(E68,Tabellen!A:F,5),0)</f>
        <v/>
      </c>
      <c r="D68" s="249">
        <f>IFERROR(VLOOKUP(E68,Tabellen!A:F,6),0)</f>
        <v/>
      </c>
      <c r="E68" s="120" t="n"/>
      <c r="F68" s="75">
        <f>IF(E68&gt;0,$L$4,0)</f>
        <v/>
      </c>
      <c r="G68" s="249">
        <f>IFERROR(VLOOKUP(E68,Tabellen!A:F,2),0)</f>
        <v/>
      </c>
      <c r="H68" s="64">
        <f>IFERROR(VLOOKUP(E68,Tabellen!A:H,8),0)</f>
        <v/>
      </c>
      <c r="I68" s="250">
        <f>IFERROR(VLOOKUP(H68,Tabellen!H:I,2),0)</f>
        <v/>
      </c>
      <c r="J68" s="121" t="n"/>
      <c r="K68" s="251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249">
        <f>IFERROR(VLOOKUP(E69,Tabellen!A:F,4),0)</f>
        <v/>
      </c>
      <c r="B69" s="74" t="n"/>
      <c r="C69" s="74">
        <f>IFERROR(VLOOKUP(E69,Tabellen!A:F,5),0)</f>
        <v/>
      </c>
      <c r="D69" s="249">
        <f>IFERROR(VLOOKUP(E69,Tabellen!A:F,6),0)</f>
        <v/>
      </c>
      <c r="E69" s="120" t="n"/>
      <c r="F69" s="75">
        <f>IF(E69&gt;0,$L$4,0)</f>
        <v/>
      </c>
      <c r="G69" s="249">
        <f>IFERROR(VLOOKUP(E69,Tabellen!A:F,2),0)</f>
        <v/>
      </c>
      <c r="H69" s="64">
        <f>IFERROR(VLOOKUP(E69,Tabellen!A:H,8),0)</f>
        <v/>
      </c>
      <c r="I69" s="250">
        <f>IFERROR(VLOOKUP(H69,Tabellen!H:I,2),0)</f>
        <v/>
      </c>
      <c r="J69" s="121" t="n"/>
      <c r="K69" s="251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249">
        <f>IFERROR(VLOOKUP(E70,Tabellen!A:F,4),0)</f>
        <v/>
      </c>
      <c r="B70" s="74" t="n"/>
      <c r="C70" s="74">
        <f>IFERROR(VLOOKUP(E70,Tabellen!A:F,5),0)</f>
        <v/>
      </c>
      <c r="D70" s="249">
        <f>IFERROR(VLOOKUP(E70,Tabellen!A:F,6),0)</f>
        <v/>
      </c>
      <c r="E70" s="120" t="n"/>
      <c r="F70" s="75">
        <f>IF(E70&gt;0,$L$4,0)</f>
        <v/>
      </c>
      <c r="G70" s="249">
        <f>IFERROR(VLOOKUP(E70,Tabellen!A:F,2),0)</f>
        <v/>
      </c>
      <c r="H70" s="64">
        <f>IFERROR(VLOOKUP(E70,Tabellen!A:H,8),0)</f>
        <v/>
      </c>
      <c r="I70" s="250">
        <f>IFERROR(VLOOKUP(H70,Tabellen!H:I,2),0)</f>
        <v/>
      </c>
      <c r="J70" s="121" t="n"/>
      <c r="K70" s="251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249">
        <f>IFERROR(VLOOKUP(E71,Tabellen!A:F,4),0)</f>
        <v/>
      </c>
      <c r="B71" s="74" t="n"/>
      <c r="C71" s="74">
        <f>IFERROR(VLOOKUP(E71,Tabellen!A:F,5),0)</f>
        <v/>
      </c>
      <c r="D71" s="249">
        <f>IFERROR(VLOOKUP(E71,Tabellen!A:F,6),0)</f>
        <v/>
      </c>
      <c r="E71" s="120" t="n"/>
      <c r="F71" s="75">
        <f>IF(E71&gt;0,$L$4,0)</f>
        <v/>
      </c>
      <c r="G71" s="249">
        <f>IFERROR(VLOOKUP(E71,Tabellen!A:F,2),0)</f>
        <v/>
      </c>
      <c r="H71" s="64">
        <f>IFERROR(VLOOKUP(E71,Tabellen!A:H,8),0)</f>
        <v/>
      </c>
      <c r="I71" s="250">
        <f>IFERROR(VLOOKUP(H71,Tabellen!H:I,2),0)</f>
        <v/>
      </c>
      <c r="J71" s="121" t="n"/>
      <c r="K71" s="251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249">
        <f>IFERROR(VLOOKUP(E72,Tabellen!A:F,4),0)</f>
        <v/>
      </c>
      <c r="B72" s="74" t="n"/>
      <c r="C72" s="74">
        <f>IFERROR(VLOOKUP(E72,Tabellen!A:F,5),0)</f>
        <v/>
      </c>
      <c r="D72" s="249">
        <f>IFERROR(VLOOKUP(E72,Tabellen!A:F,6),0)</f>
        <v/>
      </c>
      <c r="E72" s="120" t="n"/>
      <c r="F72" s="75">
        <f>IF(E72&gt;0,$L$4,0)</f>
        <v/>
      </c>
      <c r="G72" s="249">
        <f>IFERROR(VLOOKUP(E72,Tabellen!A:F,2),0)</f>
        <v/>
      </c>
      <c r="H72" s="64">
        <f>IFERROR(VLOOKUP(E72,Tabellen!A:H,8),0)</f>
        <v/>
      </c>
      <c r="I72" s="250">
        <f>IFERROR(VLOOKUP(H72,Tabellen!H:I,2),0)</f>
        <v/>
      </c>
      <c r="J72" s="121" t="n"/>
      <c r="K72" s="251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249">
        <f>IFERROR(VLOOKUP(E73,Tabellen!A:F,4),0)</f>
        <v/>
      </c>
      <c r="B73" s="74" t="n"/>
      <c r="C73" s="74">
        <f>IFERROR(VLOOKUP(E73,Tabellen!A:F,5),0)</f>
        <v/>
      </c>
      <c r="D73" s="249">
        <f>IFERROR(VLOOKUP(E73,Tabellen!A:F,6),0)</f>
        <v/>
      </c>
      <c r="E73" s="120" t="n"/>
      <c r="F73" s="75">
        <f>IF(E73&gt;0,$L$4,0)</f>
        <v/>
      </c>
      <c r="G73" s="249">
        <f>IFERROR(VLOOKUP(E73,Tabellen!A:F,2),0)</f>
        <v/>
      </c>
      <c r="H73" s="64">
        <f>IFERROR(VLOOKUP(E73,Tabellen!A:H,8),0)</f>
        <v/>
      </c>
      <c r="I73" s="250">
        <f>IFERROR(VLOOKUP(H73,Tabellen!H:I,2),0)</f>
        <v/>
      </c>
      <c r="J73" s="121" t="n"/>
      <c r="K73" s="251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249">
        <f>IFERROR(VLOOKUP(E74,Tabellen!A:F,4),0)</f>
        <v/>
      </c>
      <c r="B74" s="74" t="n"/>
      <c r="C74" s="74">
        <f>IFERROR(VLOOKUP(E74,Tabellen!A:F,5),0)</f>
        <v/>
      </c>
      <c r="D74" s="249">
        <f>IFERROR(VLOOKUP(E74,Tabellen!A:F,6),0)</f>
        <v/>
      </c>
      <c r="E74" s="120" t="n"/>
      <c r="F74" s="75">
        <f>IF(E74&gt;0,$L$4,0)</f>
        <v/>
      </c>
      <c r="G74" s="249">
        <f>IFERROR(VLOOKUP(E74,Tabellen!A:F,2),0)</f>
        <v/>
      </c>
      <c r="H74" s="64">
        <f>IFERROR(VLOOKUP(E74,Tabellen!A:H,8),0)</f>
        <v/>
      </c>
      <c r="I74" s="250">
        <f>IFERROR(VLOOKUP(H74,Tabellen!H:I,2),0)</f>
        <v/>
      </c>
      <c r="J74" s="121" t="n"/>
      <c r="K74" s="251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5" customFormat="1" customHeight="1" s="132">
      <c r="A75" s="341" t="inlineStr">
        <is>
          <t>Saldo inkomsten en uitgaven</t>
        </is>
      </c>
      <c r="B75" s="342" t="n"/>
      <c r="C75" s="342" t="n"/>
      <c r="D75" s="341" t="n"/>
      <c r="E75" s="342" t="n"/>
      <c r="F75" s="343" t="n"/>
      <c r="G75" s="344" t="n"/>
      <c r="H75" s="345" t="n"/>
      <c r="I75" s="346" t="n"/>
      <c r="J75" s="343" t="n"/>
      <c r="K75" s="347" t="n"/>
      <c r="L75" s="348">
        <f>SUM(L18:L74)</f>
        <v/>
      </c>
      <c r="M75" s="348">
        <f>SUM(M18:M74)</f>
        <v/>
      </c>
      <c r="N75" s="348">
        <f>SUM(N18:N74)</f>
        <v/>
      </c>
      <c r="O75" s="348">
        <f>SUM(O18:O74)</f>
        <v/>
      </c>
      <c r="P75" s="318" t="n"/>
      <c r="Q75" s="349">
        <f>IF(OR(H75=47201,H75=47100,H75=47200,H75=47500),L75,0)</f>
        <v/>
      </c>
      <c r="R75" s="349">
        <f>IF(OR(H75=87201,H75=87100,H75=87200,H75=87500),L75,0)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63" t="n"/>
      <c r="I76" s="246" t="n"/>
      <c r="J76" s="73" t="n"/>
      <c r="K76" s="247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6" customHeight="1">
      <c r="A77" s="350" t="inlineStr">
        <is>
          <t>B. Dekking uitgaven en inkomsten</t>
        </is>
      </c>
      <c r="B77" s="351" t="n"/>
      <c r="C77" s="351" t="n"/>
      <c r="D77" s="352" t="n"/>
      <c r="E77" s="351" t="n"/>
      <c r="F77" s="351" t="n"/>
      <c r="G77" s="352" t="n"/>
      <c r="H77" s="353" t="n"/>
      <c r="I77" s="354" t="n"/>
      <c r="J77" s="351" t="n"/>
      <c r="K77" s="355" t="n"/>
      <c r="L77" s="356" t="n"/>
      <c r="M77" s="356" t="n"/>
      <c r="N77" s="356" t="n"/>
      <c r="O77" s="356" t="n"/>
      <c r="P77" s="357" t="n"/>
      <c r="Q77" s="358" t="inlineStr">
        <is>
          <t>→ reserves, voorzieningen en overige dekkingsbronnen HIER invullen</t>
        </is>
      </c>
      <c r="R77" s="359">
        <f>IF(OR(H77=87201,H77=87100,H77=87200,H77=87500),L77,0)</f>
        <v/>
      </c>
      <c r="S77" s="357" t="n"/>
      <c r="T77" s="357" t="n"/>
    </row>
    <row r="78" ht="15" customHeight="1">
      <c r="A78" s="249">
        <f>IFERROR(VLOOKUP(E78,Tabellen!A:F,4),0)</f>
        <v/>
      </c>
      <c r="B78" s="199" t="n"/>
      <c r="C78" s="120">
        <f>IFERROR(VLOOKUP(E78,Tabellen!A:F,5),0)</f>
        <v/>
      </c>
      <c r="D78" s="249">
        <f>IFERROR(VLOOKUP(E78,Tabellen!A:F,6),0)</f>
        <v/>
      </c>
      <c r="E78" s="120" t="n"/>
      <c r="F78" s="75">
        <f>IF(E78&gt;0,$L$4,0)</f>
        <v/>
      </c>
      <c r="G78" s="256">
        <f>IFERROR(VLOOKUP(E78,Tabellen!A:F,2),0)</f>
        <v/>
      </c>
      <c r="H78" s="66">
        <f>IFERROR(VLOOKUP(E78,Tabellen!A:H,8),0)</f>
        <v/>
      </c>
      <c r="I78" s="250">
        <f>IFERROR(VLOOKUP(H78,Tabellen!H:I,2),0)</f>
        <v/>
      </c>
      <c r="J78" s="121" t="n"/>
      <c r="K78" s="251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249">
        <f>IFERROR(VLOOKUP(E79,Tabellen!A:F,4),0)</f>
        <v/>
      </c>
      <c r="B79" s="199" t="n"/>
      <c r="C79" s="120">
        <f>IFERROR(VLOOKUP(E79,Tabellen!A:F,5),0)</f>
        <v/>
      </c>
      <c r="D79" s="249">
        <f>IFERROR(VLOOKUP(E79,Tabellen!A:F,6),0)</f>
        <v/>
      </c>
      <c r="E79" s="120" t="n"/>
      <c r="F79" s="75">
        <f>IF(E79&gt;0,$L$4,0)</f>
        <v/>
      </c>
      <c r="G79" s="256">
        <f>IFERROR(VLOOKUP(E79,Tabellen!A:F,2),0)</f>
        <v/>
      </c>
      <c r="H79" s="66">
        <f>IFERROR(VLOOKUP(E79,Tabellen!A:H,8),0)</f>
        <v/>
      </c>
      <c r="I79" s="250">
        <f>IFERROR(VLOOKUP(H79,Tabellen!H:I,2),0)</f>
        <v/>
      </c>
      <c r="J79" s="121" t="n"/>
      <c r="K79" s="251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249">
        <f>IFERROR(VLOOKUP(E80,Tabellen!A:F,4),0)</f>
        <v/>
      </c>
      <c r="B80" s="199" t="n"/>
      <c r="C80" s="120">
        <f>IFERROR(VLOOKUP(E80,Tabellen!A:F,5),0)</f>
        <v/>
      </c>
      <c r="D80" s="249">
        <f>IFERROR(VLOOKUP(E80,Tabellen!A:F,6),0)</f>
        <v/>
      </c>
      <c r="E80" s="120" t="n"/>
      <c r="F80" s="75">
        <f>IF(E80&gt;0,$L$4,0)</f>
        <v/>
      </c>
      <c r="G80" s="256">
        <f>IFERROR(VLOOKUP(E80,Tabellen!A:F,2),0)</f>
        <v/>
      </c>
      <c r="H80" s="66">
        <f>IFERROR(VLOOKUP(E80,Tabellen!A:H,8),0)</f>
        <v/>
      </c>
      <c r="I80" s="250">
        <f>IFERROR(VLOOKUP(H80,Tabellen!H:I,2),0)</f>
        <v/>
      </c>
      <c r="J80" s="121" t="n"/>
      <c r="K80" s="251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249">
        <f>IFERROR(VLOOKUP(E81,Tabellen!A:F,4),0)</f>
        <v/>
      </c>
      <c r="B81" s="199" t="n"/>
      <c r="C81" s="120">
        <f>IFERROR(VLOOKUP(E81,Tabellen!A:F,5),0)</f>
        <v/>
      </c>
      <c r="D81" s="249">
        <f>IFERROR(VLOOKUP(E81,Tabellen!A:F,6),0)</f>
        <v/>
      </c>
      <c r="E81" s="120" t="n"/>
      <c r="F81" s="75">
        <f>IF(E81&gt;0,$L$4,0)</f>
        <v/>
      </c>
      <c r="G81" s="256">
        <f>IFERROR(VLOOKUP(E81,Tabellen!A:F,2),0)</f>
        <v/>
      </c>
      <c r="H81" s="66">
        <f>IFERROR(VLOOKUP(E81,Tabellen!A:H,8),0)</f>
        <v/>
      </c>
      <c r="I81" s="250">
        <f>IFERROR(VLOOKUP(H81,Tabellen!H:I,2),0)</f>
        <v/>
      </c>
      <c r="J81" s="121" t="n"/>
      <c r="K81" s="251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249">
        <f>IFERROR(VLOOKUP(E82,Tabellen!A:F,4),0)</f>
        <v/>
      </c>
      <c r="B82" s="199" t="n"/>
      <c r="C82" s="120">
        <f>IFERROR(VLOOKUP(E82,Tabellen!A:F,5),0)</f>
        <v/>
      </c>
      <c r="D82" s="249">
        <f>IFERROR(VLOOKUP(E82,Tabellen!A:F,6),0)</f>
        <v/>
      </c>
      <c r="E82" s="120" t="n"/>
      <c r="F82" s="75">
        <f>IF(E82&gt;0,$L$4,0)</f>
        <v/>
      </c>
      <c r="G82" s="256">
        <f>IFERROR(VLOOKUP(E82,Tabellen!A:F,2),0)</f>
        <v/>
      </c>
      <c r="H82" s="66">
        <f>IFERROR(VLOOKUP(E82,Tabellen!A:H,8),0)</f>
        <v/>
      </c>
      <c r="I82" s="250">
        <f>IFERROR(VLOOKUP(H82,Tabellen!H:I,2),0)</f>
        <v/>
      </c>
      <c r="J82" s="121" t="n"/>
      <c r="K82" s="251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249">
        <f>IFERROR(VLOOKUP(E83,Tabellen!A:F,4),0)</f>
        <v/>
      </c>
      <c r="B83" s="74" t="n"/>
      <c r="C83" s="120">
        <f>IFERROR(VLOOKUP(E83,Tabellen!A:F,5),0)</f>
        <v/>
      </c>
      <c r="D83" s="249">
        <f>IFERROR(VLOOKUP(E83,Tabellen!A:F,6),0)</f>
        <v/>
      </c>
      <c r="E83" s="120" t="n"/>
      <c r="F83" s="75">
        <f>IF(E83&gt;0,$L$4,0)</f>
        <v/>
      </c>
      <c r="G83" s="256">
        <f>IFERROR(VLOOKUP(E83,Tabellen!A:F,2),0)</f>
        <v/>
      </c>
      <c r="H83" s="66">
        <f>IFERROR(VLOOKUP(E83,Tabellen!A:H,8),0)</f>
        <v/>
      </c>
      <c r="I83" s="250">
        <f>IFERROR(VLOOKUP(H83,Tabellen!H:I,2),0)</f>
        <v/>
      </c>
      <c r="J83" s="121" t="n"/>
      <c r="K83" s="251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249">
        <f>IFERROR(VLOOKUP(E84,Tabellen!A:F,4),0)</f>
        <v/>
      </c>
      <c r="B84" s="199" t="n"/>
      <c r="C84" s="120">
        <f>IFERROR(VLOOKUP(E84,Tabellen!A:F,5),0)</f>
        <v/>
      </c>
      <c r="D84" s="249">
        <f>IFERROR(VLOOKUP(E84,Tabellen!A:F,6),0)</f>
        <v/>
      </c>
      <c r="E84" s="120" t="n"/>
      <c r="F84" s="75">
        <f>IF(E84&gt;0,$L$4,0)</f>
        <v/>
      </c>
      <c r="G84" s="256">
        <f>IFERROR(VLOOKUP(E84,Tabellen!A:F,2),0)</f>
        <v/>
      </c>
      <c r="H84" s="66">
        <f>IFERROR(VLOOKUP(E84,Tabellen!A:H,8),0)</f>
        <v/>
      </c>
      <c r="I84" s="250">
        <f>IFERROR(VLOOKUP(H84,Tabellen!H:I,2),0)</f>
        <v/>
      </c>
      <c r="J84" s="121" t="n"/>
      <c r="K84" s="251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249">
        <f>IFERROR(VLOOKUP(E85,Tabellen!A:F,4),0)</f>
        <v/>
      </c>
      <c r="B85" s="74" t="n"/>
      <c r="C85" s="120">
        <f>IFERROR(VLOOKUP(E85,Tabellen!A:F,5),0)</f>
        <v/>
      </c>
      <c r="D85" s="249">
        <f>IFERROR(VLOOKUP(E85,Tabellen!A:F,6),0)</f>
        <v/>
      </c>
      <c r="E85" s="120" t="n"/>
      <c r="F85" s="75">
        <f>IF(E85&gt;0,$L$4,0)</f>
        <v/>
      </c>
      <c r="G85" s="256">
        <f>IFERROR(VLOOKUP(E85,Tabellen!A:F,2),0)</f>
        <v/>
      </c>
      <c r="H85" s="66">
        <f>IFERROR(VLOOKUP(E85,Tabellen!A:H,8),0)</f>
        <v/>
      </c>
      <c r="I85" s="250">
        <f>IFERROR(VLOOKUP(H85,Tabellen!H:I,2),0)</f>
        <v/>
      </c>
      <c r="J85" s="121" t="n"/>
      <c r="K85" s="251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249">
        <f>IFERROR(VLOOKUP(E86,Tabellen!A:F,4),0)</f>
        <v/>
      </c>
      <c r="B86" s="74" t="n"/>
      <c r="C86" s="120">
        <f>IFERROR(VLOOKUP(E86,Tabellen!A:F,5),0)</f>
        <v/>
      </c>
      <c r="D86" s="249">
        <f>IFERROR(VLOOKUP(E86,Tabellen!A:F,6),0)</f>
        <v/>
      </c>
      <c r="E86" s="120" t="n"/>
      <c r="F86" s="75">
        <f>IF(E86&gt;0,$L$4,0)</f>
        <v/>
      </c>
      <c r="G86" s="256">
        <f>IFERROR(VLOOKUP(E86,Tabellen!A:F,2),0)</f>
        <v/>
      </c>
      <c r="H86" s="66">
        <f>IFERROR(VLOOKUP(E86,Tabellen!A:H,8),0)</f>
        <v/>
      </c>
      <c r="I86" s="250">
        <f>IFERROR(VLOOKUP(H86,Tabellen!H:I,2),0)</f>
        <v/>
      </c>
      <c r="J86" s="121" t="n"/>
      <c r="K86" s="251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249">
        <f>IFERROR(VLOOKUP(E87,Tabellen!A:F,4),0)</f>
        <v/>
      </c>
      <c r="B87" s="74" t="n"/>
      <c r="C87" s="120">
        <f>IFERROR(VLOOKUP(E87,Tabellen!A:F,5),0)</f>
        <v/>
      </c>
      <c r="D87" s="249">
        <f>IFERROR(VLOOKUP(E87,Tabellen!A:F,6),0)</f>
        <v/>
      </c>
      <c r="E87" s="120" t="n"/>
      <c r="F87" s="75">
        <f>IF(E87&gt;0,$L$4,0)</f>
        <v/>
      </c>
      <c r="G87" s="256">
        <f>IFERROR(VLOOKUP(E87,Tabellen!A:F,2),0)</f>
        <v/>
      </c>
      <c r="H87" s="66">
        <f>IFERROR(VLOOKUP(E87,Tabellen!A:H,8),0)</f>
        <v/>
      </c>
      <c r="I87" s="250">
        <f>IFERROR(VLOOKUP(H87,Tabellen!H:I,2),0)</f>
        <v/>
      </c>
      <c r="J87" s="121" t="n"/>
      <c r="K87" s="251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249">
        <f>IFERROR(VLOOKUP(E88,Tabellen!A:F,4),0)</f>
        <v/>
      </c>
      <c r="B88" s="74" t="n"/>
      <c r="C88" s="120">
        <f>IFERROR(VLOOKUP(E88,Tabellen!A:F,5),0)</f>
        <v/>
      </c>
      <c r="D88" s="249">
        <f>IFERROR(VLOOKUP(E88,Tabellen!A:F,6),0)</f>
        <v/>
      </c>
      <c r="E88" s="120" t="n"/>
      <c r="F88" s="75">
        <f>IF(E88&gt;0,$L$4,0)</f>
        <v/>
      </c>
      <c r="G88" s="256">
        <f>IFERROR(VLOOKUP(E88,Tabellen!A:F,2),0)</f>
        <v/>
      </c>
      <c r="H88" s="66">
        <f>IFERROR(VLOOKUP(E88,Tabellen!A:H,8),0)</f>
        <v/>
      </c>
      <c r="I88" s="250">
        <f>IFERROR(VLOOKUP(H88,Tabellen!H:I,2),0)</f>
        <v/>
      </c>
      <c r="J88" s="121" t="n"/>
      <c r="K88" s="251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249">
        <f>IFERROR(VLOOKUP(E89,Tabellen!A:F,4),0)</f>
        <v/>
      </c>
      <c r="B89" s="74" t="n"/>
      <c r="C89" s="120">
        <f>IFERROR(VLOOKUP(E89,Tabellen!A:F,5),0)</f>
        <v/>
      </c>
      <c r="D89" s="249">
        <f>IFERROR(VLOOKUP(E89,Tabellen!A:F,6),0)</f>
        <v/>
      </c>
      <c r="E89" s="120" t="n"/>
      <c r="F89" s="75">
        <f>IF(E89&gt;0,$L$4,0)</f>
        <v/>
      </c>
      <c r="G89" s="256">
        <f>IFERROR(VLOOKUP(E89,Tabellen!A:F,2),0)</f>
        <v/>
      </c>
      <c r="H89" s="66">
        <f>IFERROR(VLOOKUP(E89,Tabellen!A:H,8),0)</f>
        <v/>
      </c>
      <c r="I89" s="250">
        <f>IFERROR(VLOOKUP(H89,Tabellen!H:I,2),0)</f>
        <v/>
      </c>
      <c r="J89" s="121" t="n"/>
      <c r="K89" s="251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249">
        <f>IFERROR(VLOOKUP(E90,Tabellen!A:F,4),0)</f>
        <v/>
      </c>
      <c r="B90" s="74" t="n"/>
      <c r="C90" s="120">
        <f>IFERROR(VLOOKUP(E90,Tabellen!A:F,5),0)</f>
        <v/>
      </c>
      <c r="D90" s="249">
        <f>IFERROR(VLOOKUP(E90,Tabellen!A:F,6),0)</f>
        <v/>
      </c>
      <c r="E90" s="120" t="n"/>
      <c r="F90" s="75">
        <f>IF(E90&gt;0,$L$4,0)</f>
        <v/>
      </c>
      <c r="G90" s="256">
        <f>IFERROR(VLOOKUP(E90,Tabellen!A:F,2),0)</f>
        <v/>
      </c>
      <c r="H90" s="66">
        <f>IFERROR(VLOOKUP(E90,Tabellen!A:H,8),0)</f>
        <v/>
      </c>
      <c r="I90" s="250">
        <f>IFERROR(VLOOKUP(H90,Tabellen!H:I,2),0)</f>
        <v/>
      </c>
      <c r="J90" s="121" t="n"/>
      <c r="K90" s="251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249">
        <f>IFERROR(VLOOKUP(E91,Tabellen!A:F,4),0)</f>
        <v/>
      </c>
      <c r="B91" s="74" t="n"/>
      <c r="C91" s="120">
        <f>IFERROR(VLOOKUP(E91,Tabellen!A:F,5),0)</f>
        <v/>
      </c>
      <c r="D91" s="249">
        <f>IFERROR(VLOOKUP(E91,Tabellen!A:F,6),0)</f>
        <v/>
      </c>
      <c r="E91" s="120" t="n"/>
      <c r="F91" s="75">
        <f>IF(E91&gt;0,$L$4,0)</f>
        <v/>
      </c>
      <c r="G91" s="256">
        <f>IFERROR(VLOOKUP(E91,Tabellen!A:F,2),0)</f>
        <v/>
      </c>
      <c r="H91" s="66">
        <f>IFERROR(VLOOKUP(E91,Tabellen!A:H,8),0)</f>
        <v/>
      </c>
      <c r="I91" s="250">
        <f>IFERROR(VLOOKUP(H91,Tabellen!H:I,2),0)</f>
        <v/>
      </c>
      <c r="J91" s="121" t="n"/>
      <c r="K91" s="251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249">
        <f>IFERROR(VLOOKUP(E92,Tabellen!A:F,4),0)</f>
        <v/>
      </c>
      <c r="B92" s="74" t="n"/>
      <c r="C92" s="120">
        <f>IFERROR(VLOOKUP(E92,Tabellen!A:F,5),0)</f>
        <v/>
      </c>
      <c r="D92" s="249">
        <f>IFERROR(VLOOKUP(E92,Tabellen!A:F,6),0)</f>
        <v/>
      </c>
      <c r="E92" s="120" t="n"/>
      <c r="F92" s="75">
        <f>IF(E92&gt;0,$L$4,0)</f>
        <v/>
      </c>
      <c r="G92" s="256">
        <f>IFERROR(VLOOKUP(E92,Tabellen!A:F,2),0)</f>
        <v/>
      </c>
      <c r="H92" s="66">
        <f>IFERROR(VLOOKUP(E92,Tabellen!A:H,8),0)</f>
        <v/>
      </c>
      <c r="I92" s="250">
        <f>IFERROR(VLOOKUP(H92,Tabellen!H:I,2),0)</f>
        <v/>
      </c>
      <c r="J92" s="121" t="n"/>
      <c r="K92" s="251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249">
        <f>IFERROR(VLOOKUP(E93,Tabellen!A:F,4),0)</f>
        <v/>
      </c>
      <c r="B93" s="74" t="n"/>
      <c r="C93" s="120">
        <f>IFERROR(VLOOKUP(E93,Tabellen!A:F,5),0)</f>
        <v/>
      </c>
      <c r="D93" s="249">
        <f>IFERROR(VLOOKUP(E93,Tabellen!A:F,6),0)</f>
        <v/>
      </c>
      <c r="E93" s="120" t="n"/>
      <c r="F93" s="75">
        <f>IF(E93&gt;0,$L$4,0)</f>
        <v/>
      </c>
      <c r="G93" s="256">
        <f>IFERROR(VLOOKUP(E93,Tabellen!A:F,2),0)</f>
        <v/>
      </c>
      <c r="H93" s="66">
        <f>IFERROR(VLOOKUP(E93,Tabellen!A:H,8),0)</f>
        <v/>
      </c>
      <c r="I93" s="250">
        <f>IFERROR(VLOOKUP(H93,Tabellen!H:I,2),0)</f>
        <v/>
      </c>
      <c r="J93" s="121" t="n"/>
      <c r="K93" s="251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249">
        <f>IFERROR(VLOOKUP(E94,Tabellen!A:F,4),0)</f>
        <v/>
      </c>
      <c r="B94" s="74" t="n"/>
      <c r="C94" s="120">
        <f>IFERROR(VLOOKUP(E94,Tabellen!A:F,5),0)</f>
        <v/>
      </c>
      <c r="D94" s="249">
        <f>IFERROR(VLOOKUP(E94,Tabellen!A:F,6),0)</f>
        <v/>
      </c>
      <c r="E94" s="120" t="n"/>
      <c r="F94" s="75">
        <f>IF(E94&gt;0,$L$4,0)</f>
        <v/>
      </c>
      <c r="G94" s="256">
        <f>IFERROR(VLOOKUP(E94,Tabellen!A:F,2),0)</f>
        <v/>
      </c>
      <c r="H94" s="66">
        <f>IFERROR(VLOOKUP(E94,Tabellen!A:H,8),0)</f>
        <v/>
      </c>
      <c r="I94" s="250">
        <f>IFERROR(VLOOKUP(H94,Tabellen!H:I,2),0)</f>
        <v/>
      </c>
      <c r="J94" s="121" t="n"/>
      <c r="K94" s="251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249">
        <f>IFERROR(VLOOKUP(E95,Tabellen!A:F,4),0)</f>
        <v/>
      </c>
      <c r="B95" s="74" t="n"/>
      <c r="C95" s="120">
        <f>IFERROR(VLOOKUP(E95,Tabellen!A:F,5),0)</f>
        <v/>
      </c>
      <c r="D95" s="249">
        <f>IFERROR(VLOOKUP(E95,Tabellen!A:F,6),0)</f>
        <v/>
      </c>
      <c r="E95" s="120" t="n"/>
      <c r="F95" s="75">
        <f>IF(E95&gt;0,$L$4,0)</f>
        <v/>
      </c>
      <c r="G95" s="256">
        <f>IFERROR(VLOOKUP(E95,Tabellen!A:F,2),0)</f>
        <v/>
      </c>
      <c r="H95" s="66">
        <f>IFERROR(VLOOKUP(E95,Tabellen!A:H,8),0)</f>
        <v/>
      </c>
      <c r="I95" s="250">
        <f>IFERROR(VLOOKUP(H95,Tabellen!H:I,2),0)</f>
        <v/>
      </c>
      <c r="J95" s="121" t="n"/>
      <c r="K95" s="251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249">
        <f>IFERROR(VLOOKUP(E96,Tabellen!A:F,4),0)</f>
        <v/>
      </c>
      <c r="B96" s="74" t="n"/>
      <c r="C96" s="120">
        <f>IFERROR(VLOOKUP(E96,Tabellen!A:F,5),0)</f>
        <v/>
      </c>
      <c r="D96" s="249">
        <f>IFERROR(VLOOKUP(E96,Tabellen!A:F,6),0)</f>
        <v/>
      </c>
      <c r="E96" s="120" t="n"/>
      <c r="F96" s="75">
        <f>IF(E96&gt;0,$L$4,0)</f>
        <v/>
      </c>
      <c r="G96" s="256">
        <f>IFERROR(VLOOKUP(E96,Tabellen!A:F,2),0)</f>
        <v/>
      </c>
      <c r="H96" s="66">
        <f>IFERROR(VLOOKUP(E96,Tabellen!A:H,8),0)</f>
        <v/>
      </c>
      <c r="I96" s="250">
        <f>IFERROR(VLOOKUP(H96,Tabellen!H:I,2),0)</f>
        <v/>
      </c>
      <c r="J96" s="121" t="n"/>
      <c r="K96" s="251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249">
        <f>IFERROR(VLOOKUP(E97,Tabellen!A:F,4),0)</f>
        <v/>
      </c>
      <c r="B97" s="74" t="n"/>
      <c r="C97" s="120">
        <f>IFERROR(VLOOKUP(E97,Tabellen!A:F,5),0)</f>
        <v/>
      </c>
      <c r="D97" s="249">
        <f>IFERROR(VLOOKUP(E97,Tabellen!A:F,6),0)</f>
        <v/>
      </c>
      <c r="E97" s="120" t="n"/>
      <c r="F97" s="75">
        <f>IF(E97&gt;0,$L$4,0)</f>
        <v/>
      </c>
      <c r="G97" s="256">
        <f>IFERROR(VLOOKUP(E97,Tabellen!A:F,2),0)</f>
        <v/>
      </c>
      <c r="H97" s="66">
        <f>IFERROR(VLOOKUP(E97,Tabellen!A:H,8),0)</f>
        <v/>
      </c>
      <c r="I97" s="250">
        <f>IFERROR(VLOOKUP(H97,Tabellen!H:I,2),0)</f>
        <v/>
      </c>
      <c r="J97" s="121" t="n"/>
      <c r="K97" s="251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249">
        <f>IFERROR(VLOOKUP(E98,Tabellen!A:F,4),0)</f>
        <v/>
      </c>
      <c r="B98" s="74" t="n"/>
      <c r="C98" s="120">
        <f>IFERROR(VLOOKUP(E98,Tabellen!A:F,5),0)</f>
        <v/>
      </c>
      <c r="D98" s="249">
        <f>IFERROR(VLOOKUP(E98,Tabellen!A:F,6),0)</f>
        <v/>
      </c>
      <c r="E98" s="120" t="n"/>
      <c r="F98" s="75">
        <f>IF(E98&gt;0,$L$4,0)</f>
        <v/>
      </c>
      <c r="G98" s="256">
        <f>IFERROR(VLOOKUP(E98,Tabellen!A:F,2),0)</f>
        <v/>
      </c>
      <c r="H98" s="66">
        <f>IFERROR(VLOOKUP(E98,Tabellen!A:H,8),0)</f>
        <v/>
      </c>
      <c r="I98" s="250">
        <f>IFERROR(VLOOKUP(H98,Tabellen!H:I,2),0)</f>
        <v/>
      </c>
      <c r="J98" s="121" t="n"/>
      <c r="K98" s="251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249">
        <f>IFERROR(VLOOKUP(E99,Tabellen!A:F,4),0)</f>
        <v/>
      </c>
      <c r="B99" s="74" t="n"/>
      <c r="C99" s="120">
        <f>IFERROR(VLOOKUP(E99,Tabellen!A:F,5),0)</f>
        <v/>
      </c>
      <c r="D99" s="249">
        <f>IFERROR(VLOOKUP(E99,Tabellen!A:F,6),0)</f>
        <v/>
      </c>
      <c r="E99" s="120" t="n"/>
      <c r="F99" s="75">
        <f>IF(E99&gt;0,$L$4,0)</f>
        <v/>
      </c>
      <c r="G99" s="256">
        <f>IFERROR(VLOOKUP(E99,Tabellen!A:F,2),0)</f>
        <v/>
      </c>
      <c r="H99" s="66">
        <f>IFERROR(VLOOKUP(E99,Tabellen!A:H,8),0)</f>
        <v/>
      </c>
      <c r="I99" s="250">
        <f>IFERROR(VLOOKUP(H99,Tabellen!H:I,2),0)</f>
        <v/>
      </c>
      <c r="J99" s="121" t="n"/>
      <c r="K99" s="251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249">
        <f>IFERROR(VLOOKUP(E100,Tabellen!A:F,4),0)</f>
        <v/>
      </c>
      <c r="B100" s="74" t="n"/>
      <c r="C100" s="120">
        <f>IFERROR(VLOOKUP(E100,Tabellen!A:F,5),0)</f>
        <v/>
      </c>
      <c r="D100" s="249">
        <f>IFERROR(VLOOKUP(E100,Tabellen!A:F,6),0)</f>
        <v/>
      </c>
      <c r="E100" s="120" t="n"/>
      <c r="F100" s="75">
        <f>IF(E100&gt;0,$L$4,0)</f>
        <v/>
      </c>
      <c r="G100" s="256">
        <f>IFERROR(VLOOKUP(E100,Tabellen!A:F,2),0)</f>
        <v/>
      </c>
      <c r="H100" s="66">
        <f>IFERROR(VLOOKUP(E100,Tabellen!A:H,8),0)</f>
        <v/>
      </c>
      <c r="I100" s="250">
        <f>IFERROR(VLOOKUP(H100,Tabellen!H:I,2),0)</f>
        <v/>
      </c>
      <c r="J100" s="121" t="n"/>
      <c r="K100" s="251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249">
        <f>IFERROR(VLOOKUP(E101,Tabellen!A:F,4),0)</f>
        <v/>
      </c>
      <c r="B101" s="74" t="n"/>
      <c r="C101" s="120">
        <f>IFERROR(VLOOKUP(E101,Tabellen!A:F,5),0)</f>
        <v/>
      </c>
      <c r="D101" s="249">
        <f>IFERROR(VLOOKUP(E101,Tabellen!A:F,6),0)</f>
        <v/>
      </c>
      <c r="E101" s="120" t="n"/>
      <c r="F101" s="75">
        <f>IF(E101&gt;0,$L$4,0)</f>
        <v/>
      </c>
      <c r="G101" s="256">
        <f>IFERROR(VLOOKUP(E101,Tabellen!A:F,2),0)</f>
        <v/>
      </c>
      <c r="H101" s="66">
        <f>IFERROR(VLOOKUP(E101,Tabellen!A:H,8),0)</f>
        <v/>
      </c>
      <c r="I101" s="250">
        <f>IFERROR(VLOOKUP(H101,Tabellen!H:I,2),0)</f>
        <v/>
      </c>
      <c r="J101" s="121" t="n"/>
      <c r="K101" s="251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249">
        <f>IFERROR(VLOOKUP(E102,Tabellen!A:F,4),0)</f>
        <v/>
      </c>
      <c r="B102" s="74" t="n"/>
      <c r="C102" s="120">
        <f>IFERROR(VLOOKUP(E102,Tabellen!A:F,5),0)</f>
        <v/>
      </c>
      <c r="D102" s="249">
        <f>IFERROR(VLOOKUP(E102,Tabellen!A:F,6),0)</f>
        <v/>
      </c>
      <c r="E102" s="120" t="n"/>
      <c r="F102" s="75">
        <f>IF(E102&gt;0,$L$4,0)</f>
        <v/>
      </c>
      <c r="G102" s="256">
        <f>IFERROR(VLOOKUP(E102,Tabellen!A:F,2),0)</f>
        <v/>
      </c>
      <c r="H102" s="66">
        <f>IFERROR(VLOOKUP(E102,Tabellen!A:H,8),0)</f>
        <v/>
      </c>
      <c r="I102" s="250">
        <f>IFERROR(VLOOKUP(H102,Tabellen!H:I,2),0)</f>
        <v/>
      </c>
      <c r="J102" s="121" t="n"/>
      <c r="K102" s="251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249">
        <f>IFERROR(VLOOKUP(E103,Tabellen!A:F,4),0)</f>
        <v/>
      </c>
      <c r="B103" s="74" t="n"/>
      <c r="C103" s="120">
        <f>IFERROR(VLOOKUP(E103,Tabellen!A:F,5),0)</f>
        <v/>
      </c>
      <c r="D103" s="249">
        <f>IFERROR(VLOOKUP(E103,Tabellen!A:F,6),0)</f>
        <v/>
      </c>
      <c r="E103" s="120" t="n"/>
      <c r="F103" s="75">
        <f>IF(E103&gt;0,$L$4,0)</f>
        <v/>
      </c>
      <c r="G103" s="256">
        <f>IFERROR(VLOOKUP(E103,Tabellen!A:F,2),0)</f>
        <v/>
      </c>
      <c r="H103" s="66">
        <f>IFERROR(VLOOKUP(E103,Tabellen!A:H,8),0)</f>
        <v/>
      </c>
      <c r="I103" s="250">
        <f>IFERROR(VLOOKUP(H103,Tabellen!H:I,2),0)</f>
        <v/>
      </c>
      <c r="J103" s="121" t="n"/>
      <c r="K103" s="251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249">
        <f>IFERROR(VLOOKUP(E104,Tabellen!A:F,4),0)</f>
        <v/>
      </c>
      <c r="B104" s="74" t="n"/>
      <c r="C104" s="120">
        <f>IFERROR(VLOOKUP(E104,Tabellen!A:F,5),0)</f>
        <v/>
      </c>
      <c r="D104" s="249">
        <f>IFERROR(VLOOKUP(E104,Tabellen!A:F,6),0)</f>
        <v/>
      </c>
      <c r="E104" s="120" t="n"/>
      <c r="F104" s="75">
        <f>IF(E104&gt;0,$L$4,0)</f>
        <v/>
      </c>
      <c r="G104" s="256">
        <f>IFERROR(VLOOKUP(E104,Tabellen!A:F,2),0)</f>
        <v/>
      </c>
      <c r="H104" s="66">
        <f>IFERROR(VLOOKUP(E104,Tabellen!A:H,8),0)</f>
        <v/>
      </c>
      <c r="I104" s="250">
        <f>IFERROR(VLOOKUP(H104,Tabellen!H:I,2),0)</f>
        <v/>
      </c>
      <c r="J104" s="121" t="n"/>
      <c r="K104" s="251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249">
        <f>IFERROR(VLOOKUP(E105,Tabellen!A:F,4),0)</f>
        <v/>
      </c>
      <c r="B105" s="74" t="n"/>
      <c r="C105" s="120">
        <f>IFERROR(VLOOKUP(E105,Tabellen!A:F,5),0)</f>
        <v/>
      </c>
      <c r="D105" s="249">
        <f>IFERROR(VLOOKUP(E105,Tabellen!A:F,6),0)</f>
        <v/>
      </c>
      <c r="E105" s="120" t="n"/>
      <c r="F105" s="75">
        <f>IF(E105&gt;0,$L$4,0)</f>
        <v/>
      </c>
      <c r="G105" s="256">
        <f>IFERROR(VLOOKUP(E105,Tabellen!A:F,2),0)</f>
        <v/>
      </c>
      <c r="H105" s="66">
        <f>IFERROR(VLOOKUP(E105,Tabellen!A:H,8),0)</f>
        <v/>
      </c>
      <c r="I105" s="250">
        <f>IFERROR(VLOOKUP(H105,Tabellen!H:I,2),0)</f>
        <v/>
      </c>
      <c r="J105" s="121" t="n"/>
      <c r="K105" s="251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249">
        <f>IFERROR(VLOOKUP(E106,Tabellen!A:F,4),0)</f>
        <v/>
      </c>
      <c r="B106" s="74" t="n"/>
      <c r="C106" s="120">
        <f>IFERROR(VLOOKUP(E106,Tabellen!A:F,5),0)</f>
        <v/>
      </c>
      <c r="D106" s="249">
        <f>IFERROR(VLOOKUP(E106,Tabellen!A:F,6),0)</f>
        <v/>
      </c>
      <c r="E106" s="120" t="n"/>
      <c r="F106" s="75">
        <f>IF(E106&gt;0,$L$4,0)</f>
        <v/>
      </c>
      <c r="G106" s="256">
        <f>IFERROR(VLOOKUP(E106,Tabellen!A:F,2),0)</f>
        <v/>
      </c>
      <c r="H106" s="66">
        <f>IFERROR(VLOOKUP(E106,Tabellen!A:H,8),0)</f>
        <v/>
      </c>
      <c r="I106" s="250">
        <f>IFERROR(VLOOKUP(H106,Tabellen!H:I,2),0)</f>
        <v/>
      </c>
      <c r="J106" s="121" t="n"/>
      <c r="K106" s="251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249">
        <f>IFERROR(VLOOKUP(E107,Tabellen!A:F,4),0)</f>
        <v/>
      </c>
      <c r="B107" s="74" t="n"/>
      <c r="C107" s="120">
        <f>IFERROR(VLOOKUP(E107,Tabellen!A:F,5),0)</f>
        <v/>
      </c>
      <c r="D107" s="249">
        <f>IFERROR(VLOOKUP(E107,Tabellen!A:F,6),0)</f>
        <v/>
      </c>
      <c r="E107" s="120" t="n"/>
      <c r="F107" s="75">
        <f>IF(E107&gt;0,$L$4,0)</f>
        <v/>
      </c>
      <c r="G107" s="256">
        <f>IFERROR(VLOOKUP(E107,Tabellen!A:F,2),0)</f>
        <v/>
      </c>
      <c r="H107" s="66">
        <f>IFERROR(VLOOKUP(E107,Tabellen!A:H,8),0)</f>
        <v/>
      </c>
      <c r="I107" s="250">
        <f>IFERROR(VLOOKUP(H107,Tabellen!H:I,2),0)</f>
        <v/>
      </c>
      <c r="J107" s="121" t="n"/>
      <c r="K107" s="251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249">
        <f>IFERROR(VLOOKUP(E108,Tabellen!A:F,4),0)</f>
        <v/>
      </c>
      <c r="B108" s="74" t="n"/>
      <c r="C108" s="120">
        <f>IFERROR(VLOOKUP(E108,Tabellen!A:F,5),0)</f>
        <v/>
      </c>
      <c r="D108" s="249">
        <f>IFERROR(VLOOKUP(E108,Tabellen!A:F,6),0)</f>
        <v/>
      </c>
      <c r="E108" s="120" t="n"/>
      <c r="F108" s="75">
        <f>IF(E108&gt;0,$L$4,0)</f>
        <v/>
      </c>
      <c r="G108" s="256">
        <f>IFERROR(VLOOKUP(E108,Tabellen!A:F,2),0)</f>
        <v/>
      </c>
      <c r="H108" s="66">
        <f>IFERROR(VLOOKUP(E108,Tabellen!A:H,8),0)</f>
        <v/>
      </c>
      <c r="I108" s="250">
        <f>IFERROR(VLOOKUP(H108,Tabellen!H:I,2),0)</f>
        <v/>
      </c>
      <c r="J108" s="121" t="n"/>
      <c r="K108" s="251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249">
        <f>IFERROR(VLOOKUP(E109,Tabellen!A:F,4),0)</f>
        <v/>
      </c>
      <c r="B109" s="74" t="n"/>
      <c r="C109" s="120">
        <f>IFERROR(VLOOKUP(E109,Tabellen!A:F,5),0)</f>
        <v/>
      </c>
      <c r="D109" s="249">
        <f>IFERROR(VLOOKUP(E109,Tabellen!A:F,6),0)</f>
        <v/>
      </c>
      <c r="E109" s="120" t="n"/>
      <c r="F109" s="75">
        <f>IF(E109&gt;0,$L$4,0)</f>
        <v/>
      </c>
      <c r="G109" s="256">
        <f>IFERROR(VLOOKUP(E109,Tabellen!A:F,2),0)</f>
        <v/>
      </c>
      <c r="H109" s="64">
        <f>IFERROR(VLOOKUP(E109,Tabellen!A:H,8),0)</f>
        <v/>
      </c>
      <c r="I109" s="250">
        <f>IFERROR(VLOOKUP(H109,Tabellen!H:I,2),0)</f>
        <v/>
      </c>
      <c r="J109" s="121" t="n"/>
      <c r="K109" s="251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5" customFormat="1" customHeight="1" s="132">
      <c r="A110" s="252" t="inlineStr">
        <is>
          <t>Saldo inkomsten en uitgavenmutaties, dekking</t>
        </is>
      </c>
      <c r="B110" s="125" t="n"/>
      <c r="C110" s="125" t="n"/>
      <c r="D110" s="252" t="n"/>
      <c r="E110" s="125" t="n"/>
      <c r="F110" s="127" t="n"/>
      <c r="G110" s="253" t="n"/>
      <c r="H110" s="65" t="n"/>
      <c r="I110" s="254" t="n"/>
      <c r="J110" s="129" t="n"/>
      <c r="K110" s="255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63" t="n"/>
      <c r="I111" s="246" t="n"/>
      <c r="J111" s="73" t="n"/>
      <c r="K111" s="247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5" customFormat="1" customHeight="1" s="119">
      <c r="A112" s="407" t="inlineStr">
        <is>
          <t>Controle mutatie inkomsten en uitgaven (exploitatiemutaties -/- dekking = leeg)</t>
        </is>
      </c>
      <c r="B112" s="81" t="n"/>
      <c r="C112" s="81" t="n"/>
      <c r="D112" s="257" t="n"/>
      <c r="E112" s="133" t="n"/>
      <c r="F112" s="81" t="n"/>
      <c r="G112" s="257" t="n"/>
      <c r="H112" s="67" t="n"/>
      <c r="I112" s="258" t="n"/>
      <c r="J112" s="135" t="n"/>
      <c r="K112" s="259" t="n"/>
      <c r="L112" s="408">
        <f>IF(L75+L110=0,"✓  Saldo = 0",L75+L110)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68" t="n"/>
      <c r="I113" s="261" t="n"/>
      <c r="J113" s="139" t="n"/>
      <c r="K113" s="262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68" t="n"/>
      <c r="I114" s="261" t="n"/>
      <c r="J114" s="139" t="n"/>
      <c r="K114" s="262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68" t="n"/>
      <c r="I115" s="264" t="n"/>
      <c r="J115" s="83" t="n"/>
      <c r="K115" s="26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68" t="n"/>
      <c r="I116" s="261" t="n"/>
      <c r="J116" s="139" t="n"/>
      <c r="K116" s="262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62" t="inlineStr">
        <is>
          <t>Kosten</t>
        </is>
      </c>
      <c r="I117" s="239" t="inlineStr">
        <is>
          <t>Omschrijving kostencategorie</t>
        </is>
      </c>
      <c r="J117" s="101" t="inlineStr">
        <is>
          <t>Nr ver-</t>
        </is>
      </c>
      <c r="K117" s="240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62" t="inlineStr">
        <is>
          <t>Cat</t>
        </is>
      </c>
      <c r="I118" s="239" t="n"/>
      <c r="J118" s="111" t="inlineStr">
        <is>
          <t>bijzondering</t>
        </is>
      </c>
      <c r="K118" s="243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63" t="n"/>
      <c r="I119" s="246" t="n"/>
      <c r="J119" s="73" t="n"/>
      <c r="K119" s="247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5" customHeight="1">
      <c r="A120" s="409" t="inlineStr">
        <is>
          <t>C. Investeringen</t>
        </is>
      </c>
      <c r="B120" s="410" t="n"/>
      <c r="C120" s="410" t="n"/>
      <c r="D120" s="409" t="n"/>
      <c r="E120" s="411" t="n"/>
      <c r="F120" s="412" t="n"/>
      <c r="G120" s="413" t="n"/>
      <c r="H120" s="414" t="n"/>
      <c r="I120" s="415" t="n"/>
      <c r="J120" s="412" t="n"/>
      <c r="K120" s="416" t="n"/>
      <c r="L120" s="417" t="n"/>
      <c r="M120" s="417" t="n"/>
      <c r="N120" s="417" t="n"/>
      <c r="O120" s="417" t="n"/>
      <c r="P120" s="400" t="n"/>
      <c r="Q120" s="418">
        <f>IF(OR(H120=47201,H120=47100,H120=47200,H120=47500),L120,0)</f>
        <v/>
      </c>
      <c r="R120" s="418">
        <f>IF(OR(H120=87201,H120=87100,H120=87200,H120=87500),L120,0)</f>
        <v/>
      </c>
    </row>
    <row r="121" ht="15" customHeight="1">
      <c r="A121" s="244" t="n"/>
      <c r="B121" s="71" t="n"/>
      <c r="C121" s="71" t="n"/>
      <c r="D121" s="244" t="n"/>
      <c r="E121" s="71" t="n"/>
      <c r="F121" s="113" t="n"/>
      <c r="G121" s="245" t="n"/>
      <c r="H121" s="63" t="n"/>
      <c r="I121" s="246" t="n"/>
      <c r="J121" s="73" t="n"/>
      <c r="K121" s="247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267" t="inlineStr">
        <is>
          <t>Activa</t>
        </is>
      </c>
      <c r="B122" s="74" t="n"/>
      <c r="C122" s="74" t="n"/>
      <c r="D122" s="249" t="n"/>
      <c r="E122" s="74">
        <f>IF(J122&gt;1,"+",0)</f>
        <v/>
      </c>
      <c r="F122" s="70">
        <f>IF(E122&gt;0,$L$4,0)</f>
        <v/>
      </c>
      <c r="G122" s="256" t="n"/>
      <c r="H122" s="64" t="n"/>
      <c r="I122" s="250">
        <f>IFERROR(VLOOKUP(H122,Tabellen!H:I,2),0)</f>
        <v/>
      </c>
      <c r="J122" s="121" t="n"/>
      <c r="K122" s="251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267" t="n"/>
      <c r="B123" s="74" t="n"/>
      <c r="C123" s="74" t="n"/>
      <c r="D123" s="249" t="n"/>
      <c r="E123" s="74">
        <f>IF(J123&gt;1,"+",0)</f>
        <v/>
      </c>
      <c r="F123" s="70">
        <f>IF(E123&gt;0,$L$4,0)</f>
        <v/>
      </c>
      <c r="G123" s="256" t="n"/>
      <c r="H123" s="64" t="n"/>
      <c r="I123" s="250">
        <f>IFERROR(VLOOKUP(H123,Tabellen!H:I,2),0)</f>
        <v/>
      </c>
      <c r="J123" s="121" t="n"/>
      <c r="K123" s="251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267" t="n"/>
      <c r="B124" s="74" t="n"/>
      <c r="C124" s="74" t="n"/>
      <c r="D124" s="249" t="n"/>
      <c r="E124" s="74">
        <f>IF(J124&gt;1,"+",0)</f>
        <v/>
      </c>
      <c r="F124" s="70">
        <f>IF(E124&gt;0,$L$4,0)</f>
        <v/>
      </c>
      <c r="G124" s="256" t="n"/>
      <c r="H124" s="64" t="n"/>
      <c r="I124" s="250">
        <f>IFERROR(VLOOKUP(H124,Tabellen!H:I,2),0)</f>
        <v/>
      </c>
      <c r="J124" s="121" t="n"/>
      <c r="K124" s="251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267" t="n"/>
      <c r="B125" s="74" t="n"/>
      <c r="C125" s="74" t="n"/>
      <c r="D125" s="249" t="n"/>
      <c r="E125" s="74">
        <f>IF(J125&gt;1,"+",0)</f>
        <v/>
      </c>
      <c r="F125" s="70">
        <f>IF(E125&gt;0,$L$4,0)</f>
        <v/>
      </c>
      <c r="G125" s="256" t="n"/>
      <c r="H125" s="64" t="n"/>
      <c r="I125" s="250">
        <f>IFERROR(VLOOKUP(H125,Tabellen!H:I,2),0)</f>
        <v/>
      </c>
      <c r="J125" s="121" t="n"/>
      <c r="K125" s="251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267" t="n"/>
      <c r="B126" s="74" t="n"/>
      <c r="C126" s="74" t="n"/>
      <c r="D126" s="249" t="n"/>
      <c r="E126" s="74">
        <f>IF(J126&gt;1,"+",0)</f>
        <v/>
      </c>
      <c r="F126" s="70">
        <f>IF(E126&gt;0,$L$4,0)</f>
        <v/>
      </c>
      <c r="G126" s="256" t="n"/>
      <c r="H126" s="64" t="n"/>
      <c r="I126" s="250">
        <f>IFERROR(VLOOKUP(H126,Tabellen!H:I,2),0)</f>
        <v/>
      </c>
      <c r="J126" s="121" t="n"/>
      <c r="K126" s="251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267" t="n"/>
      <c r="B127" s="74" t="n"/>
      <c r="C127" s="74" t="n"/>
      <c r="D127" s="249" t="n"/>
      <c r="E127" s="74">
        <f>IF(J127&gt;1,"+",0)</f>
        <v/>
      </c>
      <c r="F127" s="70">
        <f>IF(E127&gt;0,$L$4,0)</f>
        <v/>
      </c>
      <c r="G127" s="256" t="n"/>
      <c r="H127" s="64" t="n"/>
      <c r="I127" s="250">
        <f>IFERROR(VLOOKUP(H127,Tabellen!H:I,2),0)</f>
        <v/>
      </c>
      <c r="J127" s="121" t="n"/>
      <c r="K127" s="251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267" t="n"/>
      <c r="B128" s="74" t="n"/>
      <c r="C128" s="74" t="n"/>
      <c r="D128" s="249" t="n"/>
      <c r="E128" s="74">
        <f>IF(J128&gt;1,"+",0)</f>
        <v/>
      </c>
      <c r="F128" s="70">
        <f>IF(E128&gt;0,$L$4,0)</f>
        <v/>
      </c>
      <c r="G128" s="256" t="n"/>
      <c r="H128" s="64" t="n"/>
      <c r="I128" s="250">
        <f>IFERROR(VLOOKUP(H128,Tabellen!H:I,2),0)</f>
        <v/>
      </c>
      <c r="J128" s="121" t="n"/>
      <c r="K128" s="251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267" t="n"/>
      <c r="B129" s="74" t="n"/>
      <c r="C129" s="74" t="n"/>
      <c r="D129" s="249" t="n"/>
      <c r="E129" s="74">
        <f>IF(J129&gt;1,"+",0)</f>
        <v/>
      </c>
      <c r="F129" s="70">
        <f>IF(E129&gt;0,$L$4,0)</f>
        <v/>
      </c>
      <c r="G129" s="256" t="n"/>
      <c r="H129" s="64" t="n"/>
      <c r="I129" s="250">
        <f>IFERROR(VLOOKUP(H129,Tabellen!H:I,2),0)</f>
        <v/>
      </c>
      <c r="J129" s="121" t="n"/>
      <c r="K129" s="251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267" t="n"/>
      <c r="B130" s="74" t="n"/>
      <c r="C130" s="74" t="n"/>
      <c r="D130" s="249" t="n"/>
      <c r="E130" s="74">
        <f>IF(J130&gt;1,"+",0)</f>
        <v/>
      </c>
      <c r="F130" s="70">
        <f>IF(E130&gt;0,$L$4,0)</f>
        <v/>
      </c>
      <c r="G130" s="256" t="n"/>
      <c r="H130" s="64" t="n"/>
      <c r="I130" s="250">
        <f>IFERROR(VLOOKUP(H130,Tabellen!H:I,2),0)</f>
        <v/>
      </c>
      <c r="J130" s="121" t="n"/>
      <c r="K130" s="251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267" t="n"/>
      <c r="B131" s="74" t="n"/>
      <c r="C131" s="74" t="n"/>
      <c r="D131" s="249" t="n"/>
      <c r="E131" s="74">
        <f>IF(J131&gt;1,"+",0)</f>
        <v/>
      </c>
      <c r="F131" s="70">
        <f>IF(E131&gt;0,$L$4,0)</f>
        <v/>
      </c>
      <c r="G131" s="256" t="n"/>
      <c r="H131" s="64" t="n"/>
      <c r="I131" s="250">
        <f>IFERROR(VLOOKUP(H131,Tabellen!H:I,2),0)</f>
        <v/>
      </c>
      <c r="J131" s="121" t="n"/>
      <c r="K131" s="251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267" t="n"/>
      <c r="B132" s="74" t="n"/>
      <c r="C132" s="74" t="n"/>
      <c r="D132" s="249" t="n"/>
      <c r="E132" s="74">
        <f>IF(J132&gt;1,"+",0)</f>
        <v/>
      </c>
      <c r="F132" s="70">
        <f>IF(E132&gt;0,$L$4,0)</f>
        <v/>
      </c>
      <c r="G132" s="256" t="n"/>
      <c r="H132" s="64" t="n"/>
      <c r="I132" s="250">
        <f>IFERROR(VLOOKUP(H132,Tabellen!H:I,2),0)</f>
        <v/>
      </c>
      <c r="J132" s="121" t="n"/>
      <c r="K132" s="251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267" t="n"/>
      <c r="B133" s="74" t="n"/>
      <c r="C133" s="74" t="n"/>
      <c r="D133" s="249" t="n"/>
      <c r="E133" s="74">
        <f>IF(J133&gt;1,"+",0)</f>
        <v/>
      </c>
      <c r="F133" s="70">
        <f>IF(E133&gt;0,$L$4,0)</f>
        <v/>
      </c>
      <c r="G133" s="256" t="n"/>
      <c r="H133" s="64" t="n"/>
      <c r="I133" s="250">
        <f>IFERROR(VLOOKUP(H133,Tabellen!H:I,2),0)</f>
        <v/>
      </c>
      <c r="J133" s="121" t="n"/>
      <c r="K133" s="251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267" t="n"/>
      <c r="B134" s="74" t="n"/>
      <c r="C134" s="74" t="n"/>
      <c r="D134" s="249" t="n"/>
      <c r="E134" s="74">
        <f>IF(J134&gt;1,"+",0)</f>
        <v/>
      </c>
      <c r="F134" s="70">
        <f>IF(E134&gt;0,$L$4,0)</f>
        <v/>
      </c>
      <c r="G134" s="256" t="n"/>
      <c r="H134" s="64" t="n"/>
      <c r="I134" s="250">
        <f>IFERROR(VLOOKUP(H134,Tabellen!H:I,2),0)</f>
        <v/>
      </c>
      <c r="J134" s="121" t="n"/>
      <c r="K134" s="251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267" t="n"/>
      <c r="B135" s="74" t="n"/>
      <c r="C135" s="74" t="n"/>
      <c r="D135" s="249" t="n"/>
      <c r="E135" s="74">
        <f>IF(J135&gt;1,"+",0)</f>
        <v/>
      </c>
      <c r="F135" s="70">
        <f>IF(E135&gt;0,$L$4,0)</f>
        <v/>
      </c>
      <c r="G135" s="256" t="n"/>
      <c r="H135" s="64" t="n"/>
      <c r="I135" s="250">
        <f>IFERROR(VLOOKUP(H135,Tabellen!H:I,2),0)</f>
        <v/>
      </c>
      <c r="J135" s="121" t="n"/>
      <c r="K135" s="251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267" t="n"/>
      <c r="B136" s="74" t="n"/>
      <c r="C136" s="74" t="n"/>
      <c r="D136" s="249" t="n"/>
      <c r="E136" s="74">
        <f>IF(J136&gt;1,"+",0)</f>
        <v/>
      </c>
      <c r="F136" s="70">
        <f>IF(E136&gt;0,$L$4,0)</f>
        <v/>
      </c>
      <c r="G136" s="256" t="n"/>
      <c r="H136" s="64" t="n"/>
      <c r="I136" s="250">
        <f>IFERROR(VLOOKUP(H136,Tabellen!H:I,2),0)</f>
        <v/>
      </c>
      <c r="J136" s="121" t="n"/>
      <c r="K136" s="251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267" t="n"/>
      <c r="B137" s="74" t="n"/>
      <c r="C137" s="74" t="n"/>
      <c r="D137" s="249" t="n"/>
      <c r="E137" s="74">
        <f>IF(J137&gt;1,"+",0)</f>
        <v/>
      </c>
      <c r="F137" s="70">
        <f>IF(E137&gt;0,$L$4,0)</f>
        <v/>
      </c>
      <c r="G137" s="256" t="n"/>
      <c r="H137" s="64" t="n"/>
      <c r="I137" s="250">
        <f>IFERROR(VLOOKUP(H137,Tabellen!H:I,2),0)</f>
        <v/>
      </c>
      <c r="J137" s="121" t="n"/>
      <c r="K137" s="251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267" t="n"/>
      <c r="B138" s="74" t="n"/>
      <c r="C138" s="74" t="n"/>
      <c r="D138" s="249" t="n"/>
      <c r="E138" s="74">
        <f>IF(J138&gt;1,"+",0)</f>
        <v/>
      </c>
      <c r="F138" s="70">
        <f>IF(E138&gt;0,$L$4,0)</f>
        <v/>
      </c>
      <c r="G138" s="256" t="n"/>
      <c r="H138" s="64" t="n"/>
      <c r="I138" s="250">
        <f>IFERROR(VLOOKUP(H138,Tabellen!H:I,2),0)</f>
        <v/>
      </c>
      <c r="J138" s="121" t="n"/>
      <c r="K138" s="251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267" t="n"/>
      <c r="B139" s="74" t="n"/>
      <c r="C139" s="74" t="n"/>
      <c r="D139" s="249" t="n"/>
      <c r="E139" s="74">
        <f>IF(J139&gt;1,"+",0)</f>
        <v/>
      </c>
      <c r="F139" s="70">
        <f>IF(E139&gt;0,$L$4,0)</f>
        <v/>
      </c>
      <c r="G139" s="256" t="n"/>
      <c r="H139" s="64" t="n"/>
      <c r="I139" s="250">
        <f>IFERROR(VLOOKUP(H139,Tabellen!H:I,2),0)</f>
        <v/>
      </c>
      <c r="J139" s="121" t="n"/>
      <c r="K139" s="251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267" t="n"/>
      <c r="B140" s="74" t="n"/>
      <c r="C140" s="74" t="n"/>
      <c r="D140" s="249" t="n"/>
      <c r="E140" s="74">
        <f>IF(J140&gt;1,"+",0)</f>
        <v/>
      </c>
      <c r="F140" s="70">
        <f>IF(E140&gt;0,$L$4,0)</f>
        <v/>
      </c>
      <c r="G140" s="256" t="n"/>
      <c r="H140" s="64" t="n"/>
      <c r="I140" s="250">
        <f>IFERROR(VLOOKUP(H140,Tabellen!H:I,2),0)</f>
        <v/>
      </c>
      <c r="J140" s="121" t="n"/>
      <c r="K140" s="251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267" t="n"/>
      <c r="B141" s="74" t="n"/>
      <c r="C141" s="74" t="n"/>
      <c r="D141" s="249" t="n"/>
      <c r="E141" s="74">
        <f>IF(J141&gt;1,"+",0)</f>
        <v/>
      </c>
      <c r="F141" s="70">
        <f>IF(E141&gt;0,$L$4,0)</f>
        <v/>
      </c>
      <c r="G141" s="256" t="n"/>
      <c r="H141" s="64" t="n"/>
      <c r="I141" s="250">
        <f>IFERROR(VLOOKUP(H141,Tabellen!H:I,2),0)</f>
        <v/>
      </c>
      <c r="J141" s="121" t="n"/>
      <c r="K141" s="251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267" t="n"/>
      <c r="B142" s="74" t="n"/>
      <c r="C142" s="74" t="n"/>
      <c r="D142" s="249" t="n"/>
      <c r="E142" s="74">
        <f>IF(J142&gt;1,"+",0)</f>
        <v/>
      </c>
      <c r="F142" s="70">
        <f>IF(E142&gt;0,$L$4,0)</f>
        <v/>
      </c>
      <c r="G142" s="256" t="n"/>
      <c r="H142" s="64" t="n"/>
      <c r="I142" s="250">
        <f>IFERROR(VLOOKUP(H142,Tabellen!H:I,2),0)</f>
        <v/>
      </c>
      <c r="J142" s="121" t="n"/>
      <c r="K142" s="251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267" t="n"/>
      <c r="B143" s="74" t="n"/>
      <c r="C143" s="74" t="n"/>
      <c r="D143" s="249" t="n"/>
      <c r="E143" s="74">
        <f>IF(J143&gt;1,"+",0)</f>
        <v/>
      </c>
      <c r="F143" s="70">
        <f>IF(E143&gt;0,$L$4,0)</f>
        <v/>
      </c>
      <c r="G143" s="256" t="n"/>
      <c r="H143" s="64" t="n"/>
      <c r="I143" s="250">
        <f>IFERROR(VLOOKUP(H143,Tabellen!H:I,2),0)</f>
        <v/>
      </c>
      <c r="J143" s="121" t="n"/>
      <c r="K143" s="251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267" t="n"/>
      <c r="B144" s="74" t="n"/>
      <c r="C144" s="74" t="n"/>
      <c r="D144" s="249" t="n"/>
      <c r="E144" s="74">
        <f>IF(J144&gt;1,"+",0)</f>
        <v/>
      </c>
      <c r="F144" s="70">
        <f>IF(E144&gt;0,$L$4,0)</f>
        <v/>
      </c>
      <c r="G144" s="256" t="n"/>
      <c r="H144" s="64" t="n"/>
      <c r="I144" s="250">
        <f>IFERROR(VLOOKUP(H144,Tabellen!H:I,2),0)</f>
        <v/>
      </c>
      <c r="J144" s="121" t="n"/>
      <c r="K144" s="251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267" t="n"/>
      <c r="B145" s="74" t="n"/>
      <c r="C145" s="74" t="n"/>
      <c r="D145" s="249" t="n"/>
      <c r="E145" s="74">
        <f>IF(J145&gt;1,"+",0)</f>
        <v/>
      </c>
      <c r="F145" s="70">
        <f>IF(E145&gt;0,$L$4,0)</f>
        <v/>
      </c>
      <c r="G145" s="256" t="n"/>
      <c r="H145" s="64" t="n"/>
      <c r="I145" s="250">
        <f>IFERROR(VLOOKUP(H145,Tabellen!H:I,2),0)</f>
        <v/>
      </c>
      <c r="J145" s="121" t="n"/>
      <c r="K145" s="251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267" t="n"/>
      <c r="B146" s="74" t="n"/>
      <c r="C146" s="74" t="n"/>
      <c r="D146" s="249" t="n"/>
      <c r="E146" s="74">
        <f>IF(J146&gt;1,"+",0)</f>
        <v/>
      </c>
      <c r="F146" s="70">
        <f>IF(E146&gt;0,$L$4,0)</f>
        <v/>
      </c>
      <c r="G146" s="256" t="n"/>
      <c r="H146" s="64" t="n"/>
      <c r="I146" s="250">
        <f>IFERROR(VLOOKUP(H146,Tabellen!H:I,2),0)</f>
        <v/>
      </c>
      <c r="J146" s="121" t="n"/>
      <c r="K146" s="251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267" t="n"/>
      <c r="B147" s="74" t="n"/>
      <c r="C147" s="74" t="n"/>
      <c r="D147" s="249" t="n"/>
      <c r="E147" s="74">
        <f>IF(J147&gt;1,"+",0)</f>
        <v/>
      </c>
      <c r="F147" s="70">
        <f>IF(E147&gt;0,$L$4,0)</f>
        <v/>
      </c>
      <c r="G147" s="256" t="n"/>
      <c r="H147" s="64" t="n"/>
      <c r="I147" s="250">
        <f>IFERROR(VLOOKUP(H147,Tabellen!H:I,2),0)</f>
        <v/>
      </c>
      <c r="J147" s="121" t="n"/>
      <c r="K147" s="251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267" t="n"/>
      <c r="B148" s="74" t="n"/>
      <c r="C148" s="74" t="n"/>
      <c r="D148" s="249" t="n"/>
      <c r="E148" s="74">
        <f>IF(J148&gt;1,"+",0)</f>
        <v/>
      </c>
      <c r="F148" s="70">
        <f>IF(E148&gt;0,$L$4,0)</f>
        <v/>
      </c>
      <c r="G148" s="256" t="n"/>
      <c r="H148" s="64" t="n"/>
      <c r="I148" s="250">
        <f>IFERROR(VLOOKUP(H148,Tabellen!H:I,2),0)</f>
        <v/>
      </c>
      <c r="J148" s="121" t="n"/>
      <c r="K148" s="251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267" t="n"/>
      <c r="B149" s="74" t="n"/>
      <c r="C149" s="74" t="n"/>
      <c r="D149" s="249" t="n"/>
      <c r="E149" s="74">
        <f>IF(J149&gt;1,"+",0)</f>
        <v/>
      </c>
      <c r="F149" s="70">
        <f>IF(E149&gt;0,$L$4,0)</f>
        <v/>
      </c>
      <c r="G149" s="256" t="n"/>
      <c r="H149" s="64" t="n"/>
      <c r="I149" s="250">
        <f>IFERROR(VLOOKUP(H149,Tabellen!H:I,2),0)</f>
        <v/>
      </c>
      <c r="J149" s="121" t="n"/>
      <c r="K149" s="251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5" customHeight="1">
      <c r="A150" s="267" t="n"/>
      <c r="B150" s="74" t="n"/>
      <c r="C150" s="74" t="n"/>
      <c r="D150" s="249" t="n"/>
      <c r="E150" s="74">
        <f>IF(J150&gt;1,"+",0)</f>
        <v/>
      </c>
      <c r="F150" s="70">
        <f>IF(E150&gt;0,$L$4,0)</f>
        <v/>
      </c>
      <c r="G150" s="256" t="n"/>
      <c r="H150" s="64" t="n"/>
      <c r="I150" s="250">
        <f>IFERROR(VLOOKUP(H150,Tabellen!H:I,2),0)</f>
        <v/>
      </c>
      <c r="J150" s="121" t="n"/>
      <c r="K150" s="251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267" t="n"/>
      <c r="B151" s="74" t="n"/>
      <c r="C151" s="74" t="n"/>
      <c r="D151" s="249" t="n"/>
      <c r="E151" s="74">
        <f>IF(J151&gt;1,"+",0)</f>
        <v/>
      </c>
      <c r="F151" s="70">
        <f>IF(E151&gt;0,$L$4,0)</f>
        <v/>
      </c>
      <c r="G151" s="256" t="n"/>
      <c r="H151" s="64" t="n"/>
      <c r="I151" s="250">
        <f>IFERROR(VLOOKUP(H151,Tabellen!H:I,2),0)</f>
        <v/>
      </c>
      <c r="J151" s="121" t="n"/>
      <c r="K151" s="251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267" t="n"/>
      <c r="B152" s="74" t="n"/>
      <c r="C152" s="74" t="n"/>
      <c r="D152" s="249" t="n"/>
      <c r="E152" s="74">
        <f>IF(J152&gt;1,"+",0)</f>
        <v/>
      </c>
      <c r="F152" s="70">
        <f>IF(E152&gt;0,$L$4,0)</f>
        <v/>
      </c>
      <c r="G152" s="256" t="n"/>
      <c r="H152" s="64" t="n"/>
      <c r="I152" s="250">
        <f>IFERROR(VLOOKUP(H152,Tabellen!H:I,2),0)</f>
        <v/>
      </c>
      <c r="J152" s="121" t="n"/>
      <c r="K152" s="251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267" t="n"/>
      <c r="B153" s="74" t="n"/>
      <c r="C153" s="74" t="n"/>
      <c r="D153" s="249" t="n"/>
      <c r="E153" s="74">
        <f>IF(J153&gt;1,"+",0)</f>
        <v/>
      </c>
      <c r="F153" s="70">
        <f>IF(E153&gt;0,$L$4,0)</f>
        <v/>
      </c>
      <c r="G153" s="256" t="n"/>
      <c r="H153" s="64" t="n"/>
      <c r="I153" s="250">
        <f>IFERROR(VLOOKUP(H153,Tabellen!H:I,2),0)</f>
        <v/>
      </c>
      <c r="J153" s="121" t="n"/>
      <c r="K153" s="251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267" t="n"/>
      <c r="B154" s="74" t="n"/>
      <c r="C154" s="74" t="n"/>
      <c r="D154" s="249" t="n"/>
      <c r="E154" s="74">
        <f>IF(J154&gt;1,"+",0)</f>
        <v/>
      </c>
      <c r="F154" s="70">
        <f>IF(E154&gt;0,$L$4,0)</f>
        <v/>
      </c>
      <c r="G154" s="256" t="n"/>
      <c r="H154" s="64" t="n"/>
      <c r="I154" s="250">
        <f>IFERROR(VLOOKUP(H154,Tabellen!H:I,2),0)</f>
        <v/>
      </c>
      <c r="J154" s="121" t="n"/>
      <c r="K154" s="251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267" t="n"/>
      <c r="B155" s="74" t="n"/>
      <c r="C155" s="74" t="n"/>
      <c r="D155" s="249" t="n"/>
      <c r="E155" s="74">
        <f>IF(J155&gt;1,"+",0)</f>
        <v/>
      </c>
      <c r="F155" s="70">
        <f>IF(E155&gt;0,$L$4,0)</f>
        <v/>
      </c>
      <c r="G155" s="256" t="n"/>
      <c r="H155" s="64" t="n"/>
      <c r="I155" s="250">
        <f>IFERROR(VLOOKUP(H155,Tabellen!H:I,2),0)</f>
        <v/>
      </c>
      <c r="J155" s="121" t="n"/>
      <c r="K155" s="251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267" t="n"/>
      <c r="B156" s="74" t="n"/>
      <c r="C156" s="74" t="n"/>
      <c r="D156" s="249" t="n"/>
      <c r="E156" s="74">
        <f>IF(J156&gt;1,"+",0)</f>
        <v/>
      </c>
      <c r="F156" s="70">
        <f>IF(E156&gt;0,$L$4,0)</f>
        <v/>
      </c>
      <c r="G156" s="256" t="n"/>
      <c r="H156" s="64" t="n"/>
      <c r="I156" s="250">
        <f>IFERROR(VLOOKUP(H156,Tabellen!H:I,2),0)</f>
        <v/>
      </c>
      <c r="J156" s="121" t="n"/>
      <c r="K156" s="251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267" t="n"/>
      <c r="B157" s="74" t="n"/>
      <c r="C157" s="74" t="n"/>
      <c r="D157" s="249" t="n"/>
      <c r="E157" s="74">
        <f>IF(J157&gt;1,"+",0)</f>
        <v/>
      </c>
      <c r="F157" s="70">
        <f>IF(E157&gt;0,$L$4,0)</f>
        <v/>
      </c>
      <c r="G157" s="256" t="n"/>
      <c r="H157" s="64" t="n"/>
      <c r="I157" s="250">
        <f>IFERROR(VLOOKUP(H157,Tabellen!H:I,2),0)</f>
        <v/>
      </c>
      <c r="J157" s="121" t="n"/>
      <c r="K157" s="251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267" t="n"/>
      <c r="B158" s="74" t="n"/>
      <c r="C158" s="74" t="n"/>
      <c r="D158" s="249" t="n"/>
      <c r="E158" s="74">
        <f>IF(J158&gt;1,"+",0)</f>
        <v/>
      </c>
      <c r="F158" s="70">
        <f>IF(E158&gt;0,$L$4,0)</f>
        <v/>
      </c>
      <c r="G158" s="256" t="n"/>
      <c r="H158" s="64" t="n"/>
      <c r="I158" s="250">
        <f>IFERROR(VLOOKUP(H158,Tabellen!H:I,2),0)</f>
        <v/>
      </c>
      <c r="J158" s="121" t="n"/>
      <c r="K158" s="251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267" t="n"/>
      <c r="B159" s="74" t="n"/>
      <c r="C159" s="74" t="n"/>
      <c r="D159" s="249" t="n"/>
      <c r="E159" s="74">
        <f>IF(J159&gt;1,"+",0)</f>
        <v/>
      </c>
      <c r="F159" s="70">
        <f>IF(E159&gt;0,$L$4,0)</f>
        <v/>
      </c>
      <c r="G159" s="256" t="n"/>
      <c r="H159" s="64" t="n"/>
      <c r="I159" s="250">
        <f>IFERROR(VLOOKUP(H159,Tabellen!H:I,2),0)</f>
        <v/>
      </c>
      <c r="J159" s="121" t="n"/>
      <c r="K159" s="251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267" t="n"/>
      <c r="B160" s="74" t="n"/>
      <c r="C160" s="74" t="n"/>
      <c r="D160" s="249" t="n"/>
      <c r="E160" s="74">
        <f>IF(J160&gt;1,"+",0)</f>
        <v/>
      </c>
      <c r="F160" s="70">
        <f>IF(E160&gt;0,$L$4,0)</f>
        <v/>
      </c>
      <c r="G160" s="256" t="n"/>
      <c r="H160" s="64" t="n"/>
      <c r="I160" s="250">
        <f>IFERROR(VLOOKUP(H160,Tabellen!H:I,2),0)</f>
        <v/>
      </c>
      <c r="J160" s="121" t="n"/>
      <c r="K160" s="251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267" t="n"/>
      <c r="B161" s="74" t="n"/>
      <c r="C161" s="74" t="n"/>
      <c r="D161" s="249" t="n"/>
      <c r="E161" s="74">
        <f>IF(J161&gt;1,"+",0)</f>
        <v/>
      </c>
      <c r="F161" s="70">
        <f>IF(E161&gt;0,$L$4,0)</f>
        <v/>
      </c>
      <c r="G161" s="256" t="n"/>
      <c r="H161" s="64" t="n"/>
      <c r="I161" s="250">
        <f>IFERROR(VLOOKUP(H161,Tabellen!H:I,2),0)</f>
        <v/>
      </c>
      <c r="J161" s="121" t="n"/>
      <c r="K161" s="251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267" t="n"/>
      <c r="B162" s="74" t="n"/>
      <c r="C162" s="74" t="n"/>
      <c r="D162" s="249" t="n"/>
      <c r="E162" s="74">
        <f>IF(J162&gt;1,"+",0)</f>
        <v/>
      </c>
      <c r="F162" s="70">
        <f>IF(E162&gt;0,$L$4,0)</f>
        <v/>
      </c>
      <c r="G162" s="256" t="n"/>
      <c r="H162" s="64" t="n"/>
      <c r="I162" s="250">
        <f>IFERROR(VLOOKUP(H162,Tabellen!H:I,2),0)</f>
        <v/>
      </c>
      <c r="J162" s="121" t="n"/>
      <c r="K162" s="251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267" t="n"/>
      <c r="B163" s="74" t="n"/>
      <c r="C163" s="74" t="n"/>
      <c r="D163" s="249" t="n"/>
      <c r="E163" s="74">
        <f>IF(J163&gt;1,"+",0)</f>
        <v/>
      </c>
      <c r="F163" s="70">
        <f>IF(E163&gt;0,$L$4,0)</f>
        <v/>
      </c>
      <c r="G163" s="256" t="n"/>
      <c r="H163" s="64" t="n"/>
      <c r="I163" s="250">
        <f>IFERROR(VLOOKUP(H163,Tabellen!H:I,2),0)</f>
        <v/>
      </c>
      <c r="J163" s="121" t="n"/>
      <c r="K163" s="251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267" t="n"/>
      <c r="B164" s="74" t="n"/>
      <c r="C164" s="74" t="n"/>
      <c r="D164" s="249" t="n"/>
      <c r="E164" s="74">
        <f>IF(J164&gt;1,"+",0)</f>
        <v/>
      </c>
      <c r="F164" s="70">
        <f>IF(E164&gt;0,$L$4,0)</f>
        <v/>
      </c>
      <c r="G164" s="256" t="n"/>
      <c r="H164" s="64" t="n"/>
      <c r="I164" s="250">
        <f>IFERROR(VLOOKUP(H164,Tabellen!H:I,2),0)</f>
        <v/>
      </c>
      <c r="J164" s="121" t="n"/>
      <c r="K164" s="251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267" t="n"/>
      <c r="B165" s="74" t="n"/>
      <c r="C165" s="74" t="n"/>
      <c r="D165" s="249" t="n"/>
      <c r="E165" s="74">
        <f>IF(J165&gt;1,"+",0)</f>
        <v/>
      </c>
      <c r="F165" s="70">
        <f>IF(E165&gt;0,$L$4,0)</f>
        <v/>
      </c>
      <c r="G165" s="256" t="n"/>
      <c r="H165" s="64" t="n"/>
      <c r="I165" s="250">
        <f>IFERROR(VLOOKUP(H165,Tabellen!H:I,2),0)</f>
        <v/>
      </c>
      <c r="J165" s="121" t="n"/>
      <c r="K165" s="251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267" t="n"/>
      <c r="B166" s="74" t="n"/>
      <c r="C166" s="74" t="n"/>
      <c r="D166" s="249" t="n"/>
      <c r="E166" s="74">
        <f>IF(J166&gt;1,"+",0)</f>
        <v/>
      </c>
      <c r="F166" s="70">
        <f>IF(E166&gt;0,$L$4,0)</f>
        <v/>
      </c>
      <c r="G166" s="256" t="n"/>
      <c r="H166" s="64" t="n"/>
      <c r="I166" s="250">
        <f>IFERROR(VLOOKUP(H166,Tabellen!H:I,2),0)</f>
        <v/>
      </c>
      <c r="J166" s="121" t="n"/>
      <c r="K166" s="251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267" t="n"/>
      <c r="B167" s="74" t="n"/>
      <c r="C167" s="74" t="n"/>
      <c r="D167" s="249" t="n"/>
      <c r="E167" s="74">
        <f>IF(J167&gt;1,"+",0)</f>
        <v/>
      </c>
      <c r="F167" s="70">
        <f>IF(E167&gt;0,$L$4,0)</f>
        <v/>
      </c>
      <c r="G167" s="256" t="n"/>
      <c r="H167" s="64" t="n"/>
      <c r="I167" s="250">
        <f>IFERROR(VLOOKUP(H167,Tabellen!H:I,2),0)</f>
        <v/>
      </c>
      <c r="J167" s="121" t="n"/>
      <c r="K167" s="251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252" t="inlineStr">
        <is>
          <t>Saldo mutaties investeringen</t>
        </is>
      </c>
      <c r="B168" s="125" t="n"/>
      <c r="C168" s="125" t="n"/>
      <c r="D168" s="252" t="n"/>
      <c r="E168" s="143">
        <f>IF(J168&gt;1,"+",0)</f>
        <v/>
      </c>
      <c r="F168" s="127" t="n"/>
      <c r="G168" s="253" t="n"/>
      <c r="H168" s="65" t="n"/>
      <c r="I168" s="254" t="n"/>
      <c r="J168" s="129" t="n"/>
      <c r="K168" s="255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244" t="n"/>
      <c r="B169" s="71" t="n"/>
      <c r="C169" s="71" t="n"/>
      <c r="D169" s="244" t="n"/>
      <c r="E169" s="71">
        <f>IF(J169&gt;1,"+",0)</f>
        <v/>
      </c>
      <c r="F169" s="113" t="n"/>
      <c r="G169" s="245" t="n"/>
      <c r="H169" s="63" t="n"/>
      <c r="I169" s="246" t="n"/>
      <c r="J169" s="73" t="n"/>
      <c r="K169" s="247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5" customHeight="1">
      <c r="A170" s="419" t="inlineStr">
        <is>
          <t>D. Reserves</t>
        </is>
      </c>
      <c r="B170" s="420" t="n"/>
      <c r="C170" s="420" t="n"/>
      <c r="D170" s="419" t="n"/>
      <c r="E170" s="420">
        <f>IF(J170&gt;1,"+",0)</f>
        <v/>
      </c>
      <c r="F170" s="421" t="n"/>
      <c r="G170" s="422" t="n"/>
      <c r="H170" s="423" t="n"/>
      <c r="I170" s="424" t="n"/>
      <c r="J170" s="421" t="n"/>
      <c r="K170" s="425" t="n"/>
      <c r="L170" s="426" t="n"/>
      <c r="M170" s="426" t="n"/>
      <c r="N170" s="426" t="n"/>
      <c r="O170" s="426" t="n"/>
      <c r="P170" s="406" t="n"/>
      <c r="Q170" s="427">
        <f>IF(OR(H170=47201,H170=47100,H170=47200,H170=47500),L170,0)</f>
        <v/>
      </c>
      <c r="R170" s="427">
        <f>IF(OR(H170=87201,H170=87100,H170=87200,H170=87500),L170,0)</f>
        <v/>
      </c>
    </row>
    <row r="171" ht="15" customHeight="1">
      <c r="A171" s="244" t="n"/>
      <c r="B171" s="71" t="n"/>
      <c r="C171" s="71" t="n"/>
      <c r="D171" s="244" t="n"/>
      <c r="E171" s="71">
        <f>IF(J171&gt;1,"+",0)</f>
        <v/>
      </c>
      <c r="F171" s="113" t="n"/>
      <c r="G171" s="245" t="n"/>
      <c r="H171" s="63" t="n"/>
      <c r="I171" s="246" t="n"/>
      <c r="J171" s="73" t="n"/>
      <c r="K171" s="247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267" t="n"/>
      <c r="B172" s="74" t="n"/>
      <c r="C172" s="74" t="n"/>
      <c r="D172" s="249" t="n"/>
      <c r="E172" s="74">
        <f>IF(J172&gt;1,"+",0)</f>
        <v/>
      </c>
      <c r="F172" s="75" t="n"/>
      <c r="G172" s="256" t="n"/>
      <c r="H172" s="64" t="n"/>
      <c r="I172" s="250">
        <f>IFERROR(VLOOKUP(H172,Tabellen!H:I,2),0)</f>
        <v/>
      </c>
      <c r="J172" s="121" t="n"/>
      <c r="K172" s="251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267">
        <f>A78</f>
        <v/>
      </c>
      <c r="B173" s="74" t="n"/>
      <c r="C173" s="74">
        <f>C78</f>
        <v/>
      </c>
      <c r="D173" s="249">
        <f>D78</f>
        <v/>
      </c>
      <c r="E173" s="74">
        <f>E78</f>
        <v/>
      </c>
      <c r="F173" s="75">
        <f>IF(E173&gt;0,$L$4,0)</f>
        <v/>
      </c>
      <c r="G173" s="256">
        <f>G78</f>
        <v/>
      </c>
      <c r="H173" s="64">
        <f>H78</f>
        <v/>
      </c>
      <c r="I173" s="250">
        <f>I78</f>
        <v/>
      </c>
      <c r="J173" s="121" t="n"/>
      <c r="K173" s="251" t="n"/>
      <c r="L173" s="123">
        <f>L78</f>
        <v/>
      </c>
      <c r="M173" s="123">
        <f>M78</f>
        <v/>
      </c>
      <c r="N173" s="123">
        <f>N78</f>
        <v/>
      </c>
      <c r="O173" s="123">
        <f>O78</f>
        <v/>
      </c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267">
        <f>A79</f>
        <v/>
      </c>
      <c r="B174" s="74" t="n"/>
      <c r="C174" s="74">
        <f>C79</f>
        <v/>
      </c>
      <c r="D174" s="249">
        <f>D79</f>
        <v/>
      </c>
      <c r="E174" s="74">
        <f>E79</f>
        <v/>
      </c>
      <c r="F174" s="75">
        <f>IF(E174&gt;0,$L$4,0)</f>
        <v/>
      </c>
      <c r="G174" s="256">
        <f>G79</f>
        <v/>
      </c>
      <c r="H174" s="64">
        <f>H79</f>
        <v/>
      </c>
      <c r="I174" s="250">
        <f>I79</f>
        <v/>
      </c>
      <c r="J174" s="121" t="n"/>
      <c r="K174" s="251" t="n"/>
      <c r="L174" s="123">
        <f>L79</f>
        <v/>
      </c>
      <c r="M174" s="123">
        <f>M79</f>
        <v/>
      </c>
      <c r="N174" s="123">
        <f>N79</f>
        <v/>
      </c>
      <c r="O174" s="123">
        <f>O79</f>
        <v/>
      </c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267">
        <f>A80</f>
        <v/>
      </c>
      <c r="B175" s="74" t="n"/>
      <c r="C175" s="74">
        <f>C80</f>
        <v/>
      </c>
      <c r="D175" s="249">
        <f>D80</f>
        <v/>
      </c>
      <c r="E175" s="74">
        <f>E80</f>
        <v/>
      </c>
      <c r="F175" s="75">
        <f>IF(E175&gt;0,$L$4,0)</f>
        <v/>
      </c>
      <c r="G175" s="256">
        <f>G80</f>
        <v/>
      </c>
      <c r="H175" s="64">
        <f>H80</f>
        <v/>
      </c>
      <c r="I175" s="250">
        <f>I80</f>
        <v/>
      </c>
      <c r="J175" s="121" t="n"/>
      <c r="K175" s="251" t="n"/>
      <c r="L175" s="123">
        <f>L80</f>
        <v/>
      </c>
      <c r="M175" s="123">
        <f>M80</f>
        <v/>
      </c>
      <c r="N175" s="123">
        <f>N80</f>
        <v/>
      </c>
      <c r="O175" s="123">
        <f>O80</f>
        <v/>
      </c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267">
        <f>A81</f>
        <v/>
      </c>
      <c r="B176" s="74" t="n"/>
      <c r="C176" s="74">
        <f>C81</f>
        <v/>
      </c>
      <c r="D176" s="249">
        <f>D81</f>
        <v/>
      </c>
      <c r="E176" s="74">
        <f>E81</f>
        <v/>
      </c>
      <c r="F176" s="75">
        <f>IF(E176&gt;0,$L$4,0)</f>
        <v/>
      </c>
      <c r="G176" s="256">
        <f>G81</f>
        <v/>
      </c>
      <c r="H176" s="64">
        <f>H81</f>
        <v/>
      </c>
      <c r="I176" s="250">
        <f>I81</f>
        <v/>
      </c>
      <c r="J176" s="121" t="n"/>
      <c r="K176" s="251" t="n"/>
      <c r="L176" s="123">
        <f>L81</f>
        <v/>
      </c>
      <c r="M176" s="123">
        <f>M81</f>
        <v/>
      </c>
      <c r="N176" s="123">
        <f>N81</f>
        <v/>
      </c>
      <c r="O176" s="123">
        <f>O81</f>
        <v/>
      </c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267">
        <f>A82</f>
        <v/>
      </c>
      <c r="B177" s="74" t="n"/>
      <c r="C177" s="74">
        <f>C82</f>
        <v/>
      </c>
      <c r="D177" s="249">
        <f>D82</f>
        <v/>
      </c>
      <c r="E177" s="74">
        <f>E82</f>
        <v/>
      </c>
      <c r="F177" s="75">
        <f>IF(E177&gt;0,$L$4,0)</f>
        <v/>
      </c>
      <c r="G177" s="256">
        <f>G82</f>
        <v/>
      </c>
      <c r="H177" s="64">
        <f>H82</f>
        <v/>
      </c>
      <c r="I177" s="250">
        <f>I82</f>
        <v/>
      </c>
      <c r="J177" s="121" t="n"/>
      <c r="K177" s="251" t="n"/>
      <c r="L177" s="123">
        <f>L82</f>
        <v/>
      </c>
      <c r="M177" s="123">
        <f>M82</f>
        <v/>
      </c>
      <c r="N177" s="123">
        <f>N82</f>
        <v/>
      </c>
      <c r="O177" s="123">
        <f>O82</f>
        <v/>
      </c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267">
        <f>A83</f>
        <v/>
      </c>
      <c r="B178" s="74" t="n"/>
      <c r="C178" s="74">
        <f>C83</f>
        <v/>
      </c>
      <c r="D178" s="249">
        <f>D83</f>
        <v/>
      </c>
      <c r="E178" s="74">
        <f>E83</f>
        <v/>
      </c>
      <c r="F178" s="75">
        <f>IF(E178&gt;0,$L$4,0)</f>
        <v/>
      </c>
      <c r="G178" s="256">
        <f>G83</f>
        <v/>
      </c>
      <c r="H178" s="64">
        <f>H83</f>
        <v/>
      </c>
      <c r="I178" s="250">
        <f>I83</f>
        <v/>
      </c>
      <c r="J178" s="121" t="n"/>
      <c r="K178" s="251" t="n"/>
      <c r="L178" s="123">
        <f>L83</f>
        <v/>
      </c>
      <c r="M178" s="123">
        <f>M83</f>
        <v/>
      </c>
      <c r="N178" s="123">
        <f>N83</f>
        <v/>
      </c>
      <c r="O178" s="123">
        <f>O83</f>
        <v/>
      </c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267">
        <f>A84</f>
        <v/>
      </c>
      <c r="B179" s="74" t="n"/>
      <c r="C179" s="74">
        <f>C84</f>
        <v/>
      </c>
      <c r="D179" s="249">
        <f>D84</f>
        <v/>
      </c>
      <c r="E179" s="74">
        <f>E84</f>
        <v/>
      </c>
      <c r="F179" s="75">
        <f>IF(E179&gt;0,$L$4,0)</f>
        <v/>
      </c>
      <c r="G179" s="256">
        <f>G84</f>
        <v/>
      </c>
      <c r="H179" s="64">
        <f>H84</f>
        <v/>
      </c>
      <c r="I179" s="250">
        <f>I84</f>
        <v/>
      </c>
      <c r="J179" s="121" t="n"/>
      <c r="K179" s="251" t="n"/>
      <c r="L179" s="123">
        <f>L84</f>
        <v/>
      </c>
      <c r="M179" s="123">
        <f>M84</f>
        <v/>
      </c>
      <c r="N179" s="123">
        <f>N84</f>
        <v/>
      </c>
      <c r="O179" s="123">
        <f>O84</f>
        <v/>
      </c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267">
        <f>A85</f>
        <v/>
      </c>
      <c r="B180" s="74" t="n"/>
      <c r="C180" s="74">
        <f>C85</f>
        <v/>
      </c>
      <c r="D180" s="249">
        <f>D85</f>
        <v/>
      </c>
      <c r="E180" s="74">
        <f>E85</f>
        <v/>
      </c>
      <c r="F180" s="75">
        <f>IF(E180&gt;0,$L$4,0)</f>
        <v/>
      </c>
      <c r="G180" s="256">
        <f>G85</f>
        <v/>
      </c>
      <c r="H180" s="64">
        <f>H85</f>
        <v/>
      </c>
      <c r="I180" s="250">
        <f>I85</f>
        <v/>
      </c>
      <c r="J180" s="121" t="n"/>
      <c r="K180" s="251" t="n"/>
      <c r="L180" s="123">
        <f>L85</f>
        <v/>
      </c>
      <c r="M180" s="123">
        <f>M85</f>
        <v/>
      </c>
      <c r="N180" s="123">
        <f>N85</f>
        <v/>
      </c>
      <c r="O180" s="123">
        <f>O85</f>
        <v/>
      </c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267">
        <f>A86</f>
        <v/>
      </c>
      <c r="B181" s="74" t="n"/>
      <c r="C181" s="74">
        <f>C86</f>
        <v/>
      </c>
      <c r="D181" s="249">
        <f>D86</f>
        <v/>
      </c>
      <c r="E181" s="74">
        <f>E86</f>
        <v/>
      </c>
      <c r="F181" s="75">
        <f>IF(E181&gt;0,$L$4,0)</f>
        <v/>
      </c>
      <c r="G181" s="256">
        <f>G86</f>
        <v/>
      </c>
      <c r="H181" s="64">
        <f>H86</f>
        <v/>
      </c>
      <c r="I181" s="250">
        <f>I86</f>
        <v/>
      </c>
      <c r="J181" s="121" t="n"/>
      <c r="K181" s="251" t="n"/>
      <c r="L181" s="123">
        <f>L86</f>
        <v/>
      </c>
      <c r="M181" s="123">
        <f>M86</f>
        <v/>
      </c>
      <c r="N181" s="123">
        <f>N86</f>
        <v/>
      </c>
      <c r="O181" s="123">
        <f>O86</f>
        <v/>
      </c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267">
        <f>A87</f>
        <v/>
      </c>
      <c r="B182" s="74" t="n"/>
      <c r="C182" s="74">
        <f>C87</f>
        <v/>
      </c>
      <c r="D182" s="249">
        <f>D87</f>
        <v/>
      </c>
      <c r="E182" s="74">
        <f>E87</f>
        <v/>
      </c>
      <c r="F182" s="75">
        <f>IF(E182&gt;0,$L$4,0)</f>
        <v/>
      </c>
      <c r="G182" s="256">
        <f>G87</f>
        <v/>
      </c>
      <c r="H182" s="64">
        <f>H87</f>
        <v/>
      </c>
      <c r="I182" s="250">
        <f>I87</f>
        <v/>
      </c>
      <c r="J182" s="121" t="n"/>
      <c r="K182" s="251" t="n"/>
      <c r="L182" s="123">
        <f>L87</f>
        <v/>
      </c>
      <c r="M182" s="123">
        <f>M87</f>
        <v/>
      </c>
      <c r="N182" s="123">
        <f>N87</f>
        <v/>
      </c>
      <c r="O182" s="123">
        <f>O87</f>
        <v/>
      </c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267">
        <f>A88</f>
        <v/>
      </c>
      <c r="B183" s="74" t="n"/>
      <c r="C183" s="74">
        <f>C88</f>
        <v/>
      </c>
      <c r="D183" s="249">
        <f>D88</f>
        <v/>
      </c>
      <c r="E183" s="74">
        <f>E88</f>
        <v/>
      </c>
      <c r="F183" s="75">
        <f>IF(E183&gt;0,$L$4,0)</f>
        <v/>
      </c>
      <c r="G183" s="256">
        <f>G88</f>
        <v/>
      </c>
      <c r="H183" s="64">
        <f>H88</f>
        <v/>
      </c>
      <c r="I183" s="250">
        <f>I88</f>
        <v/>
      </c>
      <c r="J183" s="121" t="n"/>
      <c r="K183" s="251" t="n"/>
      <c r="L183" s="123">
        <f>L88</f>
        <v/>
      </c>
      <c r="M183" s="123">
        <f>M88</f>
        <v/>
      </c>
      <c r="N183" s="123">
        <f>N88</f>
        <v/>
      </c>
      <c r="O183" s="123">
        <f>O88</f>
        <v/>
      </c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267">
        <f>A89</f>
        <v/>
      </c>
      <c r="B184" s="74" t="n"/>
      <c r="C184" s="74">
        <f>C89</f>
        <v/>
      </c>
      <c r="D184" s="249">
        <f>D89</f>
        <v/>
      </c>
      <c r="E184" s="74">
        <f>E89</f>
        <v/>
      </c>
      <c r="F184" s="75">
        <f>IF(E184&gt;0,$L$4,0)</f>
        <v/>
      </c>
      <c r="G184" s="256">
        <f>G89</f>
        <v/>
      </c>
      <c r="H184" s="64">
        <f>H89</f>
        <v/>
      </c>
      <c r="I184" s="250">
        <f>I89</f>
        <v/>
      </c>
      <c r="J184" s="121" t="n"/>
      <c r="K184" s="251" t="n"/>
      <c r="L184" s="123">
        <f>L89</f>
        <v/>
      </c>
      <c r="M184" s="123">
        <f>M89</f>
        <v/>
      </c>
      <c r="N184" s="123">
        <f>N89</f>
        <v/>
      </c>
      <c r="O184" s="123">
        <f>O89</f>
        <v/>
      </c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267">
        <f>A90</f>
        <v/>
      </c>
      <c r="B185" s="74" t="n"/>
      <c r="C185" s="74">
        <f>C90</f>
        <v/>
      </c>
      <c r="D185" s="249">
        <f>D90</f>
        <v/>
      </c>
      <c r="E185" s="74">
        <f>E90</f>
        <v/>
      </c>
      <c r="F185" s="75">
        <f>IF(E185&gt;0,$L$4,0)</f>
        <v/>
      </c>
      <c r="G185" s="256">
        <f>G90</f>
        <v/>
      </c>
      <c r="H185" s="64">
        <f>H90</f>
        <v/>
      </c>
      <c r="I185" s="250">
        <f>I90</f>
        <v/>
      </c>
      <c r="J185" s="121" t="n"/>
      <c r="K185" s="251" t="n"/>
      <c r="L185" s="123">
        <f>L90</f>
        <v/>
      </c>
      <c r="M185" s="123">
        <f>M90</f>
        <v/>
      </c>
      <c r="N185" s="123">
        <f>N90</f>
        <v/>
      </c>
      <c r="O185" s="123">
        <f>O90</f>
        <v/>
      </c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267">
        <f>A91</f>
        <v/>
      </c>
      <c r="B186" s="74" t="n"/>
      <c r="C186" s="74">
        <f>C91</f>
        <v/>
      </c>
      <c r="D186" s="249">
        <f>D91</f>
        <v/>
      </c>
      <c r="E186" s="74">
        <f>E91</f>
        <v/>
      </c>
      <c r="F186" s="75">
        <f>IF(E186&gt;0,$L$4,0)</f>
        <v/>
      </c>
      <c r="G186" s="256">
        <f>G91</f>
        <v/>
      </c>
      <c r="H186" s="64">
        <f>H91</f>
        <v/>
      </c>
      <c r="I186" s="250">
        <f>I91</f>
        <v/>
      </c>
      <c r="J186" s="121" t="n"/>
      <c r="K186" s="251" t="n"/>
      <c r="L186" s="123">
        <f>L91</f>
        <v/>
      </c>
      <c r="M186" s="123">
        <f>M91</f>
        <v/>
      </c>
      <c r="N186" s="123">
        <f>N91</f>
        <v/>
      </c>
      <c r="O186" s="123">
        <f>O91</f>
        <v/>
      </c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267">
        <f>A92</f>
        <v/>
      </c>
      <c r="B187" s="74" t="n"/>
      <c r="C187" s="74">
        <f>C92</f>
        <v/>
      </c>
      <c r="D187" s="249">
        <f>D92</f>
        <v/>
      </c>
      <c r="E187" s="74">
        <f>E92</f>
        <v/>
      </c>
      <c r="F187" s="75">
        <f>IF(E187&gt;0,$L$4,0)</f>
        <v/>
      </c>
      <c r="G187" s="256">
        <f>G92</f>
        <v/>
      </c>
      <c r="H187" s="64">
        <f>H92</f>
        <v/>
      </c>
      <c r="I187" s="250">
        <f>I92</f>
        <v/>
      </c>
      <c r="J187" s="121" t="n"/>
      <c r="K187" s="251" t="n"/>
      <c r="L187" s="123">
        <f>L92</f>
        <v/>
      </c>
      <c r="M187" s="123">
        <f>M92</f>
        <v/>
      </c>
      <c r="N187" s="123">
        <f>N92</f>
        <v/>
      </c>
      <c r="O187" s="123">
        <f>O92</f>
        <v/>
      </c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267">
        <f>A93</f>
        <v/>
      </c>
      <c r="B188" s="74" t="n"/>
      <c r="C188" s="74">
        <f>C93</f>
        <v/>
      </c>
      <c r="D188" s="249">
        <f>D93</f>
        <v/>
      </c>
      <c r="E188" s="74">
        <f>E93</f>
        <v/>
      </c>
      <c r="F188" s="75">
        <f>IF(E188&gt;0,$L$4,0)</f>
        <v/>
      </c>
      <c r="G188" s="256">
        <f>G93</f>
        <v/>
      </c>
      <c r="H188" s="64">
        <f>H93</f>
        <v/>
      </c>
      <c r="I188" s="250">
        <f>I93</f>
        <v/>
      </c>
      <c r="J188" s="121" t="n"/>
      <c r="K188" s="251" t="n"/>
      <c r="L188" s="123">
        <f>L93</f>
        <v/>
      </c>
      <c r="M188" s="123">
        <f>M93</f>
        <v/>
      </c>
      <c r="N188" s="123">
        <f>N93</f>
        <v/>
      </c>
      <c r="O188" s="123">
        <f>O93</f>
        <v/>
      </c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267">
        <f>A94</f>
        <v/>
      </c>
      <c r="B189" s="74" t="n"/>
      <c r="C189" s="74">
        <f>C94</f>
        <v/>
      </c>
      <c r="D189" s="249">
        <f>D94</f>
        <v/>
      </c>
      <c r="E189" s="74">
        <f>E94</f>
        <v/>
      </c>
      <c r="F189" s="75">
        <f>IF(E189&gt;0,$L$4,0)</f>
        <v/>
      </c>
      <c r="G189" s="256">
        <f>G94</f>
        <v/>
      </c>
      <c r="H189" s="64">
        <f>H94</f>
        <v/>
      </c>
      <c r="I189" s="250">
        <f>I94</f>
        <v/>
      </c>
      <c r="J189" s="121" t="n"/>
      <c r="K189" s="251" t="n"/>
      <c r="L189" s="123">
        <f>L94</f>
        <v/>
      </c>
      <c r="M189" s="123">
        <f>M94</f>
        <v/>
      </c>
      <c r="N189" s="123">
        <f>N94</f>
        <v/>
      </c>
      <c r="O189" s="123">
        <f>O94</f>
        <v/>
      </c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267">
        <f>A95</f>
        <v/>
      </c>
      <c r="B190" s="74" t="n"/>
      <c r="C190" s="74">
        <f>C95</f>
        <v/>
      </c>
      <c r="D190" s="249">
        <f>D95</f>
        <v/>
      </c>
      <c r="E190" s="74">
        <f>E95</f>
        <v/>
      </c>
      <c r="F190" s="75">
        <f>IF(E190&gt;0,$L$4,0)</f>
        <v/>
      </c>
      <c r="G190" s="256">
        <f>G95</f>
        <v/>
      </c>
      <c r="H190" s="64">
        <f>H95</f>
        <v/>
      </c>
      <c r="I190" s="250">
        <f>I95</f>
        <v/>
      </c>
      <c r="J190" s="121" t="n"/>
      <c r="K190" s="251" t="n"/>
      <c r="L190" s="123">
        <f>L95</f>
        <v/>
      </c>
      <c r="M190" s="123">
        <f>M95</f>
        <v/>
      </c>
      <c r="N190" s="123">
        <f>N95</f>
        <v/>
      </c>
      <c r="O190" s="123">
        <f>O95</f>
        <v/>
      </c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267">
        <f>A96</f>
        <v/>
      </c>
      <c r="B191" s="74" t="n"/>
      <c r="C191" s="74">
        <f>C96</f>
        <v/>
      </c>
      <c r="D191" s="249">
        <f>D96</f>
        <v/>
      </c>
      <c r="E191" s="74">
        <f>E96</f>
        <v/>
      </c>
      <c r="F191" s="75">
        <f>IF(E191&gt;0,$L$4,0)</f>
        <v/>
      </c>
      <c r="G191" s="256">
        <f>G96</f>
        <v/>
      </c>
      <c r="H191" s="64">
        <f>H96</f>
        <v/>
      </c>
      <c r="I191" s="250">
        <f>I96</f>
        <v/>
      </c>
      <c r="J191" s="121" t="n"/>
      <c r="K191" s="251" t="n"/>
      <c r="L191" s="123">
        <f>L96</f>
        <v/>
      </c>
      <c r="M191" s="123">
        <f>M96</f>
        <v/>
      </c>
      <c r="N191" s="123">
        <f>N96</f>
        <v/>
      </c>
      <c r="O191" s="123">
        <f>O96</f>
        <v/>
      </c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267">
        <f>A97</f>
        <v/>
      </c>
      <c r="B192" s="74" t="n"/>
      <c r="C192" s="74">
        <f>C97</f>
        <v/>
      </c>
      <c r="D192" s="249">
        <f>D97</f>
        <v/>
      </c>
      <c r="E192" s="74">
        <f>E97</f>
        <v/>
      </c>
      <c r="F192" s="75">
        <f>IF(E192&gt;0,$L$4,0)</f>
        <v/>
      </c>
      <c r="G192" s="256">
        <f>G97</f>
        <v/>
      </c>
      <c r="H192" s="64">
        <f>H97</f>
        <v/>
      </c>
      <c r="I192" s="250">
        <f>I97</f>
        <v/>
      </c>
      <c r="J192" s="121" t="n"/>
      <c r="K192" s="251" t="n"/>
      <c r="L192" s="123">
        <f>L97</f>
        <v/>
      </c>
      <c r="M192" s="123">
        <f>M97</f>
        <v/>
      </c>
      <c r="N192" s="123">
        <f>N97</f>
        <v/>
      </c>
      <c r="O192" s="123">
        <f>O97</f>
        <v/>
      </c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267">
        <f>A98</f>
        <v/>
      </c>
      <c r="B193" s="74" t="n"/>
      <c r="C193" s="74">
        <f>C98</f>
        <v/>
      </c>
      <c r="D193" s="249">
        <f>D98</f>
        <v/>
      </c>
      <c r="E193" s="74">
        <f>E98</f>
        <v/>
      </c>
      <c r="F193" s="75">
        <f>IF(E193&gt;0,$L$4,0)</f>
        <v/>
      </c>
      <c r="G193" s="256">
        <f>G98</f>
        <v/>
      </c>
      <c r="H193" s="64">
        <f>H98</f>
        <v/>
      </c>
      <c r="I193" s="250">
        <f>I98</f>
        <v/>
      </c>
      <c r="J193" s="121" t="n"/>
      <c r="K193" s="251" t="n"/>
      <c r="L193" s="123">
        <f>L98</f>
        <v/>
      </c>
      <c r="M193" s="123">
        <f>M98</f>
        <v/>
      </c>
      <c r="N193" s="123">
        <f>N98</f>
        <v/>
      </c>
      <c r="O193" s="123">
        <f>O98</f>
        <v/>
      </c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267">
        <f>A99</f>
        <v/>
      </c>
      <c r="B194" s="74" t="n"/>
      <c r="C194" s="74">
        <f>C99</f>
        <v/>
      </c>
      <c r="D194" s="249">
        <f>D99</f>
        <v/>
      </c>
      <c r="E194" s="74">
        <f>E99</f>
        <v/>
      </c>
      <c r="F194" s="75">
        <f>IF(E194&gt;0,$L$4,0)</f>
        <v/>
      </c>
      <c r="G194" s="256">
        <f>G99</f>
        <v/>
      </c>
      <c r="H194" s="64">
        <f>H99</f>
        <v/>
      </c>
      <c r="I194" s="250">
        <f>I99</f>
        <v/>
      </c>
      <c r="J194" s="121" t="n"/>
      <c r="K194" s="251" t="n"/>
      <c r="L194" s="123">
        <f>L99</f>
        <v/>
      </c>
      <c r="M194" s="123">
        <f>M99</f>
        <v/>
      </c>
      <c r="N194" s="123">
        <f>N99</f>
        <v/>
      </c>
      <c r="O194" s="123">
        <f>O99</f>
        <v/>
      </c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267">
        <f>A100</f>
        <v/>
      </c>
      <c r="B195" s="74" t="n"/>
      <c r="C195" s="74">
        <f>C100</f>
        <v/>
      </c>
      <c r="D195" s="249">
        <f>D100</f>
        <v/>
      </c>
      <c r="E195" s="74">
        <f>E100</f>
        <v/>
      </c>
      <c r="F195" s="75">
        <f>IF(E195&gt;0,$L$4,0)</f>
        <v/>
      </c>
      <c r="G195" s="256">
        <f>G100</f>
        <v/>
      </c>
      <c r="H195" s="64">
        <f>H100</f>
        <v/>
      </c>
      <c r="I195" s="250">
        <f>I100</f>
        <v/>
      </c>
      <c r="J195" s="121" t="n"/>
      <c r="K195" s="251" t="n"/>
      <c r="L195" s="123">
        <f>L100</f>
        <v/>
      </c>
      <c r="M195" s="123">
        <f>M100</f>
        <v/>
      </c>
      <c r="N195" s="123">
        <f>N100</f>
        <v/>
      </c>
      <c r="O195" s="123">
        <f>O100</f>
        <v/>
      </c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267">
        <f>A101</f>
        <v/>
      </c>
      <c r="B196" s="74" t="n"/>
      <c r="C196" s="74">
        <f>C101</f>
        <v/>
      </c>
      <c r="D196" s="249">
        <f>D101</f>
        <v/>
      </c>
      <c r="E196" s="74">
        <f>E101</f>
        <v/>
      </c>
      <c r="F196" s="75">
        <f>IF(E196&gt;0,$L$4,0)</f>
        <v/>
      </c>
      <c r="G196" s="256">
        <f>G101</f>
        <v/>
      </c>
      <c r="H196" s="64">
        <f>H101</f>
        <v/>
      </c>
      <c r="I196" s="250">
        <f>I101</f>
        <v/>
      </c>
      <c r="J196" s="121" t="n"/>
      <c r="K196" s="251" t="n"/>
      <c r="L196" s="123">
        <f>L101</f>
        <v/>
      </c>
      <c r="M196" s="123">
        <f>M101</f>
        <v/>
      </c>
      <c r="N196" s="123">
        <f>N101</f>
        <v/>
      </c>
      <c r="O196" s="123">
        <f>O101</f>
        <v/>
      </c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267">
        <f>A102</f>
        <v/>
      </c>
      <c r="B197" s="74" t="n"/>
      <c r="C197" s="74">
        <f>C102</f>
        <v/>
      </c>
      <c r="D197" s="249">
        <f>D102</f>
        <v/>
      </c>
      <c r="E197" s="74">
        <f>E102</f>
        <v/>
      </c>
      <c r="F197" s="75">
        <f>IF(E197&gt;0,$L$4,0)</f>
        <v/>
      </c>
      <c r="G197" s="256">
        <f>G102</f>
        <v/>
      </c>
      <c r="H197" s="64">
        <f>H102</f>
        <v/>
      </c>
      <c r="I197" s="250">
        <f>I102</f>
        <v/>
      </c>
      <c r="J197" s="121" t="n"/>
      <c r="K197" s="251" t="n"/>
      <c r="L197" s="123">
        <f>L102</f>
        <v/>
      </c>
      <c r="M197" s="123">
        <f>M102</f>
        <v/>
      </c>
      <c r="N197" s="123">
        <f>N102</f>
        <v/>
      </c>
      <c r="O197" s="123">
        <f>O102</f>
        <v/>
      </c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267">
        <f>A103</f>
        <v/>
      </c>
      <c r="B198" s="74" t="n"/>
      <c r="C198" s="74">
        <f>C103</f>
        <v/>
      </c>
      <c r="D198" s="249">
        <f>D103</f>
        <v/>
      </c>
      <c r="E198" s="74">
        <f>E103</f>
        <v/>
      </c>
      <c r="F198" s="75">
        <f>IF(E198&gt;0,$L$4,0)</f>
        <v/>
      </c>
      <c r="G198" s="256">
        <f>G103</f>
        <v/>
      </c>
      <c r="H198" s="64">
        <f>H103</f>
        <v/>
      </c>
      <c r="I198" s="250">
        <f>I103</f>
        <v/>
      </c>
      <c r="J198" s="121" t="n"/>
      <c r="K198" s="251" t="n"/>
      <c r="L198" s="123">
        <f>L103</f>
        <v/>
      </c>
      <c r="M198" s="123">
        <f>M103</f>
        <v/>
      </c>
      <c r="N198" s="123">
        <f>N103</f>
        <v/>
      </c>
      <c r="O198" s="123">
        <f>O103</f>
        <v/>
      </c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267">
        <f>A104</f>
        <v/>
      </c>
      <c r="B199" s="74" t="n"/>
      <c r="C199" s="74">
        <f>C104</f>
        <v/>
      </c>
      <c r="D199" s="249">
        <f>D104</f>
        <v/>
      </c>
      <c r="E199" s="74">
        <f>E104</f>
        <v/>
      </c>
      <c r="F199" s="75">
        <f>IF(E199&gt;0,$L$4,0)</f>
        <v/>
      </c>
      <c r="G199" s="256">
        <f>G104</f>
        <v/>
      </c>
      <c r="H199" s="64">
        <f>H104</f>
        <v/>
      </c>
      <c r="I199" s="250">
        <f>I104</f>
        <v/>
      </c>
      <c r="J199" s="121" t="n"/>
      <c r="K199" s="251" t="n"/>
      <c r="L199" s="123">
        <f>L104</f>
        <v/>
      </c>
      <c r="M199" s="123">
        <f>M104</f>
        <v/>
      </c>
      <c r="N199" s="123">
        <f>N104</f>
        <v/>
      </c>
      <c r="O199" s="123">
        <f>O104</f>
        <v/>
      </c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267">
        <f>A105</f>
        <v/>
      </c>
      <c r="B200" s="74" t="n"/>
      <c r="C200" s="74">
        <f>C105</f>
        <v/>
      </c>
      <c r="D200" s="249">
        <f>D105</f>
        <v/>
      </c>
      <c r="E200" s="74">
        <f>E105</f>
        <v/>
      </c>
      <c r="F200" s="75">
        <f>IF(E200&gt;0,$L$4,0)</f>
        <v/>
      </c>
      <c r="G200" s="256">
        <f>G105</f>
        <v/>
      </c>
      <c r="H200" s="64">
        <f>H105</f>
        <v/>
      </c>
      <c r="I200" s="250">
        <f>I105</f>
        <v/>
      </c>
      <c r="J200" s="121" t="n"/>
      <c r="K200" s="251" t="n"/>
      <c r="L200" s="123">
        <f>L105</f>
        <v/>
      </c>
      <c r="M200" s="123">
        <f>M105</f>
        <v/>
      </c>
      <c r="N200" s="123">
        <f>N105</f>
        <v/>
      </c>
      <c r="O200" s="123">
        <f>O105</f>
        <v/>
      </c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267">
        <f>A106</f>
        <v/>
      </c>
      <c r="B201" s="74" t="n"/>
      <c r="C201" s="74">
        <f>C106</f>
        <v/>
      </c>
      <c r="D201" s="249">
        <f>D106</f>
        <v/>
      </c>
      <c r="E201" s="74">
        <f>E106</f>
        <v/>
      </c>
      <c r="F201" s="75">
        <f>IF(E201&gt;0,$L$4,0)</f>
        <v/>
      </c>
      <c r="G201" s="256">
        <f>G106</f>
        <v/>
      </c>
      <c r="H201" s="64">
        <f>H106</f>
        <v/>
      </c>
      <c r="I201" s="250">
        <f>I106</f>
        <v/>
      </c>
      <c r="J201" s="121" t="n"/>
      <c r="K201" s="251" t="n"/>
      <c r="L201" s="123">
        <f>L106</f>
        <v/>
      </c>
      <c r="M201" s="123">
        <f>M106</f>
        <v/>
      </c>
      <c r="N201" s="123">
        <f>N106</f>
        <v/>
      </c>
      <c r="O201" s="123">
        <f>O106</f>
        <v/>
      </c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267">
        <f>A107</f>
        <v/>
      </c>
      <c r="B202" s="74" t="n"/>
      <c r="C202" s="74">
        <f>C107</f>
        <v/>
      </c>
      <c r="D202" s="249">
        <f>D107</f>
        <v/>
      </c>
      <c r="E202" s="74">
        <f>E107</f>
        <v/>
      </c>
      <c r="F202" s="75">
        <f>IF(E202&gt;0,$L$4,0)</f>
        <v/>
      </c>
      <c r="G202" s="256">
        <f>G107</f>
        <v/>
      </c>
      <c r="H202" s="64">
        <f>H107</f>
        <v/>
      </c>
      <c r="I202" s="250">
        <f>I107</f>
        <v/>
      </c>
      <c r="J202" s="121" t="n"/>
      <c r="K202" s="251" t="n"/>
      <c r="L202" s="123">
        <f>L107</f>
        <v/>
      </c>
      <c r="M202" s="123">
        <f>M107</f>
        <v/>
      </c>
      <c r="N202" s="123">
        <f>N107</f>
        <v/>
      </c>
      <c r="O202" s="123">
        <f>O107</f>
        <v/>
      </c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267">
        <f>A108</f>
        <v/>
      </c>
      <c r="B203" s="74" t="n"/>
      <c r="C203" s="74">
        <f>C108</f>
        <v/>
      </c>
      <c r="D203" s="249">
        <f>D108</f>
        <v/>
      </c>
      <c r="E203" s="74">
        <f>E108</f>
        <v/>
      </c>
      <c r="F203" s="75">
        <f>IF(E203&gt;0,$L$4,0)</f>
        <v/>
      </c>
      <c r="G203" s="256">
        <f>G108</f>
        <v/>
      </c>
      <c r="H203" s="64">
        <f>H108</f>
        <v/>
      </c>
      <c r="I203" s="250">
        <f>I108</f>
        <v/>
      </c>
      <c r="J203" s="121" t="n"/>
      <c r="K203" s="251" t="n"/>
      <c r="L203" s="123">
        <f>L108</f>
        <v/>
      </c>
      <c r="M203" s="123">
        <f>M108</f>
        <v/>
      </c>
      <c r="N203" s="123">
        <f>N108</f>
        <v/>
      </c>
      <c r="O203" s="123">
        <f>O108</f>
        <v/>
      </c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267">
        <f>A109</f>
        <v/>
      </c>
      <c r="B204" s="74" t="n"/>
      <c r="C204" s="74">
        <f>C109</f>
        <v/>
      </c>
      <c r="D204" s="249">
        <f>D109</f>
        <v/>
      </c>
      <c r="E204" s="74">
        <f>E109</f>
        <v/>
      </c>
      <c r="F204" s="75">
        <f>IF(E204&gt;0,$L$4,0)</f>
        <v/>
      </c>
      <c r="G204" s="256">
        <f>G109</f>
        <v/>
      </c>
      <c r="H204" s="64">
        <f>H109</f>
        <v/>
      </c>
      <c r="I204" s="250">
        <f>I109</f>
        <v/>
      </c>
      <c r="J204" s="121" t="n"/>
      <c r="K204" s="251" t="n"/>
      <c r="L204" s="123">
        <f>L109</f>
        <v/>
      </c>
      <c r="M204" s="123">
        <f>M109</f>
        <v/>
      </c>
      <c r="N204" s="123">
        <f>N109</f>
        <v/>
      </c>
      <c r="O204" s="123">
        <f>O109</f>
        <v/>
      </c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267" t="n"/>
      <c r="B205" s="74" t="n"/>
      <c r="C205" s="74" t="n"/>
      <c r="D205" s="249" t="n"/>
      <c r="E205" s="74">
        <f>IF(J205&gt;1,"+",0)</f>
        <v/>
      </c>
      <c r="F205" s="75">
        <f>IF(E205&gt;0,$L$4,0)</f>
        <v/>
      </c>
      <c r="G205" s="256" t="n"/>
      <c r="H205" s="64" t="n"/>
      <c r="I205" s="250">
        <f>IFERROR(VLOOKUP(H205,Tabellen!H:I,2),0)</f>
        <v/>
      </c>
      <c r="J205" s="121" t="n"/>
      <c r="K205" s="251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267" t="n"/>
      <c r="B206" s="74" t="n"/>
      <c r="C206" s="74" t="n"/>
      <c r="D206" s="249" t="n"/>
      <c r="E206" s="74">
        <f>IF(J206&gt;1,"+",0)</f>
        <v/>
      </c>
      <c r="F206" s="75">
        <f>IF(E206&gt;0,$L$4,0)</f>
        <v/>
      </c>
      <c r="G206" s="256" t="n"/>
      <c r="H206" s="64" t="n"/>
      <c r="I206" s="250">
        <f>IFERROR(VLOOKUP(H206,Tabellen!H:I,2),0)</f>
        <v/>
      </c>
      <c r="J206" s="121" t="n"/>
      <c r="K206" s="251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267" t="n"/>
      <c r="B207" s="74" t="n"/>
      <c r="C207" s="74" t="n"/>
      <c r="D207" s="249" t="n"/>
      <c r="E207" s="74">
        <f>IF(J207&gt;1,"+",0)</f>
        <v/>
      </c>
      <c r="F207" s="75">
        <f>IF(E207&gt;0,$L$4,0)</f>
        <v/>
      </c>
      <c r="G207" s="256" t="n"/>
      <c r="H207" s="64" t="n"/>
      <c r="I207" s="250">
        <f>IFERROR(VLOOKUP(H207,Tabellen!H:I,2),0)</f>
        <v/>
      </c>
      <c r="J207" s="121" t="n"/>
      <c r="K207" s="251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267" t="n"/>
      <c r="B208" s="74" t="n"/>
      <c r="C208" s="74" t="n"/>
      <c r="D208" s="249" t="n"/>
      <c r="E208" s="74">
        <f>IF(J208&gt;1,"+",0)</f>
        <v/>
      </c>
      <c r="F208" s="75">
        <f>IF(E208&gt;0,$L$4,0)</f>
        <v/>
      </c>
      <c r="G208" s="256" t="n"/>
      <c r="H208" s="64" t="n"/>
      <c r="I208" s="250">
        <f>IFERROR(VLOOKUP(H208,Tabellen!H:I,2),0)</f>
        <v/>
      </c>
      <c r="J208" s="121" t="n"/>
      <c r="K208" s="251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267" t="n"/>
      <c r="B209" s="74" t="n"/>
      <c r="C209" s="74" t="n"/>
      <c r="D209" s="249" t="n"/>
      <c r="E209" s="74">
        <f>IF(J209&gt;1,"+",0)</f>
        <v/>
      </c>
      <c r="F209" s="75">
        <f>IF(E209&gt;0,$L$4,0)</f>
        <v/>
      </c>
      <c r="G209" s="256" t="n"/>
      <c r="H209" s="64" t="n"/>
      <c r="I209" s="250">
        <f>IFERROR(VLOOKUP(H209,Tabellen!H:I,2),0)</f>
        <v/>
      </c>
      <c r="J209" s="121" t="n"/>
      <c r="K209" s="251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267" t="n"/>
      <c r="B210" s="74" t="n"/>
      <c r="C210" s="74" t="n"/>
      <c r="D210" s="249" t="n"/>
      <c r="E210" s="74">
        <f>IF(J210&gt;1,"+",0)</f>
        <v/>
      </c>
      <c r="F210" s="75">
        <f>IF(E210&gt;0,$L$4,0)</f>
        <v/>
      </c>
      <c r="G210" s="256" t="n"/>
      <c r="H210" s="64" t="n"/>
      <c r="I210" s="250">
        <f>IFERROR(VLOOKUP(H210,Tabellen!H:I,2),0)</f>
        <v/>
      </c>
      <c r="J210" s="121" t="n"/>
      <c r="K210" s="251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267" t="n"/>
      <c r="B211" s="74" t="n"/>
      <c r="C211" s="74" t="n"/>
      <c r="D211" s="249" t="n"/>
      <c r="E211" s="74">
        <f>IF(J211&gt;1,"+",0)</f>
        <v/>
      </c>
      <c r="F211" s="75">
        <f>IF(E211&gt;0,$L$4,0)</f>
        <v/>
      </c>
      <c r="G211" s="256" t="n"/>
      <c r="H211" s="64" t="n"/>
      <c r="I211" s="250">
        <f>IFERROR(VLOOKUP(H211,Tabellen!H:I,2),0)</f>
        <v/>
      </c>
      <c r="J211" s="121" t="n"/>
      <c r="K211" s="251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267" t="n"/>
      <c r="B212" s="74" t="n"/>
      <c r="C212" s="74" t="n"/>
      <c r="D212" s="249" t="n"/>
      <c r="E212" s="74">
        <f>IF(J212&gt;1,"+",0)</f>
        <v/>
      </c>
      <c r="F212" s="75">
        <f>IF(E212&gt;0,$L$4,0)</f>
        <v/>
      </c>
      <c r="G212" s="256" t="n"/>
      <c r="H212" s="64" t="n"/>
      <c r="I212" s="250">
        <f>IFERROR(VLOOKUP(H212,Tabellen!H:I,2),0)</f>
        <v/>
      </c>
      <c r="J212" s="121" t="n"/>
      <c r="K212" s="251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267" t="n"/>
      <c r="B213" s="74" t="n"/>
      <c r="C213" s="74" t="n"/>
      <c r="D213" s="249" t="n"/>
      <c r="E213" s="74">
        <f>IF(J213&gt;1,"+",0)</f>
        <v/>
      </c>
      <c r="F213" s="75">
        <f>IF(E213&gt;0,$L$4,0)</f>
        <v/>
      </c>
      <c r="G213" s="256" t="n"/>
      <c r="H213" s="64" t="n"/>
      <c r="I213" s="250">
        <f>IFERROR(VLOOKUP(H213,Tabellen!H:I,2),0)</f>
        <v/>
      </c>
      <c r="J213" s="121" t="n"/>
      <c r="K213" s="251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267" t="n"/>
      <c r="B214" s="74" t="n"/>
      <c r="C214" s="74" t="n"/>
      <c r="D214" s="249" t="n"/>
      <c r="E214" s="74">
        <f>IF(J214&gt;1,"+",0)</f>
        <v/>
      </c>
      <c r="F214" s="75">
        <f>IF(E214&gt;0,$L$4,0)</f>
        <v/>
      </c>
      <c r="G214" s="256" t="n"/>
      <c r="H214" s="64" t="n"/>
      <c r="I214" s="250">
        <f>IFERROR(VLOOKUP(H214,Tabellen!H:I,2),0)</f>
        <v/>
      </c>
      <c r="J214" s="121" t="n"/>
      <c r="K214" s="251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267" t="n"/>
      <c r="B215" s="74" t="n"/>
      <c r="C215" s="74" t="n"/>
      <c r="D215" s="249" t="n"/>
      <c r="E215" s="74">
        <f>IF(J215&gt;1,"+",0)</f>
        <v/>
      </c>
      <c r="F215" s="75">
        <f>IF(E215&gt;0,$L$4,0)</f>
        <v/>
      </c>
      <c r="G215" s="256" t="n"/>
      <c r="H215" s="64" t="n"/>
      <c r="I215" s="250">
        <f>IFERROR(VLOOKUP(H215,Tabellen!H:I,2),0)</f>
        <v/>
      </c>
      <c r="J215" s="121" t="n"/>
      <c r="K215" s="251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267" t="n"/>
      <c r="B216" s="74" t="n"/>
      <c r="C216" s="74" t="n"/>
      <c r="D216" s="249" t="n"/>
      <c r="E216" s="74">
        <f>IF(J216&gt;1,"+",0)</f>
        <v/>
      </c>
      <c r="F216" s="75">
        <f>IF(E216&gt;0,$L$4,0)</f>
        <v/>
      </c>
      <c r="G216" s="256" t="n"/>
      <c r="H216" s="64" t="n"/>
      <c r="I216" s="250">
        <f>IFERROR(VLOOKUP(H216,Tabellen!H:I,2),0)</f>
        <v/>
      </c>
      <c r="J216" s="121" t="n"/>
      <c r="K216" s="251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252" t="inlineStr">
        <is>
          <t>Saldo mutaties reserves</t>
        </is>
      </c>
      <c r="B217" s="125" t="n"/>
      <c r="C217" s="125" t="n"/>
      <c r="D217" s="252" t="n"/>
      <c r="E217" s="143">
        <f>IF(J217&gt;1,"+",0)</f>
        <v/>
      </c>
      <c r="F217" s="127" t="n"/>
      <c r="G217" s="253" t="n"/>
      <c r="H217" s="65" t="n"/>
      <c r="I217" s="254" t="n"/>
      <c r="J217" s="129" t="n"/>
      <c r="K217" s="255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244" t="n"/>
      <c r="B218" s="71" t="n"/>
      <c r="C218" s="71" t="n"/>
      <c r="D218" s="244" t="n"/>
      <c r="E218" s="71">
        <f>IF(J218&gt;1,"+",0)</f>
        <v/>
      </c>
      <c r="F218" s="113" t="n"/>
      <c r="G218" s="245" t="n"/>
      <c r="H218" s="63" t="n"/>
      <c r="I218" s="246" t="n"/>
      <c r="J218" s="73" t="n"/>
      <c r="K218" s="247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248" t="inlineStr">
        <is>
          <t>E. Voorzieningen</t>
        </is>
      </c>
      <c r="B219" s="118" t="n"/>
      <c r="C219" s="71" t="n"/>
      <c r="D219" s="244" t="n"/>
      <c r="E219" s="71">
        <f>IF(J219&gt;1,"+",0)</f>
        <v/>
      </c>
      <c r="F219" s="113" t="n"/>
      <c r="G219" s="245" t="n"/>
      <c r="H219" s="63" t="n"/>
      <c r="I219" s="246" t="n"/>
      <c r="J219" s="73" t="n"/>
      <c r="K219" s="247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267" t="inlineStr">
        <is>
          <t>Voorzieningen</t>
        </is>
      </c>
      <c r="B220" s="74" t="n"/>
      <c r="C220" s="74" t="n"/>
      <c r="D220" s="249" t="n"/>
      <c r="E220" s="74">
        <f>IF(J220&gt;1,"+",0)</f>
        <v/>
      </c>
      <c r="F220" s="75">
        <f>IF(E220&gt;0,$L$4,0)</f>
        <v/>
      </c>
      <c r="G220" s="256" t="n"/>
      <c r="H220" s="64" t="n"/>
      <c r="I220" s="250">
        <f>IFERROR(VLOOKUP(H220,Tabellen!H:I,2),0)</f>
        <v/>
      </c>
      <c r="J220" s="121" t="n"/>
      <c r="K220" s="251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267" t="n"/>
      <c r="B221" s="74" t="n"/>
      <c r="C221" s="74" t="n"/>
      <c r="D221" s="249" t="n"/>
      <c r="E221" s="74">
        <f>IF(J221&gt;1,"+",0)</f>
        <v/>
      </c>
      <c r="F221" s="75">
        <f>IF(E221&gt;0,$L$4,0)</f>
        <v/>
      </c>
      <c r="G221" s="256" t="n"/>
      <c r="H221" s="64" t="n"/>
      <c r="I221" s="250">
        <f>IFERROR(VLOOKUP(H221,Tabellen!H:I,2),0)</f>
        <v/>
      </c>
      <c r="J221" s="121" t="n"/>
      <c r="K221" s="251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267" t="n"/>
      <c r="B222" s="74" t="n"/>
      <c r="C222" s="74" t="n"/>
      <c r="D222" s="249" t="n"/>
      <c r="E222" s="74">
        <f>IF(J222&gt;1,"+",0)</f>
        <v/>
      </c>
      <c r="F222" s="75">
        <f>IF(E222&gt;0,$L$4,0)</f>
        <v/>
      </c>
      <c r="G222" s="256" t="n"/>
      <c r="H222" s="64" t="n"/>
      <c r="I222" s="250">
        <f>IFERROR(VLOOKUP(H222,Tabellen!H:I,2),0)</f>
        <v/>
      </c>
      <c r="J222" s="121" t="n"/>
      <c r="K222" s="251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267" t="n"/>
      <c r="B223" s="74" t="n"/>
      <c r="C223" s="74" t="n"/>
      <c r="D223" s="249" t="n"/>
      <c r="E223" s="74">
        <f>IF(J223&gt;1,"+",0)</f>
        <v/>
      </c>
      <c r="F223" s="75">
        <f>IF(E223&gt;0,$L$4,0)</f>
        <v/>
      </c>
      <c r="G223" s="256" t="n"/>
      <c r="H223" s="64" t="n"/>
      <c r="I223" s="250">
        <f>IFERROR(VLOOKUP(H223,Tabellen!H:I,2),0)</f>
        <v/>
      </c>
      <c r="J223" s="121" t="n"/>
      <c r="K223" s="251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267" t="n"/>
      <c r="B224" s="74" t="n"/>
      <c r="C224" s="74" t="n"/>
      <c r="D224" s="249" t="n"/>
      <c r="E224" s="74">
        <f>IF(J224&gt;1,"+",0)</f>
        <v/>
      </c>
      <c r="F224" s="75">
        <f>IF(E224&gt;0,$L$4,0)</f>
        <v/>
      </c>
      <c r="G224" s="256" t="n"/>
      <c r="H224" s="64" t="n"/>
      <c r="I224" s="250">
        <f>IFERROR(VLOOKUP(H224,Tabellen!H:I,2),0)</f>
        <v/>
      </c>
      <c r="J224" s="121" t="n"/>
      <c r="K224" s="251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267" t="n"/>
      <c r="B225" s="74" t="n"/>
      <c r="C225" s="74" t="n"/>
      <c r="D225" s="249" t="n"/>
      <c r="E225" s="74">
        <f>IF(J225&gt;1,"+",0)</f>
        <v/>
      </c>
      <c r="F225" s="75">
        <f>IF(E225&gt;0,$L$4,0)</f>
        <v/>
      </c>
      <c r="G225" s="256" t="n"/>
      <c r="H225" s="64" t="n"/>
      <c r="I225" s="250">
        <f>IFERROR(VLOOKUP(H225,Tabellen!H:I,2),0)</f>
        <v/>
      </c>
      <c r="J225" s="121" t="n"/>
      <c r="K225" s="251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267" t="n"/>
      <c r="B226" s="74" t="n"/>
      <c r="C226" s="74" t="n"/>
      <c r="D226" s="249" t="n"/>
      <c r="E226" s="74">
        <f>IF(J226&gt;1,"+",0)</f>
        <v/>
      </c>
      <c r="F226" s="75">
        <f>IF(E226&gt;0,$L$4,0)</f>
        <v/>
      </c>
      <c r="G226" s="256" t="n"/>
      <c r="H226" s="64" t="n"/>
      <c r="I226" s="250">
        <f>IFERROR(VLOOKUP(H226,Tabellen!H:I,2),0)</f>
        <v/>
      </c>
      <c r="J226" s="121" t="n"/>
      <c r="K226" s="251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267" t="n"/>
      <c r="B227" s="74" t="n"/>
      <c r="C227" s="74" t="n"/>
      <c r="D227" s="249" t="n"/>
      <c r="E227" s="74">
        <f>IF(J227&gt;1,"+",0)</f>
        <v/>
      </c>
      <c r="F227" s="75">
        <f>IF(E227&gt;0,$L$4,0)</f>
        <v/>
      </c>
      <c r="G227" s="256" t="n"/>
      <c r="H227" s="64" t="n"/>
      <c r="I227" s="250">
        <f>IFERROR(VLOOKUP(H227,Tabellen!H:I,2),0)</f>
        <v/>
      </c>
      <c r="J227" s="121" t="n"/>
      <c r="K227" s="251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267" t="n"/>
      <c r="B228" s="74" t="n"/>
      <c r="C228" s="74" t="n"/>
      <c r="D228" s="249" t="n"/>
      <c r="E228" s="74">
        <f>IF(J228&gt;1,"+",0)</f>
        <v/>
      </c>
      <c r="F228" s="75">
        <f>IF(E228&gt;0,$L$4,0)</f>
        <v/>
      </c>
      <c r="G228" s="256" t="n"/>
      <c r="H228" s="64" t="n"/>
      <c r="I228" s="250">
        <f>IFERROR(VLOOKUP(H228,Tabellen!H:I,2),0)</f>
        <v/>
      </c>
      <c r="J228" s="121" t="n"/>
      <c r="K228" s="251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267" t="n"/>
      <c r="B229" s="74" t="n"/>
      <c r="C229" s="74" t="n"/>
      <c r="D229" s="249" t="n"/>
      <c r="E229" s="74">
        <f>IF(J229&gt;1,"+",0)</f>
        <v/>
      </c>
      <c r="F229" s="75">
        <f>IF(E229&gt;0,$L$4,0)</f>
        <v/>
      </c>
      <c r="G229" s="256" t="n"/>
      <c r="H229" s="64" t="n"/>
      <c r="I229" s="250">
        <f>IFERROR(VLOOKUP(H229,Tabellen!H:I,2),0)</f>
        <v/>
      </c>
      <c r="J229" s="121" t="n"/>
      <c r="K229" s="251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267" t="n"/>
      <c r="B230" s="74" t="n"/>
      <c r="C230" s="74" t="n"/>
      <c r="D230" s="249" t="n"/>
      <c r="E230" s="74">
        <f>IF(J230&gt;1,"+",0)</f>
        <v/>
      </c>
      <c r="F230" s="75">
        <f>IF(E230&gt;0,$L$4,0)</f>
        <v/>
      </c>
      <c r="G230" s="256" t="n"/>
      <c r="H230" s="64" t="n"/>
      <c r="I230" s="250">
        <f>IFERROR(VLOOKUP(H230,Tabellen!H:I,2),0)</f>
        <v/>
      </c>
      <c r="J230" s="121" t="n"/>
      <c r="K230" s="251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267" t="n"/>
      <c r="B231" s="74" t="n"/>
      <c r="C231" s="74" t="n"/>
      <c r="D231" s="249" t="n"/>
      <c r="E231" s="74">
        <f>IF(J231&gt;1,"+",0)</f>
        <v/>
      </c>
      <c r="F231" s="75">
        <f>IF(E231&gt;0,$L$4,0)</f>
        <v/>
      </c>
      <c r="G231" s="256" t="n"/>
      <c r="H231" s="64" t="n"/>
      <c r="I231" s="250">
        <f>IFERROR(VLOOKUP(H231,Tabellen!H:I,2),0)</f>
        <v/>
      </c>
      <c r="J231" s="121" t="n"/>
      <c r="K231" s="251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267" t="n"/>
      <c r="B232" s="74" t="n"/>
      <c r="C232" s="74" t="n"/>
      <c r="D232" s="249" t="n"/>
      <c r="E232" s="74">
        <f>IF(J232&gt;1,"+",0)</f>
        <v/>
      </c>
      <c r="F232" s="75">
        <f>IF(E232&gt;0,$L$4,0)</f>
        <v/>
      </c>
      <c r="G232" s="256" t="n"/>
      <c r="H232" s="64" t="n"/>
      <c r="I232" s="250">
        <f>IFERROR(VLOOKUP(H232,Tabellen!H:I,2),0)</f>
        <v/>
      </c>
      <c r="J232" s="121" t="n"/>
      <c r="K232" s="251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267" t="n"/>
      <c r="B233" s="74" t="n"/>
      <c r="C233" s="74" t="n"/>
      <c r="D233" s="249" t="n"/>
      <c r="E233" s="74">
        <f>IF(J233&gt;1,"+",0)</f>
        <v/>
      </c>
      <c r="F233" s="75">
        <f>IF(E233&gt;0,$L$4,0)</f>
        <v/>
      </c>
      <c r="G233" s="256" t="n"/>
      <c r="H233" s="64" t="n"/>
      <c r="I233" s="250">
        <f>IFERROR(VLOOKUP(H233,Tabellen!H:I,2),0)</f>
        <v/>
      </c>
      <c r="J233" s="121" t="n"/>
      <c r="K233" s="251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267" t="n"/>
      <c r="B234" s="74" t="n"/>
      <c r="C234" s="74" t="n"/>
      <c r="D234" s="249" t="n"/>
      <c r="E234" s="74">
        <f>IF(J234&gt;1,"+",0)</f>
        <v/>
      </c>
      <c r="F234" s="75">
        <f>IF(E234&gt;0,$L$4,0)</f>
        <v/>
      </c>
      <c r="G234" s="256" t="n"/>
      <c r="H234" s="64" t="n"/>
      <c r="I234" s="250">
        <f>IFERROR(VLOOKUP(H234,Tabellen!H:I,2),0)</f>
        <v/>
      </c>
      <c r="J234" s="121" t="n"/>
      <c r="K234" s="251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267" t="n"/>
      <c r="B235" s="74" t="n"/>
      <c r="C235" s="74" t="n"/>
      <c r="D235" s="249" t="n"/>
      <c r="E235" s="74">
        <f>IF(J235&gt;1,"+",0)</f>
        <v/>
      </c>
      <c r="F235" s="75">
        <f>IF(E235&gt;0,$L$4,0)</f>
        <v/>
      </c>
      <c r="G235" s="256" t="n"/>
      <c r="H235" s="64" t="n"/>
      <c r="I235" s="250">
        <f>IFERROR(VLOOKUP(H235,Tabellen!H:I,2),0)</f>
        <v/>
      </c>
      <c r="J235" s="121" t="n"/>
      <c r="K235" s="251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267" t="n"/>
      <c r="B236" s="74" t="n"/>
      <c r="C236" s="74" t="n"/>
      <c r="D236" s="249" t="n"/>
      <c r="E236" s="74">
        <f>IF(J236&gt;1,"+",0)</f>
        <v/>
      </c>
      <c r="F236" s="75">
        <f>IF(E236&gt;0,$L$4,0)</f>
        <v/>
      </c>
      <c r="G236" s="256" t="n"/>
      <c r="H236" s="64" t="n"/>
      <c r="I236" s="250">
        <f>IFERROR(VLOOKUP(H236,Tabellen!H:I,2),0)</f>
        <v/>
      </c>
      <c r="J236" s="121" t="n"/>
      <c r="K236" s="251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267" t="n"/>
      <c r="B237" s="74" t="n"/>
      <c r="C237" s="74" t="n"/>
      <c r="D237" s="249" t="n"/>
      <c r="E237" s="74">
        <f>IF(J237&gt;1,"+",0)</f>
        <v/>
      </c>
      <c r="F237" s="75">
        <f>IF(E237&gt;0,$L$4,0)</f>
        <v/>
      </c>
      <c r="G237" s="256" t="n"/>
      <c r="H237" s="64" t="n"/>
      <c r="I237" s="250">
        <f>IFERROR(VLOOKUP(H237,Tabellen!H:I,2),0)</f>
        <v/>
      </c>
      <c r="J237" s="121" t="n"/>
      <c r="K237" s="251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267" t="n"/>
      <c r="B238" s="74" t="n"/>
      <c r="C238" s="74" t="n"/>
      <c r="D238" s="249" t="n"/>
      <c r="E238" s="74">
        <f>IF(J238&gt;1,"+",0)</f>
        <v/>
      </c>
      <c r="F238" s="75">
        <f>IF(E238&gt;0,$L$4,0)</f>
        <v/>
      </c>
      <c r="G238" s="256" t="n"/>
      <c r="H238" s="64" t="n"/>
      <c r="I238" s="250">
        <f>IFERROR(VLOOKUP(H238,Tabellen!H:I,2),0)</f>
        <v/>
      </c>
      <c r="J238" s="121" t="n"/>
      <c r="K238" s="251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267" t="n"/>
      <c r="B239" s="74" t="n"/>
      <c r="C239" s="74" t="n"/>
      <c r="D239" s="249" t="n"/>
      <c r="E239" s="74">
        <f>IF(J239&gt;1,"+",0)</f>
        <v/>
      </c>
      <c r="F239" s="75">
        <f>IF(E239&gt;0,$L$4,0)</f>
        <v/>
      </c>
      <c r="G239" s="256" t="n"/>
      <c r="H239" s="64" t="n"/>
      <c r="I239" s="250">
        <f>IFERROR(VLOOKUP(H239,Tabellen!H:I,2),0)</f>
        <v/>
      </c>
      <c r="J239" s="121" t="n"/>
      <c r="K239" s="251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267" t="n"/>
      <c r="B240" s="74" t="n"/>
      <c r="C240" s="74" t="n"/>
      <c r="D240" s="249" t="n"/>
      <c r="E240" s="74">
        <f>IF(J240&gt;1,"+",0)</f>
        <v/>
      </c>
      <c r="F240" s="75">
        <f>IF(E240&gt;0,$L$4,0)</f>
        <v/>
      </c>
      <c r="G240" s="256" t="n"/>
      <c r="H240" s="64" t="n"/>
      <c r="I240" s="250">
        <f>IFERROR(VLOOKUP(H240,Tabellen!H:I,2),0)</f>
        <v/>
      </c>
      <c r="J240" s="121" t="n"/>
      <c r="K240" s="251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267" t="n"/>
      <c r="B241" s="74" t="n"/>
      <c r="C241" s="74" t="n"/>
      <c r="D241" s="249" t="n"/>
      <c r="E241" s="74">
        <f>IF(J241&gt;1,"+",0)</f>
        <v/>
      </c>
      <c r="F241" s="75">
        <f>IF(E241&gt;0,$L$4,0)</f>
        <v/>
      </c>
      <c r="G241" s="256" t="n"/>
      <c r="H241" s="64" t="n"/>
      <c r="I241" s="250">
        <f>IFERROR(VLOOKUP(H241,Tabellen!H:I,2),0)</f>
        <v/>
      </c>
      <c r="J241" s="121" t="n"/>
      <c r="K241" s="251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267" t="n"/>
      <c r="B242" s="74" t="n"/>
      <c r="C242" s="74" t="n"/>
      <c r="D242" s="249" t="n"/>
      <c r="E242" s="74">
        <f>IF(J242&gt;1,"+",0)</f>
        <v/>
      </c>
      <c r="F242" s="75">
        <f>IF(E242&gt;0,$L$4,0)</f>
        <v/>
      </c>
      <c r="G242" s="256" t="n"/>
      <c r="H242" s="64" t="n"/>
      <c r="I242" s="250">
        <f>IFERROR(VLOOKUP(H242,Tabellen!H:I,2),0)</f>
        <v/>
      </c>
      <c r="J242" s="121" t="n"/>
      <c r="K242" s="251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267" t="n"/>
      <c r="B243" s="74" t="n"/>
      <c r="C243" s="74" t="n"/>
      <c r="D243" s="249" t="n"/>
      <c r="E243" s="74">
        <f>IF(J243&gt;1,"+",0)</f>
        <v/>
      </c>
      <c r="F243" s="75">
        <f>IF(E243&gt;0,$L$4,0)</f>
        <v/>
      </c>
      <c r="G243" s="256" t="n"/>
      <c r="H243" s="64" t="n"/>
      <c r="I243" s="250">
        <f>IFERROR(VLOOKUP(H243,Tabellen!H:I,2),0)</f>
        <v/>
      </c>
      <c r="J243" s="121" t="n"/>
      <c r="K243" s="251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267" t="n"/>
      <c r="B244" s="74" t="n"/>
      <c r="C244" s="74" t="n"/>
      <c r="D244" s="249" t="n"/>
      <c r="E244" s="74">
        <f>IF(J244&gt;1,"+",0)</f>
        <v/>
      </c>
      <c r="F244" s="75">
        <f>IF(E244&gt;0,$L$4,0)</f>
        <v/>
      </c>
      <c r="G244" s="256" t="n"/>
      <c r="H244" s="64" t="n"/>
      <c r="I244" s="250">
        <f>IFERROR(VLOOKUP(H244,Tabellen!H:I,2),0)</f>
        <v/>
      </c>
      <c r="J244" s="121" t="n"/>
      <c r="K244" s="251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267" t="n"/>
      <c r="B245" s="74" t="n"/>
      <c r="C245" s="74" t="n"/>
      <c r="D245" s="249" t="n"/>
      <c r="E245" s="74">
        <f>IF(J245&gt;1,"+",0)</f>
        <v/>
      </c>
      <c r="F245" s="75">
        <f>IF(E245&gt;0,$L$4,0)</f>
        <v/>
      </c>
      <c r="G245" s="256" t="n"/>
      <c r="H245" s="64" t="n"/>
      <c r="I245" s="250">
        <f>IFERROR(VLOOKUP(H245,Tabellen!H:I,2),0)</f>
        <v/>
      </c>
      <c r="J245" s="121" t="n"/>
      <c r="K245" s="251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267" t="n"/>
      <c r="B246" s="74" t="n"/>
      <c r="C246" s="74" t="n"/>
      <c r="D246" s="249" t="n"/>
      <c r="E246" s="74">
        <f>IF(J246&gt;1,"+",0)</f>
        <v/>
      </c>
      <c r="F246" s="75">
        <f>IF(E246&gt;0,$L$4,0)</f>
        <v/>
      </c>
      <c r="G246" s="256" t="n"/>
      <c r="H246" s="64" t="n"/>
      <c r="I246" s="250">
        <f>IFERROR(VLOOKUP(H246,Tabellen!H:I,2),0)</f>
        <v/>
      </c>
      <c r="J246" s="121" t="n"/>
      <c r="K246" s="251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267" t="n"/>
      <c r="B247" s="74" t="n"/>
      <c r="C247" s="74" t="n"/>
      <c r="D247" s="249" t="n"/>
      <c r="E247" s="74">
        <f>IF(J247&gt;1,"+",0)</f>
        <v/>
      </c>
      <c r="F247" s="75">
        <f>IF(E247&gt;0,$L$4,0)</f>
        <v/>
      </c>
      <c r="G247" s="256" t="n"/>
      <c r="H247" s="64" t="n"/>
      <c r="I247" s="250">
        <f>IFERROR(VLOOKUP(H247,Tabellen!H:I,2),0)</f>
        <v/>
      </c>
      <c r="J247" s="121" t="n"/>
      <c r="K247" s="251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267" t="n"/>
      <c r="B248" s="74" t="n"/>
      <c r="C248" s="74" t="n"/>
      <c r="D248" s="249" t="n"/>
      <c r="E248" s="74">
        <f>IF(J248&gt;1,"+",0)</f>
        <v/>
      </c>
      <c r="F248" s="75">
        <f>IF(E248&gt;0,$L$4,0)</f>
        <v/>
      </c>
      <c r="G248" s="256" t="n"/>
      <c r="H248" s="64" t="n"/>
      <c r="I248" s="250">
        <f>IFERROR(VLOOKUP(H248,Tabellen!H:I,2),0)</f>
        <v/>
      </c>
      <c r="J248" s="121" t="n"/>
      <c r="K248" s="251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267" t="n"/>
      <c r="B249" s="74" t="n"/>
      <c r="C249" s="74" t="n"/>
      <c r="D249" s="249" t="n"/>
      <c r="E249" s="74">
        <f>IF(J249&gt;1,"+",0)</f>
        <v/>
      </c>
      <c r="F249" s="75">
        <f>IF(E249&gt;0,$L$4,0)</f>
        <v/>
      </c>
      <c r="G249" s="256" t="n"/>
      <c r="H249" s="64" t="n"/>
      <c r="I249" s="250">
        <f>IFERROR(VLOOKUP(H249,Tabellen!H:I,2),0)</f>
        <v/>
      </c>
      <c r="J249" s="121" t="n"/>
      <c r="K249" s="251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267" t="n"/>
      <c r="B250" s="74" t="n"/>
      <c r="C250" s="74" t="n"/>
      <c r="D250" s="249" t="n"/>
      <c r="E250" s="74">
        <f>IF(J250&gt;1,"+",0)</f>
        <v/>
      </c>
      <c r="F250" s="75">
        <f>IF(E250&gt;0,$L$4,0)</f>
        <v/>
      </c>
      <c r="G250" s="256" t="n"/>
      <c r="H250" s="64" t="n"/>
      <c r="I250" s="250">
        <f>IFERROR(VLOOKUP(H250,Tabellen!H:I,2),0)</f>
        <v/>
      </c>
      <c r="J250" s="121" t="n"/>
      <c r="K250" s="251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267" t="n"/>
      <c r="B251" s="74" t="n"/>
      <c r="C251" s="74" t="n"/>
      <c r="D251" s="249" t="n"/>
      <c r="E251" s="74">
        <f>IF(J251&gt;1,"+",0)</f>
        <v/>
      </c>
      <c r="F251" s="75">
        <f>IF(E251&gt;0,$L$4,0)</f>
        <v/>
      </c>
      <c r="G251" s="256" t="n"/>
      <c r="H251" s="64" t="n"/>
      <c r="I251" s="250">
        <f>IFERROR(VLOOKUP(H251,Tabellen!H:I,2),0)</f>
        <v/>
      </c>
      <c r="J251" s="121" t="n"/>
      <c r="K251" s="251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267" t="n"/>
      <c r="B252" s="74" t="n"/>
      <c r="C252" s="74" t="n"/>
      <c r="D252" s="249" t="n"/>
      <c r="E252" s="74">
        <f>IF(J252&gt;1,"+",0)</f>
        <v/>
      </c>
      <c r="F252" s="75">
        <f>IF(E252&gt;0,$L$4,0)</f>
        <v/>
      </c>
      <c r="G252" s="256" t="n"/>
      <c r="H252" s="64" t="n"/>
      <c r="I252" s="250">
        <f>IFERROR(VLOOKUP(H252,Tabellen!H:I,2),0)</f>
        <v/>
      </c>
      <c r="J252" s="121" t="n"/>
      <c r="K252" s="251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267" t="n"/>
      <c r="B253" s="74" t="n"/>
      <c r="C253" s="74" t="n"/>
      <c r="D253" s="249" t="n"/>
      <c r="E253" s="74">
        <f>IF(J253&gt;1,"+",0)</f>
        <v/>
      </c>
      <c r="F253" s="75">
        <f>IF(E253&gt;0,$L$4,0)</f>
        <v/>
      </c>
      <c r="G253" s="256" t="n"/>
      <c r="H253" s="64" t="n"/>
      <c r="I253" s="250">
        <f>IFERROR(VLOOKUP(H253,Tabellen!H:I,2),0)</f>
        <v/>
      </c>
      <c r="J253" s="121" t="n"/>
      <c r="K253" s="251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267" t="n"/>
      <c r="B254" s="74" t="n"/>
      <c r="C254" s="74" t="n"/>
      <c r="D254" s="249" t="n"/>
      <c r="E254" s="74">
        <f>IF(J254&gt;1,"+",0)</f>
        <v/>
      </c>
      <c r="F254" s="75">
        <f>IF(E254&gt;0,$L$4,0)</f>
        <v/>
      </c>
      <c r="G254" s="256" t="n"/>
      <c r="H254" s="64" t="n"/>
      <c r="I254" s="250">
        <f>IFERROR(VLOOKUP(H254,Tabellen!H:I,2),0)</f>
        <v/>
      </c>
      <c r="J254" s="121" t="n"/>
      <c r="K254" s="251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267" t="n"/>
      <c r="B255" s="74" t="n"/>
      <c r="C255" s="74" t="n"/>
      <c r="D255" s="249" t="n"/>
      <c r="E255" s="74">
        <f>IF(J255&gt;1,"+",0)</f>
        <v/>
      </c>
      <c r="F255" s="75">
        <f>IF(E255&gt;0,$L$4,0)</f>
        <v/>
      </c>
      <c r="G255" s="256" t="n"/>
      <c r="H255" s="64" t="n"/>
      <c r="I255" s="250">
        <f>IFERROR(VLOOKUP(H255,Tabellen!H:I,2),0)</f>
        <v/>
      </c>
      <c r="J255" s="121" t="n"/>
      <c r="K255" s="251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267" t="n"/>
      <c r="B256" s="74" t="n"/>
      <c r="C256" s="74" t="n"/>
      <c r="D256" s="249" t="n"/>
      <c r="E256" s="74">
        <f>IF(J256&gt;1,"+",0)</f>
        <v/>
      </c>
      <c r="F256" s="75">
        <f>IF(E256&gt;0,$L$4,0)</f>
        <v/>
      </c>
      <c r="G256" s="256" t="n"/>
      <c r="H256" s="64" t="n"/>
      <c r="I256" s="250">
        <f>IFERROR(VLOOKUP(H256,Tabellen!H:I,2),0)</f>
        <v/>
      </c>
      <c r="J256" s="121" t="n"/>
      <c r="K256" s="251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267" t="n"/>
      <c r="B257" s="74" t="n"/>
      <c r="C257" s="74" t="n"/>
      <c r="D257" s="249" t="n"/>
      <c r="E257" s="74">
        <f>IF(J257&gt;1,"+",0)</f>
        <v/>
      </c>
      <c r="F257" s="75">
        <f>IF(E257&gt;0,$L$4,0)</f>
        <v/>
      </c>
      <c r="G257" s="256" t="n"/>
      <c r="H257" s="64" t="n"/>
      <c r="I257" s="250">
        <f>IFERROR(VLOOKUP(H257,Tabellen!H:I,2),0)</f>
        <v/>
      </c>
      <c r="J257" s="121" t="n"/>
      <c r="K257" s="251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267" t="n"/>
      <c r="B258" s="74" t="n"/>
      <c r="C258" s="74" t="n"/>
      <c r="D258" s="249" t="n"/>
      <c r="E258" s="74">
        <f>IF(J258&gt;1,"+",0)</f>
        <v/>
      </c>
      <c r="F258" s="75">
        <f>IF(E258&gt;0,$L$4,0)</f>
        <v/>
      </c>
      <c r="G258" s="256" t="n"/>
      <c r="H258" s="64" t="n"/>
      <c r="I258" s="250">
        <f>IFERROR(VLOOKUP(H258,Tabellen!H:I,2),0)</f>
        <v/>
      </c>
      <c r="J258" s="121" t="n"/>
      <c r="K258" s="251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267" t="n"/>
      <c r="B259" s="74" t="n"/>
      <c r="C259" s="74" t="n"/>
      <c r="D259" s="249" t="n"/>
      <c r="E259" s="74">
        <f>IF(J259&gt;1,"+",0)</f>
        <v/>
      </c>
      <c r="F259" s="75">
        <f>IF(E259&gt;0,$L$4,0)</f>
        <v/>
      </c>
      <c r="G259" s="256" t="n"/>
      <c r="H259" s="64" t="n"/>
      <c r="I259" s="250">
        <f>IFERROR(VLOOKUP(H259,Tabellen!H:I,2),0)</f>
        <v/>
      </c>
      <c r="J259" s="121" t="n"/>
      <c r="K259" s="251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267" t="n"/>
      <c r="B260" s="74" t="n"/>
      <c r="C260" s="74" t="n"/>
      <c r="D260" s="249" t="n"/>
      <c r="E260" s="74">
        <f>IF(J260&gt;1,"+",0)</f>
        <v/>
      </c>
      <c r="F260" s="75">
        <f>IF(E260&gt;0,$L$4,0)</f>
        <v/>
      </c>
      <c r="G260" s="256" t="n"/>
      <c r="H260" s="64" t="n"/>
      <c r="I260" s="250">
        <f>IFERROR(VLOOKUP(H260,Tabellen!H:I,2),0)</f>
        <v/>
      </c>
      <c r="J260" s="121" t="n"/>
      <c r="K260" s="251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267" t="n"/>
      <c r="B261" s="74" t="n"/>
      <c r="C261" s="74" t="n"/>
      <c r="D261" s="249" t="n"/>
      <c r="E261" s="74">
        <f>IF(J261&gt;1,"+",0)</f>
        <v/>
      </c>
      <c r="F261" s="75">
        <f>IF(E261&gt;0,$L$4,0)</f>
        <v/>
      </c>
      <c r="G261" s="256" t="n"/>
      <c r="H261" s="64" t="n"/>
      <c r="I261" s="250">
        <f>IFERROR(VLOOKUP(H261,Tabellen!H:I,2),0)</f>
        <v/>
      </c>
      <c r="J261" s="121" t="n"/>
      <c r="K261" s="251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267" t="n"/>
      <c r="B262" s="74" t="n"/>
      <c r="C262" s="74" t="n"/>
      <c r="D262" s="249" t="n"/>
      <c r="E262" s="74">
        <f>IF(J262&gt;1,"+",0)</f>
        <v/>
      </c>
      <c r="F262" s="75">
        <f>IF(E262&gt;0,$L$4,0)</f>
        <v/>
      </c>
      <c r="G262" s="256" t="n"/>
      <c r="H262" s="64" t="n"/>
      <c r="I262" s="250">
        <f>IFERROR(VLOOKUP(H262,Tabellen!H:I,2),0)</f>
        <v/>
      </c>
      <c r="J262" s="121" t="n"/>
      <c r="K262" s="251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267" t="n"/>
      <c r="B263" s="74" t="n"/>
      <c r="C263" s="74" t="n"/>
      <c r="D263" s="249" t="n"/>
      <c r="E263" s="74">
        <f>IF(J263&gt;1,"+",0)</f>
        <v/>
      </c>
      <c r="F263" s="75">
        <f>IF(E263&gt;0,$L$4,0)</f>
        <v/>
      </c>
      <c r="G263" s="256" t="n"/>
      <c r="H263" s="64" t="n"/>
      <c r="I263" s="250">
        <f>IFERROR(VLOOKUP(H263,Tabellen!H:I,2),0)</f>
        <v/>
      </c>
      <c r="J263" s="121" t="n"/>
      <c r="K263" s="251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267" t="n"/>
      <c r="B264" s="74" t="n"/>
      <c r="C264" s="74" t="n"/>
      <c r="D264" s="249" t="n"/>
      <c r="E264" s="74">
        <f>IF(J264&gt;1,"+",0)</f>
        <v/>
      </c>
      <c r="F264" s="75">
        <f>IF(E264&gt;0,$L$4,0)</f>
        <v/>
      </c>
      <c r="G264" s="256" t="n"/>
      <c r="H264" s="64" t="n"/>
      <c r="I264" s="250">
        <f>IFERROR(VLOOKUP(H264,Tabellen!H:I,2),0)</f>
        <v/>
      </c>
      <c r="J264" s="121" t="n"/>
      <c r="K264" s="251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267" t="n"/>
      <c r="B265" s="74" t="n"/>
      <c r="C265" s="74" t="n"/>
      <c r="D265" s="249" t="n"/>
      <c r="E265" s="74">
        <f>IF(J265&gt;1,"+",0)</f>
        <v/>
      </c>
      <c r="F265" s="75">
        <f>IF(E265&gt;0,$L$4,0)</f>
        <v/>
      </c>
      <c r="G265" s="256" t="n"/>
      <c r="H265" s="64" t="n"/>
      <c r="I265" s="250">
        <f>IFERROR(VLOOKUP(H265,Tabellen!H:I,2),0)</f>
        <v/>
      </c>
      <c r="J265" s="121" t="n"/>
      <c r="K265" s="251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267" t="n"/>
      <c r="B266" s="74" t="n"/>
      <c r="C266" s="74" t="n"/>
      <c r="D266" s="249" t="n"/>
      <c r="E266" s="74">
        <f>IF(J266&gt;1,"+",0)</f>
        <v/>
      </c>
      <c r="F266" s="75">
        <f>IF(E266&gt;0,$L$4,0)</f>
        <v/>
      </c>
      <c r="G266" s="256" t="n"/>
      <c r="H266" s="64" t="n"/>
      <c r="I266" s="250">
        <f>IFERROR(VLOOKUP(H266,Tabellen!H:I,2),0)</f>
        <v/>
      </c>
      <c r="J266" s="121" t="n"/>
      <c r="K266" s="251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267" t="n"/>
      <c r="B267" s="74" t="n"/>
      <c r="C267" s="74" t="n"/>
      <c r="D267" s="249" t="n"/>
      <c r="E267" s="74">
        <f>IF(J267&gt;1,"+",0)</f>
        <v/>
      </c>
      <c r="F267" s="75">
        <f>IF(E267&gt;0,$L$4,0)</f>
        <v/>
      </c>
      <c r="G267" s="256" t="n"/>
      <c r="H267" s="64" t="n"/>
      <c r="I267" s="250">
        <f>IFERROR(VLOOKUP(H267,Tabellen!H:I,2),0)</f>
        <v/>
      </c>
      <c r="J267" s="121" t="n"/>
      <c r="K267" s="251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267" t="n"/>
      <c r="B268" s="74" t="n"/>
      <c r="C268" s="74" t="n"/>
      <c r="D268" s="249" t="n"/>
      <c r="E268" s="74">
        <f>IF(J268&gt;1,"+",0)</f>
        <v/>
      </c>
      <c r="F268" s="75">
        <f>IF(E268&gt;0,$L$4,0)</f>
        <v/>
      </c>
      <c r="G268" s="256" t="n"/>
      <c r="H268" s="64" t="n"/>
      <c r="I268" s="250">
        <f>IFERROR(VLOOKUP(H268,Tabellen!H:I,2),0)</f>
        <v/>
      </c>
      <c r="J268" s="121" t="n"/>
      <c r="K268" s="251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267" t="n"/>
      <c r="B269" s="74" t="n"/>
      <c r="C269" s="74" t="n"/>
      <c r="D269" s="249" t="n"/>
      <c r="E269" s="74">
        <f>IF(J269&gt;1,"+",0)</f>
        <v/>
      </c>
      <c r="F269" s="75">
        <f>IF(E269&gt;0,$L$4,0)</f>
        <v/>
      </c>
      <c r="G269" s="256" t="n"/>
      <c r="H269" s="64" t="n"/>
      <c r="I269" s="250">
        <f>IFERROR(VLOOKUP(H269,Tabellen!H:I,2),0)</f>
        <v/>
      </c>
      <c r="J269" s="121" t="n"/>
      <c r="K269" s="251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267" t="n"/>
      <c r="B270" s="74" t="n"/>
      <c r="C270" s="74" t="n"/>
      <c r="D270" s="249" t="n"/>
      <c r="E270" s="74">
        <f>IF(J270&gt;1,"+",0)</f>
        <v/>
      </c>
      <c r="F270" s="75">
        <f>IF(E270&gt;0,$L$4,0)</f>
        <v/>
      </c>
      <c r="G270" s="256" t="n"/>
      <c r="H270" s="64" t="n"/>
      <c r="I270" s="250">
        <f>IFERROR(VLOOKUP(H270,Tabellen!H:I,2),0)</f>
        <v/>
      </c>
      <c r="J270" s="121" t="n"/>
      <c r="K270" s="251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267" t="n"/>
      <c r="B271" s="74" t="n"/>
      <c r="C271" s="74" t="n"/>
      <c r="D271" s="249" t="n"/>
      <c r="E271" s="74">
        <f>IF(J271&gt;1,"+",0)</f>
        <v/>
      </c>
      <c r="F271" s="75">
        <f>IF(E271&gt;0,$L$4,0)</f>
        <v/>
      </c>
      <c r="G271" s="256" t="n"/>
      <c r="H271" s="64" t="n"/>
      <c r="I271" s="250">
        <f>IFERROR(VLOOKUP(H271,Tabellen!H:I,2),0)</f>
        <v/>
      </c>
      <c r="J271" s="121" t="n"/>
      <c r="K271" s="251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267" t="n"/>
      <c r="B272" s="74" t="n"/>
      <c r="C272" s="74" t="n"/>
      <c r="D272" s="249" t="n"/>
      <c r="E272" s="74">
        <f>IF(J272&gt;1,"+",0)</f>
        <v/>
      </c>
      <c r="F272" s="75">
        <f>IF(E272&gt;0,$L$4,0)</f>
        <v/>
      </c>
      <c r="G272" s="256" t="n"/>
      <c r="H272" s="64" t="n"/>
      <c r="I272" s="250">
        <f>IFERROR(VLOOKUP(H272,Tabellen!H:I,2),0)</f>
        <v/>
      </c>
      <c r="J272" s="121" t="n"/>
      <c r="K272" s="251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IF(J273&gt;1,"+",0)</f>
        <v/>
      </c>
      <c r="F273" s="127" t="n"/>
      <c r="G273" s="253" t="n"/>
      <c r="H273" s="65" t="n"/>
      <c r="I273" s="254" t="n"/>
      <c r="J273" s="129" t="n"/>
      <c r="K273" s="255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244" t="n"/>
      <c r="B274" s="71" t="n"/>
      <c r="C274" s="71" t="n"/>
      <c r="D274" s="244" t="n"/>
      <c r="E274" s="71">
        <f>IF(J274&gt;1,"+",0)</f>
        <v/>
      </c>
      <c r="F274" s="113" t="n"/>
      <c r="G274" s="245" t="n"/>
      <c r="H274" s="63" t="n"/>
      <c r="I274" s="246" t="n"/>
      <c r="J274" s="73" t="n"/>
      <c r="K274" s="247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244" t="n"/>
      <c r="B275" s="71" t="n"/>
      <c r="C275" s="71" t="n"/>
      <c r="D275" s="244" t="n"/>
      <c r="E275" s="71">
        <f>IF(J275&gt;1,"+",0)</f>
        <v/>
      </c>
      <c r="F275" s="113" t="n"/>
      <c r="G275" s="245" t="n"/>
      <c r="H275" s="63" t="n"/>
      <c r="I275" s="246" t="n"/>
      <c r="J275" s="73" t="n"/>
      <c r="K275" s="247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IF(J276&gt;1,"+",0)</f>
        <v/>
      </c>
      <c r="F276" s="75">
        <f>IF(E276&gt;0,$L$4,0)</f>
        <v/>
      </c>
      <c r="G276" s="269" t="inlineStr">
        <is>
          <t>Sluitrekening balans</t>
        </is>
      </c>
      <c r="H276" s="161" t="n">
        <v>86100</v>
      </c>
      <c r="I276" s="250">
        <f>IFERROR(VLOOKUP(H276,Tabellen!H:I,2),0)</f>
        <v/>
      </c>
      <c r="J276" s="42" t="n">
        <v>2999999</v>
      </c>
      <c r="K276" s="247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63" t="n"/>
      <c r="I277" s="246" t="n"/>
      <c r="J277" s="73" t="n"/>
      <c r="K277" s="247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69" t="n"/>
      <c r="I278" s="272" t="n"/>
      <c r="J278" s="149" t="n"/>
      <c r="K278" s="273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I279" s="274" t="n"/>
      <c r="J279" s="83" t="n"/>
      <c r="K279" s="260" t="n"/>
      <c r="L279" s="87" t="n"/>
      <c r="M279" s="87" t="n"/>
      <c r="N279" s="87" t="n"/>
      <c r="O279" s="87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I280" s="274" t="n"/>
      <c r="J280" s="83" t="n"/>
      <c r="K280" s="260" t="n"/>
      <c r="L280" s="87" t="n"/>
      <c r="M280" s="87" t="n"/>
      <c r="N280" s="87" t="n"/>
      <c r="O280" s="87" t="n"/>
    </row>
    <row r="281" ht="15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</row>
    <row r="282" ht="15" customHeight="1">
      <c r="A282" s="275" t="n"/>
      <c r="B282" s="152" t="n"/>
      <c r="C282" s="157" t="n"/>
      <c r="D282" s="277" t="n"/>
      <c r="G282" s="209" t="n"/>
      <c r="I282" s="209" t="n"/>
      <c r="K282" s="209" t="n"/>
      <c r="L282" s="79" t="n">
        <v>0</v>
      </c>
    </row>
    <row r="283" ht="15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</row>
    <row r="285" ht="15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</row>
    <row r="291" ht="15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2" customHeight="1">
      <c r="A1" s="282" t="inlineStr">
        <is>
          <t>Totaaloverzicht begrotingswijziging</t>
        </is>
      </c>
    </row>
    <row r="2" ht="16" customHeight="1">
      <c r="A2" s="283">
        <f>'Invullen groen'!A4</f>
        <v/>
      </c>
      <c r="G2" s="361" t="inlineStr">
        <is>
          <t>Corsanr.:</t>
        </is>
      </c>
      <c r="H2" s="362" t="n"/>
      <c r="I2" s="362" t="n"/>
    </row>
    <row r="3" ht="6" customHeight="1">
      <c r="F3" s="360" t="n"/>
      <c r="G3" s="360" t="n"/>
      <c r="H3" s="360" t="n"/>
      <c r="I3" s="360" t="n"/>
    </row>
    <row r="4" ht="18" customHeight="1">
      <c r="A4" s="285" t="inlineStr">
        <is>
          <t>Nr.</t>
        </is>
      </c>
      <c r="B4" s="285" t="inlineStr">
        <is>
          <t>Programma</t>
        </is>
      </c>
      <c r="C4" s="285" t="inlineStr">
        <is>
          <t>Taakveld</t>
        </is>
      </c>
      <c r="D4" s="285" t="inlineStr">
        <is>
          <t>Omschrijving taakveld</t>
        </is>
      </c>
      <c r="E4" s="285" t="inlineStr">
        <is>
          <t>Omschrijving grootboek</t>
        </is>
      </c>
      <c r="F4" s="363" t="inlineStr">
        <is>
          <t>Bgr.jaar 2026</t>
        </is>
      </c>
      <c r="G4" s="363" t="inlineStr">
        <is>
          <t>MJR 2027</t>
        </is>
      </c>
      <c r="H4" s="363" t="inlineStr">
        <is>
          <t>MJR 2028</t>
        </is>
      </c>
      <c r="I4" s="363" t="inlineStr">
        <is>
          <t>MJR 2029</t>
        </is>
      </c>
    </row>
    <row r="5" ht="14" customHeight="1">
      <c r="A5" s="287">
        <f>IFERROR(IF('Invullen groen'!E18&gt;0,18-17,""),"")</f>
        <v/>
      </c>
      <c r="B5" s="287">
        <f>IFERROR(IF('Invullen groen'!E18&gt;0,'Invullen groen'!A18,""),"")</f>
        <v/>
      </c>
      <c r="C5" s="287">
        <f>IFERROR(IF('Invullen groen'!E18&gt;0,'Invullen groen'!C18,""),"")</f>
        <v/>
      </c>
      <c r="D5" s="287">
        <f>IFERROR(IF('Invullen groen'!E18&gt;0,'Invullen groen'!D18,""),"")</f>
        <v/>
      </c>
      <c r="E5" s="287">
        <f>IFERROR(IF('Invullen groen'!E18&gt;0,'Invullen groen'!G18,""),"")</f>
        <v/>
      </c>
      <c r="F5" s="364">
        <f>IFERROR(IF('Invullen groen'!L18&lt;&gt;0,'Invullen groen'!L18,""),"")</f>
        <v/>
      </c>
      <c r="G5" s="364">
        <f>IFERROR(IF('Invullen groen'!M18&lt;&gt;0,'Invullen groen'!M18,""),"")</f>
        <v/>
      </c>
      <c r="H5" s="364">
        <f>IFERROR(IF('Invullen groen'!N18&lt;&gt;0,'Invullen groen'!N18,""),"")</f>
        <v/>
      </c>
      <c r="I5" s="364">
        <f>IFERROR(IF('Invullen groen'!O18&lt;&gt;0,'Invullen groen'!O18,""),"")</f>
        <v/>
      </c>
    </row>
    <row r="6" ht="14" customHeight="1">
      <c r="A6" s="287">
        <f>IFERROR(IF('Invullen groen'!E19&gt;0,19-17,""),"")</f>
        <v/>
      </c>
      <c r="B6" s="287">
        <f>IFERROR(IF('Invullen groen'!E19&gt;0,'Invullen groen'!A19,""),"")</f>
        <v/>
      </c>
      <c r="C6" s="287">
        <f>IFERROR(IF('Invullen groen'!E19&gt;0,'Invullen groen'!C19,""),"")</f>
        <v/>
      </c>
      <c r="D6" s="287">
        <f>IFERROR(IF('Invullen groen'!E19&gt;0,'Invullen groen'!D19,""),"")</f>
        <v/>
      </c>
      <c r="E6" s="287">
        <f>IFERROR(IF('Invullen groen'!E19&gt;0,'Invullen groen'!G19,""),"")</f>
        <v/>
      </c>
      <c r="F6" s="364">
        <f>IFERROR(IF('Invullen groen'!L19&lt;&gt;0,'Invullen groen'!L19,""),"")</f>
        <v/>
      </c>
      <c r="G6" s="364">
        <f>IFERROR(IF('Invullen groen'!M19&lt;&gt;0,'Invullen groen'!M19,""),"")</f>
        <v/>
      </c>
      <c r="H6" s="364">
        <f>IFERROR(IF('Invullen groen'!N19&lt;&gt;0,'Invullen groen'!N19,""),"")</f>
        <v/>
      </c>
      <c r="I6" s="364">
        <f>IFERROR(IF('Invullen groen'!O19&lt;&gt;0,'Invullen groen'!O19,""),"")</f>
        <v/>
      </c>
    </row>
    <row r="7" ht="14" customHeight="1">
      <c r="A7" s="287">
        <f>IFERROR(IF('Invullen groen'!E20&gt;0,20-17,""),"")</f>
        <v/>
      </c>
      <c r="B7" s="287">
        <f>IFERROR(IF('Invullen groen'!E20&gt;0,'Invullen groen'!A20,""),"")</f>
        <v/>
      </c>
      <c r="C7" s="287">
        <f>IFERROR(IF('Invullen groen'!E20&gt;0,'Invullen groen'!C20,""),"")</f>
        <v/>
      </c>
      <c r="D7" s="287">
        <f>IFERROR(IF('Invullen groen'!E20&gt;0,'Invullen groen'!D20,""),"")</f>
        <v/>
      </c>
      <c r="E7" s="287">
        <f>IFERROR(IF('Invullen groen'!E20&gt;0,'Invullen groen'!G20,""),"")</f>
        <v/>
      </c>
      <c r="F7" s="364">
        <f>IFERROR(IF('Invullen groen'!L20&lt;&gt;0,'Invullen groen'!L20,""),"")</f>
        <v/>
      </c>
      <c r="G7" s="364">
        <f>IFERROR(IF('Invullen groen'!M20&lt;&gt;0,'Invullen groen'!M20,""),"")</f>
        <v/>
      </c>
      <c r="H7" s="364">
        <f>IFERROR(IF('Invullen groen'!N20&lt;&gt;0,'Invullen groen'!N20,""),"")</f>
        <v/>
      </c>
      <c r="I7" s="364">
        <f>IFERROR(IF('Invullen groen'!O20&lt;&gt;0,'Invullen groen'!O20,""),"")</f>
        <v/>
      </c>
    </row>
    <row r="8" ht="14" customHeight="1">
      <c r="A8" s="287">
        <f>IFERROR(IF('Invullen groen'!E21&gt;0,21-17,""),"")</f>
        <v/>
      </c>
      <c r="B8" s="287">
        <f>IFERROR(IF('Invullen groen'!E21&gt;0,'Invullen groen'!A21,""),"")</f>
        <v/>
      </c>
      <c r="C8" s="287">
        <f>IFERROR(IF('Invullen groen'!E21&gt;0,'Invullen groen'!C21,""),"")</f>
        <v/>
      </c>
      <c r="D8" s="287">
        <f>IFERROR(IF('Invullen groen'!E21&gt;0,'Invullen groen'!D21,""),"")</f>
        <v/>
      </c>
      <c r="E8" s="287">
        <f>IFERROR(IF('Invullen groen'!E21&gt;0,'Invullen groen'!G21,""),"")</f>
        <v/>
      </c>
      <c r="F8" s="364">
        <f>IFERROR(IF('Invullen groen'!L21&lt;&gt;0,'Invullen groen'!L21,""),"")</f>
        <v/>
      </c>
      <c r="G8" s="364">
        <f>IFERROR(IF('Invullen groen'!M21&lt;&gt;0,'Invullen groen'!M21,""),"")</f>
        <v/>
      </c>
      <c r="H8" s="364">
        <f>IFERROR(IF('Invullen groen'!N21&lt;&gt;0,'Invullen groen'!N21,""),"")</f>
        <v/>
      </c>
      <c r="I8" s="364">
        <f>IFERROR(IF('Invullen groen'!O21&lt;&gt;0,'Invullen groen'!O21,""),"")</f>
        <v/>
      </c>
    </row>
    <row r="9" ht="14" customHeight="1">
      <c r="A9" s="287">
        <f>IFERROR(IF('Invullen groen'!E22&gt;0,22-17,""),"")</f>
        <v/>
      </c>
      <c r="B9" s="287">
        <f>IFERROR(IF('Invullen groen'!E22&gt;0,'Invullen groen'!A22,""),"")</f>
        <v/>
      </c>
      <c r="C9" s="287">
        <f>IFERROR(IF('Invullen groen'!E22&gt;0,'Invullen groen'!C22,""),"")</f>
        <v/>
      </c>
      <c r="D9" s="287">
        <f>IFERROR(IF('Invullen groen'!E22&gt;0,'Invullen groen'!D22,""),"")</f>
        <v/>
      </c>
      <c r="E9" s="287">
        <f>IFERROR(IF('Invullen groen'!E22&gt;0,'Invullen groen'!G22,""),"")</f>
        <v/>
      </c>
      <c r="F9" s="364">
        <f>IFERROR(IF('Invullen groen'!L22&lt;&gt;0,'Invullen groen'!L22,""),"")</f>
        <v/>
      </c>
      <c r="G9" s="364">
        <f>IFERROR(IF('Invullen groen'!M22&lt;&gt;0,'Invullen groen'!M22,""),"")</f>
        <v/>
      </c>
      <c r="H9" s="364">
        <f>IFERROR(IF('Invullen groen'!N22&lt;&gt;0,'Invullen groen'!N22,""),"")</f>
        <v/>
      </c>
      <c r="I9" s="364">
        <f>IFERROR(IF('Invullen groen'!O22&lt;&gt;0,'Invullen groen'!O22,""),"")</f>
        <v/>
      </c>
    </row>
    <row r="10" ht="14" customHeight="1">
      <c r="A10" s="287">
        <f>IFERROR(IF('Invullen groen'!E23&gt;0,23-17,""),"")</f>
        <v/>
      </c>
      <c r="B10" s="287">
        <f>IFERROR(IF('Invullen groen'!E23&gt;0,'Invullen groen'!A23,""),"")</f>
        <v/>
      </c>
      <c r="C10" s="287">
        <f>IFERROR(IF('Invullen groen'!E23&gt;0,'Invullen groen'!C23,""),"")</f>
        <v/>
      </c>
      <c r="D10" s="287">
        <f>IFERROR(IF('Invullen groen'!E23&gt;0,'Invullen groen'!D23,""),"")</f>
        <v/>
      </c>
      <c r="E10" s="287">
        <f>IFERROR(IF('Invullen groen'!E23&gt;0,'Invullen groen'!G23,""),"")</f>
        <v/>
      </c>
      <c r="F10" s="364">
        <f>IFERROR(IF('Invullen groen'!L23&lt;&gt;0,'Invullen groen'!L23,""),"")</f>
        <v/>
      </c>
      <c r="G10" s="364">
        <f>IFERROR(IF('Invullen groen'!M23&lt;&gt;0,'Invullen groen'!M23,""),"")</f>
        <v/>
      </c>
      <c r="H10" s="364">
        <f>IFERROR(IF('Invullen groen'!N23&lt;&gt;0,'Invullen groen'!N23,""),"")</f>
        <v/>
      </c>
      <c r="I10" s="364">
        <f>IFERROR(IF('Invullen groen'!O23&lt;&gt;0,'Invullen groen'!O23,""),"")</f>
        <v/>
      </c>
    </row>
    <row r="11" ht="14" customHeight="1">
      <c r="A11" s="287">
        <f>IFERROR(IF('Invullen groen'!E24&gt;0,24-17,""),"")</f>
        <v/>
      </c>
      <c r="B11" s="287">
        <f>IFERROR(IF('Invullen groen'!E24&gt;0,'Invullen groen'!A24,""),"")</f>
        <v/>
      </c>
      <c r="C11" s="287">
        <f>IFERROR(IF('Invullen groen'!E24&gt;0,'Invullen groen'!C24,""),"")</f>
        <v/>
      </c>
      <c r="D11" s="287">
        <f>IFERROR(IF('Invullen groen'!E24&gt;0,'Invullen groen'!D24,""),"")</f>
        <v/>
      </c>
      <c r="E11" s="287">
        <f>IFERROR(IF('Invullen groen'!E24&gt;0,'Invullen groen'!G24,""),"")</f>
        <v/>
      </c>
      <c r="F11" s="364">
        <f>IFERROR(IF('Invullen groen'!L24&lt;&gt;0,'Invullen groen'!L24,""),"")</f>
        <v/>
      </c>
      <c r="G11" s="364">
        <f>IFERROR(IF('Invullen groen'!M24&lt;&gt;0,'Invullen groen'!M24,""),"")</f>
        <v/>
      </c>
      <c r="H11" s="364">
        <f>IFERROR(IF('Invullen groen'!N24&lt;&gt;0,'Invullen groen'!N24,""),"")</f>
        <v/>
      </c>
      <c r="I11" s="364">
        <f>IFERROR(IF('Invullen groen'!O24&lt;&gt;0,'Invullen groen'!O24,""),"")</f>
        <v/>
      </c>
    </row>
    <row r="12" ht="14" customHeight="1">
      <c r="A12" s="287">
        <f>IFERROR(IF('Invullen groen'!E25&gt;0,25-17,""),"")</f>
        <v/>
      </c>
      <c r="B12" s="287">
        <f>IFERROR(IF('Invullen groen'!E25&gt;0,'Invullen groen'!A25,""),"")</f>
        <v/>
      </c>
      <c r="C12" s="287">
        <f>IFERROR(IF('Invullen groen'!E25&gt;0,'Invullen groen'!C25,""),"")</f>
        <v/>
      </c>
      <c r="D12" s="287">
        <f>IFERROR(IF('Invullen groen'!E25&gt;0,'Invullen groen'!D25,""),"")</f>
        <v/>
      </c>
      <c r="E12" s="287">
        <f>IFERROR(IF('Invullen groen'!E25&gt;0,'Invullen groen'!G25,""),"")</f>
        <v/>
      </c>
      <c r="F12" s="364">
        <f>IFERROR(IF('Invullen groen'!L25&lt;&gt;0,'Invullen groen'!L25,""),"")</f>
        <v/>
      </c>
      <c r="G12" s="364">
        <f>IFERROR(IF('Invullen groen'!M25&lt;&gt;0,'Invullen groen'!M25,""),"")</f>
        <v/>
      </c>
      <c r="H12" s="364">
        <f>IFERROR(IF('Invullen groen'!N25&lt;&gt;0,'Invullen groen'!N25,""),"")</f>
        <v/>
      </c>
      <c r="I12" s="364">
        <f>IFERROR(IF('Invullen groen'!O25&lt;&gt;0,'Invullen groen'!O25,""),"")</f>
        <v/>
      </c>
    </row>
    <row r="13" ht="14" customHeight="1">
      <c r="A13" s="287">
        <f>IFERROR(IF('Invullen groen'!E26&gt;0,26-17,""),"")</f>
        <v/>
      </c>
      <c r="B13" s="287">
        <f>IFERROR(IF('Invullen groen'!E26&gt;0,'Invullen groen'!A26,""),"")</f>
        <v/>
      </c>
      <c r="C13" s="287">
        <f>IFERROR(IF('Invullen groen'!E26&gt;0,'Invullen groen'!C26,""),"")</f>
        <v/>
      </c>
      <c r="D13" s="287">
        <f>IFERROR(IF('Invullen groen'!E26&gt;0,'Invullen groen'!D26,""),"")</f>
        <v/>
      </c>
      <c r="E13" s="287">
        <f>IFERROR(IF('Invullen groen'!E26&gt;0,'Invullen groen'!G26,""),"")</f>
        <v/>
      </c>
      <c r="F13" s="364">
        <f>IFERROR(IF('Invullen groen'!L26&lt;&gt;0,'Invullen groen'!L26,""),"")</f>
        <v/>
      </c>
      <c r="G13" s="364">
        <f>IFERROR(IF('Invullen groen'!M26&lt;&gt;0,'Invullen groen'!M26,""),"")</f>
        <v/>
      </c>
      <c r="H13" s="364">
        <f>IFERROR(IF('Invullen groen'!N26&lt;&gt;0,'Invullen groen'!N26,""),"")</f>
        <v/>
      </c>
      <c r="I13" s="364">
        <f>IFERROR(IF('Invullen groen'!O26&lt;&gt;0,'Invullen groen'!O26,""),"")</f>
        <v/>
      </c>
    </row>
    <row r="14" ht="14" customHeight="1">
      <c r="A14" s="287">
        <f>IFERROR(IF('Invullen groen'!E27&gt;0,27-17,""),"")</f>
        <v/>
      </c>
      <c r="B14" s="287">
        <f>IFERROR(IF('Invullen groen'!E27&gt;0,'Invullen groen'!A27,""),"")</f>
        <v/>
      </c>
      <c r="C14" s="287">
        <f>IFERROR(IF('Invullen groen'!E27&gt;0,'Invullen groen'!C27,""),"")</f>
        <v/>
      </c>
      <c r="D14" s="287">
        <f>IFERROR(IF('Invullen groen'!E27&gt;0,'Invullen groen'!D27,""),"")</f>
        <v/>
      </c>
      <c r="E14" s="287">
        <f>IFERROR(IF('Invullen groen'!E27&gt;0,'Invullen groen'!G27,""),"")</f>
        <v/>
      </c>
      <c r="F14" s="364">
        <f>IFERROR(IF('Invullen groen'!L27&lt;&gt;0,'Invullen groen'!L27,""),"")</f>
        <v/>
      </c>
      <c r="G14" s="364">
        <f>IFERROR(IF('Invullen groen'!M27&lt;&gt;0,'Invullen groen'!M27,""),"")</f>
        <v/>
      </c>
      <c r="H14" s="364">
        <f>IFERROR(IF('Invullen groen'!N27&lt;&gt;0,'Invullen groen'!N27,""),"")</f>
        <v/>
      </c>
      <c r="I14" s="364">
        <f>IFERROR(IF('Invullen groen'!O27&lt;&gt;0,'Invullen groen'!O27,""),"")</f>
        <v/>
      </c>
    </row>
    <row r="15" ht="14" customHeight="1">
      <c r="A15" s="287">
        <f>IFERROR(IF('Invullen groen'!E28&gt;0,28-17,""),"")</f>
        <v/>
      </c>
      <c r="B15" s="287">
        <f>IFERROR(IF('Invullen groen'!E28&gt;0,'Invullen groen'!A28,""),"")</f>
        <v/>
      </c>
      <c r="C15" s="287">
        <f>IFERROR(IF('Invullen groen'!E28&gt;0,'Invullen groen'!C28,""),"")</f>
        <v/>
      </c>
      <c r="D15" s="287">
        <f>IFERROR(IF('Invullen groen'!E28&gt;0,'Invullen groen'!D28,""),"")</f>
        <v/>
      </c>
      <c r="E15" s="287">
        <f>IFERROR(IF('Invullen groen'!E28&gt;0,'Invullen groen'!G28,""),"")</f>
        <v/>
      </c>
      <c r="F15" s="364">
        <f>IFERROR(IF('Invullen groen'!L28&lt;&gt;0,'Invullen groen'!L28,""),"")</f>
        <v/>
      </c>
      <c r="G15" s="364">
        <f>IFERROR(IF('Invullen groen'!M28&lt;&gt;0,'Invullen groen'!M28,""),"")</f>
        <v/>
      </c>
      <c r="H15" s="364">
        <f>IFERROR(IF('Invullen groen'!N28&lt;&gt;0,'Invullen groen'!N28,""),"")</f>
        <v/>
      </c>
      <c r="I15" s="364">
        <f>IFERROR(IF('Invullen groen'!O28&lt;&gt;0,'Invullen groen'!O28,""),"")</f>
        <v/>
      </c>
    </row>
    <row r="16" ht="14" customHeight="1">
      <c r="A16" s="287">
        <f>IFERROR(IF('Invullen groen'!E29&gt;0,29-17,""),"")</f>
        <v/>
      </c>
      <c r="B16" s="287">
        <f>IFERROR(IF('Invullen groen'!E29&gt;0,'Invullen groen'!A29,""),"")</f>
        <v/>
      </c>
      <c r="C16" s="287">
        <f>IFERROR(IF('Invullen groen'!E29&gt;0,'Invullen groen'!C29,""),"")</f>
        <v/>
      </c>
      <c r="D16" s="287">
        <f>IFERROR(IF('Invullen groen'!E29&gt;0,'Invullen groen'!D29,""),"")</f>
        <v/>
      </c>
      <c r="E16" s="287">
        <f>IFERROR(IF('Invullen groen'!E29&gt;0,'Invullen groen'!G29,""),"")</f>
        <v/>
      </c>
      <c r="F16" s="364">
        <f>IFERROR(IF('Invullen groen'!L29&lt;&gt;0,'Invullen groen'!L29,""),"")</f>
        <v/>
      </c>
      <c r="G16" s="364">
        <f>IFERROR(IF('Invullen groen'!M29&lt;&gt;0,'Invullen groen'!M29,""),"")</f>
        <v/>
      </c>
      <c r="H16" s="364">
        <f>IFERROR(IF('Invullen groen'!N29&lt;&gt;0,'Invullen groen'!N29,""),"")</f>
        <v/>
      </c>
      <c r="I16" s="364">
        <f>IFERROR(IF('Invullen groen'!O29&lt;&gt;0,'Invullen groen'!O29,""),"")</f>
        <v/>
      </c>
    </row>
    <row r="17" ht="14" customHeight="1">
      <c r="A17" s="287">
        <f>IFERROR(IF('Invullen groen'!E30&gt;0,30-17,""),"")</f>
        <v/>
      </c>
      <c r="B17" s="287">
        <f>IFERROR(IF('Invullen groen'!E30&gt;0,'Invullen groen'!A30,""),"")</f>
        <v/>
      </c>
      <c r="C17" s="287">
        <f>IFERROR(IF('Invullen groen'!E30&gt;0,'Invullen groen'!C30,""),"")</f>
        <v/>
      </c>
      <c r="D17" s="287">
        <f>IFERROR(IF('Invullen groen'!E30&gt;0,'Invullen groen'!D30,""),"")</f>
        <v/>
      </c>
      <c r="E17" s="287">
        <f>IFERROR(IF('Invullen groen'!E30&gt;0,'Invullen groen'!G30,""),"")</f>
        <v/>
      </c>
      <c r="F17" s="364">
        <f>IFERROR(IF('Invullen groen'!L30&lt;&gt;0,'Invullen groen'!L30,""),"")</f>
        <v/>
      </c>
      <c r="G17" s="364">
        <f>IFERROR(IF('Invullen groen'!M30&lt;&gt;0,'Invullen groen'!M30,""),"")</f>
        <v/>
      </c>
      <c r="H17" s="364">
        <f>IFERROR(IF('Invullen groen'!N30&lt;&gt;0,'Invullen groen'!N30,""),"")</f>
        <v/>
      </c>
      <c r="I17" s="364">
        <f>IFERROR(IF('Invullen groen'!O30&lt;&gt;0,'Invullen groen'!O30,""),"")</f>
        <v/>
      </c>
    </row>
    <row r="18" ht="14" customHeight="1">
      <c r="A18" s="287">
        <f>IFERROR(IF('Invullen groen'!E31&gt;0,31-17,""),"")</f>
        <v/>
      </c>
      <c r="B18" s="287">
        <f>IFERROR(IF('Invullen groen'!E31&gt;0,'Invullen groen'!A31,""),"")</f>
        <v/>
      </c>
      <c r="C18" s="287">
        <f>IFERROR(IF('Invullen groen'!E31&gt;0,'Invullen groen'!C31,""),"")</f>
        <v/>
      </c>
      <c r="D18" s="287">
        <f>IFERROR(IF('Invullen groen'!E31&gt;0,'Invullen groen'!D31,""),"")</f>
        <v/>
      </c>
      <c r="E18" s="287">
        <f>IFERROR(IF('Invullen groen'!E31&gt;0,'Invullen groen'!G31,""),"")</f>
        <v/>
      </c>
      <c r="F18" s="364">
        <f>IFERROR(IF('Invullen groen'!L31&lt;&gt;0,'Invullen groen'!L31,""),"")</f>
        <v/>
      </c>
      <c r="G18" s="364">
        <f>IFERROR(IF('Invullen groen'!M31&lt;&gt;0,'Invullen groen'!M31,""),"")</f>
        <v/>
      </c>
      <c r="H18" s="364">
        <f>IFERROR(IF('Invullen groen'!N31&lt;&gt;0,'Invullen groen'!N31,""),"")</f>
        <v/>
      </c>
      <c r="I18" s="364">
        <f>IFERROR(IF('Invullen groen'!O31&lt;&gt;0,'Invullen groen'!O31,""),"")</f>
        <v/>
      </c>
    </row>
    <row r="19" ht="14" customHeight="1">
      <c r="A19" s="287">
        <f>IFERROR(IF('Invullen groen'!E32&gt;0,32-17,""),"")</f>
        <v/>
      </c>
      <c r="B19" s="287">
        <f>IFERROR(IF('Invullen groen'!E32&gt;0,'Invullen groen'!A32,""),"")</f>
        <v/>
      </c>
      <c r="C19" s="287">
        <f>IFERROR(IF('Invullen groen'!E32&gt;0,'Invullen groen'!C32,""),"")</f>
        <v/>
      </c>
      <c r="D19" s="287">
        <f>IFERROR(IF('Invullen groen'!E32&gt;0,'Invullen groen'!D32,""),"")</f>
        <v/>
      </c>
      <c r="E19" s="287">
        <f>IFERROR(IF('Invullen groen'!E32&gt;0,'Invullen groen'!G32,""),"")</f>
        <v/>
      </c>
      <c r="F19" s="364">
        <f>IFERROR(IF('Invullen groen'!L32&lt;&gt;0,'Invullen groen'!L32,""),"")</f>
        <v/>
      </c>
      <c r="G19" s="364">
        <f>IFERROR(IF('Invullen groen'!M32&lt;&gt;0,'Invullen groen'!M32,""),"")</f>
        <v/>
      </c>
      <c r="H19" s="364">
        <f>IFERROR(IF('Invullen groen'!N32&lt;&gt;0,'Invullen groen'!N32,""),"")</f>
        <v/>
      </c>
      <c r="I19" s="364">
        <f>IFERROR(IF('Invullen groen'!O32&lt;&gt;0,'Invullen groen'!O32,""),"")</f>
        <v/>
      </c>
    </row>
    <row r="20" ht="14" customHeight="1">
      <c r="A20" s="287">
        <f>IFERROR(IF('Invullen groen'!E33&gt;0,33-17,""),"")</f>
        <v/>
      </c>
      <c r="B20" s="287">
        <f>IFERROR(IF('Invullen groen'!E33&gt;0,'Invullen groen'!A33,""),"")</f>
        <v/>
      </c>
      <c r="C20" s="287">
        <f>IFERROR(IF('Invullen groen'!E33&gt;0,'Invullen groen'!C33,""),"")</f>
        <v/>
      </c>
      <c r="D20" s="287">
        <f>IFERROR(IF('Invullen groen'!E33&gt;0,'Invullen groen'!D33,""),"")</f>
        <v/>
      </c>
      <c r="E20" s="287">
        <f>IFERROR(IF('Invullen groen'!E33&gt;0,'Invullen groen'!G33,""),"")</f>
        <v/>
      </c>
      <c r="F20" s="364">
        <f>IFERROR(IF('Invullen groen'!L33&lt;&gt;0,'Invullen groen'!L33,""),"")</f>
        <v/>
      </c>
      <c r="G20" s="364">
        <f>IFERROR(IF('Invullen groen'!M33&lt;&gt;0,'Invullen groen'!M33,""),"")</f>
        <v/>
      </c>
      <c r="H20" s="364">
        <f>IFERROR(IF('Invullen groen'!N33&lt;&gt;0,'Invullen groen'!N33,""),"")</f>
        <v/>
      </c>
      <c r="I20" s="364">
        <f>IFERROR(IF('Invullen groen'!O33&lt;&gt;0,'Invullen groen'!O33,""),"")</f>
        <v/>
      </c>
    </row>
    <row r="21" ht="14" customHeight="1">
      <c r="A21" s="287">
        <f>IFERROR(IF('Invullen groen'!E34&gt;0,34-17,""),"")</f>
        <v/>
      </c>
      <c r="B21" s="287">
        <f>IFERROR(IF('Invullen groen'!E34&gt;0,'Invullen groen'!A34,""),"")</f>
        <v/>
      </c>
      <c r="C21" s="287">
        <f>IFERROR(IF('Invullen groen'!E34&gt;0,'Invullen groen'!C34,""),"")</f>
        <v/>
      </c>
      <c r="D21" s="287">
        <f>IFERROR(IF('Invullen groen'!E34&gt;0,'Invullen groen'!D34,""),"")</f>
        <v/>
      </c>
      <c r="E21" s="287">
        <f>IFERROR(IF('Invullen groen'!E34&gt;0,'Invullen groen'!G34,""),"")</f>
        <v/>
      </c>
      <c r="F21" s="364">
        <f>IFERROR(IF('Invullen groen'!L34&lt;&gt;0,'Invullen groen'!L34,""),"")</f>
        <v/>
      </c>
      <c r="G21" s="364">
        <f>IFERROR(IF('Invullen groen'!M34&lt;&gt;0,'Invullen groen'!M34,""),"")</f>
        <v/>
      </c>
      <c r="H21" s="364">
        <f>IFERROR(IF('Invullen groen'!N34&lt;&gt;0,'Invullen groen'!N34,""),"")</f>
        <v/>
      </c>
      <c r="I21" s="364">
        <f>IFERROR(IF('Invullen groen'!O34&lt;&gt;0,'Invullen groen'!O34,""),"")</f>
        <v/>
      </c>
    </row>
    <row r="22" ht="14" customHeight="1">
      <c r="A22" s="287">
        <f>IFERROR(IF('Invullen groen'!E35&gt;0,35-17,""),"")</f>
        <v/>
      </c>
      <c r="B22" s="287">
        <f>IFERROR(IF('Invullen groen'!E35&gt;0,'Invullen groen'!A35,""),"")</f>
        <v/>
      </c>
      <c r="C22" s="287">
        <f>IFERROR(IF('Invullen groen'!E35&gt;0,'Invullen groen'!C35,""),"")</f>
        <v/>
      </c>
      <c r="D22" s="287">
        <f>IFERROR(IF('Invullen groen'!E35&gt;0,'Invullen groen'!D35,""),"")</f>
        <v/>
      </c>
      <c r="E22" s="287">
        <f>IFERROR(IF('Invullen groen'!E35&gt;0,'Invullen groen'!G35,""),"")</f>
        <v/>
      </c>
      <c r="F22" s="364">
        <f>IFERROR(IF('Invullen groen'!L35&lt;&gt;0,'Invullen groen'!L35,""),"")</f>
        <v/>
      </c>
      <c r="G22" s="364">
        <f>IFERROR(IF('Invullen groen'!M35&lt;&gt;0,'Invullen groen'!M35,""),"")</f>
        <v/>
      </c>
      <c r="H22" s="364">
        <f>IFERROR(IF('Invullen groen'!N35&lt;&gt;0,'Invullen groen'!N35,""),"")</f>
        <v/>
      </c>
      <c r="I22" s="364">
        <f>IFERROR(IF('Invullen groen'!O35&lt;&gt;0,'Invullen groen'!O35,""),"")</f>
        <v/>
      </c>
    </row>
    <row r="23" ht="14" customHeight="1">
      <c r="A23" s="287">
        <f>IFERROR(IF('Invullen groen'!E36&gt;0,36-17,""),"")</f>
        <v/>
      </c>
      <c r="B23" s="287">
        <f>IFERROR(IF('Invullen groen'!E36&gt;0,'Invullen groen'!A36,""),"")</f>
        <v/>
      </c>
      <c r="C23" s="287">
        <f>IFERROR(IF('Invullen groen'!E36&gt;0,'Invullen groen'!C36,""),"")</f>
        <v/>
      </c>
      <c r="D23" s="287">
        <f>IFERROR(IF('Invullen groen'!E36&gt;0,'Invullen groen'!D36,""),"")</f>
        <v/>
      </c>
      <c r="E23" s="287">
        <f>IFERROR(IF('Invullen groen'!E36&gt;0,'Invullen groen'!G36,""),"")</f>
        <v/>
      </c>
      <c r="F23" s="364">
        <f>IFERROR(IF('Invullen groen'!L36&lt;&gt;0,'Invullen groen'!L36,""),"")</f>
        <v/>
      </c>
      <c r="G23" s="364">
        <f>IFERROR(IF('Invullen groen'!M36&lt;&gt;0,'Invullen groen'!M36,""),"")</f>
        <v/>
      </c>
      <c r="H23" s="364">
        <f>IFERROR(IF('Invullen groen'!N36&lt;&gt;0,'Invullen groen'!N36,""),"")</f>
        <v/>
      </c>
      <c r="I23" s="364">
        <f>IFERROR(IF('Invullen groen'!O36&lt;&gt;0,'Invullen groen'!O36,""),"")</f>
        <v/>
      </c>
    </row>
    <row r="24" ht="14" customHeight="1">
      <c r="A24" s="287">
        <f>IFERROR(IF('Invullen groen'!E37&gt;0,37-17,""),"")</f>
        <v/>
      </c>
      <c r="B24" s="287">
        <f>IFERROR(IF('Invullen groen'!E37&gt;0,'Invullen groen'!A37,""),"")</f>
        <v/>
      </c>
      <c r="C24" s="287">
        <f>IFERROR(IF('Invullen groen'!E37&gt;0,'Invullen groen'!C37,""),"")</f>
        <v/>
      </c>
      <c r="D24" s="287">
        <f>IFERROR(IF('Invullen groen'!E37&gt;0,'Invullen groen'!D37,""),"")</f>
        <v/>
      </c>
      <c r="E24" s="287">
        <f>IFERROR(IF('Invullen groen'!E37&gt;0,'Invullen groen'!G37,""),"")</f>
        <v/>
      </c>
      <c r="F24" s="364">
        <f>IFERROR(IF('Invullen groen'!L37&lt;&gt;0,'Invullen groen'!L37,""),"")</f>
        <v/>
      </c>
      <c r="G24" s="364">
        <f>IFERROR(IF('Invullen groen'!M37&lt;&gt;0,'Invullen groen'!M37,""),"")</f>
        <v/>
      </c>
      <c r="H24" s="364">
        <f>IFERROR(IF('Invullen groen'!N37&lt;&gt;0,'Invullen groen'!N37,""),"")</f>
        <v/>
      </c>
      <c r="I24" s="364">
        <f>IFERROR(IF('Invullen groen'!O37&lt;&gt;0,'Invullen groen'!O37,""),"")</f>
        <v/>
      </c>
    </row>
    <row r="25" ht="14" customHeight="1">
      <c r="A25" s="287">
        <f>IFERROR(IF('Invullen groen'!E38&gt;0,38-17,""),"")</f>
        <v/>
      </c>
      <c r="B25" s="287">
        <f>IFERROR(IF('Invullen groen'!E38&gt;0,'Invullen groen'!A38,""),"")</f>
        <v/>
      </c>
      <c r="C25" s="287">
        <f>IFERROR(IF('Invullen groen'!E38&gt;0,'Invullen groen'!C38,""),"")</f>
        <v/>
      </c>
      <c r="D25" s="287">
        <f>IFERROR(IF('Invullen groen'!E38&gt;0,'Invullen groen'!D38,""),"")</f>
        <v/>
      </c>
      <c r="E25" s="287">
        <f>IFERROR(IF('Invullen groen'!E38&gt;0,'Invullen groen'!G38,""),"")</f>
        <v/>
      </c>
      <c r="F25" s="364">
        <f>IFERROR(IF('Invullen groen'!L38&lt;&gt;0,'Invullen groen'!L38,""),"")</f>
        <v/>
      </c>
      <c r="G25" s="364">
        <f>IFERROR(IF('Invullen groen'!M38&lt;&gt;0,'Invullen groen'!M38,""),"")</f>
        <v/>
      </c>
      <c r="H25" s="364">
        <f>IFERROR(IF('Invullen groen'!N38&lt;&gt;0,'Invullen groen'!N38,""),"")</f>
        <v/>
      </c>
      <c r="I25" s="364">
        <f>IFERROR(IF('Invullen groen'!O38&lt;&gt;0,'Invullen groen'!O38,""),"")</f>
        <v/>
      </c>
    </row>
    <row r="26" ht="14" customHeight="1">
      <c r="A26" s="287">
        <f>IFERROR(IF('Invullen groen'!E39&gt;0,39-17,""),"")</f>
        <v/>
      </c>
      <c r="B26" s="287">
        <f>IFERROR(IF('Invullen groen'!E39&gt;0,'Invullen groen'!A39,""),"")</f>
        <v/>
      </c>
      <c r="C26" s="287">
        <f>IFERROR(IF('Invullen groen'!E39&gt;0,'Invullen groen'!C39,""),"")</f>
        <v/>
      </c>
      <c r="D26" s="287">
        <f>IFERROR(IF('Invullen groen'!E39&gt;0,'Invullen groen'!D39,""),"")</f>
        <v/>
      </c>
      <c r="E26" s="287">
        <f>IFERROR(IF('Invullen groen'!E39&gt;0,'Invullen groen'!G39,""),"")</f>
        <v/>
      </c>
      <c r="F26" s="364">
        <f>IFERROR(IF('Invullen groen'!L39&lt;&gt;0,'Invullen groen'!L39,""),"")</f>
        <v/>
      </c>
      <c r="G26" s="364">
        <f>IFERROR(IF('Invullen groen'!M39&lt;&gt;0,'Invullen groen'!M39,""),"")</f>
        <v/>
      </c>
      <c r="H26" s="364">
        <f>IFERROR(IF('Invullen groen'!N39&lt;&gt;0,'Invullen groen'!N39,""),"")</f>
        <v/>
      </c>
      <c r="I26" s="364">
        <f>IFERROR(IF('Invullen groen'!O39&lt;&gt;0,'Invullen groen'!O39,""),"")</f>
        <v/>
      </c>
    </row>
    <row r="27" ht="14" customHeight="1">
      <c r="A27" s="287">
        <f>IFERROR(IF('Invullen groen'!E40&gt;0,40-17,""),"")</f>
        <v/>
      </c>
      <c r="B27" s="287">
        <f>IFERROR(IF('Invullen groen'!E40&gt;0,'Invullen groen'!A40,""),"")</f>
        <v/>
      </c>
      <c r="C27" s="287">
        <f>IFERROR(IF('Invullen groen'!E40&gt;0,'Invullen groen'!C40,""),"")</f>
        <v/>
      </c>
      <c r="D27" s="287">
        <f>IFERROR(IF('Invullen groen'!E40&gt;0,'Invullen groen'!D40,""),"")</f>
        <v/>
      </c>
      <c r="E27" s="287">
        <f>IFERROR(IF('Invullen groen'!E40&gt;0,'Invullen groen'!G40,""),"")</f>
        <v/>
      </c>
      <c r="F27" s="364">
        <f>IFERROR(IF('Invullen groen'!L40&lt;&gt;0,'Invullen groen'!L40,""),"")</f>
        <v/>
      </c>
      <c r="G27" s="364">
        <f>IFERROR(IF('Invullen groen'!M40&lt;&gt;0,'Invullen groen'!M40,""),"")</f>
        <v/>
      </c>
      <c r="H27" s="364">
        <f>IFERROR(IF('Invullen groen'!N40&lt;&gt;0,'Invullen groen'!N40,""),"")</f>
        <v/>
      </c>
      <c r="I27" s="364">
        <f>IFERROR(IF('Invullen groen'!O40&lt;&gt;0,'Invullen groen'!O40,""),"")</f>
        <v/>
      </c>
    </row>
    <row r="28" ht="14" customHeight="1">
      <c r="A28" s="287">
        <f>IFERROR(IF('Invullen groen'!E41&gt;0,41-17,""),"")</f>
        <v/>
      </c>
      <c r="B28" s="287">
        <f>IFERROR(IF('Invullen groen'!E41&gt;0,'Invullen groen'!A41,""),"")</f>
        <v/>
      </c>
      <c r="C28" s="287">
        <f>IFERROR(IF('Invullen groen'!E41&gt;0,'Invullen groen'!C41,""),"")</f>
        <v/>
      </c>
      <c r="D28" s="287">
        <f>IFERROR(IF('Invullen groen'!E41&gt;0,'Invullen groen'!D41,""),"")</f>
        <v/>
      </c>
      <c r="E28" s="287">
        <f>IFERROR(IF('Invullen groen'!E41&gt;0,'Invullen groen'!G41,""),"")</f>
        <v/>
      </c>
      <c r="F28" s="364">
        <f>IFERROR(IF('Invullen groen'!L41&lt;&gt;0,'Invullen groen'!L41,""),"")</f>
        <v/>
      </c>
      <c r="G28" s="364">
        <f>IFERROR(IF('Invullen groen'!M41&lt;&gt;0,'Invullen groen'!M41,""),"")</f>
        <v/>
      </c>
      <c r="H28" s="364">
        <f>IFERROR(IF('Invullen groen'!N41&lt;&gt;0,'Invullen groen'!N41,""),"")</f>
        <v/>
      </c>
      <c r="I28" s="364">
        <f>IFERROR(IF('Invullen groen'!O41&lt;&gt;0,'Invullen groen'!O41,""),"")</f>
        <v/>
      </c>
    </row>
    <row r="29" ht="14" customHeight="1">
      <c r="A29" s="287">
        <f>IFERROR(IF('Invullen groen'!E42&gt;0,42-17,""),"")</f>
        <v/>
      </c>
      <c r="B29" s="287">
        <f>IFERROR(IF('Invullen groen'!E42&gt;0,'Invullen groen'!A42,""),"")</f>
        <v/>
      </c>
      <c r="C29" s="287">
        <f>IFERROR(IF('Invullen groen'!E42&gt;0,'Invullen groen'!C42,""),"")</f>
        <v/>
      </c>
      <c r="D29" s="287">
        <f>IFERROR(IF('Invullen groen'!E42&gt;0,'Invullen groen'!D42,""),"")</f>
        <v/>
      </c>
      <c r="E29" s="287">
        <f>IFERROR(IF('Invullen groen'!E42&gt;0,'Invullen groen'!G42,""),"")</f>
        <v/>
      </c>
      <c r="F29" s="364">
        <f>IFERROR(IF('Invullen groen'!L42&lt;&gt;0,'Invullen groen'!L42,""),"")</f>
        <v/>
      </c>
      <c r="G29" s="364">
        <f>IFERROR(IF('Invullen groen'!M42&lt;&gt;0,'Invullen groen'!M42,""),"")</f>
        <v/>
      </c>
      <c r="H29" s="364">
        <f>IFERROR(IF('Invullen groen'!N42&lt;&gt;0,'Invullen groen'!N42,""),"")</f>
        <v/>
      </c>
      <c r="I29" s="364">
        <f>IFERROR(IF('Invullen groen'!O42&lt;&gt;0,'Invullen groen'!O42,""),"")</f>
        <v/>
      </c>
    </row>
    <row r="30" ht="14" customHeight="1">
      <c r="A30" s="287">
        <f>IFERROR(IF('Invullen groen'!E43&gt;0,43-17,""),"")</f>
        <v/>
      </c>
      <c r="B30" s="287">
        <f>IFERROR(IF('Invullen groen'!E43&gt;0,'Invullen groen'!A43,""),"")</f>
        <v/>
      </c>
      <c r="C30" s="287">
        <f>IFERROR(IF('Invullen groen'!E43&gt;0,'Invullen groen'!C43,""),"")</f>
        <v/>
      </c>
      <c r="D30" s="287">
        <f>IFERROR(IF('Invullen groen'!E43&gt;0,'Invullen groen'!D43,""),"")</f>
        <v/>
      </c>
      <c r="E30" s="287">
        <f>IFERROR(IF('Invullen groen'!E43&gt;0,'Invullen groen'!G43,""),"")</f>
        <v/>
      </c>
      <c r="F30" s="364">
        <f>IFERROR(IF('Invullen groen'!L43&lt;&gt;0,'Invullen groen'!L43,""),"")</f>
        <v/>
      </c>
      <c r="G30" s="364">
        <f>IFERROR(IF('Invullen groen'!M43&lt;&gt;0,'Invullen groen'!M43,""),"")</f>
        <v/>
      </c>
      <c r="H30" s="364">
        <f>IFERROR(IF('Invullen groen'!N43&lt;&gt;0,'Invullen groen'!N43,""),"")</f>
        <v/>
      </c>
      <c r="I30" s="364">
        <f>IFERROR(IF('Invullen groen'!O43&lt;&gt;0,'Invullen groen'!O43,""),"")</f>
        <v/>
      </c>
    </row>
    <row r="31" ht="14" customHeight="1">
      <c r="A31" s="287">
        <f>IFERROR(IF('Invullen groen'!E44&gt;0,44-17,""),"")</f>
        <v/>
      </c>
      <c r="B31" s="287">
        <f>IFERROR(IF('Invullen groen'!E44&gt;0,'Invullen groen'!A44,""),"")</f>
        <v/>
      </c>
      <c r="C31" s="287">
        <f>IFERROR(IF('Invullen groen'!E44&gt;0,'Invullen groen'!C44,""),"")</f>
        <v/>
      </c>
      <c r="D31" s="287">
        <f>IFERROR(IF('Invullen groen'!E44&gt;0,'Invullen groen'!D44,""),"")</f>
        <v/>
      </c>
      <c r="E31" s="287">
        <f>IFERROR(IF('Invullen groen'!E44&gt;0,'Invullen groen'!G44,""),"")</f>
        <v/>
      </c>
      <c r="F31" s="364">
        <f>IFERROR(IF('Invullen groen'!L44&lt;&gt;0,'Invullen groen'!L44,""),"")</f>
        <v/>
      </c>
      <c r="G31" s="364">
        <f>IFERROR(IF('Invullen groen'!M44&lt;&gt;0,'Invullen groen'!M44,""),"")</f>
        <v/>
      </c>
      <c r="H31" s="364">
        <f>IFERROR(IF('Invullen groen'!N44&lt;&gt;0,'Invullen groen'!N44,""),"")</f>
        <v/>
      </c>
      <c r="I31" s="364">
        <f>IFERROR(IF('Invullen groen'!O44&lt;&gt;0,'Invullen groen'!O44,""),"")</f>
        <v/>
      </c>
    </row>
    <row r="32" ht="14" customHeight="1">
      <c r="A32" s="287">
        <f>IFERROR(IF('Invullen groen'!E45&gt;0,45-17,""),"")</f>
        <v/>
      </c>
      <c r="B32" s="287">
        <f>IFERROR(IF('Invullen groen'!E45&gt;0,'Invullen groen'!A45,""),"")</f>
        <v/>
      </c>
      <c r="C32" s="287">
        <f>IFERROR(IF('Invullen groen'!E45&gt;0,'Invullen groen'!C45,""),"")</f>
        <v/>
      </c>
      <c r="D32" s="287">
        <f>IFERROR(IF('Invullen groen'!E45&gt;0,'Invullen groen'!D45,""),"")</f>
        <v/>
      </c>
      <c r="E32" s="287">
        <f>IFERROR(IF('Invullen groen'!E45&gt;0,'Invullen groen'!G45,""),"")</f>
        <v/>
      </c>
      <c r="F32" s="364">
        <f>IFERROR(IF('Invullen groen'!L45&lt;&gt;0,'Invullen groen'!L45,""),"")</f>
        <v/>
      </c>
      <c r="G32" s="364">
        <f>IFERROR(IF('Invullen groen'!M45&lt;&gt;0,'Invullen groen'!M45,""),"")</f>
        <v/>
      </c>
      <c r="H32" s="364">
        <f>IFERROR(IF('Invullen groen'!N45&lt;&gt;0,'Invullen groen'!N45,""),"")</f>
        <v/>
      </c>
      <c r="I32" s="364">
        <f>IFERROR(IF('Invullen groen'!O45&lt;&gt;0,'Invullen groen'!O45,""),"")</f>
        <v/>
      </c>
    </row>
    <row r="33" ht="14" customHeight="1">
      <c r="A33" s="287">
        <f>IFERROR(IF('Invullen groen'!E46&gt;0,46-17,""),"")</f>
        <v/>
      </c>
      <c r="B33" s="287">
        <f>IFERROR(IF('Invullen groen'!E46&gt;0,'Invullen groen'!A46,""),"")</f>
        <v/>
      </c>
      <c r="C33" s="287">
        <f>IFERROR(IF('Invullen groen'!E46&gt;0,'Invullen groen'!C46,""),"")</f>
        <v/>
      </c>
      <c r="D33" s="287">
        <f>IFERROR(IF('Invullen groen'!E46&gt;0,'Invullen groen'!D46,""),"")</f>
        <v/>
      </c>
      <c r="E33" s="287">
        <f>IFERROR(IF('Invullen groen'!E46&gt;0,'Invullen groen'!G46,""),"")</f>
        <v/>
      </c>
      <c r="F33" s="364">
        <f>IFERROR(IF('Invullen groen'!L46&lt;&gt;0,'Invullen groen'!L46,""),"")</f>
        <v/>
      </c>
      <c r="G33" s="364">
        <f>IFERROR(IF('Invullen groen'!M46&lt;&gt;0,'Invullen groen'!M46,""),"")</f>
        <v/>
      </c>
      <c r="H33" s="364">
        <f>IFERROR(IF('Invullen groen'!N46&lt;&gt;0,'Invullen groen'!N46,""),"")</f>
        <v/>
      </c>
      <c r="I33" s="364">
        <f>IFERROR(IF('Invullen groen'!O46&lt;&gt;0,'Invullen groen'!O46,""),"")</f>
        <v/>
      </c>
    </row>
    <row r="34" ht="14" customHeight="1">
      <c r="A34" s="287">
        <f>IFERROR(IF('Invullen groen'!E47&gt;0,47-17,""),"")</f>
        <v/>
      </c>
      <c r="B34" s="287">
        <f>IFERROR(IF('Invullen groen'!E47&gt;0,'Invullen groen'!A47,""),"")</f>
        <v/>
      </c>
      <c r="C34" s="287">
        <f>IFERROR(IF('Invullen groen'!E47&gt;0,'Invullen groen'!C47,""),"")</f>
        <v/>
      </c>
      <c r="D34" s="287">
        <f>IFERROR(IF('Invullen groen'!E47&gt;0,'Invullen groen'!D47,""),"")</f>
        <v/>
      </c>
      <c r="E34" s="287">
        <f>IFERROR(IF('Invullen groen'!E47&gt;0,'Invullen groen'!G47,""),"")</f>
        <v/>
      </c>
      <c r="F34" s="364">
        <f>IFERROR(IF('Invullen groen'!L47&lt;&gt;0,'Invullen groen'!L47,""),"")</f>
        <v/>
      </c>
      <c r="G34" s="364">
        <f>IFERROR(IF('Invullen groen'!M47&lt;&gt;0,'Invullen groen'!M47,""),"")</f>
        <v/>
      </c>
      <c r="H34" s="364">
        <f>IFERROR(IF('Invullen groen'!N47&lt;&gt;0,'Invullen groen'!N47,""),"")</f>
        <v/>
      </c>
      <c r="I34" s="364">
        <f>IFERROR(IF('Invullen groen'!O47&lt;&gt;0,'Invullen groen'!O47,""),"")</f>
        <v/>
      </c>
    </row>
    <row r="35" ht="14" customHeight="1">
      <c r="A35" s="287">
        <f>IFERROR(IF('Invullen groen'!E48&gt;0,48-17,""),"")</f>
        <v/>
      </c>
      <c r="B35" s="287">
        <f>IFERROR(IF('Invullen groen'!E48&gt;0,'Invullen groen'!A48,""),"")</f>
        <v/>
      </c>
      <c r="C35" s="287">
        <f>IFERROR(IF('Invullen groen'!E48&gt;0,'Invullen groen'!C48,""),"")</f>
        <v/>
      </c>
      <c r="D35" s="287">
        <f>IFERROR(IF('Invullen groen'!E48&gt;0,'Invullen groen'!D48,""),"")</f>
        <v/>
      </c>
      <c r="E35" s="287">
        <f>IFERROR(IF('Invullen groen'!E48&gt;0,'Invullen groen'!G48,""),"")</f>
        <v/>
      </c>
      <c r="F35" s="364">
        <f>IFERROR(IF('Invullen groen'!L48&lt;&gt;0,'Invullen groen'!L48,""),"")</f>
        <v/>
      </c>
      <c r="G35" s="364">
        <f>IFERROR(IF('Invullen groen'!M48&lt;&gt;0,'Invullen groen'!M48,""),"")</f>
        <v/>
      </c>
      <c r="H35" s="364">
        <f>IFERROR(IF('Invullen groen'!N48&lt;&gt;0,'Invullen groen'!N48,""),"")</f>
        <v/>
      </c>
      <c r="I35" s="364">
        <f>IFERROR(IF('Invullen groen'!O48&lt;&gt;0,'Invullen groen'!O48,""),"")</f>
        <v/>
      </c>
    </row>
    <row r="36" ht="14" customHeight="1">
      <c r="A36" s="287">
        <f>IFERROR(IF('Invullen groen'!E49&gt;0,49-17,""),"")</f>
        <v/>
      </c>
      <c r="B36" s="287">
        <f>IFERROR(IF('Invullen groen'!E49&gt;0,'Invullen groen'!A49,""),"")</f>
        <v/>
      </c>
      <c r="C36" s="287">
        <f>IFERROR(IF('Invullen groen'!E49&gt;0,'Invullen groen'!C49,""),"")</f>
        <v/>
      </c>
      <c r="D36" s="287">
        <f>IFERROR(IF('Invullen groen'!E49&gt;0,'Invullen groen'!D49,""),"")</f>
        <v/>
      </c>
      <c r="E36" s="287">
        <f>IFERROR(IF('Invullen groen'!E49&gt;0,'Invullen groen'!G49,""),"")</f>
        <v/>
      </c>
      <c r="F36" s="364">
        <f>IFERROR(IF('Invullen groen'!L49&lt;&gt;0,'Invullen groen'!L49,""),"")</f>
        <v/>
      </c>
      <c r="G36" s="364">
        <f>IFERROR(IF('Invullen groen'!M49&lt;&gt;0,'Invullen groen'!M49,""),"")</f>
        <v/>
      </c>
      <c r="H36" s="364">
        <f>IFERROR(IF('Invullen groen'!N49&lt;&gt;0,'Invullen groen'!N49,""),"")</f>
        <v/>
      </c>
      <c r="I36" s="364">
        <f>IFERROR(IF('Invullen groen'!O49&lt;&gt;0,'Invullen groen'!O49,""),"")</f>
        <v/>
      </c>
    </row>
    <row r="37" ht="14" customHeight="1">
      <c r="A37" s="287">
        <f>IFERROR(IF('Invullen groen'!E50&gt;0,50-17,""),"")</f>
        <v/>
      </c>
      <c r="B37" s="287">
        <f>IFERROR(IF('Invullen groen'!E50&gt;0,'Invullen groen'!A50,""),"")</f>
        <v/>
      </c>
      <c r="C37" s="287">
        <f>IFERROR(IF('Invullen groen'!E50&gt;0,'Invullen groen'!C50,""),"")</f>
        <v/>
      </c>
      <c r="D37" s="287">
        <f>IFERROR(IF('Invullen groen'!E50&gt;0,'Invullen groen'!D50,""),"")</f>
        <v/>
      </c>
      <c r="E37" s="287">
        <f>IFERROR(IF('Invullen groen'!E50&gt;0,'Invullen groen'!G50,""),"")</f>
        <v/>
      </c>
      <c r="F37" s="364">
        <f>IFERROR(IF('Invullen groen'!L50&lt;&gt;0,'Invullen groen'!L50,""),"")</f>
        <v/>
      </c>
      <c r="G37" s="364">
        <f>IFERROR(IF('Invullen groen'!M50&lt;&gt;0,'Invullen groen'!M50,""),"")</f>
        <v/>
      </c>
      <c r="H37" s="364">
        <f>IFERROR(IF('Invullen groen'!N50&lt;&gt;0,'Invullen groen'!N50,""),"")</f>
        <v/>
      </c>
      <c r="I37" s="364">
        <f>IFERROR(IF('Invullen groen'!O50&lt;&gt;0,'Invullen groen'!O50,""),"")</f>
        <v/>
      </c>
    </row>
    <row r="38" ht="14" customHeight="1">
      <c r="A38" s="287">
        <f>IFERROR(IF('Invullen groen'!E51&gt;0,51-17,""),"")</f>
        <v/>
      </c>
      <c r="B38" s="287">
        <f>IFERROR(IF('Invullen groen'!E51&gt;0,'Invullen groen'!A51,""),"")</f>
        <v/>
      </c>
      <c r="C38" s="287">
        <f>IFERROR(IF('Invullen groen'!E51&gt;0,'Invullen groen'!C51,""),"")</f>
        <v/>
      </c>
      <c r="D38" s="287">
        <f>IFERROR(IF('Invullen groen'!E51&gt;0,'Invullen groen'!D51,""),"")</f>
        <v/>
      </c>
      <c r="E38" s="287">
        <f>IFERROR(IF('Invullen groen'!E51&gt;0,'Invullen groen'!G51,""),"")</f>
        <v/>
      </c>
      <c r="F38" s="364">
        <f>IFERROR(IF('Invullen groen'!L51&lt;&gt;0,'Invullen groen'!L51,""),"")</f>
        <v/>
      </c>
      <c r="G38" s="364">
        <f>IFERROR(IF('Invullen groen'!M51&lt;&gt;0,'Invullen groen'!M51,""),"")</f>
        <v/>
      </c>
      <c r="H38" s="364">
        <f>IFERROR(IF('Invullen groen'!N51&lt;&gt;0,'Invullen groen'!N51,""),"")</f>
        <v/>
      </c>
      <c r="I38" s="364">
        <f>IFERROR(IF('Invullen groen'!O51&lt;&gt;0,'Invullen groen'!O51,""),"")</f>
        <v/>
      </c>
    </row>
    <row r="39" ht="14" customHeight="1">
      <c r="A39" s="287">
        <f>IFERROR(IF('Invullen groen'!E52&gt;0,52-17,""),"")</f>
        <v/>
      </c>
      <c r="B39" s="287">
        <f>IFERROR(IF('Invullen groen'!E52&gt;0,'Invullen groen'!A52,""),"")</f>
        <v/>
      </c>
      <c r="C39" s="287">
        <f>IFERROR(IF('Invullen groen'!E52&gt;0,'Invullen groen'!C52,""),"")</f>
        <v/>
      </c>
      <c r="D39" s="287">
        <f>IFERROR(IF('Invullen groen'!E52&gt;0,'Invullen groen'!D52,""),"")</f>
        <v/>
      </c>
      <c r="E39" s="287">
        <f>IFERROR(IF('Invullen groen'!E52&gt;0,'Invullen groen'!G52,""),"")</f>
        <v/>
      </c>
      <c r="F39" s="364">
        <f>IFERROR(IF('Invullen groen'!L52&lt;&gt;0,'Invullen groen'!L52,""),"")</f>
        <v/>
      </c>
      <c r="G39" s="364">
        <f>IFERROR(IF('Invullen groen'!M52&lt;&gt;0,'Invullen groen'!M52,""),"")</f>
        <v/>
      </c>
      <c r="H39" s="364">
        <f>IFERROR(IF('Invullen groen'!N52&lt;&gt;0,'Invullen groen'!N52,""),"")</f>
        <v/>
      </c>
      <c r="I39" s="364">
        <f>IFERROR(IF('Invullen groen'!O52&lt;&gt;0,'Invullen groen'!O52,""),"")</f>
        <v/>
      </c>
    </row>
    <row r="40" ht="14" customHeight="1">
      <c r="A40" s="287">
        <f>IFERROR(IF('Invullen groen'!E53&gt;0,53-17,""),"")</f>
        <v/>
      </c>
      <c r="B40" s="287">
        <f>IFERROR(IF('Invullen groen'!E53&gt;0,'Invullen groen'!A53,""),"")</f>
        <v/>
      </c>
      <c r="C40" s="287">
        <f>IFERROR(IF('Invullen groen'!E53&gt;0,'Invullen groen'!C53,""),"")</f>
        <v/>
      </c>
      <c r="D40" s="287">
        <f>IFERROR(IF('Invullen groen'!E53&gt;0,'Invullen groen'!D53,""),"")</f>
        <v/>
      </c>
      <c r="E40" s="287">
        <f>IFERROR(IF('Invullen groen'!E53&gt;0,'Invullen groen'!G53,""),"")</f>
        <v/>
      </c>
      <c r="F40" s="364">
        <f>IFERROR(IF('Invullen groen'!L53&lt;&gt;0,'Invullen groen'!L53,""),"")</f>
        <v/>
      </c>
      <c r="G40" s="364">
        <f>IFERROR(IF('Invullen groen'!M53&lt;&gt;0,'Invullen groen'!M53,""),"")</f>
        <v/>
      </c>
      <c r="H40" s="364">
        <f>IFERROR(IF('Invullen groen'!N53&lt;&gt;0,'Invullen groen'!N53,""),"")</f>
        <v/>
      </c>
      <c r="I40" s="364">
        <f>IFERROR(IF('Invullen groen'!O53&lt;&gt;0,'Invullen groen'!O53,""),"")</f>
        <v/>
      </c>
    </row>
    <row r="41" ht="14" customHeight="1">
      <c r="A41" s="287">
        <f>IFERROR(IF('Invullen groen'!E54&gt;0,54-17,""),"")</f>
        <v/>
      </c>
      <c r="B41" s="287">
        <f>IFERROR(IF('Invullen groen'!E54&gt;0,'Invullen groen'!A54,""),"")</f>
        <v/>
      </c>
      <c r="C41" s="287">
        <f>IFERROR(IF('Invullen groen'!E54&gt;0,'Invullen groen'!C54,""),"")</f>
        <v/>
      </c>
      <c r="D41" s="287">
        <f>IFERROR(IF('Invullen groen'!E54&gt;0,'Invullen groen'!D54,""),"")</f>
        <v/>
      </c>
      <c r="E41" s="287">
        <f>IFERROR(IF('Invullen groen'!E54&gt;0,'Invullen groen'!G54,""),"")</f>
        <v/>
      </c>
      <c r="F41" s="364">
        <f>IFERROR(IF('Invullen groen'!L54&lt;&gt;0,'Invullen groen'!L54,""),"")</f>
        <v/>
      </c>
      <c r="G41" s="364">
        <f>IFERROR(IF('Invullen groen'!M54&lt;&gt;0,'Invullen groen'!M54,""),"")</f>
        <v/>
      </c>
      <c r="H41" s="364">
        <f>IFERROR(IF('Invullen groen'!N54&lt;&gt;0,'Invullen groen'!N54,""),"")</f>
        <v/>
      </c>
      <c r="I41" s="364">
        <f>IFERROR(IF('Invullen groen'!O54&lt;&gt;0,'Invullen groen'!O54,""),"")</f>
        <v/>
      </c>
    </row>
    <row r="42" ht="14" customHeight="1">
      <c r="A42" s="287">
        <f>IFERROR(IF('Invullen groen'!E55&gt;0,55-17,""),"")</f>
        <v/>
      </c>
      <c r="B42" s="287">
        <f>IFERROR(IF('Invullen groen'!E55&gt;0,'Invullen groen'!A55,""),"")</f>
        <v/>
      </c>
      <c r="C42" s="287">
        <f>IFERROR(IF('Invullen groen'!E55&gt;0,'Invullen groen'!C55,""),"")</f>
        <v/>
      </c>
      <c r="D42" s="287">
        <f>IFERROR(IF('Invullen groen'!E55&gt;0,'Invullen groen'!D55,""),"")</f>
        <v/>
      </c>
      <c r="E42" s="287">
        <f>IFERROR(IF('Invullen groen'!E55&gt;0,'Invullen groen'!G55,""),"")</f>
        <v/>
      </c>
      <c r="F42" s="364">
        <f>IFERROR(IF('Invullen groen'!L55&lt;&gt;0,'Invullen groen'!L55,""),"")</f>
        <v/>
      </c>
      <c r="G42" s="364">
        <f>IFERROR(IF('Invullen groen'!M55&lt;&gt;0,'Invullen groen'!M55,""),"")</f>
        <v/>
      </c>
      <c r="H42" s="364">
        <f>IFERROR(IF('Invullen groen'!N55&lt;&gt;0,'Invullen groen'!N55,""),"")</f>
        <v/>
      </c>
      <c r="I42" s="364">
        <f>IFERROR(IF('Invullen groen'!O55&lt;&gt;0,'Invullen groen'!O55,""),"")</f>
        <v/>
      </c>
    </row>
    <row r="43" ht="14" customHeight="1">
      <c r="A43" s="287">
        <f>IFERROR(IF('Invullen groen'!E56&gt;0,56-17,""),"")</f>
        <v/>
      </c>
      <c r="B43" s="287">
        <f>IFERROR(IF('Invullen groen'!E56&gt;0,'Invullen groen'!A56,""),"")</f>
        <v/>
      </c>
      <c r="C43" s="287">
        <f>IFERROR(IF('Invullen groen'!E56&gt;0,'Invullen groen'!C56,""),"")</f>
        <v/>
      </c>
      <c r="D43" s="287">
        <f>IFERROR(IF('Invullen groen'!E56&gt;0,'Invullen groen'!D56,""),"")</f>
        <v/>
      </c>
      <c r="E43" s="287">
        <f>IFERROR(IF('Invullen groen'!E56&gt;0,'Invullen groen'!G56,""),"")</f>
        <v/>
      </c>
      <c r="F43" s="364">
        <f>IFERROR(IF('Invullen groen'!L56&lt;&gt;0,'Invullen groen'!L56,""),"")</f>
        <v/>
      </c>
      <c r="G43" s="364">
        <f>IFERROR(IF('Invullen groen'!M56&lt;&gt;0,'Invullen groen'!M56,""),"")</f>
        <v/>
      </c>
      <c r="H43" s="364">
        <f>IFERROR(IF('Invullen groen'!N56&lt;&gt;0,'Invullen groen'!N56,""),"")</f>
        <v/>
      </c>
      <c r="I43" s="364">
        <f>IFERROR(IF('Invullen groen'!O56&lt;&gt;0,'Invullen groen'!O56,""),"")</f>
        <v/>
      </c>
    </row>
    <row r="44" ht="14" customHeight="1">
      <c r="A44" s="287">
        <f>IFERROR(IF('Invullen groen'!E57&gt;0,57-17,""),"")</f>
        <v/>
      </c>
      <c r="B44" s="287">
        <f>IFERROR(IF('Invullen groen'!E57&gt;0,'Invullen groen'!A57,""),"")</f>
        <v/>
      </c>
      <c r="C44" s="287">
        <f>IFERROR(IF('Invullen groen'!E57&gt;0,'Invullen groen'!C57,""),"")</f>
        <v/>
      </c>
      <c r="D44" s="287">
        <f>IFERROR(IF('Invullen groen'!E57&gt;0,'Invullen groen'!D57,""),"")</f>
        <v/>
      </c>
      <c r="E44" s="287">
        <f>IFERROR(IF('Invullen groen'!E57&gt;0,'Invullen groen'!G57,""),"")</f>
        <v/>
      </c>
      <c r="F44" s="364">
        <f>IFERROR(IF('Invullen groen'!L57&lt;&gt;0,'Invullen groen'!L57,""),"")</f>
        <v/>
      </c>
      <c r="G44" s="364">
        <f>IFERROR(IF('Invullen groen'!M57&lt;&gt;0,'Invullen groen'!M57,""),"")</f>
        <v/>
      </c>
      <c r="H44" s="364">
        <f>IFERROR(IF('Invullen groen'!N57&lt;&gt;0,'Invullen groen'!N57,""),"")</f>
        <v/>
      </c>
      <c r="I44" s="364">
        <f>IFERROR(IF('Invullen groen'!O57&lt;&gt;0,'Invullen groen'!O57,""),"")</f>
        <v/>
      </c>
    </row>
    <row r="45" ht="14" customHeight="1">
      <c r="A45" s="287">
        <f>IFERROR(IF('Invullen groen'!E58&gt;0,58-17,""),"")</f>
        <v/>
      </c>
      <c r="B45" s="287">
        <f>IFERROR(IF('Invullen groen'!E58&gt;0,'Invullen groen'!A58,""),"")</f>
        <v/>
      </c>
      <c r="C45" s="287">
        <f>IFERROR(IF('Invullen groen'!E58&gt;0,'Invullen groen'!C58,""),"")</f>
        <v/>
      </c>
      <c r="D45" s="287">
        <f>IFERROR(IF('Invullen groen'!E58&gt;0,'Invullen groen'!D58,""),"")</f>
        <v/>
      </c>
      <c r="E45" s="287">
        <f>IFERROR(IF('Invullen groen'!E58&gt;0,'Invullen groen'!G58,""),"")</f>
        <v/>
      </c>
      <c r="F45" s="364">
        <f>IFERROR(IF('Invullen groen'!L58&lt;&gt;0,'Invullen groen'!L58,""),"")</f>
        <v/>
      </c>
      <c r="G45" s="364">
        <f>IFERROR(IF('Invullen groen'!M58&lt;&gt;0,'Invullen groen'!M58,""),"")</f>
        <v/>
      </c>
      <c r="H45" s="364">
        <f>IFERROR(IF('Invullen groen'!N58&lt;&gt;0,'Invullen groen'!N58,""),"")</f>
        <v/>
      </c>
      <c r="I45" s="364">
        <f>IFERROR(IF('Invullen groen'!O58&lt;&gt;0,'Invullen groen'!O58,""),"")</f>
        <v/>
      </c>
    </row>
    <row r="46" ht="14" customHeight="1">
      <c r="A46" s="287">
        <f>IFERROR(IF('Invullen groen'!E59&gt;0,59-17,""),"")</f>
        <v/>
      </c>
      <c r="B46" s="287">
        <f>IFERROR(IF('Invullen groen'!E59&gt;0,'Invullen groen'!A59,""),"")</f>
        <v/>
      </c>
      <c r="C46" s="287">
        <f>IFERROR(IF('Invullen groen'!E59&gt;0,'Invullen groen'!C59,""),"")</f>
        <v/>
      </c>
      <c r="D46" s="287">
        <f>IFERROR(IF('Invullen groen'!E59&gt;0,'Invullen groen'!D59,""),"")</f>
        <v/>
      </c>
      <c r="E46" s="287">
        <f>IFERROR(IF('Invullen groen'!E59&gt;0,'Invullen groen'!G59,""),"")</f>
        <v/>
      </c>
      <c r="F46" s="364">
        <f>IFERROR(IF('Invullen groen'!L59&lt;&gt;0,'Invullen groen'!L59,""),"")</f>
        <v/>
      </c>
      <c r="G46" s="364">
        <f>IFERROR(IF('Invullen groen'!M59&lt;&gt;0,'Invullen groen'!M59,""),"")</f>
        <v/>
      </c>
      <c r="H46" s="364">
        <f>IFERROR(IF('Invullen groen'!N59&lt;&gt;0,'Invullen groen'!N59,""),"")</f>
        <v/>
      </c>
      <c r="I46" s="364">
        <f>IFERROR(IF('Invullen groen'!O59&lt;&gt;0,'Invullen groen'!O59,""),"")</f>
        <v/>
      </c>
    </row>
    <row r="47" ht="14" customHeight="1">
      <c r="A47" s="287">
        <f>IFERROR(IF('Invullen groen'!E60&gt;0,60-17,""),"")</f>
        <v/>
      </c>
      <c r="B47" s="287">
        <f>IFERROR(IF('Invullen groen'!E60&gt;0,'Invullen groen'!A60,""),"")</f>
        <v/>
      </c>
      <c r="C47" s="287">
        <f>IFERROR(IF('Invullen groen'!E60&gt;0,'Invullen groen'!C60,""),"")</f>
        <v/>
      </c>
      <c r="D47" s="287">
        <f>IFERROR(IF('Invullen groen'!E60&gt;0,'Invullen groen'!D60,""),"")</f>
        <v/>
      </c>
      <c r="E47" s="287">
        <f>IFERROR(IF('Invullen groen'!E60&gt;0,'Invullen groen'!G60,""),"")</f>
        <v/>
      </c>
      <c r="F47" s="364">
        <f>IFERROR(IF('Invullen groen'!L60&lt;&gt;0,'Invullen groen'!L60,""),"")</f>
        <v/>
      </c>
      <c r="G47" s="364">
        <f>IFERROR(IF('Invullen groen'!M60&lt;&gt;0,'Invullen groen'!M60,""),"")</f>
        <v/>
      </c>
      <c r="H47" s="364">
        <f>IFERROR(IF('Invullen groen'!N60&lt;&gt;0,'Invullen groen'!N60,""),"")</f>
        <v/>
      </c>
      <c r="I47" s="364">
        <f>IFERROR(IF('Invullen groen'!O60&lt;&gt;0,'Invullen groen'!O60,""),"")</f>
        <v/>
      </c>
    </row>
    <row r="48" ht="14" customHeight="1">
      <c r="A48" s="287">
        <f>IFERROR(IF('Invullen groen'!E61&gt;0,61-17,""),"")</f>
        <v/>
      </c>
      <c r="B48" s="287">
        <f>IFERROR(IF('Invullen groen'!E61&gt;0,'Invullen groen'!A61,""),"")</f>
        <v/>
      </c>
      <c r="C48" s="287">
        <f>IFERROR(IF('Invullen groen'!E61&gt;0,'Invullen groen'!C61,""),"")</f>
        <v/>
      </c>
      <c r="D48" s="287">
        <f>IFERROR(IF('Invullen groen'!E61&gt;0,'Invullen groen'!D61,""),"")</f>
        <v/>
      </c>
      <c r="E48" s="287">
        <f>IFERROR(IF('Invullen groen'!E61&gt;0,'Invullen groen'!G61,""),"")</f>
        <v/>
      </c>
      <c r="F48" s="364">
        <f>IFERROR(IF('Invullen groen'!L61&lt;&gt;0,'Invullen groen'!L61,""),"")</f>
        <v/>
      </c>
      <c r="G48" s="364">
        <f>IFERROR(IF('Invullen groen'!M61&lt;&gt;0,'Invullen groen'!M61,""),"")</f>
        <v/>
      </c>
      <c r="H48" s="364">
        <f>IFERROR(IF('Invullen groen'!N61&lt;&gt;0,'Invullen groen'!N61,""),"")</f>
        <v/>
      </c>
      <c r="I48" s="364">
        <f>IFERROR(IF('Invullen groen'!O61&lt;&gt;0,'Invullen groen'!O61,""),"")</f>
        <v/>
      </c>
    </row>
    <row r="49" ht="14" customHeight="1">
      <c r="A49" s="287">
        <f>IFERROR(IF('Invullen groen'!E62&gt;0,62-17,""),"")</f>
        <v/>
      </c>
      <c r="B49" s="287">
        <f>IFERROR(IF('Invullen groen'!E62&gt;0,'Invullen groen'!A62,""),"")</f>
        <v/>
      </c>
      <c r="C49" s="287">
        <f>IFERROR(IF('Invullen groen'!E62&gt;0,'Invullen groen'!C62,""),"")</f>
        <v/>
      </c>
      <c r="D49" s="287">
        <f>IFERROR(IF('Invullen groen'!E62&gt;0,'Invullen groen'!D62,""),"")</f>
        <v/>
      </c>
      <c r="E49" s="287">
        <f>IFERROR(IF('Invullen groen'!E62&gt;0,'Invullen groen'!G62,""),"")</f>
        <v/>
      </c>
      <c r="F49" s="364">
        <f>IFERROR(IF('Invullen groen'!L62&lt;&gt;0,'Invullen groen'!L62,""),"")</f>
        <v/>
      </c>
      <c r="G49" s="364">
        <f>IFERROR(IF('Invullen groen'!M62&lt;&gt;0,'Invullen groen'!M62,""),"")</f>
        <v/>
      </c>
      <c r="H49" s="364">
        <f>IFERROR(IF('Invullen groen'!N62&lt;&gt;0,'Invullen groen'!N62,""),"")</f>
        <v/>
      </c>
      <c r="I49" s="364">
        <f>IFERROR(IF('Invullen groen'!O62&lt;&gt;0,'Invullen groen'!O62,""),"")</f>
        <v/>
      </c>
    </row>
    <row r="50" ht="14" customHeight="1">
      <c r="A50" s="287">
        <f>IFERROR(IF('Invullen groen'!E63&gt;0,63-17,""),"")</f>
        <v/>
      </c>
      <c r="B50" s="287">
        <f>IFERROR(IF('Invullen groen'!E63&gt;0,'Invullen groen'!A63,""),"")</f>
        <v/>
      </c>
      <c r="C50" s="287">
        <f>IFERROR(IF('Invullen groen'!E63&gt;0,'Invullen groen'!C63,""),"")</f>
        <v/>
      </c>
      <c r="D50" s="287">
        <f>IFERROR(IF('Invullen groen'!E63&gt;0,'Invullen groen'!D63,""),"")</f>
        <v/>
      </c>
      <c r="E50" s="287">
        <f>IFERROR(IF('Invullen groen'!E63&gt;0,'Invullen groen'!G63,""),"")</f>
        <v/>
      </c>
      <c r="F50" s="364">
        <f>IFERROR(IF('Invullen groen'!L63&lt;&gt;0,'Invullen groen'!L63,""),"")</f>
        <v/>
      </c>
      <c r="G50" s="364">
        <f>IFERROR(IF('Invullen groen'!M63&lt;&gt;0,'Invullen groen'!M63,""),"")</f>
        <v/>
      </c>
      <c r="H50" s="364">
        <f>IFERROR(IF('Invullen groen'!N63&lt;&gt;0,'Invullen groen'!N63,""),"")</f>
        <v/>
      </c>
      <c r="I50" s="364">
        <f>IFERROR(IF('Invullen groen'!O63&lt;&gt;0,'Invullen groen'!O63,""),"")</f>
        <v/>
      </c>
    </row>
    <row r="51" ht="14" customHeight="1">
      <c r="A51" s="287">
        <f>IFERROR(IF('Invullen groen'!E64&gt;0,64-17,""),"")</f>
        <v/>
      </c>
      <c r="B51" s="287">
        <f>IFERROR(IF('Invullen groen'!E64&gt;0,'Invullen groen'!A64,""),"")</f>
        <v/>
      </c>
      <c r="C51" s="287">
        <f>IFERROR(IF('Invullen groen'!E64&gt;0,'Invullen groen'!C64,""),"")</f>
        <v/>
      </c>
      <c r="D51" s="287">
        <f>IFERROR(IF('Invullen groen'!E64&gt;0,'Invullen groen'!D64,""),"")</f>
        <v/>
      </c>
      <c r="E51" s="287">
        <f>IFERROR(IF('Invullen groen'!E64&gt;0,'Invullen groen'!G64,""),"")</f>
        <v/>
      </c>
      <c r="F51" s="364">
        <f>IFERROR(IF('Invullen groen'!L64&lt;&gt;0,'Invullen groen'!L64,""),"")</f>
        <v/>
      </c>
      <c r="G51" s="364">
        <f>IFERROR(IF('Invullen groen'!M64&lt;&gt;0,'Invullen groen'!M64,""),"")</f>
        <v/>
      </c>
      <c r="H51" s="364">
        <f>IFERROR(IF('Invullen groen'!N64&lt;&gt;0,'Invullen groen'!N64,""),"")</f>
        <v/>
      </c>
      <c r="I51" s="364">
        <f>IFERROR(IF('Invullen groen'!O64&lt;&gt;0,'Invullen groen'!O64,""),"")</f>
        <v/>
      </c>
    </row>
    <row r="52" ht="14" customHeight="1">
      <c r="A52" s="287">
        <f>IFERROR(IF('Invullen groen'!E65&gt;0,65-17,""),"")</f>
        <v/>
      </c>
      <c r="B52" s="287">
        <f>IFERROR(IF('Invullen groen'!E65&gt;0,'Invullen groen'!A65,""),"")</f>
        <v/>
      </c>
      <c r="C52" s="287">
        <f>IFERROR(IF('Invullen groen'!E65&gt;0,'Invullen groen'!C65,""),"")</f>
        <v/>
      </c>
      <c r="D52" s="287">
        <f>IFERROR(IF('Invullen groen'!E65&gt;0,'Invullen groen'!D65,""),"")</f>
        <v/>
      </c>
      <c r="E52" s="287">
        <f>IFERROR(IF('Invullen groen'!E65&gt;0,'Invullen groen'!G65,""),"")</f>
        <v/>
      </c>
      <c r="F52" s="364">
        <f>IFERROR(IF('Invullen groen'!L65&lt;&gt;0,'Invullen groen'!L65,""),"")</f>
        <v/>
      </c>
      <c r="G52" s="364">
        <f>IFERROR(IF('Invullen groen'!M65&lt;&gt;0,'Invullen groen'!M65,""),"")</f>
        <v/>
      </c>
      <c r="H52" s="364">
        <f>IFERROR(IF('Invullen groen'!N65&lt;&gt;0,'Invullen groen'!N65,""),"")</f>
        <v/>
      </c>
      <c r="I52" s="364">
        <f>IFERROR(IF('Invullen groen'!O65&lt;&gt;0,'Invullen groen'!O65,""),"")</f>
        <v/>
      </c>
    </row>
    <row r="53" ht="14" customHeight="1">
      <c r="A53" s="287">
        <f>IFERROR(IF('Invullen groen'!E66&gt;0,66-17,""),"")</f>
        <v/>
      </c>
      <c r="B53" s="287">
        <f>IFERROR(IF('Invullen groen'!E66&gt;0,'Invullen groen'!A66,""),"")</f>
        <v/>
      </c>
      <c r="C53" s="287">
        <f>IFERROR(IF('Invullen groen'!E66&gt;0,'Invullen groen'!C66,""),"")</f>
        <v/>
      </c>
      <c r="D53" s="287">
        <f>IFERROR(IF('Invullen groen'!E66&gt;0,'Invullen groen'!D66,""),"")</f>
        <v/>
      </c>
      <c r="E53" s="287">
        <f>IFERROR(IF('Invullen groen'!E66&gt;0,'Invullen groen'!G66,""),"")</f>
        <v/>
      </c>
      <c r="F53" s="364">
        <f>IFERROR(IF('Invullen groen'!L66&lt;&gt;0,'Invullen groen'!L66,""),"")</f>
        <v/>
      </c>
      <c r="G53" s="364">
        <f>IFERROR(IF('Invullen groen'!M66&lt;&gt;0,'Invullen groen'!M66,""),"")</f>
        <v/>
      </c>
      <c r="H53" s="364">
        <f>IFERROR(IF('Invullen groen'!N66&lt;&gt;0,'Invullen groen'!N66,""),"")</f>
        <v/>
      </c>
      <c r="I53" s="364">
        <f>IFERROR(IF('Invullen groen'!O66&lt;&gt;0,'Invullen groen'!O66,""),"")</f>
        <v/>
      </c>
    </row>
    <row r="54" ht="14" customHeight="1">
      <c r="A54" s="287">
        <f>IFERROR(IF('Invullen groen'!E67&gt;0,67-17,""),"")</f>
        <v/>
      </c>
      <c r="B54" s="287">
        <f>IFERROR(IF('Invullen groen'!E67&gt;0,'Invullen groen'!A67,""),"")</f>
        <v/>
      </c>
      <c r="C54" s="287">
        <f>IFERROR(IF('Invullen groen'!E67&gt;0,'Invullen groen'!C67,""),"")</f>
        <v/>
      </c>
      <c r="D54" s="287">
        <f>IFERROR(IF('Invullen groen'!E67&gt;0,'Invullen groen'!D67,""),"")</f>
        <v/>
      </c>
      <c r="E54" s="287">
        <f>IFERROR(IF('Invullen groen'!E67&gt;0,'Invullen groen'!G67,""),"")</f>
        <v/>
      </c>
      <c r="F54" s="364">
        <f>IFERROR(IF('Invullen groen'!L67&lt;&gt;0,'Invullen groen'!L67,""),"")</f>
        <v/>
      </c>
      <c r="G54" s="364">
        <f>IFERROR(IF('Invullen groen'!M67&lt;&gt;0,'Invullen groen'!M67,""),"")</f>
        <v/>
      </c>
      <c r="H54" s="364">
        <f>IFERROR(IF('Invullen groen'!N67&lt;&gt;0,'Invullen groen'!N67,""),"")</f>
        <v/>
      </c>
      <c r="I54" s="364">
        <f>IFERROR(IF('Invullen groen'!O67&lt;&gt;0,'Invullen groen'!O67,""),"")</f>
        <v/>
      </c>
    </row>
    <row r="55" ht="14" customHeight="1">
      <c r="A55" s="287">
        <f>IFERROR(IF('Invullen groen'!E68&gt;0,68-17,""),"")</f>
        <v/>
      </c>
      <c r="B55" s="287">
        <f>IFERROR(IF('Invullen groen'!E68&gt;0,'Invullen groen'!A68,""),"")</f>
        <v/>
      </c>
      <c r="C55" s="287">
        <f>IFERROR(IF('Invullen groen'!E68&gt;0,'Invullen groen'!C68,""),"")</f>
        <v/>
      </c>
      <c r="D55" s="287">
        <f>IFERROR(IF('Invullen groen'!E68&gt;0,'Invullen groen'!D68,""),"")</f>
        <v/>
      </c>
      <c r="E55" s="287">
        <f>IFERROR(IF('Invullen groen'!E68&gt;0,'Invullen groen'!G68,""),"")</f>
        <v/>
      </c>
      <c r="F55" s="364">
        <f>IFERROR(IF('Invullen groen'!L68&lt;&gt;0,'Invullen groen'!L68,""),"")</f>
        <v/>
      </c>
      <c r="G55" s="364">
        <f>IFERROR(IF('Invullen groen'!M68&lt;&gt;0,'Invullen groen'!M68,""),"")</f>
        <v/>
      </c>
      <c r="H55" s="364">
        <f>IFERROR(IF('Invullen groen'!N68&lt;&gt;0,'Invullen groen'!N68,""),"")</f>
        <v/>
      </c>
      <c r="I55" s="364">
        <f>IFERROR(IF('Invullen groen'!O68&lt;&gt;0,'Invullen groen'!O68,""),"")</f>
        <v/>
      </c>
    </row>
    <row r="56" ht="14" customHeight="1">
      <c r="A56" s="287">
        <f>IFERROR(IF('Invullen groen'!E69&gt;0,69-17,""),"")</f>
        <v/>
      </c>
      <c r="B56" s="287">
        <f>IFERROR(IF('Invullen groen'!E69&gt;0,'Invullen groen'!A69,""),"")</f>
        <v/>
      </c>
      <c r="C56" s="287">
        <f>IFERROR(IF('Invullen groen'!E69&gt;0,'Invullen groen'!C69,""),"")</f>
        <v/>
      </c>
      <c r="D56" s="287">
        <f>IFERROR(IF('Invullen groen'!E69&gt;0,'Invullen groen'!D69,""),"")</f>
        <v/>
      </c>
      <c r="E56" s="287">
        <f>IFERROR(IF('Invullen groen'!E69&gt;0,'Invullen groen'!G69,""),"")</f>
        <v/>
      </c>
      <c r="F56" s="364">
        <f>IFERROR(IF('Invullen groen'!L69&lt;&gt;0,'Invullen groen'!L69,""),"")</f>
        <v/>
      </c>
      <c r="G56" s="364">
        <f>IFERROR(IF('Invullen groen'!M69&lt;&gt;0,'Invullen groen'!M69,""),"")</f>
        <v/>
      </c>
      <c r="H56" s="364">
        <f>IFERROR(IF('Invullen groen'!N69&lt;&gt;0,'Invullen groen'!N69,""),"")</f>
        <v/>
      </c>
      <c r="I56" s="364">
        <f>IFERROR(IF('Invullen groen'!O69&lt;&gt;0,'Invullen groen'!O69,""),"")</f>
        <v/>
      </c>
    </row>
    <row r="57" ht="14" customHeight="1">
      <c r="A57" s="287">
        <f>IFERROR(IF('Invullen groen'!E70&gt;0,70-17,""),"")</f>
        <v/>
      </c>
      <c r="B57" s="287">
        <f>IFERROR(IF('Invullen groen'!E70&gt;0,'Invullen groen'!A70,""),"")</f>
        <v/>
      </c>
      <c r="C57" s="287">
        <f>IFERROR(IF('Invullen groen'!E70&gt;0,'Invullen groen'!C70,""),"")</f>
        <v/>
      </c>
      <c r="D57" s="287">
        <f>IFERROR(IF('Invullen groen'!E70&gt;0,'Invullen groen'!D70,""),"")</f>
        <v/>
      </c>
      <c r="E57" s="287">
        <f>IFERROR(IF('Invullen groen'!E70&gt;0,'Invullen groen'!G70,""),"")</f>
        <v/>
      </c>
      <c r="F57" s="364">
        <f>IFERROR(IF('Invullen groen'!L70&lt;&gt;0,'Invullen groen'!L70,""),"")</f>
        <v/>
      </c>
      <c r="G57" s="364">
        <f>IFERROR(IF('Invullen groen'!M70&lt;&gt;0,'Invullen groen'!M70,""),"")</f>
        <v/>
      </c>
      <c r="H57" s="364">
        <f>IFERROR(IF('Invullen groen'!N70&lt;&gt;0,'Invullen groen'!N70,""),"")</f>
        <v/>
      </c>
      <c r="I57" s="364">
        <f>IFERROR(IF('Invullen groen'!O70&lt;&gt;0,'Invullen groen'!O70,""),"")</f>
        <v/>
      </c>
    </row>
    <row r="58" ht="14" customHeight="1">
      <c r="A58" s="287">
        <f>IFERROR(IF('Invullen groen'!E71&gt;0,71-17,""),"")</f>
        <v/>
      </c>
      <c r="B58" s="287">
        <f>IFERROR(IF('Invullen groen'!E71&gt;0,'Invullen groen'!A71,""),"")</f>
        <v/>
      </c>
      <c r="C58" s="287">
        <f>IFERROR(IF('Invullen groen'!E71&gt;0,'Invullen groen'!C71,""),"")</f>
        <v/>
      </c>
      <c r="D58" s="287">
        <f>IFERROR(IF('Invullen groen'!E71&gt;0,'Invullen groen'!D71,""),"")</f>
        <v/>
      </c>
      <c r="E58" s="287">
        <f>IFERROR(IF('Invullen groen'!E71&gt;0,'Invullen groen'!G71,""),"")</f>
        <v/>
      </c>
      <c r="F58" s="364">
        <f>IFERROR(IF('Invullen groen'!L71&lt;&gt;0,'Invullen groen'!L71,""),"")</f>
        <v/>
      </c>
      <c r="G58" s="364">
        <f>IFERROR(IF('Invullen groen'!M71&lt;&gt;0,'Invullen groen'!M71,""),"")</f>
        <v/>
      </c>
      <c r="H58" s="364">
        <f>IFERROR(IF('Invullen groen'!N71&lt;&gt;0,'Invullen groen'!N71,""),"")</f>
        <v/>
      </c>
      <c r="I58" s="364">
        <f>IFERROR(IF('Invullen groen'!O71&lt;&gt;0,'Invullen groen'!O71,""),"")</f>
        <v/>
      </c>
    </row>
    <row r="59" ht="14" customHeight="1">
      <c r="A59" s="287">
        <f>IFERROR(IF('Invullen groen'!E72&gt;0,72-17,""),"")</f>
        <v/>
      </c>
      <c r="B59" s="287">
        <f>IFERROR(IF('Invullen groen'!E72&gt;0,'Invullen groen'!A72,""),"")</f>
        <v/>
      </c>
      <c r="C59" s="287">
        <f>IFERROR(IF('Invullen groen'!E72&gt;0,'Invullen groen'!C72,""),"")</f>
        <v/>
      </c>
      <c r="D59" s="287">
        <f>IFERROR(IF('Invullen groen'!E72&gt;0,'Invullen groen'!D72,""),"")</f>
        <v/>
      </c>
      <c r="E59" s="287">
        <f>IFERROR(IF('Invullen groen'!E72&gt;0,'Invullen groen'!G72,""),"")</f>
        <v/>
      </c>
      <c r="F59" s="364">
        <f>IFERROR(IF('Invullen groen'!L72&lt;&gt;0,'Invullen groen'!L72,""),"")</f>
        <v/>
      </c>
      <c r="G59" s="364">
        <f>IFERROR(IF('Invullen groen'!M72&lt;&gt;0,'Invullen groen'!M72,""),"")</f>
        <v/>
      </c>
      <c r="H59" s="364">
        <f>IFERROR(IF('Invullen groen'!N72&lt;&gt;0,'Invullen groen'!N72,""),"")</f>
        <v/>
      </c>
      <c r="I59" s="364">
        <f>IFERROR(IF('Invullen groen'!O72&lt;&gt;0,'Invullen groen'!O72,""),"")</f>
        <v/>
      </c>
    </row>
    <row r="60" ht="14" customHeight="1">
      <c r="A60" s="287">
        <f>IFERROR(IF('Invullen groen'!E73&gt;0,73-17,""),"")</f>
        <v/>
      </c>
      <c r="B60" s="287">
        <f>IFERROR(IF('Invullen groen'!E73&gt;0,'Invullen groen'!A73,""),"")</f>
        <v/>
      </c>
      <c r="C60" s="287">
        <f>IFERROR(IF('Invullen groen'!E73&gt;0,'Invullen groen'!C73,""),"")</f>
        <v/>
      </c>
      <c r="D60" s="287">
        <f>IFERROR(IF('Invullen groen'!E73&gt;0,'Invullen groen'!D73,""),"")</f>
        <v/>
      </c>
      <c r="E60" s="287">
        <f>IFERROR(IF('Invullen groen'!E73&gt;0,'Invullen groen'!G73,""),"")</f>
        <v/>
      </c>
      <c r="F60" s="364">
        <f>IFERROR(IF('Invullen groen'!L73&lt;&gt;0,'Invullen groen'!L73,""),"")</f>
        <v/>
      </c>
      <c r="G60" s="364">
        <f>IFERROR(IF('Invullen groen'!M73&lt;&gt;0,'Invullen groen'!M73,""),"")</f>
        <v/>
      </c>
      <c r="H60" s="364">
        <f>IFERROR(IF('Invullen groen'!N73&lt;&gt;0,'Invullen groen'!N73,""),"")</f>
        <v/>
      </c>
      <c r="I60" s="364">
        <f>IFERROR(IF('Invullen groen'!O73&lt;&gt;0,'Invullen groen'!O73,""),"")</f>
        <v/>
      </c>
    </row>
    <row r="61" ht="14" customHeight="1">
      <c r="A61" s="287">
        <f>IFERROR(IF('Invullen groen'!E74&gt;0,74-17,""),"")</f>
        <v/>
      </c>
      <c r="B61" s="287">
        <f>IFERROR(IF('Invullen groen'!E74&gt;0,'Invullen groen'!A74,""),"")</f>
        <v/>
      </c>
      <c r="C61" s="287">
        <f>IFERROR(IF('Invullen groen'!E74&gt;0,'Invullen groen'!C74,""),"")</f>
        <v/>
      </c>
      <c r="D61" s="287">
        <f>IFERROR(IF('Invullen groen'!E74&gt;0,'Invullen groen'!D74,""),"")</f>
        <v/>
      </c>
      <c r="E61" s="287">
        <f>IFERROR(IF('Invullen groen'!E74&gt;0,'Invullen groen'!G74,""),"")</f>
        <v/>
      </c>
      <c r="F61" s="364">
        <f>IFERROR(IF('Invullen groen'!L74&lt;&gt;0,'Invullen groen'!L74,""),"")</f>
        <v/>
      </c>
      <c r="G61" s="364">
        <f>IFERROR(IF('Invullen groen'!M74&lt;&gt;0,'Invullen groen'!M74,""),"")</f>
        <v/>
      </c>
      <c r="H61" s="364">
        <f>IFERROR(IF('Invullen groen'!N74&lt;&gt;0,'Invullen groen'!N74,""),"")</f>
        <v/>
      </c>
      <c r="I61" s="364">
        <f>IFERROR(IF('Invullen groen'!O74&lt;&gt;0,'Invullen groen'!O74,""),"")</f>
        <v/>
      </c>
    </row>
    <row r="62" ht="14" customHeight="1">
      <c r="A62" s="287">
        <f>IFERROR(IF('Invullen groen'!E75&gt;0,75-17,""),"")</f>
        <v/>
      </c>
      <c r="B62" s="287">
        <f>IFERROR(IF('Invullen groen'!E75&gt;0,'Invullen groen'!A75,""),"")</f>
        <v/>
      </c>
      <c r="C62" s="287">
        <f>IFERROR(IF('Invullen groen'!E75&gt;0,'Invullen groen'!C75,""),"")</f>
        <v/>
      </c>
      <c r="D62" s="287">
        <f>IFERROR(IF('Invullen groen'!E75&gt;0,'Invullen groen'!D75,""),"")</f>
        <v/>
      </c>
      <c r="E62" s="287">
        <f>IFERROR(IF('Invullen groen'!E75&gt;0,'Invullen groen'!G75,""),"")</f>
        <v/>
      </c>
      <c r="F62" s="364">
        <f>IFERROR(IF('Invullen groen'!L75&lt;&gt;0,'Invullen groen'!L75,""),"")</f>
        <v/>
      </c>
      <c r="G62" s="364">
        <f>IFERROR(IF('Invullen groen'!M75&lt;&gt;0,'Invullen groen'!M75,""),"")</f>
        <v/>
      </c>
      <c r="H62" s="364">
        <f>IFERROR(IF('Invullen groen'!N75&lt;&gt;0,'Invullen groen'!N75,""),"")</f>
        <v/>
      </c>
      <c r="I62" s="364">
        <f>IFERROR(IF('Invullen groen'!O75&lt;&gt;0,'Invullen groen'!O75,""),"")</f>
        <v/>
      </c>
    </row>
    <row r="63" ht="14" customHeight="1">
      <c r="A63" s="287">
        <f>IFERROR(IF('Invullen groen'!E76&gt;0,76-17,""),"")</f>
        <v/>
      </c>
      <c r="B63" s="287">
        <f>IFERROR(IF('Invullen groen'!E76&gt;0,'Invullen groen'!A76,""),"")</f>
        <v/>
      </c>
      <c r="C63" s="287">
        <f>IFERROR(IF('Invullen groen'!E76&gt;0,'Invullen groen'!C76,""),"")</f>
        <v/>
      </c>
      <c r="D63" s="287">
        <f>IFERROR(IF('Invullen groen'!E76&gt;0,'Invullen groen'!D76,""),"")</f>
        <v/>
      </c>
      <c r="E63" s="287">
        <f>IFERROR(IF('Invullen groen'!E76&gt;0,'Invullen groen'!G76,""),"")</f>
        <v/>
      </c>
      <c r="F63" s="364">
        <f>IFERROR(IF('Invullen groen'!L76&lt;&gt;0,'Invullen groen'!L76,""),"")</f>
        <v/>
      </c>
      <c r="G63" s="364">
        <f>IFERROR(IF('Invullen groen'!M76&lt;&gt;0,'Invullen groen'!M76,""),"")</f>
        <v/>
      </c>
      <c r="H63" s="364">
        <f>IFERROR(IF('Invullen groen'!N76&lt;&gt;0,'Invullen groen'!N76,""),"")</f>
        <v/>
      </c>
      <c r="I63" s="364">
        <f>IFERROR(IF('Invullen groen'!O76&lt;&gt;0,'Invullen groen'!O76,""),"")</f>
        <v/>
      </c>
    </row>
    <row r="64" ht="14" customHeight="1">
      <c r="A64" s="287">
        <f>IFERROR(IF('Invullen groen'!E77&gt;0,77-17,""),"")</f>
        <v/>
      </c>
      <c r="B64" s="287">
        <f>IFERROR(IF('Invullen groen'!E77&gt;0,'Invullen groen'!A77,""),"")</f>
        <v/>
      </c>
      <c r="C64" s="287">
        <f>IFERROR(IF('Invullen groen'!E77&gt;0,'Invullen groen'!C77,""),"")</f>
        <v/>
      </c>
      <c r="D64" s="287">
        <f>IFERROR(IF('Invullen groen'!E77&gt;0,'Invullen groen'!D77,""),"")</f>
        <v/>
      </c>
      <c r="E64" s="287">
        <f>IFERROR(IF('Invullen groen'!E77&gt;0,'Invullen groen'!G77,""),"")</f>
        <v/>
      </c>
      <c r="F64" s="364">
        <f>IFERROR(IF('Invullen groen'!L77&lt;&gt;0,'Invullen groen'!L77,""),"")</f>
        <v/>
      </c>
      <c r="G64" s="364">
        <f>IFERROR(IF('Invullen groen'!M77&lt;&gt;0,'Invullen groen'!M77,""),"")</f>
        <v/>
      </c>
      <c r="H64" s="364">
        <f>IFERROR(IF('Invullen groen'!N77&lt;&gt;0,'Invullen groen'!N77,""),"")</f>
        <v/>
      </c>
      <c r="I64" s="364">
        <f>IFERROR(IF('Invullen groen'!O77&lt;&gt;0,'Invullen groen'!O77,""),"")</f>
        <v/>
      </c>
    </row>
    <row r="65" ht="14" customHeight="1">
      <c r="A65" s="287">
        <f>IFERROR(IF('Invullen groen'!E78&gt;0,78-17,""),"")</f>
        <v/>
      </c>
      <c r="B65" s="287">
        <f>IFERROR(IF('Invullen groen'!E78&gt;0,'Invullen groen'!A78,""),"")</f>
        <v/>
      </c>
      <c r="C65" s="287">
        <f>IFERROR(IF('Invullen groen'!E78&gt;0,'Invullen groen'!C78,""),"")</f>
        <v/>
      </c>
      <c r="D65" s="287">
        <f>IFERROR(IF('Invullen groen'!E78&gt;0,'Invullen groen'!D78,""),"")</f>
        <v/>
      </c>
      <c r="E65" s="287">
        <f>IFERROR(IF('Invullen groen'!E78&gt;0,'Invullen groen'!G78,""),"")</f>
        <v/>
      </c>
      <c r="F65" s="364">
        <f>IFERROR(IF('Invullen groen'!L78&lt;&gt;0,'Invullen groen'!L78,""),"")</f>
        <v/>
      </c>
      <c r="G65" s="364">
        <f>IFERROR(IF('Invullen groen'!M78&lt;&gt;0,'Invullen groen'!M78,""),"")</f>
        <v/>
      </c>
      <c r="H65" s="364">
        <f>IFERROR(IF('Invullen groen'!N78&lt;&gt;0,'Invullen groen'!N78,""),"")</f>
        <v/>
      </c>
      <c r="I65" s="364">
        <f>IFERROR(IF('Invullen groen'!O78&lt;&gt;0,'Invullen groen'!O78,""),"")</f>
        <v/>
      </c>
    </row>
    <row r="66" ht="14" customHeight="1">
      <c r="A66" s="287">
        <f>IFERROR(IF('Invullen groen'!E79&gt;0,79-17,""),"")</f>
        <v/>
      </c>
      <c r="B66" s="287">
        <f>IFERROR(IF('Invullen groen'!E79&gt;0,'Invullen groen'!A79,""),"")</f>
        <v/>
      </c>
      <c r="C66" s="287">
        <f>IFERROR(IF('Invullen groen'!E79&gt;0,'Invullen groen'!C79,""),"")</f>
        <v/>
      </c>
      <c r="D66" s="287">
        <f>IFERROR(IF('Invullen groen'!E79&gt;0,'Invullen groen'!D79,""),"")</f>
        <v/>
      </c>
      <c r="E66" s="287">
        <f>IFERROR(IF('Invullen groen'!E79&gt;0,'Invullen groen'!G79,""),"")</f>
        <v/>
      </c>
      <c r="F66" s="364">
        <f>IFERROR(IF('Invullen groen'!L79&lt;&gt;0,'Invullen groen'!L79,""),"")</f>
        <v/>
      </c>
      <c r="G66" s="364">
        <f>IFERROR(IF('Invullen groen'!M79&lt;&gt;0,'Invullen groen'!M79,""),"")</f>
        <v/>
      </c>
      <c r="H66" s="364">
        <f>IFERROR(IF('Invullen groen'!N79&lt;&gt;0,'Invullen groen'!N79,""),"")</f>
        <v/>
      </c>
      <c r="I66" s="364">
        <f>IFERROR(IF('Invullen groen'!O79&lt;&gt;0,'Invullen groen'!O79,""),"")</f>
        <v/>
      </c>
    </row>
    <row r="67" ht="14" customHeight="1">
      <c r="A67" s="287">
        <f>IFERROR(IF('Invullen groen'!E80&gt;0,80-17,""),"")</f>
        <v/>
      </c>
      <c r="B67" s="287">
        <f>IFERROR(IF('Invullen groen'!E80&gt;0,'Invullen groen'!A80,""),"")</f>
        <v/>
      </c>
      <c r="C67" s="287">
        <f>IFERROR(IF('Invullen groen'!E80&gt;0,'Invullen groen'!C80,""),"")</f>
        <v/>
      </c>
      <c r="D67" s="287">
        <f>IFERROR(IF('Invullen groen'!E80&gt;0,'Invullen groen'!D80,""),"")</f>
        <v/>
      </c>
      <c r="E67" s="287">
        <f>IFERROR(IF('Invullen groen'!E80&gt;0,'Invullen groen'!G80,""),"")</f>
        <v/>
      </c>
      <c r="F67" s="364">
        <f>IFERROR(IF('Invullen groen'!L80&lt;&gt;0,'Invullen groen'!L80,""),"")</f>
        <v/>
      </c>
      <c r="G67" s="364">
        <f>IFERROR(IF('Invullen groen'!M80&lt;&gt;0,'Invullen groen'!M80,""),"")</f>
        <v/>
      </c>
      <c r="H67" s="364">
        <f>IFERROR(IF('Invullen groen'!N80&lt;&gt;0,'Invullen groen'!N80,""),"")</f>
        <v/>
      </c>
      <c r="I67" s="364">
        <f>IFERROR(IF('Invullen groen'!O80&lt;&gt;0,'Invullen groen'!O80,""),"")</f>
        <v/>
      </c>
    </row>
    <row r="68" ht="14" customHeight="1">
      <c r="A68" s="287">
        <f>IFERROR(IF('Invullen groen'!E81&gt;0,81-17,""),"")</f>
        <v/>
      </c>
      <c r="B68" s="287">
        <f>IFERROR(IF('Invullen groen'!E81&gt;0,'Invullen groen'!A81,""),"")</f>
        <v/>
      </c>
      <c r="C68" s="287">
        <f>IFERROR(IF('Invullen groen'!E81&gt;0,'Invullen groen'!C81,""),"")</f>
        <v/>
      </c>
      <c r="D68" s="287">
        <f>IFERROR(IF('Invullen groen'!E81&gt;0,'Invullen groen'!D81,""),"")</f>
        <v/>
      </c>
      <c r="E68" s="287">
        <f>IFERROR(IF('Invullen groen'!E81&gt;0,'Invullen groen'!G81,""),"")</f>
        <v/>
      </c>
      <c r="F68" s="364">
        <f>IFERROR(IF('Invullen groen'!L81&lt;&gt;0,'Invullen groen'!L81,""),"")</f>
        <v/>
      </c>
      <c r="G68" s="364">
        <f>IFERROR(IF('Invullen groen'!M81&lt;&gt;0,'Invullen groen'!M81,""),"")</f>
        <v/>
      </c>
      <c r="H68" s="364">
        <f>IFERROR(IF('Invullen groen'!N81&lt;&gt;0,'Invullen groen'!N81,""),"")</f>
        <v/>
      </c>
      <c r="I68" s="364">
        <f>IFERROR(IF('Invullen groen'!O81&lt;&gt;0,'Invullen groen'!O81,""),"")</f>
        <v/>
      </c>
    </row>
    <row r="69" ht="14" customHeight="1">
      <c r="A69" s="287">
        <f>IFERROR(IF('Invullen groen'!E82&gt;0,82-17,""),"")</f>
        <v/>
      </c>
      <c r="B69" s="287">
        <f>IFERROR(IF('Invullen groen'!E82&gt;0,'Invullen groen'!A82,""),"")</f>
        <v/>
      </c>
      <c r="C69" s="287">
        <f>IFERROR(IF('Invullen groen'!E82&gt;0,'Invullen groen'!C82,""),"")</f>
        <v/>
      </c>
      <c r="D69" s="287">
        <f>IFERROR(IF('Invullen groen'!E82&gt;0,'Invullen groen'!D82,""),"")</f>
        <v/>
      </c>
      <c r="E69" s="287">
        <f>IFERROR(IF('Invullen groen'!E82&gt;0,'Invullen groen'!G82,""),"")</f>
        <v/>
      </c>
      <c r="F69" s="364">
        <f>IFERROR(IF('Invullen groen'!L82&lt;&gt;0,'Invullen groen'!L82,""),"")</f>
        <v/>
      </c>
      <c r="G69" s="364">
        <f>IFERROR(IF('Invullen groen'!M82&lt;&gt;0,'Invullen groen'!M82,""),"")</f>
        <v/>
      </c>
      <c r="H69" s="364">
        <f>IFERROR(IF('Invullen groen'!N82&lt;&gt;0,'Invullen groen'!N82,""),"")</f>
        <v/>
      </c>
      <c r="I69" s="364">
        <f>IFERROR(IF('Invullen groen'!O82&lt;&gt;0,'Invullen groen'!O82,""),"")</f>
        <v/>
      </c>
    </row>
    <row r="70" ht="14" customHeight="1">
      <c r="A70" s="287">
        <f>IFERROR(IF('Invullen groen'!E83&gt;0,83-17,""),"")</f>
        <v/>
      </c>
      <c r="B70" s="287">
        <f>IFERROR(IF('Invullen groen'!E83&gt;0,'Invullen groen'!A83,""),"")</f>
        <v/>
      </c>
      <c r="C70" s="287">
        <f>IFERROR(IF('Invullen groen'!E83&gt;0,'Invullen groen'!C83,""),"")</f>
        <v/>
      </c>
      <c r="D70" s="287">
        <f>IFERROR(IF('Invullen groen'!E83&gt;0,'Invullen groen'!D83,""),"")</f>
        <v/>
      </c>
      <c r="E70" s="287">
        <f>IFERROR(IF('Invullen groen'!E83&gt;0,'Invullen groen'!G83,""),"")</f>
        <v/>
      </c>
      <c r="F70" s="364">
        <f>IFERROR(IF('Invullen groen'!L83&lt;&gt;0,'Invullen groen'!L83,""),"")</f>
        <v/>
      </c>
      <c r="G70" s="364">
        <f>IFERROR(IF('Invullen groen'!M83&lt;&gt;0,'Invullen groen'!M83,""),"")</f>
        <v/>
      </c>
      <c r="H70" s="364">
        <f>IFERROR(IF('Invullen groen'!N83&lt;&gt;0,'Invullen groen'!N83,""),"")</f>
        <v/>
      </c>
      <c r="I70" s="364">
        <f>IFERROR(IF('Invullen groen'!O83&lt;&gt;0,'Invullen groen'!O83,""),"")</f>
        <v/>
      </c>
    </row>
    <row r="71" ht="14" customHeight="1">
      <c r="A71" s="287">
        <f>IFERROR(IF('Invullen groen'!E84&gt;0,84-17,""),"")</f>
        <v/>
      </c>
      <c r="B71" s="287">
        <f>IFERROR(IF('Invullen groen'!E84&gt;0,'Invullen groen'!A84,""),"")</f>
        <v/>
      </c>
      <c r="C71" s="287">
        <f>IFERROR(IF('Invullen groen'!E84&gt;0,'Invullen groen'!C84,""),"")</f>
        <v/>
      </c>
      <c r="D71" s="287">
        <f>IFERROR(IF('Invullen groen'!E84&gt;0,'Invullen groen'!D84,""),"")</f>
        <v/>
      </c>
      <c r="E71" s="287">
        <f>IFERROR(IF('Invullen groen'!E84&gt;0,'Invullen groen'!G84,""),"")</f>
        <v/>
      </c>
      <c r="F71" s="364">
        <f>IFERROR(IF('Invullen groen'!L84&lt;&gt;0,'Invullen groen'!L84,""),"")</f>
        <v/>
      </c>
      <c r="G71" s="364">
        <f>IFERROR(IF('Invullen groen'!M84&lt;&gt;0,'Invullen groen'!M84,""),"")</f>
        <v/>
      </c>
      <c r="H71" s="364">
        <f>IFERROR(IF('Invullen groen'!N84&lt;&gt;0,'Invullen groen'!N84,""),"")</f>
        <v/>
      </c>
      <c r="I71" s="364">
        <f>IFERROR(IF('Invullen groen'!O84&lt;&gt;0,'Invullen groen'!O84,""),"")</f>
        <v/>
      </c>
    </row>
    <row r="72" ht="14" customHeight="1">
      <c r="A72" s="287">
        <f>IFERROR(IF('Invullen groen'!E85&gt;0,85-17,""),"")</f>
        <v/>
      </c>
      <c r="B72" s="287">
        <f>IFERROR(IF('Invullen groen'!E85&gt;0,'Invullen groen'!A85,""),"")</f>
        <v/>
      </c>
      <c r="C72" s="287">
        <f>IFERROR(IF('Invullen groen'!E85&gt;0,'Invullen groen'!C85,""),"")</f>
        <v/>
      </c>
      <c r="D72" s="287">
        <f>IFERROR(IF('Invullen groen'!E85&gt;0,'Invullen groen'!D85,""),"")</f>
        <v/>
      </c>
      <c r="E72" s="287">
        <f>IFERROR(IF('Invullen groen'!E85&gt;0,'Invullen groen'!G85,""),"")</f>
        <v/>
      </c>
      <c r="F72" s="364">
        <f>IFERROR(IF('Invullen groen'!L85&lt;&gt;0,'Invullen groen'!L85,""),"")</f>
        <v/>
      </c>
      <c r="G72" s="364">
        <f>IFERROR(IF('Invullen groen'!M85&lt;&gt;0,'Invullen groen'!M85,""),"")</f>
        <v/>
      </c>
      <c r="H72" s="364">
        <f>IFERROR(IF('Invullen groen'!N85&lt;&gt;0,'Invullen groen'!N85,""),"")</f>
        <v/>
      </c>
      <c r="I72" s="364">
        <f>IFERROR(IF('Invullen groen'!O85&lt;&gt;0,'Invullen groen'!O85,""),"")</f>
        <v/>
      </c>
    </row>
    <row r="73" ht="14" customHeight="1">
      <c r="A73" s="287">
        <f>IFERROR(IF('Invullen groen'!E86&gt;0,86-17,""),"")</f>
        <v/>
      </c>
      <c r="B73" s="287">
        <f>IFERROR(IF('Invullen groen'!E86&gt;0,'Invullen groen'!A86,""),"")</f>
        <v/>
      </c>
      <c r="C73" s="287">
        <f>IFERROR(IF('Invullen groen'!E86&gt;0,'Invullen groen'!C86,""),"")</f>
        <v/>
      </c>
      <c r="D73" s="287">
        <f>IFERROR(IF('Invullen groen'!E86&gt;0,'Invullen groen'!D86,""),"")</f>
        <v/>
      </c>
      <c r="E73" s="287">
        <f>IFERROR(IF('Invullen groen'!E86&gt;0,'Invullen groen'!G86,""),"")</f>
        <v/>
      </c>
      <c r="F73" s="364">
        <f>IFERROR(IF('Invullen groen'!L86&lt;&gt;0,'Invullen groen'!L86,""),"")</f>
        <v/>
      </c>
      <c r="G73" s="364">
        <f>IFERROR(IF('Invullen groen'!M86&lt;&gt;0,'Invullen groen'!M86,""),"")</f>
        <v/>
      </c>
      <c r="H73" s="364">
        <f>IFERROR(IF('Invullen groen'!N86&lt;&gt;0,'Invullen groen'!N86,""),"")</f>
        <v/>
      </c>
      <c r="I73" s="364">
        <f>IFERROR(IF('Invullen groen'!O86&lt;&gt;0,'Invullen groen'!O86,""),"")</f>
        <v/>
      </c>
    </row>
    <row r="74" ht="14" customHeight="1">
      <c r="A74" s="287">
        <f>IFERROR(IF('Invullen groen'!E87&gt;0,87-17,""),"")</f>
        <v/>
      </c>
      <c r="B74" s="287">
        <f>IFERROR(IF('Invullen groen'!E87&gt;0,'Invullen groen'!A87,""),"")</f>
        <v/>
      </c>
      <c r="C74" s="287">
        <f>IFERROR(IF('Invullen groen'!E87&gt;0,'Invullen groen'!C87,""),"")</f>
        <v/>
      </c>
      <c r="D74" s="287">
        <f>IFERROR(IF('Invullen groen'!E87&gt;0,'Invullen groen'!D87,""),"")</f>
        <v/>
      </c>
      <c r="E74" s="287">
        <f>IFERROR(IF('Invullen groen'!E87&gt;0,'Invullen groen'!G87,""),"")</f>
        <v/>
      </c>
      <c r="F74" s="364">
        <f>IFERROR(IF('Invullen groen'!L87&lt;&gt;0,'Invullen groen'!L87,""),"")</f>
        <v/>
      </c>
      <c r="G74" s="364">
        <f>IFERROR(IF('Invullen groen'!M87&lt;&gt;0,'Invullen groen'!M87,""),"")</f>
        <v/>
      </c>
      <c r="H74" s="364">
        <f>IFERROR(IF('Invullen groen'!N87&lt;&gt;0,'Invullen groen'!N87,""),"")</f>
        <v/>
      </c>
      <c r="I74" s="364">
        <f>IFERROR(IF('Invullen groen'!O87&lt;&gt;0,'Invullen groen'!O87,""),"")</f>
        <v/>
      </c>
    </row>
    <row r="75" ht="14" customHeight="1">
      <c r="A75" s="287">
        <f>IFERROR(IF('Invullen groen'!E88&gt;0,88-17,""),"")</f>
        <v/>
      </c>
      <c r="B75" s="287">
        <f>IFERROR(IF('Invullen groen'!E88&gt;0,'Invullen groen'!A88,""),"")</f>
        <v/>
      </c>
      <c r="C75" s="287">
        <f>IFERROR(IF('Invullen groen'!E88&gt;0,'Invullen groen'!C88,""),"")</f>
        <v/>
      </c>
      <c r="D75" s="287">
        <f>IFERROR(IF('Invullen groen'!E88&gt;0,'Invullen groen'!D88,""),"")</f>
        <v/>
      </c>
      <c r="E75" s="287">
        <f>IFERROR(IF('Invullen groen'!E88&gt;0,'Invullen groen'!G88,""),"")</f>
        <v/>
      </c>
      <c r="F75" s="364">
        <f>IFERROR(IF('Invullen groen'!L88&lt;&gt;0,'Invullen groen'!L88,""),"")</f>
        <v/>
      </c>
      <c r="G75" s="364">
        <f>IFERROR(IF('Invullen groen'!M88&lt;&gt;0,'Invullen groen'!M88,""),"")</f>
        <v/>
      </c>
      <c r="H75" s="364">
        <f>IFERROR(IF('Invullen groen'!N88&lt;&gt;0,'Invullen groen'!N88,""),"")</f>
        <v/>
      </c>
      <c r="I75" s="364">
        <f>IFERROR(IF('Invullen groen'!O88&lt;&gt;0,'Invullen groen'!O88,""),"")</f>
        <v/>
      </c>
    </row>
    <row r="76" ht="14" customHeight="1">
      <c r="A76" s="287">
        <f>IFERROR(IF('Invullen groen'!E89&gt;0,89-17,""),"")</f>
        <v/>
      </c>
      <c r="B76" s="287">
        <f>IFERROR(IF('Invullen groen'!E89&gt;0,'Invullen groen'!A89,""),"")</f>
        <v/>
      </c>
      <c r="C76" s="287">
        <f>IFERROR(IF('Invullen groen'!E89&gt;0,'Invullen groen'!C89,""),"")</f>
        <v/>
      </c>
      <c r="D76" s="287">
        <f>IFERROR(IF('Invullen groen'!E89&gt;0,'Invullen groen'!D89,""),"")</f>
        <v/>
      </c>
      <c r="E76" s="287">
        <f>IFERROR(IF('Invullen groen'!E89&gt;0,'Invullen groen'!G89,""),"")</f>
        <v/>
      </c>
      <c r="F76" s="364">
        <f>IFERROR(IF('Invullen groen'!L89&lt;&gt;0,'Invullen groen'!L89,""),"")</f>
        <v/>
      </c>
      <c r="G76" s="364">
        <f>IFERROR(IF('Invullen groen'!M89&lt;&gt;0,'Invullen groen'!M89,""),"")</f>
        <v/>
      </c>
      <c r="H76" s="364">
        <f>IFERROR(IF('Invullen groen'!N89&lt;&gt;0,'Invullen groen'!N89,""),"")</f>
        <v/>
      </c>
      <c r="I76" s="364">
        <f>IFERROR(IF('Invullen groen'!O89&lt;&gt;0,'Invullen groen'!O89,""),"")</f>
        <v/>
      </c>
    </row>
    <row r="77" ht="14" customHeight="1">
      <c r="A77" s="287">
        <f>IFERROR(IF('Invullen groen'!E90&gt;0,90-17,""),"")</f>
        <v/>
      </c>
      <c r="B77" s="287">
        <f>IFERROR(IF('Invullen groen'!E90&gt;0,'Invullen groen'!A90,""),"")</f>
        <v/>
      </c>
      <c r="C77" s="287">
        <f>IFERROR(IF('Invullen groen'!E90&gt;0,'Invullen groen'!C90,""),"")</f>
        <v/>
      </c>
      <c r="D77" s="287">
        <f>IFERROR(IF('Invullen groen'!E90&gt;0,'Invullen groen'!D90,""),"")</f>
        <v/>
      </c>
      <c r="E77" s="287">
        <f>IFERROR(IF('Invullen groen'!E90&gt;0,'Invullen groen'!G90,""),"")</f>
        <v/>
      </c>
      <c r="F77" s="364">
        <f>IFERROR(IF('Invullen groen'!L90&lt;&gt;0,'Invullen groen'!L90,""),"")</f>
        <v/>
      </c>
      <c r="G77" s="364">
        <f>IFERROR(IF('Invullen groen'!M90&lt;&gt;0,'Invullen groen'!M90,""),"")</f>
        <v/>
      </c>
      <c r="H77" s="364">
        <f>IFERROR(IF('Invullen groen'!N90&lt;&gt;0,'Invullen groen'!N90,""),"")</f>
        <v/>
      </c>
      <c r="I77" s="364">
        <f>IFERROR(IF('Invullen groen'!O90&lt;&gt;0,'Invullen groen'!O90,""),"")</f>
        <v/>
      </c>
    </row>
    <row r="78" ht="14" customHeight="1">
      <c r="A78" s="287">
        <f>IFERROR(IF('Invullen groen'!E91&gt;0,91-17,""),"")</f>
        <v/>
      </c>
      <c r="B78" s="287">
        <f>IFERROR(IF('Invullen groen'!E91&gt;0,'Invullen groen'!A91,""),"")</f>
        <v/>
      </c>
      <c r="C78" s="287">
        <f>IFERROR(IF('Invullen groen'!E91&gt;0,'Invullen groen'!C91,""),"")</f>
        <v/>
      </c>
      <c r="D78" s="287">
        <f>IFERROR(IF('Invullen groen'!E91&gt;0,'Invullen groen'!D91,""),"")</f>
        <v/>
      </c>
      <c r="E78" s="287">
        <f>IFERROR(IF('Invullen groen'!E91&gt;0,'Invullen groen'!G91,""),"")</f>
        <v/>
      </c>
      <c r="F78" s="364">
        <f>IFERROR(IF('Invullen groen'!L91&lt;&gt;0,'Invullen groen'!L91,""),"")</f>
        <v/>
      </c>
      <c r="G78" s="364">
        <f>IFERROR(IF('Invullen groen'!M91&lt;&gt;0,'Invullen groen'!M91,""),"")</f>
        <v/>
      </c>
      <c r="H78" s="364">
        <f>IFERROR(IF('Invullen groen'!N91&lt;&gt;0,'Invullen groen'!N91,""),"")</f>
        <v/>
      </c>
      <c r="I78" s="364">
        <f>IFERROR(IF('Invullen groen'!O91&lt;&gt;0,'Invullen groen'!O91,""),"")</f>
        <v/>
      </c>
    </row>
    <row r="79" ht="14" customHeight="1">
      <c r="A79" s="287">
        <f>IFERROR(IF('Invullen groen'!E92&gt;0,92-17,""),"")</f>
        <v/>
      </c>
      <c r="B79" s="287">
        <f>IFERROR(IF('Invullen groen'!E92&gt;0,'Invullen groen'!A92,""),"")</f>
        <v/>
      </c>
      <c r="C79" s="287">
        <f>IFERROR(IF('Invullen groen'!E92&gt;0,'Invullen groen'!C92,""),"")</f>
        <v/>
      </c>
      <c r="D79" s="287">
        <f>IFERROR(IF('Invullen groen'!E92&gt;0,'Invullen groen'!D92,""),"")</f>
        <v/>
      </c>
      <c r="E79" s="287">
        <f>IFERROR(IF('Invullen groen'!E92&gt;0,'Invullen groen'!G92,""),"")</f>
        <v/>
      </c>
      <c r="F79" s="364">
        <f>IFERROR(IF('Invullen groen'!L92&lt;&gt;0,'Invullen groen'!L92,""),"")</f>
        <v/>
      </c>
      <c r="G79" s="364">
        <f>IFERROR(IF('Invullen groen'!M92&lt;&gt;0,'Invullen groen'!M92,""),"")</f>
        <v/>
      </c>
      <c r="H79" s="364">
        <f>IFERROR(IF('Invullen groen'!N92&lt;&gt;0,'Invullen groen'!N92,""),"")</f>
        <v/>
      </c>
      <c r="I79" s="364">
        <f>IFERROR(IF('Invullen groen'!O92&lt;&gt;0,'Invullen groen'!O92,""),"")</f>
        <v/>
      </c>
    </row>
    <row r="80" ht="14" customHeight="1">
      <c r="A80" s="287">
        <f>IFERROR(IF('Invullen groen'!E93&gt;0,93-17,""),"")</f>
        <v/>
      </c>
      <c r="B80" s="287">
        <f>IFERROR(IF('Invullen groen'!E93&gt;0,'Invullen groen'!A93,""),"")</f>
        <v/>
      </c>
      <c r="C80" s="287">
        <f>IFERROR(IF('Invullen groen'!E93&gt;0,'Invullen groen'!C93,""),"")</f>
        <v/>
      </c>
      <c r="D80" s="287">
        <f>IFERROR(IF('Invullen groen'!E93&gt;0,'Invullen groen'!D93,""),"")</f>
        <v/>
      </c>
      <c r="E80" s="287">
        <f>IFERROR(IF('Invullen groen'!E93&gt;0,'Invullen groen'!G93,""),"")</f>
        <v/>
      </c>
      <c r="F80" s="364">
        <f>IFERROR(IF('Invullen groen'!L93&lt;&gt;0,'Invullen groen'!L93,""),"")</f>
        <v/>
      </c>
      <c r="G80" s="364">
        <f>IFERROR(IF('Invullen groen'!M93&lt;&gt;0,'Invullen groen'!M93,""),"")</f>
        <v/>
      </c>
      <c r="H80" s="364">
        <f>IFERROR(IF('Invullen groen'!N93&lt;&gt;0,'Invullen groen'!N93,""),"")</f>
        <v/>
      </c>
      <c r="I80" s="364">
        <f>IFERROR(IF('Invullen groen'!O93&lt;&gt;0,'Invullen groen'!O93,""),"")</f>
        <v/>
      </c>
    </row>
    <row r="81" ht="14" customHeight="1">
      <c r="A81" s="287">
        <f>IFERROR(IF('Invullen groen'!E94&gt;0,94-17,""),"")</f>
        <v/>
      </c>
      <c r="B81" s="287">
        <f>IFERROR(IF('Invullen groen'!E94&gt;0,'Invullen groen'!A94,""),"")</f>
        <v/>
      </c>
      <c r="C81" s="287">
        <f>IFERROR(IF('Invullen groen'!E94&gt;0,'Invullen groen'!C94,""),"")</f>
        <v/>
      </c>
      <c r="D81" s="287">
        <f>IFERROR(IF('Invullen groen'!E94&gt;0,'Invullen groen'!D94,""),"")</f>
        <v/>
      </c>
      <c r="E81" s="287">
        <f>IFERROR(IF('Invullen groen'!E94&gt;0,'Invullen groen'!G94,""),"")</f>
        <v/>
      </c>
      <c r="F81" s="364">
        <f>IFERROR(IF('Invullen groen'!L94&lt;&gt;0,'Invullen groen'!L94,""),"")</f>
        <v/>
      </c>
      <c r="G81" s="364">
        <f>IFERROR(IF('Invullen groen'!M94&lt;&gt;0,'Invullen groen'!M94,""),"")</f>
        <v/>
      </c>
      <c r="H81" s="364">
        <f>IFERROR(IF('Invullen groen'!N94&lt;&gt;0,'Invullen groen'!N94,""),"")</f>
        <v/>
      </c>
      <c r="I81" s="364">
        <f>IFERROR(IF('Invullen groen'!O94&lt;&gt;0,'Invullen groen'!O94,""),"")</f>
        <v/>
      </c>
    </row>
    <row r="82" ht="14" customHeight="1">
      <c r="A82" s="287">
        <f>IFERROR(IF('Invullen groen'!E95&gt;0,95-17,""),"")</f>
        <v/>
      </c>
      <c r="B82" s="287">
        <f>IFERROR(IF('Invullen groen'!E95&gt;0,'Invullen groen'!A95,""),"")</f>
        <v/>
      </c>
      <c r="C82" s="287">
        <f>IFERROR(IF('Invullen groen'!E95&gt;0,'Invullen groen'!C95,""),"")</f>
        <v/>
      </c>
      <c r="D82" s="287">
        <f>IFERROR(IF('Invullen groen'!E95&gt;0,'Invullen groen'!D95,""),"")</f>
        <v/>
      </c>
      <c r="E82" s="287">
        <f>IFERROR(IF('Invullen groen'!E95&gt;0,'Invullen groen'!G95,""),"")</f>
        <v/>
      </c>
      <c r="F82" s="364">
        <f>IFERROR(IF('Invullen groen'!L95&lt;&gt;0,'Invullen groen'!L95,""),"")</f>
        <v/>
      </c>
      <c r="G82" s="364">
        <f>IFERROR(IF('Invullen groen'!M95&lt;&gt;0,'Invullen groen'!M95,""),"")</f>
        <v/>
      </c>
      <c r="H82" s="364">
        <f>IFERROR(IF('Invullen groen'!N95&lt;&gt;0,'Invullen groen'!N95,""),"")</f>
        <v/>
      </c>
      <c r="I82" s="364">
        <f>IFERROR(IF('Invullen groen'!O95&lt;&gt;0,'Invullen groen'!O95,""),"")</f>
        <v/>
      </c>
    </row>
    <row r="83" ht="14" customHeight="1">
      <c r="A83" s="287">
        <f>IFERROR(IF('Invullen groen'!E96&gt;0,96-17,""),"")</f>
        <v/>
      </c>
      <c r="B83" s="287">
        <f>IFERROR(IF('Invullen groen'!E96&gt;0,'Invullen groen'!A96,""),"")</f>
        <v/>
      </c>
      <c r="C83" s="287">
        <f>IFERROR(IF('Invullen groen'!E96&gt;0,'Invullen groen'!C96,""),"")</f>
        <v/>
      </c>
      <c r="D83" s="287">
        <f>IFERROR(IF('Invullen groen'!E96&gt;0,'Invullen groen'!D96,""),"")</f>
        <v/>
      </c>
      <c r="E83" s="287">
        <f>IFERROR(IF('Invullen groen'!E96&gt;0,'Invullen groen'!G96,""),"")</f>
        <v/>
      </c>
      <c r="F83" s="364">
        <f>IFERROR(IF('Invullen groen'!L96&lt;&gt;0,'Invullen groen'!L96,""),"")</f>
        <v/>
      </c>
      <c r="G83" s="364">
        <f>IFERROR(IF('Invullen groen'!M96&lt;&gt;0,'Invullen groen'!M96,""),"")</f>
        <v/>
      </c>
      <c r="H83" s="364">
        <f>IFERROR(IF('Invullen groen'!N96&lt;&gt;0,'Invullen groen'!N96,""),"")</f>
        <v/>
      </c>
      <c r="I83" s="364">
        <f>IFERROR(IF('Invullen groen'!O96&lt;&gt;0,'Invullen groen'!O96,""),"")</f>
        <v/>
      </c>
    </row>
    <row r="84" ht="14" customHeight="1">
      <c r="A84" s="287">
        <f>IFERROR(IF('Invullen groen'!E97&gt;0,97-17,""),"")</f>
        <v/>
      </c>
      <c r="B84" s="287">
        <f>IFERROR(IF('Invullen groen'!E97&gt;0,'Invullen groen'!A97,""),"")</f>
        <v/>
      </c>
      <c r="C84" s="287">
        <f>IFERROR(IF('Invullen groen'!E97&gt;0,'Invullen groen'!C97,""),"")</f>
        <v/>
      </c>
      <c r="D84" s="287">
        <f>IFERROR(IF('Invullen groen'!E97&gt;0,'Invullen groen'!D97,""),"")</f>
        <v/>
      </c>
      <c r="E84" s="287">
        <f>IFERROR(IF('Invullen groen'!E97&gt;0,'Invullen groen'!G97,""),"")</f>
        <v/>
      </c>
      <c r="F84" s="364">
        <f>IFERROR(IF('Invullen groen'!L97&lt;&gt;0,'Invullen groen'!L97,""),"")</f>
        <v/>
      </c>
      <c r="G84" s="364">
        <f>IFERROR(IF('Invullen groen'!M97&lt;&gt;0,'Invullen groen'!M97,""),"")</f>
        <v/>
      </c>
      <c r="H84" s="364">
        <f>IFERROR(IF('Invullen groen'!N97&lt;&gt;0,'Invullen groen'!N97,""),"")</f>
        <v/>
      </c>
      <c r="I84" s="364">
        <f>IFERROR(IF('Invullen groen'!O97&lt;&gt;0,'Invullen groen'!O97,""),"")</f>
        <v/>
      </c>
    </row>
    <row r="85" ht="14" customHeight="1">
      <c r="A85" s="287">
        <f>IFERROR(IF('Invullen groen'!E98&gt;0,98-17,""),"")</f>
        <v/>
      </c>
      <c r="B85" s="287">
        <f>IFERROR(IF('Invullen groen'!E98&gt;0,'Invullen groen'!A98,""),"")</f>
        <v/>
      </c>
      <c r="C85" s="287">
        <f>IFERROR(IF('Invullen groen'!E98&gt;0,'Invullen groen'!C98,""),"")</f>
        <v/>
      </c>
      <c r="D85" s="287">
        <f>IFERROR(IF('Invullen groen'!E98&gt;0,'Invullen groen'!D98,""),"")</f>
        <v/>
      </c>
      <c r="E85" s="287">
        <f>IFERROR(IF('Invullen groen'!E98&gt;0,'Invullen groen'!G98,""),"")</f>
        <v/>
      </c>
      <c r="F85" s="364">
        <f>IFERROR(IF('Invullen groen'!L98&lt;&gt;0,'Invullen groen'!L98,""),"")</f>
        <v/>
      </c>
      <c r="G85" s="364">
        <f>IFERROR(IF('Invullen groen'!M98&lt;&gt;0,'Invullen groen'!M98,""),"")</f>
        <v/>
      </c>
      <c r="H85" s="364">
        <f>IFERROR(IF('Invullen groen'!N98&lt;&gt;0,'Invullen groen'!N98,""),"")</f>
        <v/>
      </c>
      <c r="I85" s="364">
        <f>IFERROR(IF('Invullen groen'!O98&lt;&gt;0,'Invullen groen'!O98,""),"")</f>
        <v/>
      </c>
    </row>
    <row r="86" ht="14" customHeight="1">
      <c r="A86" s="287">
        <f>IFERROR(IF('Invullen groen'!E99&gt;0,99-17,""),"")</f>
        <v/>
      </c>
      <c r="B86" s="287">
        <f>IFERROR(IF('Invullen groen'!E99&gt;0,'Invullen groen'!A99,""),"")</f>
        <v/>
      </c>
      <c r="C86" s="287">
        <f>IFERROR(IF('Invullen groen'!E99&gt;0,'Invullen groen'!C99,""),"")</f>
        <v/>
      </c>
      <c r="D86" s="287">
        <f>IFERROR(IF('Invullen groen'!E99&gt;0,'Invullen groen'!D99,""),"")</f>
        <v/>
      </c>
      <c r="E86" s="287">
        <f>IFERROR(IF('Invullen groen'!E99&gt;0,'Invullen groen'!G99,""),"")</f>
        <v/>
      </c>
      <c r="F86" s="364">
        <f>IFERROR(IF('Invullen groen'!L99&lt;&gt;0,'Invullen groen'!L99,""),"")</f>
        <v/>
      </c>
      <c r="G86" s="364">
        <f>IFERROR(IF('Invullen groen'!M99&lt;&gt;0,'Invullen groen'!M99,""),"")</f>
        <v/>
      </c>
      <c r="H86" s="364">
        <f>IFERROR(IF('Invullen groen'!N99&lt;&gt;0,'Invullen groen'!N99,""),"")</f>
        <v/>
      </c>
      <c r="I86" s="364">
        <f>IFERROR(IF('Invullen groen'!O99&lt;&gt;0,'Invullen groen'!O99,""),"")</f>
        <v/>
      </c>
    </row>
    <row r="87" ht="14" customHeight="1">
      <c r="A87" s="287">
        <f>IFERROR(IF('Invullen groen'!E100&gt;0,100-17,""),"")</f>
        <v/>
      </c>
      <c r="B87" s="287">
        <f>IFERROR(IF('Invullen groen'!E100&gt;0,'Invullen groen'!A100,""),"")</f>
        <v/>
      </c>
      <c r="C87" s="287">
        <f>IFERROR(IF('Invullen groen'!E100&gt;0,'Invullen groen'!C100,""),"")</f>
        <v/>
      </c>
      <c r="D87" s="287">
        <f>IFERROR(IF('Invullen groen'!E100&gt;0,'Invullen groen'!D100,""),"")</f>
        <v/>
      </c>
      <c r="E87" s="287">
        <f>IFERROR(IF('Invullen groen'!E100&gt;0,'Invullen groen'!G100,""),"")</f>
        <v/>
      </c>
      <c r="F87" s="364">
        <f>IFERROR(IF('Invullen groen'!L100&lt;&gt;0,'Invullen groen'!L100,""),"")</f>
        <v/>
      </c>
      <c r="G87" s="364">
        <f>IFERROR(IF('Invullen groen'!M100&lt;&gt;0,'Invullen groen'!M100,""),"")</f>
        <v/>
      </c>
      <c r="H87" s="364">
        <f>IFERROR(IF('Invullen groen'!N100&lt;&gt;0,'Invullen groen'!N100,""),"")</f>
        <v/>
      </c>
      <c r="I87" s="364">
        <f>IFERROR(IF('Invullen groen'!O100&lt;&gt;0,'Invullen groen'!O100,""),"")</f>
        <v/>
      </c>
    </row>
    <row r="88" ht="14" customHeight="1">
      <c r="A88" s="287">
        <f>IFERROR(IF('Invullen groen'!E101&gt;0,101-17,""),"")</f>
        <v/>
      </c>
      <c r="B88" s="287">
        <f>IFERROR(IF('Invullen groen'!E101&gt;0,'Invullen groen'!A101,""),"")</f>
        <v/>
      </c>
      <c r="C88" s="287">
        <f>IFERROR(IF('Invullen groen'!E101&gt;0,'Invullen groen'!C101,""),"")</f>
        <v/>
      </c>
      <c r="D88" s="287">
        <f>IFERROR(IF('Invullen groen'!E101&gt;0,'Invullen groen'!D101,""),"")</f>
        <v/>
      </c>
      <c r="E88" s="287">
        <f>IFERROR(IF('Invullen groen'!E101&gt;0,'Invullen groen'!G101,""),"")</f>
        <v/>
      </c>
      <c r="F88" s="364">
        <f>IFERROR(IF('Invullen groen'!L101&lt;&gt;0,'Invullen groen'!L101,""),"")</f>
        <v/>
      </c>
      <c r="G88" s="364">
        <f>IFERROR(IF('Invullen groen'!M101&lt;&gt;0,'Invullen groen'!M101,""),"")</f>
        <v/>
      </c>
      <c r="H88" s="364">
        <f>IFERROR(IF('Invullen groen'!N101&lt;&gt;0,'Invullen groen'!N101,""),"")</f>
        <v/>
      </c>
      <c r="I88" s="364">
        <f>IFERROR(IF('Invullen groen'!O101&lt;&gt;0,'Invullen groen'!O101,""),"")</f>
        <v/>
      </c>
    </row>
    <row r="89" ht="14" customHeight="1">
      <c r="A89" s="287">
        <f>IFERROR(IF('Invullen groen'!E102&gt;0,102-17,""),"")</f>
        <v/>
      </c>
      <c r="B89" s="287">
        <f>IFERROR(IF('Invullen groen'!E102&gt;0,'Invullen groen'!A102,""),"")</f>
        <v/>
      </c>
      <c r="C89" s="287">
        <f>IFERROR(IF('Invullen groen'!E102&gt;0,'Invullen groen'!C102,""),"")</f>
        <v/>
      </c>
      <c r="D89" s="287">
        <f>IFERROR(IF('Invullen groen'!E102&gt;0,'Invullen groen'!D102,""),"")</f>
        <v/>
      </c>
      <c r="E89" s="287">
        <f>IFERROR(IF('Invullen groen'!E102&gt;0,'Invullen groen'!G102,""),"")</f>
        <v/>
      </c>
      <c r="F89" s="364">
        <f>IFERROR(IF('Invullen groen'!L102&lt;&gt;0,'Invullen groen'!L102,""),"")</f>
        <v/>
      </c>
      <c r="G89" s="364">
        <f>IFERROR(IF('Invullen groen'!M102&lt;&gt;0,'Invullen groen'!M102,""),"")</f>
        <v/>
      </c>
      <c r="H89" s="364">
        <f>IFERROR(IF('Invullen groen'!N102&lt;&gt;0,'Invullen groen'!N102,""),"")</f>
        <v/>
      </c>
      <c r="I89" s="364">
        <f>IFERROR(IF('Invullen groen'!O102&lt;&gt;0,'Invullen groen'!O102,""),"")</f>
        <v/>
      </c>
    </row>
    <row r="90" ht="14" customHeight="1">
      <c r="A90" s="287">
        <f>IFERROR(IF('Invullen groen'!E103&gt;0,103-17,""),"")</f>
        <v/>
      </c>
      <c r="B90" s="287">
        <f>IFERROR(IF('Invullen groen'!E103&gt;0,'Invullen groen'!A103,""),"")</f>
        <v/>
      </c>
      <c r="C90" s="287">
        <f>IFERROR(IF('Invullen groen'!E103&gt;0,'Invullen groen'!C103,""),"")</f>
        <v/>
      </c>
      <c r="D90" s="287">
        <f>IFERROR(IF('Invullen groen'!E103&gt;0,'Invullen groen'!D103,""),"")</f>
        <v/>
      </c>
      <c r="E90" s="287">
        <f>IFERROR(IF('Invullen groen'!E103&gt;0,'Invullen groen'!G103,""),"")</f>
        <v/>
      </c>
      <c r="F90" s="364">
        <f>IFERROR(IF('Invullen groen'!L103&lt;&gt;0,'Invullen groen'!L103,""),"")</f>
        <v/>
      </c>
      <c r="G90" s="364">
        <f>IFERROR(IF('Invullen groen'!M103&lt;&gt;0,'Invullen groen'!M103,""),"")</f>
        <v/>
      </c>
      <c r="H90" s="364">
        <f>IFERROR(IF('Invullen groen'!N103&lt;&gt;0,'Invullen groen'!N103,""),"")</f>
        <v/>
      </c>
      <c r="I90" s="364">
        <f>IFERROR(IF('Invullen groen'!O103&lt;&gt;0,'Invullen groen'!O103,""),"")</f>
        <v/>
      </c>
    </row>
    <row r="91" ht="14" customHeight="1">
      <c r="A91" s="287">
        <f>IFERROR(IF('Invullen groen'!E104&gt;0,104-17,""),"")</f>
        <v/>
      </c>
      <c r="B91" s="287">
        <f>IFERROR(IF('Invullen groen'!E104&gt;0,'Invullen groen'!A104,""),"")</f>
        <v/>
      </c>
      <c r="C91" s="287">
        <f>IFERROR(IF('Invullen groen'!E104&gt;0,'Invullen groen'!C104,""),"")</f>
        <v/>
      </c>
      <c r="D91" s="287">
        <f>IFERROR(IF('Invullen groen'!E104&gt;0,'Invullen groen'!D104,""),"")</f>
        <v/>
      </c>
      <c r="E91" s="287">
        <f>IFERROR(IF('Invullen groen'!E104&gt;0,'Invullen groen'!G104,""),"")</f>
        <v/>
      </c>
      <c r="F91" s="364">
        <f>IFERROR(IF('Invullen groen'!L104&lt;&gt;0,'Invullen groen'!L104,""),"")</f>
        <v/>
      </c>
      <c r="G91" s="364">
        <f>IFERROR(IF('Invullen groen'!M104&lt;&gt;0,'Invullen groen'!M104,""),"")</f>
        <v/>
      </c>
      <c r="H91" s="364">
        <f>IFERROR(IF('Invullen groen'!N104&lt;&gt;0,'Invullen groen'!N104,""),"")</f>
        <v/>
      </c>
      <c r="I91" s="364">
        <f>IFERROR(IF('Invullen groen'!O104&lt;&gt;0,'Invullen groen'!O104,""),"")</f>
        <v/>
      </c>
    </row>
    <row r="92" ht="14" customHeight="1">
      <c r="A92" s="287">
        <f>IFERROR(IF('Invullen groen'!E105&gt;0,105-17,""),"")</f>
        <v/>
      </c>
      <c r="B92" s="287">
        <f>IFERROR(IF('Invullen groen'!E105&gt;0,'Invullen groen'!A105,""),"")</f>
        <v/>
      </c>
      <c r="C92" s="287">
        <f>IFERROR(IF('Invullen groen'!E105&gt;0,'Invullen groen'!C105,""),"")</f>
        <v/>
      </c>
      <c r="D92" s="287">
        <f>IFERROR(IF('Invullen groen'!E105&gt;0,'Invullen groen'!D105,""),"")</f>
        <v/>
      </c>
      <c r="E92" s="287">
        <f>IFERROR(IF('Invullen groen'!E105&gt;0,'Invullen groen'!G105,""),"")</f>
        <v/>
      </c>
      <c r="F92" s="364">
        <f>IFERROR(IF('Invullen groen'!L105&lt;&gt;0,'Invullen groen'!L105,""),"")</f>
        <v/>
      </c>
      <c r="G92" s="364">
        <f>IFERROR(IF('Invullen groen'!M105&lt;&gt;0,'Invullen groen'!M105,""),"")</f>
        <v/>
      </c>
      <c r="H92" s="364">
        <f>IFERROR(IF('Invullen groen'!N105&lt;&gt;0,'Invullen groen'!N105,""),"")</f>
        <v/>
      </c>
      <c r="I92" s="364">
        <f>IFERROR(IF('Invullen groen'!O105&lt;&gt;0,'Invullen groen'!O105,""),"")</f>
        <v/>
      </c>
    </row>
    <row r="93" ht="14" customHeight="1">
      <c r="A93" s="287">
        <f>IFERROR(IF('Invullen groen'!E106&gt;0,106-17,""),"")</f>
        <v/>
      </c>
      <c r="B93" s="287">
        <f>IFERROR(IF('Invullen groen'!E106&gt;0,'Invullen groen'!A106,""),"")</f>
        <v/>
      </c>
      <c r="C93" s="287">
        <f>IFERROR(IF('Invullen groen'!E106&gt;0,'Invullen groen'!C106,""),"")</f>
        <v/>
      </c>
      <c r="D93" s="287">
        <f>IFERROR(IF('Invullen groen'!E106&gt;0,'Invullen groen'!D106,""),"")</f>
        <v/>
      </c>
      <c r="E93" s="287">
        <f>IFERROR(IF('Invullen groen'!E106&gt;0,'Invullen groen'!G106,""),"")</f>
        <v/>
      </c>
      <c r="F93" s="364">
        <f>IFERROR(IF('Invullen groen'!L106&lt;&gt;0,'Invullen groen'!L106,""),"")</f>
        <v/>
      </c>
      <c r="G93" s="364">
        <f>IFERROR(IF('Invullen groen'!M106&lt;&gt;0,'Invullen groen'!M106,""),"")</f>
        <v/>
      </c>
      <c r="H93" s="364">
        <f>IFERROR(IF('Invullen groen'!N106&lt;&gt;0,'Invullen groen'!N106,""),"")</f>
        <v/>
      </c>
      <c r="I93" s="364">
        <f>IFERROR(IF('Invullen groen'!O106&lt;&gt;0,'Invullen groen'!O106,""),"")</f>
        <v/>
      </c>
    </row>
    <row r="94" ht="14" customHeight="1">
      <c r="A94" s="287">
        <f>IFERROR(IF('Invullen groen'!E107&gt;0,107-17,""),"")</f>
        <v/>
      </c>
      <c r="B94" s="287">
        <f>IFERROR(IF('Invullen groen'!E107&gt;0,'Invullen groen'!A107,""),"")</f>
        <v/>
      </c>
      <c r="C94" s="287">
        <f>IFERROR(IF('Invullen groen'!E107&gt;0,'Invullen groen'!C107,""),"")</f>
        <v/>
      </c>
      <c r="D94" s="287">
        <f>IFERROR(IF('Invullen groen'!E107&gt;0,'Invullen groen'!D107,""),"")</f>
        <v/>
      </c>
      <c r="E94" s="287">
        <f>IFERROR(IF('Invullen groen'!E107&gt;0,'Invullen groen'!G107,""),"")</f>
        <v/>
      </c>
      <c r="F94" s="364">
        <f>IFERROR(IF('Invullen groen'!L107&lt;&gt;0,'Invullen groen'!L107,""),"")</f>
        <v/>
      </c>
      <c r="G94" s="364">
        <f>IFERROR(IF('Invullen groen'!M107&lt;&gt;0,'Invullen groen'!M107,""),"")</f>
        <v/>
      </c>
      <c r="H94" s="364">
        <f>IFERROR(IF('Invullen groen'!N107&lt;&gt;0,'Invullen groen'!N107,""),"")</f>
        <v/>
      </c>
      <c r="I94" s="364">
        <f>IFERROR(IF('Invullen groen'!O107&lt;&gt;0,'Invullen groen'!O107,""),"")</f>
        <v/>
      </c>
    </row>
    <row r="95" ht="14" customHeight="1">
      <c r="A95" s="287">
        <f>IFERROR(IF('Invullen groen'!E108&gt;0,108-17,""),"")</f>
        <v/>
      </c>
      <c r="B95" s="287">
        <f>IFERROR(IF('Invullen groen'!E108&gt;0,'Invullen groen'!A108,""),"")</f>
        <v/>
      </c>
      <c r="C95" s="287">
        <f>IFERROR(IF('Invullen groen'!E108&gt;0,'Invullen groen'!C108,""),"")</f>
        <v/>
      </c>
      <c r="D95" s="287">
        <f>IFERROR(IF('Invullen groen'!E108&gt;0,'Invullen groen'!D108,""),"")</f>
        <v/>
      </c>
      <c r="E95" s="287">
        <f>IFERROR(IF('Invullen groen'!E108&gt;0,'Invullen groen'!G108,""),"")</f>
        <v/>
      </c>
      <c r="F95" s="364">
        <f>IFERROR(IF('Invullen groen'!L108&lt;&gt;0,'Invullen groen'!L108,""),"")</f>
        <v/>
      </c>
      <c r="G95" s="364">
        <f>IFERROR(IF('Invullen groen'!M108&lt;&gt;0,'Invullen groen'!M108,""),"")</f>
        <v/>
      </c>
      <c r="H95" s="364">
        <f>IFERROR(IF('Invullen groen'!N108&lt;&gt;0,'Invullen groen'!N108,""),"")</f>
        <v/>
      </c>
      <c r="I95" s="364">
        <f>IFERROR(IF('Invullen groen'!O108&lt;&gt;0,'Invullen groen'!O108,""),"")</f>
        <v/>
      </c>
    </row>
    <row r="96" ht="14" customHeight="1">
      <c r="A96" s="287">
        <f>IFERROR(IF('Invullen groen'!E109&gt;0,109-17,""),"")</f>
        <v/>
      </c>
      <c r="B96" s="287">
        <f>IFERROR(IF('Invullen groen'!E109&gt;0,'Invullen groen'!A109,""),"")</f>
        <v/>
      </c>
      <c r="C96" s="287">
        <f>IFERROR(IF('Invullen groen'!E109&gt;0,'Invullen groen'!C109,""),"")</f>
        <v/>
      </c>
      <c r="D96" s="287">
        <f>IFERROR(IF('Invullen groen'!E109&gt;0,'Invullen groen'!D109,""),"")</f>
        <v/>
      </c>
      <c r="E96" s="287">
        <f>IFERROR(IF('Invullen groen'!E109&gt;0,'Invullen groen'!G109,""),"")</f>
        <v/>
      </c>
      <c r="F96" s="364">
        <f>IFERROR(IF('Invullen groen'!L109&lt;&gt;0,'Invullen groen'!L109,""),"")</f>
        <v/>
      </c>
      <c r="G96" s="364">
        <f>IFERROR(IF('Invullen groen'!M109&lt;&gt;0,'Invullen groen'!M109,""),"")</f>
        <v/>
      </c>
      <c r="H96" s="364">
        <f>IFERROR(IF('Invullen groen'!N109&lt;&gt;0,'Invullen groen'!N109,""),"")</f>
        <v/>
      </c>
      <c r="I96" s="364">
        <f>IFERROR(IF('Invullen groen'!O109&lt;&gt;0,'Invullen groen'!O109,""),"")</f>
        <v/>
      </c>
    </row>
    <row r="97" ht="14" customHeight="1">
      <c r="A97" s="287">
        <f>IFERROR(IF('Invullen groen'!E110&gt;0,110-17,""),"")</f>
        <v/>
      </c>
      <c r="B97" s="287">
        <f>IFERROR(IF('Invullen groen'!E110&gt;0,'Invullen groen'!A110,""),"")</f>
        <v/>
      </c>
      <c r="C97" s="287">
        <f>IFERROR(IF('Invullen groen'!E110&gt;0,'Invullen groen'!C110,""),"")</f>
        <v/>
      </c>
      <c r="D97" s="287">
        <f>IFERROR(IF('Invullen groen'!E110&gt;0,'Invullen groen'!D110,""),"")</f>
        <v/>
      </c>
      <c r="E97" s="287">
        <f>IFERROR(IF('Invullen groen'!E110&gt;0,'Invullen groen'!G110,""),"")</f>
        <v/>
      </c>
      <c r="F97" s="364">
        <f>IFERROR(IF('Invullen groen'!L110&lt;&gt;0,'Invullen groen'!L110,""),"")</f>
        <v/>
      </c>
      <c r="G97" s="364">
        <f>IFERROR(IF('Invullen groen'!M110&lt;&gt;0,'Invullen groen'!M110,""),"")</f>
        <v/>
      </c>
      <c r="H97" s="364">
        <f>IFERROR(IF('Invullen groen'!N110&lt;&gt;0,'Invullen groen'!N110,""),"")</f>
        <v/>
      </c>
      <c r="I97" s="364">
        <f>IFERROR(IF('Invullen groen'!O110&lt;&gt;0,'Invullen groen'!O110,""),"")</f>
        <v/>
      </c>
    </row>
    <row r="98" ht="14" customHeight="1">
      <c r="A98" s="287">
        <f>IFERROR(IF('Invullen groen'!E111&gt;0,111-17,""),"")</f>
        <v/>
      </c>
      <c r="B98" s="287">
        <f>IFERROR(IF('Invullen groen'!E111&gt;0,'Invullen groen'!A111,""),"")</f>
        <v/>
      </c>
      <c r="C98" s="287">
        <f>IFERROR(IF('Invullen groen'!E111&gt;0,'Invullen groen'!C111,""),"")</f>
        <v/>
      </c>
      <c r="D98" s="287">
        <f>IFERROR(IF('Invullen groen'!E111&gt;0,'Invullen groen'!D111,""),"")</f>
        <v/>
      </c>
      <c r="E98" s="287">
        <f>IFERROR(IF('Invullen groen'!E111&gt;0,'Invullen groen'!G111,""),"")</f>
        <v/>
      </c>
      <c r="F98" s="364">
        <f>IFERROR(IF('Invullen groen'!L111&lt;&gt;0,'Invullen groen'!L111,""),"")</f>
        <v/>
      </c>
      <c r="G98" s="364">
        <f>IFERROR(IF('Invullen groen'!M111&lt;&gt;0,'Invullen groen'!M111,""),"")</f>
        <v/>
      </c>
      <c r="H98" s="364">
        <f>IFERROR(IF('Invullen groen'!N111&lt;&gt;0,'Invullen groen'!N111,""),"")</f>
        <v/>
      </c>
      <c r="I98" s="364">
        <f>IFERROR(IF('Invullen groen'!O111&lt;&gt;0,'Invullen groen'!O111,""),"")</f>
        <v/>
      </c>
    </row>
    <row r="99" ht="14" customHeight="1">
      <c r="A99" s="287">
        <f>IFERROR(IF('Invullen groen'!E112&gt;0,112-17,""),"")</f>
        <v/>
      </c>
      <c r="B99" s="287">
        <f>IFERROR(IF('Invullen groen'!E112&gt;0,'Invullen groen'!A112,""),"")</f>
        <v/>
      </c>
      <c r="C99" s="287">
        <f>IFERROR(IF('Invullen groen'!E112&gt;0,'Invullen groen'!C112,""),"")</f>
        <v/>
      </c>
      <c r="D99" s="287">
        <f>IFERROR(IF('Invullen groen'!E112&gt;0,'Invullen groen'!D112,""),"")</f>
        <v/>
      </c>
      <c r="E99" s="287">
        <f>IFERROR(IF('Invullen groen'!E112&gt;0,'Invullen groen'!G112,""),"")</f>
        <v/>
      </c>
      <c r="F99" s="364">
        <f>IFERROR(IF('Invullen groen'!L112&lt;&gt;0,'Invullen groen'!L112,""),"")</f>
        <v/>
      </c>
      <c r="G99" s="364">
        <f>IFERROR(IF('Invullen groen'!M112&lt;&gt;0,'Invullen groen'!M112,""),"")</f>
        <v/>
      </c>
      <c r="H99" s="364">
        <f>IFERROR(IF('Invullen groen'!N112&lt;&gt;0,'Invullen groen'!N112,""),"")</f>
        <v/>
      </c>
      <c r="I99" s="364">
        <f>IFERROR(IF('Invullen groen'!O112&lt;&gt;0,'Invullen groen'!O112,""),"")</f>
        <v/>
      </c>
    </row>
    <row r="100" ht="14" customHeight="1">
      <c r="A100" s="287">
        <f>IFERROR(IF('Invullen groen'!E113&gt;0,113-17,""),"")</f>
        <v/>
      </c>
      <c r="B100" s="287">
        <f>IFERROR(IF('Invullen groen'!E113&gt;0,'Invullen groen'!A113,""),"")</f>
        <v/>
      </c>
      <c r="C100" s="287">
        <f>IFERROR(IF('Invullen groen'!E113&gt;0,'Invullen groen'!C113,""),"")</f>
        <v/>
      </c>
      <c r="D100" s="287">
        <f>IFERROR(IF('Invullen groen'!E113&gt;0,'Invullen groen'!D113,""),"")</f>
        <v/>
      </c>
      <c r="E100" s="287">
        <f>IFERROR(IF('Invullen groen'!E113&gt;0,'Invullen groen'!G113,""),"")</f>
        <v/>
      </c>
      <c r="F100" s="364">
        <f>IFERROR(IF('Invullen groen'!L113&lt;&gt;0,'Invullen groen'!L113,""),"")</f>
        <v/>
      </c>
      <c r="G100" s="364">
        <f>IFERROR(IF('Invullen groen'!M113&lt;&gt;0,'Invullen groen'!M113,""),"")</f>
        <v/>
      </c>
      <c r="H100" s="364">
        <f>IFERROR(IF('Invullen groen'!N113&lt;&gt;0,'Invullen groen'!N113,""),"")</f>
        <v/>
      </c>
      <c r="I100" s="364">
        <f>IFERROR(IF('Invullen groen'!O113&lt;&gt;0,'Invullen groen'!O113,""),"")</f>
        <v/>
      </c>
    </row>
    <row r="101" ht="14" customHeight="1">
      <c r="A101" s="287">
        <f>IFERROR(IF('Invullen groen'!E114&gt;0,114-17,""),"")</f>
        <v/>
      </c>
      <c r="B101" s="287">
        <f>IFERROR(IF('Invullen groen'!E114&gt;0,'Invullen groen'!A114,""),"")</f>
        <v/>
      </c>
      <c r="C101" s="287">
        <f>IFERROR(IF('Invullen groen'!E114&gt;0,'Invullen groen'!C114,""),"")</f>
        <v/>
      </c>
      <c r="D101" s="287">
        <f>IFERROR(IF('Invullen groen'!E114&gt;0,'Invullen groen'!D114,""),"")</f>
        <v/>
      </c>
      <c r="E101" s="287">
        <f>IFERROR(IF('Invullen groen'!E114&gt;0,'Invullen groen'!G114,""),"")</f>
        <v/>
      </c>
      <c r="F101" s="364">
        <f>IFERROR(IF('Invullen groen'!L114&lt;&gt;0,'Invullen groen'!L114,""),"")</f>
        <v/>
      </c>
      <c r="G101" s="364">
        <f>IFERROR(IF('Invullen groen'!M114&lt;&gt;0,'Invullen groen'!M114,""),"")</f>
        <v/>
      </c>
      <c r="H101" s="364">
        <f>IFERROR(IF('Invullen groen'!N114&lt;&gt;0,'Invullen groen'!N114,""),"")</f>
        <v/>
      </c>
      <c r="I101" s="364">
        <f>IFERROR(IF('Invullen groen'!O114&lt;&gt;0,'Invullen groen'!O114,""),"")</f>
        <v/>
      </c>
    </row>
    <row r="102" ht="14" customHeight="1">
      <c r="A102" s="287">
        <f>IFERROR(IF('Invullen groen'!E115&gt;0,115-17,""),"")</f>
        <v/>
      </c>
      <c r="B102" s="287">
        <f>IFERROR(IF('Invullen groen'!E115&gt;0,'Invullen groen'!A115,""),"")</f>
        <v/>
      </c>
      <c r="C102" s="287">
        <f>IFERROR(IF('Invullen groen'!E115&gt;0,'Invullen groen'!C115,""),"")</f>
        <v/>
      </c>
      <c r="D102" s="287">
        <f>IFERROR(IF('Invullen groen'!E115&gt;0,'Invullen groen'!D115,""),"")</f>
        <v/>
      </c>
      <c r="E102" s="287">
        <f>IFERROR(IF('Invullen groen'!E115&gt;0,'Invullen groen'!G115,""),"")</f>
        <v/>
      </c>
      <c r="F102" s="364">
        <f>IFERROR(IF('Invullen groen'!L115&lt;&gt;0,'Invullen groen'!L115,""),"")</f>
        <v/>
      </c>
      <c r="G102" s="364">
        <f>IFERROR(IF('Invullen groen'!M115&lt;&gt;0,'Invullen groen'!M115,""),"")</f>
        <v/>
      </c>
      <c r="H102" s="364">
        <f>IFERROR(IF('Invullen groen'!N115&lt;&gt;0,'Invullen groen'!N115,""),"")</f>
        <v/>
      </c>
      <c r="I102" s="364">
        <f>IFERROR(IF('Invullen groen'!O115&lt;&gt;0,'Invullen groen'!O115,""),"")</f>
        <v/>
      </c>
    </row>
    <row r="103" ht="14" customHeight="1">
      <c r="A103" s="287">
        <f>IFERROR(IF('Invullen groen'!E116&gt;0,116-17,""),"")</f>
        <v/>
      </c>
      <c r="B103" s="287">
        <f>IFERROR(IF('Invullen groen'!E116&gt;0,'Invullen groen'!A116,""),"")</f>
        <v/>
      </c>
      <c r="C103" s="287">
        <f>IFERROR(IF('Invullen groen'!E116&gt;0,'Invullen groen'!C116,""),"")</f>
        <v/>
      </c>
      <c r="D103" s="287">
        <f>IFERROR(IF('Invullen groen'!E116&gt;0,'Invullen groen'!D116,""),"")</f>
        <v/>
      </c>
      <c r="E103" s="287">
        <f>IFERROR(IF('Invullen groen'!E116&gt;0,'Invullen groen'!G116,""),"")</f>
        <v/>
      </c>
      <c r="F103" s="364">
        <f>IFERROR(IF('Invullen groen'!L116&lt;&gt;0,'Invullen groen'!L116,""),"")</f>
        <v/>
      </c>
      <c r="G103" s="364">
        <f>IFERROR(IF('Invullen groen'!M116&lt;&gt;0,'Invullen groen'!M116,""),"")</f>
        <v/>
      </c>
      <c r="H103" s="364">
        <f>IFERROR(IF('Invullen groen'!N116&lt;&gt;0,'Invullen groen'!N116,""),"")</f>
        <v/>
      </c>
      <c r="I103" s="364">
        <f>IFERROR(IF('Invullen groen'!O116&lt;&gt;0,'Invullen groen'!O116,""),"")</f>
        <v/>
      </c>
    </row>
    <row r="104" ht="14" customHeight="1">
      <c r="A104" s="287">
        <f>IFERROR(IF('Invullen groen'!E117&gt;0,117-17,""),"")</f>
        <v/>
      </c>
      <c r="B104" s="287">
        <f>IFERROR(IF('Invullen groen'!E117&gt;0,'Invullen groen'!A117,""),"")</f>
        <v/>
      </c>
      <c r="C104" s="287">
        <f>IFERROR(IF('Invullen groen'!E117&gt;0,'Invullen groen'!C117,""),"")</f>
        <v/>
      </c>
      <c r="D104" s="287">
        <f>IFERROR(IF('Invullen groen'!E117&gt;0,'Invullen groen'!D117,""),"")</f>
        <v/>
      </c>
      <c r="E104" s="287">
        <f>IFERROR(IF('Invullen groen'!E117&gt;0,'Invullen groen'!G117,""),"")</f>
        <v/>
      </c>
      <c r="F104" s="364">
        <f>IFERROR(IF('Invullen groen'!L117&lt;&gt;0,'Invullen groen'!L117,""),"")</f>
        <v/>
      </c>
      <c r="G104" s="364">
        <f>IFERROR(IF('Invullen groen'!M117&lt;&gt;0,'Invullen groen'!M117,""),"")</f>
        <v/>
      </c>
      <c r="H104" s="364">
        <f>IFERROR(IF('Invullen groen'!N117&lt;&gt;0,'Invullen groen'!N117,""),"")</f>
        <v/>
      </c>
      <c r="I104" s="364">
        <f>IFERROR(IF('Invullen groen'!O117&lt;&gt;0,'Invullen groen'!O117,""),"")</f>
        <v/>
      </c>
    </row>
    <row r="105" ht="14" customHeight="1">
      <c r="A105" s="287">
        <f>IFERROR(IF('Invullen groen'!E118&gt;0,118-17,""),"")</f>
        <v/>
      </c>
      <c r="B105" s="287">
        <f>IFERROR(IF('Invullen groen'!E118&gt;0,'Invullen groen'!A118,""),"")</f>
        <v/>
      </c>
      <c r="C105" s="287">
        <f>IFERROR(IF('Invullen groen'!E118&gt;0,'Invullen groen'!C118,""),"")</f>
        <v/>
      </c>
      <c r="D105" s="287">
        <f>IFERROR(IF('Invullen groen'!E118&gt;0,'Invullen groen'!D118,""),"")</f>
        <v/>
      </c>
      <c r="E105" s="287">
        <f>IFERROR(IF('Invullen groen'!E118&gt;0,'Invullen groen'!G118,""),"")</f>
        <v/>
      </c>
      <c r="F105" s="364">
        <f>IFERROR(IF('Invullen groen'!L118&lt;&gt;0,'Invullen groen'!L118,""),"")</f>
        <v/>
      </c>
      <c r="G105" s="364">
        <f>IFERROR(IF('Invullen groen'!M118&lt;&gt;0,'Invullen groen'!M118,""),"")</f>
        <v/>
      </c>
      <c r="H105" s="364">
        <f>IFERROR(IF('Invullen groen'!N118&lt;&gt;0,'Invullen groen'!N118,""),"")</f>
        <v/>
      </c>
      <c r="I105" s="364">
        <f>IFERROR(IF('Invullen groen'!O118&lt;&gt;0,'Invullen groen'!O118,""),"")</f>
        <v/>
      </c>
    </row>
    <row r="106" ht="14" customHeight="1">
      <c r="A106" s="287">
        <f>IFERROR(IF('Invullen groen'!E119&gt;0,119-17,""),"")</f>
        <v/>
      </c>
      <c r="B106" s="287">
        <f>IFERROR(IF('Invullen groen'!E119&gt;0,'Invullen groen'!A119,""),"")</f>
        <v/>
      </c>
      <c r="C106" s="287">
        <f>IFERROR(IF('Invullen groen'!E119&gt;0,'Invullen groen'!C119,""),"")</f>
        <v/>
      </c>
      <c r="D106" s="287">
        <f>IFERROR(IF('Invullen groen'!E119&gt;0,'Invullen groen'!D119,""),"")</f>
        <v/>
      </c>
      <c r="E106" s="287">
        <f>IFERROR(IF('Invullen groen'!E119&gt;0,'Invullen groen'!G119,""),"")</f>
        <v/>
      </c>
      <c r="F106" s="364">
        <f>IFERROR(IF('Invullen groen'!L119&lt;&gt;0,'Invullen groen'!L119,""),"")</f>
        <v/>
      </c>
      <c r="G106" s="364">
        <f>IFERROR(IF('Invullen groen'!M119&lt;&gt;0,'Invullen groen'!M119,""),"")</f>
        <v/>
      </c>
      <c r="H106" s="364">
        <f>IFERROR(IF('Invullen groen'!N119&lt;&gt;0,'Invullen groen'!N119,""),"")</f>
        <v/>
      </c>
      <c r="I106" s="364">
        <f>IFERROR(IF('Invullen groen'!O119&lt;&gt;0,'Invullen groen'!O119,""),"")</f>
        <v/>
      </c>
    </row>
    <row r="107" ht="14" customHeight="1">
      <c r="A107" s="287">
        <f>IFERROR(IF('Invullen groen'!E120&gt;0,120-17,""),"")</f>
        <v/>
      </c>
      <c r="B107" s="287">
        <f>IFERROR(IF('Invullen groen'!E120&gt;0,'Invullen groen'!A120,""),"")</f>
        <v/>
      </c>
      <c r="C107" s="287">
        <f>IFERROR(IF('Invullen groen'!E120&gt;0,'Invullen groen'!C120,""),"")</f>
        <v/>
      </c>
      <c r="D107" s="287">
        <f>IFERROR(IF('Invullen groen'!E120&gt;0,'Invullen groen'!D120,""),"")</f>
        <v/>
      </c>
      <c r="E107" s="287">
        <f>IFERROR(IF('Invullen groen'!E120&gt;0,'Invullen groen'!G120,""),"")</f>
        <v/>
      </c>
      <c r="F107" s="364">
        <f>IFERROR(IF('Invullen groen'!L120&lt;&gt;0,'Invullen groen'!L120,""),"")</f>
        <v/>
      </c>
      <c r="G107" s="364">
        <f>IFERROR(IF('Invullen groen'!M120&lt;&gt;0,'Invullen groen'!M120,""),"")</f>
        <v/>
      </c>
      <c r="H107" s="364">
        <f>IFERROR(IF('Invullen groen'!N120&lt;&gt;0,'Invullen groen'!N120,""),"")</f>
        <v/>
      </c>
      <c r="I107" s="364">
        <f>IFERROR(IF('Invullen groen'!O120&lt;&gt;0,'Invullen groen'!O120,""),"")</f>
        <v/>
      </c>
    </row>
    <row r="108" ht="14" customHeight="1">
      <c r="A108" s="287">
        <f>IFERROR(IF('Invullen groen'!E121&gt;0,121-17,""),"")</f>
        <v/>
      </c>
      <c r="B108" s="287">
        <f>IFERROR(IF('Invullen groen'!E121&gt;0,'Invullen groen'!A121,""),"")</f>
        <v/>
      </c>
      <c r="C108" s="287">
        <f>IFERROR(IF('Invullen groen'!E121&gt;0,'Invullen groen'!C121,""),"")</f>
        <v/>
      </c>
      <c r="D108" s="287">
        <f>IFERROR(IF('Invullen groen'!E121&gt;0,'Invullen groen'!D121,""),"")</f>
        <v/>
      </c>
      <c r="E108" s="287">
        <f>IFERROR(IF('Invullen groen'!E121&gt;0,'Invullen groen'!G121,""),"")</f>
        <v/>
      </c>
      <c r="F108" s="364">
        <f>IFERROR(IF('Invullen groen'!L121&lt;&gt;0,'Invullen groen'!L121,""),"")</f>
        <v/>
      </c>
      <c r="G108" s="364">
        <f>IFERROR(IF('Invullen groen'!M121&lt;&gt;0,'Invullen groen'!M121,""),"")</f>
        <v/>
      </c>
      <c r="H108" s="364">
        <f>IFERROR(IF('Invullen groen'!N121&lt;&gt;0,'Invullen groen'!N121,""),"")</f>
        <v/>
      </c>
      <c r="I108" s="364">
        <f>IFERROR(IF('Invullen groen'!O121&lt;&gt;0,'Invullen groen'!O121,""),"")</f>
        <v/>
      </c>
    </row>
    <row r="109" ht="14" customHeight="1">
      <c r="A109" s="287">
        <f>IFERROR(IF('Invullen groen'!E122&gt;0,122-17,""),"")</f>
        <v/>
      </c>
      <c r="B109" s="287">
        <f>IFERROR(IF('Invullen groen'!E122&gt;0,'Invullen groen'!A122,""),"")</f>
        <v/>
      </c>
      <c r="C109" s="287">
        <f>IFERROR(IF('Invullen groen'!E122&gt;0,'Invullen groen'!C122,""),"")</f>
        <v/>
      </c>
      <c r="D109" s="287">
        <f>IFERROR(IF('Invullen groen'!E122&gt;0,'Invullen groen'!D122,""),"")</f>
        <v/>
      </c>
      <c r="E109" s="287">
        <f>IFERROR(IF('Invullen groen'!E122&gt;0,'Invullen groen'!G122,""),"")</f>
        <v/>
      </c>
      <c r="F109" s="364">
        <f>IFERROR(IF('Invullen groen'!L122&lt;&gt;0,'Invullen groen'!L122,""),"")</f>
        <v/>
      </c>
      <c r="G109" s="364">
        <f>IFERROR(IF('Invullen groen'!M122&lt;&gt;0,'Invullen groen'!M122,""),"")</f>
        <v/>
      </c>
      <c r="H109" s="364">
        <f>IFERROR(IF('Invullen groen'!N122&lt;&gt;0,'Invullen groen'!N122,""),"")</f>
        <v/>
      </c>
      <c r="I109" s="364">
        <f>IFERROR(IF('Invullen groen'!O122&lt;&gt;0,'Invullen groen'!O122,""),"")</f>
        <v/>
      </c>
    </row>
    <row r="110" ht="14" customHeight="1">
      <c r="A110" s="287">
        <f>IFERROR(IF('Invullen groen'!E123&gt;0,123-17,""),"")</f>
        <v/>
      </c>
      <c r="B110" s="287">
        <f>IFERROR(IF('Invullen groen'!E123&gt;0,'Invullen groen'!A123,""),"")</f>
        <v/>
      </c>
      <c r="C110" s="287">
        <f>IFERROR(IF('Invullen groen'!E123&gt;0,'Invullen groen'!C123,""),"")</f>
        <v/>
      </c>
      <c r="D110" s="287">
        <f>IFERROR(IF('Invullen groen'!E123&gt;0,'Invullen groen'!D123,""),"")</f>
        <v/>
      </c>
      <c r="E110" s="287">
        <f>IFERROR(IF('Invullen groen'!E123&gt;0,'Invullen groen'!G123,""),"")</f>
        <v/>
      </c>
      <c r="F110" s="364">
        <f>IFERROR(IF('Invullen groen'!L123&lt;&gt;0,'Invullen groen'!L123,""),"")</f>
        <v/>
      </c>
      <c r="G110" s="364">
        <f>IFERROR(IF('Invullen groen'!M123&lt;&gt;0,'Invullen groen'!M123,""),"")</f>
        <v/>
      </c>
      <c r="H110" s="364">
        <f>IFERROR(IF('Invullen groen'!N123&lt;&gt;0,'Invullen groen'!N123,""),"")</f>
        <v/>
      </c>
      <c r="I110" s="364">
        <f>IFERROR(IF('Invullen groen'!O123&lt;&gt;0,'Invullen groen'!O123,""),"")</f>
        <v/>
      </c>
    </row>
    <row r="111" ht="14" customHeight="1">
      <c r="A111" s="287">
        <f>IFERROR(IF('Invullen groen'!E124&gt;0,124-17,""),"")</f>
        <v/>
      </c>
      <c r="B111" s="287">
        <f>IFERROR(IF('Invullen groen'!E124&gt;0,'Invullen groen'!A124,""),"")</f>
        <v/>
      </c>
      <c r="C111" s="287">
        <f>IFERROR(IF('Invullen groen'!E124&gt;0,'Invullen groen'!C124,""),"")</f>
        <v/>
      </c>
      <c r="D111" s="287">
        <f>IFERROR(IF('Invullen groen'!E124&gt;0,'Invullen groen'!D124,""),"")</f>
        <v/>
      </c>
      <c r="E111" s="287">
        <f>IFERROR(IF('Invullen groen'!E124&gt;0,'Invullen groen'!G124,""),"")</f>
        <v/>
      </c>
      <c r="F111" s="364">
        <f>IFERROR(IF('Invullen groen'!L124&lt;&gt;0,'Invullen groen'!L124,""),"")</f>
        <v/>
      </c>
      <c r="G111" s="364">
        <f>IFERROR(IF('Invullen groen'!M124&lt;&gt;0,'Invullen groen'!M124,""),"")</f>
        <v/>
      </c>
      <c r="H111" s="364">
        <f>IFERROR(IF('Invullen groen'!N124&lt;&gt;0,'Invullen groen'!N124,""),"")</f>
        <v/>
      </c>
      <c r="I111" s="364">
        <f>IFERROR(IF('Invullen groen'!O124&lt;&gt;0,'Invullen groen'!O124,""),"")</f>
        <v/>
      </c>
    </row>
    <row r="112" ht="14" customHeight="1">
      <c r="A112" s="287">
        <f>IFERROR(IF('Invullen groen'!E125&gt;0,125-17,""),"")</f>
        <v/>
      </c>
      <c r="B112" s="287">
        <f>IFERROR(IF('Invullen groen'!E125&gt;0,'Invullen groen'!A125,""),"")</f>
        <v/>
      </c>
      <c r="C112" s="287">
        <f>IFERROR(IF('Invullen groen'!E125&gt;0,'Invullen groen'!C125,""),"")</f>
        <v/>
      </c>
      <c r="D112" s="287">
        <f>IFERROR(IF('Invullen groen'!E125&gt;0,'Invullen groen'!D125,""),"")</f>
        <v/>
      </c>
      <c r="E112" s="287">
        <f>IFERROR(IF('Invullen groen'!E125&gt;0,'Invullen groen'!G125,""),"")</f>
        <v/>
      </c>
      <c r="F112" s="364">
        <f>IFERROR(IF('Invullen groen'!L125&lt;&gt;0,'Invullen groen'!L125,""),"")</f>
        <v/>
      </c>
      <c r="G112" s="364">
        <f>IFERROR(IF('Invullen groen'!M125&lt;&gt;0,'Invullen groen'!M125,""),"")</f>
        <v/>
      </c>
      <c r="H112" s="364">
        <f>IFERROR(IF('Invullen groen'!N125&lt;&gt;0,'Invullen groen'!N125,""),"")</f>
        <v/>
      </c>
      <c r="I112" s="364">
        <f>IFERROR(IF('Invullen groen'!O125&lt;&gt;0,'Invullen groen'!O125,""),"")</f>
        <v/>
      </c>
    </row>
    <row r="113" ht="14" customHeight="1">
      <c r="A113" s="287">
        <f>IFERROR(IF('Invullen groen'!E126&gt;0,126-17,""),"")</f>
        <v/>
      </c>
      <c r="B113" s="287">
        <f>IFERROR(IF('Invullen groen'!E126&gt;0,'Invullen groen'!A126,""),"")</f>
        <v/>
      </c>
      <c r="C113" s="287">
        <f>IFERROR(IF('Invullen groen'!E126&gt;0,'Invullen groen'!C126,""),"")</f>
        <v/>
      </c>
      <c r="D113" s="287">
        <f>IFERROR(IF('Invullen groen'!E126&gt;0,'Invullen groen'!D126,""),"")</f>
        <v/>
      </c>
      <c r="E113" s="287">
        <f>IFERROR(IF('Invullen groen'!E126&gt;0,'Invullen groen'!G126,""),"")</f>
        <v/>
      </c>
      <c r="F113" s="364">
        <f>IFERROR(IF('Invullen groen'!L126&lt;&gt;0,'Invullen groen'!L126,""),"")</f>
        <v/>
      </c>
      <c r="G113" s="364">
        <f>IFERROR(IF('Invullen groen'!M126&lt;&gt;0,'Invullen groen'!M126,""),"")</f>
        <v/>
      </c>
      <c r="H113" s="364">
        <f>IFERROR(IF('Invullen groen'!N126&lt;&gt;0,'Invullen groen'!N126,""),"")</f>
        <v/>
      </c>
      <c r="I113" s="364">
        <f>IFERROR(IF('Invullen groen'!O126&lt;&gt;0,'Invullen groen'!O126,""),"")</f>
        <v/>
      </c>
    </row>
    <row r="114" ht="14" customHeight="1">
      <c r="A114" s="287">
        <f>IFERROR(IF('Invullen groen'!E127&gt;0,127-17,""),"")</f>
        <v/>
      </c>
      <c r="B114" s="287">
        <f>IFERROR(IF('Invullen groen'!E127&gt;0,'Invullen groen'!A127,""),"")</f>
        <v/>
      </c>
      <c r="C114" s="287">
        <f>IFERROR(IF('Invullen groen'!E127&gt;0,'Invullen groen'!C127,""),"")</f>
        <v/>
      </c>
      <c r="D114" s="287">
        <f>IFERROR(IF('Invullen groen'!E127&gt;0,'Invullen groen'!D127,""),"")</f>
        <v/>
      </c>
      <c r="E114" s="287">
        <f>IFERROR(IF('Invullen groen'!E127&gt;0,'Invullen groen'!G127,""),"")</f>
        <v/>
      </c>
      <c r="F114" s="364">
        <f>IFERROR(IF('Invullen groen'!L127&lt;&gt;0,'Invullen groen'!L127,""),"")</f>
        <v/>
      </c>
      <c r="G114" s="364">
        <f>IFERROR(IF('Invullen groen'!M127&lt;&gt;0,'Invullen groen'!M127,""),"")</f>
        <v/>
      </c>
      <c r="H114" s="364">
        <f>IFERROR(IF('Invullen groen'!N127&lt;&gt;0,'Invullen groen'!N127,""),"")</f>
        <v/>
      </c>
      <c r="I114" s="364">
        <f>IFERROR(IF('Invullen groen'!O127&lt;&gt;0,'Invullen groen'!O127,""),"")</f>
        <v/>
      </c>
    </row>
    <row r="115" ht="14" customHeight="1">
      <c r="A115" s="287">
        <f>IFERROR(IF('Invullen groen'!E128&gt;0,128-17,""),"")</f>
        <v/>
      </c>
      <c r="B115" s="287">
        <f>IFERROR(IF('Invullen groen'!E128&gt;0,'Invullen groen'!A128,""),"")</f>
        <v/>
      </c>
      <c r="C115" s="287">
        <f>IFERROR(IF('Invullen groen'!E128&gt;0,'Invullen groen'!C128,""),"")</f>
        <v/>
      </c>
      <c r="D115" s="287">
        <f>IFERROR(IF('Invullen groen'!E128&gt;0,'Invullen groen'!D128,""),"")</f>
        <v/>
      </c>
      <c r="E115" s="287">
        <f>IFERROR(IF('Invullen groen'!E128&gt;0,'Invullen groen'!G128,""),"")</f>
        <v/>
      </c>
      <c r="F115" s="364">
        <f>IFERROR(IF('Invullen groen'!L128&lt;&gt;0,'Invullen groen'!L128,""),"")</f>
        <v/>
      </c>
      <c r="G115" s="364">
        <f>IFERROR(IF('Invullen groen'!M128&lt;&gt;0,'Invullen groen'!M128,""),"")</f>
        <v/>
      </c>
      <c r="H115" s="364">
        <f>IFERROR(IF('Invullen groen'!N128&lt;&gt;0,'Invullen groen'!N128,""),"")</f>
        <v/>
      </c>
      <c r="I115" s="364">
        <f>IFERROR(IF('Invullen groen'!O128&lt;&gt;0,'Invullen groen'!O128,""),"")</f>
        <v/>
      </c>
    </row>
    <row r="116" ht="14" customHeight="1">
      <c r="A116" s="287">
        <f>IFERROR(IF('Invullen groen'!E129&gt;0,129-17,""),"")</f>
        <v/>
      </c>
      <c r="B116" s="287">
        <f>IFERROR(IF('Invullen groen'!E129&gt;0,'Invullen groen'!A129,""),"")</f>
        <v/>
      </c>
      <c r="C116" s="287">
        <f>IFERROR(IF('Invullen groen'!E129&gt;0,'Invullen groen'!C129,""),"")</f>
        <v/>
      </c>
      <c r="D116" s="287">
        <f>IFERROR(IF('Invullen groen'!E129&gt;0,'Invullen groen'!D129,""),"")</f>
        <v/>
      </c>
      <c r="E116" s="287">
        <f>IFERROR(IF('Invullen groen'!E129&gt;0,'Invullen groen'!G129,""),"")</f>
        <v/>
      </c>
      <c r="F116" s="364">
        <f>IFERROR(IF('Invullen groen'!L129&lt;&gt;0,'Invullen groen'!L129,""),"")</f>
        <v/>
      </c>
      <c r="G116" s="364">
        <f>IFERROR(IF('Invullen groen'!M129&lt;&gt;0,'Invullen groen'!M129,""),"")</f>
        <v/>
      </c>
      <c r="H116" s="364">
        <f>IFERROR(IF('Invullen groen'!N129&lt;&gt;0,'Invullen groen'!N129,""),"")</f>
        <v/>
      </c>
      <c r="I116" s="364">
        <f>IFERROR(IF('Invullen groen'!O129&lt;&gt;0,'Invullen groen'!O129,""),"")</f>
        <v/>
      </c>
    </row>
    <row r="117" ht="14" customHeight="1">
      <c r="A117" s="287">
        <f>IFERROR(IF('Invullen groen'!E130&gt;0,130-17,""),"")</f>
        <v/>
      </c>
      <c r="B117" s="287">
        <f>IFERROR(IF('Invullen groen'!E130&gt;0,'Invullen groen'!A130,""),"")</f>
        <v/>
      </c>
      <c r="C117" s="287">
        <f>IFERROR(IF('Invullen groen'!E130&gt;0,'Invullen groen'!C130,""),"")</f>
        <v/>
      </c>
      <c r="D117" s="287">
        <f>IFERROR(IF('Invullen groen'!E130&gt;0,'Invullen groen'!D130,""),"")</f>
        <v/>
      </c>
      <c r="E117" s="287">
        <f>IFERROR(IF('Invullen groen'!E130&gt;0,'Invullen groen'!G130,""),"")</f>
        <v/>
      </c>
      <c r="F117" s="364">
        <f>IFERROR(IF('Invullen groen'!L130&lt;&gt;0,'Invullen groen'!L130,""),"")</f>
        <v/>
      </c>
      <c r="G117" s="364">
        <f>IFERROR(IF('Invullen groen'!M130&lt;&gt;0,'Invullen groen'!M130,""),"")</f>
        <v/>
      </c>
      <c r="H117" s="364">
        <f>IFERROR(IF('Invullen groen'!N130&lt;&gt;0,'Invullen groen'!N130,""),"")</f>
        <v/>
      </c>
      <c r="I117" s="364">
        <f>IFERROR(IF('Invullen groen'!O130&lt;&gt;0,'Invullen groen'!O130,""),"")</f>
        <v/>
      </c>
    </row>
    <row r="118" ht="14" customHeight="1">
      <c r="A118" s="287">
        <f>IFERROR(IF('Invullen groen'!E131&gt;0,131-17,""),"")</f>
        <v/>
      </c>
      <c r="B118" s="287">
        <f>IFERROR(IF('Invullen groen'!E131&gt;0,'Invullen groen'!A131,""),"")</f>
        <v/>
      </c>
      <c r="C118" s="287">
        <f>IFERROR(IF('Invullen groen'!E131&gt;0,'Invullen groen'!C131,""),"")</f>
        <v/>
      </c>
      <c r="D118" s="287">
        <f>IFERROR(IF('Invullen groen'!E131&gt;0,'Invullen groen'!D131,""),"")</f>
        <v/>
      </c>
      <c r="E118" s="287">
        <f>IFERROR(IF('Invullen groen'!E131&gt;0,'Invullen groen'!G131,""),"")</f>
        <v/>
      </c>
      <c r="F118" s="364">
        <f>IFERROR(IF('Invullen groen'!L131&lt;&gt;0,'Invullen groen'!L131,""),"")</f>
        <v/>
      </c>
      <c r="G118" s="364">
        <f>IFERROR(IF('Invullen groen'!M131&lt;&gt;0,'Invullen groen'!M131,""),"")</f>
        <v/>
      </c>
      <c r="H118" s="364">
        <f>IFERROR(IF('Invullen groen'!N131&lt;&gt;0,'Invullen groen'!N131,""),"")</f>
        <v/>
      </c>
      <c r="I118" s="364">
        <f>IFERROR(IF('Invullen groen'!O131&lt;&gt;0,'Invullen groen'!O131,""),"")</f>
        <v/>
      </c>
    </row>
    <row r="119" ht="14" customHeight="1">
      <c r="A119" s="287">
        <f>IFERROR(IF('Invullen groen'!E132&gt;0,132-17,""),"")</f>
        <v/>
      </c>
      <c r="B119" s="287">
        <f>IFERROR(IF('Invullen groen'!E132&gt;0,'Invullen groen'!A132,""),"")</f>
        <v/>
      </c>
      <c r="C119" s="287">
        <f>IFERROR(IF('Invullen groen'!E132&gt;0,'Invullen groen'!C132,""),"")</f>
        <v/>
      </c>
      <c r="D119" s="287">
        <f>IFERROR(IF('Invullen groen'!E132&gt;0,'Invullen groen'!D132,""),"")</f>
        <v/>
      </c>
      <c r="E119" s="287">
        <f>IFERROR(IF('Invullen groen'!E132&gt;0,'Invullen groen'!G132,""),"")</f>
        <v/>
      </c>
      <c r="F119" s="364">
        <f>IFERROR(IF('Invullen groen'!L132&lt;&gt;0,'Invullen groen'!L132,""),"")</f>
        <v/>
      </c>
      <c r="G119" s="364">
        <f>IFERROR(IF('Invullen groen'!M132&lt;&gt;0,'Invullen groen'!M132,""),"")</f>
        <v/>
      </c>
      <c r="H119" s="364">
        <f>IFERROR(IF('Invullen groen'!N132&lt;&gt;0,'Invullen groen'!N132,""),"")</f>
        <v/>
      </c>
      <c r="I119" s="364">
        <f>IFERROR(IF('Invullen groen'!O132&lt;&gt;0,'Invullen groen'!O132,""),"")</f>
        <v/>
      </c>
    </row>
    <row r="120" ht="14" customHeight="1">
      <c r="A120" s="287">
        <f>IFERROR(IF('Invullen groen'!E133&gt;0,133-17,""),"")</f>
        <v/>
      </c>
      <c r="B120" s="287">
        <f>IFERROR(IF('Invullen groen'!E133&gt;0,'Invullen groen'!A133,""),"")</f>
        <v/>
      </c>
      <c r="C120" s="287">
        <f>IFERROR(IF('Invullen groen'!E133&gt;0,'Invullen groen'!C133,""),"")</f>
        <v/>
      </c>
      <c r="D120" s="287">
        <f>IFERROR(IF('Invullen groen'!E133&gt;0,'Invullen groen'!D133,""),"")</f>
        <v/>
      </c>
      <c r="E120" s="287">
        <f>IFERROR(IF('Invullen groen'!E133&gt;0,'Invullen groen'!G133,""),"")</f>
        <v/>
      </c>
      <c r="F120" s="364">
        <f>IFERROR(IF('Invullen groen'!L133&lt;&gt;0,'Invullen groen'!L133,""),"")</f>
        <v/>
      </c>
      <c r="G120" s="364">
        <f>IFERROR(IF('Invullen groen'!M133&lt;&gt;0,'Invullen groen'!M133,""),"")</f>
        <v/>
      </c>
      <c r="H120" s="364">
        <f>IFERROR(IF('Invullen groen'!N133&lt;&gt;0,'Invullen groen'!N133,""),"")</f>
        <v/>
      </c>
      <c r="I120" s="364">
        <f>IFERROR(IF('Invullen groen'!O133&lt;&gt;0,'Invullen groen'!O133,""),"")</f>
        <v/>
      </c>
    </row>
    <row r="121" ht="14" customHeight="1">
      <c r="A121" s="287">
        <f>IFERROR(IF('Invullen groen'!E134&gt;0,134-17,""),"")</f>
        <v/>
      </c>
      <c r="B121" s="287">
        <f>IFERROR(IF('Invullen groen'!E134&gt;0,'Invullen groen'!A134,""),"")</f>
        <v/>
      </c>
      <c r="C121" s="287">
        <f>IFERROR(IF('Invullen groen'!E134&gt;0,'Invullen groen'!C134,""),"")</f>
        <v/>
      </c>
      <c r="D121" s="287">
        <f>IFERROR(IF('Invullen groen'!E134&gt;0,'Invullen groen'!D134,""),"")</f>
        <v/>
      </c>
      <c r="E121" s="287">
        <f>IFERROR(IF('Invullen groen'!E134&gt;0,'Invullen groen'!G134,""),"")</f>
        <v/>
      </c>
      <c r="F121" s="364">
        <f>IFERROR(IF('Invullen groen'!L134&lt;&gt;0,'Invullen groen'!L134,""),"")</f>
        <v/>
      </c>
      <c r="G121" s="364">
        <f>IFERROR(IF('Invullen groen'!M134&lt;&gt;0,'Invullen groen'!M134,""),"")</f>
        <v/>
      </c>
      <c r="H121" s="364">
        <f>IFERROR(IF('Invullen groen'!N134&lt;&gt;0,'Invullen groen'!N134,""),"")</f>
        <v/>
      </c>
      <c r="I121" s="364">
        <f>IFERROR(IF('Invullen groen'!O134&lt;&gt;0,'Invullen groen'!O134,""),"")</f>
        <v/>
      </c>
    </row>
    <row r="122" ht="14" customHeight="1">
      <c r="A122" s="287">
        <f>IFERROR(IF('Invullen groen'!E135&gt;0,135-17,""),"")</f>
        <v/>
      </c>
      <c r="B122" s="287">
        <f>IFERROR(IF('Invullen groen'!E135&gt;0,'Invullen groen'!A135,""),"")</f>
        <v/>
      </c>
      <c r="C122" s="287">
        <f>IFERROR(IF('Invullen groen'!E135&gt;0,'Invullen groen'!C135,""),"")</f>
        <v/>
      </c>
      <c r="D122" s="287">
        <f>IFERROR(IF('Invullen groen'!E135&gt;0,'Invullen groen'!D135,""),"")</f>
        <v/>
      </c>
      <c r="E122" s="287">
        <f>IFERROR(IF('Invullen groen'!E135&gt;0,'Invullen groen'!G135,""),"")</f>
        <v/>
      </c>
      <c r="F122" s="364">
        <f>IFERROR(IF('Invullen groen'!L135&lt;&gt;0,'Invullen groen'!L135,""),"")</f>
        <v/>
      </c>
      <c r="G122" s="364">
        <f>IFERROR(IF('Invullen groen'!M135&lt;&gt;0,'Invullen groen'!M135,""),"")</f>
        <v/>
      </c>
      <c r="H122" s="364">
        <f>IFERROR(IF('Invullen groen'!N135&lt;&gt;0,'Invullen groen'!N135,""),"")</f>
        <v/>
      </c>
      <c r="I122" s="364">
        <f>IFERROR(IF('Invullen groen'!O135&lt;&gt;0,'Invullen groen'!O135,""),"")</f>
        <v/>
      </c>
    </row>
    <row r="123" ht="14" customHeight="1">
      <c r="A123" s="287">
        <f>IFERROR(IF('Invullen groen'!E136&gt;0,136-17,""),"")</f>
        <v/>
      </c>
      <c r="B123" s="287">
        <f>IFERROR(IF('Invullen groen'!E136&gt;0,'Invullen groen'!A136,""),"")</f>
        <v/>
      </c>
      <c r="C123" s="287">
        <f>IFERROR(IF('Invullen groen'!E136&gt;0,'Invullen groen'!C136,""),"")</f>
        <v/>
      </c>
      <c r="D123" s="287">
        <f>IFERROR(IF('Invullen groen'!E136&gt;0,'Invullen groen'!D136,""),"")</f>
        <v/>
      </c>
      <c r="E123" s="287">
        <f>IFERROR(IF('Invullen groen'!E136&gt;0,'Invullen groen'!G136,""),"")</f>
        <v/>
      </c>
      <c r="F123" s="364">
        <f>IFERROR(IF('Invullen groen'!L136&lt;&gt;0,'Invullen groen'!L136,""),"")</f>
        <v/>
      </c>
      <c r="G123" s="364">
        <f>IFERROR(IF('Invullen groen'!M136&lt;&gt;0,'Invullen groen'!M136,""),"")</f>
        <v/>
      </c>
      <c r="H123" s="364">
        <f>IFERROR(IF('Invullen groen'!N136&lt;&gt;0,'Invullen groen'!N136,""),"")</f>
        <v/>
      </c>
      <c r="I123" s="364">
        <f>IFERROR(IF('Invullen groen'!O136&lt;&gt;0,'Invullen groen'!O136,""),"")</f>
        <v/>
      </c>
    </row>
    <row r="124" ht="14" customHeight="1">
      <c r="A124" s="287">
        <f>IFERROR(IF('Invullen groen'!E137&gt;0,137-17,""),"")</f>
        <v/>
      </c>
      <c r="B124" s="287">
        <f>IFERROR(IF('Invullen groen'!E137&gt;0,'Invullen groen'!A137,""),"")</f>
        <v/>
      </c>
      <c r="C124" s="287">
        <f>IFERROR(IF('Invullen groen'!E137&gt;0,'Invullen groen'!C137,""),"")</f>
        <v/>
      </c>
      <c r="D124" s="287">
        <f>IFERROR(IF('Invullen groen'!E137&gt;0,'Invullen groen'!D137,""),"")</f>
        <v/>
      </c>
      <c r="E124" s="287">
        <f>IFERROR(IF('Invullen groen'!E137&gt;0,'Invullen groen'!G137,""),"")</f>
        <v/>
      </c>
      <c r="F124" s="364">
        <f>IFERROR(IF('Invullen groen'!L137&lt;&gt;0,'Invullen groen'!L137,""),"")</f>
        <v/>
      </c>
      <c r="G124" s="364">
        <f>IFERROR(IF('Invullen groen'!M137&lt;&gt;0,'Invullen groen'!M137,""),"")</f>
        <v/>
      </c>
      <c r="H124" s="364">
        <f>IFERROR(IF('Invullen groen'!N137&lt;&gt;0,'Invullen groen'!N137,""),"")</f>
        <v/>
      </c>
      <c r="I124" s="364">
        <f>IFERROR(IF('Invullen groen'!O137&lt;&gt;0,'Invullen groen'!O137,""),"")</f>
        <v/>
      </c>
    </row>
    <row r="125" ht="14" customHeight="1">
      <c r="A125" s="287">
        <f>IFERROR(IF('Invullen groen'!E138&gt;0,138-17,""),"")</f>
        <v/>
      </c>
      <c r="B125" s="287">
        <f>IFERROR(IF('Invullen groen'!E138&gt;0,'Invullen groen'!A138,""),"")</f>
        <v/>
      </c>
      <c r="C125" s="287">
        <f>IFERROR(IF('Invullen groen'!E138&gt;0,'Invullen groen'!C138,""),"")</f>
        <v/>
      </c>
      <c r="D125" s="287">
        <f>IFERROR(IF('Invullen groen'!E138&gt;0,'Invullen groen'!D138,""),"")</f>
        <v/>
      </c>
      <c r="E125" s="287">
        <f>IFERROR(IF('Invullen groen'!E138&gt;0,'Invullen groen'!G138,""),"")</f>
        <v/>
      </c>
      <c r="F125" s="364">
        <f>IFERROR(IF('Invullen groen'!L138&lt;&gt;0,'Invullen groen'!L138,""),"")</f>
        <v/>
      </c>
      <c r="G125" s="364">
        <f>IFERROR(IF('Invullen groen'!M138&lt;&gt;0,'Invullen groen'!M138,""),"")</f>
        <v/>
      </c>
      <c r="H125" s="364">
        <f>IFERROR(IF('Invullen groen'!N138&lt;&gt;0,'Invullen groen'!N138,""),"")</f>
        <v/>
      </c>
      <c r="I125" s="364">
        <f>IFERROR(IF('Invullen groen'!O138&lt;&gt;0,'Invullen groen'!O138,""),"")</f>
        <v/>
      </c>
    </row>
    <row r="126" ht="14" customHeight="1">
      <c r="A126" s="287">
        <f>IFERROR(IF('Invullen groen'!E139&gt;0,139-17,""),"")</f>
        <v/>
      </c>
      <c r="B126" s="287">
        <f>IFERROR(IF('Invullen groen'!E139&gt;0,'Invullen groen'!A139,""),"")</f>
        <v/>
      </c>
      <c r="C126" s="287">
        <f>IFERROR(IF('Invullen groen'!E139&gt;0,'Invullen groen'!C139,""),"")</f>
        <v/>
      </c>
      <c r="D126" s="287">
        <f>IFERROR(IF('Invullen groen'!E139&gt;0,'Invullen groen'!D139,""),"")</f>
        <v/>
      </c>
      <c r="E126" s="287">
        <f>IFERROR(IF('Invullen groen'!E139&gt;0,'Invullen groen'!G139,""),"")</f>
        <v/>
      </c>
      <c r="F126" s="364">
        <f>IFERROR(IF('Invullen groen'!L139&lt;&gt;0,'Invullen groen'!L139,""),"")</f>
        <v/>
      </c>
      <c r="G126" s="364">
        <f>IFERROR(IF('Invullen groen'!M139&lt;&gt;0,'Invullen groen'!M139,""),"")</f>
        <v/>
      </c>
      <c r="H126" s="364">
        <f>IFERROR(IF('Invullen groen'!N139&lt;&gt;0,'Invullen groen'!N139,""),"")</f>
        <v/>
      </c>
      <c r="I126" s="364">
        <f>IFERROR(IF('Invullen groen'!O139&lt;&gt;0,'Invullen groen'!O139,""),"")</f>
        <v/>
      </c>
    </row>
    <row r="127" ht="14" customHeight="1">
      <c r="A127" s="287">
        <f>IFERROR(IF('Invullen groen'!E140&gt;0,140-17,""),"")</f>
        <v/>
      </c>
      <c r="B127" s="287">
        <f>IFERROR(IF('Invullen groen'!E140&gt;0,'Invullen groen'!A140,""),"")</f>
        <v/>
      </c>
      <c r="C127" s="287">
        <f>IFERROR(IF('Invullen groen'!E140&gt;0,'Invullen groen'!C140,""),"")</f>
        <v/>
      </c>
      <c r="D127" s="287">
        <f>IFERROR(IF('Invullen groen'!E140&gt;0,'Invullen groen'!D140,""),"")</f>
        <v/>
      </c>
      <c r="E127" s="287">
        <f>IFERROR(IF('Invullen groen'!E140&gt;0,'Invullen groen'!G140,""),"")</f>
        <v/>
      </c>
      <c r="F127" s="364">
        <f>IFERROR(IF('Invullen groen'!L140&lt;&gt;0,'Invullen groen'!L140,""),"")</f>
        <v/>
      </c>
      <c r="G127" s="364">
        <f>IFERROR(IF('Invullen groen'!M140&lt;&gt;0,'Invullen groen'!M140,""),"")</f>
        <v/>
      </c>
      <c r="H127" s="364">
        <f>IFERROR(IF('Invullen groen'!N140&lt;&gt;0,'Invullen groen'!N140,""),"")</f>
        <v/>
      </c>
      <c r="I127" s="364">
        <f>IFERROR(IF('Invullen groen'!O140&lt;&gt;0,'Invullen groen'!O140,""),"")</f>
        <v/>
      </c>
    </row>
    <row r="128" ht="14" customHeight="1">
      <c r="A128" s="287">
        <f>IFERROR(IF('Invullen groen'!E141&gt;0,141-17,""),"")</f>
        <v/>
      </c>
      <c r="B128" s="287">
        <f>IFERROR(IF('Invullen groen'!E141&gt;0,'Invullen groen'!A141,""),"")</f>
        <v/>
      </c>
      <c r="C128" s="287">
        <f>IFERROR(IF('Invullen groen'!E141&gt;0,'Invullen groen'!C141,""),"")</f>
        <v/>
      </c>
      <c r="D128" s="287">
        <f>IFERROR(IF('Invullen groen'!E141&gt;0,'Invullen groen'!D141,""),"")</f>
        <v/>
      </c>
      <c r="E128" s="287">
        <f>IFERROR(IF('Invullen groen'!E141&gt;0,'Invullen groen'!G141,""),"")</f>
        <v/>
      </c>
      <c r="F128" s="364">
        <f>IFERROR(IF('Invullen groen'!L141&lt;&gt;0,'Invullen groen'!L141,""),"")</f>
        <v/>
      </c>
      <c r="G128" s="364">
        <f>IFERROR(IF('Invullen groen'!M141&lt;&gt;0,'Invullen groen'!M141,""),"")</f>
        <v/>
      </c>
      <c r="H128" s="364">
        <f>IFERROR(IF('Invullen groen'!N141&lt;&gt;0,'Invullen groen'!N141,""),"")</f>
        <v/>
      </c>
      <c r="I128" s="364">
        <f>IFERROR(IF('Invullen groen'!O141&lt;&gt;0,'Invullen groen'!O141,""),"")</f>
        <v/>
      </c>
    </row>
    <row r="129" ht="14" customHeight="1">
      <c r="A129" s="287">
        <f>IFERROR(IF('Invullen groen'!E142&gt;0,142-17,""),"")</f>
        <v/>
      </c>
      <c r="B129" s="287">
        <f>IFERROR(IF('Invullen groen'!E142&gt;0,'Invullen groen'!A142,""),"")</f>
        <v/>
      </c>
      <c r="C129" s="287">
        <f>IFERROR(IF('Invullen groen'!E142&gt;0,'Invullen groen'!C142,""),"")</f>
        <v/>
      </c>
      <c r="D129" s="287">
        <f>IFERROR(IF('Invullen groen'!E142&gt;0,'Invullen groen'!D142,""),"")</f>
        <v/>
      </c>
      <c r="E129" s="287">
        <f>IFERROR(IF('Invullen groen'!E142&gt;0,'Invullen groen'!G142,""),"")</f>
        <v/>
      </c>
      <c r="F129" s="364">
        <f>IFERROR(IF('Invullen groen'!L142&lt;&gt;0,'Invullen groen'!L142,""),"")</f>
        <v/>
      </c>
      <c r="G129" s="364">
        <f>IFERROR(IF('Invullen groen'!M142&lt;&gt;0,'Invullen groen'!M142,""),"")</f>
        <v/>
      </c>
      <c r="H129" s="364">
        <f>IFERROR(IF('Invullen groen'!N142&lt;&gt;0,'Invullen groen'!N142,""),"")</f>
        <v/>
      </c>
      <c r="I129" s="364">
        <f>IFERROR(IF('Invullen groen'!O142&lt;&gt;0,'Invullen groen'!O142,""),"")</f>
        <v/>
      </c>
    </row>
    <row r="130" ht="14" customHeight="1">
      <c r="A130" s="287">
        <f>IFERROR(IF('Invullen groen'!E143&gt;0,143-17,""),"")</f>
        <v/>
      </c>
      <c r="B130" s="287">
        <f>IFERROR(IF('Invullen groen'!E143&gt;0,'Invullen groen'!A143,""),"")</f>
        <v/>
      </c>
      <c r="C130" s="287">
        <f>IFERROR(IF('Invullen groen'!E143&gt;0,'Invullen groen'!C143,""),"")</f>
        <v/>
      </c>
      <c r="D130" s="287">
        <f>IFERROR(IF('Invullen groen'!E143&gt;0,'Invullen groen'!D143,""),"")</f>
        <v/>
      </c>
      <c r="E130" s="287">
        <f>IFERROR(IF('Invullen groen'!E143&gt;0,'Invullen groen'!G143,""),"")</f>
        <v/>
      </c>
      <c r="F130" s="364">
        <f>IFERROR(IF('Invullen groen'!L143&lt;&gt;0,'Invullen groen'!L143,""),"")</f>
        <v/>
      </c>
      <c r="G130" s="364">
        <f>IFERROR(IF('Invullen groen'!M143&lt;&gt;0,'Invullen groen'!M143,""),"")</f>
        <v/>
      </c>
      <c r="H130" s="364">
        <f>IFERROR(IF('Invullen groen'!N143&lt;&gt;0,'Invullen groen'!N143,""),"")</f>
        <v/>
      </c>
      <c r="I130" s="364">
        <f>IFERROR(IF('Invullen groen'!O143&lt;&gt;0,'Invullen groen'!O143,""),"")</f>
        <v/>
      </c>
    </row>
    <row r="131" ht="14" customHeight="1">
      <c r="A131" s="287">
        <f>IFERROR(IF('Invullen groen'!E144&gt;0,144-17,""),"")</f>
        <v/>
      </c>
      <c r="B131" s="287">
        <f>IFERROR(IF('Invullen groen'!E144&gt;0,'Invullen groen'!A144,""),"")</f>
        <v/>
      </c>
      <c r="C131" s="287">
        <f>IFERROR(IF('Invullen groen'!E144&gt;0,'Invullen groen'!C144,""),"")</f>
        <v/>
      </c>
      <c r="D131" s="287">
        <f>IFERROR(IF('Invullen groen'!E144&gt;0,'Invullen groen'!D144,""),"")</f>
        <v/>
      </c>
      <c r="E131" s="287">
        <f>IFERROR(IF('Invullen groen'!E144&gt;0,'Invullen groen'!G144,""),"")</f>
        <v/>
      </c>
      <c r="F131" s="364">
        <f>IFERROR(IF('Invullen groen'!L144&lt;&gt;0,'Invullen groen'!L144,""),"")</f>
        <v/>
      </c>
      <c r="G131" s="364">
        <f>IFERROR(IF('Invullen groen'!M144&lt;&gt;0,'Invullen groen'!M144,""),"")</f>
        <v/>
      </c>
      <c r="H131" s="364">
        <f>IFERROR(IF('Invullen groen'!N144&lt;&gt;0,'Invullen groen'!N144,""),"")</f>
        <v/>
      </c>
      <c r="I131" s="364">
        <f>IFERROR(IF('Invullen groen'!O144&lt;&gt;0,'Invullen groen'!O144,""),"")</f>
        <v/>
      </c>
    </row>
    <row r="132" ht="14" customHeight="1">
      <c r="A132" s="287">
        <f>IFERROR(IF('Invullen groen'!E145&gt;0,145-17,""),"")</f>
        <v/>
      </c>
      <c r="B132" s="287">
        <f>IFERROR(IF('Invullen groen'!E145&gt;0,'Invullen groen'!A145,""),"")</f>
        <v/>
      </c>
      <c r="C132" s="287">
        <f>IFERROR(IF('Invullen groen'!E145&gt;0,'Invullen groen'!C145,""),"")</f>
        <v/>
      </c>
      <c r="D132" s="287">
        <f>IFERROR(IF('Invullen groen'!E145&gt;0,'Invullen groen'!D145,""),"")</f>
        <v/>
      </c>
      <c r="E132" s="287">
        <f>IFERROR(IF('Invullen groen'!E145&gt;0,'Invullen groen'!G145,""),"")</f>
        <v/>
      </c>
      <c r="F132" s="364">
        <f>IFERROR(IF('Invullen groen'!L145&lt;&gt;0,'Invullen groen'!L145,""),"")</f>
        <v/>
      </c>
      <c r="G132" s="364">
        <f>IFERROR(IF('Invullen groen'!M145&lt;&gt;0,'Invullen groen'!M145,""),"")</f>
        <v/>
      </c>
      <c r="H132" s="364">
        <f>IFERROR(IF('Invullen groen'!N145&lt;&gt;0,'Invullen groen'!N145,""),"")</f>
        <v/>
      </c>
      <c r="I132" s="364">
        <f>IFERROR(IF('Invullen groen'!O145&lt;&gt;0,'Invullen groen'!O145,""),"")</f>
        <v/>
      </c>
    </row>
    <row r="133" ht="14" customHeight="1">
      <c r="A133" s="287">
        <f>IFERROR(IF('Invullen groen'!E146&gt;0,146-17,""),"")</f>
        <v/>
      </c>
      <c r="B133" s="287">
        <f>IFERROR(IF('Invullen groen'!E146&gt;0,'Invullen groen'!A146,""),"")</f>
        <v/>
      </c>
      <c r="C133" s="287">
        <f>IFERROR(IF('Invullen groen'!E146&gt;0,'Invullen groen'!C146,""),"")</f>
        <v/>
      </c>
      <c r="D133" s="287">
        <f>IFERROR(IF('Invullen groen'!E146&gt;0,'Invullen groen'!D146,""),"")</f>
        <v/>
      </c>
      <c r="E133" s="287">
        <f>IFERROR(IF('Invullen groen'!E146&gt;0,'Invullen groen'!G146,""),"")</f>
        <v/>
      </c>
      <c r="F133" s="364">
        <f>IFERROR(IF('Invullen groen'!L146&lt;&gt;0,'Invullen groen'!L146,""),"")</f>
        <v/>
      </c>
      <c r="G133" s="364">
        <f>IFERROR(IF('Invullen groen'!M146&lt;&gt;0,'Invullen groen'!M146,""),"")</f>
        <v/>
      </c>
      <c r="H133" s="364">
        <f>IFERROR(IF('Invullen groen'!N146&lt;&gt;0,'Invullen groen'!N146,""),"")</f>
        <v/>
      </c>
      <c r="I133" s="364">
        <f>IFERROR(IF('Invullen groen'!O146&lt;&gt;0,'Invullen groen'!O146,""),"")</f>
        <v/>
      </c>
    </row>
    <row r="134" ht="14" customHeight="1">
      <c r="A134" s="287">
        <f>IFERROR(IF('Invullen groen'!E147&gt;0,147-17,""),"")</f>
        <v/>
      </c>
      <c r="B134" s="287">
        <f>IFERROR(IF('Invullen groen'!E147&gt;0,'Invullen groen'!A147,""),"")</f>
        <v/>
      </c>
      <c r="C134" s="287">
        <f>IFERROR(IF('Invullen groen'!E147&gt;0,'Invullen groen'!C147,""),"")</f>
        <v/>
      </c>
      <c r="D134" s="287">
        <f>IFERROR(IF('Invullen groen'!E147&gt;0,'Invullen groen'!D147,""),"")</f>
        <v/>
      </c>
      <c r="E134" s="287">
        <f>IFERROR(IF('Invullen groen'!E147&gt;0,'Invullen groen'!G147,""),"")</f>
        <v/>
      </c>
      <c r="F134" s="364">
        <f>IFERROR(IF('Invullen groen'!L147&lt;&gt;0,'Invullen groen'!L147,""),"")</f>
        <v/>
      </c>
      <c r="G134" s="364">
        <f>IFERROR(IF('Invullen groen'!M147&lt;&gt;0,'Invullen groen'!M147,""),"")</f>
        <v/>
      </c>
      <c r="H134" s="364">
        <f>IFERROR(IF('Invullen groen'!N147&lt;&gt;0,'Invullen groen'!N147,""),"")</f>
        <v/>
      </c>
      <c r="I134" s="364">
        <f>IFERROR(IF('Invullen groen'!O147&lt;&gt;0,'Invullen groen'!O147,""),"")</f>
        <v/>
      </c>
    </row>
    <row r="135" ht="14" customHeight="1">
      <c r="A135" s="287">
        <f>IFERROR(IF('Invullen groen'!E148&gt;0,148-17,""),"")</f>
        <v/>
      </c>
      <c r="B135" s="287">
        <f>IFERROR(IF('Invullen groen'!E148&gt;0,'Invullen groen'!A148,""),"")</f>
        <v/>
      </c>
      <c r="C135" s="287">
        <f>IFERROR(IF('Invullen groen'!E148&gt;0,'Invullen groen'!C148,""),"")</f>
        <v/>
      </c>
      <c r="D135" s="287">
        <f>IFERROR(IF('Invullen groen'!E148&gt;0,'Invullen groen'!D148,""),"")</f>
        <v/>
      </c>
      <c r="E135" s="287">
        <f>IFERROR(IF('Invullen groen'!E148&gt;0,'Invullen groen'!G148,""),"")</f>
        <v/>
      </c>
      <c r="F135" s="364">
        <f>IFERROR(IF('Invullen groen'!L148&lt;&gt;0,'Invullen groen'!L148,""),"")</f>
        <v/>
      </c>
      <c r="G135" s="364">
        <f>IFERROR(IF('Invullen groen'!M148&lt;&gt;0,'Invullen groen'!M148,""),"")</f>
        <v/>
      </c>
      <c r="H135" s="364">
        <f>IFERROR(IF('Invullen groen'!N148&lt;&gt;0,'Invullen groen'!N148,""),"")</f>
        <v/>
      </c>
      <c r="I135" s="364">
        <f>IFERROR(IF('Invullen groen'!O148&lt;&gt;0,'Invullen groen'!O148,""),"")</f>
        <v/>
      </c>
    </row>
    <row r="136" ht="14" customHeight="1">
      <c r="A136" s="287">
        <f>IFERROR(IF('Invullen groen'!E149&gt;0,149-17,""),"")</f>
        <v/>
      </c>
      <c r="B136" s="287">
        <f>IFERROR(IF('Invullen groen'!E149&gt;0,'Invullen groen'!A149,""),"")</f>
        <v/>
      </c>
      <c r="C136" s="287">
        <f>IFERROR(IF('Invullen groen'!E149&gt;0,'Invullen groen'!C149,""),"")</f>
        <v/>
      </c>
      <c r="D136" s="287">
        <f>IFERROR(IF('Invullen groen'!E149&gt;0,'Invullen groen'!D149,""),"")</f>
        <v/>
      </c>
      <c r="E136" s="287">
        <f>IFERROR(IF('Invullen groen'!E149&gt;0,'Invullen groen'!G149,""),"")</f>
        <v/>
      </c>
      <c r="F136" s="364">
        <f>IFERROR(IF('Invullen groen'!L149&lt;&gt;0,'Invullen groen'!L149,""),"")</f>
        <v/>
      </c>
      <c r="G136" s="364">
        <f>IFERROR(IF('Invullen groen'!M149&lt;&gt;0,'Invullen groen'!M149,""),"")</f>
        <v/>
      </c>
      <c r="H136" s="364">
        <f>IFERROR(IF('Invullen groen'!N149&lt;&gt;0,'Invullen groen'!N149,""),"")</f>
        <v/>
      </c>
      <c r="I136" s="364">
        <f>IFERROR(IF('Invullen groen'!O149&lt;&gt;0,'Invullen groen'!O149,""),"")</f>
        <v/>
      </c>
    </row>
    <row r="137" ht="14" customHeight="1">
      <c r="A137" s="287">
        <f>IFERROR(IF('Invullen groen'!E150&gt;0,150-17,""),"")</f>
        <v/>
      </c>
      <c r="B137" s="287">
        <f>IFERROR(IF('Invullen groen'!E150&gt;0,'Invullen groen'!A150,""),"")</f>
        <v/>
      </c>
      <c r="C137" s="287">
        <f>IFERROR(IF('Invullen groen'!E150&gt;0,'Invullen groen'!C150,""),"")</f>
        <v/>
      </c>
      <c r="D137" s="287">
        <f>IFERROR(IF('Invullen groen'!E150&gt;0,'Invullen groen'!D150,""),"")</f>
        <v/>
      </c>
      <c r="E137" s="287">
        <f>IFERROR(IF('Invullen groen'!E150&gt;0,'Invullen groen'!G150,""),"")</f>
        <v/>
      </c>
      <c r="F137" s="364">
        <f>IFERROR(IF('Invullen groen'!L150&lt;&gt;0,'Invullen groen'!L150,""),"")</f>
        <v/>
      </c>
      <c r="G137" s="364">
        <f>IFERROR(IF('Invullen groen'!M150&lt;&gt;0,'Invullen groen'!M150,""),"")</f>
        <v/>
      </c>
      <c r="H137" s="364">
        <f>IFERROR(IF('Invullen groen'!N150&lt;&gt;0,'Invullen groen'!N150,""),"")</f>
        <v/>
      </c>
      <c r="I137" s="364">
        <f>IFERROR(IF('Invullen groen'!O150&lt;&gt;0,'Invullen groen'!O150,""),"")</f>
        <v/>
      </c>
    </row>
    <row r="138" ht="14" customHeight="1">
      <c r="A138" s="287">
        <f>IFERROR(IF('Invullen groen'!E151&gt;0,151-17,""),"")</f>
        <v/>
      </c>
      <c r="B138" s="287">
        <f>IFERROR(IF('Invullen groen'!E151&gt;0,'Invullen groen'!A151,""),"")</f>
        <v/>
      </c>
      <c r="C138" s="287">
        <f>IFERROR(IF('Invullen groen'!E151&gt;0,'Invullen groen'!C151,""),"")</f>
        <v/>
      </c>
      <c r="D138" s="287">
        <f>IFERROR(IF('Invullen groen'!E151&gt;0,'Invullen groen'!D151,""),"")</f>
        <v/>
      </c>
      <c r="E138" s="287">
        <f>IFERROR(IF('Invullen groen'!E151&gt;0,'Invullen groen'!G151,""),"")</f>
        <v/>
      </c>
      <c r="F138" s="364">
        <f>IFERROR(IF('Invullen groen'!L151&lt;&gt;0,'Invullen groen'!L151,""),"")</f>
        <v/>
      </c>
      <c r="G138" s="364">
        <f>IFERROR(IF('Invullen groen'!M151&lt;&gt;0,'Invullen groen'!M151,""),"")</f>
        <v/>
      </c>
      <c r="H138" s="364">
        <f>IFERROR(IF('Invullen groen'!N151&lt;&gt;0,'Invullen groen'!N151,""),"")</f>
        <v/>
      </c>
      <c r="I138" s="364">
        <f>IFERROR(IF('Invullen groen'!O151&lt;&gt;0,'Invullen groen'!O151,""),"")</f>
        <v/>
      </c>
    </row>
    <row r="139" ht="14" customHeight="1">
      <c r="A139" s="287">
        <f>IFERROR(IF('Invullen groen'!E152&gt;0,152-17,""),"")</f>
        <v/>
      </c>
      <c r="B139" s="287">
        <f>IFERROR(IF('Invullen groen'!E152&gt;0,'Invullen groen'!A152,""),"")</f>
        <v/>
      </c>
      <c r="C139" s="287">
        <f>IFERROR(IF('Invullen groen'!E152&gt;0,'Invullen groen'!C152,""),"")</f>
        <v/>
      </c>
      <c r="D139" s="287">
        <f>IFERROR(IF('Invullen groen'!E152&gt;0,'Invullen groen'!D152,""),"")</f>
        <v/>
      </c>
      <c r="E139" s="287">
        <f>IFERROR(IF('Invullen groen'!E152&gt;0,'Invullen groen'!G152,""),"")</f>
        <v/>
      </c>
      <c r="F139" s="364">
        <f>IFERROR(IF('Invullen groen'!L152&lt;&gt;0,'Invullen groen'!L152,""),"")</f>
        <v/>
      </c>
      <c r="G139" s="364">
        <f>IFERROR(IF('Invullen groen'!M152&lt;&gt;0,'Invullen groen'!M152,""),"")</f>
        <v/>
      </c>
      <c r="H139" s="364">
        <f>IFERROR(IF('Invullen groen'!N152&lt;&gt;0,'Invullen groen'!N152,""),"")</f>
        <v/>
      </c>
      <c r="I139" s="364">
        <f>IFERROR(IF('Invullen groen'!O152&lt;&gt;0,'Invullen groen'!O152,""),"")</f>
        <v/>
      </c>
    </row>
    <row r="140" ht="14" customHeight="1">
      <c r="A140" s="287">
        <f>IFERROR(IF('Invullen groen'!E153&gt;0,153-17,""),"")</f>
        <v/>
      </c>
      <c r="B140" s="287">
        <f>IFERROR(IF('Invullen groen'!E153&gt;0,'Invullen groen'!A153,""),"")</f>
        <v/>
      </c>
      <c r="C140" s="287">
        <f>IFERROR(IF('Invullen groen'!E153&gt;0,'Invullen groen'!C153,""),"")</f>
        <v/>
      </c>
      <c r="D140" s="287">
        <f>IFERROR(IF('Invullen groen'!E153&gt;0,'Invullen groen'!D153,""),"")</f>
        <v/>
      </c>
      <c r="E140" s="287">
        <f>IFERROR(IF('Invullen groen'!E153&gt;0,'Invullen groen'!G153,""),"")</f>
        <v/>
      </c>
      <c r="F140" s="364">
        <f>IFERROR(IF('Invullen groen'!L153&lt;&gt;0,'Invullen groen'!L153,""),"")</f>
        <v/>
      </c>
      <c r="G140" s="364">
        <f>IFERROR(IF('Invullen groen'!M153&lt;&gt;0,'Invullen groen'!M153,""),"")</f>
        <v/>
      </c>
      <c r="H140" s="364">
        <f>IFERROR(IF('Invullen groen'!N153&lt;&gt;0,'Invullen groen'!N153,""),"")</f>
        <v/>
      </c>
      <c r="I140" s="364">
        <f>IFERROR(IF('Invullen groen'!O153&lt;&gt;0,'Invullen groen'!O153,""),"")</f>
        <v/>
      </c>
    </row>
    <row r="141" ht="14" customHeight="1">
      <c r="A141" s="287">
        <f>IFERROR(IF('Invullen groen'!E154&gt;0,154-17,""),"")</f>
        <v/>
      </c>
      <c r="B141" s="287">
        <f>IFERROR(IF('Invullen groen'!E154&gt;0,'Invullen groen'!A154,""),"")</f>
        <v/>
      </c>
      <c r="C141" s="287">
        <f>IFERROR(IF('Invullen groen'!E154&gt;0,'Invullen groen'!C154,""),"")</f>
        <v/>
      </c>
      <c r="D141" s="287">
        <f>IFERROR(IF('Invullen groen'!E154&gt;0,'Invullen groen'!D154,""),"")</f>
        <v/>
      </c>
      <c r="E141" s="287">
        <f>IFERROR(IF('Invullen groen'!E154&gt;0,'Invullen groen'!G154,""),"")</f>
        <v/>
      </c>
      <c r="F141" s="364">
        <f>IFERROR(IF('Invullen groen'!L154&lt;&gt;0,'Invullen groen'!L154,""),"")</f>
        <v/>
      </c>
      <c r="G141" s="364">
        <f>IFERROR(IF('Invullen groen'!M154&lt;&gt;0,'Invullen groen'!M154,""),"")</f>
        <v/>
      </c>
      <c r="H141" s="364">
        <f>IFERROR(IF('Invullen groen'!N154&lt;&gt;0,'Invullen groen'!N154,""),"")</f>
        <v/>
      </c>
      <c r="I141" s="364">
        <f>IFERROR(IF('Invullen groen'!O154&lt;&gt;0,'Invullen groen'!O154,""),"")</f>
        <v/>
      </c>
    </row>
    <row r="142" ht="14" customHeight="1">
      <c r="A142" s="287">
        <f>IFERROR(IF('Invullen groen'!E155&gt;0,155-17,""),"")</f>
        <v/>
      </c>
      <c r="B142" s="287">
        <f>IFERROR(IF('Invullen groen'!E155&gt;0,'Invullen groen'!A155,""),"")</f>
        <v/>
      </c>
      <c r="C142" s="287">
        <f>IFERROR(IF('Invullen groen'!E155&gt;0,'Invullen groen'!C155,""),"")</f>
        <v/>
      </c>
      <c r="D142" s="287">
        <f>IFERROR(IF('Invullen groen'!E155&gt;0,'Invullen groen'!D155,""),"")</f>
        <v/>
      </c>
      <c r="E142" s="287">
        <f>IFERROR(IF('Invullen groen'!E155&gt;0,'Invullen groen'!G155,""),"")</f>
        <v/>
      </c>
      <c r="F142" s="364">
        <f>IFERROR(IF('Invullen groen'!L155&lt;&gt;0,'Invullen groen'!L155,""),"")</f>
        <v/>
      </c>
      <c r="G142" s="364">
        <f>IFERROR(IF('Invullen groen'!M155&lt;&gt;0,'Invullen groen'!M155,""),"")</f>
        <v/>
      </c>
      <c r="H142" s="364">
        <f>IFERROR(IF('Invullen groen'!N155&lt;&gt;0,'Invullen groen'!N155,""),"")</f>
        <v/>
      </c>
      <c r="I142" s="364">
        <f>IFERROR(IF('Invullen groen'!O155&lt;&gt;0,'Invullen groen'!O155,""),"")</f>
        <v/>
      </c>
    </row>
    <row r="143" ht="14" customHeight="1">
      <c r="A143" s="287">
        <f>IFERROR(IF('Invullen groen'!E156&gt;0,156-17,""),"")</f>
        <v/>
      </c>
      <c r="B143" s="287">
        <f>IFERROR(IF('Invullen groen'!E156&gt;0,'Invullen groen'!A156,""),"")</f>
        <v/>
      </c>
      <c r="C143" s="287">
        <f>IFERROR(IF('Invullen groen'!E156&gt;0,'Invullen groen'!C156,""),"")</f>
        <v/>
      </c>
      <c r="D143" s="287">
        <f>IFERROR(IF('Invullen groen'!E156&gt;0,'Invullen groen'!D156,""),"")</f>
        <v/>
      </c>
      <c r="E143" s="287">
        <f>IFERROR(IF('Invullen groen'!E156&gt;0,'Invullen groen'!G156,""),"")</f>
        <v/>
      </c>
      <c r="F143" s="364">
        <f>IFERROR(IF('Invullen groen'!L156&lt;&gt;0,'Invullen groen'!L156,""),"")</f>
        <v/>
      </c>
      <c r="G143" s="364">
        <f>IFERROR(IF('Invullen groen'!M156&lt;&gt;0,'Invullen groen'!M156,""),"")</f>
        <v/>
      </c>
      <c r="H143" s="364">
        <f>IFERROR(IF('Invullen groen'!N156&lt;&gt;0,'Invullen groen'!N156,""),"")</f>
        <v/>
      </c>
      <c r="I143" s="364">
        <f>IFERROR(IF('Invullen groen'!O156&lt;&gt;0,'Invullen groen'!O156,""),"")</f>
        <v/>
      </c>
    </row>
    <row r="144" ht="14" customHeight="1">
      <c r="A144" s="287">
        <f>IFERROR(IF('Invullen groen'!E157&gt;0,157-17,""),"")</f>
        <v/>
      </c>
      <c r="B144" s="287">
        <f>IFERROR(IF('Invullen groen'!E157&gt;0,'Invullen groen'!A157,""),"")</f>
        <v/>
      </c>
      <c r="C144" s="287">
        <f>IFERROR(IF('Invullen groen'!E157&gt;0,'Invullen groen'!C157,""),"")</f>
        <v/>
      </c>
      <c r="D144" s="287">
        <f>IFERROR(IF('Invullen groen'!E157&gt;0,'Invullen groen'!D157,""),"")</f>
        <v/>
      </c>
      <c r="E144" s="287">
        <f>IFERROR(IF('Invullen groen'!E157&gt;0,'Invullen groen'!G157,""),"")</f>
        <v/>
      </c>
      <c r="F144" s="364">
        <f>IFERROR(IF('Invullen groen'!L157&lt;&gt;0,'Invullen groen'!L157,""),"")</f>
        <v/>
      </c>
      <c r="G144" s="364">
        <f>IFERROR(IF('Invullen groen'!M157&lt;&gt;0,'Invullen groen'!M157,""),"")</f>
        <v/>
      </c>
      <c r="H144" s="364">
        <f>IFERROR(IF('Invullen groen'!N157&lt;&gt;0,'Invullen groen'!N157,""),"")</f>
        <v/>
      </c>
      <c r="I144" s="364">
        <f>IFERROR(IF('Invullen groen'!O157&lt;&gt;0,'Invullen groen'!O157,""),"")</f>
        <v/>
      </c>
    </row>
    <row r="145" ht="14" customHeight="1">
      <c r="A145" s="287">
        <f>IFERROR(IF('Invullen groen'!E158&gt;0,158-17,""),"")</f>
        <v/>
      </c>
      <c r="B145" s="287">
        <f>IFERROR(IF('Invullen groen'!E158&gt;0,'Invullen groen'!A158,""),"")</f>
        <v/>
      </c>
      <c r="C145" s="287">
        <f>IFERROR(IF('Invullen groen'!E158&gt;0,'Invullen groen'!C158,""),"")</f>
        <v/>
      </c>
      <c r="D145" s="287">
        <f>IFERROR(IF('Invullen groen'!E158&gt;0,'Invullen groen'!D158,""),"")</f>
        <v/>
      </c>
      <c r="E145" s="287">
        <f>IFERROR(IF('Invullen groen'!E158&gt;0,'Invullen groen'!G158,""),"")</f>
        <v/>
      </c>
      <c r="F145" s="364">
        <f>IFERROR(IF('Invullen groen'!L158&lt;&gt;0,'Invullen groen'!L158,""),"")</f>
        <v/>
      </c>
      <c r="G145" s="364">
        <f>IFERROR(IF('Invullen groen'!M158&lt;&gt;0,'Invullen groen'!M158,""),"")</f>
        <v/>
      </c>
      <c r="H145" s="364">
        <f>IFERROR(IF('Invullen groen'!N158&lt;&gt;0,'Invullen groen'!N158,""),"")</f>
        <v/>
      </c>
      <c r="I145" s="364">
        <f>IFERROR(IF('Invullen groen'!O158&lt;&gt;0,'Invullen groen'!O158,""),"")</f>
        <v/>
      </c>
    </row>
    <row r="146" ht="14" customHeight="1">
      <c r="A146" s="287">
        <f>IFERROR(IF('Invullen groen'!E159&gt;0,159-17,""),"")</f>
        <v/>
      </c>
      <c r="B146" s="287">
        <f>IFERROR(IF('Invullen groen'!E159&gt;0,'Invullen groen'!A159,""),"")</f>
        <v/>
      </c>
      <c r="C146" s="287">
        <f>IFERROR(IF('Invullen groen'!E159&gt;0,'Invullen groen'!C159,""),"")</f>
        <v/>
      </c>
      <c r="D146" s="287">
        <f>IFERROR(IF('Invullen groen'!E159&gt;0,'Invullen groen'!D159,""),"")</f>
        <v/>
      </c>
      <c r="E146" s="287">
        <f>IFERROR(IF('Invullen groen'!E159&gt;0,'Invullen groen'!G159,""),"")</f>
        <v/>
      </c>
      <c r="F146" s="364">
        <f>IFERROR(IF('Invullen groen'!L159&lt;&gt;0,'Invullen groen'!L159,""),"")</f>
        <v/>
      </c>
      <c r="G146" s="364">
        <f>IFERROR(IF('Invullen groen'!M159&lt;&gt;0,'Invullen groen'!M159,""),"")</f>
        <v/>
      </c>
      <c r="H146" s="364">
        <f>IFERROR(IF('Invullen groen'!N159&lt;&gt;0,'Invullen groen'!N159,""),"")</f>
        <v/>
      </c>
      <c r="I146" s="364">
        <f>IFERROR(IF('Invullen groen'!O159&lt;&gt;0,'Invullen groen'!O159,""),"")</f>
        <v/>
      </c>
    </row>
    <row r="147" ht="14" customHeight="1">
      <c r="A147" s="287">
        <f>IFERROR(IF('Invullen groen'!E160&gt;0,160-17,""),"")</f>
        <v/>
      </c>
      <c r="B147" s="287">
        <f>IFERROR(IF('Invullen groen'!E160&gt;0,'Invullen groen'!A160,""),"")</f>
        <v/>
      </c>
      <c r="C147" s="287">
        <f>IFERROR(IF('Invullen groen'!E160&gt;0,'Invullen groen'!C160,""),"")</f>
        <v/>
      </c>
      <c r="D147" s="287">
        <f>IFERROR(IF('Invullen groen'!E160&gt;0,'Invullen groen'!D160,""),"")</f>
        <v/>
      </c>
      <c r="E147" s="287">
        <f>IFERROR(IF('Invullen groen'!E160&gt;0,'Invullen groen'!G160,""),"")</f>
        <v/>
      </c>
      <c r="F147" s="364">
        <f>IFERROR(IF('Invullen groen'!L160&lt;&gt;0,'Invullen groen'!L160,""),"")</f>
        <v/>
      </c>
      <c r="G147" s="364">
        <f>IFERROR(IF('Invullen groen'!M160&lt;&gt;0,'Invullen groen'!M160,""),"")</f>
        <v/>
      </c>
      <c r="H147" s="364">
        <f>IFERROR(IF('Invullen groen'!N160&lt;&gt;0,'Invullen groen'!N160,""),"")</f>
        <v/>
      </c>
      <c r="I147" s="364">
        <f>IFERROR(IF('Invullen groen'!O160&lt;&gt;0,'Invullen groen'!O160,""),"")</f>
        <v/>
      </c>
    </row>
    <row r="148" ht="14" customHeight="1">
      <c r="A148" s="287">
        <f>IFERROR(IF('Invullen groen'!E161&gt;0,161-17,""),"")</f>
        <v/>
      </c>
      <c r="B148" s="287">
        <f>IFERROR(IF('Invullen groen'!E161&gt;0,'Invullen groen'!A161,""),"")</f>
        <v/>
      </c>
      <c r="C148" s="287">
        <f>IFERROR(IF('Invullen groen'!E161&gt;0,'Invullen groen'!C161,""),"")</f>
        <v/>
      </c>
      <c r="D148" s="287">
        <f>IFERROR(IF('Invullen groen'!E161&gt;0,'Invullen groen'!D161,""),"")</f>
        <v/>
      </c>
      <c r="E148" s="287">
        <f>IFERROR(IF('Invullen groen'!E161&gt;0,'Invullen groen'!G161,""),"")</f>
        <v/>
      </c>
      <c r="F148" s="364">
        <f>IFERROR(IF('Invullen groen'!L161&lt;&gt;0,'Invullen groen'!L161,""),"")</f>
        <v/>
      </c>
      <c r="G148" s="364">
        <f>IFERROR(IF('Invullen groen'!M161&lt;&gt;0,'Invullen groen'!M161,""),"")</f>
        <v/>
      </c>
      <c r="H148" s="364">
        <f>IFERROR(IF('Invullen groen'!N161&lt;&gt;0,'Invullen groen'!N161,""),"")</f>
        <v/>
      </c>
      <c r="I148" s="364">
        <f>IFERROR(IF('Invullen groen'!O161&lt;&gt;0,'Invullen groen'!O161,""),"")</f>
        <v/>
      </c>
    </row>
    <row r="149" ht="14" customHeight="1">
      <c r="A149" s="287">
        <f>IFERROR(IF('Invullen groen'!E162&gt;0,162-17,""),"")</f>
        <v/>
      </c>
      <c r="B149" s="287">
        <f>IFERROR(IF('Invullen groen'!E162&gt;0,'Invullen groen'!A162,""),"")</f>
        <v/>
      </c>
      <c r="C149" s="287">
        <f>IFERROR(IF('Invullen groen'!E162&gt;0,'Invullen groen'!C162,""),"")</f>
        <v/>
      </c>
      <c r="D149" s="287">
        <f>IFERROR(IF('Invullen groen'!E162&gt;0,'Invullen groen'!D162,""),"")</f>
        <v/>
      </c>
      <c r="E149" s="287">
        <f>IFERROR(IF('Invullen groen'!E162&gt;0,'Invullen groen'!G162,""),"")</f>
        <v/>
      </c>
      <c r="F149" s="364">
        <f>IFERROR(IF('Invullen groen'!L162&lt;&gt;0,'Invullen groen'!L162,""),"")</f>
        <v/>
      </c>
      <c r="G149" s="364">
        <f>IFERROR(IF('Invullen groen'!M162&lt;&gt;0,'Invullen groen'!M162,""),"")</f>
        <v/>
      </c>
      <c r="H149" s="364">
        <f>IFERROR(IF('Invullen groen'!N162&lt;&gt;0,'Invullen groen'!N162,""),"")</f>
        <v/>
      </c>
      <c r="I149" s="364">
        <f>IFERROR(IF('Invullen groen'!O162&lt;&gt;0,'Invullen groen'!O162,""),"")</f>
        <v/>
      </c>
    </row>
    <row r="150" ht="14" customHeight="1">
      <c r="A150" s="287">
        <f>IFERROR(IF('Invullen groen'!E163&gt;0,163-17,""),"")</f>
        <v/>
      </c>
      <c r="B150" s="287">
        <f>IFERROR(IF('Invullen groen'!E163&gt;0,'Invullen groen'!A163,""),"")</f>
        <v/>
      </c>
      <c r="C150" s="287">
        <f>IFERROR(IF('Invullen groen'!E163&gt;0,'Invullen groen'!C163,""),"")</f>
        <v/>
      </c>
      <c r="D150" s="287">
        <f>IFERROR(IF('Invullen groen'!E163&gt;0,'Invullen groen'!D163,""),"")</f>
        <v/>
      </c>
      <c r="E150" s="287">
        <f>IFERROR(IF('Invullen groen'!E163&gt;0,'Invullen groen'!G163,""),"")</f>
        <v/>
      </c>
      <c r="F150" s="364">
        <f>IFERROR(IF('Invullen groen'!L163&lt;&gt;0,'Invullen groen'!L163,""),"")</f>
        <v/>
      </c>
      <c r="G150" s="364">
        <f>IFERROR(IF('Invullen groen'!M163&lt;&gt;0,'Invullen groen'!M163,""),"")</f>
        <v/>
      </c>
      <c r="H150" s="364">
        <f>IFERROR(IF('Invullen groen'!N163&lt;&gt;0,'Invullen groen'!N163,""),"")</f>
        <v/>
      </c>
      <c r="I150" s="364">
        <f>IFERROR(IF('Invullen groen'!O163&lt;&gt;0,'Invullen groen'!O163,""),"")</f>
        <v/>
      </c>
    </row>
    <row r="151" ht="14" customHeight="1">
      <c r="A151" s="287">
        <f>IFERROR(IF('Invullen groen'!E164&gt;0,164-17,""),"")</f>
        <v/>
      </c>
      <c r="B151" s="287">
        <f>IFERROR(IF('Invullen groen'!E164&gt;0,'Invullen groen'!A164,""),"")</f>
        <v/>
      </c>
      <c r="C151" s="287">
        <f>IFERROR(IF('Invullen groen'!E164&gt;0,'Invullen groen'!C164,""),"")</f>
        <v/>
      </c>
      <c r="D151" s="287">
        <f>IFERROR(IF('Invullen groen'!E164&gt;0,'Invullen groen'!D164,""),"")</f>
        <v/>
      </c>
      <c r="E151" s="287">
        <f>IFERROR(IF('Invullen groen'!E164&gt;0,'Invullen groen'!G164,""),"")</f>
        <v/>
      </c>
      <c r="F151" s="364">
        <f>IFERROR(IF('Invullen groen'!L164&lt;&gt;0,'Invullen groen'!L164,""),"")</f>
        <v/>
      </c>
      <c r="G151" s="364">
        <f>IFERROR(IF('Invullen groen'!M164&lt;&gt;0,'Invullen groen'!M164,""),"")</f>
        <v/>
      </c>
      <c r="H151" s="364">
        <f>IFERROR(IF('Invullen groen'!N164&lt;&gt;0,'Invullen groen'!N164,""),"")</f>
        <v/>
      </c>
      <c r="I151" s="364">
        <f>IFERROR(IF('Invullen groen'!O164&lt;&gt;0,'Invullen groen'!O164,""),"")</f>
        <v/>
      </c>
    </row>
    <row r="152" ht="14" customHeight="1">
      <c r="A152" s="287">
        <f>IFERROR(IF('Invullen groen'!E165&gt;0,165-17,""),"")</f>
        <v/>
      </c>
      <c r="B152" s="287">
        <f>IFERROR(IF('Invullen groen'!E165&gt;0,'Invullen groen'!A165,""),"")</f>
        <v/>
      </c>
      <c r="C152" s="287">
        <f>IFERROR(IF('Invullen groen'!E165&gt;0,'Invullen groen'!C165,""),"")</f>
        <v/>
      </c>
      <c r="D152" s="287">
        <f>IFERROR(IF('Invullen groen'!E165&gt;0,'Invullen groen'!D165,""),"")</f>
        <v/>
      </c>
      <c r="E152" s="287">
        <f>IFERROR(IF('Invullen groen'!E165&gt;0,'Invullen groen'!G165,""),"")</f>
        <v/>
      </c>
      <c r="F152" s="364">
        <f>IFERROR(IF('Invullen groen'!L165&lt;&gt;0,'Invullen groen'!L165,""),"")</f>
        <v/>
      </c>
      <c r="G152" s="364">
        <f>IFERROR(IF('Invullen groen'!M165&lt;&gt;0,'Invullen groen'!M165,""),"")</f>
        <v/>
      </c>
      <c r="H152" s="364">
        <f>IFERROR(IF('Invullen groen'!N165&lt;&gt;0,'Invullen groen'!N165,""),"")</f>
        <v/>
      </c>
      <c r="I152" s="364">
        <f>IFERROR(IF('Invullen groen'!O165&lt;&gt;0,'Invullen groen'!O165,""),"")</f>
        <v/>
      </c>
    </row>
    <row r="153" ht="14" customHeight="1">
      <c r="A153" s="287">
        <f>IFERROR(IF('Invullen groen'!E166&gt;0,166-17,""),"")</f>
        <v/>
      </c>
      <c r="B153" s="287">
        <f>IFERROR(IF('Invullen groen'!E166&gt;0,'Invullen groen'!A166,""),"")</f>
        <v/>
      </c>
      <c r="C153" s="287">
        <f>IFERROR(IF('Invullen groen'!E166&gt;0,'Invullen groen'!C166,""),"")</f>
        <v/>
      </c>
      <c r="D153" s="287">
        <f>IFERROR(IF('Invullen groen'!E166&gt;0,'Invullen groen'!D166,""),"")</f>
        <v/>
      </c>
      <c r="E153" s="287">
        <f>IFERROR(IF('Invullen groen'!E166&gt;0,'Invullen groen'!G166,""),"")</f>
        <v/>
      </c>
      <c r="F153" s="364">
        <f>IFERROR(IF('Invullen groen'!L166&lt;&gt;0,'Invullen groen'!L166,""),"")</f>
        <v/>
      </c>
      <c r="G153" s="364">
        <f>IFERROR(IF('Invullen groen'!M166&lt;&gt;0,'Invullen groen'!M166,""),"")</f>
        <v/>
      </c>
      <c r="H153" s="364">
        <f>IFERROR(IF('Invullen groen'!N166&lt;&gt;0,'Invullen groen'!N166,""),"")</f>
        <v/>
      </c>
      <c r="I153" s="364">
        <f>IFERROR(IF('Invullen groen'!O166&lt;&gt;0,'Invullen groen'!O166,""),"")</f>
        <v/>
      </c>
    </row>
    <row r="154" ht="14" customHeight="1">
      <c r="A154" s="287">
        <f>IFERROR(IF('Invullen groen'!E167&gt;0,167-17,""),"")</f>
        <v/>
      </c>
      <c r="B154" s="287">
        <f>IFERROR(IF('Invullen groen'!E167&gt;0,'Invullen groen'!A167,""),"")</f>
        <v/>
      </c>
      <c r="C154" s="287">
        <f>IFERROR(IF('Invullen groen'!E167&gt;0,'Invullen groen'!C167,""),"")</f>
        <v/>
      </c>
      <c r="D154" s="287">
        <f>IFERROR(IF('Invullen groen'!E167&gt;0,'Invullen groen'!D167,""),"")</f>
        <v/>
      </c>
      <c r="E154" s="287">
        <f>IFERROR(IF('Invullen groen'!E167&gt;0,'Invullen groen'!G167,""),"")</f>
        <v/>
      </c>
      <c r="F154" s="364">
        <f>IFERROR(IF('Invullen groen'!L167&lt;&gt;0,'Invullen groen'!L167,""),"")</f>
        <v/>
      </c>
      <c r="G154" s="364">
        <f>IFERROR(IF('Invullen groen'!M167&lt;&gt;0,'Invullen groen'!M167,""),"")</f>
        <v/>
      </c>
      <c r="H154" s="364">
        <f>IFERROR(IF('Invullen groen'!N167&lt;&gt;0,'Invullen groen'!N167,""),"")</f>
        <v/>
      </c>
      <c r="I154" s="364">
        <f>IFERROR(IF('Invullen groen'!O167&lt;&gt;0,'Invullen groen'!O167,""),"")</f>
        <v/>
      </c>
    </row>
    <row r="155" ht="14" customHeight="1">
      <c r="A155" s="287">
        <f>IFERROR(IF('Invullen groen'!E168&gt;0,168-17,""),"")</f>
        <v/>
      </c>
      <c r="B155" s="287">
        <f>IFERROR(IF('Invullen groen'!E168&gt;0,'Invullen groen'!A168,""),"")</f>
        <v/>
      </c>
      <c r="C155" s="287">
        <f>IFERROR(IF('Invullen groen'!E168&gt;0,'Invullen groen'!C168,""),"")</f>
        <v/>
      </c>
      <c r="D155" s="287">
        <f>IFERROR(IF('Invullen groen'!E168&gt;0,'Invullen groen'!D168,""),"")</f>
        <v/>
      </c>
      <c r="E155" s="287">
        <f>IFERROR(IF('Invullen groen'!E168&gt;0,'Invullen groen'!G168,""),"")</f>
        <v/>
      </c>
      <c r="F155" s="364">
        <f>IFERROR(IF('Invullen groen'!L168&lt;&gt;0,'Invullen groen'!L168,""),"")</f>
        <v/>
      </c>
      <c r="G155" s="364">
        <f>IFERROR(IF('Invullen groen'!M168&lt;&gt;0,'Invullen groen'!M168,""),"")</f>
        <v/>
      </c>
      <c r="H155" s="364">
        <f>IFERROR(IF('Invullen groen'!N168&lt;&gt;0,'Invullen groen'!N168,""),"")</f>
        <v/>
      </c>
      <c r="I155" s="364">
        <f>IFERROR(IF('Invullen groen'!O168&lt;&gt;0,'Invullen groen'!O168,""),"")</f>
        <v/>
      </c>
    </row>
    <row r="156" ht="14" customHeight="1">
      <c r="A156" s="287">
        <f>IFERROR(IF('Invullen groen'!E169&gt;0,169-17,""),"")</f>
        <v/>
      </c>
      <c r="B156" s="287">
        <f>IFERROR(IF('Invullen groen'!E169&gt;0,'Invullen groen'!A169,""),"")</f>
        <v/>
      </c>
      <c r="C156" s="287">
        <f>IFERROR(IF('Invullen groen'!E169&gt;0,'Invullen groen'!C169,""),"")</f>
        <v/>
      </c>
      <c r="D156" s="287">
        <f>IFERROR(IF('Invullen groen'!E169&gt;0,'Invullen groen'!D169,""),"")</f>
        <v/>
      </c>
      <c r="E156" s="287">
        <f>IFERROR(IF('Invullen groen'!E169&gt;0,'Invullen groen'!G169,""),"")</f>
        <v/>
      </c>
      <c r="F156" s="364">
        <f>IFERROR(IF('Invullen groen'!L169&lt;&gt;0,'Invullen groen'!L169,""),"")</f>
        <v/>
      </c>
      <c r="G156" s="364">
        <f>IFERROR(IF('Invullen groen'!M169&lt;&gt;0,'Invullen groen'!M169,""),"")</f>
        <v/>
      </c>
      <c r="H156" s="364">
        <f>IFERROR(IF('Invullen groen'!N169&lt;&gt;0,'Invullen groen'!N169,""),"")</f>
        <v/>
      </c>
      <c r="I156" s="364">
        <f>IFERROR(IF('Invullen groen'!O169&lt;&gt;0,'Invullen groen'!O169,""),"")</f>
        <v/>
      </c>
    </row>
    <row r="157" ht="14" customHeight="1">
      <c r="A157" s="287">
        <f>IFERROR(IF('Invullen groen'!E170&gt;0,170-17,""),"")</f>
        <v/>
      </c>
      <c r="B157" s="287">
        <f>IFERROR(IF('Invullen groen'!E170&gt;0,'Invullen groen'!A170,""),"")</f>
        <v/>
      </c>
      <c r="C157" s="287">
        <f>IFERROR(IF('Invullen groen'!E170&gt;0,'Invullen groen'!C170,""),"")</f>
        <v/>
      </c>
      <c r="D157" s="287">
        <f>IFERROR(IF('Invullen groen'!E170&gt;0,'Invullen groen'!D170,""),"")</f>
        <v/>
      </c>
      <c r="E157" s="287">
        <f>IFERROR(IF('Invullen groen'!E170&gt;0,'Invullen groen'!G170,""),"")</f>
        <v/>
      </c>
      <c r="F157" s="364">
        <f>IFERROR(IF('Invullen groen'!L170&lt;&gt;0,'Invullen groen'!L170,""),"")</f>
        <v/>
      </c>
      <c r="G157" s="364">
        <f>IFERROR(IF('Invullen groen'!M170&lt;&gt;0,'Invullen groen'!M170,""),"")</f>
        <v/>
      </c>
      <c r="H157" s="364">
        <f>IFERROR(IF('Invullen groen'!N170&lt;&gt;0,'Invullen groen'!N170,""),"")</f>
        <v/>
      </c>
      <c r="I157" s="364">
        <f>IFERROR(IF('Invullen groen'!O170&lt;&gt;0,'Invullen groen'!O170,""),"")</f>
        <v/>
      </c>
    </row>
    <row r="158" ht="14" customHeight="1">
      <c r="A158" s="287">
        <f>IFERROR(IF('Invullen groen'!E171&gt;0,171-17,""),"")</f>
        <v/>
      </c>
      <c r="B158" s="287">
        <f>IFERROR(IF('Invullen groen'!E171&gt;0,'Invullen groen'!A171,""),"")</f>
        <v/>
      </c>
      <c r="C158" s="287">
        <f>IFERROR(IF('Invullen groen'!E171&gt;0,'Invullen groen'!C171,""),"")</f>
        <v/>
      </c>
      <c r="D158" s="287">
        <f>IFERROR(IF('Invullen groen'!E171&gt;0,'Invullen groen'!D171,""),"")</f>
        <v/>
      </c>
      <c r="E158" s="287">
        <f>IFERROR(IF('Invullen groen'!E171&gt;0,'Invullen groen'!G171,""),"")</f>
        <v/>
      </c>
      <c r="F158" s="364">
        <f>IFERROR(IF('Invullen groen'!L171&lt;&gt;0,'Invullen groen'!L171,""),"")</f>
        <v/>
      </c>
      <c r="G158" s="364">
        <f>IFERROR(IF('Invullen groen'!M171&lt;&gt;0,'Invullen groen'!M171,""),"")</f>
        <v/>
      </c>
      <c r="H158" s="364">
        <f>IFERROR(IF('Invullen groen'!N171&lt;&gt;0,'Invullen groen'!N171,""),"")</f>
        <v/>
      </c>
      <c r="I158" s="364">
        <f>IFERROR(IF('Invullen groen'!O171&lt;&gt;0,'Invullen groen'!O171,""),"")</f>
        <v/>
      </c>
    </row>
    <row r="159" ht="14" customHeight="1">
      <c r="A159" s="287">
        <f>IFERROR(IF('Invullen groen'!E172&gt;0,172-17,""),"")</f>
        <v/>
      </c>
      <c r="B159" s="287">
        <f>IFERROR(IF('Invullen groen'!E172&gt;0,'Invullen groen'!A172,""),"")</f>
        <v/>
      </c>
      <c r="C159" s="287">
        <f>IFERROR(IF('Invullen groen'!E172&gt;0,'Invullen groen'!C172,""),"")</f>
        <v/>
      </c>
      <c r="D159" s="287">
        <f>IFERROR(IF('Invullen groen'!E172&gt;0,'Invullen groen'!D172,""),"")</f>
        <v/>
      </c>
      <c r="E159" s="287">
        <f>IFERROR(IF('Invullen groen'!E172&gt;0,'Invullen groen'!G172,""),"")</f>
        <v/>
      </c>
      <c r="F159" s="364">
        <f>IFERROR(IF('Invullen groen'!L172&lt;&gt;0,'Invullen groen'!L172,""),"")</f>
        <v/>
      </c>
      <c r="G159" s="364">
        <f>IFERROR(IF('Invullen groen'!M172&lt;&gt;0,'Invullen groen'!M172,""),"")</f>
        <v/>
      </c>
      <c r="H159" s="364">
        <f>IFERROR(IF('Invullen groen'!N172&lt;&gt;0,'Invullen groen'!N172,""),"")</f>
        <v/>
      </c>
      <c r="I159" s="364">
        <f>IFERROR(IF('Invullen groen'!O172&lt;&gt;0,'Invullen groen'!O172,""),"")</f>
        <v/>
      </c>
    </row>
    <row r="160" ht="14" customHeight="1">
      <c r="A160" s="287">
        <f>IFERROR(IF('Invullen groen'!E173&gt;0,173-17,""),"")</f>
        <v/>
      </c>
      <c r="B160" s="287">
        <f>IFERROR(IF('Invullen groen'!E173&gt;0,'Invullen groen'!A173,""),"")</f>
        <v/>
      </c>
      <c r="C160" s="287">
        <f>IFERROR(IF('Invullen groen'!E173&gt;0,'Invullen groen'!C173,""),"")</f>
        <v/>
      </c>
      <c r="D160" s="287">
        <f>IFERROR(IF('Invullen groen'!E173&gt;0,'Invullen groen'!D173,""),"")</f>
        <v/>
      </c>
      <c r="E160" s="287">
        <f>IFERROR(IF('Invullen groen'!E173&gt;0,'Invullen groen'!G173,""),"")</f>
        <v/>
      </c>
      <c r="F160" s="364">
        <f>IFERROR(IF('Invullen groen'!L173&lt;&gt;0,'Invullen groen'!L173,""),"")</f>
        <v/>
      </c>
      <c r="G160" s="364">
        <f>IFERROR(IF('Invullen groen'!M173&lt;&gt;0,'Invullen groen'!M173,""),"")</f>
        <v/>
      </c>
      <c r="H160" s="364">
        <f>IFERROR(IF('Invullen groen'!N173&lt;&gt;0,'Invullen groen'!N173,""),"")</f>
        <v/>
      </c>
      <c r="I160" s="364">
        <f>IFERROR(IF('Invullen groen'!O173&lt;&gt;0,'Invullen groen'!O173,""),"")</f>
        <v/>
      </c>
    </row>
    <row r="161" ht="14" customHeight="1">
      <c r="A161" s="287">
        <f>IFERROR(IF('Invullen groen'!E174&gt;0,174-17,""),"")</f>
        <v/>
      </c>
      <c r="B161" s="287">
        <f>IFERROR(IF('Invullen groen'!E174&gt;0,'Invullen groen'!A174,""),"")</f>
        <v/>
      </c>
      <c r="C161" s="287">
        <f>IFERROR(IF('Invullen groen'!E174&gt;0,'Invullen groen'!C174,""),"")</f>
        <v/>
      </c>
      <c r="D161" s="287">
        <f>IFERROR(IF('Invullen groen'!E174&gt;0,'Invullen groen'!D174,""),"")</f>
        <v/>
      </c>
      <c r="E161" s="287">
        <f>IFERROR(IF('Invullen groen'!E174&gt;0,'Invullen groen'!G174,""),"")</f>
        <v/>
      </c>
      <c r="F161" s="364">
        <f>IFERROR(IF('Invullen groen'!L174&lt;&gt;0,'Invullen groen'!L174,""),"")</f>
        <v/>
      </c>
      <c r="G161" s="364">
        <f>IFERROR(IF('Invullen groen'!M174&lt;&gt;0,'Invullen groen'!M174,""),"")</f>
        <v/>
      </c>
      <c r="H161" s="364">
        <f>IFERROR(IF('Invullen groen'!N174&lt;&gt;0,'Invullen groen'!N174,""),"")</f>
        <v/>
      </c>
      <c r="I161" s="364">
        <f>IFERROR(IF('Invullen groen'!O174&lt;&gt;0,'Invullen groen'!O174,""),"")</f>
        <v/>
      </c>
    </row>
    <row r="162" ht="14" customHeight="1">
      <c r="A162" s="287">
        <f>IFERROR(IF('Invullen groen'!E175&gt;0,175-17,""),"")</f>
        <v/>
      </c>
      <c r="B162" s="287">
        <f>IFERROR(IF('Invullen groen'!E175&gt;0,'Invullen groen'!A175,""),"")</f>
        <v/>
      </c>
      <c r="C162" s="287">
        <f>IFERROR(IF('Invullen groen'!E175&gt;0,'Invullen groen'!C175,""),"")</f>
        <v/>
      </c>
      <c r="D162" s="287">
        <f>IFERROR(IF('Invullen groen'!E175&gt;0,'Invullen groen'!D175,""),"")</f>
        <v/>
      </c>
      <c r="E162" s="287">
        <f>IFERROR(IF('Invullen groen'!E175&gt;0,'Invullen groen'!G175,""),"")</f>
        <v/>
      </c>
      <c r="F162" s="364">
        <f>IFERROR(IF('Invullen groen'!L175&lt;&gt;0,'Invullen groen'!L175,""),"")</f>
        <v/>
      </c>
      <c r="G162" s="364">
        <f>IFERROR(IF('Invullen groen'!M175&lt;&gt;0,'Invullen groen'!M175,""),"")</f>
        <v/>
      </c>
      <c r="H162" s="364">
        <f>IFERROR(IF('Invullen groen'!N175&lt;&gt;0,'Invullen groen'!N175,""),"")</f>
        <v/>
      </c>
      <c r="I162" s="364">
        <f>IFERROR(IF('Invullen groen'!O175&lt;&gt;0,'Invullen groen'!O175,""),"")</f>
        <v/>
      </c>
    </row>
    <row r="163" ht="14" customHeight="1">
      <c r="A163" s="287">
        <f>IFERROR(IF('Invullen groen'!E176&gt;0,176-17,""),"")</f>
        <v/>
      </c>
      <c r="B163" s="287">
        <f>IFERROR(IF('Invullen groen'!E176&gt;0,'Invullen groen'!A176,""),"")</f>
        <v/>
      </c>
      <c r="C163" s="287">
        <f>IFERROR(IF('Invullen groen'!E176&gt;0,'Invullen groen'!C176,""),"")</f>
        <v/>
      </c>
      <c r="D163" s="287">
        <f>IFERROR(IF('Invullen groen'!E176&gt;0,'Invullen groen'!D176,""),"")</f>
        <v/>
      </c>
      <c r="E163" s="287">
        <f>IFERROR(IF('Invullen groen'!E176&gt;0,'Invullen groen'!G176,""),"")</f>
        <v/>
      </c>
      <c r="F163" s="364">
        <f>IFERROR(IF('Invullen groen'!L176&lt;&gt;0,'Invullen groen'!L176,""),"")</f>
        <v/>
      </c>
      <c r="G163" s="364">
        <f>IFERROR(IF('Invullen groen'!M176&lt;&gt;0,'Invullen groen'!M176,""),"")</f>
        <v/>
      </c>
      <c r="H163" s="364">
        <f>IFERROR(IF('Invullen groen'!N176&lt;&gt;0,'Invullen groen'!N176,""),"")</f>
        <v/>
      </c>
      <c r="I163" s="364">
        <f>IFERROR(IF('Invullen groen'!O176&lt;&gt;0,'Invullen groen'!O176,""),"")</f>
        <v/>
      </c>
    </row>
    <row r="164" ht="14" customHeight="1">
      <c r="A164" s="287">
        <f>IFERROR(IF('Invullen groen'!E177&gt;0,177-17,""),"")</f>
        <v/>
      </c>
      <c r="B164" s="287">
        <f>IFERROR(IF('Invullen groen'!E177&gt;0,'Invullen groen'!A177,""),"")</f>
        <v/>
      </c>
      <c r="C164" s="287">
        <f>IFERROR(IF('Invullen groen'!E177&gt;0,'Invullen groen'!C177,""),"")</f>
        <v/>
      </c>
      <c r="D164" s="287">
        <f>IFERROR(IF('Invullen groen'!E177&gt;0,'Invullen groen'!D177,""),"")</f>
        <v/>
      </c>
      <c r="E164" s="287">
        <f>IFERROR(IF('Invullen groen'!E177&gt;0,'Invullen groen'!G177,""),"")</f>
        <v/>
      </c>
      <c r="F164" s="364">
        <f>IFERROR(IF('Invullen groen'!L177&lt;&gt;0,'Invullen groen'!L177,""),"")</f>
        <v/>
      </c>
      <c r="G164" s="364">
        <f>IFERROR(IF('Invullen groen'!M177&lt;&gt;0,'Invullen groen'!M177,""),"")</f>
        <v/>
      </c>
      <c r="H164" s="364">
        <f>IFERROR(IF('Invullen groen'!N177&lt;&gt;0,'Invullen groen'!N177,""),"")</f>
        <v/>
      </c>
      <c r="I164" s="364">
        <f>IFERROR(IF('Invullen groen'!O177&lt;&gt;0,'Invullen groen'!O177,""),"")</f>
        <v/>
      </c>
    </row>
    <row r="165" ht="14" customHeight="1">
      <c r="A165" s="287">
        <f>IFERROR(IF('Invullen groen'!E178&gt;0,178-17,""),"")</f>
        <v/>
      </c>
      <c r="B165" s="287">
        <f>IFERROR(IF('Invullen groen'!E178&gt;0,'Invullen groen'!A178,""),"")</f>
        <v/>
      </c>
      <c r="C165" s="287">
        <f>IFERROR(IF('Invullen groen'!E178&gt;0,'Invullen groen'!C178,""),"")</f>
        <v/>
      </c>
      <c r="D165" s="287">
        <f>IFERROR(IF('Invullen groen'!E178&gt;0,'Invullen groen'!D178,""),"")</f>
        <v/>
      </c>
      <c r="E165" s="287">
        <f>IFERROR(IF('Invullen groen'!E178&gt;0,'Invullen groen'!G178,""),"")</f>
        <v/>
      </c>
      <c r="F165" s="364">
        <f>IFERROR(IF('Invullen groen'!L178&lt;&gt;0,'Invullen groen'!L178,""),"")</f>
        <v/>
      </c>
      <c r="G165" s="364">
        <f>IFERROR(IF('Invullen groen'!M178&lt;&gt;0,'Invullen groen'!M178,""),"")</f>
        <v/>
      </c>
      <c r="H165" s="364">
        <f>IFERROR(IF('Invullen groen'!N178&lt;&gt;0,'Invullen groen'!N178,""),"")</f>
        <v/>
      </c>
      <c r="I165" s="364">
        <f>IFERROR(IF('Invullen groen'!O178&lt;&gt;0,'Invullen groen'!O178,""),"")</f>
        <v/>
      </c>
    </row>
    <row r="166" ht="14" customHeight="1">
      <c r="A166" s="287">
        <f>IFERROR(IF('Invullen groen'!E179&gt;0,179-17,""),"")</f>
        <v/>
      </c>
      <c r="B166" s="287">
        <f>IFERROR(IF('Invullen groen'!E179&gt;0,'Invullen groen'!A179,""),"")</f>
        <v/>
      </c>
      <c r="C166" s="287">
        <f>IFERROR(IF('Invullen groen'!E179&gt;0,'Invullen groen'!C179,""),"")</f>
        <v/>
      </c>
      <c r="D166" s="287">
        <f>IFERROR(IF('Invullen groen'!E179&gt;0,'Invullen groen'!D179,""),"")</f>
        <v/>
      </c>
      <c r="E166" s="287">
        <f>IFERROR(IF('Invullen groen'!E179&gt;0,'Invullen groen'!G179,""),"")</f>
        <v/>
      </c>
      <c r="F166" s="364">
        <f>IFERROR(IF('Invullen groen'!L179&lt;&gt;0,'Invullen groen'!L179,""),"")</f>
        <v/>
      </c>
      <c r="G166" s="364">
        <f>IFERROR(IF('Invullen groen'!M179&lt;&gt;0,'Invullen groen'!M179,""),"")</f>
        <v/>
      </c>
      <c r="H166" s="364">
        <f>IFERROR(IF('Invullen groen'!N179&lt;&gt;0,'Invullen groen'!N179,""),"")</f>
        <v/>
      </c>
      <c r="I166" s="364">
        <f>IFERROR(IF('Invullen groen'!O179&lt;&gt;0,'Invullen groen'!O179,""),"")</f>
        <v/>
      </c>
    </row>
    <row r="167" ht="14" customHeight="1">
      <c r="A167" s="287">
        <f>IFERROR(IF('Invullen groen'!E180&gt;0,180-17,""),"")</f>
        <v/>
      </c>
      <c r="B167" s="287">
        <f>IFERROR(IF('Invullen groen'!E180&gt;0,'Invullen groen'!A180,""),"")</f>
        <v/>
      </c>
      <c r="C167" s="287">
        <f>IFERROR(IF('Invullen groen'!E180&gt;0,'Invullen groen'!C180,""),"")</f>
        <v/>
      </c>
      <c r="D167" s="287">
        <f>IFERROR(IF('Invullen groen'!E180&gt;0,'Invullen groen'!D180,""),"")</f>
        <v/>
      </c>
      <c r="E167" s="287">
        <f>IFERROR(IF('Invullen groen'!E180&gt;0,'Invullen groen'!G180,""),"")</f>
        <v/>
      </c>
      <c r="F167" s="364">
        <f>IFERROR(IF('Invullen groen'!L180&lt;&gt;0,'Invullen groen'!L180,""),"")</f>
        <v/>
      </c>
      <c r="G167" s="364">
        <f>IFERROR(IF('Invullen groen'!M180&lt;&gt;0,'Invullen groen'!M180,""),"")</f>
        <v/>
      </c>
      <c r="H167" s="364">
        <f>IFERROR(IF('Invullen groen'!N180&lt;&gt;0,'Invullen groen'!N180,""),"")</f>
        <v/>
      </c>
      <c r="I167" s="364">
        <f>IFERROR(IF('Invullen groen'!O180&lt;&gt;0,'Invullen groen'!O180,""),"")</f>
        <v/>
      </c>
    </row>
    <row r="168" ht="14" customHeight="1">
      <c r="A168" s="287">
        <f>IFERROR(IF('Invullen groen'!E181&gt;0,181-17,""),"")</f>
        <v/>
      </c>
      <c r="B168" s="287">
        <f>IFERROR(IF('Invullen groen'!E181&gt;0,'Invullen groen'!A181,""),"")</f>
        <v/>
      </c>
      <c r="C168" s="287">
        <f>IFERROR(IF('Invullen groen'!E181&gt;0,'Invullen groen'!C181,""),"")</f>
        <v/>
      </c>
      <c r="D168" s="287">
        <f>IFERROR(IF('Invullen groen'!E181&gt;0,'Invullen groen'!D181,""),"")</f>
        <v/>
      </c>
      <c r="E168" s="287">
        <f>IFERROR(IF('Invullen groen'!E181&gt;0,'Invullen groen'!G181,""),"")</f>
        <v/>
      </c>
      <c r="F168" s="364">
        <f>IFERROR(IF('Invullen groen'!L181&lt;&gt;0,'Invullen groen'!L181,""),"")</f>
        <v/>
      </c>
      <c r="G168" s="364">
        <f>IFERROR(IF('Invullen groen'!M181&lt;&gt;0,'Invullen groen'!M181,""),"")</f>
        <v/>
      </c>
      <c r="H168" s="364">
        <f>IFERROR(IF('Invullen groen'!N181&lt;&gt;0,'Invullen groen'!N181,""),"")</f>
        <v/>
      </c>
      <c r="I168" s="364">
        <f>IFERROR(IF('Invullen groen'!O181&lt;&gt;0,'Invullen groen'!O181,""),"")</f>
        <v/>
      </c>
    </row>
    <row r="169" ht="14" customHeight="1">
      <c r="A169" s="287">
        <f>IFERROR(IF('Invullen groen'!E182&gt;0,182-17,""),"")</f>
        <v/>
      </c>
      <c r="B169" s="287">
        <f>IFERROR(IF('Invullen groen'!E182&gt;0,'Invullen groen'!A182,""),"")</f>
        <v/>
      </c>
      <c r="C169" s="287">
        <f>IFERROR(IF('Invullen groen'!E182&gt;0,'Invullen groen'!C182,""),"")</f>
        <v/>
      </c>
      <c r="D169" s="287">
        <f>IFERROR(IF('Invullen groen'!E182&gt;0,'Invullen groen'!D182,""),"")</f>
        <v/>
      </c>
      <c r="E169" s="287">
        <f>IFERROR(IF('Invullen groen'!E182&gt;0,'Invullen groen'!G182,""),"")</f>
        <v/>
      </c>
      <c r="F169" s="364">
        <f>IFERROR(IF('Invullen groen'!L182&lt;&gt;0,'Invullen groen'!L182,""),"")</f>
        <v/>
      </c>
      <c r="G169" s="364">
        <f>IFERROR(IF('Invullen groen'!M182&lt;&gt;0,'Invullen groen'!M182,""),"")</f>
        <v/>
      </c>
      <c r="H169" s="364">
        <f>IFERROR(IF('Invullen groen'!N182&lt;&gt;0,'Invullen groen'!N182,""),"")</f>
        <v/>
      </c>
      <c r="I169" s="364">
        <f>IFERROR(IF('Invullen groen'!O182&lt;&gt;0,'Invullen groen'!O182,""),"")</f>
        <v/>
      </c>
    </row>
    <row r="170" ht="14" customHeight="1">
      <c r="A170" s="287">
        <f>IFERROR(IF('Invullen groen'!E183&gt;0,183-17,""),"")</f>
        <v/>
      </c>
      <c r="B170" s="287">
        <f>IFERROR(IF('Invullen groen'!E183&gt;0,'Invullen groen'!A183,""),"")</f>
        <v/>
      </c>
      <c r="C170" s="287">
        <f>IFERROR(IF('Invullen groen'!E183&gt;0,'Invullen groen'!C183,""),"")</f>
        <v/>
      </c>
      <c r="D170" s="287">
        <f>IFERROR(IF('Invullen groen'!E183&gt;0,'Invullen groen'!D183,""),"")</f>
        <v/>
      </c>
      <c r="E170" s="287">
        <f>IFERROR(IF('Invullen groen'!E183&gt;0,'Invullen groen'!G183,""),"")</f>
        <v/>
      </c>
      <c r="F170" s="364">
        <f>IFERROR(IF('Invullen groen'!L183&lt;&gt;0,'Invullen groen'!L183,""),"")</f>
        <v/>
      </c>
      <c r="G170" s="364">
        <f>IFERROR(IF('Invullen groen'!M183&lt;&gt;0,'Invullen groen'!M183,""),"")</f>
        <v/>
      </c>
      <c r="H170" s="364">
        <f>IFERROR(IF('Invullen groen'!N183&lt;&gt;0,'Invullen groen'!N183,""),"")</f>
        <v/>
      </c>
      <c r="I170" s="364">
        <f>IFERROR(IF('Invullen groen'!O183&lt;&gt;0,'Invullen groen'!O183,""),"")</f>
        <v/>
      </c>
    </row>
    <row r="171" ht="14" customHeight="1">
      <c r="A171" s="287">
        <f>IFERROR(IF('Invullen groen'!E184&gt;0,184-17,""),"")</f>
        <v/>
      </c>
      <c r="B171" s="287">
        <f>IFERROR(IF('Invullen groen'!E184&gt;0,'Invullen groen'!A184,""),"")</f>
        <v/>
      </c>
      <c r="C171" s="287">
        <f>IFERROR(IF('Invullen groen'!E184&gt;0,'Invullen groen'!C184,""),"")</f>
        <v/>
      </c>
      <c r="D171" s="287">
        <f>IFERROR(IF('Invullen groen'!E184&gt;0,'Invullen groen'!D184,""),"")</f>
        <v/>
      </c>
      <c r="E171" s="287">
        <f>IFERROR(IF('Invullen groen'!E184&gt;0,'Invullen groen'!G184,""),"")</f>
        <v/>
      </c>
      <c r="F171" s="364">
        <f>IFERROR(IF('Invullen groen'!L184&lt;&gt;0,'Invullen groen'!L184,""),"")</f>
        <v/>
      </c>
      <c r="G171" s="364">
        <f>IFERROR(IF('Invullen groen'!M184&lt;&gt;0,'Invullen groen'!M184,""),"")</f>
        <v/>
      </c>
      <c r="H171" s="364">
        <f>IFERROR(IF('Invullen groen'!N184&lt;&gt;0,'Invullen groen'!N184,""),"")</f>
        <v/>
      </c>
      <c r="I171" s="364">
        <f>IFERROR(IF('Invullen groen'!O184&lt;&gt;0,'Invullen groen'!O184,""),"")</f>
        <v/>
      </c>
    </row>
    <row r="172" ht="14" customHeight="1">
      <c r="A172" s="287">
        <f>IFERROR(IF('Invullen groen'!E185&gt;0,185-17,""),"")</f>
        <v/>
      </c>
      <c r="B172" s="287">
        <f>IFERROR(IF('Invullen groen'!E185&gt;0,'Invullen groen'!A185,""),"")</f>
        <v/>
      </c>
      <c r="C172" s="287">
        <f>IFERROR(IF('Invullen groen'!E185&gt;0,'Invullen groen'!C185,""),"")</f>
        <v/>
      </c>
      <c r="D172" s="287">
        <f>IFERROR(IF('Invullen groen'!E185&gt;0,'Invullen groen'!D185,""),"")</f>
        <v/>
      </c>
      <c r="E172" s="287">
        <f>IFERROR(IF('Invullen groen'!E185&gt;0,'Invullen groen'!G185,""),"")</f>
        <v/>
      </c>
      <c r="F172" s="364">
        <f>IFERROR(IF('Invullen groen'!L185&lt;&gt;0,'Invullen groen'!L185,""),"")</f>
        <v/>
      </c>
      <c r="G172" s="364">
        <f>IFERROR(IF('Invullen groen'!M185&lt;&gt;0,'Invullen groen'!M185,""),"")</f>
        <v/>
      </c>
      <c r="H172" s="364">
        <f>IFERROR(IF('Invullen groen'!N185&lt;&gt;0,'Invullen groen'!N185,""),"")</f>
        <v/>
      </c>
      <c r="I172" s="364">
        <f>IFERROR(IF('Invullen groen'!O185&lt;&gt;0,'Invullen groen'!O185,""),"")</f>
        <v/>
      </c>
    </row>
    <row r="173" ht="14" customHeight="1">
      <c r="A173" s="287">
        <f>IFERROR(IF('Invullen groen'!E186&gt;0,186-17,""),"")</f>
        <v/>
      </c>
      <c r="B173" s="287">
        <f>IFERROR(IF('Invullen groen'!E186&gt;0,'Invullen groen'!A186,""),"")</f>
        <v/>
      </c>
      <c r="C173" s="287">
        <f>IFERROR(IF('Invullen groen'!E186&gt;0,'Invullen groen'!C186,""),"")</f>
        <v/>
      </c>
      <c r="D173" s="287">
        <f>IFERROR(IF('Invullen groen'!E186&gt;0,'Invullen groen'!D186,""),"")</f>
        <v/>
      </c>
      <c r="E173" s="287">
        <f>IFERROR(IF('Invullen groen'!E186&gt;0,'Invullen groen'!G186,""),"")</f>
        <v/>
      </c>
      <c r="F173" s="364">
        <f>IFERROR(IF('Invullen groen'!L186&lt;&gt;0,'Invullen groen'!L186,""),"")</f>
        <v/>
      </c>
      <c r="G173" s="364">
        <f>IFERROR(IF('Invullen groen'!M186&lt;&gt;0,'Invullen groen'!M186,""),"")</f>
        <v/>
      </c>
      <c r="H173" s="364">
        <f>IFERROR(IF('Invullen groen'!N186&lt;&gt;0,'Invullen groen'!N186,""),"")</f>
        <v/>
      </c>
      <c r="I173" s="364">
        <f>IFERROR(IF('Invullen groen'!O186&lt;&gt;0,'Invullen groen'!O186,""),"")</f>
        <v/>
      </c>
    </row>
    <row r="174" ht="14" customHeight="1">
      <c r="A174" s="287">
        <f>IFERROR(IF('Invullen groen'!E187&gt;0,187-17,""),"")</f>
        <v/>
      </c>
      <c r="B174" s="287">
        <f>IFERROR(IF('Invullen groen'!E187&gt;0,'Invullen groen'!A187,""),"")</f>
        <v/>
      </c>
      <c r="C174" s="287">
        <f>IFERROR(IF('Invullen groen'!E187&gt;0,'Invullen groen'!C187,""),"")</f>
        <v/>
      </c>
      <c r="D174" s="287">
        <f>IFERROR(IF('Invullen groen'!E187&gt;0,'Invullen groen'!D187,""),"")</f>
        <v/>
      </c>
      <c r="E174" s="287">
        <f>IFERROR(IF('Invullen groen'!E187&gt;0,'Invullen groen'!G187,""),"")</f>
        <v/>
      </c>
      <c r="F174" s="364">
        <f>IFERROR(IF('Invullen groen'!L187&lt;&gt;0,'Invullen groen'!L187,""),"")</f>
        <v/>
      </c>
      <c r="G174" s="364">
        <f>IFERROR(IF('Invullen groen'!M187&lt;&gt;0,'Invullen groen'!M187,""),"")</f>
        <v/>
      </c>
      <c r="H174" s="364">
        <f>IFERROR(IF('Invullen groen'!N187&lt;&gt;0,'Invullen groen'!N187,""),"")</f>
        <v/>
      </c>
      <c r="I174" s="364">
        <f>IFERROR(IF('Invullen groen'!O187&lt;&gt;0,'Invullen groen'!O187,""),"")</f>
        <v/>
      </c>
    </row>
    <row r="175" ht="14" customHeight="1">
      <c r="A175" s="287">
        <f>IFERROR(IF('Invullen groen'!E188&gt;0,188-17,""),"")</f>
        <v/>
      </c>
      <c r="B175" s="287">
        <f>IFERROR(IF('Invullen groen'!E188&gt;0,'Invullen groen'!A188,""),"")</f>
        <v/>
      </c>
      <c r="C175" s="287">
        <f>IFERROR(IF('Invullen groen'!E188&gt;0,'Invullen groen'!C188,""),"")</f>
        <v/>
      </c>
      <c r="D175" s="287">
        <f>IFERROR(IF('Invullen groen'!E188&gt;0,'Invullen groen'!D188,""),"")</f>
        <v/>
      </c>
      <c r="E175" s="287">
        <f>IFERROR(IF('Invullen groen'!E188&gt;0,'Invullen groen'!G188,""),"")</f>
        <v/>
      </c>
      <c r="F175" s="364">
        <f>IFERROR(IF('Invullen groen'!L188&lt;&gt;0,'Invullen groen'!L188,""),"")</f>
        <v/>
      </c>
      <c r="G175" s="364">
        <f>IFERROR(IF('Invullen groen'!M188&lt;&gt;0,'Invullen groen'!M188,""),"")</f>
        <v/>
      </c>
      <c r="H175" s="364">
        <f>IFERROR(IF('Invullen groen'!N188&lt;&gt;0,'Invullen groen'!N188,""),"")</f>
        <v/>
      </c>
      <c r="I175" s="364">
        <f>IFERROR(IF('Invullen groen'!O188&lt;&gt;0,'Invullen groen'!O188,""),"")</f>
        <v/>
      </c>
    </row>
    <row r="176" ht="14" customHeight="1">
      <c r="A176" s="287">
        <f>IFERROR(IF('Invullen groen'!E189&gt;0,189-17,""),"")</f>
        <v/>
      </c>
      <c r="B176" s="287">
        <f>IFERROR(IF('Invullen groen'!E189&gt;0,'Invullen groen'!A189,""),"")</f>
        <v/>
      </c>
      <c r="C176" s="287">
        <f>IFERROR(IF('Invullen groen'!E189&gt;0,'Invullen groen'!C189,""),"")</f>
        <v/>
      </c>
      <c r="D176" s="287">
        <f>IFERROR(IF('Invullen groen'!E189&gt;0,'Invullen groen'!D189,""),"")</f>
        <v/>
      </c>
      <c r="E176" s="287">
        <f>IFERROR(IF('Invullen groen'!E189&gt;0,'Invullen groen'!G189,""),"")</f>
        <v/>
      </c>
      <c r="F176" s="364">
        <f>IFERROR(IF('Invullen groen'!L189&lt;&gt;0,'Invullen groen'!L189,""),"")</f>
        <v/>
      </c>
      <c r="G176" s="364">
        <f>IFERROR(IF('Invullen groen'!M189&lt;&gt;0,'Invullen groen'!M189,""),"")</f>
        <v/>
      </c>
      <c r="H176" s="364">
        <f>IFERROR(IF('Invullen groen'!N189&lt;&gt;0,'Invullen groen'!N189,""),"")</f>
        <v/>
      </c>
      <c r="I176" s="364">
        <f>IFERROR(IF('Invullen groen'!O189&lt;&gt;0,'Invullen groen'!O189,""),"")</f>
        <v/>
      </c>
    </row>
    <row r="177" ht="14" customHeight="1">
      <c r="A177" s="287">
        <f>IFERROR(IF('Invullen groen'!E190&gt;0,190-17,""),"")</f>
        <v/>
      </c>
      <c r="B177" s="287">
        <f>IFERROR(IF('Invullen groen'!E190&gt;0,'Invullen groen'!A190,""),"")</f>
        <v/>
      </c>
      <c r="C177" s="287">
        <f>IFERROR(IF('Invullen groen'!E190&gt;0,'Invullen groen'!C190,""),"")</f>
        <v/>
      </c>
      <c r="D177" s="287">
        <f>IFERROR(IF('Invullen groen'!E190&gt;0,'Invullen groen'!D190,""),"")</f>
        <v/>
      </c>
      <c r="E177" s="287">
        <f>IFERROR(IF('Invullen groen'!E190&gt;0,'Invullen groen'!G190,""),"")</f>
        <v/>
      </c>
      <c r="F177" s="364">
        <f>IFERROR(IF('Invullen groen'!L190&lt;&gt;0,'Invullen groen'!L190,""),"")</f>
        <v/>
      </c>
      <c r="G177" s="364">
        <f>IFERROR(IF('Invullen groen'!M190&lt;&gt;0,'Invullen groen'!M190,""),"")</f>
        <v/>
      </c>
      <c r="H177" s="364">
        <f>IFERROR(IF('Invullen groen'!N190&lt;&gt;0,'Invullen groen'!N190,""),"")</f>
        <v/>
      </c>
      <c r="I177" s="364">
        <f>IFERROR(IF('Invullen groen'!O190&lt;&gt;0,'Invullen groen'!O190,""),"")</f>
        <v/>
      </c>
    </row>
    <row r="178" ht="14" customHeight="1">
      <c r="A178" s="287">
        <f>IFERROR(IF('Invullen groen'!E191&gt;0,191-17,""),"")</f>
        <v/>
      </c>
      <c r="B178" s="287">
        <f>IFERROR(IF('Invullen groen'!E191&gt;0,'Invullen groen'!A191,""),"")</f>
        <v/>
      </c>
      <c r="C178" s="287">
        <f>IFERROR(IF('Invullen groen'!E191&gt;0,'Invullen groen'!C191,""),"")</f>
        <v/>
      </c>
      <c r="D178" s="287">
        <f>IFERROR(IF('Invullen groen'!E191&gt;0,'Invullen groen'!D191,""),"")</f>
        <v/>
      </c>
      <c r="E178" s="287">
        <f>IFERROR(IF('Invullen groen'!E191&gt;0,'Invullen groen'!G191,""),"")</f>
        <v/>
      </c>
      <c r="F178" s="364">
        <f>IFERROR(IF('Invullen groen'!L191&lt;&gt;0,'Invullen groen'!L191,""),"")</f>
        <v/>
      </c>
      <c r="G178" s="364">
        <f>IFERROR(IF('Invullen groen'!M191&lt;&gt;0,'Invullen groen'!M191,""),"")</f>
        <v/>
      </c>
      <c r="H178" s="364">
        <f>IFERROR(IF('Invullen groen'!N191&lt;&gt;0,'Invullen groen'!N191,""),"")</f>
        <v/>
      </c>
      <c r="I178" s="364">
        <f>IFERROR(IF('Invullen groen'!O191&lt;&gt;0,'Invullen groen'!O191,""),"")</f>
        <v/>
      </c>
    </row>
    <row r="179" ht="14" customHeight="1">
      <c r="A179" s="287">
        <f>IFERROR(IF('Invullen groen'!E192&gt;0,192-17,""),"")</f>
        <v/>
      </c>
      <c r="B179" s="287">
        <f>IFERROR(IF('Invullen groen'!E192&gt;0,'Invullen groen'!A192,""),"")</f>
        <v/>
      </c>
      <c r="C179" s="287">
        <f>IFERROR(IF('Invullen groen'!E192&gt;0,'Invullen groen'!C192,""),"")</f>
        <v/>
      </c>
      <c r="D179" s="287">
        <f>IFERROR(IF('Invullen groen'!E192&gt;0,'Invullen groen'!D192,""),"")</f>
        <v/>
      </c>
      <c r="E179" s="287">
        <f>IFERROR(IF('Invullen groen'!E192&gt;0,'Invullen groen'!G192,""),"")</f>
        <v/>
      </c>
      <c r="F179" s="364">
        <f>IFERROR(IF('Invullen groen'!L192&lt;&gt;0,'Invullen groen'!L192,""),"")</f>
        <v/>
      </c>
      <c r="G179" s="364">
        <f>IFERROR(IF('Invullen groen'!M192&lt;&gt;0,'Invullen groen'!M192,""),"")</f>
        <v/>
      </c>
      <c r="H179" s="364">
        <f>IFERROR(IF('Invullen groen'!N192&lt;&gt;0,'Invullen groen'!N192,""),"")</f>
        <v/>
      </c>
      <c r="I179" s="364">
        <f>IFERROR(IF('Invullen groen'!O192&lt;&gt;0,'Invullen groen'!O192,""),"")</f>
        <v/>
      </c>
    </row>
    <row r="180" ht="14" customHeight="1">
      <c r="A180" s="287">
        <f>IFERROR(IF('Invullen groen'!E193&gt;0,193-17,""),"")</f>
        <v/>
      </c>
      <c r="B180" s="287">
        <f>IFERROR(IF('Invullen groen'!E193&gt;0,'Invullen groen'!A193,""),"")</f>
        <v/>
      </c>
      <c r="C180" s="287">
        <f>IFERROR(IF('Invullen groen'!E193&gt;0,'Invullen groen'!C193,""),"")</f>
        <v/>
      </c>
      <c r="D180" s="287">
        <f>IFERROR(IF('Invullen groen'!E193&gt;0,'Invullen groen'!D193,""),"")</f>
        <v/>
      </c>
      <c r="E180" s="287">
        <f>IFERROR(IF('Invullen groen'!E193&gt;0,'Invullen groen'!G193,""),"")</f>
        <v/>
      </c>
      <c r="F180" s="364">
        <f>IFERROR(IF('Invullen groen'!L193&lt;&gt;0,'Invullen groen'!L193,""),"")</f>
        <v/>
      </c>
      <c r="G180" s="364">
        <f>IFERROR(IF('Invullen groen'!M193&lt;&gt;0,'Invullen groen'!M193,""),"")</f>
        <v/>
      </c>
      <c r="H180" s="364">
        <f>IFERROR(IF('Invullen groen'!N193&lt;&gt;0,'Invullen groen'!N193,""),"")</f>
        <v/>
      </c>
      <c r="I180" s="364">
        <f>IFERROR(IF('Invullen groen'!O193&lt;&gt;0,'Invullen groen'!O193,""),"")</f>
        <v/>
      </c>
    </row>
    <row r="181" ht="14" customHeight="1">
      <c r="A181" s="287">
        <f>IFERROR(IF('Invullen groen'!E194&gt;0,194-17,""),"")</f>
        <v/>
      </c>
      <c r="B181" s="287">
        <f>IFERROR(IF('Invullen groen'!E194&gt;0,'Invullen groen'!A194,""),"")</f>
        <v/>
      </c>
      <c r="C181" s="287">
        <f>IFERROR(IF('Invullen groen'!E194&gt;0,'Invullen groen'!C194,""),"")</f>
        <v/>
      </c>
      <c r="D181" s="287">
        <f>IFERROR(IF('Invullen groen'!E194&gt;0,'Invullen groen'!D194,""),"")</f>
        <v/>
      </c>
      <c r="E181" s="287">
        <f>IFERROR(IF('Invullen groen'!E194&gt;0,'Invullen groen'!G194,""),"")</f>
        <v/>
      </c>
      <c r="F181" s="364">
        <f>IFERROR(IF('Invullen groen'!L194&lt;&gt;0,'Invullen groen'!L194,""),"")</f>
        <v/>
      </c>
      <c r="G181" s="364">
        <f>IFERROR(IF('Invullen groen'!M194&lt;&gt;0,'Invullen groen'!M194,""),"")</f>
        <v/>
      </c>
      <c r="H181" s="364">
        <f>IFERROR(IF('Invullen groen'!N194&lt;&gt;0,'Invullen groen'!N194,""),"")</f>
        <v/>
      </c>
      <c r="I181" s="364">
        <f>IFERROR(IF('Invullen groen'!O194&lt;&gt;0,'Invullen groen'!O194,""),"")</f>
        <v/>
      </c>
    </row>
    <row r="182" ht="14" customHeight="1">
      <c r="A182" s="287">
        <f>IFERROR(IF('Invullen groen'!E195&gt;0,195-17,""),"")</f>
        <v/>
      </c>
      <c r="B182" s="287">
        <f>IFERROR(IF('Invullen groen'!E195&gt;0,'Invullen groen'!A195,""),"")</f>
        <v/>
      </c>
      <c r="C182" s="287">
        <f>IFERROR(IF('Invullen groen'!E195&gt;0,'Invullen groen'!C195,""),"")</f>
        <v/>
      </c>
      <c r="D182" s="287">
        <f>IFERROR(IF('Invullen groen'!E195&gt;0,'Invullen groen'!D195,""),"")</f>
        <v/>
      </c>
      <c r="E182" s="287">
        <f>IFERROR(IF('Invullen groen'!E195&gt;0,'Invullen groen'!G195,""),"")</f>
        <v/>
      </c>
      <c r="F182" s="364">
        <f>IFERROR(IF('Invullen groen'!L195&lt;&gt;0,'Invullen groen'!L195,""),"")</f>
        <v/>
      </c>
      <c r="G182" s="364">
        <f>IFERROR(IF('Invullen groen'!M195&lt;&gt;0,'Invullen groen'!M195,""),"")</f>
        <v/>
      </c>
      <c r="H182" s="364">
        <f>IFERROR(IF('Invullen groen'!N195&lt;&gt;0,'Invullen groen'!N195,""),"")</f>
        <v/>
      </c>
      <c r="I182" s="364">
        <f>IFERROR(IF('Invullen groen'!O195&lt;&gt;0,'Invullen groen'!O195,""),"")</f>
        <v/>
      </c>
    </row>
    <row r="183" ht="14" customHeight="1">
      <c r="A183" s="287">
        <f>IFERROR(IF('Invullen groen'!E196&gt;0,196-17,""),"")</f>
        <v/>
      </c>
      <c r="B183" s="287">
        <f>IFERROR(IF('Invullen groen'!E196&gt;0,'Invullen groen'!A196,""),"")</f>
        <v/>
      </c>
      <c r="C183" s="287">
        <f>IFERROR(IF('Invullen groen'!E196&gt;0,'Invullen groen'!C196,""),"")</f>
        <v/>
      </c>
      <c r="D183" s="287">
        <f>IFERROR(IF('Invullen groen'!E196&gt;0,'Invullen groen'!D196,""),"")</f>
        <v/>
      </c>
      <c r="E183" s="287">
        <f>IFERROR(IF('Invullen groen'!E196&gt;0,'Invullen groen'!G196,""),"")</f>
        <v/>
      </c>
      <c r="F183" s="364">
        <f>IFERROR(IF('Invullen groen'!L196&lt;&gt;0,'Invullen groen'!L196,""),"")</f>
        <v/>
      </c>
      <c r="G183" s="364">
        <f>IFERROR(IF('Invullen groen'!M196&lt;&gt;0,'Invullen groen'!M196,""),"")</f>
        <v/>
      </c>
      <c r="H183" s="364">
        <f>IFERROR(IF('Invullen groen'!N196&lt;&gt;0,'Invullen groen'!N196,""),"")</f>
        <v/>
      </c>
      <c r="I183" s="364">
        <f>IFERROR(IF('Invullen groen'!O196&lt;&gt;0,'Invullen groen'!O196,""),"")</f>
        <v/>
      </c>
    </row>
    <row r="184" ht="14" customHeight="1">
      <c r="A184" s="287">
        <f>IFERROR(IF('Invullen groen'!E197&gt;0,197-17,""),"")</f>
        <v/>
      </c>
      <c r="B184" s="287">
        <f>IFERROR(IF('Invullen groen'!E197&gt;0,'Invullen groen'!A197,""),"")</f>
        <v/>
      </c>
      <c r="C184" s="287">
        <f>IFERROR(IF('Invullen groen'!E197&gt;0,'Invullen groen'!C197,""),"")</f>
        <v/>
      </c>
      <c r="D184" s="287">
        <f>IFERROR(IF('Invullen groen'!E197&gt;0,'Invullen groen'!D197,""),"")</f>
        <v/>
      </c>
      <c r="E184" s="287">
        <f>IFERROR(IF('Invullen groen'!E197&gt;0,'Invullen groen'!G197,""),"")</f>
        <v/>
      </c>
      <c r="F184" s="364">
        <f>IFERROR(IF('Invullen groen'!L197&lt;&gt;0,'Invullen groen'!L197,""),"")</f>
        <v/>
      </c>
      <c r="G184" s="364">
        <f>IFERROR(IF('Invullen groen'!M197&lt;&gt;0,'Invullen groen'!M197,""),"")</f>
        <v/>
      </c>
      <c r="H184" s="364">
        <f>IFERROR(IF('Invullen groen'!N197&lt;&gt;0,'Invullen groen'!N197,""),"")</f>
        <v/>
      </c>
      <c r="I184" s="364">
        <f>IFERROR(IF('Invullen groen'!O197&lt;&gt;0,'Invullen groen'!O197,""),"")</f>
        <v/>
      </c>
    </row>
    <row r="185" ht="14" customHeight="1">
      <c r="A185" s="287">
        <f>IFERROR(IF('Invullen groen'!E198&gt;0,198-17,""),"")</f>
        <v/>
      </c>
      <c r="B185" s="287">
        <f>IFERROR(IF('Invullen groen'!E198&gt;0,'Invullen groen'!A198,""),"")</f>
        <v/>
      </c>
      <c r="C185" s="287">
        <f>IFERROR(IF('Invullen groen'!E198&gt;0,'Invullen groen'!C198,""),"")</f>
        <v/>
      </c>
      <c r="D185" s="287">
        <f>IFERROR(IF('Invullen groen'!E198&gt;0,'Invullen groen'!D198,""),"")</f>
        <v/>
      </c>
      <c r="E185" s="287">
        <f>IFERROR(IF('Invullen groen'!E198&gt;0,'Invullen groen'!G198,""),"")</f>
        <v/>
      </c>
      <c r="F185" s="364">
        <f>IFERROR(IF('Invullen groen'!L198&lt;&gt;0,'Invullen groen'!L198,""),"")</f>
        <v/>
      </c>
      <c r="G185" s="364">
        <f>IFERROR(IF('Invullen groen'!M198&lt;&gt;0,'Invullen groen'!M198,""),"")</f>
        <v/>
      </c>
      <c r="H185" s="364">
        <f>IFERROR(IF('Invullen groen'!N198&lt;&gt;0,'Invullen groen'!N198,""),"")</f>
        <v/>
      </c>
      <c r="I185" s="364">
        <f>IFERROR(IF('Invullen groen'!O198&lt;&gt;0,'Invullen groen'!O198,""),"")</f>
        <v/>
      </c>
    </row>
    <row r="186" ht="14" customHeight="1">
      <c r="A186" s="287">
        <f>IFERROR(IF('Invullen groen'!E199&gt;0,199-17,""),"")</f>
        <v/>
      </c>
      <c r="B186" s="287">
        <f>IFERROR(IF('Invullen groen'!E199&gt;0,'Invullen groen'!A199,""),"")</f>
        <v/>
      </c>
      <c r="C186" s="287">
        <f>IFERROR(IF('Invullen groen'!E199&gt;0,'Invullen groen'!C199,""),"")</f>
        <v/>
      </c>
      <c r="D186" s="287">
        <f>IFERROR(IF('Invullen groen'!E199&gt;0,'Invullen groen'!D199,""),"")</f>
        <v/>
      </c>
      <c r="E186" s="287">
        <f>IFERROR(IF('Invullen groen'!E199&gt;0,'Invullen groen'!G199,""),"")</f>
        <v/>
      </c>
      <c r="F186" s="364">
        <f>IFERROR(IF('Invullen groen'!L199&lt;&gt;0,'Invullen groen'!L199,""),"")</f>
        <v/>
      </c>
      <c r="G186" s="364">
        <f>IFERROR(IF('Invullen groen'!M199&lt;&gt;0,'Invullen groen'!M199,""),"")</f>
        <v/>
      </c>
      <c r="H186" s="364">
        <f>IFERROR(IF('Invullen groen'!N199&lt;&gt;0,'Invullen groen'!N199,""),"")</f>
        <v/>
      </c>
      <c r="I186" s="364">
        <f>IFERROR(IF('Invullen groen'!O199&lt;&gt;0,'Invullen groen'!O199,""),"")</f>
        <v/>
      </c>
    </row>
    <row r="187" ht="14" customHeight="1">
      <c r="A187" s="287">
        <f>IFERROR(IF('Invullen groen'!E200&gt;0,200-17,""),"")</f>
        <v/>
      </c>
      <c r="B187" s="287">
        <f>IFERROR(IF('Invullen groen'!E200&gt;0,'Invullen groen'!A200,""),"")</f>
        <v/>
      </c>
      <c r="C187" s="287">
        <f>IFERROR(IF('Invullen groen'!E200&gt;0,'Invullen groen'!C200,""),"")</f>
        <v/>
      </c>
      <c r="D187" s="287">
        <f>IFERROR(IF('Invullen groen'!E200&gt;0,'Invullen groen'!D200,""),"")</f>
        <v/>
      </c>
      <c r="E187" s="287">
        <f>IFERROR(IF('Invullen groen'!E200&gt;0,'Invullen groen'!G200,""),"")</f>
        <v/>
      </c>
      <c r="F187" s="364">
        <f>IFERROR(IF('Invullen groen'!L200&lt;&gt;0,'Invullen groen'!L200,""),"")</f>
        <v/>
      </c>
      <c r="G187" s="364">
        <f>IFERROR(IF('Invullen groen'!M200&lt;&gt;0,'Invullen groen'!M200,""),"")</f>
        <v/>
      </c>
      <c r="H187" s="364">
        <f>IFERROR(IF('Invullen groen'!N200&lt;&gt;0,'Invullen groen'!N200,""),"")</f>
        <v/>
      </c>
      <c r="I187" s="364">
        <f>IFERROR(IF('Invullen groen'!O200&lt;&gt;0,'Invullen groen'!O200,""),"")</f>
        <v/>
      </c>
    </row>
    <row r="188" ht="14" customHeight="1">
      <c r="A188" s="287">
        <f>IFERROR(IF('Invullen groen'!E201&gt;0,201-17,""),"")</f>
        <v/>
      </c>
      <c r="B188" s="287">
        <f>IFERROR(IF('Invullen groen'!E201&gt;0,'Invullen groen'!A201,""),"")</f>
        <v/>
      </c>
      <c r="C188" s="287">
        <f>IFERROR(IF('Invullen groen'!E201&gt;0,'Invullen groen'!C201,""),"")</f>
        <v/>
      </c>
      <c r="D188" s="287">
        <f>IFERROR(IF('Invullen groen'!E201&gt;0,'Invullen groen'!D201,""),"")</f>
        <v/>
      </c>
      <c r="E188" s="287">
        <f>IFERROR(IF('Invullen groen'!E201&gt;0,'Invullen groen'!G201,""),"")</f>
        <v/>
      </c>
      <c r="F188" s="364">
        <f>IFERROR(IF('Invullen groen'!L201&lt;&gt;0,'Invullen groen'!L201,""),"")</f>
        <v/>
      </c>
      <c r="G188" s="364">
        <f>IFERROR(IF('Invullen groen'!M201&lt;&gt;0,'Invullen groen'!M201,""),"")</f>
        <v/>
      </c>
      <c r="H188" s="364">
        <f>IFERROR(IF('Invullen groen'!N201&lt;&gt;0,'Invullen groen'!N201,""),"")</f>
        <v/>
      </c>
      <c r="I188" s="364">
        <f>IFERROR(IF('Invullen groen'!O201&lt;&gt;0,'Invullen groen'!O201,""),"")</f>
        <v/>
      </c>
    </row>
    <row r="189" ht="14" customHeight="1">
      <c r="A189" s="287">
        <f>IFERROR(IF('Invullen groen'!E202&gt;0,202-17,""),"")</f>
        <v/>
      </c>
      <c r="B189" s="287">
        <f>IFERROR(IF('Invullen groen'!E202&gt;0,'Invullen groen'!A202,""),"")</f>
        <v/>
      </c>
      <c r="C189" s="287">
        <f>IFERROR(IF('Invullen groen'!E202&gt;0,'Invullen groen'!C202,""),"")</f>
        <v/>
      </c>
      <c r="D189" s="287">
        <f>IFERROR(IF('Invullen groen'!E202&gt;0,'Invullen groen'!D202,""),"")</f>
        <v/>
      </c>
      <c r="E189" s="287">
        <f>IFERROR(IF('Invullen groen'!E202&gt;0,'Invullen groen'!G202,""),"")</f>
        <v/>
      </c>
      <c r="F189" s="364">
        <f>IFERROR(IF('Invullen groen'!L202&lt;&gt;0,'Invullen groen'!L202,""),"")</f>
        <v/>
      </c>
      <c r="G189" s="364">
        <f>IFERROR(IF('Invullen groen'!M202&lt;&gt;0,'Invullen groen'!M202,""),"")</f>
        <v/>
      </c>
      <c r="H189" s="364">
        <f>IFERROR(IF('Invullen groen'!N202&lt;&gt;0,'Invullen groen'!N202,""),"")</f>
        <v/>
      </c>
      <c r="I189" s="364">
        <f>IFERROR(IF('Invullen groen'!O202&lt;&gt;0,'Invullen groen'!O202,""),"")</f>
        <v/>
      </c>
    </row>
    <row r="190" ht="14" customHeight="1">
      <c r="A190" s="287">
        <f>IFERROR(IF('Invullen groen'!E203&gt;0,203-17,""),"")</f>
        <v/>
      </c>
      <c r="B190" s="287">
        <f>IFERROR(IF('Invullen groen'!E203&gt;0,'Invullen groen'!A203,""),"")</f>
        <v/>
      </c>
      <c r="C190" s="287">
        <f>IFERROR(IF('Invullen groen'!E203&gt;0,'Invullen groen'!C203,""),"")</f>
        <v/>
      </c>
      <c r="D190" s="287">
        <f>IFERROR(IF('Invullen groen'!E203&gt;0,'Invullen groen'!D203,""),"")</f>
        <v/>
      </c>
      <c r="E190" s="287">
        <f>IFERROR(IF('Invullen groen'!E203&gt;0,'Invullen groen'!G203,""),"")</f>
        <v/>
      </c>
      <c r="F190" s="364">
        <f>IFERROR(IF('Invullen groen'!L203&lt;&gt;0,'Invullen groen'!L203,""),"")</f>
        <v/>
      </c>
      <c r="G190" s="364">
        <f>IFERROR(IF('Invullen groen'!M203&lt;&gt;0,'Invullen groen'!M203,""),"")</f>
        <v/>
      </c>
      <c r="H190" s="364">
        <f>IFERROR(IF('Invullen groen'!N203&lt;&gt;0,'Invullen groen'!N203,""),"")</f>
        <v/>
      </c>
      <c r="I190" s="364">
        <f>IFERROR(IF('Invullen groen'!O203&lt;&gt;0,'Invullen groen'!O203,""),"")</f>
        <v/>
      </c>
    </row>
    <row r="191" ht="14" customHeight="1">
      <c r="A191" s="287">
        <f>IFERROR(IF('Invullen groen'!E204&gt;0,204-17,""),"")</f>
        <v/>
      </c>
      <c r="B191" s="287">
        <f>IFERROR(IF('Invullen groen'!E204&gt;0,'Invullen groen'!A204,""),"")</f>
        <v/>
      </c>
      <c r="C191" s="287">
        <f>IFERROR(IF('Invullen groen'!E204&gt;0,'Invullen groen'!C204,""),"")</f>
        <v/>
      </c>
      <c r="D191" s="287">
        <f>IFERROR(IF('Invullen groen'!E204&gt;0,'Invullen groen'!D204,""),"")</f>
        <v/>
      </c>
      <c r="E191" s="287">
        <f>IFERROR(IF('Invullen groen'!E204&gt;0,'Invullen groen'!G204,""),"")</f>
        <v/>
      </c>
      <c r="F191" s="364">
        <f>IFERROR(IF('Invullen groen'!L204&lt;&gt;0,'Invullen groen'!L204,""),"")</f>
        <v/>
      </c>
      <c r="G191" s="364">
        <f>IFERROR(IF('Invullen groen'!M204&lt;&gt;0,'Invullen groen'!M204,""),"")</f>
        <v/>
      </c>
      <c r="H191" s="364">
        <f>IFERROR(IF('Invullen groen'!N204&lt;&gt;0,'Invullen groen'!N204,""),"")</f>
        <v/>
      </c>
      <c r="I191" s="364">
        <f>IFERROR(IF('Invullen groen'!O204&lt;&gt;0,'Invullen groen'!O204,""),"")</f>
        <v/>
      </c>
    </row>
    <row r="192" ht="14" customHeight="1">
      <c r="A192" s="287">
        <f>IFERROR(IF('Invullen groen'!E205&gt;0,205-17,""),"")</f>
        <v/>
      </c>
      <c r="B192" s="287">
        <f>IFERROR(IF('Invullen groen'!E205&gt;0,'Invullen groen'!A205,""),"")</f>
        <v/>
      </c>
      <c r="C192" s="287">
        <f>IFERROR(IF('Invullen groen'!E205&gt;0,'Invullen groen'!C205,""),"")</f>
        <v/>
      </c>
      <c r="D192" s="287">
        <f>IFERROR(IF('Invullen groen'!E205&gt;0,'Invullen groen'!D205,""),"")</f>
        <v/>
      </c>
      <c r="E192" s="287">
        <f>IFERROR(IF('Invullen groen'!E205&gt;0,'Invullen groen'!G205,""),"")</f>
        <v/>
      </c>
      <c r="F192" s="364">
        <f>IFERROR(IF('Invullen groen'!L205&lt;&gt;0,'Invullen groen'!L205,""),"")</f>
        <v/>
      </c>
      <c r="G192" s="364">
        <f>IFERROR(IF('Invullen groen'!M205&lt;&gt;0,'Invullen groen'!M205,""),"")</f>
        <v/>
      </c>
      <c r="H192" s="364">
        <f>IFERROR(IF('Invullen groen'!N205&lt;&gt;0,'Invullen groen'!N205,""),"")</f>
        <v/>
      </c>
      <c r="I192" s="364">
        <f>IFERROR(IF('Invullen groen'!O205&lt;&gt;0,'Invullen groen'!O205,""),"")</f>
        <v/>
      </c>
    </row>
    <row r="193" ht="14" customHeight="1">
      <c r="A193" s="287">
        <f>IFERROR(IF('Invullen groen'!E206&gt;0,206-17,""),"")</f>
        <v/>
      </c>
      <c r="B193" s="287">
        <f>IFERROR(IF('Invullen groen'!E206&gt;0,'Invullen groen'!A206,""),"")</f>
        <v/>
      </c>
      <c r="C193" s="287">
        <f>IFERROR(IF('Invullen groen'!E206&gt;0,'Invullen groen'!C206,""),"")</f>
        <v/>
      </c>
      <c r="D193" s="287">
        <f>IFERROR(IF('Invullen groen'!E206&gt;0,'Invullen groen'!D206,""),"")</f>
        <v/>
      </c>
      <c r="E193" s="287">
        <f>IFERROR(IF('Invullen groen'!E206&gt;0,'Invullen groen'!G206,""),"")</f>
        <v/>
      </c>
      <c r="F193" s="364">
        <f>IFERROR(IF('Invullen groen'!L206&lt;&gt;0,'Invullen groen'!L206,""),"")</f>
        <v/>
      </c>
      <c r="G193" s="364">
        <f>IFERROR(IF('Invullen groen'!M206&lt;&gt;0,'Invullen groen'!M206,""),"")</f>
        <v/>
      </c>
      <c r="H193" s="364">
        <f>IFERROR(IF('Invullen groen'!N206&lt;&gt;0,'Invullen groen'!N206,""),"")</f>
        <v/>
      </c>
      <c r="I193" s="364">
        <f>IFERROR(IF('Invullen groen'!O206&lt;&gt;0,'Invullen groen'!O206,""),"")</f>
        <v/>
      </c>
    </row>
    <row r="194" ht="14" customHeight="1">
      <c r="A194" s="287">
        <f>IFERROR(IF('Invullen groen'!E207&gt;0,207-17,""),"")</f>
        <v/>
      </c>
      <c r="B194" s="287">
        <f>IFERROR(IF('Invullen groen'!E207&gt;0,'Invullen groen'!A207,""),"")</f>
        <v/>
      </c>
      <c r="C194" s="287">
        <f>IFERROR(IF('Invullen groen'!E207&gt;0,'Invullen groen'!C207,""),"")</f>
        <v/>
      </c>
      <c r="D194" s="287">
        <f>IFERROR(IF('Invullen groen'!E207&gt;0,'Invullen groen'!D207,""),"")</f>
        <v/>
      </c>
      <c r="E194" s="287">
        <f>IFERROR(IF('Invullen groen'!E207&gt;0,'Invullen groen'!G207,""),"")</f>
        <v/>
      </c>
      <c r="F194" s="364">
        <f>IFERROR(IF('Invullen groen'!L207&lt;&gt;0,'Invullen groen'!L207,""),"")</f>
        <v/>
      </c>
      <c r="G194" s="364">
        <f>IFERROR(IF('Invullen groen'!M207&lt;&gt;0,'Invullen groen'!M207,""),"")</f>
        <v/>
      </c>
      <c r="H194" s="364">
        <f>IFERROR(IF('Invullen groen'!N207&lt;&gt;0,'Invullen groen'!N207,""),"")</f>
        <v/>
      </c>
      <c r="I194" s="364">
        <f>IFERROR(IF('Invullen groen'!O207&lt;&gt;0,'Invullen groen'!O207,""),"")</f>
        <v/>
      </c>
    </row>
    <row r="195" ht="14" customHeight="1">
      <c r="A195" s="287">
        <f>IFERROR(IF('Invullen groen'!E208&gt;0,208-17,""),"")</f>
        <v/>
      </c>
      <c r="B195" s="287">
        <f>IFERROR(IF('Invullen groen'!E208&gt;0,'Invullen groen'!A208,""),"")</f>
        <v/>
      </c>
      <c r="C195" s="287">
        <f>IFERROR(IF('Invullen groen'!E208&gt;0,'Invullen groen'!C208,""),"")</f>
        <v/>
      </c>
      <c r="D195" s="287">
        <f>IFERROR(IF('Invullen groen'!E208&gt;0,'Invullen groen'!D208,""),"")</f>
        <v/>
      </c>
      <c r="E195" s="287">
        <f>IFERROR(IF('Invullen groen'!E208&gt;0,'Invullen groen'!G208,""),"")</f>
        <v/>
      </c>
      <c r="F195" s="364">
        <f>IFERROR(IF('Invullen groen'!L208&lt;&gt;0,'Invullen groen'!L208,""),"")</f>
        <v/>
      </c>
      <c r="G195" s="364">
        <f>IFERROR(IF('Invullen groen'!M208&lt;&gt;0,'Invullen groen'!M208,""),"")</f>
        <v/>
      </c>
      <c r="H195" s="364">
        <f>IFERROR(IF('Invullen groen'!N208&lt;&gt;0,'Invullen groen'!N208,""),"")</f>
        <v/>
      </c>
      <c r="I195" s="364">
        <f>IFERROR(IF('Invullen groen'!O208&lt;&gt;0,'Invullen groen'!O208,""),"")</f>
        <v/>
      </c>
    </row>
    <row r="196" ht="14" customHeight="1">
      <c r="A196" s="287">
        <f>IFERROR(IF('Invullen groen'!E209&gt;0,209-17,""),"")</f>
        <v/>
      </c>
      <c r="B196" s="287">
        <f>IFERROR(IF('Invullen groen'!E209&gt;0,'Invullen groen'!A209,""),"")</f>
        <v/>
      </c>
      <c r="C196" s="287">
        <f>IFERROR(IF('Invullen groen'!E209&gt;0,'Invullen groen'!C209,""),"")</f>
        <v/>
      </c>
      <c r="D196" s="287">
        <f>IFERROR(IF('Invullen groen'!E209&gt;0,'Invullen groen'!D209,""),"")</f>
        <v/>
      </c>
      <c r="E196" s="287">
        <f>IFERROR(IF('Invullen groen'!E209&gt;0,'Invullen groen'!G209,""),"")</f>
        <v/>
      </c>
      <c r="F196" s="364">
        <f>IFERROR(IF('Invullen groen'!L209&lt;&gt;0,'Invullen groen'!L209,""),"")</f>
        <v/>
      </c>
      <c r="G196" s="364">
        <f>IFERROR(IF('Invullen groen'!M209&lt;&gt;0,'Invullen groen'!M209,""),"")</f>
        <v/>
      </c>
      <c r="H196" s="364">
        <f>IFERROR(IF('Invullen groen'!N209&lt;&gt;0,'Invullen groen'!N209,""),"")</f>
        <v/>
      </c>
      <c r="I196" s="364">
        <f>IFERROR(IF('Invullen groen'!O209&lt;&gt;0,'Invullen groen'!O209,""),"")</f>
        <v/>
      </c>
    </row>
    <row r="197" ht="14" customHeight="1">
      <c r="A197" s="287">
        <f>IFERROR(IF('Invullen groen'!E210&gt;0,210-17,""),"")</f>
        <v/>
      </c>
      <c r="B197" s="287">
        <f>IFERROR(IF('Invullen groen'!E210&gt;0,'Invullen groen'!A210,""),"")</f>
        <v/>
      </c>
      <c r="C197" s="287">
        <f>IFERROR(IF('Invullen groen'!E210&gt;0,'Invullen groen'!C210,""),"")</f>
        <v/>
      </c>
      <c r="D197" s="287">
        <f>IFERROR(IF('Invullen groen'!E210&gt;0,'Invullen groen'!D210,""),"")</f>
        <v/>
      </c>
      <c r="E197" s="287">
        <f>IFERROR(IF('Invullen groen'!E210&gt;0,'Invullen groen'!G210,""),"")</f>
        <v/>
      </c>
      <c r="F197" s="364">
        <f>IFERROR(IF('Invullen groen'!L210&lt;&gt;0,'Invullen groen'!L210,""),"")</f>
        <v/>
      </c>
      <c r="G197" s="364">
        <f>IFERROR(IF('Invullen groen'!M210&lt;&gt;0,'Invullen groen'!M210,""),"")</f>
        <v/>
      </c>
      <c r="H197" s="364">
        <f>IFERROR(IF('Invullen groen'!N210&lt;&gt;0,'Invullen groen'!N210,""),"")</f>
        <v/>
      </c>
      <c r="I197" s="364">
        <f>IFERROR(IF('Invullen groen'!O210&lt;&gt;0,'Invullen groen'!O210,""),"")</f>
        <v/>
      </c>
    </row>
    <row r="198" ht="14" customHeight="1">
      <c r="A198" s="287">
        <f>IFERROR(IF('Invullen groen'!E211&gt;0,211-17,""),"")</f>
        <v/>
      </c>
      <c r="B198" s="287">
        <f>IFERROR(IF('Invullen groen'!E211&gt;0,'Invullen groen'!A211,""),"")</f>
        <v/>
      </c>
      <c r="C198" s="287">
        <f>IFERROR(IF('Invullen groen'!E211&gt;0,'Invullen groen'!C211,""),"")</f>
        <v/>
      </c>
      <c r="D198" s="287">
        <f>IFERROR(IF('Invullen groen'!E211&gt;0,'Invullen groen'!D211,""),"")</f>
        <v/>
      </c>
      <c r="E198" s="287">
        <f>IFERROR(IF('Invullen groen'!E211&gt;0,'Invullen groen'!G211,""),"")</f>
        <v/>
      </c>
      <c r="F198" s="364">
        <f>IFERROR(IF('Invullen groen'!L211&lt;&gt;0,'Invullen groen'!L211,""),"")</f>
        <v/>
      </c>
      <c r="G198" s="364">
        <f>IFERROR(IF('Invullen groen'!M211&lt;&gt;0,'Invullen groen'!M211,""),"")</f>
        <v/>
      </c>
      <c r="H198" s="364">
        <f>IFERROR(IF('Invullen groen'!N211&lt;&gt;0,'Invullen groen'!N211,""),"")</f>
        <v/>
      </c>
      <c r="I198" s="364">
        <f>IFERROR(IF('Invullen groen'!O211&lt;&gt;0,'Invullen groen'!O211,""),"")</f>
        <v/>
      </c>
    </row>
    <row r="199" ht="14" customHeight="1">
      <c r="A199" s="287">
        <f>IFERROR(IF('Invullen groen'!E212&gt;0,212-17,""),"")</f>
        <v/>
      </c>
      <c r="B199" s="287">
        <f>IFERROR(IF('Invullen groen'!E212&gt;0,'Invullen groen'!A212,""),"")</f>
        <v/>
      </c>
      <c r="C199" s="287">
        <f>IFERROR(IF('Invullen groen'!E212&gt;0,'Invullen groen'!C212,""),"")</f>
        <v/>
      </c>
      <c r="D199" s="287">
        <f>IFERROR(IF('Invullen groen'!E212&gt;0,'Invullen groen'!D212,""),"")</f>
        <v/>
      </c>
      <c r="E199" s="287">
        <f>IFERROR(IF('Invullen groen'!E212&gt;0,'Invullen groen'!G212,""),"")</f>
        <v/>
      </c>
      <c r="F199" s="364">
        <f>IFERROR(IF('Invullen groen'!L212&lt;&gt;0,'Invullen groen'!L212,""),"")</f>
        <v/>
      </c>
      <c r="G199" s="364">
        <f>IFERROR(IF('Invullen groen'!M212&lt;&gt;0,'Invullen groen'!M212,""),"")</f>
        <v/>
      </c>
      <c r="H199" s="364">
        <f>IFERROR(IF('Invullen groen'!N212&lt;&gt;0,'Invullen groen'!N212,""),"")</f>
        <v/>
      </c>
      <c r="I199" s="364">
        <f>IFERROR(IF('Invullen groen'!O212&lt;&gt;0,'Invullen groen'!O212,""),"")</f>
        <v/>
      </c>
    </row>
    <row r="200" ht="14" customHeight="1">
      <c r="A200" s="287">
        <f>IFERROR(IF('Invullen groen'!E213&gt;0,213-17,""),"")</f>
        <v/>
      </c>
      <c r="B200" s="287">
        <f>IFERROR(IF('Invullen groen'!E213&gt;0,'Invullen groen'!A213,""),"")</f>
        <v/>
      </c>
      <c r="C200" s="287">
        <f>IFERROR(IF('Invullen groen'!E213&gt;0,'Invullen groen'!C213,""),"")</f>
        <v/>
      </c>
      <c r="D200" s="287">
        <f>IFERROR(IF('Invullen groen'!E213&gt;0,'Invullen groen'!D213,""),"")</f>
        <v/>
      </c>
      <c r="E200" s="287">
        <f>IFERROR(IF('Invullen groen'!E213&gt;0,'Invullen groen'!G213,""),"")</f>
        <v/>
      </c>
      <c r="F200" s="364">
        <f>IFERROR(IF('Invullen groen'!L213&lt;&gt;0,'Invullen groen'!L213,""),"")</f>
        <v/>
      </c>
      <c r="G200" s="364">
        <f>IFERROR(IF('Invullen groen'!M213&lt;&gt;0,'Invullen groen'!M213,""),"")</f>
        <v/>
      </c>
      <c r="H200" s="364">
        <f>IFERROR(IF('Invullen groen'!N213&lt;&gt;0,'Invullen groen'!N213,""),"")</f>
        <v/>
      </c>
      <c r="I200" s="364">
        <f>IFERROR(IF('Invullen groen'!O213&lt;&gt;0,'Invullen groen'!O213,""),"")</f>
        <v/>
      </c>
    </row>
    <row r="201" ht="14" customHeight="1">
      <c r="A201" s="287">
        <f>IFERROR(IF('Invullen groen'!E214&gt;0,214-17,""),"")</f>
        <v/>
      </c>
      <c r="B201" s="287">
        <f>IFERROR(IF('Invullen groen'!E214&gt;0,'Invullen groen'!A214,""),"")</f>
        <v/>
      </c>
      <c r="C201" s="287">
        <f>IFERROR(IF('Invullen groen'!E214&gt;0,'Invullen groen'!C214,""),"")</f>
        <v/>
      </c>
      <c r="D201" s="287">
        <f>IFERROR(IF('Invullen groen'!E214&gt;0,'Invullen groen'!D214,""),"")</f>
        <v/>
      </c>
      <c r="E201" s="287">
        <f>IFERROR(IF('Invullen groen'!E214&gt;0,'Invullen groen'!G214,""),"")</f>
        <v/>
      </c>
      <c r="F201" s="364">
        <f>IFERROR(IF('Invullen groen'!L214&lt;&gt;0,'Invullen groen'!L214,""),"")</f>
        <v/>
      </c>
      <c r="G201" s="364">
        <f>IFERROR(IF('Invullen groen'!M214&lt;&gt;0,'Invullen groen'!M214,""),"")</f>
        <v/>
      </c>
      <c r="H201" s="364">
        <f>IFERROR(IF('Invullen groen'!N214&lt;&gt;0,'Invullen groen'!N214,""),"")</f>
        <v/>
      </c>
      <c r="I201" s="364">
        <f>IFERROR(IF('Invullen groen'!O214&lt;&gt;0,'Invullen groen'!O214,""),"")</f>
        <v/>
      </c>
    </row>
    <row r="202" ht="14" customHeight="1">
      <c r="A202" s="287">
        <f>IFERROR(IF('Invullen groen'!E215&gt;0,215-17,""),"")</f>
        <v/>
      </c>
      <c r="B202" s="287">
        <f>IFERROR(IF('Invullen groen'!E215&gt;0,'Invullen groen'!A215,""),"")</f>
        <v/>
      </c>
      <c r="C202" s="287">
        <f>IFERROR(IF('Invullen groen'!E215&gt;0,'Invullen groen'!C215,""),"")</f>
        <v/>
      </c>
      <c r="D202" s="287">
        <f>IFERROR(IF('Invullen groen'!E215&gt;0,'Invullen groen'!D215,""),"")</f>
        <v/>
      </c>
      <c r="E202" s="287">
        <f>IFERROR(IF('Invullen groen'!E215&gt;0,'Invullen groen'!G215,""),"")</f>
        <v/>
      </c>
      <c r="F202" s="364">
        <f>IFERROR(IF('Invullen groen'!L215&lt;&gt;0,'Invullen groen'!L215,""),"")</f>
        <v/>
      </c>
      <c r="G202" s="364">
        <f>IFERROR(IF('Invullen groen'!M215&lt;&gt;0,'Invullen groen'!M215,""),"")</f>
        <v/>
      </c>
      <c r="H202" s="364">
        <f>IFERROR(IF('Invullen groen'!N215&lt;&gt;0,'Invullen groen'!N215,""),"")</f>
        <v/>
      </c>
      <c r="I202" s="364">
        <f>IFERROR(IF('Invullen groen'!O215&lt;&gt;0,'Invullen groen'!O215,""),"")</f>
        <v/>
      </c>
    </row>
    <row r="203" ht="14" customHeight="1">
      <c r="A203" s="287">
        <f>IFERROR(IF('Invullen groen'!E216&gt;0,216-17,""),"")</f>
        <v/>
      </c>
      <c r="B203" s="287">
        <f>IFERROR(IF('Invullen groen'!E216&gt;0,'Invullen groen'!A216,""),"")</f>
        <v/>
      </c>
      <c r="C203" s="287">
        <f>IFERROR(IF('Invullen groen'!E216&gt;0,'Invullen groen'!C216,""),"")</f>
        <v/>
      </c>
      <c r="D203" s="287">
        <f>IFERROR(IF('Invullen groen'!E216&gt;0,'Invullen groen'!D216,""),"")</f>
        <v/>
      </c>
      <c r="E203" s="287">
        <f>IFERROR(IF('Invullen groen'!E216&gt;0,'Invullen groen'!G216,""),"")</f>
        <v/>
      </c>
      <c r="F203" s="364">
        <f>IFERROR(IF('Invullen groen'!L216&lt;&gt;0,'Invullen groen'!L216,""),"")</f>
        <v/>
      </c>
      <c r="G203" s="364">
        <f>IFERROR(IF('Invullen groen'!M216&lt;&gt;0,'Invullen groen'!M216,""),"")</f>
        <v/>
      </c>
      <c r="H203" s="364">
        <f>IFERROR(IF('Invullen groen'!N216&lt;&gt;0,'Invullen groen'!N216,""),"")</f>
        <v/>
      </c>
      <c r="I203" s="364">
        <f>IFERROR(IF('Invullen groen'!O216&lt;&gt;0,'Invullen groen'!O216,""),"")</f>
        <v/>
      </c>
    </row>
    <row r="204" ht="14" customHeight="1">
      <c r="A204" s="287">
        <f>IFERROR(IF('Invullen groen'!E217&gt;0,217-17,""),"")</f>
        <v/>
      </c>
      <c r="B204" s="287">
        <f>IFERROR(IF('Invullen groen'!E217&gt;0,'Invullen groen'!A217,""),"")</f>
        <v/>
      </c>
      <c r="C204" s="287">
        <f>IFERROR(IF('Invullen groen'!E217&gt;0,'Invullen groen'!C217,""),"")</f>
        <v/>
      </c>
      <c r="D204" s="287">
        <f>IFERROR(IF('Invullen groen'!E217&gt;0,'Invullen groen'!D217,""),"")</f>
        <v/>
      </c>
      <c r="E204" s="287">
        <f>IFERROR(IF('Invullen groen'!E217&gt;0,'Invullen groen'!G217,""),"")</f>
        <v/>
      </c>
      <c r="F204" s="364">
        <f>IFERROR(IF('Invullen groen'!L217&lt;&gt;0,'Invullen groen'!L217,""),"")</f>
        <v/>
      </c>
      <c r="G204" s="364">
        <f>IFERROR(IF('Invullen groen'!M217&lt;&gt;0,'Invullen groen'!M217,""),"")</f>
        <v/>
      </c>
      <c r="H204" s="364">
        <f>IFERROR(IF('Invullen groen'!N217&lt;&gt;0,'Invullen groen'!N217,""),"")</f>
        <v/>
      </c>
      <c r="I204" s="364">
        <f>IFERROR(IF('Invullen groen'!O217&lt;&gt;0,'Invullen groen'!O217,""),"")</f>
        <v/>
      </c>
    </row>
    <row r="205" ht="14" customHeight="1">
      <c r="A205" s="287">
        <f>IFERROR(IF('Invullen groen'!E218&gt;0,218-17,""),"")</f>
        <v/>
      </c>
      <c r="B205" s="287">
        <f>IFERROR(IF('Invullen groen'!E218&gt;0,'Invullen groen'!A218,""),"")</f>
        <v/>
      </c>
      <c r="C205" s="287">
        <f>IFERROR(IF('Invullen groen'!E218&gt;0,'Invullen groen'!C218,""),"")</f>
        <v/>
      </c>
      <c r="D205" s="287">
        <f>IFERROR(IF('Invullen groen'!E218&gt;0,'Invullen groen'!D218,""),"")</f>
        <v/>
      </c>
      <c r="E205" s="287">
        <f>IFERROR(IF('Invullen groen'!E218&gt;0,'Invullen groen'!G218,""),"")</f>
        <v/>
      </c>
      <c r="F205" s="364">
        <f>IFERROR(IF('Invullen groen'!L218&lt;&gt;0,'Invullen groen'!L218,""),"")</f>
        <v/>
      </c>
      <c r="G205" s="364">
        <f>IFERROR(IF('Invullen groen'!M218&lt;&gt;0,'Invullen groen'!M218,""),"")</f>
        <v/>
      </c>
      <c r="H205" s="364">
        <f>IFERROR(IF('Invullen groen'!N218&lt;&gt;0,'Invullen groen'!N218,""),"")</f>
        <v/>
      </c>
      <c r="I205" s="364">
        <f>IFERROR(IF('Invullen groen'!O218&lt;&gt;0,'Invullen groen'!O218,""),"")</f>
        <v/>
      </c>
    </row>
    <row r="206" ht="14" customHeight="1">
      <c r="A206" s="287">
        <f>IFERROR(IF('Invullen groen'!E219&gt;0,219-17,""),"")</f>
        <v/>
      </c>
      <c r="B206" s="287">
        <f>IFERROR(IF('Invullen groen'!E219&gt;0,'Invullen groen'!A219,""),"")</f>
        <v/>
      </c>
      <c r="C206" s="287">
        <f>IFERROR(IF('Invullen groen'!E219&gt;0,'Invullen groen'!C219,""),"")</f>
        <v/>
      </c>
      <c r="D206" s="287">
        <f>IFERROR(IF('Invullen groen'!E219&gt;0,'Invullen groen'!D219,""),"")</f>
        <v/>
      </c>
      <c r="E206" s="287">
        <f>IFERROR(IF('Invullen groen'!E219&gt;0,'Invullen groen'!G219,""),"")</f>
        <v/>
      </c>
      <c r="F206" s="364">
        <f>IFERROR(IF('Invullen groen'!L219&lt;&gt;0,'Invullen groen'!L219,""),"")</f>
        <v/>
      </c>
      <c r="G206" s="364">
        <f>IFERROR(IF('Invullen groen'!M219&lt;&gt;0,'Invullen groen'!M219,""),"")</f>
        <v/>
      </c>
      <c r="H206" s="364">
        <f>IFERROR(IF('Invullen groen'!N219&lt;&gt;0,'Invullen groen'!N219,""),"")</f>
        <v/>
      </c>
      <c r="I206" s="364">
        <f>IFERROR(IF('Invullen groen'!O219&lt;&gt;0,'Invullen groen'!O219,""),"")</f>
        <v/>
      </c>
    </row>
    <row r="207" ht="14" customHeight="1">
      <c r="A207" s="287">
        <f>IFERROR(IF('Invullen groen'!E220&gt;0,220-17,""),"")</f>
        <v/>
      </c>
      <c r="B207" s="287">
        <f>IFERROR(IF('Invullen groen'!E220&gt;0,'Invullen groen'!A220,""),"")</f>
        <v/>
      </c>
      <c r="C207" s="287">
        <f>IFERROR(IF('Invullen groen'!E220&gt;0,'Invullen groen'!C220,""),"")</f>
        <v/>
      </c>
      <c r="D207" s="287">
        <f>IFERROR(IF('Invullen groen'!E220&gt;0,'Invullen groen'!D220,""),"")</f>
        <v/>
      </c>
      <c r="E207" s="287">
        <f>IFERROR(IF('Invullen groen'!E220&gt;0,'Invullen groen'!G220,""),"")</f>
        <v/>
      </c>
      <c r="F207" s="364">
        <f>IFERROR(IF('Invullen groen'!L220&lt;&gt;0,'Invullen groen'!L220,""),"")</f>
        <v/>
      </c>
      <c r="G207" s="364">
        <f>IFERROR(IF('Invullen groen'!M220&lt;&gt;0,'Invullen groen'!M220,""),"")</f>
        <v/>
      </c>
      <c r="H207" s="364">
        <f>IFERROR(IF('Invullen groen'!N220&lt;&gt;0,'Invullen groen'!N220,""),"")</f>
        <v/>
      </c>
      <c r="I207" s="364">
        <f>IFERROR(IF('Invullen groen'!O220&lt;&gt;0,'Invullen groen'!O220,""),"")</f>
        <v/>
      </c>
    </row>
    <row r="208" ht="14" customHeight="1">
      <c r="A208" s="287">
        <f>IFERROR(IF('Invullen groen'!E221&gt;0,221-17,""),"")</f>
        <v/>
      </c>
      <c r="B208" s="287">
        <f>IFERROR(IF('Invullen groen'!E221&gt;0,'Invullen groen'!A221,""),"")</f>
        <v/>
      </c>
      <c r="C208" s="287">
        <f>IFERROR(IF('Invullen groen'!E221&gt;0,'Invullen groen'!C221,""),"")</f>
        <v/>
      </c>
      <c r="D208" s="287">
        <f>IFERROR(IF('Invullen groen'!E221&gt;0,'Invullen groen'!D221,""),"")</f>
        <v/>
      </c>
      <c r="E208" s="287">
        <f>IFERROR(IF('Invullen groen'!E221&gt;0,'Invullen groen'!G221,""),"")</f>
        <v/>
      </c>
      <c r="F208" s="364">
        <f>IFERROR(IF('Invullen groen'!L221&lt;&gt;0,'Invullen groen'!L221,""),"")</f>
        <v/>
      </c>
      <c r="G208" s="364">
        <f>IFERROR(IF('Invullen groen'!M221&lt;&gt;0,'Invullen groen'!M221,""),"")</f>
        <v/>
      </c>
      <c r="H208" s="364">
        <f>IFERROR(IF('Invullen groen'!N221&lt;&gt;0,'Invullen groen'!N221,""),"")</f>
        <v/>
      </c>
      <c r="I208" s="364">
        <f>IFERROR(IF('Invullen groen'!O221&lt;&gt;0,'Invullen groen'!O221,""),"")</f>
        <v/>
      </c>
    </row>
    <row r="209" ht="14" customHeight="1">
      <c r="A209" s="287">
        <f>IFERROR(IF('Invullen groen'!E222&gt;0,222-17,""),"")</f>
        <v/>
      </c>
      <c r="B209" s="287">
        <f>IFERROR(IF('Invullen groen'!E222&gt;0,'Invullen groen'!A222,""),"")</f>
        <v/>
      </c>
      <c r="C209" s="287">
        <f>IFERROR(IF('Invullen groen'!E222&gt;0,'Invullen groen'!C222,""),"")</f>
        <v/>
      </c>
      <c r="D209" s="287">
        <f>IFERROR(IF('Invullen groen'!E222&gt;0,'Invullen groen'!D222,""),"")</f>
        <v/>
      </c>
      <c r="E209" s="287">
        <f>IFERROR(IF('Invullen groen'!E222&gt;0,'Invullen groen'!G222,""),"")</f>
        <v/>
      </c>
      <c r="F209" s="364">
        <f>IFERROR(IF('Invullen groen'!L222&lt;&gt;0,'Invullen groen'!L222,""),"")</f>
        <v/>
      </c>
      <c r="G209" s="364">
        <f>IFERROR(IF('Invullen groen'!M222&lt;&gt;0,'Invullen groen'!M222,""),"")</f>
        <v/>
      </c>
      <c r="H209" s="364">
        <f>IFERROR(IF('Invullen groen'!N222&lt;&gt;0,'Invullen groen'!N222,""),"")</f>
        <v/>
      </c>
      <c r="I209" s="364">
        <f>IFERROR(IF('Invullen groen'!O222&lt;&gt;0,'Invullen groen'!O222,""),"")</f>
        <v/>
      </c>
    </row>
    <row r="210" ht="14" customHeight="1">
      <c r="A210" s="287">
        <f>IFERROR(IF('Invullen groen'!E223&gt;0,223-17,""),"")</f>
        <v/>
      </c>
      <c r="B210" s="287">
        <f>IFERROR(IF('Invullen groen'!E223&gt;0,'Invullen groen'!A223,""),"")</f>
        <v/>
      </c>
      <c r="C210" s="287">
        <f>IFERROR(IF('Invullen groen'!E223&gt;0,'Invullen groen'!C223,""),"")</f>
        <v/>
      </c>
      <c r="D210" s="287">
        <f>IFERROR(IF('Invullen groen'!E223&gt;0,'Invullen groen'!D223,""),"")</f>
        <v/>
      </c>
      <c r="E210" s="287">
        <f>IFERROR(IF('Invullen groen'!E223&gt;0,'Invullen groen'!G223,""),"")</f>
        <v/>
      </c>
      <c r="F210" s="364">
        <f>IFERROR(IF('Invullen groen'!L223&lt;&gt;0,'Invullen groen'!L223,""),"")</f>
        <v/>
      </c>
      <c r="G210" s="364">
        <f>IFERROR(IF('Invullen groen'!M223&lt;&gt;0,'Invullen groen'!M223,""),"")</f>
        <v/>
      </c>
      <c r="H210" s="364">
        <f>IFERROR(IF('Invullen groen'!N223&lt;&gt;0,'Invullen groen'!N223,""),"")</f>
        <v/>
      </c>
      <c r="I210" s="364">
        <f>IFERROR(IF('Invullen groen'!O223&lt;&gt;0,'Invullen groen'!O223,""),"")</f>
        <v/>
      </c>
    </row>
    <row r="211" ht="14" customHeight="1">
      <c r="A211" s="287">
        <f>IFERROR(IF('Invullen groen'!E224&gt;0,224-17,""),"")</f>
        <v/>
      </c>
      <c r="B211" s="287">
        <f>IFERROR(IF('Invullen groen'!E224&gt;0,'Invullen groen'!A224,""),"")</f>
        <v/>
      </c>
      <c r="C211" s="287">
        <f>IFERROR(IF('Invullen groen'!E224&gt;0,'Invullen groen'!C224,""),"")</f>
        <v/>
      </c>
      <c r="D211" s="287">
        <f>IFERROR(IF('Invullen groen'!E224&gt;0,'Invullen groen'!D224,""),"")</f>
        <v/>
      </c>
      <c r="E211" s="287">
        <f>IFERROR(IF('Invullen groen'!E224&gt;0,'Invullen groen'!G224,""),"")</f>
        <v/>
      </c>
      <c r="F211" s="364">
        <f>IFERROR(IF('Invullen groen'!L224&lt;&gt;0,'Invullen groen'!L224,""),"")</f>
        <v/>
      </c>
      <c r="G211" s="364">
        <f>IFERROR(IF('Invullen groen'!M224&lt;&gt;0,'Invullen groen'!M224,""),"")</f>
        <v/>
      </c>
      <c r="H211" s="364">
        <f>IFERROR(IF('Invullen groen'!N224&lt;&gt;0,'Invullen groen'!N224,""),"")</f>
        <v/>
      </c>
      <c r="I211" s="364">
        <f>IFERROR(IF('Invullen groen'!O224&lt;&gt;0,'Invullen groen'!O224,""),"")</f>
        <v/>
      </c>
    </row>
    <row r="212" ht="14" customHeight="1">
      <c r="A212" s="287">
        <f>IFERROR(IF('Invullen groen'!E225&gt;0,225-17,""),"")</f>
        <v/>
      </c>
      <c r="B212" s="287">
        <f>IFERROR(IF('Invullen groen'!E225&gt;0,'Invullen groen'!A225,""),"")</f>
        <v/>
      </c>
      <c r="C212" s="287">
        <f>IFERROR(IF('Invullen groen'!E225&gt;0,'Invullen groen'!C225,""),"")</f>
        <v/>
      </c>
      <c r="D212" s="287">
        <f>IFERROR(IF('Invullen groen'!E225&gt;0,'Invullen groen'!D225,""),"")</f>
        <v/>
      </c>
      <c r="E212" s="287">
        <f>IFERROR(IF('Invullen groen'!E225&gt;0,'Invullen groen'!G225,""),"")</f>
        <v/>
      </c>
      <c r="F212" s="364">
        <f>IFERROR(IF('Invullen groen'!L225&lt;&gt;0,'Invullen groen'!L225,""),"")</f>
        <v/>
      </c>
      <c r="G212" s="364">
        <f>IFERROR(IF('Invullen groen'!M225&lt;&gt;0,'Invullen groen'!M225,""),"")</f>
        <v/>
      </c>
      <c r="H212" s="364">
        <f>IFERROR(IF('Invullen groen'!N225&lt;&gt;0,'Invullen groen'!N225,""),"")</f>
        <v/>
      </c>
      <c r="I212" s="364">
        <f>IFERROR(IF('Invullen groen'!O225&lt;&gt;0,'Invullen groen'!O225,""),"")</f>
        <v/>
      </c>
    </row>
    <row r="213" ht="14" customHeight="1">
      <c r="A213" s="287">
        <f>IFERROR(IF('Invullen groen'!E226&gt;0,226-17,""),"")</f>
        <v/>
      </c>
      <c r="B213" s="287">
        <f>IFERROR(IF('Invullen groen'!E226&gt;0,'Invullen groen'!A226,""),"")</f>
        <v/>
      </c>
      <c r="C213" s="287">
        <f>IFERROR(IF('Invullen groen'!E226&gt;0,'Invullen groen'!C226,""),"")</f>
        <v/>
      </c>
      <c r="D213" s="287">
        <f>IFERROR(IF('Invullen groen'!E226&gt;0,'Invullen groen'!D226,""),"")</f>
        <v/>
      </c>
      <c r="E213" s="287">
        <f>IFERROR(IF('Invullen groen'!E226&gt;0,'Invullen groen'!G226,""),"")</f>
        <v/>
      </c>
      <c r="F213" s="364">
        <f>IFERROR(IF('Invullen groen'!L226&lt;&gt;0,'Invullen groen'!L226,""),"")</f>
        <v/>
      </c>
      <c r="G213" s="364">
        <f>IFERROR(IF('Invullen groen'!M226&lt;&gt;0,'Invullen groen'!M226,""),"")</f>
        <v/>
      </c>
      <c r="H213" s="364">
        <f>IFERROR(IF('Invullen groen'!N226&lt;&gt;0,'Invullen groen'!N226,""),"")</f>
        <v/>
      </c>
      <c r="I213" s="364">
        <f>IFERROR(IF('Invullen groen'!O226&lt;&gt;0,'Invullen groen'!O226,""),"")</f>
        <v/>
      </c>
    </row>
    <row r="214" ht="14" customHeight="1">
      <c r="A214" s="287">
        <f>IFERROR(IF('Invullen groen'!E227&gt;0,227-17,""),"")</f>
        <v/>
      </c>
      <c r="B214" s="287">
        <f>IFERROR(IF('Invullen groen'!E227&gt;0,'Invullen groen'!A227,""),"")</f>
        <v/>
      </c>
      <c r="C214" s="287">
        <f>IFERROR(IF('Invullen groen'!E227&gt;0,'Invullen groen'!C227,""),"")</f>
        <v/>
      </c>
      <c r="D214" s="287">
        <f>IFERROR(IF('Invullen groen'!E227&gt;0,'Invullen groen'!D227,""),"")</f>
        <v/>
      </c>
      <c r="E214" s="287">
        <f>IFERROR(IF('Invullen groen'!E227&gt;0,'Invullen groen'!G227,""),"")</f>
        <v/>
      </c>
      <c r="F214" s="364">
        <f>IFERROR(IF('Invullen groen'!L227&lt;&gt;0,'Invullen groen'!L227,""),"")</f>
        <v/>
      </c>
      <c r="G214" s="364">
        <f>IFERROR(IF('Invullen groen'!M227&lt;&gt;0,'Invullen groen'!M227,""),"")</f>
        <v/>
      </c>
      <c r="H214" s="364">
        <f>IFERROR(IF('Invullen groen'!N227&lt;&gt;0,'Invullen groen'!N227,""),"")</f>
        <v/>
      </c>
      <c r="I214" s="364">
        <f>IFERROR(IF('Invullen groen'!O227&lt;&gt;0,'Invullen groen'!O227,""),"")</f>
        <v/>
      </c>
    </row>
    <row r="215" ht="14" customHeight="1">
      <c r="A215" s="287">
        <f>IFERROR(IF('Invullen groen'!E228&gt;0,228-17,""),"")</f>
        <v/>
      </c>
      <c r="B215" s="287">
        <f>IFERROR(IF('Invullen groen'!E228&gt;0,'Invullen groen'!A228,""),"")</f>
        <v/>
      </c>
      <c r="C215" s="287">
        <f>IFERROR(IF('Invullen groen'!E228&gt;0,'Invullen groen'!C228,""),"")</f>
        <v/>
      </c>
      <c r="D215" s="287">
        <f>IFERROR(IF('Invullen groen'!E228&gt;0,'Invullen groen'!D228,""),"")</f>
        <v/>
      </c>
      <c r="E215" s="287">
        <f>IFERROR(IF('Invullen groen'!E228&gt;0,'Invullen groen'!G228,""),"")</f>
        <v/>
      </c>
      <c r="F215" s="364">
        <f>IFERROR(IF('Invullen groen'!L228&lt;&gt;0,'Invullen groen'!L228,""),"")</f>
        <v/>
      </c>
      <c r="G215" s="364">
        <f>IFERROR(IF('Invullen groen'!M228&lt;&gt;0,'Invullen groen'!M228,""),"")</f>
        <v/>
      </c>
      <c r="H215" s="364">
        <f>IFERROR(IF('Invullen groen'!N228&lt;&gt;0,'Invullen groen'!N228,""),"")</f>
        <v/>
      </c>
      <c r="I215" s="364">
        <f>IFERROR(IF('Invullen groen'!O228&lt;&gt;0,'Invullen groen'!O228,""),"")</f>
        <v/>
      </c>
    </row>
    <row r="216" ht="14" customHeight="1">
      <c r="A216" s="287">
        <f>IFERROR(IF('Invullen groen'!E229&gt;0,229-17,""),"")</f>
        <v/>
      </c>
      <c r="B216" s="287">
        <f>IFERROR(IF('Invullen groen'!E229&gt;0,'Invullen groen'!A229,""),"")</f>
        <v/>
      </c>
      <c r="C216" s="287">
        <f>IFERROR(IF('Invullen groen'!E229&gt;0,'Invullen groen'!C229,""),"")</f>
        <v/>
      </c>
      <c r="D216" s="287">
        <f>IFERROR(IF('Invullen groen'!E229&gt;0,'Invullen groen'!D229,""),"")</f>
        <v/>
      </c>
      <c r="E216" s="287">
        <f>IFERROR(IF('Invullen groen'!E229&gt;0,'Invullen groen'!G229,""),"")</f>
        <v/>
      </c>
      <c r="F216" s="364">
        <f>IFERROR(IF('Invullen groen'!L229&lt;&gt;0,'Invullen groen'!L229,""),"")</f>
        <v/>
      </c>
      <c r="G216" s="364">
        <f>IFERROR(IF('Invullen groen'!M229&lt;&gt;0,'Invullen groen'!M229,""),"")</f>
        <v/>
      </c>
      <c r="H216" s="364">
        <f>IFERROR(IF('Invullen groen'!N229&lt;&gt;0,'Invullen groen'!N229,""),"")</f>
        <v/>
      </c>
      <c r="I216" s="364">
        <f>IFERROR(IF('Invullen groen'!O229&lt;&gt;0,'Invullen groen'!O229,""),"")</f>
        <v/>
      </c>
    </row>
    <row r="217" ht="14" customHeight="1">
      <c r="A217" s="287">
        <f>IFERROR(IF('Invullen groen'!E230&gt;0,230-17,""),"")</f>
        <v/>
      </c>
      <c r="B217" s="287">
        <f>IFERROR(IF('Invullen groen'!E230&gt;0,'Invullen groen'!A230,""),"")</f>
        <v/>
      </c>
      <c r="C217" s="287">
        <f>IFERROR(IF('Invullen groen'!E230&gt;0,'Invullen groen'!C230,""),"")</f>
        <v/>
      </c>
      <c r="D217" s="287">
        <f>IFERROR(IF('Invullen groen'!E230&gt;0,'Invullen groen'!D230,""),"")</f>
        <v/>
      </c>
      <c r="E217" s="287">
        <f>IFERROR(IF('Invullen groen'!E230&gt;0,'Invullen groen'!G230,""),"")</f>
        <v/>
      </c>
      <c r="F217" s="364">
        <f>IFERROR(IF('Invullen groen'!L230&lt;&gt;0,'Invullen groen'!L230,""),"")</f>
        <v/>
      </c>
      <c r="G217" s="364">
        <f>IFERROR(IF('Invullen groen'!M230&lt;&gt;0,'Invullen groen'!M230,""),"")</f>
        <v/>
      </c>
      <c r="H217" s="364">
        <f>IFERROR(IF('Invullen groen'!N230&lt;&gt;0,'Invullen groen'!N230,""),"")</f>
        <v/>
      </c>
      <c r="I217" s="364">
        <f>IFERROR(IF('Invullen groen'!O230&lt;&gt;0,'Invullen groen'!O230,""),"")</f>
        <v/>
      </c>
    </row>
    <row r="218" ht="14" customHeight="1">
      <c r="A218" s="287">
        <f>IFERROR(IF('Invullen groen'!E231&gt;0,231-17,""),"")</f>
        <v/>
      </c>
      <c r="B218" s="287">
        <f>IFERROR(IF('Invullen groen'!E231&gt;0,'Invullen groen'!A231,""),"")</f>
        <v/>
      </c>
      <c r="C218" s="287">
        <f>IFERROR(IF('Invullen groen'!E231&gt;0,'Invullen groen'!C231,""),"")</f>
        <v/>
      </c>
      <c r="D218" s="287">
        <f>IFERROR(IF('Invullen groen'!E231&gt;0,'Invullen groen'!D231,""),"")</f>
        <v/>
      </c>
      <c r="E218" s="287">
        <f>IFERROR(IF('Invullen groen'!E231&gt;0,'Invullen groen'!G231,""),"")</f>
        <v/>
      </c>
      <c r="F218" s="364">
        <f>IFERROR(IF('Invullen groen'!L231&lt;&gt;0,'Invullen groen'!L231,""),"")</f>
        <v/>
      </c>
      <c r="G218" s="364">
        <f>IFERROR(IF('Invullen groen'!M231&lt;&gt;0,'Invullen groen'!M231,""),"")</f>
        <v/>
      </c>
      <c r="H218" s="364">
        <f>IFERROR(IF('Invullen groen'!N231&lt;&gt;0,'Invullen groen'!N231,""),"")</f>
        <v/>
      </c>
      <c r="I218" s="364">
        <f>IFERROR(IF('Invullen groen'!O231&lt;&gt;0,'Invullen groen'!O231,""),"")</f>
        <v/>
      </c>
    </row>
    <row r="219" ht="14" customHeight="1">
      <c r="A219" s="287">
        <f>IFERROR(IF('Invullen groen'!E232&gt;0,232-17,""),"")</f>
        <v/>
      </c>
      <c r="B219" s="287">
        <f>IFERROR(IF('Invullen groen'!E232&gt;0,'Invullen groen'!A232,""),"")</f>
        <v/>
      </c>
      <c r="C219" s="287">
        <f>IFERROR(IF('Invullen groen'!E232&gt;0,'Invullen groen'!C232,""),"")</f>
        <v/>
      </c>
      <c r="D219" s="287">
        <f>IFERROR(IF('Invullen groen'!E232&gt;0,'Invullen groen'!D232,""),"")</f>
        <v/>
      </c>
      <c r="E219" s="287">
        <f>IFERROR(IF('Invullen groen'!E232&gt;0,'Invullen groen'!G232,""),"")</f>
        <v/>
      </c>
      <c r="F219" s="364">
        <f>IFERROR(IF('Invullen groen'!L232&lt;&gt;0,'Invullen groen'!L232,""),"")</f>
        <v/>
      </c>
      <c r="G219" s="364">
        <f>IFERROR(IF('Invullen groen'!M232&lt;&gt;0,'Invullen groen'!M232,""),"")</f>
        <v/>
      </c>
      <c r="H219" s="364">
        <f>IFERROR(IF('Invullen groen'!N232&lt;&gt;0,'Invullen groen'!N232,""),"")</f>
        <v/>
      </c>
      <c r="I219" s="364">
        <f>IFERROR(IF('Invullen groen'!O232&lt;&gt;0,'Invullen groen'!O232,""),"")</f>
        <v/>
      </c>
    </row>
    <row r="220" ht="14" customHeight="1">
      <c r="A220" s="287">
        <f>IFERROR(IF('Invullen groen'!E233&gt;0,233-17,""),"")</f>
        <v/>
      </c>
      <c r="B220" s="287">
        <f>IFERROR(IF('Invullen groen'!E233&gt;0,'Invullen groen'!A233,""),"")</f>
        <v/>
      </c>
      <c r="C220" s="287">
        <f>IFERROR(IF('Invullen groen'!E233&gt;0,'Invullen groen'!C233,""),"")</f>
        <v/>
      </c>
      <c r="D220" s="287">
        <f>IFERROR(IF('Invullen groen'!E233&gt;0,'Invullen groen'!D233,""),"")</f>
        <v/>
      </c>
      <c r="E220" s="287">
        <f>IFERROR(IF('Invullen groen'!E233&gt;0,'Invullen groen'!G233,""),"")</f>
        <v/>
      </c>
      <c r="F220" s="364">
        <f>IFERROR(IF('Invullen groen'!L233&lt;&gt;0,'Invullen groen'!L233,""),"")</f>
        <v/>
      </c>
      <c r="G220" s="364">
        <f>IFERROR(IF('Invullen groen'!M233&lt;&gt;0,'Invullen groen'!M233,""),"")</f>
        <v/>
      </c>
      <c r="H220" s="364">
        <f>IFERROR(IF('Invullen groen'!N233&lt;&gt;0,'Invullen groen'!N233,""),"")</f>
        <v/>
      </c>
      <c r="I220" s="364">
        <f>IFERROR(IF('Invullen groen'!O233&lt;&gt;0,'Invullen groen'!O233,""),"")</f>
        <v/>
      </c>
    </row>
    <row r="221" ht="14" customHeight="1">
      <c r="A221" s="287">
        <f>IFERROR(IF('Invullen groen'!E234&gt;0,234-17,""),"")</f>
        <v/>
      </c>
      <c r="B221" s="287">
        <f>IFERROR(IF('Invullen groen'!E234&gt;0,'Invullen groen'!A234,""),"")</f>
        <v/>
      </c>
      <c r="C221" s="287">
        <f>IFERROR(IF('Invullen groen'!E234&gt;0,'Invullen groen'!C234,""),"")</f>
        <v/>
      </c>
      <c r="D221" s="287">
        <f>IFERROR(IF('Invullen groen'!E234&gt;0,'Invullen groen'!D234,""),"")</f>
        <v/>
      </c>
      <c r="E221" s="287">
        <f>IFERROR(IF('Invullen groen'!E234&gt;0,'Invullen groen'!G234,""),"")</f>
        <v/>
      </c>
      <c r="F221" s="364">
        <f>IFERROR(IF('Invullen groen'!L234&lt;&gt;0,'Invullen groen'!L234,""),"")</f>
        <v/>
      </c>
      <c r="G221" s="364">
        <f>IFERROR(IF('Invullen groen'!M234&lt;&gt;0,'Invullen groen'!M234,""),"")</f>
        <v/>
      </c>
      <c r="H221" s="364">
        <f>IFERROR(IF('Invullen groen'!N234&lt;&gt;0,'Invullen groen'!N234,""),"")</f>
        <v/>
      </c>
      <c r="I221" s="364">
        <f>IFERROR(IF('Invullen groen'!O234&lt;&gt;0,'Invullen groen'!O234,""),"")</f>
        <v/>
      </c>
    </row>
    <row r="222" ht="14" customHeight="1">
      <c r="A222" s="287">
        <f>IFERROR(IF('Invullen groen'!E235&gt;0,235-17,""),"")</f>
        <v/>
      </c>
      <c r="B222" s="287">
        <f>IFERROR(IF('Invullen groen'!E235&gt;0,'Invullen groen'!A235,""),"")</f>
        <v/>
      </c>
      <c r="C222" s="287">
        <f>IFERROR(IF('Invullen groen'!E235&gt;0,'Invullen groen'!C235,""),"")</f>
        <v/>
      </c>
      <c r="D222" s="287">
        <f>IFERROR(IF('Invullen groen'!E235&gt;0,'Invullen groen'!D235,""),"")</f>
        <v/>
      </c>
      <c r="E222" s="287">
        <f>IFERROR(IF('Invullen groen'!E235&gt;0,'Invullen groen'!G235,""),"")</f>
        <v/>
      </c>
      <c r="F222" s="364">
        <f>IFERROR(IF('Invullen groen'!L235&lt;&gt;0,'Invullen groen'!L235,""),"")</f>
        <v/>
      </c>
      <c r="G222" s="364">
        <f>IFERROR(IF('Invullen groen'!M235&lt;&gt;0,'Invullen groen'!M235,""),"")</f>
        <v/>
      </c>
      <c r="H222" s="364">
        <f>IFERROR(IF('Invullen groen'!N235&lt;&gt;0,'Invullen groen'!N235,""),"")</f>
        <v/>
      </c>
      <c r="I222" s="364">
        <f>IFERROR(IF('Invullen groen'!O235&lt;&gt;0,'Invullen groen'!O235,""),"")</f>
        <v/>
      </c>
    </row>
    <row r="223" ht="14" customHeight="1">
      <c r="A223" s="287">
        <f>IFERROR(IF('Invullen groen'!E236&gt;0,236-17,""),"")</f>
        <v/>
      </c>
      <c r="B223" s="287">
        <f>IFERROR(IF('Invullen groen'!E236&gt;0,'Invullen groen'!A236,""),"")</f>
        <v/>
      </c>
      <c r="C223" s="287">
        <f>IFERROR(IF('Invullen groen'!E236&gt;0,'Invullen groen'!C236,""),"")</f>
        <v/>
      </c>
      <c r="D223" s="287">
        <f>IFERROR(IF('Invullen groen'!E236&gt;0,'Invullen groen'!D236,""),"")</f>
        <v/>
      </c>
      <c r="E223" s="287">
        <f>IFERROR(IF('Invullen groen'!E236&gt;0,'Invullen groen'!G236,""),"")</f>
        <v/>
      </c>
      <c r="F223" s="364">
        <f>IFERROR(IF('Invullen groen'!L236&lt;&gt;0,'Invullen groen'!L236,""),"")</f>
        <v/>
      </c>
      <c r="G223" s="364">
        <f>IFERROR(IF('Invullen groen'!M236&lt;&gt;0,'Invullen groen'!M236,""),"")</f>
        <v/>
      </c>
      <c r="H223" s="364">
        <f>IFERROR(IF('Invullen groen'!N236&lt;&gt;0,'Invullen groen'!N236,""),"")</f>
        <v/>
      </c>
      <c r="I223" s="364">
        <f>IFERROR(IF('Invullen groen'!O236&lt;&gt;0,'Invullen groen'!O236,""),"")</f>
        <v/>
      </c>
    </row>
    <row r="224" ht="14" customHeight="1">
      <c r="A224" s="287">
        <f>IFERROR(IF('Invullen groen'!E237&gt;0,237-17,""),"")</f>
        <v/>
      </c>
      <c r="B224" s="287">
        <f>IFERROR(IF('Invullen groen'!E237&gt;0,'Invullen groen'!A237,""),"")</f>
        <v/>
      </c>
      <c r="C224" s="287">
        <f>IFERROR(IF('Invullen groen'!E237&gt;0,'Invullen groen'!C237,""),"")</f>
        <v/>
      </c>
      <c r="D224" s="287">
        <f>IFERROR(IF('Invullen groen'!E237&gt;0,'Invullen groen'!D237,""),"")</f>
        <v/>
      </c>
      <c r="E224" s="287">
        <f>IFERROR(IF('Invullen groen'!E237&gt;0,'Invullen groen'!G237,""),"")</f>
        <v/>
      </c>
      <c r="F224" s="364">
        <f>IFERROR(IF('Invullen groen'!L237&lt;&gt;0,'Invullen groen'!L237,""),"")</f>
        <v/>
      </c>
      <c r="G224" s="364">
        <f>IFERROR(IF('Invullen groen'!M237&lt;&gt;0,'Invullen groen'!M237,""),"")</f>
        <v/>
      </c>
      <c r="H224" s="364">
        <f>IFERROR(IF('Invullen groen'!N237&lt;&gt;0,'Invullen groen'!N237,""),"")</f>
        <v/>
      </c>
      <c r="I224" s="364">
        <f>IFERROR(IF('Invullen groen'!O237&lt;&gt;0,'Invullen groen'!O237,""),"")</f>
        <v/>
      </c>
    </row>
    <row r="225" ht="14" customHeight="1">
      <c r="A225" s="287">
        <f>IFERROR(IF('Invullen groen'!E238&gt;0,238-17,""),"")</f>
        <v/>
      </c>
      <c r="B225" s="287">
        <f>IFERROR(IF('Invullen groen'!E238&gt;0,'Invullen groen'!A238,""),"")</f>
        <v/>
      </c>
      <c r="C225" s="287">
        <f>IFERROR(IF('Invullen groen'!E238&gt;0,'Invullen groen'!C238,""),"")</f>
        <v/>
      </c>
      <c r="D225" s="287">
        <f>IFERROR(IF('Invullen groen'!E238&gt;0,'Invullen groen'!D238,""),"")</f>
        <v/>
      </c>
      <c r="E225" s="287">
        <f>IFERROR(IF('Invullen groen'!E238&gt;0,'Invullen groen'!G238,""),"")</f>
        <v/>
      </c>
      <c r="F225" s="364">
        <f>IFERROR(IF('Invullen groen'!L238&lt;&gt;0,'Invullen groen'!L238,""),"")</f>
        <v/>
      </c>
      <c r="G225" s="364">
        <f>IFERROR(IF('Invullen groen'!M238&lt;&gt;0,'Invullen groen'!M238,""),"")</f>
        <v/>
      </c>
      <c r="H225" s="364">
        <f>IFERROR(IF('Invullen groen'!N238&lt;&gt;0,'Invullen groen'!N238,""),"")</f>
        <v/>
      </c>
      <c r="I225" s="364">
        <f>IFERROR(IF('Invullen groen'!O238&lt;&gt;0,'Invullen groen'!O238,""),"")</f>
        <v/>
      </c>
    </row>
    <row r="226" ht="14" customHeight="1">
      <c r="A226" s="287">
        <f>IFERROR(IF('Invullen groen'!E239&gt;0,239-17,""),"")</f>
        <v/>
      </c>
      <c r="B226" s="287">
        <f>IFERROR(IF('Invullen groen'!E239&gt;0,'Invullen groen'!A239,""),"")</f>
        <v/>
      </c>
      <c r="C226" s="287">
        <f>IFERROR(IF('Invullen groen'!E239&gt;0,'Invullen groen'!C239,""),"")</f>
        <v/>
      </c>
      <c r="D226" s="287">
        <f>IFERROR(IF('Invullen groen'!E239&gt;0,'Invullen groen'!D239,""),"")</f>
        <v/>
      </c>
      <c r="E226" s="287">
        <f>IFERROR(IF('Invullen groen'!E239&gt;0,'Invullen groen'!G239,""),"")</f>
        <v/>
      </c>
      <c r="F226" s="364">
        <f>IFERROR(IF('Invullen groen'!L239&lt;&gt;0,'Invullen groen'!L239,""),"")</f>
        <v/>
      </c>
      <c r="G226" s="364">
        <f>IFERROR(IF('Invullen groen'!M239&lt;&gt;0,'Invullen groen'!M239,""),"")</f>
        <v/>
      </c>
      <c r="H226" s="364">
        <f>IFERROR(IF('Invullen groen'!N239&lt;&gt;0,'Invullen groen'!N239,""),"")</f>
        <v/>
      </c>
      <c r="I226" s="364">
        <f>IFERROR(IF('Invullen groen'!O239&lt;&gt;0,'Invullen groen'!O239,""),"")</f>
        <v/>
      </c>
    </row>
    <row r="227" ht="14" customHeight="1">
      <c r="A227" s="287">
        <f>IFERROR(IF('Invullen groen'!E240&gt;0,240-17,""),"")</f>
        <v/>
      </c>
      <c r="B227" s="287">
        <f>IFERROR(IF('Invullen groen'!E240&gt;0,'Invullen groen'!A240,""),"")</f>
        <v/>
      </c>
      <c r="C227" s="287">
        <f>IFERROR(IF('Invullen groen'!E240&gt;0,'Invullen groen'!C240,""),"")</f>
        <v/>
      </c>
      <c r="D227" s="287">
        <f>IFERROR(IF('Invullen groen'!E240&gt;0,'Invullen groen'!D240,""),"")</f>
        <v/>
      </c>
      <c r="E227" s="287">
        <f>IFERROR(IF('Invullen groen'!E240&gt;0,'Invullen groen'!G240,""),"")</f>
        <v/>
      </c>
      <c r="F227" s="364">
        <f>IFERROR(IF('Invullen groen'!L240&lt;&gt;0,'Invullen groen'!L240,""),"")</f>
        <v/>
      </c>
      <c r="G227" s="364">
        <f>IFERROR(IF('Invullen groen'!M240&lt;&gt;0,'Invullen groen'!M240,""),"")</f>
        <v/>
      </c>
      <c r="H227" s="364">
        <f>IFERROR(IF('Invullen groen'!N240&lt;&gt;0,'Invullen groen'!N240,""),"")</f>
        <v/>
      </c>
      <c r="I227" s="364">
        <f>IFERROR(IF('Invullen groen'!O240&lt;&gt;0,'Invullen groen'!O240,""),"")</f>
        <v/>
      </c>
    </row>
    <row r="228" ht="14" customHeight="1">
      <c r="A228" s="287">
        <f>IFERROR(IF('Invullen groen'!E241&gt;0,241-17,""),"")</f>
        <v/>
      </c>
      <c r="B228" s="287">
        <f>IFERROR(IF('Invullen groen'!E241&gt;0,'Invullen groen'!A241,""),"")</f>
        <v/>
      </c>
      <c r="C228" s="287">
        <f>IFERROR(IF('Invullen groen'!E241&gt;0,'Invullen groen'!C241,""),"")</f>
        <v/>
      </c>
      <c r="D228" s="287">
        <f>IFERROR(IF('Invullen groen'!E241&gt;0,'Invullen groen'!D241,""),"")</f>
        <v/>
      </c>
      <c r="E228" s="287">
        <f>IFERROR(IF('Invullen groen'!E241&gt;0,'Invullen groen'!G241,""),"")</f>
        <v/>
      </c>
      <c r="F228" s="364">
        <f>IFERROR(IF('Invullen groen'!L241&lt;&gt;0,'Invullen groen'!L241,""),"")</f>
        <v/>
      </c>
      <c r="G228" s="364">
        <f>IFERROR(IF('Invullen groen'!M241&lt;&gt;0,'Invullen groen'!M241,""),"")</f>
        <v/>
      </c>
      <c r="H228" s="364">
        <f>IFERROR(IF('Invullen groen'!N241&lt;&gt;0,'Invullen groen'!N241,""),"")</f>
        <v/>
      </c>
      <c r="I228" s="364">
        <f>IFERROR(IF('Invullen groen'!O241&lt;&gt;0,'Invullen groen'!O241,""),"")</f>
        <v/>
      </c>
    </row>
    <row r="229">
      <c r="F229" s="360" t="n"/>
      <c r="G229" s="360" t="n"/>
      <c r="H229" s="360" t="n"/>
      <c r="I229" s="360" t="n"/>
    </row>
    <row r="230" ht="15" customHeight="1">
      <c r="A230" s="365" t="inlineStr">
        <is>
          <t>Totaal lasten</t>
        </is>
      </c>
      <c r="B230" s="312" t="n"/>
      <c r="C230" s="312" t="n"/>
      <c r="D230" s="312" t="n"/>
      <c r="E230" s="312" t="n"/>
      <c r="F230" s="366">
        <f>SUMIF('Invullen groen'!Q18:Q241,"&gt;0",'Invullen groen'!Q18:Q241)</f>
        <v/>
      </c>
      <c r="G230" s="366">
        <f>SUMIF('Invullen groen'!M18:M241,"&gt;0",'Invullen groen'!Q18:Q241)</f>
        <v/>
      </c>
      <c r="H230" s="366">
        <f>SUMIF('Invullen groen'!N18:N241,"&gt;0",'Invullen groen'!Q18:Q241)</f>
        <v/>
      </c>
      <c r="I230" s="366">
        <f>SUMIF('Invullen groen'!O18:O241,"&gt;0",'Invullen groen'!Q18:Q241)</f>
        <v/>
      </c>
    </row>
    <row r="231" ht="15" customHeight="1">
      <c r="A231" s="367" t="inlineStr">
        <is>
          <t>Totaal baten</t>
        </is>
      </c>
      <c r="B231" s="312" t="n"/>
      <c r="C231" s="312" t="n"/>
      <c r="D231" s="312" t="n"/>
      <c r="E231" s="312" t="n"/>
      <c r="F231" s="368">
        <f>SUMIF('Invullen groen'!R18:R241,"&lt;&gt;0",'Invullen groen'!R18:R241)</f>
        <v/>
      </c>
      <c r="G231" s="368">
        <f>SUMIF('Invullen groen'!M18:M241,"&lt;&gt;0",'Invullen groen'!R18:R241)</f>
        <v/>
      </c>
      <c r="H231" s="368">
        <f>SUMIF('Invullen groen'!N18:N241,"&lt;&gt;0",'Invullen groen'!R18:R241)</f>
        <v/>
      </c>
      <c r="I231" s="368">
        <f>SUMIF('Invullen groen'!O18:O241,"&lt;&gt;0",'Invullen groen'!R18:R241)</f>
        <v/>
      </c>
    </row>
    <row r="232" ht="18" customHeight="1">
      <c r="A232" s="369" t="inlineStr">
        <is>
          <t>Saldo (lasten + baten)</t>
        </is>
      </c>
      <c r="B232" s="312" t="n"/>
      <c r="C232" s="312" t="n"/>
      <c r="D232" s="312" t="n"/>
      <c r="E232" s="312" t="n"/>
      <c r="F232" s="370">
        <f>F230+F231</f>
        <v/>
      </c>
      <c r="G232" s="370">
        <f>G230+G231</f>
        <v/>
      </c>
      <c r="H232" s="370">
        <f>H230+H231</f>
        <v/>
      </c>
      <c r="I232" s="370">
        <f>I230+I231</f>
        <v/>
      </c>
    </row>
    <row r="233">
      <c r="F233" s="360" t="n"/>
      <c r="G233" s="360" t="n"/>
      <c r="H233" s="360" t="n"/>
      <c r="I233" s="360" t="n"/>
    </row>
    <row r="234">
      <c r="A234" s="298" t="inlineStr">
        <is>
          <t>Automatisch bijgewerkt vanuit tabblad 'Invullen groen' — geen invoer op dit tabblad.  -/- = baten</t>
        </is>
      </c>
    </row>
  </sheetData>
  <mergeCells count="6">
    <mergeCell ref="A2:F2"/>
    <mergeCell ref="A231:E231"/>
    <mergeCell ref="A232:E232"/>
    <mergeCell ref="A234:I234"/>
    <mergeCell ref="A1:I1"/>
    <mergeCell ref="A230:E2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2" customHeight="1">
      <c r="A1" s="282" t="inlineStr">
        <is>
          <t>Samenvatting per programma</t>
        </is>
      </c>
    </row>
    <row r="2" ht="16" customHeight="1">
      <c r="A2" s="283">
        <f>'Invullen groen'!A4</f>
        <v/>
      </c>
      <c r="E2" s="284" t="n"/>
      <c r="F2" s="284" t="n"/>
      <c r="G2" s="284" t="n"/>
    </row>
    <row r="3" ht="6" customHeight="1"/>
    <row r="4" ht="18" customHeight="1">
      <c r="A4" s="285" t="inlineStr">
        <is>
          <t>Programma</t>
        </is>
      </c>
      <c r="B4" s="286" t="inlineStr">
        <is>
          <t>Lasten 2026</t>
        </is>
      </c>
      <c r="C4" s="286" t="inlineStr">
        <is>
          <t>Baten 2026</t>
        </is>
      </c>
      <c r="D4" s="286" t="inlineStr">
        <is>
          <t>Saldo 2026</t>
        </is>
      </c>
      <c r="E4" s="286" t="inlineStr">
        <is>
          <t>MJR 2027</t>
        </is>
      </c>
      <c r="F4" s="286" t="inlineStr">
        <is>
          <t>MJR 2028</t>
        </is>
      </c>
      <c r="G4" s="286" t="inlineStr">
        <is>
          <t>MJR 2029</t>
        </is>
      </c>
    </row>
    <row r="5" ht="14" customHeight="1">
      <c r="A5" s="287" t="inlineStr">
        <is>
          <t>Bestuur En Ondersteuning</t>
        </is>
      </c>
      <c r="B5" s="364">
        <f>IFERROR(SUMPRODUCT((IFERROR(VLOOKUP('Invullen groen'!E18:E74,Tabellen!A:D,4,0),"")="bestuur en ondersteuning")*('Invullen groen'!L18:L74&gt;0)*'Invullen groen'!L18:L74),0)</f>
        <v/>
      </c>
      <c r="C5" s="364">
        <f>IFERROR(SUMPRODUCT((IFERROR(VLOOKUP('Invullen groen'!E18:E74,Tabellen!A:D,4,0),"")="bestuur en ondersteuning")*('Invullen groen'!L18:L74&lt;0)*'Invullen groen'!L18:L74),0)</f>
        <v/>
      </c>
      <c r="D5" s="371">
        <f>B5+C5</f>
        <v/>
      </c>
      <c r="E5" s="364">
        <f>IFERROR(SUMPRODUCT((IFERROR(VLOOKUP('Invullen groen'!E18:E74,Tabellen!A:D,4,0),"")="bestuur en ondersteuning")*IFERROR('Invullen groen'!M18:M74*1,0)),0)</f>
        <v/>
      </c>
      <c r="F5" s="364">
        <f>IFERROR(SUMPRODUCT((IFERROR(VLOOKUP('Invullen groen'!E18:E74,Tabellen!A:D,4,0),"")="bestuur en ondersteuning")*IFERROR('Invullen groen'!N18:N74*1,0)),0)</f>
        <v/>
      </c>
      <c r="G5" s="364">
        <f>IFERROR(SUMPRODUCT((IFERROR(VLOOKUP('Invullen groen'!E18:E74,Tabellen!A:D,4,0),"")="bestuur en ondersteuning")*IFERROR('Invullen groen'!O18:O74*1,0)),0)</f>
        <v/>
      </c>
    </row>
    <row r="6" ht="14" customHeight="1">
      <c r="A6" s="287" t="inlineStr">
        <is>
          <t>Veiligheid</t>
        </is>
      </c>
      <c r="B6" s="364">
        <f>IFERROR(SUMPRODUCT((IFERROR(VLOOKUP('Invullen groen'!E18:E74,Tabellen!A:D,4,0),"")="veiligheid")*('Invullen groen'!L18:L74&gt;0)*'Invullen groen'!L18:L74),0)</f>
        <v/>
      </c>
      <c r="C6" s="364">
        <f>IFERROR(SUMPRODUCT((IFERROR(VLOOKUP('Invullen groen'!E18:E74,Tabellen!A:D,4,0),"")="veiligheid")*('Invullen groen'!L18:L74&lt;0)*'Invullen groen'!L18:L74),0)</f>
        <v/>
      </c>
      <c r="D6" s="371">
        <f>B6+C6</f>
        <v/>
      </c>
      <c r="E6" s="364">
        <f>IFERROR(SUMPRODUCT((IFERROR(VLOOKUP('Invullen groen'!E18:E74,Tabellen!A:D,4,0),"")="veiligheid")*IFERROR('Invullen groen'!M18:M74*1,0)),0)</f>
        <v/>
      </c>
      <c r="F6" s="364">
        <f>IFERROR(SUMPRODUCT((IFERROR(VLOOKUP('Invullen groen'!E18:E74,Tabellen!A:D,4,0),"")="veiligheid")*IFERROR('Invullen groen'!N18:N74*1,0)),0)</f>
        <v/>
      </c>
      <c r="G6" s="364">
        <f>IFERROR(SUMPRODUCT((IFERROR(VLOOKUP('Invullen groen'!E18:E74,Tabellen!A:D,4,0),"")="veiligheid")*IFERROR('Invullen groen'!O18:O74*1,0)),0)</f>
        <v/>
      </c>
    </row>
    <row r="7" ht="14" customHeight="1">
      <c r="A7" s="287" t="inlineStr">
        <is>
          <t>Verkeer, Vervoer En Waterstaat</t>
        </is>
      </c>
      <c r="B7" s="364">
        <f>IFERROR(SUMPRODUCT((IFERROR(VLOOKUP('Invullen groen'!E18:E74,Tabellen!A:D,4,0),"")="verkeer, vervoer en waterstaat")*('Invullen groen'!L18:L74&gt;0)*'Invullen groen'!L18:L74),0)</f>
        <v/>
      </c>
      <c r="C7" s="364">
        <f>IFERROR(SUMPRODUCT((IFERROR(VLOOKUP('Invullen groen'!E18:E74,Tabellen!A:D,4,0),"")="verkeer, vervoer en waterstaat")*('Invullen groen'!L18:L74&lt;0)*'Invullen groen'!L18:L74),0)</f>
        <v/>
      </c>
      <c r="D7" s="371">
        <f>B7+C7</f>
        <v/>
      </c>
      <c r="E7" s="364">
        <f>IFERROR(SUMPRODUCT((IFERROR(VLOOKUP('Invullen groen'!E18:E74,Tabellen!A:D,4,0),"")="verkeer, vervoer en waterstaat")*IFERROR('Invullen groen'!M18:M74*1,0)),0)</f>
        <v/>
      </c>
      <c r="F7" s="364">
        <f>IFERROR(SUMPRODUCT((IFERROR(VLOOKUP('Invullen groen'!E18:E74,Tabellen!A:D,4,0),"")="verkeer, vervoer en waterstaat")*IFERROR('Invullen groen'!N18:N74*1,0)),0)</f>
        <v/>
      </c>
      <c r="G7" s="364">
        <f>IFERROR(SUMPRODUCT((IFERROR(VLOOKUP('Invullen groen'!E18:E74,Tabellen!A:D,4,0),"")="verkeer, vervoer en waterstaat")*IFERROR('Invullen groen'!O18:O74*1,0)),0)</f>
        <v/>
      </c>
    </row>
    <row r="8" ht="14" customHeight="1">
      <c r="A8" s="287" t="inlineStr">
        <is>
          <t>Economie</t>
        </is>
      </c>
      <c r="B8" s="364">
        <f>IFERROR(SUMPRODUCT((IFERROR(VLOOKUP('Invullen groen'!E18:E74,Tabellen!A:D,4,0),"")="economie")*('Invullen groen'!L18:L74&gt;0)*'Invullen groen'!L18:L74),0)</f>
        <v/>
      </c>
      <c r="C8" s="364">
        <f>IFERROR(SUMPRODUCT((IFERROR(VLOOKUP('Invullen groen'!E18:E74,Tabellen!A:D,4,0),"")="economie")*('Invullen groen'!L18:L74&lt;0)*'Invullen groen'!L18:L74),0)</f>
        <v/>
      </c>
      <c r="D8" s="371">
        <f>B8+C8</f>
        <v/>
      </c>
      <c r="E8" s="364">
        <f>IFERROR(SUMPRODUCT((IFERROR(VLOOKUP('Invullen groen'!E18:E74,Tabellen!A:D,4,0),"")="economie")*IFERROR('Invullen groen'!M18:M74*1,0)),0)</f>
        <v/>
      </c>
      <c r="F8" s="364">
        <f>IFERROR(SUMPRODUCT((IFERROR(VLOOKUP('Invullen groen'!E18:E74,Tabellen!A:D,4,0),"")="economie")*IFERROR('Invullen groen'!N18:N74*1,0)),0)</f>
        <v/>
      </c>
      <c r="G8" s="364">
        <f>IFERROR(SUMPRODUCT((IFERROR(VLOOKUP('Invullen groen'!E18:E74,Tabellen!A:D,4,0),"")="economie")*IFERROR('Invullen groen'!O18:O74*1,0)),0)</f>
        <v/>
      </c>
    </row>
    <row r="9" ht="14" customHeight="1">
      <c r="A9" s="287" t="inlineStr">
        <is>
          <t>Onderwijs</t>
        </is>
      </c>
      <c r="B9" s="364">
        <f>IFERROR(SUMPRODUCT((IFERROR(VLOOKUP('Invullen groen'!E18:E74,Tabellen!A:D,4,0),"")="onderwijs")*('Invullen groen'!L18:L74&gt;0)*'Invullen groen'!L18:L74),0)</f>
        <v/>
      </c>
      <c r="C9" s="364">
        <f>IFERROR(SUMPRODUCT((IFERROR(VLOOKUP('Invullen groen'!E18:E74,Tabellen!A:D,4,0),"")="onderwijs")*('Invullen groen'!L18:L74&lt;0)*'Invullen groen'!L18:L74),0)</f>
        <v/>
      </c>
      <c r="D9" s="371">
        <f>B9+C9</f>
        <v/>
      </c>
      <c r="E9" s="364">
        <f>IFERROR(SUMPRODUCT((IFERROR(VLOOKUP('Invullen groen'!E18:E74,Tabellen!A:D,4,0),"")="onderwijs")*IFERROR('Invullen groen'!M18:M74*1,0)),0)</f>
        <v/>
      </c>
      <c r="F9" s="364">
        <f>IFERROR(SUMPRODUCT((IFERROR(VLOOKUP('Invullen groen'!E18:E74,Tabellen!A:D,4,0),"")="onderwijs")*IFERROR('Invullen groen'!N18:N74*1,0)),0)</f>
        <v/>
      </c>
      <c r="G9" s="364">
        <f>IFERROR(SUMPRODUCT((IFERROR(VLOOKUP('Invullen groen'!E18:E74,Tabellen!A:D,4,0),"")="onderwijs")*IFERROR('Invullen groen'!O18:O74*1,0)),0)</f>
        <v/>
      </c>
    </row>
    <row r="10" ht="14" customHeight="1">
      <c r="A10" s="287" t="inlineStr">
        <is>
          <t>Sport, Cultuur En Recreatie</t>
        </is>
      </c>
      <c r="B10" s="364">
        <f>IFERROR(SUMPRODUCT((IFERROR(VLOOKUP('Invullen groen'!E18:E74,Tabellen!A:D,4,0),"")="sport, cultuur en recreatie")*('Invullen groen'!L18:L74&gt;0)*'Invullen groen'!L18:L74),0)</f>
        <v/>
      </c>
      <c r="C10" s="364">
        <f>IFERROR(SUMPRODUCT((IFERROR(VLOOKUP('Invullen groen'!E18:E74,Tabellen!A:D,4,0),"")="sport, cultuur en recreatie")*('Invullen groen'!L18:L74&lt;0)*'Invullen groen'!L18:L74),0)</f>
        <v/>
      </c>
      <c r="D10" s="371">
        <f>B10+C10</f>
        <v/>
      </c>
      <c r="E10" s="364">
        <f>IFERROR(SUMPRODUCT((IFERROR(VLOOKUP('Invullen groen'!E18:E74,Tabellen!A:D,4,0),"")="sport, cultuur en recreatie")*IFERROR('Invullen groen'!M18:M74*1,0)),0)</f>
        <v/>
      </c>
      <c r="F10" s="364">
        <f>IFERROR(SUMPRODUCT((IFERROR(VLOOKUP('Invullen groen'!E18:E74,Tabellen!A:D,4,0),"")="sport, cultuur en recreatie")*IFERROR('Invullen groen'!N18:N74*1,0)),0)</f>
        <v/>
      </c>
      <c r="G10" s="364">
        <f>IFERROR(SUMPRODUCT((IFERROR(VLOOKUP('Invullen groen'!E18:E74,Tabellen!A:D,4,0),"")="sport, cultuur en recreatie")*IFERROR('Invullen groen'!O18:O74*1,0)),0)</f>
        <v/>
      </c>
    </row>
    <row r="11" ht="14" customHeight="1">
      <c r="A11" s="287" t="inlineStr">
        <is>
          <t>Sociaal Domein</t>
        </is>
      </c>
      <c r="B11" s="364">
        <f>IFERROR(SUMPRODUCT((IFERROR(VLOOKUP('Invullen groen'!E18:E74,Tabellen!A:D,4,0),"")="sociaal domein")*('Invullen groen'!L18:L74&gt;0)*'Invullen groen'!L18:L74),0)</f>
        <v/>
      </c>
      <c r="C11" s="364">
        <f>IFERROR(SUMPRODUCT((IFERROR(VLOOKUP('Invullen groen'!E18:E74,Tabellen!A:D,4,0),"")="sociaal domein")*('Invullen groen'!L18:L74&lt;0)*'Invullen groen'!L18:L74),0)</f>
        <v/>
      </c>
      <c r="D11" s="371">
        <f>B11+C11</f>
        <v/>
      </c>
      <c r="E11" s="364">
        <f>IFERROR(SUMPRODUCT((IFERROR(VLOOKUP('Invullen groen'!E18:E74,Tabellen!A:D,4,0),"")="sociaal domein")*IFERROR('Invullen groen'!M18:M74*1,0)),0)</f>
        <v/>
      </c>
      <c r="F11" s="364">
        <f>IFERROR(SUMPRODUCT((IFERROR(VLOOKUP('Invullen groen'!E18:E74,Tabellen!A:D,4,0),"")="sociaal domein")*IFERROR('Invullen groen'!N18:N74*1,0)),0)</f>
        <v/>
      </c>
      <c r="G11" s="364">
        <f>IFERROR(SUMPRODUCT((IFERROR(VLOOKUP('Invullen groen'!E18:E74,Tabellen!A:D,4,0),"")="sociaal domein")*IFERROR('Invullen groen'!O18:O74*1,0)),0)</f>
        <v/>
      </c>
    </row>
    <row r="12" ht="14" customHeight="1">
      <c r="A12" s="287" t="inlineStr">
        <is>
          <t>Volksgezondheid En Milieu</t>
        </is>
      </c>
      <c r="B12" s="364">
        <f>IFERROR(SUMPRODUCT((IFERROR(VLOOKUP('Invullen groen'!E18:E74,Tabellen!A:D,4,0),"")="volksgezondheid en milieu")*('Invullen groen'!L18:L74&gt;0)*'Invullen groen'!L18:L74),0)</f>
        <v/>
      </c>
      <c r="C12" s="364">
        <f>IFERROR(SUMPRODUCT((IFERROR(VLOOKUP('Invullen groen'!E18:E74,Tabellen!A:D,4,0),"")="volksgezondheid en milieu")*('Invullen groen'!L18:L74&lt;0)*'Invullen groen'!L18:L74),0)</f>
        <v/>
      </c>
      <c r="D12" s="371">
        <f>B12+C12</f>
        <v/>
      </c>
      <c r="E12" s="364">
        <f>IFERROR(SUMPRODUCT((IFERROR(VLOOKUP('Invullen groen'!E18:E74,Tabellen!A:D,4,0),"")="volksgezondheid en milieu")*IFERROR('Invullen groen'!M18:M74*1,0)),0)</f>
        <v/>
      </c>
      <c r="F12" s="364">
        <f>IFERROR(SUMPRODUCT((IFERROR(VLOOKUP('Invullen groen'!E18:E74,Tabellen!A:D,4,0),"")="volksgezondheid en milieu")*IFERROR('Invullen groen'!N18:N74*1,0)),0)</f>
        <v/>
      </c>
      <c r="G12" s="364">
        <f>IFERROR(SUMPRODUCT((IFERROR(VLOOKUP('Invullen groen'!E18:E74,Tabellen!A:D,4,0),"")="volksgezondheid en milieu")*IFERROR('Invullen groen'!O18:O74*1,0)),0)</f>
        <v/>
      </c>
    </row>
    <row r="13" ht="14" customHeight="1">
      <c r="A13" s="287" t="inlineStr">
        <is>
          <t>Volkshuisv., Ro En Stedelijke Vernieuwing</t>
        </is>
      </c>
      <c r="B13" s="364">
        <f>IFERROR(SUMPRODUCT((IFERROR(VLOOKUP('Invullen groen'!E18:E74,Tabellen!A:D,4,0),"")="volkshuisv., ro en stedelijke vernieuwing")*('Invullen groen'!L18:L74&gt;0)*'Invullen groen'!L18:L74),0)</f>
        <v/>
      </c>
      <c r="C13" s="364">
        <f>IFERROR(SUMPRODUCT((IFERROR(VLOOKUP('Invullen groen'!E18:E74,Tabellen!A:D,4,0),"")="volkshuisv., ro en stedelijke vernieuwing")*('Invullen groen'!L18:L74&lt;0)*'Invullen groen'!L18:L74),0)</f>
        <v/>
      </c>
      <c r="D13" s="371">
        <f>B13+C13</f>
        <v/>
      </c>
      <c r="E13" s="364">
        <f>IFERROR(SUMPRODUCT((IFERROR(VLOOKUP('Invullen groen'!E18:E74,Tabellen!A:D,4,0),"")="volkshuisv., ro en stedelijke vernieuwing")*IFERROR('Invullen groen'!M18:M74*1,0)),0)</f>
        <v/>
      </c>
      <c r="F13" s="364">
        <f>IFERROR(SUMPRODUCT((IFERROR(VLOOKUP('Invullen groen'!E18:E74,Tabellen!A:D,4,0),"")="volkshuisv., ro en stedelijke vernieuwing")*IFERROR('Invullen groen'!N18:N74*1,0)),0)</f>
        <v/>
      </c>
      <c r="G13" s="364">
        <f>IFERROR(SUMPRODUCT((IFERROR(VLOOKUP('Invullen groen'!E18:E74,Tabellen!A:D,4,0),"")="volkshuisv., ro en stedelijke vernieuwing")*IFERROR('Invullen groen'!O18:O74*1,0)),0)</f>
        <v/>
      </c>
    </row>
    <row r="14" ht="18" customHeight="1">
      <c r="A14" s="300" t="inlineStr">
        <is>
          <t>Totaal begrotingswijziging</t>
        </is>
      </c>
      <c r="B14" s="372">
        <f>SUM(B5:B13)</f>
        <v/>
      </c>
      <c r="C14" s="372">
        <f>SUM(C5:C13)</f>
        <v/>
      </c>
      <c r="D14" s="372">
        <f>SUM(D5:D13)</f>
        <v/>
      </c>
      <c r="E14" s="372">
        <f>SUM(E5:E13)</f>
        <v/>
      </c>
      <c r="F14" s="372">
        <f>SUM(F5:F13)</f>
        <v/>
      </c>
      <c r="G14" s="372">
        <f>SUM(G5:G13)</f>
        <v/>
      </c>
    </row>
    <row r="15" ht="16" customHeight="1">
      <c r="A15" s="384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5" customHeight="1">
      <c r="A16" s="428" t="inlineStr">
        <is>
          <t>Begin saldo financiële foto (vóór wijziging)</t>
        </is>
      </c>
      <c r="B16" s="386" t="n"/>
      <c r="C16" s="386" t="n"/>
      <c r="D16" s="386" t="n"/>
      <c r="E16" s="386" t="n"/>
      <c r="F16" s="386" t="n"/>
      <c r="G16" s="386" t="n"/>
    </row>
    <row r="17" ht="15" customHeight="1">
      <c r="A17" s="318" t="inlineStr">
        <is>
          <t>Eind saldo financiële foto (ná wijziging)</t>
        </is>
      </c>
      <c r="B17" s="377">
        <f>B16+B14</f>
        <v/>
      </c>
      <c r="C17" s="377">
        <f>C16+C14</f>
        <v/>
      </c>
      <c r="D17" s="377">
        <f>D16+D14</f>
        <v/>
      </c>
      <c r="E17" s="377">
        <f>E16+E14</f>
        <v/>
      </c>
      <c r="F17" s="377">
        <f>F16+F14</f>
        <v/>
      </c>
      <c r="G17" s="377">
        <f>G16+G14</f>
        <v/>
      </c>
    </row>
    <row r="18" ht="24" customHeight="1">
      <c r="A18" s="378" t="inlineStr">
        <is>
          <t>Begin saldo: handmatig invullen vanuit de meest recente financiële foto / meerjarenbegroting. Eind saldo wordt automatisch berekend.</t>
        </is>
      </c>
    </row>
    <row r="20">
      <c r="A20" s="429" t="inlineStr">
        <is>
          <t>Controle exploitatie (moet 0 zijn)</t>
        </is>
      </c>
      <c r="B20" s="430">
        <f>IFERROR('Invullen groen'!L112,0)</f>
        <v/>
      </c>
      <c r="C20" s="394" t="n"/>
      <c r="D20" s="394" t="n"/>
      <c r="E20" s="394" t="n"/>
      <c r="F20" s="394" t="n"/>
      <c r="G20" s="394" t="n"/>
    </row>
  </sheetData>
  <mergeCells count="6">
    <mergeCell ref="A1:G1"/>
    <mergeCell ref="A18:G18"/>
    <mergeCell ref="A16:G16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2" customHeight="1">
      <c r="A1" s="282" t="inlineStr">
        <is>
          <t>Dekkingsoverzicht begrotingswijziging</t>
        </is>
      </c>
    </row>
    <row r="2" ht="16" customHeight="1">
      <c r="A2" s="283">
        <f>'Invullen groen'!A4</f>
        <v/>
      </c>
      <c r="E2" s="284" t="n"/>
      <c r="F2" s="284" t="n"/>
      <c r="G2" s="284" t="n"/>
      <c r="H2" s="362" t="n"/>
    </row>
    <row r="3" ht="6" customHeight="1">
      <c r="D3" s="360" t="n"/>
      <c r="H3" s="36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6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4" customHeight="1">
      <c r="A6" s="287">
        <f>IFERROR(IF('Invullen groen'!L18&gt;0,1,""),"")</f>
        <v/>
      </c>
      <c r="B6" s="287">
        <f>IFERROR(IF('Invullen groen'!L18&gt;0,'Invullen groen'!A18,""),"")</f>
        <v/>
      </c>
      <c r="C6" s="287">
        <f>IFERROR(IF('Invullen groen'!L18&gt;0,'Invullen groen'!G18,""),"")</f>
        <v/>
      </c>
      <c r="D6" s="364">
        <f>IFERROR(IF('Invullen groen'!L18&gt;0,'Invullen groen'!L18,""),"")</f>
        <v/>
      </c>
      <c r="F6" s="287">
        <f>IFERROR(IF('Invullen groen'!L78&lt;&gt;0,'Invullen groen'!A78,""),"")</f>
        <v/>
      </c>
      <c r="G6" s="287">
        <f>IFERROR(IF('Invullen groen'!L78&lt;&gt;0,'Invullen groen'!G78,""),"")</f>
        <v/>
      </c>
      <c r="H6" s="364">
        <f>IFERROR(IF('Invullen groen'!L78&lt;&gt;0,'Invullen groen'!L78,""),"")</f>
        <v/>
      </c>
    </row>
    <row r="7" ht="14" customHeight="1">
      <c r="A7" s="287">
        <f>IFERROR(IF('Invullen groen'!L19&gt;0,2,""),"")</f>
        <v/>
      </c>
      <c r="B7" s="287">
        <f>IFERROR(IF('Invullen groen'!L19&gt;0,'Invullen groen'!A19,""),"")</f>
        <v/>
      </c>
      <c r="C7" s="287">
        <f>IFERROR(IF('Invullen groen'!L19&gt;0,'Invullen groen'!G19,""),"")</f>
        <v/>
      </c>
      <c r="D7" s="364">
        <f>IFERROR(IF('Invullen groen'!L19&gt;0,'Invullen groen'!L19,""),"")</f>
        <v/>
      </c>
      <c r="F7" s="287">
        <f>IFERROR(IF('Invullen groen'!L79&lt;&gt;0,'Invullen groen'!A79,""),"")</f>
        <v/>
      </c>
      <c r="G7" s="287">
        <f>IFERROR(IF('Invullen groen'!L79&lt;&gt;0,'Invullen groen'!G79,""),"")</f>
        <v/>
      </c>
      <c r="H7" s="364">
        <f>IFERROR(IF('Invullen groen'!L79&lt;&gt;0,'Invullen groen'!L79,""),"")</f>
        <v/>
      </c>
    </row>
    <row r="8" ht="14" customHeight="1">
      <c r="A8" s="287">
        <f>IFERROR(IF('Invullen groen'!L20&gt;0,3,""),"")</f>
        <v/>
      </c>
      <c r="B8" s="287">
        <f>IFERROR(IF('Invullen groen'!L20&gt;0,'Invullen groen'!A20,""),"")</f>
        <v/>
      </c>
      <c r="C8" s="287">
        <f>IFERROR(IF('Invullen groen'!L20&gt;0,'Invullen groen'!G20,""),"")</f>
        <v/>
      </c>
      <c r="D8" s="364">
        <f>IFERROR(IF('Invullen groen'!L20&gt;0,'Invullen groen'!L20,""),"")</f>
        <v/>
      </c>
      <c r="F8" s="287">
        <f>IFERROR(IF('Invullen groen'!L80&lt;&gt;0,'Invullen groen'!A80,""),"")</f>
        <v/>
      </c>
      <c r="G8" s="287">
        <f>IFERROR(IF('Invullen groen'!L80&lt;&gt;0,'Invullen groen'!G80,""),"")</f>
        <v/>
      </c>
      <c r="H8" s="364">
        <f>IFERROR(IF('Invullen groen'!L80&lt;&gt;0,'Invullen groen'!L80,""),"")</f>
        <v/>
      </c>
    </row>
    <row r="9" ht="14" customHeight="1">
      <c r="A9" s="287">
        <f>IFERROR(IF('Invullen groen'!L21&gt;0,4,""),"")</f>
        <v/>
      </c>
      <c r="B9" s="287">
        <f>IFERROR(IF('Invullen groen'!L21&gt;0,'Invullen groen'!A21,""),"")</f>
        <v/>
      </c>
      <c r="C9" s="287">
        <f>IFERROR(IF('Invullen groen'!L21&gt;0,'Invullen groen'!G21,""),"")</f>
        <v/>
      </c>
      <c r="D9" s="364">
        <f>IFERROR(IF('Invullen groen'!L21&gt;0,'Invullen groen'!L21,""),"")</f>
        <v/>
      </c>
      <c r="F9" s="287">
        <f>IFERROR(IF('Invullen groen'!L81&lt;&gt;0,'Invullen groen'!A81,""),"")</f>
        <v/>
      </c>
      <c r="G9" s="287">
        <f>IFERROR(IF('Invullen groen'!L81&lt;&gt;0,'Invullen groen'!G81,""),"")</f>
        <v/>
      </c>
      <c r="H9" s="364">
        <f>IFERROR(IF('Invullen groen'!L81&lt;&gt;0,'Invullen groen'!L81,""),"")</f>
        <v/>
      </c>
    </row>
    <row r="10" ht="14" customHeight="1">
      <c r="A10" s="287">
        <f>IFERROR(IF('Invullen groen'!L22&gt;0,5,""),"")</f>
        <v/>
      </c>
      <c r="B10" s="287">
        <f>IFERROR(IF('Invullen groen'!L22&gt;0,'Invullen groen'!A22,""),"")</f>
        <v/>
      </c>
      <c r="C10" s="287">
        <f>IFERROR(IF('Invullen groen'!L22&gt;0,'Invullen groen'!G22,""),"")</f>
        <v/>
      </c>
      <c r="D10" s="364">
        <f>IFERROR(IF('Invullen groen'!L22&gt;0,'Invullen groen'!L22,""),"")</f>
        <v/>
      </c>
      <c r="F10" s="287">
        <f>IFERROR(IF('Invullen groen'!L82&lt;&gt;0,'Invullen groen'!A82,""),"")</f>
        <v/>
      </c>
      <c r="G10" s="287">
        <f>IFERROR(IF('Invullen groen'!L82&lt;&gt;0,'Invullen groen'!G82,""),"")</f>
        <v/>
      </c>
      <c r="H10" s="364">
        <f>IFERROR(IF('Invullen groen'!L82&lt;&gt;0,'Invullen groen'!L82,""),"")</f>
        <v/>
      </c>
    </row>
    <row r="11" ht="14" customHeight="1">
      <c r="A11" s="287">
        <f>IFERROR(IF('Invullen groen'!L23&gt;0,6,""),"")</f>
        <v/>
      </c>
      <c r="B11" s="287">
        <f>IFERROR(IF('Invullen groen'!L23&gt;0,'Invullen groen'!A23,""),"")</f>
        <v/>
      </c>
      <c r="C11" s="287">
        <f>IFERROR(IF('Invullen groen'!L23&gt;0,'Invullen groen'!G23,""),"")</f>
        <v/>
      </c>
      <c r="D11" s="364">
        <f>IFERROR(IF('Invullen groen'!L23&gt;0,'Invullen groen'!L23,""),"")</f>
        <v/>
      </c>
      <c r="F11" s="287">
        <f>IFERROR(IF('Invullen groen'!L83&lt;&gt;0,'Invullen groen'!A83,""),"")</f>
        <v/>
      </c>
      <c r="G11" s="287">
        <f>IFERROR(IF('Invullen groen'!L83&lt;&gt;0,'Invullen groen'!G83,""),"")</f>
        <v/>
      </c>
      <c r="H11" s="364">
        <f>IFERROR(IF('Invullen groen'!L83&lt;&gt;0,'Invullen groen'!L83,""),"")</f>
        <v/>
      </c>
    </row>
    <row r="12" ht="14" customHeight="1">
      <c r="A12" s="287">
        <f>IFERROR(IF('Invullen groen'!L24&gt;0,7,""),"")</f>
        <v/>
      </c>
      <c r="B12" s="287">
        <f>IFERROR(IF('Invullen groen'!L24&gt;0,'Invullen groen'!A24,""),"")</f>
        <v/>
      </c>
      <c r="C12" s="287">
        <f>IFERROR(IF('Invullen groen'!L24&gt;0,'Invullen groen'!G24,""),"")</f>
        <v/>
      </c>
      <c r="D12" s="364">
        <f>IFERROR(IF('Invullen groen'!L24&gt;0,'Invullen groen'!L24,""),"")</f>
        <v/>
      </c>
      <c r="F12" s="287">
        <f>IFERROR(IF('Invullen groen'!L84&lt;&gt;0,'Invullen groen'!A84,""),"")</f>
        <v/>
      </c>
      <c r="G12" s="287">
        <f>IFERROR(IF('Invullen groen'!L84&lt;&gt;0,'Invullen groen'!G84,""),"")</f>
        <v/>
      </c>
      <c r="H12" s="364">
        <f>IFERROR(IF('Invullen groen'!L84&lt;&gt;0,'Invullen groen'!L84,""),"")</f>
        <v/>
      </c>
    </row>
    <row r="13" ht="14" customHeight="1">
      <c r="A13" s="287">
        <f>IFERROR(IF('Invullen groen'!L25&gt;0,8,""),"")</f>
        <v/>
      </c>
      <c r="B13" s="287">
        <f>IFERROR(IF('Invullen groen'!L25&gt;0,'Invullen groen'!A25,""),"")</f>
        <v/>
      </c>
      <c r="C13" s="287">
        <f>IFERROR(IF('Invullen groen'!L25&gt;0,'Invullen groen'!G25,""),"")</f>
        <v/>
      </c>
      <c r="D13" s="364">
        <f>IFERROR(IF('Invullen groen'!L25&gt;0,'Invullen groen'!L25,""),"")</f>
        <v/>
      </c>
      <c r="F13" s="287">
        <f>IFERROR(IF('Invullen groen'!L85&lt;&gt;0,'Invullen groen'!A85,""),"")</f>
        <v/>
      </c>
      <c r="G13" s="287">
        <f>IFERROR(IF('Invullen groen'!L85&lt;&gt;0,'Invullen groen'!G85,""),"")</f>
        <v/>
      </c>
      <c r="H13" s="364">
        <f>IFERROR(IF('Invullen groen'!L85&lt;&gt;0,'Invullen groen'!L85,""),"")</f>
        <v/>
      </c>
    </row>
    <row r="14" ht="14" customHeight="1">
      <c r="A14" s="287">
        <f>IFERROR(IF('Invullen groen'!L26&gt;0,9,""),"")</f>
        <v/>
      </c>
      <c r="B14" s="287">
        <f>IFERROR(IF('Invullen groen'!L26&gt;0,'Invullen groen'!A26,""),"")</f>
        <v/>
      </c>
      <c r="C14" s="287">
        <f>IFERROR(IF('Invullen groen'!L26&gt;0,'Invullen groen'!G26,""),"")</f>
        <v/>
      </c>
      <c r="D14" s="364">
        <f>IFERROR(IF('Invullen groen'!L26&gt;0,'Invullen groen'!L26,""),"")</f>
        <v/>
      </c>
      <c r="F14" s="287">
        <f>IFERROR(IF('Invullen groen'!L86&lt;&gt;0,'Invullen groen'!A86,""),"")</f>
        <v/>
      </c>
      <c r="G14" s="287">
        <f>IFERROR(IF('Invullen groen'!L86&lt;&gt;0,'Invullen groen'!G86,""),"")</f>
        <v/>
      </c>
      <c r="H14" s="364">
        <f>IFERROR(IF('Invullen groen'!L86&lt;&gt;0,'Invullen groen'!L86,""),"")</f>
        <v/>
      </c>
    </row>
    <row r="15" ht="14" customHeight="1">
      <c r="A15" s="287">
        <f>IFERROR(IF('Invullen groen'!L27&gt;0,10,""),"")</f>
        <v/>
      </c>
      <c r="B15" s="287">
        <f>IFERROR(IF('Invullen groen'!L27&gt;0,'Invullen groen'!A27,""),"")</f>
        <v/>
      </c>
      <c r="C15" s="287">
        <f>IFERROR(IF('Invullen groen'!L27&gt;0,'Invullen groen'!G27,""),"")</f>
        <v/>
      </c>
      <c r="D15" s="364">
        <f>IFERROR(IF('Invullen groen'!L27&gt;0,'Invullen groen'!L27,""),"")</f>
        <v/>
      </c>
      <c r="F15" s="287">
        <f>IFERROR(IF('Invullen groen'!L87&lt;&gt;0,'Invullen groen'!A87,""),"")</f>
        <v/>
      </c>
      <c r="G15" s="287">
        <f>IFERROR(IF('Invullen groen'!L87&lt;&gt;0,'Invullen groen'!G87,""),"")</f>
        <v/>
      </c>
      <c r="H15" s="364">
        <f>IFERROR(IF('Invullen groen'!L87&lt;&gt;0,'Invullen groen'!L87,""),"")</f>
        <v/>
      </c>
    </row>
    <row r="16" ht="14" customHeight="1">
      <c r="A16" s="287">
        <f>IFERROR(IF('Invullen groen'!L28&gt;0,11,""),"")</f>
        <v/>
      </c>
      <c r="B16" s="287">
        <f>IFERROR(IF('Invullen groen'!L28&gt;0,'Invullen groen'!A28,""),"")</f>
        <v/>
      </c>
      <c r="C16" s="287">
        <f>IFERROR(IF('Invullen groen'!L28&gt;0,'Invullen groen'!G28,""),"")</f>
        <v/>
      </c>
      <c r="D16" s="364">
        <f>IFERROR(IF('Invullen groen'!L28&gt;0,'Invullen groen'!L28,""),"")</f>
        <v/>
      </c>
      <c r="F16" s="287">
        <f>IFERROR(IF('Invullen groen'!L88&lt;&gt;0,'Invullen groen'!A88,""),"")</f>
        <v/>
      </c>
      <c r="G16" s="287">
        <f>IFERROR(IF('Invullen groen'!L88&lt;&gt;0,'Invullen groen'!G88,""),"")</f>
        <v/>
      </c>
      <c r="H16" s="364">
        <f>IFERROR(IF('Invullen groen'!L88&lt;&gt;0,'Invullen groen'!L88,""),"")</f>
        <v/>
      </c>
    </row>
    <row r="17" ht="14" customHeight="1">
      <c r="A17" s="287">
        <f>IFERROR(IF('Invullen groen'!L29&gt;0,12,""),"")</f>
        <v/>
      </c>
      <c r="B17" s="287">
        <f>IFERROR(IF('Invullen groen'!L29&gt;0,'Invullen groen'!A29,""),"")</f>
        <v/>
      </c>
      <c r="C17" s="287">
        <f>IFERROR(IF('Invullen groen'!L29&gt;0,'Invullen groen'!G29,""),"")</f>
        <v/>
      </c>
      <c r="D17" s="364">
        <f>IFERROR(IF('Invullen groen'!L29&gt;0,'Invullen groen'!L29,""),"")</f>
        <v/>
      </c>
      <c r="F17" s="287">
        <f>IFERROR(IF('Invullen groen'!L89&lt;&gt;0,'Invullen groen'!A89,""),"")</f>
        <v/>
      </c>
      <c r="G17" s="287">
        <f>IFERROR(IF('Invullen groen'!L89&lt;&gt;0,'Invullen groen'!G89,""),"")</f>
        <v/>
      </c>
      <c r="H17" s="364">
        <f>IFERROR(IF('Invullen groen'!L89&lt;&gt;0,'Invullen groen'!L89,""),"")</f>
        <v/>
      </c>
    </row>
    <row r="18" ht="14" customHeight="1">
      <c r="A18" s="287">
        <f>IFERROR(IF('Invullen groen'!L30&gt;0,13,""),"")</f>
        <v/>
      </c>
      <c r="B18" s="287">
        <f>IFERROR(IF('Invullen groen'!L30&gt;0,'Invullen groen'!A30,""),"")</f>
        <v/>
      </c>
      <c r="C18" s="287">
        <f>IFERROR(IF('Invullen groen'!L30&gt;0,'Invullen groen'!G30,""),"")</f>
        <v/>
      </c>
      <c r="D18" s="364">
        <f>IFERROR(IF('Invullen groen'!L30&gt;0,'Invullen groen'!L30,""),"")</f>
        <v/>
      </c>
      <c r="F18" s="287">
        <f>IFERROR(IF('Invullen groen'!L90&lt;&gt;0,'Invullen groen'!A90,""),"")</f>
        <v/>
      </c>
      <c r="G18" s="287">
        <f>IFERROR(IF('Invullen groen'!L90&lt;&gt;0,'Invullen groen'!G90,""),"")</f>
        <v/>
      </c>
      <c r="H18" s="364">
        <f>IFERROR(IF('Invullen groen'!L90&lt;&gt;0,'Invullen groen'!L90,""),"")</f>
        <v/>
      </c>
    </row>
    <row r="19" ht="14" customHeight="1">
      <c r="A19" s="287">
        <f>IFERROR(IF('Invullen groen'!L31&gt;0,14,""),"")</f>
        <v/>
      </c>
      <c r="B19" s="287">
        <f>IFERROR(IF('Invullen groen'!L31&gt;0,'Invullen groen'!A31,""),"")</f>
        <v/>
      </c>
      <c r="C19" s="287">
        <f>IFERROR(IF('Invullen groen'!L31&gt;0,'Invullen groen'!G31,""),"")</f>
        <v/>
      </c>
      <c r="D19" s="364">
        <f>IFERROR(IF('Invullen groen'!L31&gt;0,'Invullen groen'!L31,""),"")</f>
        <v/>
      </c>
      <c r="F19" s="287">
        <f>IFERROR(IF('Invullen groen'!L91&lt;&gt;0,'Invullen groen'!A91,""),"")</f>
        <v/>
      </c>
      <c r="G19" s="287">
        <f>IFERROR(IF('Invullen groen'!L91&lt;&gt;0,'Invullen groen'!G91,""),"")</f>
        <v/>
      </c>
      <c r="H19" s="364">
        <f>IFERROR(IF('Invullen groen'!L91&lt;&gt;0,'Invullen groen'!L91,""),"")</f>
        <v/>
      </c>
    </row>
    <row r="20" ht="14" customHeight="1">
      <c r="A20" s="287">
        <f>IFERROR(IF('Invullen groen'!L32&gt;0,15,""),"")</f>
        <v/>
      </c>
      <c r="B20" s="287">
        <f>IFERROR(IF('Invullen groen'!L32&gt;0,'Invullen groen'!A32,""),"")</f>
        <v/>
      </c>
      <c r="C20" s="287">
        <f>IFERROR(IF('Invullen groen'!L32&gt;0,'Invullen groen'!G32,""),"")</f>
        <v/>
      </c>
      <c r="D20" s="364">
        <f>IFERROR(IF('Invullen groen'!L32&gt;0,'Invullen groen'!L32,""),"")</f>
        <v/>
      </c>
      <c r="F20" s="287">
        <f>IFERROR(IF('Invullen groen'!L92&lt;&gt;0,'Invullen groen'!A92,""),"")</f>
        <v/>
      </c>
      <c r="G20" s="287">
        <f>IFERROR(IF('Invullen groen'!L92&lt;&gt;0,'Invullen groen'!G92,""),"")</f>
        <v/>
      </c>
      <c r="H20" s="364">
        <f>IFERROR(IF('Invullen groen'!L92&lt;&gt;0,'Invullen groen'!L92,""),"")</f>
        <v/>
      </c>
    </row>
    <row r="21" ht="14" customHeight="1">
      <c r="A21" s="287">
        <f>IFERROR(IF('Invullen groen'!L33&gt;0,16,""),"")</f>
        <v/>
      </c>
      <c r="B21" s="287">
        <f>IFERROR(IF('Invullen groen'!L33&gt;0,'Invullen groen'!A33,""),"")</f>
        <v/>
      </c>
      <c r="C21" s="287">
        <f>IFERROR(IF('Invullen groen'!L33&gt;0,'Invullen groen'!G33,""),"")</f>
        <v/>
      </c>
      <c r="D21" s="364">
        <f>IFERROR(IF('Invullen groen'!L33&gt;0,'Invullen groen'!L33,""),"")</f>
        <v/>
      </c>
      <c r="F21" s="287">
        <f>IFERROR(IF('Invullen groen'!L93&lt;&gt;0,'Invullen groen'!A93,""),"")</f>
        <v/>
      </c>
      <c r="G21" s="287">
        <f>IFERROR(IF('Invullen groen'!L93&lt;&gt;0,'Invullen groen'!G93,""),"")</f>
        <v/>
      </c>
      <c r="H21" s="364">
        <f>IFERROR(IF('Invullen groen'!L93&lt;&gt;0,'Invullen groen'!L93,""),"")</f>
        <v/>
      </c>
    </row>
    <row r="22" ht="14" customHeight="1">
      <c r="A22" s="287">
        <f>IFERROR(IF('Invullen groen'!L34&gt;0,17,""),"")</f>
        <v/>
      </c>
      <c r="B22" s="287">
        <f>IFERROR(IF('Invullen groen'!L34&gt;0,'Invullen groen'!A34,""),"")</f>
        <v/>
      </c>
      <c r="C22" s="287">
        <f>IFERROR(IF('Invullen groen'!L34&gt;0,'Invullen groen'!G34,""),"")</f>
        <v/>
      </c>
      <c r="D22" s="364">
        <f>IFERROR(IF('Invullen groen'!L34&gt;0,'Invullen groen'!L34,""),"")</f>
        <v/>
      </c>
      <c r="F22" s="287">
        <f>IFERROR(IF('Invullen groen'!L94&lt;&gt;0,'Invullen groen'!A94,""),"")</f>
        <v/>
      </c>
      <c r="G22" s="287">
        <f>IFERROR(IF('Invullen groen'!L94&lt;&gt;0,'Invullen groen'!G94,""),"")</f>
        <v/>
      </c>
      <c r="H22" s="364">
        <f>IFERROR(IF('Invullen groen'!L94&lt;&gt;0,'Invullen groen'!L94,""),"")</f>
        <v/>
      </c>
    </row>
    <row r="23" ht="14" customHeight="1">
      <c r="A23" s="287">
        <f>IFERROR(IF('Invullen groen'!L35&gt;0,18,""),"")</f>
        <v/>
      </c>
      <c r="B23" s="287">
        <f>IFERROR(IF('Invullen groen'!L35&gt;0,'Invullen groen'!A35,""),"")</f>
        <v/>
      </c>
      <c r="C23" s="287">
        <f>IFERROR(IF('Invullen groen'!L35&gt;0,'Invullen groen'!G35,""),"")</f>
        <v/>
      </c>
      <c r="D23" s="364">
        <f>IFERROR(IF('Invullen groen'!L35&gt;0,'Invullen groen'!L35,""),"")</f>
        <v/>
      </c>
      <c r="F23" s="287">
        <f>IFERROR(IF('Invullen groen'!L95&lt;&gt;0,'Invullen groen'!A95,""),"")</f>
        <v/>
      </c>
      <c r="G23" s="287">
        <f>IFERROR(IF('Invullen groen'!L95&lt;&gt;0,'Invullen groen'!G95,""),"")</f>
        <v/>
      </c>
      <c r="H23" s="364">
        <f>IFERROR(IF('Invullen groen'!L95&lt;&gt;0,'Invullen groen'!L95,""),"")</f>
        <v/>
      </c>
    </row>
    <row r="24" ht="14" customHeight="1">
      <c r="A24" s="287">
        <f>IFERROR(IF('Invullen groen'!L36&gt;0,19,""),"")</f>
        <v/>
      </c>
      <c r="B24" s="287">
        <f>IFERROR(IF('Invullen groen'!L36&gt;0,'Invullen groen'!A36,""),"")</f>
        <v/>
      </c>
      <c r="C24" s="287">
        <f>IFERROR(IF('Invullen groen'!L36&gt;0,'Invullen groen'!G36,""),"")</f>
        <v/>
      </c>
      <c r="D24" s="364">
        <f>IFERROR(IF('Invullen groen'!L36&gt;0,'Invullen groen'!L36,""),"")</f>
        <v/>
      </c>
      <c r="F24" s="287">
        <f>IFERROR(IF('Invullen groen'!L96&lt;&gt;0,'Invullen groen'!A96,""),"")</f>
        <v/>
      </c>
      <c r="G24" s="287">
        <f>IFERROR(IF('Invullen groen'!L96&lt;&gt;0,'Invullen groen'!G96,""),"")</f>
        <v/>
      </c>
      <c r="H24" s="364">
        <f>IFERROR(IF('Invullen groen'!L96&lt;&gt;0,'Invullen groen'!L96,""),"")</f>
        <v/>
      </c>
    </row>
    <row r="25" ht="14" customHeight="1">
      <c r="A25" s="287">
        <f>IFERROR(IF('Invullen groen'!L37&gt;0,20,""),"")</f>
        <v/>
      </c>
      <c r="B25" s="287">
        <f>IFERROR(IF('Invullen groen'!L37&gt;0,'Invullen groen'!A37,""),"")</f>
        <v/>
      </c>
      <c r="C25" s="287">
        <f>IFERROR(IF('Invullen groen'!L37&gt;0,'Invullen groen'!G37,""),"")</f>
        <v/>
      </c>
      <c r="D25" s="364">
        <f>IFERROR(IF('Invullen groen'!L37&gt;0,'Invullen groen'!L37,""),"")</f>
        <v/>
      </c>
      <c r="F25" s="287">
        <f>IFERROR(IF('Invullen groen'!L97&lt;&gt;0,'Invullen groen'!A97,""),"")</f>
        <v/>
      </c>
      <c r="G25" s="287">
        <f>IFERROR(IF('Invullen groen'!L97&lt;&gt;0,'Invullen groen'!G97,""),"")</f>
        <v/>
      </c>
      <c r="H25" s="364">
        <f>IFERROR(IF('Invullen groen'!L97&lt;&gt;0,'Invullen groen'!L97,""),"")</f>
        <v/>
      </c>
    </row>
    <row r="26" ht="14" customHeight="1">
      <c r="A26" s="287">
        <f>IFERROR(IF('Invullen groen'!L38&gt;0,21,""),"")</f>
        <v/>
      </c>
      <c r="B26" s="287">
        <f>IFERROR(IF('Invullen groen'!L38&gt;0,'Invullen groen'!A38,""),"")</f>
        <v/>
      </c>
      <c r="C26" s="287">
        <f>IFERROR(IF('Invullen groen'!L38&gt;0,'Invullen groen'!G38,""),"")</f>
        <v/>
      </c>
      <c r="D26" s="364">
        <f>IFERROR(IF('Invullen groen'!L38&gt;0,'Invullen groen'!L38,""),"")</f>
        <v/>
      </c>
      <c r="F26" s="287">
        <f>IFERROR(IF('Invullen groen'!L98&lt;&gt;0,'Invullen groen'!A98,""),"")</f>
        <v/>
      </c>
      <c r="G26" s="287">
        <f>IFERROR(IF('Invullen groen'!L98&lt;&gt;0,'Invullen groen'!G98,""),"")</f>
        <v/>
      </c>
      <c r="H26" s="364">
        <f>IFERROR(IF('Invullen groen'!L98&lt;&gt;0,'Invullen groen'!L98,""),"")</f>
        <v/>
      </c>
    </row>
    <row r="27" ht="14" customHeight="1">
      <c r="A27" s="287">
        <f>IFERROR(IF('Invullen groen'!L39&gt;0,22,""),"")</f>
        <v/>
      </c>
      <c r="B27" s="287">
        <f>IFERROR(IF('Invullen groen'!L39&gt;0,'Invullen groen'!A39,""),"")</f>
        <v/>
      </c>
      <c r="C27" s="287">
        <f>IFERROR(IF('Invullen groen'!L39&gt;0,'Invullen groen'!G39,""),"")</f>
        <v/>
      </c>
      <c r="D27" s="364">
        <f>IFERROR(IF('Invullen groen'!L39&gt;0,'Invullen groen'!L39,""),"")</f>
        <v/>
      </c>
      <c r="F27" s="287">
        <f>IFERROR(IF('Invullen groen'!L99&lt;&gt;0,'Invullen groen'!A99,""),"")</f>
        <v/>
      </c>
      <c r="G27" s="287">
        <f>IFERROR(IF('Invullen groen'!L99&lt;&gt;0,'Invullen groen'!G99,""),"")</f>
        <v/>
      </c>
      <c r="H27" s="364">
        <f>IFERROR(IF('Invullen groen'!L99&lt;&gt;0,'Invullen groen'!L99,""),"")</f>
        <v/>
      </c>
    </row>
    <row r="28" ht="14" customHeight="1">
      <c r="A28" s="287">
        <f>IFERROR(IF('Invullen groen'!L40&gt;0,23,""),"")</f>
        <v/>
      </c>
      <c r="B28" s="287">
        <f>IFERROR(IF('Invullen groen'!L40&gt;0,'Invullen groen'!A40,""),"")</f>
        <v/>
      </c>
      <c r="C28" s="287">
        <f>IFERROR(IF('Invullen groen'!L40&gt;0,'Invullen groen'!G40,""),"")</f>
        <v/>
      </c>
      <c r="D28" s="364">
        <f>IFERROR(IF('Invullen groen'!L40&gt;0,'Invullen groen'!L40,""),"")</f>
        <v/>
      </c>
      <c r="F28" s="287">
        <f>IFERROR(IF('Invullen groen'!L100&lt;&gt;0,'Invullen groen'!A100,""),"")</f>
        <v/>
      </c>
      <c r="G28" s="287">
        <f>IFERROR(IF('Invullen groen'!L100&lt;&gt;0,'Invullen groen'!G100,""),"")</f>
        <v/>
      </c>
      <c r="H28" s="364">
        <f>IFERROR(IF('Invullen groen'!L100&lt;&gt;0,'Invullen groen'!L100,""),"")</f>
        <v/>
      </c>
    </row>
    <row r="29" ht="14" customHeight="1">
      <c r="A29" s="287">
        <f>IFERROR(IF('Invullen groen'!L41&gt;0,24,""),"")</f>
        <v/>
      </c>
      <c r="B29" s="287">
        <f>IFERROR(IF('Invullen groen'!L41&gt;0,'Invullen groen'!A41,""),"")</f>
        <v/>
      </c>
      <c r="C29" s="287">
        <f>IFERROR(IF('Invullen groen'!L41&gt;0,'Invullen groen'!G41,""),"")</f>
        <v/>
      </c>
      <c r="D29" s="364">
        <f>IFERROR(IF('Invullen groen'!L41&gt;0,'Invullen groen'!L41,""),"")</f>
        <v/>
      </c>
      <c r="F29" s="287">
        <f>IFERROR(IF('Invullen groen'!L101&lt;&gt;0,'Invullen groen'!A101,""),"")</f>
        <v/>
      </c>
      <c r="G29" s="287">
        <f>IFERROR(IF('Invullen groen'!L101&lt;&gt;0,'Invullen groen'!G101,""),"")</f>
        <v/>
      </c>
      <c r="H29" s="364">
        <f>IFERROR(IF('Invullen groen'!L101&lt;&gt;0,'Invullen groen'!L101,""),"")</f>
        <v/>
      </c>
    </row>
    <row r="30" ht="14" customHeight="1">
      <c r="A30" s="287">
        <f>IFERROR(IF('Invullen groen'!L42&gt;0,25,""),"")</f>
        <v/>
      </c>
      <c r="B30" s="287">
        <f>IFERROR(IF('Invullen groen'!L42&gt;0,'Invullen groen'!A42,""),"")</f>
        <v/>
      </c>
      <c r="C30" s="287">
        <f>IFERROR(IF('Invullen groen'!L42&gt;0,'Invullen groen'!G42,""),"")</f>
        <v/>
      </c>
      <c r="D30" s="364">
        <f>IFERROR(IF('Invullen groen'!L42&gt;0,'Invullen groen'!L42,""),"")</f>
        <v/>
      </c>
      <c r="F30" s="287">
        <f>IFERROR(IF('Invullen groen'!L102&lt;&gt;0,'Invullen groen'!A102,""),"")</f>
        <v/>
      </c>
      <c r="G30" s="287">
        <f>IFERROR(IF('Invullen groen'!L102&lt;&gt;0,'Invullen groen'!G102,""),"")</f>
        <v/>
      </c>
      <c r="H30" s="364">
        <f>IFERROR(IF('Invullen groen'!L102&lt;&gt;0,'Invullen groen'!L102,""),"")</f>
        <v/>
      </c>
    </row>
    <row r="31" ht="14" customHeight="1">
      <c r="A31" s="287">
        <f>IFERROR(IF('Invullen groen'!L43&gt;0,26,""),"")</f>
        <v/>
      </c>
      <c r="B31" s="287">
        <f>IFERROR(IF('Invullen groen'!L43&gt;0,'Invullen groen'!A43,""),"")</f>
        <v/>
      </c>
      <c r="C31" s="287">
        <f>IFERROR(IF('Invullen groen'!L43&gt;0,'Invullen groen'!G43,""),"")</f>
        <v/>
      </c>
      <c r="D31" s="364">
        <f>IFERROR(IF('Invullen groen'!L43&gt;0,'Invullen groen'!L43,""),"")</f>
        <v/>
      </c>
      <c r="F31" s="287">
        <f>IFERROR(IF('Invullen groen'!L103&lt;&gt;0,'Invullen groen'!A103,""),"")</f>
        <v/>
      </c>
      <c r="G31" s="287">
        <f>IFERROR(IF('Invullen groen'!L103&lt;&gt;0,'Invullen groen'!G103,""),"")</f>
        <v/>
      </c>
      <c r="H31" s="364">
        <f>IFERROR(IF('Invullen groen'!L103&lt;&gt;0,'Invullen groen'!L103,""),"")</f>
        <v/>
      </c>
    </row>
    <row r="32" ht="14" customHeight="1">
      <c r="A32" s="287">
        <f>IFERROR(IF('Invullen groen'!L44&gt;0,27,""),"")</f>
        <v/>
      </c>
      <c r="B32" s="287">
        <f>IFERROR(IF('Invullen groen'!L44&gt;0,'Invullen groen'!A44,""),"")</f>
        <v/>
      </c>
      <c r="C32" s="287">
        <f>IFERROR(IF('Invullen groen'!L44&gt;0,'Invullen groen'!G44,""),"")</f>
        <v/>
      </c>
      <c r="D32" s="364">
        <f>IFERROR(IF('Invullen groen'!L44&gt;0,'Invullen groen'!L44,""),"")</f>
        <v/>
      </c>
      <c r="F32" s="287">
        <f>IFERROR(IF('Invullen groen'!L104&lt;&gt;0,'Invullen groen'!A104,""),"")</f>
        <v/>
      </c>
      <c r="G32" s="287">
        <f>IFERROR(IF('Invullen groen'!L104&lt;&gt;0,'Invullen groen'!G104,""),"")</f>
        <v/>
      </c>
      <c r="H32" s="364">
        <f>IFERROR(IF('Invullen groen'!L104&lt;&gt;0,'Invullen groen'!L104,""),"")</f>
        <v/>
      </c>
    </row>
    <row r="33" ht="14" customHeight="1">
      <c r="A33" s="287">
        <f>IFERROR(IF('Invullen groen'!L45&gt;0,28,""),"")</f>
        <v/>
      </c>
      <c r="B33" s="287">
        <f>IFERROR(IF('Invullen groen'!L45&gt;0,'Invullen groen'!A45,""),"")</f>
        <v/>
      </c>
      <c r="C33" s="287">
        <f>IFERROR(IF('Invullen groen'!L45&gt;0,'Invullen groen'!G45,""),"")</f>
        <v/>
      </c>
      <c r="D33" s="364">
        <f>IFERROR(IF('Invullen groen'!L45&gt;0,'Invullen groen'!L45,""),"")</f>
        <v/>
      </c>
      <c r="F33" s="287">
        <f>IFERROR(IF('Invullen groen'!L105&lt;&gt;0,'Invullen groen'!A105,""),"")</f>
        <v/>
      </c>
      <c r="G33" s="287">
        <f>IFERROR(IF('Invullen groen'!L105&lt;&gt;0,'Invullen groen'!G105,""),"")</f>
        <v/>
      </c>
      <c r="H33" s="364">
        <f>IFERROR(IF('Invullen groen'!L105&lt;&gt;0,'Invullen groen'!L105,""),"")</f>
        <v/>
      </c>
    </row>
    <row r="34" ht="14" customHeight="1">
      <c r="A34" s="287">
        <f>IFERROR(IF('Invullen groen'!L46&gt;0,29,""),"")</f>
        <v/>
      </c>
      <c r="B34" s="287">
        <f>IFERROR(IF('Invullen groen'!L46&gt;0,'Invullen groen'!A46,""),"")</f>
        <v/>
      </c>
      <c r="C34" s="287">
        <f>IFERROR(IF('Invullen groen'!L46&gt;0,'Invullen groen'!G46,""),"")</f>
        <v/>
      </c>
      <c r="D34" s="364">
        <f>IFERROR(IF('Invullen groen'!L46&gt;0,'Invullen groen'!L46,""),"")</f>
        <v/>
      </c>
      <c r="F34" s="287">
        <f>IFERROR(IF('Invullen groen'!L106&lt;&gt;0,'Invullen groen'!A106,""),"")</f>
        <v/>
      </c>
      <c r="G34" s="287">
        <f>IFERROR(IF('Invullen groen'!L106&lt;&gt;0,'Invullen groen'!G106,""),"")</f>
        <v/>
      </c>
      <c r="H34" s="364">
        <f>IFERROR(IF('Invullen groen'!L106&lt;&gt;0,'Invullen groen'!L106,""),"")</f>
        <v/>
      </c>
    </row>
    <row r="35" ht="14" customHeight="1">
      <c r="A35" s="287">
        <f>IFERROR(IF('Invullen groen'!L47&gt;0,30,""),"")</f>
        <v/>
      </c>
      <c r="B35" s="287">
        <f>IFERROR(IF('Invullen groen'!L47&gt;0,'Invullen groen'!A47,""),"")</f>
        <v/>
      </c>
      <c r="C35" s="287">
        <f>IFERROR(IF('Invullen groen'!L47&gt;0,'Invullen groen'!G47,""),"")</f>
        <v/>
      </c>
      <c r="D35" s="364">
        <f>IFERROR(IF('Invullen groen'!L47&gt;0,'Invullen groen'!L47,""),"")</f>
        <v/>
      </c>
      <c r="F35" s="287">
        <f>IFERROR(IF('Invullen groen'!L107&lt;&gt;0,'Invullen groen'!A107,""),"")</f>
        <v/>
      </c>
      <c r="G35" s="287">
        <f>IFERROR(IF('Invullen groen'!L107&lt;&gt;0,'Invullen groen'!G107,""),"")</f>
        <v/>
      </c>
      <c r="H35" s="364">
        <f>IFERROR(IF('Invullen groen'!L107&lt;&gt;0,'Invullen groen'!L107,""),"")</f>
        <v/>
      </c>
    </row>
    <row r="36" ht="14" customHeight="1">
      <c r="A36" s="287">
        <f>IFERROR(IF('Invullen groen'!L48&gt;0,31,""),"")</f>
        <v/>
      </c>
      <c r="B36" s="287">
        <f>IFERROR(IF('Invullen groen'!L48&gt;0,'Invullen groen'!A48,""),"")</f>
        <v/>
      </c>
      <c r="C36" s="287">
        <f>IFERROR(IF('Invullen groen'!L48&gt;0,'Invullen groen'!G48,""),"")</f>
        <v/>
      </c>
      <c r="D36" s="364">
        <f>IFERROR(IF('Invullen groen'!L48&gt;0,'Invullen groen'!L48,""),"")</f>
        <v/>
      </c>
      <c r="F36" s="287">
        <f>IFERROR(IF('Invullen groen'!L108&lt;&gt;0,'Invullen groen'!A108,""),"")</f>
        <v/>
      </c>
      <c r="G36" s="287">
        <f>IFERROR(IF('Invullen groen'!L108&lt;&gt;0,'Invullen groen'!G108,""),"")</f>
        <v/>
      </c>
      <c r="H36" s="364">
        <f>IFERROR(IF('Invullen groen'!L108&lt;&gt;0,'Invullen groen'!L108,""),"")</f>
        <v/>
      </c>
    </row>
    <row r="37" ht="14" customHeight="1">
      <c r="A37" s="287">
        <f>IFERROR(IF('Invullen groen'!L49&gt;0,32,""),"")</f>
        <v/>
      </c>
      <c r="B37" s="287">
        <f>IFERROR(IF('Invullen groen'!L49&gt;0,'Invullen groen'!A49,""),"")</f>
        <v/>
      </c>
      <c r="C37" s="287">
        <f>IFERROR(IF('Invullen groen'!L49&gt;0,'Invullen groen'!G49,""),"")</f>
        <v/>
      </c>
      <c r="D37" s="364">
        <f>IFERROR(IF('Invullen groen'!L49&gt;0,'Invullen groen'!L49,""),"")</f>
        <v/>
      </c>
      <c r="F37" s="287">
        <f>IFERROR(IF('Invullen groen'!L109&lt;&gt;0,'Invullen groen'!A109,""),"")</f>
        <v/>
      </c>
      <c r="G37" s="287">
        <f>IFERROR(IF('Invullen groen'!L109&lt;&gt;0,'Invullen groen'!G109,""),"")</f>
        <v/>
      </c>
      <c r="H37" s="364">
        <f>IFERROR(IF('Invullen groen'!L109&lt;&gt;0,'Invullen groen'!L109,""),"")</f>
        <v/>
      </c>
    </row>
    <row r="38" ht="14" customHeight="1">
      <c r="A38" s="287">
        <f>IFERROR(IF('Invullen groen'!L50&gt;0,33,""),"")</f>
        <v/>
      </c>
      <c r="B38" s="287">
        <f>IFERROR(IF('Invullen groen'!L50&gt;0,'Invullen groen'!A50,""),"")</f>
        <v/>
      </c>
      <c r="C38" s="287">
        <f>IFERROR(IF('Invullen groen'!L50&gt;0,'Invullen groen'!G50,""),"")</f>
        <v/>
      </c>
      <c r="D38" s="364">
        <f>IFERROR(IF('Invullen groen'!L50&gt;0,'Invullen groen'!L50,""),"")</f>
        <v/>
      </c>
      <c r="F38" s="287" t="n"/>
      <c r="G38" s="287" t="n"/>
      <c r="H38" s="364" t="n"/>
    </row>
    <row r="39" ht="14" customHeight="1">
      <c r="A39" s="287">
        <f>IFERROR(IF('Invullen groen'!L51&gt;0,34,""),"")</f>
        <v/>
      </c>
      <c r="B39" s="287">
        <f>IFERROR(IF('Invullen groen'!L51&gt;0,'Invullen groen'!A51,""),"")</f>
        <v/>
      </c>
      <c r="C39" s="287">
        <f>IFERROR(IF('Invullen groen'!L51&gt;0,'Invullen groen'!G51,""),"")</f>
        <v/>
      </c>
      <c r="D39" s="364">
        <f>IFERROR(IF('Invullen groen'!L51&gt;0,'Invullen groen'!L51,""),"")</f>
        <v/>
      </c>
      <c r="F39" s="287" t="n"/>
      <c r="G39" s="287" t="n"/>
      <c r="H39" s="364" t="n"/>
    </row>
    <row r="40" ht="14" customHeight="1">
      <c r="A40" s="287">
        <f>IFERROR(IF('Invullen groen'!L52&gt;0,35,""),"")</f>
        <v/>
      </c>
      <c r="B40" s="287">
        <f>IFERROR(IF('Invullen groen'!L52&gt;0,'Invullen groen'!A52,""),"")</f>
        <v/>
      </c>
      <c r="C40" s="287">
        <f>IFERROR(IF('Invullen groen'!L52&gt;0,'Invullen groen'!G52,""),"")</f>
        <v/>
      </c>
      <c r="D40" s="364">
        <f>IFERROR(IF('Invullen groen'!L52&gt;0,'Invullen groen'!L52,""),"")</f>
        <v/>
      </c>
      <c r="F40" s="287" t="n"/>
      <c r="G40" s="287" t="n"/>
      <c r="H40" s="364" t="n"/>
    </row>
    <row r="41" ht="14" customHeight="1">
      <c r="A41" s="287">
        <f>IFERROR(IF('Invullen groen'!L53&gt;0,36,""),"")</f>
        <v/>
      </c>
      <c r="B41" s="287">
        <f>IFERROR(IF('Invullen groen'!L53&gt;0,'Invullen groen'!A53,""),"")</f>
        <v/>
      </c>
      <c r="C41" s="287">
        <f>IFERROR(IF('Invullen groen'!L53&gt;0,'Invullen groen'!G53,""),"")</f>
        <v/>
      </c>
      <c r="D41" s="364">
        <f>IFERROR(IF('Invullen groen'!L53&gt;0,'Invullen groen'!L53,""),"")</f>
        <v/>
      </c>
      <c r="F41" s="287" t="n"/>
      <c r="G41" s="287" t="n"/>
      <c r="H41" s="364" t="n"/>
    </row>
    <row r="42" ht="14" customHeight="1">
      <c r="A42" s="287">
        <f>IFERROR(IF('Invullen groen'!L54&gt;0,37,""),"")</f>
        <v/>
      </c>
      <c r="B42" s="287">
        <f>IFERROR(IF('Invullen groen'!L54&gt;0,'Invullen groen'!A54,""),"")</f>
        <v/>
      </c>
      <c r="C42" s="287">
        <f>IFERROR(IF('Invullen groen'!L54&gt;0,'Invullen groen'!G54,""),"")</f>
        <v/>
      </c>
      <c r="D42" s="364">
        <f>IFERROR(IF('Invullen groen'!L54&gt;0,'Invullen groen'!L54,""),"")</f>
        <v/>
      </c>
      <c r="F42" s="287" t="n"/>
      <c r="G42" s="287" t="n"/>
      <c r="H42" s="364" t="n"/>
    </row>
    <row r="43" ht="14" customHeight="1">
      <c r="A43" s="287">
        <f>IFERROR(IF('Invullen groen'!L55&gt;0,38,""),"")</f>
        <v/>
      </c>
      <c r="B43" s="287">
        <f>IFERROR(IF('Invullen groen'!L55&gt;0,'Invullen groen'!A55,""),"")</f>
        <v/>
      </c>
      <c r="C43" s="287">
        <f>IFERROR(IF('Invullen groen'!L55&gt;0,'Invullen groen'!G55,""),"")</f>
        <v/>
      </c>
      <c r="D43" s="364">
        <f>IFERROR(IF('Invullen groen'!L55&gt;0,'Invullen groen'!L55,""),"")</f>
        <v/>
      </c>
      <c r="F43" s="287" t="n"/>
      <c r="G43" s="287" t="n"/>
      <c r="H43" s="364" t="n"/>
    </row>
    <row r="44" ht="14" customHeight="1">
      <c r="A44" s="287">
        <f>IFERROR(IF('Invullen groen'!L56&gt;0,39,""),"")</f>
        <v/>
      </c>
      <c r="B44" s="287">
        <f>IFERROR(IF('Invullen groen'!L56&gt;0,'Invullen groen'!A56,""),"")</f>
        <v/>
      </c>
      <c r="C44" s="287">
        <f>IFERROR(IF('Invullen groen'!L56&gt;0,'Invullen groen'!G56,""),"")</f>
        <v/>
      </c>
      <c r="D44" s="364">
        <f>IFERROR(IF('Invullen groen'!L56&gt;0,'Invullen groen'!L56,""),"")</f>
        <v/>
      </c>
      <c r="F44" s="287" t="n"/>
      <c r="G44" s="287" t="n"/>
      <c r="H44" s="364" t="n"/>
    </row>
    <row r="45" ht="14" customHeight="1">
      <c r="A45" s="287">
        <f>IFERROR(IF('Invullen groen'!L57&gt;0,40,""),"")</f>
        <v/>
      </c>
      <c r="B45" s="287">
        <f>IFERROR(IF('Invullen groen'!L57&gt;0,'Invullen groen'!A57,""),"")</f>
        <v/>
      </c>
      <c r="C45" s="287">
        <f>IFERROR(IF('Invullen groen'!L57&gt;0,'Invullen groen'!G57,""),"")</f>
        <v/>
      </c>
      <c r="D45" s="364">
        <f>IFERROR(IF('Invullen groen'!L57&gt;0,'Invullen groen'!L57,""),"")</f>
        <v/>
      </c>
      <c r="F45" s="287" t="n"/>
      <c r="G45" s="287" t="n"/>
      <c r="H45" s="364" t="n"/>
    </row>
    <row r="46" ht="14" customHeight="1">
      <c r="A46" s="287">
        <f>IFERROR(IF('Invullen groen'!L58&gt;0,41,""),"")</f>
        <v/>
      </c>
      <c r="B46" s="287">
        <f>IFERROR(IF('Invullen groen'!L58&gt;0,'Invullen groen'!A58,""),"")</f>
        <v/>
      </c>
      <c r="C46" s="287">
        <f>IFERROR(IF('Invullen groen'!L58&gt;0,'Invullen groen'!G58,""),"")</f>
        <v/>
      </c>
      <c r="D46" s="364">
        <f>IFERROR(IF('Invullen groen'!L58&gt;0,'Invullen groen'!L58,""),"")</f>
        <v/>
      </c>
      <c r="F46" s="287" t="n"/>
      <c r="G46" s="287" t="n"/>
      <c r="H46" s="364" t="n"/>
    </row>
    <row r="47" ht="14" customHeight="1">
      <c r="A47" s="287">
        <f>IFERROR(IF('Invullen groen'!L59&gt;0,42,""),"")</f>
        <v/>
      </c>
      <c r="B47" s="287">
        <f>IFERROR(IF('Invullen groen'!L59&gt;0,'Invullen groen'!A59,""),"")</f>
        <v/>
      </c>
      <c r="C47" s="287">
        <f>IFERROR(IF('Invullen groen'!L59&gt;0,'Invullen groen'!G59,""),"")</f>
        <v/>
      </c>
      <c r="D47" s="364">
        <f>IFERROR(IF('Invullen groen'!L59&gt;0,'Invullen groen'!L59,""),"")</f>
        <v/>
      </c>
      <c r="F47" s="287" t="n"/>
      <c r="G47" s="287" t="n"/>
      <c r="H47" s="364" t="n"/>
    </row>
    <row r="48" ht="14" customHeight="1">
      <c r="A48" s="287">
        <f>IFERROR(IF('Invullen groen'!L60&gt;0,43,""),"")</f>
        <v/>
      </c>
      <c r="B48" s="287">
        <f>IFERROR(IF('Invullen groen'!L60&gt;0,'Invullen groen'!A60,""),"")</f>
        <v/>
      </c>
      <c r="C48" s="287">
        <f>IFERROR(IF('Invullen groen'!L60&gt;0,'Invullen groen'!G60,""),"")</f>
        <v/>
      </c>
      <c r="D48" s="364">
        <f>IFERROR(IF('Invullen groen'!L60&gt;0,'Invullen groen'!L60,""),"")</f>
        <v/>
      </c>
      <c r="F48" s="287" t="n"/>
      <c r="G48" s="287" t="n"/>
      <c r="H48" s="364" t="n"/>
    </row>
    <row r="49" ht="14" customHeight="1">
      <c r="A49" s="287">
        <f>IFERROR(IF('Invullen groen'!L61&gt;0,44,""),"")</f>
        <v/>
      </c>
      <c r="B49" s="287">
        <f>IFERROR(IF('Invullen groen'!L61&gt;0,'Invullen groen'!A61,""),"")</f>
        <v/>
      </c>
      <c r="C49" s="287">
        <f>IFERROR(IF('Invullen groen'!L61&gt;0,'Invullen groen'!G61,""),"")</f>
        <v/>
      </c>
      <c r="D49" s="364">
        <f>IFERROR(IF('Invullen groen'!L61&gt;0,'Invullen groen'!L61,""),"")</f>
        <v/>
      </c>
      <c r="F49" s="287" t="n"/>
      <c r="G49" s="287" t="n"/>
      <c r="H49" s="364" t="n"/>
    </row>
    <row r="50" ht="14" customHeight="1">
      <c r="A50" s="287">
        <f>IFERROR(IF('Invullen groen'!L62&gt;0,45,""),"")</f>
        <v/>
      </c>
      <c r="B50" s="287">
        <f>IFERROR(IF('Invullen groen'!L62&gt;0,'Invullen groen'!A62,""),"")</f>
        <v/>
      </c>
      <c r="C50" s="287">
        <f>IFERROR(IF('Invullen groen'!L62&gt;0,'Invullen groen'!G62,""),"")</f>
        <v/>
      </c>
      <c r="D50" s="364">
        <f>IFERROR(IF('Invullen groen'!L62&gt;0,'Invullen groen'!L62,""),"")</f>
        <v/>
      </c>
      <c r="F50" s="287" t="n"/>
      <c r="G50" s="287" t="n"/>
      <c r="H50" s="364" t="n"/>
    </row>
    <row r="51" ht="14" customHeight="1">
      <c r="A51" s="287">
        <f>IFERROR(IF('Invullen groen'!L63&gt;0,46,""),"")</f>
        <v/>
      </c>
      <c r="B51" s="287">
        <f>IFERROR(IF('Invullen groen'!L63&gt;0,'Invullen groen'!A63,""),"")</f>
        <v/>
      </c>
      <c r="C51" s="287">
        <f>IFERROR(IF('Invullen groen'!L63&gt;0,'Invullen groen'!G63,""),"")</f>
        <v/>
      </c>
      <c r="D51" s="364">
        <f>IFERROR(IF('Invullen groen'!L63&gt;0,'Invullen groen'!L63,""),"")</f>
        <v/>
      </c>
      <c r="F51" s="287" t="n"/>
      <c r="G51" s="287" t="n"/>
      <c r="H51" s="364" t="n"/>
    </row>
    <row r="52" ht="14" customHeight="1">
      <c r="A52" s="287">
        <f>IFERROR(IF('Invullen groen'!L64&gt;0,47,""),"")</f>
        <v/>
      </c>
      <c r="B52" s="287">
        <f>IFERROR(IF('Invullen groen'!L64&gt;0,'Invullen groen'!A64,""),"")</f>
        <v/>
      </c>
      <c r="C52" s="287">
        <f>IFERROR(IF('Invullen groen'!L64&gt;0,'Invullen groen'!G64,""),"")</f>
        <v/>
      </c>
      <c r="D52" s="364">
        <f>IFERROR(IF('Invullen groen'!L64&gt;0,'Invullen groen'!L64,""),"")</f>
        <v/>
      </c>
      <c r="F52" s="287" t="n"/>
      <c r="G52" s="287" t="n"/>
      <c r="H52" s="364" t="n"/>
    </row>
    <row r="53" ht="14" customHeight="1">
      <c r="A53" s="287">
        <f>IFERROR(IF('Invullen groen'!L65&gt;0,48,""),"")</f>
        <v/>
      </c>
      <c r="B53" s="287">
        <f>IFERROR(IF('Invullen groen'!L65&gt;0,'Invullen groen'!A65,""),"")</f>
        <v/>
      </c>
      <c r="C53" s="287">
        <f>IFERROR(IF('Invullen groen'!L65&gt;0,'Invullen groen'!G65,""),"")</f>
        <v/>
      </c>
      <c r="D53" s="364">
        <f>IFERROR(IF('Invullen groen'!L65&gt;0,'Invullen groen'!L65,""),"")</f>
        <v/>
      </c>
      <c r="F53" s="287" t="n"/>
      <c r="G53" s="287" t="n"/>
      <c r="H53" s="364" t="n"/>
    </row>
    <row r="54" ht="14" customHeight="1">
      <c r="A54" s="287">
        <f>IFERROR(IF('Invullen groen'!L66&gt;0,49,""),"")</f>
        <v/>
      </c>
      <c r="B54" s="287">
        <f>IFERROR(IF('Invullen groen'!L66&gt;0,'Invullen groen'!A66,""),"")</f>
        <v/>
      </c>
      <c r="C54" s="287">
        <f>IFERROR(IF('Invullen groen'!L66&gt;0,'Invullen groen'!G66,""),"")</f>
        <v/>
      </c>
      <c r="D54" s="364">
        <f>IFERROR(IF('Invullen groen'!L66&gt;0,'Invullen groen'!L66,""),"")</f>
        <v/>
      </c>
      <c r="F54" s="287" t="n"/>
      <c r="G54" s="287" t="n"/>
      <c r="H54" s="364" t="n"/>
    </row>
    <row r="55" ht="14" customHeight="1">
      <c r="A55" s="287">
        <f>IFERROR(IF('Invullen groen'!L67&gt;0,50,""),"")</f>
        <v/>
      </c>
      <c r="B55" s="287">
        <f>IFERROR(IF('Invullen groen'!L67&gt;0,'Invullen groen'!A67,""),"")</f>
        <v/>
      </c>
      <c r="C55" s="287">
        <f>IFERROR(IF('Invullen groen'!L67&gt;0,'Invullen groen'!G67,""),"")</f>
        <v/>
      </c>
      <c r="D55" s="364">
        <f>IFERROR(IF('Invullen groen'!L67&gt;0,'Invullen groen'!L67,""),"")</f>
        <v/>
      </c>
      <c r="F55" s="287" t="n"/>
      <c r="G55" s="287" t="n"/>
      <c r="H55" s="364" t="n"/>
    </row>
    <row r="56" ht="14" customHeight="1">
      <c r="A56" s="287">
        <f>IFERROR(IF('Invullen groen'!L68&gt;0,51,""),"")</f>
        <v/>
      </c>
      <c r="B56" s="287">
        <f>IFERROR(IF('Invullen groen'!L68&gt;0,'Invullen groen'!A68,""),"")</f>
        <v/>
      </c>
      <c r="C56" s="287">
        <f>IFERROR(IF('Invullen groen'!L68&gt;0,'Invullen groen'!G68,""),"")</f>
        <v/>
      </c>
      <c r="D56" s="364">
        <f>IFERROR(IF('Invullen groen'!L68&gt;0,'Invullen groen'!L68,""),"")</f>
        <v/>
      </c>
      <c r="F56" s="287" t="n"/>
      <c r="G56" s="287" t="n"/>
      <c r="H56" s="364" t="n"/>
    </row>
    <row r="57" ht="14" customHeight="1">
      <c r="A57" s="287">
        <f>IFERROR(IF('Invullen groen'!L69&gt;0,52,""),"")</f>
        <v/>
      </c>
      <c r="B57" s="287">
        <f>IFERROR(IF('Invullen groen'!L69&gt;0,'Invullen groen'!A69,""),"")</f>
        <v/>
      </c>
      <c r="C57" s="287">
        <f>IFERROR(IF('Invullen groen'!L69&gt;0,'Invullen groen'!G69,""),"")</f>
        <v/>
      </c>
      <c r="D57" s="364">
        <f>IFERROR(IF('Invullen groen'!L69&gt;0,'Invullen groen'!L69,""),"")</f>
        <v/>
      </c>
      <c r="F57" s="287" t="n"/>
      <c r="G57" s="287" t="n"/>
      <c r="H57" s="364" t="n"/>
    </row>
    <row r="58" ht="14" customHeight="1">
      <c r="A58" s="287">
        <f>IFERROR(IF('Invullen groen'!L70&gt;0,53,""),"")</f>
        <v/>
      </c>
      <c r="B58" s="287">
        <f>IFERROR(IF('Invullen groen'!L70&gt;0,'Invullen groen'!A70,""),"")</f>
        <v/>
      </c>
      <c r="C58" s="287">
        <f>IFERROR(IF('Invullen groen'!L70&gt;0,'Invullen groen'!G70,""),"")</f>
        <v/>
      </c>
      <c r="D58" s="364">
        <f>IFERROR(IF('Invullen groen'!L70&gt;0,'Invullen groen'!L70,""),"")</f>
        <v/>
      </c>
      <c r="F58" s="287" t="n"/>
      <c r="G58" s="287" t="n"/>
      <c r="H58" s="364" t="n"/>
    </row>
    <row r="59" ht="14" customHeight="1">
      <c r="A59" s="287">
        <f>IFERROR(IF('Invullen groen'!L71&gt;0,54,""),"")</f>
        <v/>
      </c>
      <c r="B59" s="287">
        <f>IFERROR(IF('Invullen groen'!L71&gt;0,'Invullen groen'!A71,""),"")</f>
        <v/>
      </c>
      <c r="C59" s="287">
        <f>IFERROR(IF('Invullen groen'!L71&gt;0,'Invullen groen'!G71,""),"")</f>
        <v/>
      </c>
      <c r="D59" s="364">
        <f>IFERROR(IF('Invullen groen'!L71&gt;0,'Invullen groen'!L71,""),"")</f>
        <v/>
      </c>
      <c r="F59" s="287" t="n"/>
      <c r="G59" s="287" t="n"/>
      <c r="H59" s="364" t="n"/>
    </row>
    <row r="60" ht="14" customHeight="1">
      <c r="A60" s="287">
        <f>IFERROR(IF('Invullen groen'!L72&gt;0,55,""),"")</f>
        <v/>
      </c>
      <c r="B60" s="287">
        <f>IFERROR(IF('Invullen groen'!L72&gt;0,'Invullen groen'!A72,""),"")</f>
        <v/>
      </c>
      <c r="C60" s="287">
        <f>IFERROR(IF('Invullen groen'!L72&gt;0,'Invullen groen'!G72,""),"")</f>
        <v/>
      </c>
      <c r="D60" s="364">
        <f>IFERROR(IF('Invullen groen'!L72&gt;0,'Invullen groen'!L72,""),"")</f>
        <v/>
      </c>
      <c r="F60" s="287" t="n"/>
      <c r="G60" s="287" t="n"/>
      <c r="H60" s="364" t="n"/>
    </row>
    <row r="61" ht="14" customHeight="1">
      <c r="A61" s="287">
        <f>IFERROR(IF('Invullen groen'!L73&gt;0,56,""),"")</f>
        <v/>
      </c>
      <c r="B61" s="287">
        <f>IFERROR(IF('Invullen groen'!L73&gt;0,'Invullen groen'!A73,""),"")</f>
        <v/>
      </c>
      <c r="C61" s="287">
        <f>IFERROR(IF('Invullen groen'!L73&gt;0,'Invullen groen'!G73,""),"")</f>
        <v/>
      </c>
      <c r="D61" s="364">
        <f>IFERROR(IF('Invullen groen'!L73&gt;0,'Invullen groen'!L73,""),"")</f>
        <v/>
      </c>
      <c r="F61" s="287" t="n"/>
      <c r="G61" s="287" t="n"/>
      <c r="H61" s="364" t="n"/>
    </row>
    <row r="62" ht="14" customHeight="1">
      <c r="A62" s="287">
        <f>IFERROR(IF('Invullen groen'!L74&gt;0,57,""),"")</f>
        <v/>
      </c>
      <c r="B62" s="287">
        <f>IFERROR(IF('Invullen groen'!L74&gt;0,'Invullen groen'!A74,""),"")</f>
        <v/>
      </c>
      <c r="C62" s="287">
        <f>IFERROR(IF('Invullen groen'!L74&gt;0,'Invullen groen'!G74,""),"")</f>
        <v/>
      </c>
      <c r="D62" s="364">
        <f>IFERROR(IF('Invullen groen'!L74&gt;0,'Invullen groen'!L74,""),"")</f>
        <v/>
      </c>
      <c r="F62" s="287" t="n"/>
      <c r="G62" s="287" t="n"/>
      <c r="H62" s="364" t="n"/>
    </row>
    <row r="63" ht="14" customHeight="1">
      <c r="A63" s="287" t="n"/>
      <c r="B63" s="287" t="n"/>
      <c r="C63" s="287" t="n"/>
      <c r="D63" s="364" t="n"/>
      <c r="F63" s="287" t="n"/>
      <c r="G63" s="287" t="n"/>
      <c r="H63" s="364" t="n"/>
    </row>
    <row r="64" ht="14" customHeight="1">
      <c r="A64" s="431" t="inlineStr">
        <is>
          <t>Totaal lasten</t>
        </is>
      </c>
      <c r="B64" s="287" t="n"/>
      <c r="C64" s="287" t="n"/>
      <c r="D64" s="432">
        <f>SUM(D6:D62)</f>
        <v/>
      </c>
      <c r="F64" s="431" t="inlineStr">
        <is>
          <t>Totaal dekking / baten</t>
        </is>
      </c>
      <c r="G64" s="287" t="n"/>
      <c r="H64" s="432">
        <f>SUM(H6:H62)</f>
        <v/>
      </c>
    </row>
    <row r="65" ht="14" customHeight="1">
      <c r="A65" s="433">
        <f>IF(D64+H64=0,"✓  Budgettair neutraal — saldo = 0","⚠  Niet gedekt — saldo: "&amp;TEXT(D64+H64,"#.##0"))</f>
        <v/>
      </c>
      <c r="B65" s="434" t="n"/>
      <c r="C65" s="434" t="n"/>
      <c r="D65" s="435" t="n"/>
      <c r="E65" s="394" t="n"/>
      <c r="F65" s="434" t="n"/>
      <c r="G65" s="434" t="n"/>
      <c r="H65" s="435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A1:H1"/>
    <mergeCell ref="A4:D4"/>
    <mergeCell ref="F4:H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2026-06-26T10:39:55Z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