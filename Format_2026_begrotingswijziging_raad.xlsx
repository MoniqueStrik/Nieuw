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8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groen'!C75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groen'!C77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248" t="inlineStr">
        <is>
          <t>A. Uitgaven en inkomsten</t>
        </is>
      </c>
      <c r="B16" s="118" t="n"/>
      <c r="C16" s="71" t="n"/>
      <c r="D16" s="244" t="n"/>
      <c r="E16" s="71" t="n"/>
      <c r="F16" s="113" t="n"/>
      <c r="G16" s="245" t="n"/>
      <c r="H16" s="63" t="n"/>
      <c r="I16" s="246" t="n"/>
      <c r="J16" s="73" t="n"/>
      <c r="K16" s="247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252" t="inlineStr">
        <is>
          <t>Saldo inkomsten en uitgaven</t>
        </is>
      </c>
      <c r="B75" s="125" t="n"/>
      <c r="C75" s="125" t="n"/>
      <c r="D75" s="252" t="n"/>
      <c r="E75" s="125" t="n"/>
      <c r="F75" s="127" t="n"/>
      <c r="G75" s="253" t="n"/>
      <c r="H75" s="65" t="n"/>
      <c r="I75" s="254" t="n"/>
      <c r="J75" s="129" t="n"/>
      <c r="K75" s="255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248" t="inlineStr">
        <is>
          <t>B. Dekking uitgaven en inkomsten</t>
        </is>
      </c>
      <c r="B77" s="118" t="n"/>
      <c r="C77" s="71" t="n"/>
      <c r="D77" s="244" t="n"/>
      <c r="E77" s="71" t="n"/>
      <c r="F77" s="113" t="n"/>
      <c r="G77" s="245" t="n"/>
      <c r="H77" s="63" t="n"/>
      <c r="I77" s="246" t="n"/>
      <c r="J77" s="73" t="n"/>
      <c r="K77" s="247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 t="n"/>
      <c r="B173" s="74" t="n"/>
      <c r="C173" s="74" t="n"/>
      <c r="D173" s="249" t="n"/>
      <c r="E173" s="74">
        <f>IF(J173&gt;1,"+",0)</f>
        <v/>
      </c>
      <c r="F173" s="75" t="n"/>
      <c r="G173" s="256" t="n"/>
      <c r="H173" s="64" t="n"/>
      <c r="I173" s="250">
        <f>IFERROR(VLOOKUP(H173,Tabellen!H:I,2),0)</f>
        <v/>
      </c>
      <c r="J173" s="121" t="n"/>
      <c r="K173" s="251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 t="n"/>
      <c r="B174" s="74" t="n"/>
      <c r="C174" s="74" t="n"/>
      <c r="D174" s="249" t="n"/>
      <c r="E174" s="74">
        <f>IF(J174&gt;1,"+",0)</f>
        <v/>
      </c>
      <c r="F174" s="75">
        <f>IF(E174&gt;0,$L$4,0)</f>
        <v/>
      </c>
      <c r="G174" s="256" t="n"/>
      <c r="H174" s="64" t="n"/>
      <c r="I174" s="250">
        <f>IFERROR(VLOOKUP(H174,Tabellen!H:I,2),0)</f>
        <v/>
      </c>
      <c r="J174" s="121" t="n"/>
      <c r="K174" s="251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 t="n"/>
      <c r="B175" s="74" t="n"/>
      <c r="C175" s="74" t="n"/>
      <c r="D175" s="249" t="n"/>
      <c r="E175" s="74">
        <f>IF(J175&gt;1,"+",0)</f>
        <v/>
      </c>
      <c r="F175" s="75">
        <f>IF(E175&gt;0,$L$4,0)</f>
        <v/>
      </c>
      <c r="G175" s="256" t="n"/>
      <c r="H175" s="64" t="n"/>
      <c r="I175" s="250">
        <f>IFERROR(VLOOKUP(H175,Tabellen!H:I,2),0)</f>
        <v/>
      </c>
      <c r="J175" s="121" t="n"/>
      <c r="K175" s="251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 t="n"/>
      <c r="B176" s="74" t="n"/>
      <c r="C176" s="74" t="n"/>
      <c r="D176" s="249" t="n"/>
      <c r="E176" s="74">
        <f>IF(J176&gt;1,"+",0)</f>
        <v/>
      </c>
      <c r="F176" s="75">
        <f>IF(E176&gt;0,$L$4,0)</f>
        <v/>
      </c>
      <c r="G176" s="256" t="n"/>
      <c r="H176" s="64" t="n"/>
      <c r="I176" s="250">
        <f>IFERROR(VLOOKUP(H176,Tabellen!H:I,2),0)</f>
        <v/>
      </c>
      <c r="J176" s="121" t="n"/>
      <c r="K176" s="251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 t="n"/>
      <c r="B177" s="74" t="n"/>
      <c r="C177" s="74" t="n"/>
      <c r="D177" s="249" t="n"/>
      <c r="E177" s="74">
        <f>IF(J177&gt;1,"+",0)</f>
        <v/>
      </c>
      <c r="F177" s="75">
        <f>IF(E177&gt;0,$L$4,0)</f>
        <v/>
      </c>
      <c r="G177" s="256" t="n"/>
      <c r="H177" s="64" t="n"/>
      <c r="I177" s="250">
        <f>IFERROR(VLOOKUP(H177,Tabellen!H:I,2),0)</f>
        <v/>
      </c>
      <c r="J177" s="121" t="n"/>
      <c r="K177" s="251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 t="n"/>
      <c r="B178" s="74" t="n"/>
      <c r="C178" s="74" t="n"/>
      <c r="D178" s="249" t="n"/>
      <c r="E178" s="74">
        <f>IF(J178&gt;1,"+",0)</f>
        <v/>
      </c>
      <c r="F178" s="75">
        <f>IF(E178&gt;0,$L$4,0)</f>
        <v/>
      </c>
      <c r="G178" s="256" t="n"/>
      <c r="H178" s="64" t="n"/>
      <c r="I178" s="250">
        <f>IFERROR(VLOOKUP(H178,Tabellen!H:I,2),0)</f>
        <v/>
      </c>
      <c r="J178" s="121" t="n"/>
      <c r="K178" s="251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 t="n"/>
      <c r="B179" s="74" t="n"/>
      <c r="C179" s="74" t="n"/>
      <c r="D179" s="249" t="n"/>
      <c r="E179" s="74">
        <f>IF(J179&gt;1,"+",0)</f>
        <v/>
      </c>
      <c r="F179" s="75">
        <f>IF(E179&gt;0,$L$4,0)</f>
        <v/>
      </c>
      <c r="G179" s="256" t="n"/>
      <c r="H179" s="64" t="n"/>
      <c r="I179" s="250">
        <f>IFERROR(VLOOKUP(H179,Tabellen!H:I,2),0)</f>
        <v/>
      </c>
      <c r="J179" s="121" t="n"/>
      <c r="K179" s="251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 t="n"/>
      <c r="B180" s="74" t="n"/>
      <c r="C180" s="74" t="n"/>
      <c r="D180" s="249" t="n"/>
      <c r="E180" s="74">
        <f>IF(J180&gt;1,"+",0)</f>
        <v/>
      </c>
      <c r="F180" s="75">
        <f>IF(E180&gt;0,$L$4,0)</f>
        <v/>
      </c>
      <c r="G180" s="256" t="n"/>
      <c r="H180" s="64" t="n"/>
      <c r="I180" s="250">
        <f>IFERROR(VLOOKUP(H180,Tabellen!H:I,2),0)</f>
        <v/>
      </c>
      <c r="J180" s="121" t="n"/>
      <c r="K180" s="251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 t="n"/>
      <c r="B181" s="74" t="n"/>
      <c r="C181" s="74" t="n"/>
      <c r="D181" s="249" t="n"/>
      <c r="E181" s="74">
        <f>IF(J181&gt;1,"+",0)</f>
        <v/>
      </c>
      <c r="F181" s="75">
        <f>IF(E181&gt;0,$L$4,0)</f>
        <v/>
      </c>
      <c r="G181" s="256" t="n"/>
      <c r="H181" s="64" t="n"/>
      <c r="I181" s="250">
        <f>IFERROR(VLOOKUP(H181,Tabellen!H:I,2),0)</f>
        <v/>
      </c>
      <c r="J181" s="121" t="n"/>
      <c r="K181" s="251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 t="n"/>
      <c r="B182" s="74" t="n"/>
      <c r="C182" s="74" t="n"/>
      <c r="D182" s="249" t="n"/>
      <c r="E182" s="74">
        <f>IF(J182&gt;1,"+",0)</f>
        <v/>
      </c>
      <c r="F182" s="75">
        <f>IF(E182&gt;0,$L$4,0)</f>
        <v/>
      </c>
      <c r="G182" s="256" t="n"/>
      <c r="H182" s="64" t="n"/>
      <c r="I182" s="250">
        <f>IFERROR(VLOOKUP(H182,Tabellen!H:I,2),0)</f>
        <v/>
      </c>
      <c r="J182" s="121" t="n"/>
      <c r="K182" s="251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 t="n"/>
      <c r="B183" s="74" t="n"/>
      <c r="C183" s="74" t="n"/>
      <c r="D183" s="249" t="n"/>
      <c r="E183" s="74">
        <f>IF(J183&gt;1,"+",0)</f>
        <v/>
      </c>
      <c r="F183" s="75">
        <f>IF(E183&gt;0,$L$4,0)</f>
        <v/>
      </c>
      <c r="G183" s="256" t="n"/>
      <c r="H183" s="64" t="n"/>
      <c r="I183" s="250">
        <f>IFERROR(VLOOKUP(H183,Tabellen!H:I,2),0)</f>
        <v/>
      </c>
      <c r="J183" s="121" t="n"/>
      <c r="K183" s="251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 t="n"/>
      <c r="B184" s="74" t="n"/>
      <c r="C184" s="74" t="n"/>
      <c r="D184" s="249" t="n"/>
      <c r="E184" s="74">
        <f>IF(J184&gt;1,"+",0)</f>
        <v/>
      </c>
      <c r="F184" s="75">
        <f>IF(E184&gt;0,$L$4,0)</f>
        <v/>
      </c>
      <c r="G184" s="256" t="n"/>
      <c r="H184" s="64" t="n"/>
      <c r="I184" s="250">
        <f>IFERROR(VLOOKUP(H184,Tabellen!H:I,2),0)</f>
        <v/>
      </c>
      <c r="J184" s="121" t="n"/>
      <c r="K184" s="251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 t="n"/>
      <c r="B185" s="74" t="n"/>
      <c r="C185" s="74" t="n"/>
      <c r="D185" s="249" t="n"/>
      <c r="E185" s="74">
        <f>IF(J185&gt;1,"+",0)</f>
        <v/>
      </c>
      <c r="F185" s="75">
        <f>IF(E185&gt;0,$L$4,0)</f>
        <v/>
      </c>
      <c r="G185" s="256" t="n"/>
      <c r="H185" s="64" t="n"/>
      <c r="I185" s="250">
        <f>IFERROR(VLOOKUP(H185,Tabellen!H:I,2),0)</f>
        <v/>
      </c>
      <c r="J185" s="121" t="n"/>
      <c r="K185" s="251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 t="n"/>
      <c r="B186" s="74" t="n"/>
      <c r="C186" s="74" t="n"/>
      <c r="D186" s="249" t="n"/>
      <c r="E186" s="74">
        <f>IF(J186&gt;1,"+",0)</f>
        <v/>
      </c>
      <c r="F186" s="75">
        <f>IF(E186&gt;0,$L$4,0)</f>
        <v/>
      </c>
      <c r="G186" s="256" t="n"/>
      <c r="H186" s="64" t="n"/>
      <c r="I186" s="250">
        <f>IFERROR(VLOOKUP(H186,Tabellen!H:I,2),0)</f>
        <v/>
      </c>
      <c r="J186" s="121" t="n"/>
      <c r="K186" s="251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 t="n"/>
      <c r="B187" s="74" t="n"/>
      <c r="C187" s="74" t="n"/>
      <c r="D187" s="249" t="n"/>
      <c r="E187" s="74">
        <f>IF(J187&gt;1,"+",0)</f>
        <v/>
      </c>
      <c r="F187" s="75">
        <f>IF(E187&gt;0,$L$4,0)</f>
        <v/>
      </c>
      <c r="G187" s="256" t="n"/>
      <c r="H187" s="64" t="n"/>
      <c r="I187" s="250">
        <f>IFERROR(VLOOKUP(H187,Tabellen!H:I,2),0)</f>
        <v/>
      </c>
      <c r="J187" s="121" t="n"/>
      <c r="K187" s="251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 t="n"/>
      <c r="B188" s="74" t="n"/>
      <c r="C188" s="74" t="n"/>
      <c r="D188" s="249" t="n"/>
      <c r="E188" s="74">
        <f>IF(J188&gt;1,"+",0)</f>
        <v/>
      </c>
      <c r="F188" s="75">
        <f>IF(E188&gt;0,$L$4,0)</f>
        <v/>
      </c>
      <c r="G188" s="256" t="n"/>
      <c r="H188" s="64" t="n"/>
      <c r="I188" s="250">
        <f>IFERROR(VLOOKUP(H188,Tabellen!H:I,2),0)</f>
        <v/>
      </c>
      <c r="J188" s="121" t="n"/>
      <c r="K188" s="251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 t="n"/>
      <c r="B189" s="74" t="n"/>
      <c r="C189" s="74" t="n"/>
      <c r="D189" s="249" t="n"/>
      <c r="E189" s="74">
        <f>IF(J189&gt;1,"+",0)</f>
        <v/>
      </c>
      <c r="F189" s="75">
        <f>IF(E189&gt;0,$L$4,0)</f>
        <v/>
      </c>
      <c r="G189" s="256" t="n"/>
      <c r="H189" s="64" t="n"/>
      <c r="I189" s="250">
        <f>IFERROR(VLOOKUP(H189,Tabellen!H:I,2),0)</f>
        <v/>
      </c>
      <c r="J189" s="121" t="n"/>
      <c r="K189" s="251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 t="n"/>
      <c r="B190" s="74" t="n"/>
      <c r="C190" s="74" t="n"/>
      <c r="D190" s="249" t="n"/>
      <c r="E190" s="74">
        <f>IF(J190&gt;1,"+",0)</f>
        <v/>
      </c>
      <c r="F190" s="75">
        <f>IF(E190&gt;0,$L$4,0)</f>
        <v/>
      </c>
      <c r="G190" s="256" t="n"/>
      <c r="H190" s="64" t="n"/>
      <c r="I190" s="250">
        <f>IFERROR(VLOOKUP(H190,Tabellen!H:I,2),0)</f>
        <v/>
      </c>
      <c r="J190" s="121" t="n"/>
      <c r="K190" s="251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 t="n"/>
      <c r="B191" s="74" t="n"/>
      <c r="C191" s="74" t="n"/>
      <c r="D191" s="249" t="n"/>
      <c r="E191" s="74">
        <f>IF(J191&gt;1,"+",0)</f>
        <v/>
      </c>
      <c r="F191" s="75">
        <f>IF(E191&gt;0,$L$4,0)</f>
        <v/>
      </c>
      <c r="G191" s="256" t="n"/>
      <c r="H191" s="64" t="n"/>
      <c r="I191" s="250">
        <f>IFERROR(VLOOKUP(H191,Tabellen!H:I,2),0)</f>
        <v/>
      </c>
      <c r="J191" s="121" t="n"/>
      <c r="K191" s="251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 t="n"/>
      <c r="B192" s="74" t="n"/>
      <c r="C192" s="74" t="n"/>
      <c r="D192" s="249" t="n"/>
      <c r="E192" s="74">
        <f>IF(J192&gt;1,"+",0)</f>
        <v/>
      </c>
      <c r="F192" s="75">
        <f>IF(E192&gt;0,$L$4,0)</f>
        <v/>
      </c>
      <c r="G192" s="256" t="n"/>
      <c r="H192" s="64" t="n"/>
      <c r="I192" s="250">
        <f>IFERROR(VLOOKUP(H192,Tabellen!H:I,2),0)</f>
        <v/>
      </c>
      <c r="J192" s="121" t="n"/>
      <c r="K192" s="251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 t="n"/>
      <c r="B193" s="74" t="n"/>
      <c r="C193" s="74" t="n"/>
      <c r="D193" s="249" t="n"/>
      <c r="E193" s="74">
        <f>IF(J193&gt;1,"+",0)</f>
        <v/>
      </c>
      <c r="F193" s="75">
        <f>IF(E193&gt;0,$L$4,0)</f>
        <v/>
      </c>
      <c r="G193" s="256" t="n"/>
      <c r="H193" s="64" t="n"/>
      <c r="I193" s="250">
        <f>IFERROR(VLOOKUP(H193,Tabellen!H:I,2),0)</f>
        <v/>
      </c>
      <c r="J193" s="121" t="n"/>
      <c r="K193" s="251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 t="n"/>
      <c r="B194" s="74" t="n"/>
      <c r="C194" s="74" t="n"/>
      <c r="D194" s="249" t="n"/>
      <c r="E194" s="74">
        <f>IF(J194&gt;1,"+",0)</f>
        <v/>
      </c>
      <c r="F194" s="75">
        <f>IF(E194&gt;0,$L$4,0)</f>
        <v/>
      </c>
      <c r="G194" s="256" t="n"/>
      <c r="H194" s="64" t="n"/>
      <c r="I194" s="250">
        <f>IFERROR(VLOOKUP(H194,Tabellen!H:I,2),0)</f>
        <v/>
      </c>
      <c r="J194" s="121" t="n"/>
      <c r="K194" s="251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 t="n"/>
      <c r="B195" s="74" t="n"/>
      <c r="C195" s="74" t="n"/>
      <c r="D195" s="249" t="n"/>
      <c r="E195" s="74">
        <f>IF(J195&gt;1,"+",0)</f>
        <v/>
      </c>
      <c r="F195" s="75">
        <f>IF(E195&gt;0,$L$4,0)</f>
        <v/>
      </c>
      <c r="G195" s="256" t="n"/>
      <c r="H195" s="64" t="n"/>
      <c r="I195" s="250">
        <f>IFERROR(VLOOKUP(H195,Tabellen!H:I,2),0)</f>
        <v/>
      </c>
      <c r="J195" s="121" t="n"/>
      <c r="K195" s="251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 t="n"/>
      <c r="B196" s="74" t="n"/>
      <c r="C196" s="74" t="n"/>
      <c r="D196" s="249" t="n"/>
      <c r="E196" s="74">
        <f>IF(J196&gt;1,"+",0)</f>
        <v/>
      </c>
      <c r="F196" s="75">
        <f>IF(E196&gt;0,$L$4,0)</f>
        <v/>
      </c>
      <c r="G196" s="256" t="n"/>
      <c r="H196" s="64" t="n"/>
      <c r="I196" s="250">
        <f>IFERROR(VLOOKUP(H196,Tabellen!H:I,2),0)</f>
        <v/>
      </c>
      <c r="J196" s="121" t="n"/>
      <c r="K196" s="251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 t="n"/>
      <c r="B197" s="74" t="n"/>
      <c r="C197" s="74" t="n"/>
      <c r="D197" s="249" t="n"/>
      <c r="E197" s="74">
        <f>IF(J197&gt;1,"+",0)</f>
        <v/>
      </c>
      <c r="F197" s="75">
        <f>IF(E197&gt;0,$L$4,0)</f>
        <v/>
      </c>
      <c r="G197" s="256" t="n"/>
      <c r="H197" s="64" t="n"/>
      <c r="I197" s="250">
        <f>IFERROR(VLOOKUP(H197,Tabellen!H:I,2),0)</f>
        <v/>
      </c>
      <c r="J197" s="121" t="n"/>
      <c r="K197" s="251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 t="n"/>
      <c r="B198" s="74" t="n"/>
      <c r="C198" s="74" t="n"/>
      <c r="D198" s="249" t="n"/>
      <c r="E198" s="74">
        <f>IF(J198&gt;1,"+",0)</f>
        <v/>
      </c>
      <c r="F198" s="75">
        <f>IF(E198&gt;0,$L$4,0)</f>
        <v/>
      </c>
      <c r="G198" s="256" t="n"/>
      <c r="H198" s="64" t="n"/>
      <c r="I198" s="250">
        <f>IFERROR(VLOOKUP(H198,Tabellen!H:I,2),0)</f>
        <v/>
      </c>
      <c r="J198" s="121" t="n"/>
      <c r="K198" s="251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 t="n"/>
      <c r="B199" s="74" t="n"/>
      <c r="C199" s="74" t="n"/>
      <c r="D199" s="249" t="n"/>
      <c r="E199" s="74">
        <f>IF(J199&gt;1,"+",0)</f>
        <v/>
      </c>
      <c r="F199" s="75">
        <f>IF(E199&gt;0,$L$4,0)</f>
        <v/>
      </c>
      <c r="G199" s="256" t="n"/>
      <c r="H199" s="64" t="n"/>
      <c r="I199" s="250">
        <f>IFERROR(VLOOKUP(H199,Tabellen!H:I,2),0)</f>
        <v/>
      </c>
      <c r="J199" s="121" t="n"/>
      <c r="K199" s="251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 t="n"/>
      <c r="B200" s="74" t="n"/>
      <c r="C200" s="74" t="n"/>
      <c r="D200" s="249" t="n"/>
      <c r="E200" s="74">
        <f>IF(J200&gt;1,"+",0)</f>
        <v/>
      </c>
      <c r="F200" s="75">
        <f>IF(E200&gt;0,$L$4,0)</f>
        <v/>
      </c>
      <c r="G200" s="256" t="n"/>
      <c r="H200" s="64" t="n"/>
      <c r="I200" s="250">
        <f>IFERROR(VLOOKUP(H200,Tabellen!H:I,2),0)</f>
        <v/>
      </c>
      <c r="J200" s="121" t="n"/>
      <c r="K200" s="251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 t="n"/>
      <c r="B201" s="74" t="n"/>
      <c r="C201" s="74" t="n"/>
      <c r="D201" s="249" t="n"/>
      <c r="E201" s="74">
        <f>IF(J201&gt;1,"+",0)</f>
        <v/>
      </c>
      <c r="F201" s="75">
        <f>IF(E201&gt;0,$L$4,0)</f>
        <v/>
      </c>
      <c r="G201" s="256" t="n"/>
      <c r="H201" s="64" t="n"/>
      <c r="I201" s="250">
        <f>IFERROR(VLOOKUP(H201,Tabellen!H:I,2),0)</f>
        <v/>
      </c>
      <c r="J201" s="121" t="n"/>
      <c r="K201" s="251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 t="n"/>
      <c r="B202" s="74" t="n"/>
      <c r="C202" s="74" t="n"/>
      <c r="D202" s="249" t="n"/>
      <c r="E202" s="74">
        <f>IF(J202&gt;1,"+",0)</f>
        <v/>
      </c>
      <c r="F202" s="75">
        <f>IF(E202&gt;0,$L$4,0)</f>
        <v/>
      </c>
      <c r="G202" s="256" t="n"/>
      <c r="H202" s="64" t="n"/>
      <c r="I202" s="250">
        <f>IFERROR(VLOOKUP(H202,Tabellen!H:I,2),0)</f>
        <v/>
      </c>
      <c r="J202" s="121" t="n"/>
      <c r="K202" s="251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 t="n"/>
      <c r="B203" s="74" t="n"/>
      <c r="C203" s="74" t="n"/>
      <c r="D203" s="249" t="n"/>
      <c r="E203" s="74">
        <f>IF(J203&gt;1,"+",0)</f>
        <v/>
      </c>
      <c r="F203" s="75">
        <f>IF(E203&gt;0,$L$4,0)</f>
        <v/>
      </c>
      <c r="G203" s="256" t="n"/>
      <c r="H203" s="64" t="n"/>
      <c r="I203" s="250">
        <f>IFERROR(VLOOKUP(H203,Tabellen!H:I,2),0)</f>
        <v/>
      </c>
      <c r="J203" s="121" t="n"/>
      <c r="K203" s="251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 t="n"/>
      <c r="B204" s="74" t="n"/>
      <c r="C204" s="74" t="n"/>
      <c r="D204" s="249" t="n"/>
      <c r="E204" s="74">
        <f>IF(J204&gt;1,"+",0)</f>
        <v/>
      </c>
      <c r="F204" s="75">
        <f>IF(E204&gt;0,$L$4,0)</f>
        <v/>
      </c>
      <c r="G204" s="256" t="n"/>
      <c r="H204" s="64" t="n"/>
      <c r="I204" s="250">
        <f>IFERROR(VLOOKUP(H204,Tabellen!H:I,2),0)</f>
        <v/>
      </c>
      <c r="J204" s="121" t="n"/>
      <c r="K204" s="251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2026-06-25T13:22:21Z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