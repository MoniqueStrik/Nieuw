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6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000000"/>
      <sz val="9"/>
    </font>
    <font>
      <name val="Calibri"/>
      <i val="1"/>
      <color rgb="FF1A5FA8"/>
      <sz val="9"/>
    </font>
    <font>
      <name val="Calibri"/>
      <b val="1"/>
      <color rgb="FF1A5FA8"/>
      <sz val="9"/>
    </font>
    <font>
      <name val="Calibri"/>
      <b val="1"/>
      <color rgb="FF000000"/>
      <sz val="9"/>
    </font>
    <font>
      <name val="Calibri"/>
      <i val="1"/>
      <color rgb="FF888888"/>
      <sz val="9"/>
    </font>
    <font>
      <name val="Calibri"/>
      <b val="1"/>
      <i val="1"/>
      <color rgb="FF000000"/>
      <sz val="9"/>
    </font>
    <font>
      <name val="Calibri"/>
      <b val="1"/>
      <color rgb="FF1B5E20"/>
      <sz val="9"/>
    </font>
    <font>
      <name val="Calibri"/>
      <b val="1"/>
      <color rgb="FF7D5A00"/>
      <sz val="9"/>
    </font>
    <font>
      <name val="Calibri"/>
      <b val="1"/>
      <color rgb="FFFFFFFF"/>
      <sz val="12"/>
    </font>
    <font>
      <name val="Calibri"/>
      <i val="1"/>
      <color rgb="FF7A94AE"/>
      <sz val="10"/>
    </font>
    <font>
      <name val="Calibri"/>
      <color rgb="FF0D1E35"/>
      <sz val="9"/>
    </font>
    <font>
      <name val="Calibri"/>
      <color rgb="FFFFFFFF"/>
      <sz val="12"/>
    </font>
    <font>
      <name val="Calibri"/>
      <b val="1"/>
      <color rgb="FF0D1E35"/>
      <sz val="9"/>
    </font>
    <font>
      <name val="Calibri"/>
      <i val="1"/>
      <color rgb="FF888888"/>
      <sz val="8"/>
    </font>
    <font>
      <name val="Calibri"/>
      <b val="1"/>
      <color rgb="FF0D47A1"/>
      <sz val="9"/>
    </font>
    <font>
      <name val="Calibri"/>
      <b val="1"/>
      <i val="1"/>
      <color rgb="FF0D1E35"/>
      <sz val="9"/>
    </font>
    <font>
      <name val="Calibri"/>
      <b val="1"/>
      <color rgb="FF0D1E35"/>
      <sz val="10"/>
    </font>
    <font>
      <name val="Calibri"/>
      <b val="1"/>
      <color rgb="FFFFFFFF"/>
      <sz val="10"/>
    </font>
  </fonts>
  <fills count="37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1A5FA8"/>
      </patternFill>
    </fill>
    <fill>
      <patternFill patternType="solid">
        <fgColor rgb="FFE4EDF8"/>
      </patternFill>
    </fill>
    <fill>
      <patternFill patternType="solid">
        <fgColor rgb="FFE0E0E0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DFF7DF"/>
      </patternFill>
    </fill>
    <fill>
      <patternFill patternType="solid">
        <fgColor rgb="FFD6EAF8"/>
      </patternFill>
    </fill>
    <fill>
      <patternFill patternType="solid">
        <fgColor rgb="FFD0E8F8"/>
      </patternFill>
    </fill>
    <fill>
      <patternFill patternType="solid">
        <fgColor rgb="FFD8F0D8"/>
      </patternFill>
    </fill>
  </fills>
  <borders count="2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693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  <xf numFmtId="0" fontId="54" fillId="31" borderId="1" applyAlignment="1" applyProtection="1" pivotButton="0" quotePrefix="0" xfId="0">
      <alignment horizontal="left" vertical="top" wrapText="1"/>
      <protection locked="0" hidden="0"/>
    </xf>
    <xf numFmtId="0" fontId="54" fillId="31" borderId="1" applyAlignment="1" applyProtection="1" pivotButton="0" quotePrefix="0" xfId="0">
      <alignment horizontal="center"/>
      <protection locked="0" hidden="0"/>
    </xf>
    <xf numFmtId="0" fontId="54" fillId="31" borderId="3" applyAlignment="1" applyProtection="1" pivotButton="0" quotePrefix="0" xfId="0">
      <alignment horizontal="center"/>
      <protection locked="0" hidden="0"/>
    </xf>
    <xf numFmtId="0" fontId="54" fillId="31" borderId="4" applyAlignment="1" applyProtection="1" pivotButton="0" quotePrefix="0" xfId="0">
      <alignment horizontal="left" vertical="top" wrapText="1"/>
      <protection locked="0" hidden="0"/>
    </xf>
    <xf numFmtId="1" fontId="54" fillId="31" borderId="1" applyAlignment="1" applyProtection="1" pivotButton="0" quotePrefix="0" xfId="0">
      <alignment horizontal="center"/>
      <protection locked="0" hidden="0"/>
    </xf>
    <xf numFmtId="164" fontId="54" fillId="31" borderId="1" applyAlignment="1" applyProtection="1" pivotButton="0" quotePrefix="0" xfId="0">
      <alignment vertical="top" wrapText="1"/>
      <protection locked="0" hidden="0"/>
    </xf>
    <xf numFmtId="0" fontId="54" fillId="31" borderId="3" applyAlignment="1" applyProtection="1" pivotButton="0" quotePrefix="0" xfId="0">
      <alignment vertical="top" wrapText="1"/>
      <protection locked="0" hidden="0"/>
    </xf>
    <xf numFmtId="0" fontId="54" fillId="31" borderId="1" applyAlignment="1" applyProtection="1" pivotButton="0" quotePrefix="0" xfId="0">
      <alignment horizontal="right"/>
      <protection locked="0" hidden="0"/>
    </xf>
    <xf numFmtId="0" fontId="54" fillId="31" borderId="0" pivotButton="0" quotePrefix="0" xfId="0"/>
    <xf numFmtId="0" fontId="54" fillId="31" borderId="0" applyProtection="1" pivotButton="0" quotePrefix="0" xfId="0">
      <protection locked="0" hidden="0"/>
    </xf>
    <xf numFmtId="0" fontId="4" fillId="33" borderId="1" applyAlignment="1" applyProtection="1" pivotButton="0" quotePrefix="0" xfId="0">
      <alignment horizontal="center"/>
      <protection locked="0" hidden="0"/>
    </xf>
    <xf numFmtId="0" fontId="4" fillId="33" borderId="1" applyAlignment="1" applyProtection="1" pivotButton="0" quotePrefix="0" xfId="0">
      <alignment horizontal="right"/>
      <protection locked="0" hidden="0"/>
    </xf>
    <xf numFmtId="0" fontId="4" fillId="33" borderId="2" applyAlignment="1" applyProtection="1" pivotButton="0" quotePrefix="0" xfId="0">
      <alignment horizontal="right"/>
      <protection locked="0" hidden="0"/>
    </xf>
    <xf numFmtId="0" fontId="55" fillId="32" borderId="21" applyAlignment="1" applyProtection="1" pivotButton="0" quotePrefix="0" xfId="0">
      <alignment horizontal="left" vertical="top" wrapText="1"/>
      <protection locked="0" hidden="0"/>
    </xf>
    <xf numFmtId="0" fontId="55" fillId="32" borderId="21" applyAlignment="1" applyProtection="1" pivotButton="0" quotePrefix="0" xfId="0">
      <alignment horizontal="center"/>
      <protection locked="0" hidden="0"/>
    </xf>
    <xf numFmtId="1" fontId="55" fillId="32" borderId="21" applyAlignment="1" applyProtection="1" pivotButton="0" quotePrefix="0" xfId="0">
      <alignment horizontal="center"/>
      <protection locked="0" hidden="0"/>
    </xf>
    <xf numFmtId="164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horizontal="right"/>
      <protection locked="0" hidden="0"/>
    </xf>
    <xf numFmtId="0" fontId="55" fillId="32" borderId="21" pivotButton="0" quotePrefix="0" xfId="0"/>
    <xf numFmtId="0" fontId="55" fillId="32" borderId="21" applyProtection="1" pivotButton="0" quotePrefix="0" xfId="0">
      <protection locked="0" hidden="0"/>
    </xf>
    <xf numFmtId="0" fontId="47" fillId="25" borderId="0" applyAlignment="1" pivotButton="0" quotePrefix="0" xfId="0">
      <alignment horizontal="left" vertical="center"/>
    </xf>
    <xf numFmtId="0" fontId="46" fillId="25" borderId="0" applyAlignment="1" pivotButton="0" quotePrefix="0" xfId="0">
      <alignment horizontal="left" vertical="center"/>
    </xf>
    <xf numFmtId="0" fontId="49" fillId="26" borderId="0" applyAlignment="1" pivotButton="0" quotePrefix="0" xfId="0">
      <alignment horizontal="left" vertical="center"/>
    </xf>
    <xf numFmtId="0" fontId="48" fillId="26" borderId="0" applyAlignment="1" pivotButton="0" quotePrefix="0" xfId="0">
      <alignment horizontal="left" vertical="center"/>
    </xf>
    <xf numFmtId="0" fontId="0" fillId="27" borderId="0" pivotButton="0" quotePrefix="0" xfId="0"/>
    <xf numFmtId="0" fontId="46" fillId="28" borderId="28" applyAlignment="1" pivotButton="0" quotePrefix="0" xfId="0">
      <alignment horizontal="left" vertical="center"/>
    </xf>
    <xf numFmtId="0" fontId="46" fillId="28" borderId="28" applyAlignment="1" pivotButton="0" quotePrefix="0" xfId="0">
      <alignment horizontal="center" vertical="center"/>
    </xf>
    <xf numFmtId="0" fontId="48" fillId="26" borderId="28" applyAlignment="1" pivotButton="0" quotePrefix="0" xfId="0">
      <alignment horizontal="left" vertical="center"/>
    </xf>
    <xf numFmtId="3" fontId="48" fillId="26" borderId="28" applyAlignment="1" pivotButton="0" quotePrefix="0" xfId="0">
      <alignment horizontal="right" vertical="center"/>
    </xf>
    <xf numFmtId="0" fontId="48" fillId="27" borderId="28" applyAlignment="1" pivotButton="0" quotePrefix="0" xfId="0">
      <alignment horizontal="left" vertical="center"/>
    </xf>
    <xf numFmtId="3" fontId="48" fillId="27" borderId="28" applyAlignment="1" pivotButton="0" quotePrefix="0" xfId="0">
      <alignment horizontal="right" vertical="center"/>
    </xf>
    <xf numFmtId="0" fontId="46" fillId="25" borderId="28" applyAlignment="1" pivotButton="0" quotePrefix="0" xfId="0">
      <alignment horizontal="left" vertical="center"/>
    </xf>
    <xf numFmtId="3" fontId="46" fillId="25" borderId="28" applyAlignment="1" pivotButton="0" quotePrefix="0" xfId="0">
      <alignment horizontal="right" vertical="center"/>
    </xf>
    <xf numFmtId="0" fontId="50" fillId="29" borderId="26" applyAlignment="1" pivotButton="0" quotePrefix="0" xfId="0">
      <alignment horizontal="left" vertical="center"/>
    </xf>
    <xf numFmtId="0" fontId="50" fillId="29" borderId="25" applyAlignment="1" pivotButton="0" quotePrefix="0" xfId="0">
      <alignment horizontal="left" vertical="center"/>
    </xf>
    <xf numFmtId="0" fontId="51" fillId="26" borderId="19" applyAlignment="1" pivotButton="0" quotePrefix="0" xfId="0">
      <alignment horizontal="left" vertical="center"/>
    </xf>
    <xf numFmtId="3" fontId="48" fillId="20" borderId="28" applyAlignment="1" applyProtection="1" pivotButton="0" quotePrefix="0" xfId="0">
      <alignment horizontal="right" vertical="center"/>
      <protection locked="0" hidden="0"/>
    </xf>
    <xf numFmtId="0" fontId="51" fillId="26" borderId="0" applyAlignment="1" pivotButton="0" quotePrefix="0" xfId="0">
      <alignment horizontal="left" vertical="center"/>
    </xf>
    <xf numFmtId="3" fontId="51" fillId="26" borderId="28" applyAlignment="1" pivotButton="0" quotePrefix="0" xfId="0">
      <alignment horizontal="right" vertical="center"/>
    </xf>
    <xf numFmtId="0" fontId="52" fillId="27" borderId="0" applyAlignment="1" pivotButton="0" quotePrefix="0" xfId="0">
      <alignment horizontal="left" vertical="center"/>
    </xf>
    <xf numFmtId="0" fontId="53" fillId="30" borderId="0" applyAlignment="1" pivotButton="0" quotePrefix="0" xfId="0">
      <alignment horizontal="left" vertical="center"/>
    </xf>
    <xf numFmtId="3" fontId="51" fillId="30" borderId="28" applyAlignment="1" pivotButton="0" quotePrefix="0" xfId="0">
      <alignment horizontal="right" vertical="center"/>
    </xf>
    <xf numFmtId="0" fontId="0" fillId="30" borderId="0" pivotButton="0" quotePrefix="0" xfId="0"/>
    <xf numFmtId="0" fontId="56" fillId="25" borderId="0" applyAlignment="1" pivotButton="0" quotePrefix="0" xfId="0">
      <alignment horizontal="left" vertical="center"/>
    </xf>
    <xf numFmtId="0" fontId="59" fillId="25" borderId="0" applyAlignment="1" pivotButton="0" quotePrefix="0" xfId="0">
      <alignment horizontal="left" vertical="center"/>
    </xf>
    <xf numFmtId="0" fontId="57" fillId="26" borderId="0" applyAlignment="1" pivotButton="0" quotePrefix="0" xfId="0">
      <alignment horizontal="left" vertical="center"/>
    </xf>
    <xf numFmtId="0" fontId="46" fillId="28" borderId="1" applyAlignment="1" pivotButton="0" quotePrefix="0" xfId="0">
      <alignment horizontal="left" vertical="center"/>
    </xf>
    <xf numFmtId="0" fontId="46" fillId="28" borderId="1" applyAlignment="1" pivotButton="0" quotePrefix="0" xfId="0">
      <alignment horizontal="center" vertical="center"/>
    </xf>
    <xf numFmtId="0" fontId="46" fillId="28" borderId="4" applyAlignment="1" pivotButton="0" quotePrefix="0" xfId="0">
      <alignment horizontal="center" vertical="center"/>
    </xf>
    <xf numFmtId="0" fontId="50" fillId="29" borderId="1" applyAlignment="1" pivotButton="0" quotePrefix="0" xfId="0">
      <alignment horizontal="left" vertical="center"/>
    </xf>
    <xf numFmtId="0" fontId="50" fillId="29" borderId="4" applyAlignment="1" pivotButton="0" quotePrefix="0" xfId="0">
      <alignment horizontal="left" vertical="center"/>
    </xf>
    <xf numFmtId="0" fontId="58" fillId="26" borderId="1" applyAlignment="1" pivotButton="0" quotePrefix="0" xfId="0">
      <alignment horizontal="left" vertical="center"/>
    </xf>
    <xf numFmtId="0" fontId="58" fillId="26" borderId="4" applyAlignment="1" pivotButton="0" quotePrefix="0" xfId="0">
      <alignment horizontal="left" vertical="center"/>
    </xf>
    <xf numFmtId="3" fontId="58" fillId="26" borderId="1" applyAlignment="1" pivotButton="0" quotePrefix="0" xfId="0">
      <alignment horizontal="right" vertical="center"/>
    </xf>
    <xf numFmtId="0" fontId="58" fillId="27" borderId="1" applyAlignment="1" pivotButton="0" quotePrefix="0" xfId="0">
      <alignment horizontal="left" vertical="center"/>
    </xf>
    <xf numFmtId="0" fontId="58" fillId="27" borderId="4" applyAlignment="1" pivotButton="0" quotePrefix="0" xfId="0">
      <alignment horizontal="left" vertical="center"/>
    </xf>
    <xf numFmtId="3" fontId="58" fillId="27" borderId="1" applyAlignment="1" pivotButton="0" quotePrefix="0" xfId="0">
      <alignment horizontal="right" vertical="center"/>
    </xf>
    <xf numFmtId="3" fontId="58" fillId="27" borderId="2" applyAlignment="1" pivotButton="0" quotePrefix="0" xfId="0">
      <alignment horizontal="right" vertical="center"/>
    </xf>
    <xf numFmtId="0" fontId="34" fillId="26" borderId="1" applyAlignment="1" pivotButton="0" quotePrefix="0" xfId="0">
      <alignment horizontal="left" vertical="center"/>
    </xf>
    <xf numFmtId="0" fontId="34" fillId="26" borderId="4" applyAlignment="1" pivotButton="0" quotePrefix="0" xfId="0">
      <alignment horizontal="left" vertical="center"/>
    </xf>
    <xf numFmtId="3" fontId="34" fillId="26" borderId="1" applyAlignment="1" pivotButton="0" quotePrefix="0" xfId="0">
      <alignment horizontal="right" vertical="center"/>
    </xf>
    <xf numFmtId="0" fontId="38" fillId="26" borderId="22" applyAlignment="1" pivotButton="0" quotePrefix="0" xfId="0">
      <alignment horizontal="left" vertical="center"/>
    </xf>
    <xf numFmtId="3" fontId="38" fillId="26" borderId="22" applyAlignment="1" pivotButton="0" quotePrefix="0" xfId="0">
      <alignment horizontal="right" vertical="center"/>
    </xf>
    <xf numFmtId="3" fontId="58" fillId="26" borderId="2" applyAlignment="1" pivotButton="0" quotePrefix="0" xfId="0">
      <alignment horizontal="right" vertical="center"/>
    </xf>
    <xf numFmtId="0" fontId="28" fillId="27" borderId="1" applyAlignment="1" pivotButton="0" quotePrefix="0" xfId="0">
      <alignment horizontal="left" vertical="center"/>
    </xf>
    <xf numFmtId="0" fontId="28" fillId="27" borderId="4" applyAlignment="1" pivotButton="0" quotePrefix="0" xfId="0">
      <alignment horizontal="left" vertical="center"/>
    </xf>
    <xf numFmtId="3" fontId="28" fillId="27" borderId="1" applyAlignment="1" pivotButton="0" quotePrefix="0" xfId="0">
      <alignment horizontal="right" vertical="center"/>
    </xf>
    <xf numFmtId="0" fontId="43" fillId="26" borderId="0" applyAlignment="1" pivotButton="0" quotePrefix="0" xfId="0">
      <alignment horizontal="left" vertical="center"/>
    </xf>
    <xf numFmtId="0" fontId="58" fillId="26" borderId="0" applyAlignment="1" pivotButton="0" quotePrefix="0" xfId="0">
      <alignment horizontal="left" vertical="center"/>
    </xf>
    <xf numFmtId="3" fontId="43" fillId="26" borderId="0" applyAlignment="1" pivotButton="0" quotePrefix="0" xfId="0">
      <alignment horizontal="right" vertical="center"/>
    </xf>
    <xf numFmtId="3" fontId="58" fillId="26" borderId="0" applyAlignment="1" pivotButton="0" quotePrefix="0" xfId="0">
      <alignment horizontal="right" vertical="center"/>
    </xf>
    <xf numFmtId="14" fontId="56" fillId="25" borderId="0" applyAlignment="1" pivotButton="0" quotePrefix="0" xfId="0">
      <alignment horizontal="left" vertical="center"/>
    </xf>
    <xf numFmtId="1" fontId="59" fillId="25" borderId="0" applyAlignment="1" pivotButton="0" quotePrefix="0" xfId="0">
      <alignment horizontal="left" vertical="center"/>
    </xf>
    <xf numFmtId="3" fontId="59" fillId="25" borderId="0" applyAlignment="1" pivotButton="0" quotePrefix="0" xfId="0">
      <alignment horizontal="left" vertical="center"/>
    </xf>
    <xf numFmtId="1" fontId="57" fillId="26" borderId="0" applyAlignment="1" pivotButton="0" quotePrefix="0" xfId="0">
      <alignment horizontal="center" vertical="center"/>
    </xf>
    <xf numFmtId="3" fontId="57" fillId="26" borderId="0" applyAlignment="1" pivotButton="0" quotePrefix="0" xfId="0">
      <alignment horizontal="center" vertical="center"/>
    </xf>
    <xf numFmtId="0" fontId="57" fillId="26" borderId="0" applyAlignment="1" pivotButton="0" quotePrefix="0" xfId="0">
      <alignment horizontal="center" vertical="center"/>
    </xf>
    <xf numFmtId="1" fontId="57" fillId="26" borderId="0" applyAlignment="1" pivotButton="0" quotePrefix="0" xfId="0">
      <alignment horizontal="left" vertical="center"/>
    </xf>
    <xf numFmtId="1" fontId="46" fillId="28" borderId="13" applyAlignment="1" pivotButton="0" quotePrefix="0" xfId="0">
      <alignment horizontal="left" vertical="center"/>
    </xf>
    <xf numFmtId="1" fontId="46" fillId="28" borderId="13" applyAlignment="1" pivotButton="0" quotePrefix="0" xfId="0">
      <alignment horizontal="center" vertical="center"/>
    </xf>
    <xf numFmtId="3" fontId="46" fillId="28" borderId="13" applyAlignment="1" pivotButton="0" quotePrefix="0" xfId="0">
      <alignment horizontal="center" vertical="center"/>
    </xf>
    <xf numFmtId="0" fontId="46" fillId="28" borderId="0" applyAlignment="1" pivotButton="0" quotePrefix="0" xfId="0">
      <alignment horizontal="center" vertical="center"/>
    </xf>
    <xf numFmtId="0" fontId="58" fillId="27" borderId="14" applyAlignment="1" pivotButton="0" quotePrefix="0" xfId="0">
      <alignment horizontal="left" vertical="center"/>
    </xf>
    <xf numFmtId="3" fontId="58" fillId="27" borderId="14" applyAlignment="1" pivotButton="0" quotePrefix="0" xfId="0">
      <alignment horizontal="right" vertical="center"/>
    </xf>
    <xf numFmtId="0" fontId="58" fillId="26" borderId="14" applyAlignment="1" pivotButton="0" quotePrefix="0" xfId="0">
      <alignment horizontal="left" vertical="center"/>
    </xf>
    <xf numFmtId="3" fontId="58" fillId="26" borderId="14" applyAlignment="1" pivotButton="0" quotePrefix="0" xfId="0">
      <alignment horizontal="right" vertical="center"/>
    </xf>
    <xf numFmtId="0" fontId="58" fillId="27" borderId="0" applyAlignment="1" pivotButton="0" quotePrefix="0" xfId="0">
      <alignment horizontal="left" vertical="center"/>
    </xf>
    <xf numFmtId="3" fontId="58" fillId="27" borderId="0" applyAlignment="1" pivotButton="0" quotePrefix="0" xfId="0">
      <alignment horizontal="right" vertical="center"/>
    </xf>
    <xf numFmtId="0" fontId="57" fillId="26" borderId="0" pivotButton="0" quotePrefix="0" xfId="0"/>
    <xf numFmtId="3" fontId="57" fillId="26" borderId="0" pivotButton="0" quotePrefix="0" xfId="0"/>
    <xf numFmtId="3" fontId="0" fillId="27" borderId="0" pivotButton="0" quotePrefix="0" xfId="0"/>
    <xf numFmtId="0" fontId="46" fillId="28" borderId="15" applyAlignment="1" pivotButton="0" quotePrefix="0" xfId="0">
      <alignment horizontal="left" vertical="center"/>
    </xf>
    <xf numFmtId="0" fontId="46" fillId="28" borderId="15" applyAlignment="1" pivotButton="0" quotePrefix="0" xfId="0">
      <alignment horizontal="center" vertical="center"/>
    </xf>
    <xf numFmtId="3" fontId="46" fillId="28" borderId="15" applyAlignment="1" pivotButton="0" quotePrefix="0" xfId="0">
      <alignment horizontal="center" vertical="center"/>
    </xf>
    <xf numFmtId="0" fontId="58" fillId="27" borderId="16" applyAlignment="1" pivotButton="0" quotePrefix="0" xfId="0">
      <alignment horizontal="left" vertical="center"/>
    </xf>
    <xf numFmtId="3" fontId="58" fillId="27" borderId="16" applyAlignment="1" pivotButton="0" quotePrefix="0" xfId="0">
      <alignment horizontal="right" vertical="center"/>
    </xf>
    <xf numFmtId="0" fontId="58" fillId="26" borderId="16" applyAlignment="1" pivotButton="0" quotePrefix="0" xfId="0">
      <alignment horizontal="left" vertical="center"/>
    </xf>
    <xf numFmtId="3" fontId="58" fillId="26" borderId="16" applyAlignment="1" pivotButton="0" quotePrefix="0" xfId="0">
      <alignment horizontal="right" vertical="center"/>
    </xf>
    <xf numFmtId="0" fontId="30" fillId="26" borderId="20" applyAlignment="1" pivotButton="0" quotePrefix="0" xfId="0">
      <alignment horizontal="left" vertical="center"/>
    </xf>
    <xf numFmtId="0" fontId="58" fillId="26" borderId="19" applyAlignment="1" pivotButton="0" quotePrefix="0" xfId="0">
      <alignment horizontal="left" vertical="center"/>
    </xf>
    <xf numFmtId="3" fontId="30" fillId="26" borderId="16" applyAlignment="1" pivotButton="0" quotePrefix="0" xfId="0">
      <alignment horizontal="right" vertical="center"/>
    </xf>
    <xf numFmtId="0" fontId="31" fillId="27" borderId="20" applyAlignment="1" pivotButton="0" quotePrefix="0" xfId="0">
      <alignment horizontal="left" vertical="center"/>
    </xf>
    <xf numFmtId="0" fontId="58" fillId="27" borderId="19" applyAlignment="1" pivotButton="0" quotePrefix="0" xfId="0">
      <alignment horizontal="left" vertical="center"/>
    </xf>
    <xf numFmtId="3" fontId="31" fillId="27" borderId="16" applyAlignment="1" pivotButton="0" quotePrefix="0" xfId="0">
      <alignment horizontal="right" vertical="center"/>
    </xf>
    <xf numFmtId="0" fontId="32" fillId="26" borderId="20" applyAlignment="1" pivotButton="0" quotePrefix="0" xfId="0">
      <alignment horizontal="left" vertical="center"/>
    </xf>
    <xf numFmtId="3" fontId="32" fillId="26" borderId="16" applyAlignment="1" pivotButton="0" quotePrefix="0" xfId="0">
      <alignment horizontal="right" vertical="center"/>
    </xf>
    <xf numFmtId="3" fontId="57" fillId="26" borderId="0" applyAlignment="1" pivotButton="0" quotePrefix="0" xfId="0">
      <alignment horizontal="left" vertical="center"/>
    </xf>
    <xf numFmtId="0" fontId="46" fillId="25" borderId="16" applyAlignment="1" pivotButton="0" quotePrefix="0" xfId="0">
      <alignment horizontal="left" vertical="center"/>
    </xf>
    <xf numFmtId="3" fontId="46" fillId="25" borderId="16" applyAlignment="1" pivotButton="0" quotePrefix="0" xfId="0">
      <alignment horizontal="right" vertical="center"/>
    </xf>
    <xf numFmtId="0" fontId="60" fillId="30" borderId="16" applyAlignment="1" pivotButton="0" quotePrefix="0" xfId="0">
      <alignment horizontal="left" vertical="center"/>
    </xf>
    <xf numFmtId="3" fontId="60" fillId="30" borderId="16" applyAlignment="1" pivotButton="0" quotePrefix="0" xfId="0">
      <alignment horizontal="left" vertical="center"/>
    </xf>
    <xf numFmtId="0" fontId="60" fillId="30" borderId="0" applyAlignment="1" pivotButton="0" quotePrefix="0" xfId="0">
      <alignment horizontal="left" vertical="center"/>
    </xf>
    <xf numFmtId="0" fontId="56" fillId="25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applyProtection="1" pivotButton="0" quotePrefix="0" xfId="0">
      <alignment horizontal="left" vertical="center"/>
      <protection locked="0" hidden="0"/>
    </xf>
    <xf numFmtId="0" fontId="61" fillId="27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pivotButton="0" quotePrefix="0" xfId="0">
      <alignment horizontal="left" vertical="center"/>
    </xf>
    <xf numFmtId="164" fontId="61" fillId="27" borderId="0" applyAlignment="1" applyProtection="1" pivotButton="0" quotePrefix="0" xfId="0">
      <alignment horizontal="left" vertical="center"/>
      <protection locked="0" hidden="0"/>
    </xf>
    <xf numFmtId="0" fontId="47" fillId="25" borderId="0" applyAlignment="1" applyProtection="1" pivotButton="0" quotePrefix="0" xfId="0">
      <alignment horizontal="left" vertical="center"/>
      <protection locked="0" hidden="0"/>
    </xf>
    <xf numFmtId="164" fontId="47" fillId="25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applyProtection="1" pivotButton="0" quotePrefix="0" xfId="0">
      <alignment horizontal="left" vertical="center"/>
      <protection locked="0" hidden="0"/>
    </xf>
    <xf numFmtId="0" fontId="58" fillId="26" borderId="0" applyAlignment="1" applyProtection="1" pivotButton="0" quotePrefix="0" xfId="0">
      <alignment horizontal="left" vertical="center"/>
      <protection locked="0" hidden="0"/>
    </xf>
    <xf numFmtId="164" fontId="58" fillId="26" borderId="0" applyAlignment="1" applyProtection="1" pivotButton="0" quotePrefix="0" xfId="0">
      <alignment horizontal="left" vertical="center"/>
      <protection locked="0" hidden="0"/>
    </xf>
    <xf numFmtId="0" fontId="58" fillId="20" borderId="0" applyAlignment="1" applyProtection="1" pivotButton="0" quotePrefix="0" xfId="0">
      <alignment horizontal="left" vertical="center"/>
      <protection locked="0" hidden="0"/>
    </xf>
    <xf numFmtId="0" fontId="60" fillId="20" borderId="0" applyAlignment="1" applyProtection="1" pivotButton="0" quotePrefix="0" xfId="0">
      <alignment horizontal="left" vertical="center"/>
      <protection locked="0" hidden="0"/>
    </xf>
    <xf numFmtId="0" fontId="58" fillId="2" borderId="0" applyAlignment="1" applyProtection="1" pivotButton="0" quotePrefix="0" xfId="0">
      <alignment horizontal="left" vertical="center"/>
      <protection locked="0" hidden="0"/>
    </xf>
    <xf numFmtId="164" fontId="60" fillId="26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pivotButton="0" quotePrefix="0" xfId="0">
      <alignment horizontal="left" vertical="center"/>
    </xf>
    <xf numFmtId="0" fontId="60" fillId="26" borderId="0" applyAlignment="1" applyProtection="1" pivotButton="0" quotePrefix="1" xfId="0">
      <alignment horizontal="left" vertical="center"/>
      <protection locked="0" hidden="0"/>
    </xf>
    <xf numFmtId="0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center"/>
      <protection locked="0" hidden="0"/>
    </xf>
    <xf numFmtId="164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right"/>
      <protection locked="0" hidden="0"/>
    </xf>
    <xf numFmtId="0" fontId="4" fillId="27" borderId="0" applyProtection="1" pivotButton="0" quotePrefix="0" xfId="0">
      <protection locked="0" hidden="0"/>
    </xf>
    <xf numFmtId="0" fontId="46" fillId="28" borderId="1" applyAlignment="1" applyProtection="1" pivotButton="0" quotePrefix="0" xfId="0">
      <alignment horizontal="left" vertical="center" wrapText="1"/>
      <protection locked="0" hidden="0"/>
    </xf>
    <xf numFmtId="0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applyProtection="1" pivotButton="0" quotePrefix="0" xfId="0">
      <alignment horizontal="center" vertical="center" wrapText="1"/>
      <protection locked="0" hidden="0"/>
    </xf>
    <xf numFmtId="1" fontId="46" fillId="28" borderId="0" applyAlignment="1" applyProtection="1" pivotButton="0" quotePrefix="0" xfId="0">
      <alignment horizontal="center" vertical="center" wrapText="1"/>
      <protection locked="0" hidden="0"/>
    </xf>
    <xf numFmtId="164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pivotButton="0" quotePrefix="0" xfId="0">
      <alignment horizontal="center" vertical="center" wrapText="1"/>
    </xf>
    <xf numFmtId="0" fontId="46" fillId="28" borderId="3" applyAlignment="1" applyProtection="1" pivotButton="0" quotePrefix="0" xfId="0">
      <alignment horizontal="center" vertical="center" wrapText="1"/>
      <protection locked="0" hidden="0"/>
    </xf>
    <xf numFmtId="0" fontId="46" fillId="28" borderId="4" applyAlignment="1" applyProtection="1" pivotButton="0" quotePrefix="0" xfId="0">
      <alignment horizontal="center" vertical="center" wrapText="1"/>
      <protection locked="0" hidden="0"/>
    </xf>
    <xf numFmtId="1" fontId="46" fillId="28" borderId="1" applyAlignment="1" applyProtection="1" pivotButton="0" quotePrefix="0" xfId="0">
      <alignment horizontal="center" vertical="center" wrapText="1"/>
      <protection locked="0" hidden="0"/>
    </xf>
    <xf numFmtId="0" fontId="50" fillId="34" borderId="1" applyAlignment="1" applyProtection="1" pivotButton="0" quotePrefix="0" xfId="0">
      <alignment horizontal="left" vertical="top" wrapText="1"/>
      <protection locked="0" hidden="0"/>
    </xf>
    <xf numFmtId="0" fontId="50" fillId="34" borderId="1" applyAlignment="1" applyProtection="1" pivotButton="0" quotePrefix="0" xfId="0">
      <alignment horizontal="center"/>
      <protection locked="0" hidden="0"/>
    </xf>
    <xf numFmtId="0" fontId="50" fillId="34" borderId="3" applyAlignment="1" applyProtection="1" pivotButton="0" quotePrefix="0" xfId="0">
      <alignment horizontal="center"/>
      <protection locked="0" hidden="0"/>
    </xf>
    <xf numFmtId="0" fontId="50" fillId="34" borderId="4" applyAlignment="1" applyProtection="1" pivotButton="0" quotePrefix="0" xfId="0">
      <alignment horizontal="left" vertical="top" wrapText="1"/>
      <protection locked="0" hidden="0"/>
    </xf>
    <xf numFmtId="1" fontId="50" fillId="34" borderId="1" applyAlignment="1" applyProtection="1" pivotButton="0" quotePrefix="0" xfId="0">
      <alignment horizontal="center"/>
      <protection locked="0" hidden="0"/>
    </xf>
    <xf numFmtId="164" fontId="50" fillId="34" borderId="1" applyAlignment="1" applyProtection="1" pivotButton="0" quotePrefix="0" xfId="0">
      <alignment vertical="top" wrapText="1"/>
      <protection locked="0" hidden="0"/>
    </xf>
    <xf numFmtId="0" fontId="50" fillId="34" borderId="3" applyAlignment="1" applyProtection="1" pivotButton="0" quotePrefix="0" xfId="0">
      <alignment vertical="top" wrapText="1"/>
      <protection locked="0" hidden="0"/>
    </xf>
    <xf numFmtId="0" fontId="50" fillId="34" borderId="1" applyAlignment="1" applyProtection="1" pivotButton="0" quotePrefix="0" xfId="0">
      <alignment horizontal="right"/>
      <protection locked="0" hidden="0"/>
    </xf>
    <xf numFmtId="0" fontId="50" fillId="34" borderId="0" pivotButton="0" quotePrefix="0" xfId="0"/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3" fontId="58" fillId="33" borderId="1" applyAlignment="1" applyProtection="1" pivotButton="0" quotePrefix="0" xfId="0">
      <alignment horizontal="right" vertical="center"/>
      <protection locked="0" hidden="0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3" fontId="58" fillId="33" borderId="2" applyAlignment="1" applyProtection="1" pivotButton="0" quotePrefix="0" xfId="0">
      <alignment horizontal="right" vertical="center"/>
      <protection locked="0" hidden="0"/>
    </xf>
    <xf numFmtId="0" fontId="46" fillId="25" borderId="1" applyAlignment="1" applyProtection="1" pivotButton="0" quotePrefix="0" xfId="0">
      <alignment horizontal="left" vertical="center"/>
      <protection locked="0" hidden="0"/>
    </xf>
    <xf numFmtId="0" fontId="46" fillId="25" borderId="3" applyAlignment="1" applyProtection="1" pivotButton="0" quotePrefix="0" xfId="0">
      <alignment horizontal="left" vertical="center"/>
      <protection locked="0" hidden="0"/>
    </xf>
    <xf numFmtId="0" fontId="46" fillId="25" borderId="4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left" vertical="center"/>
      <protection locked="0" hidden="0"/>
    </xf>
    <xf numFmtId="164" fontId="46" fillId="25" borderId="1" applyAlignment="1" applyProtection="1" pivotButton="0" quotePrefix="0" xfId="0">
      <alignment horizontal="left" vertical="center"/>
      <protection locked="0" hidden="0"/>
    </xf>
    <xf numFmtId="3" fontId="46" fillId="25" borderId="1" applyAlignment="1" applyProtection="1" pivotButton="0" quotePrefix="0" xfId="0">
      <alignment horizontal="righ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right" vertical="center"/>
      <protection locked="0" hidden="0"/>
    </xf>
    <xf numFmtId="1" fontId="63" fillId="30" borderId="0" applyAlignment="1" applyProtection="1" pivotButton="0" quotePrefix="0" xfId="0">
      <alignment horizontal="right" vertical="center"/>
      <protection locked="0" hidden="0"/>
    </xf>
    <xf numFmtId="164" fontId="63" fillId="30" borderId="0" applyAlignment="1" applyProtection="1" pivotButton="0" quotePrefix="0" xfId="0">
      <alignment horizontal="right" vertical="center"/>
      <protection locked="0" hidden="0"/>
    </xf>
    <xf numFmtId="3" fontId="63" fillId="30" borderId="0" applyAlignment="1" applyProtection="1" pivotButton="0" quotePrefix="0" xfId="0">
      <alignment horizontal="right" vertical="center"/>
      <protection locked="0" hidden="0"/>
    </xf>
    <xf numFmtId="0" fontId="63" fillId="30" borderId="0" applyAlignment="1" pivotButton="0" quotePrefix="0" xfId="0">
      <alignment horizontal="right" vertical="center"/>
    </xf>
    <xf numFmtId="0" fontId="62" fillId="35" borderId="1" applyAlignment="1" applyProtection="1" pivotButton="0" quotePrefix="0" xfId="0">
      <alignment horizontal="left" vertical="top" wrapText="1"/>
      <protection locked="0" hidden="0"/>
    </xf>
    <xf numFmtId="0" fontId="62" fillId="35" borderId="1" applyAlignment="1" applyProtection="1" pivotButton="0" quotePrefix="0" xfId="0">
      <alignment horizontal="center"/>
      <protection locked="0" hidden="0"/>
    </xf>
    <xf numFmtId="0" fontId="62" fillId="35" borderId="1" applyAlignment="1" applyProtection="1" pivotButton="0" quotePrefix="0" xfId="0">
      <alignment horizontal="left"/>
      <protection locked="0" hidden="0"/>
    </xf>
    <xf numFmtId="0" fontId="62" fillId="35" borderId="3" applyAlignment="1" applyProtection="1" pivotButton="0" quotePrefix="0" xfId="0">
      <alignment horizontal="center"/>
      <protection locked="0" hidden="0"/>
    </xf>
    <xf numFmtId="0" fontId="62" fillId="35" borderId="4" applyAlignment="1" applyProtection="1" pivotButton="0" quotePrefix="0" xfId="0">
      <alignment horizontal="left" vertical="top" wrapText="1"/>
      <protection locked="0" hidden="0"/>
    </xf>
    <xf numFmtId="1" fontId="62" fillId="35" borderId="1" applyAlignment="1" applyProtection="1" pivotButton="0" quotePrefix="0" xfId="0">
      <alignment horizontal="center"/>
      <protection locked="0" hidden="0"/>
    </xf>
    <xf numFmtId="164" fontId="62" fillId="35" borderId="1" applyAlignment="1" applyProtection="1" pivotButton="0" quotePrefix="0" xfId="0">
      <alignment vertical="top" wrapText="1"/>
      <protection locked="0" hidden="0"/>
    </xf>
    <xf numFmtId="0" fontId="62" fillId="35" borderId="3" applyAlignment="1" applyProtection="1" pivotButton="0" quotePrefix="0" xfId="0">
      <alignment vertical="top" wrapText="1"/>
      <protection locked="0" hidden="0"/>
    </xf>
    <xf numFmtId="0" fontId="62" fillId="35" borderId="1" applyAlignment="1" applyProtection="1" pivotButton="0" quotePrefix="0" xfId="0">
      <alignment horizontal="right"/>
      <protection locked="0" hidden="0"/>
    </xf>
    <xf numFmtId="0" fontId="62" fillId="35" borderId="0" pivotButton="0" quotePrefix="0" xfId="0"/>
    <xf numFmtId="0" fontId="54" fillId="36" borderId="1" applyAlignment="1" applyProtection="1" pivotButton="0" quotePrefix="0" xfId="0">
      <alignment horizontal="left" vertical="top" wrapText="1"/>
      <protection locked="0" hidden="0"/>
    </xf>
    <xf numFmtId="0" fontId="54" fillId="36" borderId="1" applyAlignment="1" applyProtection="1" pivotButton="0" quotePrefix="0" xfId="0">
      <alignment horizontal="center"/>
      <protection locked="0" hidden="0"/>
    </xf>
    <xf numFmtId="0" fontId="54" fillId="36" borderId="3" applyAlignment="1" applyProtection="1" pivotButton="0" quotePrefix="0" xfId="0">
      <alignment horizontal="center"/>
      <protection locked="0" hidden="0"/>
    </xf>
    <xf numFmtId="0" fontId="54" fillId="36" borderId="4" applyAlignment="1" applyProtection="1" pivotButton="0" quotePrefix="0" xfId="0">
      <alignment horizontal="left" vertical="top" wrapText="1"/>
      <protection locked="0" hidden="0"/>
    </xf>
    <xf numFmtId="1" fontId="54" fillId="36" borderId="1" applyAlignment="1" applyProtection="1" pivotButton="0" quotePrefix="0" xfId="0">
      <alignment horizontal="center"/>
      <protection locked="0" hidden="0"/>
    </xf>
    <xf numFmtId="164" fontId="54" fillId="36" borderId="1" applyAlignment="1" applyProtection="1" pivotButton="0" quotePrefix="0" xfId="0">
      <alignment vertical="top" wrapText="1"/>
      <protection locked="0" hidden="0"/>
    </xf>
    <xf numFmtId="0" fontId="54" fillId="36" borderId="3" applyAlignment="1" applyProtection="1" pivotButton="0" quotePrefix="0" xfId="0">
      <alignment vertical="top" wrapText="1"/>
      <protection locked="0" hidden="0"/>
    </xf>
    <xf numFmtId="0" fontId="54" fillId="36" borderId="1" applyAlignment="1" applyProtection="1" pivotButton="0" quotePrefix="0" xfId="0">
      <alignment horizontal="right"/>
      <protection locked="0" hidden="0"/>
    </xf>
    <xf numFmtId="0" fontId="54" fillId="36" borderId="0" pivotButton="0" quotePrefix="0" xfId="0"/>
    <xf numFmtId="0" fontId="65" fillId="25" borderId="0" applyAlignment="1" applyProtection="1" pivotButton="0" quotePrefix="0" xfId="0">
      <alignment horizontal="left" vertical="center"/>
      <protection locked="0" hidden="0"/>
    </xf>
    <xf numFmtId="0" fontId="64" fillId="20" borderId="0" applyAlignment="1" applyProtection="1" pivotButton="0" quotePrefix="0" xfId="0">
      <alignment horizontal="left" vertical="center"/>
      <protection locked="0" hidden="0"/>
    </xf>
    <xf numFmtId="0" fontId="50" fillId="34" borderId="1" applyAlignment="1" applyProtection="1" pivotButton="0" quotePrefix="0" xfId="0">
      <alignment horizontal="left" vertical="center"/>
      <protection locked="0" hidden="0"/>
    </xf>
    <xf numFmtId="0" fontId="50" fillId="34" borderId="3" applyAlignment="1" applyProtection="1" pivotButton="0" quotePrefix="0" xfId="0">
      <alignment horizontal="left" vertical="center"/>
      <protection locked="0" hidden="0"/>
    </xf>
    <xf numFmtId="0" fontId="50" fillId="34" borderId="4" applyAlignment="1" applyProtection="1" pivotButton="0" quotePrefix="0" xfId="0">
      <alignment horizontal="left" vertical="center"/>
      <protection locked="0" hidden="0"/>
    </xf>
    <xf numFmtId="1" fontId="50" fillId="34" borderId="1" applyAlignment="1" applyProtection="1" pivotButton="0" quotePrefix="0" xfId="0">
      <alignment horizontal="left" vertical="center"/>
      <protection locked="0" hidden="0"/>
    </xf>
    <xf numFmtId="164" fontId="50" fillId="34" borderId="1" applyAlignment="1" applyProtection="1" pivotButton="0" quotePrefix="0" xfId="0">
      <alignment horizontal="left" vertical="center"/>
      <protection locked="0" hidden="0"/>
    </xf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0" xfId="0">
      <alignment horizontal="left" vertical="center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0" xfId="0">
      <alignment horizontal="left" vertical="center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0" fontId="55" fillId="32" borderId="21" applyAlignment="1" applyProtection="1" pivotButton="0" quotePrefix="0" xfId="0">
      <alignment horizontal="left" vertical="center"/>
      <protection locked="0" hidden="0"/>
    </xf>
    <xf numFmtId="1" fontId="55" fillId="32" borderId="21" applyAlignment="1" applyProtection="1" pivotButton="0" quotePrefix="0" xfId="0">
      <alignment horizontal="left" vertical="center"/>
      <protection locked="0" hidden="0"/>
    </xf>
    <xf numFmtId="164" fontId="55" fillId="32" borderId="2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1" fontId="63" fillId="30" borderId="0" applyAlignment="1" applyProtection="1" pivotButton="0" quotePrefix="0" xfId="0">
      <alignment horizontal="left" vertical="center"/>
      <protection locked="0" hidden="0"/>
    </xf>
    <xf numFmtId="164" fontId="63" fillId="30" borderId="0" applyAlignment="1" applyProtection="1" pivotButton="0" quotePrefix="0" xfId="0">
      <alignment horizontal="left" vertical="center"/>
      <protection locked="0" hidden="0"/>
    </xf>
    <xf numFmtId="0" fontId="62" fillId="35" borderId="1" applyAlignment="1" applyProtection="1" pivotButton="0" quotePrefix="0" xfId="0">
      <alignment horizontal="left" vertical="center"/>
      <protection locked="0" hidden="0"/>
    </xf>
    <xf numFmtId="0" fontId="62" fillId="35" borderId="3" applyAlignment="1" applyProtection="1" pivotButton="0" quotePrefix="0" xfId="0">
      <alignment horizontal="left" vertical="center"/>
      <protection locked="0" hidden="0"/>
    </xf>
    <xf numFmtId="0" fontId="62" fillId="35" borderId="4" applyAlignment="1" applyProtection="1" pivotButton="0" quotePrefix="0" xfId="0">
      <alignment horizontal="left" vertical="center"/>
      <protection locked="0" hidden="0"/>
    </xf>
    <xf numFmtId="1" fontId="62" fillId="35" borderId="1" applyAlignment="1" applyProtection="1" pivotButton="0" quotePrefix="0" xfId="0">
      <alignment horizontal="left" vertical="center"/>
      <protection locked="0" hidden="0"/>
    </xf>
    <xf numFmtId="164" fontId="62" fillId="35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pivotButton="0" quotePrefix="0" xfId="0">
      <alignment horizontal="left" vertical="center"/>
    </xf>
    <xf numFmtId="0" fontId="54" fillId="36" borderId="1" applyAlignment="1" applyProtection="1" pivotButton="0" quotePrefix="0" xfId="0">
      <alignment horizontal="left" vertical="center"/>
      <protection locked="0" hidden="0"/>
    </xf>
    <xf numFmtId="0" fontId="54" fillId="36" borderId="3" applyAlignment="1" applyProtection="1" pivotButton="0" quotePrefix="0" xfId="0">
      <alignment horizontal="left" vertical="center"/>
      <protection locked="0" hidden="0"/>
    </xf>
    <xf numFmtId="0" fontId="54" fillId="36" borderId="4" applyAlignment="1" applyProtection="1" pivotButton="0" quotePrefix="0" xfId="0">
      <alignment horizontal="left" vertical="center"/>
      <protection locked="0" hidden="0"/>
    </xf>
    <xf numFmtId="1" fontId="54" fillId="36" borderId="1" applyAlignment="1" applyProtection="1" pivotButton="0" quotePrefix="0" xfId="0">
      <alignment horizontal="left" vertical="center"/>
      <protection locked="0" hidden="0"/>
    </xf>
    <xf numFmtId="164" fontId="54" fillId="36" borderId="1" applyAlignment="1" applyProtection="1" pivotButton="0" quotePrefix="0" xfId="0">
      <alignment horizontal="left" vertical="center"/>
      <protection locked="0" hidden="0"/>
    </xf>
    <xf numFmtId="0" fontId="63" fillId="30" borderId="1" applyAlignment="1" applyProtection="1" pivotButton="0" quotePrefix="0" xfId="0">
      <alignment horizontal="left" vertical="center"/>
      <protection locked="0" hidden="0"/>
    </xf>
    <xf numFmtId="0" fontId="63" fillId="30" borderId="3" applyAlignment="1" applyProtection="1" pivotButton="0" quotePrefix="0" xfId="0">
      <alignment horizontal="left" vertical="center"/>
      <protection locked="0" hidden="0"/>
    </xf>
    <xf numFmtId="0" fontId="63" fillId="30" borderId="4" applyAlignment="1" applyProtection="1" pivotButton="0" quotePrefix="0" xfId="0">
      <alignment horizontal="left" vertical="center"/>
      <protection locked="0" hidden="0"/>
    </xf>
    <xf numFmtId="3" fontId="63" fillId="30" borderId="1" applyAlignment="1" applyProtection="1" pivotButton="0" quotePrefix="0" xfId="0">
      <alignment horizontal="right" vertical="center"/>
      <protection locked="0" hidden="0"/>
    </xf>
    <xf numFmtId="1" fontId="63" fillId="30" borderId="1" applyAlignment="1" applyProtection="1" pivotButton="0" quotePrefix="0" xfId="0">
      <alignment horizontal="left" vertical="center"/>
      <protection locked="0" hidden="0"/>
    </xf>
    <xf numFmtId="164" fontId="63" fillId="30" borderId="1" applyAlignment="1" applyProtection="1" pivotButton="0" quotePrefix="0" xfId="0">
      <alignment horizontal="left" vertical="center"/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tabColor rgb="001A5FA8"/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4" customHeight="1">
      <c r="A1" s="483">
        <f>+'Invullen groen'!A4</f>
        <v/>
      </c>
      <c r="B1" s="484" t="n"/>
      <c r="C1" s="484" t="n"/>
      <c r="D1" s="484" t="n"/>
      <c r="E1" s="484" t="n"/>
      <c r="F1" s="484">
        <f>+'Invullen groen'!I4</f>
        <v/>
      </c>
      <c r="G1" s="484">
        <f>+'Invullen groen'!J4</f>
        <v/>
      </c>
      <c r="H1" s="484">
        <f>+'Invullen groen'!K4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 ht="18" customHeight="1">
      <c r="A2" s="485">
        <f>+'Invullen groen'!A5</f>
        <v/>
      </c>
      <c r="B2" s="485">
        <f>+'Invullen groen'!C5</f>
        <v/>
      </c>
      <c r="C2" s="485" t="n"/>
      <c r="D2" s="485" t="n"/>
      <c r="E2" s="485" t="n"/>
      <c r="F2" s="485">
        <f>+'Invullen groen'!I5</f>
        <v/>
      </c>
      <c r="G2" s="485">
        <f>+'Invullen groen'!J5</f>
        <v/>
      </c>
      <c r="H2" s="485">
        <f>+'Invullen groen'!K5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groen'!I6</f>
        <v/>
      </c>
      <c r="G3" s="7">
        <f>+'Invullen groen'!J6</f>
        <v/>
      </c>
      <c r="H3" s="7">
        <f>+'Invullen groen'!K6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groen'!H4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groen'!M5</f>
        <v/>
      </c>
      <c r="E7" s="7">
        <f>+'Invullen groen'!H5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groen'!H6</f>
        <v/>
      </c>
      <c r="F10" s="8">
        <f>+'Invullen groen'!I7</f>
        <v/>
      </c>
      <c r="G10" s="7">
        <f>+'Invullen groen'!J7</f>
        <v/>
      </c>
      <c r="H10" s="7">
        <f>+'Invullen groen'!K7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groen'!H7</f>
        <v/>
      </c>
      <c r="F11" s="8">
        <f>+'Invullen groen'!I8</f>
        <v/>
      </c>
      <c r="G11" s="7">
        <f>+'Invullen groen'!J8</f>
        <v/>
      </c>
      <c r="H11" s="7">
        <f>+'Invullen groen'!K8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groen'!M9</f>
        <v/>
      </c>
      <c r="E12" s="8">
        <f>+'Invullen groen'!H9</f>
        <v/>
      </c>
      <c r="F12" s="8">
        <f>+'Invullen groen'!I9</f>
        <v/>
      </c>
      <c r="G12" s="7">
        <f>+'Invullen groen'!J9</f>
        <v/>
      </c>
      <c r="H12" s="7">
        <f>+'Invullen groen'!K9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groen'!M10</f>
        <v/>
      </c>
      <c r="E13" s="8">
        <f>+'Invullen groen'!H10</f>
        <v/>
      </c>
      <c r="F13" s="8">
        <f>+'Invullen groen'!I10</f>
        <v/>
      </c>
      <c r="G13" s="7">
        <f>+'Invullen groen'!J10</f>
        <v/>
      </c>
      <c r="H13" s="7">
        <f>+'Invullen groen'!K10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groen'!M11</f>
        <v/>
      </c>
      <c r="E14" s="8">
        <f>+'Invullen groen'!H11</f>
        <v/>
      </c>
      <c r="F14" s="8">
        <f>+'Invullen groen'!I11</f>
        <v/>
      </c>
      <c r="G14" s="8">
        <f>+'Invullen groen'!J11</f>
        <v/>
      </c>
      <c r="H14" s="7">
        <f>+'Invullen groen'!K11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groen'!M12</f>
        <v/>
      </c>
      <c r="E15" s="8">
        <f>+'Invullen groen'!H12</f>
        <v/>
      </c>
      <c r="F15" s="8">
        <f>+'Invullen groen'!I12</f>
        <v/>
      </c>
      <c r="G15" s="8">
        <f>+'Invullen groen'!J12</f>
        <v/>
      </c>
      <c r="H15" s="7">
        <f>+'Invullen groen'!K12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 ht="18" customHeight="1">
      <c r="A16" s="486">
        <f>+'Invullen groen'!A13</f>
        <v/>
      </c>
      <c r="B16" s="487">
        <f>+'Invullen groen'!C13</f>
        <v/>
      </c>
      <c r="C16" s="487" t="inlineStr">
        <is>
          <t>Omschrijving boekingspost</t>
        </is>
      </c>
      <c r="D16" s="487">
        <f>+'Invullen groen'!M13</f>
        <v/>
      </c>
      <c r="E16" s="487">
        <f>+'Invullen groen'!H13</f>
        <v/>
      </c>
      <c r="F16" s="487">
        <f>+'Invullen groen'!I13</f>
        <v/>
      </c>
      <c r="G16" s="487">
        <f>+'Invullen groen'!J13</f>
        <v/>
      </c>
      <c r="H16" s="487">
        <f>+'Invullen groen'!K13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 ht="18" customHeight="1">
      <c r="A17" s="486">
        <f>+'Invullen groen'!A14</f>
        <v/>
      </c>
      <c r="B17" s="487">
        <f>+'Invullen groen'!C14</f>
        <v/>
      </c>
      <c r="C17" s="488">
        <f>+'Invullen groen'!G14</f>
        <v/>
      </c>
      <c r="D17" s="487">
        <f>+'Invullen groen'!M14</f>
        <v/>
      </c>
      <c r="E17" s="487">
        <f>+'Invullen groen'!H14</f>
        <v/>
      </c>
      <c r="F17" s="487">
        <f>+'Invullen groen'!I14</f>
        <v/>
      </c>
      <c r="G17" s="487">
        <f>+'Invullen groen'!J14</f>
        <v/>
      </c>
      <c r="H17" s="487">
        <f>+'Invullen groen'!K14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groen'!M15</f>
        <v/>
      </c>
      <c r="E18" s="18">
        <f>+'Invullen groen'!H15</f>
        <v/>
      </c>
      <c r="F18" s="18">
        <f>+'Invullen groen'!I15</f>
        <v/>
      </c>
      <c r="G18" s="18">
        <f>+'Invullen groen'!J15</f>
        <v/>
      </c>
      <c r="H18" s="18">
        <f>+'Invullen groen'!K15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8" customHeight="1">
      <c r="A19" s="489">
        <f>+'Invullen groen'!A16</f>
        <v/>
      </c>
      <c r="B19" s="489">
        <f>+'Invullen groen'!C16</f>
        <v/>
      </c>
      <c r="C19" s="490">
        <f>+'Invullen groen'!G16</f>
        <v/>
      </c>
      <c r="D19" s="489">
        <f>+'Invullen groen'!M16</f>
        <v/>
      </c>
      <c r="E19" s="489">
        <f>+'Invullen groen'!H16</f>
        <v/>
      </c>
      <c r="F19" s="489">
        <f>+'Invullen groen'!I16</f>
        <v/>
      </c>
      <c r="G19" s="489">
        <f>+'Invullen groen'!J16</f>
        <v/>
      </c>
      <c r="H19" s="489">
        <f>+'Invullen groen'!K16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491">
        <f>+'Invullen groen'!A17</f>
        <v/>
      </c>
      <c r="B20" s="491">
        <f>+'Invullen groen'!C17</f>
        <v/>
      </c>
      <c r="C20" s="492">
        <f>+'Invullen groen'!G17</f>
        <v/>
      </c>
      <c r="D20" s="491">
        <f>+'Invullen groen'!M17</f>
        <v/>
      </c>
      <c r="E20" s="493">
        <f>+'Invullen groen'!H17</f>
        <v/>
      </c>
      <c r="F20" s="493">
        <f>+'Invullen groen'!I17</f>
        <v/>
      </c>
      <c r="G20" s="493">
        <f>+'Invullen groen'!J17</f>
        <v/>
      </c>
      <c r="H20" s="493">
        <f>+'Invullen groen'!K17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494">
        <f>+'Invullen groen'!A18</f>
        <v/>
      </c>
      <c r="B21" s="494">
        <f>+'Invullen groen'!C18</f>
        <v/>
      </c>
      <c r="C21" s="495">
        <f>+'Invullen groen'!G18</f>
        <v/>
      </c>
      <c r="D21" s="494">
        <f>+'Invullen groen'!M18</f>
        <v/>
      </c>
      <c r="E21" s="496">
        <f>+'Invullen groen'!H18</f>
        <v/>
      </c>
      <c r="F21" s="496">
        <f>+'Invullen groen'!I18</f>
        <v/>
      </c>
      <c r="G21" s="496">
        <f>+'Invullen groen'!J18</f>
        <v/>
      </c>
      <c r="H21" s="496">
        <f>+'Invullen groen'!K18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491">
        <f>+'Invullen groen'!A19</f>
        <v/>
      </c>
      <c r="B22" s="491">
        <f>+'Invullen groen'!C19</f>
        <v/>
      </c>
      <c r="C22" s="492">
        <f>+'Invullen groen'!G19</f>
        <v/>
      </c>
      <c r="D22" s="491">
        <f>+'Invullen groen'!M19</f>
        <v/>
      </c>
      <c r="E22" s="493">
        <f>+'Invullen groen'!H19</f>
        <v/>
      </c>
      <c r="F22" s="493">
        <f>+'Invullen groen'!I19</f>
        <v/>
      </c>
      <c r="G22" s="493">
        <f>+'Invullen groen'!J19</f>
        <v/>
      </c>
      <c r="H22" s="493">
        <f>+'Invullen groen'!K19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494">
        <f>+'Invullen groen'!A20</f>
        <v/>
      </c>
      <c r="B23" s="494">
        <f>+'Invullen groen'!C20</f>
        <v/>
      </c>
      <c r="C23" s="495">
        <f>+'Invullen groen'!G20</f>
        <v/>
      </c>
      <c r="D23" s="494">
        <f>+'Invullen groen'!M20</f>
        <v/>
      </c>
      <c r="E23" s="496">
        <f>+'Invullen groen'!H20</f>
        <v/>
      </c>
      <c r="F23" s="496">
        <f>+'Invullen groen'!I20</f>
        <v/>
      </c>
      <c r="G23" s="496">
        <f>+'Invullen groen'!J20</f>
        <v/>
      </c>
      <c r="H23" s="496">
        <f>+'Invullen groen'!K20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491">
        <f>+'Invullen groen'!A21</f>
        <v/>
      </c>
      <c r="B24" s="491">
        <f>+'Invullen groen'!C21</f>
        <v/>
      </c>
      <c r="C24" s="492">
        <f>+'Invullen groen'!G21</f>
        <v/>
      </c>
      <c r="D24" s="491">
        <f>+'Invullen groen'!M21</f>
        <v/>
      </c>
      <c r="E24" s="493">
        <f>+'Invullen groen'!H21</f>
        <v/>
      </c>
      <c r="F24" s="493">
        <f>+'Invullen groen'!I21</f>
        <v/>
      </c>
      <c r="G24" s="493">
        <f>+'Invullen groen'!J21</f>
        <v/>
      </c>
      <c r="H24" s="493">
        <f>+'Invullen groen'!K21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494">
        <f>+'Invullen groen'!A22</f>
        <v/>
      </c>
      <c r="B25" s="494">
        <f>+'Invullen groen'!C22</f>
        <v/>
      </c>
      <c r="C25" s="495">
        <f>+'Invullen groen'!G22</f>
        <v/>
      </c>
      <c r="D25" s="494">
        <f>+'Invullen groen'!M22</f>
        <v/>
      </c>
      <c r="E25" s="496">
        <f>+'Invullen groen'!H22</f>
        <v/>
      </c>
      <c r="F25" s="496">
        <f>+'Invullen groen'!I22</f>
        <v/>
      </c>
      <c r="G25" s="496">
        <f>+'Invullen groen'!J22</f>
        <v/>
      </c>
      <c r="H25" s="496">
        <f>+'Invullen groen'!K22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491">
        <f>+'Invullen groen'!A23</f>
        <v/>
      </c>
      <c r="B26" s="491">
        <f>+'Invullen groen'!C23</f>
        <v/>
      </c>
      <c r="C26" s="492">
        <f>+'Invullen groen'!G23</f>
        <v/>
      </c>
      <c r="D26" s="491">
        <f>+'Invullen groen'!M23</f>
        <v/>
      </c>
      <c r="E26" s="493">
        <f>+'Invullen groen'!H23</f>
        <v/>
      </c>
      <c r="F26" s="493">
        <f>+'Invullen groen'!I23</f>
        <v/>
      </c>
      <c r="G26" s="493">
        <f>+'Invullen groen'!J23</f>
        <v/>
      </c>
      <c r="H26" s="493">
        <f>+'Invullen groen'!K23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494">
        <f>+'Invullen groen'!A24</f>
        <v/>
      </c>
      <c r="B27" s="494">
        <f>+'Invullen groen'!C24</f>
        <v/>
      </c>
      <c r="C27" s="495">
        <f>+'Invullen groen'!G24</f>
        <v/>
      </c>
      <c r="D27" s="494">
        <f>+'Invullen groen'!M24</f>
        <v/>
      </c>
      <c r="E27" s="496">
        <f>+'Invullen groen'!H24</f>
        <v/>
      </c>
      <c r="F27" s="496">
        <f>+'Invullen groen'!I24</f>
        <v/>
      </c>
      <c r="G27" s="496">
        <f>+'Invullen groen'!J24</f>
        <v/>
      </c>
      <c r="H27" s="496">
        <f>+'Invullen groen'!K24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491">
        <f>+'Invullen groen'!A25</f>
        <v/>
      </c>
      <c r="B28" s="491">
        <f>+'Invullen groen'!C25</f>
        <v/>
      </c>
      <c r="C28" s="492">
        <f>+'Invullen groen'!G25</f>
        <v/>
      </c>
      <c r="D28" s="491">
        <f>+'Invullen groen'!M25</f>
        <v/>
      </c>
      <c r="E28" s="493">
        <f>+'Invullen groen'!H25</f>
        <v/>
      </c>
      <c r="F28" s="493">
        <f>+'Invullen groen'!I25</f>
        <v/>
      </c>
      <c r="G28" s="493">
        <f>+'Invullen groen'!J25</f>
        <v/>
      </c>
      <c r="H28" s="493">
        <f>+'Invullen groen'!K25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494">
        <f>+'Invullen groen'!A26</f>
        <v/>
      </c>
      <c r="B29" s="494">
        <f>+'Invullen groen'!C26</f>
        <v/>
      </c>
      <c r="C29" s="495">
        <f>+'Invullen groen'!G26</f>
        <v/>
      </c>
      <c r="D29" s="494">
        <f>+'Invullen groen'!M26</f>
        <v/>
      </c>
      <c r="E29" s="496">
        <f>+'Invullen groen'!H26</f>
        <v/>
      </c>
      <c r="F29" s="496">
        <f>+'Invullen groen'!I26</f>
        <v/>
      </c>
      <c r="G29" s="496">
        <f>+'Invullen groen'!J26</f>
        <v/>
      </c>
      <c r="H29" s="496">
        <f>+'Invullen groen'!K26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491">
        <f>+'Invullen groen'!A27</f>
        <v/>
      </c>
      <c r="B30" s="491">
        <f>+'Invullen groen'!C27</f>
        <v/>
      </c>
      <c r="C30" s="492">
        <f>+'Invullen groen'!G27</f>
        <v/>
      </c>
      <c r="D30" s="491">
        <f>+'Invullen groen'!M27</f>
        <v/>
      </c>
      <c r="E30" s="493">
        <f>+'Invullen groen'!H27</f>
        <v/>
      </c>
      <c r="F30" s="493">
        <f>+'Invullen groen'!I27</f>
        <v/>
      </c>
      <c r="G30" s="493">
        <f>+'Invullen groen'!J27</f>
        <v/>
      </c>
      <c r="H30" s="493">
        <f>+'Invullen groen'!K27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494">
        <f>+'Invullen groen'!A28</f>
        <v/>
      </c>
      <c r="B31" s="494">
        <f>+'Invullen groen'!C28</f>
        <v/>
      </c>
      <c r="C31" s="495">
        <f>+'Invullen groen'!G28</f>
        <v/>
      </c>
      <c r="D31" s="494">
        <f>+'Invullen groen'!M28</f>
        <v/>
      </c>
      <c r="E31" s="496">
        <f>+'Invullen groen'!H28</f>
        <v/>
      </c>
      <c r="F31" s="496">
        <f>+'Invullen groen'!I28</f>
        <v/>
      </c>
      <c r="G31" s="496">
        <f>+'Invullen groen'!J28</f>
        <v/>
      </c>
      <c r="H31" s="496">
        <f>+'Invullen groen'!K28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491">
        <f>+'Invullen groen'!A29</f>
        <v/>
      </c>
      <c r="B32" s="491">
        <f>+'Invullen groen'!C29</f>
        <v/>
      </c>
      <c r="C32" s="492">
        <f>+'Invullen groen'!G29</f>
        <v/>
      </c>
      <c r="D32" s="491">
        <f>+'Invullen groen'!M29</f>
        <v/>
      </c>
      <c r="E32" s="493">
        <f>+'Invullen groen'!H29</f>
        <v/>
      </c>
      <c r="F32" s="493">
        <f>+'Invullen groen'!I29</f>
        <v/>
      </c>
      <c r="G32" s="493">
        <f>+'Invullen groen'!J29</f>
        <v/>
      </c>
      <c r="H32" s="493">
        <f>+'Invullen groen'!K29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494">
        <f>+'Invullen groen'!A30</f>
        <v/>
      </c>
      <c r="B33" s="494">
        <f>+'Invullen groen'!C30</f>
        <v/>
      </c>
      <c r="C33" s="495">
        <f>+'Invullen groen'!G30</f>
        <v/>
      </c>
      <c r="D33" s="494">
        <f>+'Invullen groen'!M30</f>
        <v/>
      </c>
      <c r="E33" s="496">
        <f>+'Invullen groen'!H30</f>
        <v/>
      </c>
      <c r="F33" s="496">
        <f>+'Invullen groen'!I30</f>
        <v/>
      </c>
      <c r="G33" s="496">
        <f>+'Invullen groen'!J30</f>
        <v/>
      </c>
      <c r="H33" s="496">
        <f>+'Invullen groen'!K30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491">
        <f>+'Invullen groen'!A31</f>
        <v/>
      </c>
      <c r="B34" s="491">
        <f>+'Invullen groen'!C31</f>
        <v/>
      </c>
      <c r="C34" s="492">
        <f>+'Invullen groen'!G31</f>
        <v/>
      </c>
      <c r="D34" s="491">
        <f>+'Invullen groen'!M31</f>
        <v/>
      </c>
      <c r="E34" s="493">
        <f>+'Invullen groen'!H31</f>
        <v/>
      </c>
      <c r="F34" s="493">
        <f>+'Invullen groen'!I31</f>
        <v/>
      </c>
      <c r="G34" s="493">
        <f>+'Invullen groen'!J31</f>
        <v/>
      </c>
      <c r="H34" s="493">
        <f>+'Invullen groen'!K31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494">
        <f>+'Invullen groen'!A32</f>
        <v/>
      </c>
      <c r="B35" s="494">
        <f>+'Invullen groen'!C32</f>
        <v/>
      </c>
      <c r="C35" s="495">
        <f>+'Invullen groen'!G32</f>
        <v/>
      </c>
      <c r="D35" s="494">
        <f>+'Invullen groen'!M32</f>
        <v/>
      </c>
      <c r="E35" s="496">
        <f>+'Invullen groen'!H32</f>
        <v/>
      </c>
      <c r="F35" s="496">
        <f>+'Invullen groen'!I32</f>
        <v/>
      </c>
      <c r="G35" s="496">
        <f>+'Invullen groen'!J32</f>
        <v/>
      </c>
      <c r="H35" s="496">
        <f>+'Invullen groen'!K32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491">
        <f>+'Invullen groen'!A33</f>
        <v/>
      </c>
      <c r="B36" s="491">
        <f>+'Invullen groen'!C33</f>
        <v/>
      </c>
      <c r="C36" s="492">
        <f>+'Invullen groen'!G33</f>
        <v/>
      </c>
      <c r="D36" s="491">
        <f>+'Invullen groen'!M33</f>
        <v/>
      </c>
      <c r="E36" s="493">
        <f>+'Invullen groen'!H33</f>
        <v/>
      </c>
      <c r="F36" s="493">
        <f>+'Invullen groen'!I33</f>
        <v/>
      </c>
      <c r="G36" s="493">
        <f>+'Invullen groen'!J33</f>
        <v/>
      </c>
      <c r="H36" s="493">
        <f>+'Invullen groen'!K33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494">
        <f>+'Invullen groen'!A34</f>
        <v/>
      </c>
      <c r="B37" s="494">
        <f>+'Invullen groen'!C34</f>
        <v/>
      </c>
      <c r="C37" s="495">
        <f>+'Invullen groen'!G34</f>
        <v/>
      </c>
      <c r="D37" s="494">
        <f>+'Invullen groen'!M34</f>
        <v/>
      </c>
      <c r="E37" s="496">
        <f>+'Invullen groen'!H34</f>
        <v/>
      </c>
      <c r="F37" s="496">
        <f>+'Invullen groen'!I34</f>
        <v/>
      </c>
      <c r="G37" s="496">
        <f>+'Invullen groen'!J34</f>
        <v/>
      </c>
      <c r="H37" s="496">
        <f>+'Invullen groen'!K34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491">
        <f>+'Invullen groen'!A35</f>
        <v/>
      </c>
      <c r="B38" s="491">
        <f>+'Invullen groen'!C35</f>
        <v/>
      </c>
      <c r="C38" s="492">
        <f>+'Invullen groen'!G35</f>
        <v/>
      </c>
      <c r="D38" s="491">
        <f>+'Invullen groen'!M35</f>
        <v/>
      </c>
      <c r="E38" s="493">
        <f>+'Invullen groen'!H35</f>
        <v/>
      </c>
      <c r="F38" s="493">
        <f>+'Invullen groen'!I35</f>
        <v/>
      </c>
      <c r="G38" s="493">
        <f>+'Invullen groen'!J35</f>
        <v/>
      </c>
      <c r="H38" s="493">
        <f>+'Invullen groen'!K35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494">
        <f>+'Invullen groen'!A36</f>
        <v/>
      </c>
      <c r="B39" s="494">
        <f>+'Invullen groen'!C36</f>
        <v/>
      </c>
      <c r="C39" s="495">
        <f>+'Invullen groen'!G36</f>
        <v/>
      </c>
      <c r="D39" s="494">
        <f>+'Invullen groen'!M36</f>
        <v/>
      </c>
      <c r="E39" s="496">
        <f>+'Invullen groen'!H36</f>
        <v/>
      </c>
      <c r="F39" s="496">
        <f>+'Invullen groen'!I36</f>
        <v/>
      </c>
      <c r="G39" s="496">
        <f>+'Invullen groen'!J36</f>
        <v/>
      </c>
      <c r="H39" s="496">
        <f>+'Invullen groen'!K36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491">
        <f>+'Invullen groen'!A37</f>
        <v/>
      </c>
      <c r="B40" s="491">
        <f>+'Invullen groen'!C37</f>
        <v/>
      </c>
      <c r="C40" s="492">
        <f>+'Invullen groen'!G37</f>
        <v/>
      </c>
      <c r="D40" s="491">
        <f>+'Invullen groen'!M37</f>
        <v/>
      </c>
      <c r="E40" s="493">
        <f>+'Invullen groen'!H37</f>
        <v/>
      </c>
      <c r="F40" s="493">
        <f>+'Invullen groen'!I37</f>
        <v/>
      </c>
      <c r="G40" s="493">
        <f>+'Invullen groen'!J37</f>
        <v/>
      </c>
      <c r="H40" s="493">
        <f>+'Invullen groen'!K37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494">
        <f>+'Invullen groen'!A38</f>
        <v/>
      </c>
      <c r="B41" s="494">
        <f>+'Invullen groen'!C38</f>
        <v/>
      </c>
      <c r="C41" s="495">
        <f>+'Invullen groen'!G38</f>
        <v/>
      </c>
      <c r="D41" s="494">
        <f>+'Invullen groen'!M38</f>
        <v/>
      </c>
      <c r="E41" s="496">
        <f>+'Invullen groen'!H38</f>
        <v/>
      </c>
      <c r="F41" s="496">
        <f>+'Invullen groen'!I38</f>
        <v/>
      </c>
      <c r="G41" s="496">
        <f>+'Invullen groen'!J38</f>
        <v/>
      </c>
      <c r="H41" s="496">
        <f>+'Invullen groen'!K38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491">
        <f>+'Invullen groen'!A39</f>
        <v/>
      </c>
      <c r="B42" s="491">
        <f>+'Invullen groen'!C39</f>
        <v/>
      </c>
      <c r="C42" s="492">
        <f>+'Invullen groen'!G39</f>
        <v/>
      </c>
      <c r="D42" s="491">
        <f>+'Invullen groen'!M39</f>
        <v/>
      </c>
      <c r="E42" s="493">
        <f>+'Invullen groen'!H39</f>
        <v/>
      </c>
      <c r="F42" s="493">
        <f>+'Invullen groen'!I39</f>
        <v/>
      </c>
      <c r="G42" s="493">
        <f>+'Invullen groen'!J39</f>
        <v/>
      </c>
      <c r="H42" s="493">
        <f>+'Invullen groen'!K39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494">
        <f>+'Invullen groen'!A40</f>
        <v/>
      </c>
      <c r="B43" s="494">
        <f>+'Invullen groen'!C40</f>
        <v/>
      </c>
      <c r="C43" s="495">
        <f>+'Invullen groen'!G40</f>
        <v/>
      </c>
      <c r="D43" s="494">
        <f>+'Invullen groen'!M40</f>
        <v/>
      </c>
      <c r="E43" s="496">
        <f>+'Invullen groen'!H40</f>
        <v/>
      </c>
      <c r="F43" s="496">
        <f>+'Invullen groen'!I40</f>
        <v/>
      </c>
      <c r="G43" s="496">
        <f>+'Invullen groen'!J40</f>
        <v/>
      </c>
      <c r="H43" s="496">
        <f>+'Invullen groen'!K40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491">
        <f>+'Invullen groen'!A41</f>
        <v/>
      </c>
      <c r="B44" s="491">
        <f>+'Invullen groen'!C41</f>
        <v/>
      </c>
      <c r="C44" s="492">
        <f>+'Invullen groen'!G41</f>
        <v/>
      </c>
      <c r="D44" s="491">
        <f>+'Invullen groen'!M41</f>
        <v/>
      </c>
      <c r="E44" s="493">
        <f>+'Invullen groen'!H41</f>
        <v/>
      </c>
      <c r="F44" s="493">
        <f>+'Invullen groen'!I41</f>
        <v/>
      </c>
      <c r="G44" s="493">
        <f>+'Invullen groen'!J41</f>
        <v/>
      </c>
      <c r="H44" s="493">
        <f>+'Invullen groen'!K41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494">
        <f>+'Invullen groen'!A42</f>
        <v/>
      </c>
      <c r="B45" s="494">
        <f>+'Invullen groen'!C42</f>
        <v/>
      </c>
      <c r="C45" s="495">
        <f>+'Invullen groen'!G42</f>
        <v/>
      </c>
      <c r="D45" s="494">
        <f>+'Invullen groen'!M42</f>
        <v/>
      </c>
      <c r="E45" s="496">
        <f>+'Invullen groen'!H42</f>
        <v/>
      </c>
      <c r="F45" s="496">
        <f>+'Invullen groen'!I42</f>
        <v/>
      </c>
      <c r="G45" s="496">
        <f>+'Invullen groen'!J42</f>
        <v/>
      </c>
      <c r="H45" s="496">
        <f>+'Invullen groen'!K42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491">
        <f>+'Invullen groen'!A43</f>
        <v/>
      </c>
      <c r="B46" s="491">
        <f>+'Invullen groen'!C43</f>
        <v/>
      </c>
      <c r="C46" s="492">
        <f>+'Invullen groen'!G43</f>
        <v/>
      </c>
      <c r="D46" s="491">
        <f>+'Invullen groen'!M43</f>
        <v/>
      </c>
      <c r="E46" s="493">
        <f>+'Invullen groen'!H43</f>
        <v/>
      </c>
      <c r="F46" s="493">
        <f>+'Invullen groen'!I43</f>
        <v/>
      </c>
      <c r="G46" s="493">
        <f>+'Invullen groen'!J43</f>
        <v/>
      </c>
      <c r="H46" s="493">
        <f>+'Invullen groen'!K43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494">
        <f>+'Invullen groen'!A44</f>
        <v/>
      </c>
      <c r="B47" s="494">
        <f>+'Invullen groen'!C44</f>
        <v/>
      </c>
      <c r="C47" s="495">
        <f>+'Invullen groen'!G44</f>
        <v/>
      </c>
      <c r="D47" s="494">
        <f>+'Invullen groen'!M44</f>
        <v/>
      </c>
      <c r="E47" s="496">
        <f>+'Invullen groen'!H44</f>
        <v/>
      </c>
      <c r="F47" s="496">
        <f>+'Invullen groen'!I44</f>
        <v/>
      </c>
      <c r="G47" s="496">
        <f>+'Invullen groen'!J44</f>
        <v/>
      </c>
      <c r="H47" s="496">
        <f>+'Invullen groen'!K44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491">
        <f>+'Invullen groen'!A45</f>
        <v/>
      </c>
      <c r="B48" s="491">
        <f>+'Invullen groen'!C45</f>
        <v/>
      </c>
      <c r="C48" s="492">
        <f>+'Invullen groen'!G45</f>
        <v/>
      </c>
      <c r="D48" s="491">
        <f>+'Invullen groen'!M45</f>
        <v/>
      </c>
      <c r="E48" s="493">
        <f>+'Invullen groen'!H45</f>
        <v/>
      </c>
      <c r="F48" s="493">
        <f>+'Invullen groen'!I45</f>
        <v/>
      </c>
      <c r="G48" s="493">
        <f>+'Invullen groen'!J45</f>
        <v/>
      </c>
      <c r="H48" s="493">
        <f>+'Invullen groen'!K45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494">
        <f>+'Invullen groen'!A46</f>
        <v/>
      </c>
      <c r="B49" s="494">
        <f>+'Invullen groen'!C46</f>
        <v/>
      </c>
      <c r="C49" s="495">
        <f>+'Invullen groen'!G46</f>
        <v/>
      </c>
      <c r="D49" s="494">
        <f>+'Invullen groen'!M46</f>
        <v/>
      </c>
      <c r="E49" s="496">
        <f>+'Invullen groen'!H46</f>
        <v/>
      </c>
      <c r="F49" s="496">
        <f>+'Invullen groen'!I46</f>
        <v/>
      </c>
      <c r="G49" s="496">
        <f>+'Invullen groen'!J46</f>
        <v/>
      </c>
      <c r="H49" s="496">
        <f>+'Invullen groen'!K46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491">
        <f>+'Invullen groen'!A47</f>
        <v/>
      </c>
      <c r="B50" s="491">
        <f>+'Invullen groen'!C47</f>
        <v/>
      </c>
      <c r="C50" s="492">
        <f>+'Invullen groen'!G47</f>
        <v/>
      </c>
      <c r="D50" s="491">
        <f>+'Invullen groen'!M47</f>
        <v/>
      </c>
      <c r="E50" s="493">
        <f>+'Invullen groen'!H47</f>
        <v/>
      </c>
      <c r="F50" s="493">
        <f>+'Invullen groen'!I47</f>
        <v/>
      </c>
      <c r="G50" s="493">
        <f>+'Invullen groen'!J47</f>
        <v/>
      </c>
      <c r="H50" s="493">
        <f>+'Invullen groen'!K47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494">
        <f>+'Invullen groen'!A48</f>
        <v/>
      </c>
      <c r="B51" s="494">
        <f>+'Invullen groen'!C48</f>
        <v/>
      </c>
      <c r="C51" s="495">
        <f>+'Invullen groen'!G48</f>
        <v/>
      </c>
      <c r="D51" s="494">
        <f>+'Invullen groen'!M48</f>
        <v/>
      </c>
      <c r="E51" s="496">
        <f>+'Invullen groen'!H48</f>
        <v/>
      </c>
      <c r="F51" s="496">
        <f>+'Invullen groen'!I48</f>
        <v/>
      </c>
      <c r="G51" s="496">
        <f>+'Invullen groen'!J48</f>
        <v/>
      </c>
      <c r="H51" s="496">
        <f>+'Invullen groen'!K48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491">
        <f>+'Invullen groen'!A49</f>
        <v/>
      </c>
      <c r="B52" s="491">
        <f>+'Invullen groen'!C49</f>
        <v/>
      </c>
      <c r="C52" s="492">
        <f>+'Invullen groen'!G49</f>
        <v/>
      </c>
      <c r="D52" s="491">
        <f>+'Invullen groen'!M49</f>
        <v/>
      </c>
      <c r="E52" s="493">
        <f>+'Invullen groen'!H49</f>
        <v/>
      </c>
      <c r="F52" s="493">
        <f>+'Invullen groen'!I49</f>
        <v/>
      </c>
      <c r="G52" s="493">
        <f>+'Invullen groen'!J49</f>
        <v/>
      </c>
      <c r="H52" s="493">
        <f>+'Invullen groen'!K49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494">
        <f>+'Invullen groen'!A50</f>
        <v/>
      </c>
      <c r="B53" s="494">
        <f>+'Invullen groen'!C50</f>
        <v/>
      </c>
      <c r="C53" s="495">
        <f>+'Invullen groen'!G50</f>
        <v/>
      </c>
      <c r="D53" s="494">
        <f>+'Invullen groen'!M50</f>
        <v/>
      </c>
      <c r="E53" s="496">
        <f>+'Invullen groen'!H50</f>
        <v/>
      </c>
      <c r="F53" s="496">
        <f>+'Invullen groen'!I50</f>
        <v/>
      </c>
      <c r="G53" s="496">
        <f>+'Invullen groen'!J50</f>
        <v/>
      </c>
      <c r="H53" s="496">
        <f>+'Invullen groen'!K50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491">
        <f>+'Invullen groen'!A51</f>
        <v/>
      </c>
      <c r="B54" s="491">
        <f>+'Invullen groen'!C51</f>
        <v/>
      </c>
      <c r="C54" s="492">
        <f>+'Invullen groen'!G51</f>
        <v/>
      </c>
      <c r="D54" s="491">
        <f>+'Invullen groen'!M51</f>
        <v/>
      </c>
      <c r="E54" s="493">
        <f>+'Invullen groen'!H51</f>
        <v/>
      </c>
      <c r="F54" s="493">
        <f>+'Invullen groen'!I51</f>
        <v/>
      </c>
      <c r="G54" s="493">
        <f>+'Invullen groen'!J51</f>
        <v/>
      </c>
      <c r="H54" s="493">
        <f>+'Invullen groen'!K51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494">
        <f>+'Invullen groen'!A52</f>
        <v/>
      </c>
      <c r="B55" s="494">
        <f>+'Invullen groen'!C52</f>
        <v/>
      </c>
      <c r="C55" s="495">
        <f>+'Invullen groen'!G52</f>
        <v/>
      </c>
      <c r="D55" s="494">
        <f>+'Invullen groen'!M52</f>
        <v/>
      </c>
      <c r="E55" s="496">
        <f>+'Invullen groen'!H52</f>
        <v/>
      </c>
      <c r="F55" s="496">
        <f>+'Invullen groen'!I52</f>
        <v/>
      </c>
      <c r="G55" s="496">
        <f>+'Invullen groen'!J52</f>
        <v/>
      </c>
      <c r="H55" s="496">
        <f>+'Invullen groen'!K52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491">
        <f>+'Invullen groen'!A53</f>
        <v/>
      </c>
      <c r="B56" s="491">
        <f>+'Invullen groen'!C53</f>
        <v/>
      </c>
      <c r="C56" s="492">
        <f>+'Invullen groen'!G53</f>
        <v/>
      </c>
      <c r="D56" s="491">
        <f>+'Invullen groen'!M53</f>
        <v/>
      </c>
      <c r="E56" s="493">
        <f>+'Invullen groen'!H53</f>
        <v/>
      </c>
      <c r="F56" s="493">
        <f>+'Invullen groen'!I53</f>
        <v/>
      </c>
      <c r="G56" s="493">
        <f>+'Invullen groen'!J53</f>
        <v/>
      </c>
      <c r="H56" s="493">
        <f>+'Invullen groen'!K53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494">
        <f>+'Invullen groen'!A54</f>
        <v/>
      </c>
      <c r="B57" s="494">
        <f>+'Invullen groen'!C54</f>
        <v/>
      </c>
      <c r="C57" s="495">
        <f>+'Invullen groen'!G54</f>
        <v/>
      </c>
      <c r="D57" s="494">
        <f>+'Invullen groen'!M54</f>
        <v/>
      </c>
      <c r="E57" s="496">
        <f>+'Invullen groen'!H54</f>
        <v/>
      </c>
      <c r="F57" s="496">
        <f>+'Invullen groen'!I54</f>
        <v/>
      </c>
      <c r="G57" s="496">
        <f>+'Invullen groen'!J54</f>
        <v/>
      </c>
      <c r="H57" s="496">
        <f>+'Invullen groen'!K54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491">
        <f>+'Invullen groen'!A55</f>
        <v/>
      </c>
      <c r="B58" s="491">
        <f>+'Invullen groen'!C55</f>
        <v/>
      </c>
      <c r="C58" s="492">
        <f>+'Invullen groen'!G55</f>
        <v/>
      </c>
      <c r="D58" s="491">
        <f>+'Invullen groen'!M55</f>
        <v/>
      </c>
      <c r="E58" s="493">
        <f>+'Invullen groen'!H55</f>
        <v/>
      </c>
      <c r="F58" s="493">
        <f>+'Invullen groen'!I55</f>
        <v/>
      </c>
      <c r="G58" s="493">
        <f>+'Invullen groen'!J55</f>
        <v/>
      </c>
      <c r="H58" s="493">
        <f>+'Invullen groen'!K55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494">
        <f>+'Invullen groen'!A56</f>
        <v/>
      </c>
      <c r="B59" s="494">
        <f>+'Invullen groen'!C56</f>
        <v/>
      </c>
      <c r="C59" s="495">
        <f>+'Invullen groen'!G56</f>
        <v/>
      </c>
      <c r="D59" s="494">
        <f>+'Invullen groen'!M56</f>
        <v/>
      </c>
      <c r="E59" s="496">
        <f>+'Invullen groen'!H56</f>
        <v/>
      </c>
      <c r="F59" s="496">
        <f>+'Invullen groen'!I56</f>
        <v/>
      </c>
      <c r="G59" s="496">
        <f>+'Invullen groen'!J56</f>
        <v/>
      </c>
      <c r="H59" s="496">
        <f>+'Invullen groen'!K56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491">
        <f>+'Invullen groen'!A57</f>
        <v/>
      </c>
      <c r="B60" s="491">
        <f>+'Invullen groen'!C57</f>
        <v/>
      </c>
      <c r="C60" s="492">
        <f>+'Invullen groen'!G57</f>
        <v/>
      </c>
      <c r="D60" s="491">
        <f>+'Invullen groen'!M57</f>
        <v/>
      </c>
      <c r="E60" s="493">
        <f>+'Invullen groen'!H57</f>
        <v/>
      </c>
      <c r="F60" s="493">
        <f>+'Invullen groen'!I57</f>
        <v/>
      </c>
      <c r="G60" s="493">
        <f>+'Invullen groen'!J57</f>
        <v/>
      </c>
      <c r="H60" s="493">
        <f>+'Invullen groen'!K57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494">
        <f>+'Invullen groen'!A58</f>
        <v/>
      </c>
      <c r="B61" s="494">
        <f>+'Invullen groen'!C58</f>
        <v/>
      </c>
      <c r="C61" s="495">
        <f>+'Invullen groen'!G58</f>
        <v/>
      </c>
      <c r="D61" s="494">
        <f>+'Invullen groen'!M58</f>
        <v/>
      </c>
      <c r="E61" s="496">
        <f>+'Invullen groen'!H58</f>
        <v/>
      </c>
      <c r="F61" s="496">
        <f>+'Invullen groen'!I58</f>
        <v/>
      </c>
      <c r="G61" s="496">
        <f>+'Invullen groen'!J58</f>
        <v/>
      </c>
      <c r="H61" s="496">
        <f>+'Invullen groen'!K58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491">
        <f>+'Invullen groen'!A59</f>
        <v/>
      </c>
      <c r="B62" s="491">
        <f>+'Invullen groen'!C59</f>
        <v/>
      </c>
      <c r="C62" s="492">
        <f>+'Invullen groen'!G59</f>
        <v/>
      </c>
      <c r="D62" s="491">
        <f>+'Invullen groen'!M59</f>
        <v/>
      </c>
      <c r="E62" s="493">
        <f>+'Invullen groen'!H59</f>
        <v/>
      </c>
      <c r="F62" s="493">
        <f>+'Invullen groen'!I59</f>
        <v/>
      </c>
      <c r="G62" s="493">
        <f>+'Invullen groen'!J59</f>
        <v/>
      </c>
      <c r="H62" s="493">
        <f>+'Invullen groen'!K59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494">
        <f>+'Invullen groen'!A60</f>
        <v/>
      </c>
      <c r="B63" s="494">
        <f>+'Invullen groen'!C60</f>
        <v/>
      </c>
      <c r="C63" s="495">
        <f>+'Invullen groen'!G60</f>
        <v/>
      </c>
      <c r="D63" s="494">
        <f>+'Invullen groen'!M60</f>
        <v/>
      </c>
      <c r="E63" s="496">
        <f>+'Invullen groen'!H60</f>
        <v/>
      </c>
      <c r="F63" s="496">
        <f>+'Invullen groen'!I60</f>
        <v/>
      </c>
      <c r="G63" s="496">
        <f>+'Invullen groen'!J60</f>
        <v/>
      </c>
      <c r="H63" s="496">
        <f>+'Invullen groen'!K60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491">
        <f>+'Invullen groen'!A61</f>
        <v/>
      </c>
      <c r="B64" s="491">
        <f>+'Invullen groen'!C61</f>
        <v/>
      </c>
      <c r="C64" s="492">
        <f>+'Invullen groen'!G61</f>
        <v/>
      </c>
      <c r="D64" s="491">
        <f>+'Invullen groen'!M61</f>
        <v/>
      </c>
      <c r="E64" s="493">
        <f>+'Invullen groen'!H61</f>
        <v/>
      </c>
      <c r="F64" s="493">
        <f>+'Invullen groen'!I61</f>
        <v/>
      </c>
      <c r="G64" s="493">
        <f>+'Invullen groen'!J61</f>
        <v/>
      </c>
      <c r="H64" s="493">
        <f>+'Invullen groen'!K61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494">
        <f>+'Invullen groen'!A62</f>
        <v/>
      </c>
      <c r="B65" s="494">
        <f>+'Invullen groen'!C62</f>
        <v/>
      </c>
      <c r="C65" s="495">
        <f>+'Invullen groen'!G62</f>
        <v/>
      </c>
      <c r="D65" s="494">
        <f>+'Invullen groen'!M62</f>
        <v/>
      </c>
      <c r="E65" s="496">
        <f>+'Invullen groen'!H62</f>
        <v/>
      </c>
      <c r="F65" s="496">
        <f>+'Invullen groen'!I62</f>
        <v/>
      </c>
      <c r="G65" s="496">
        <f>+'Invullen groen'!J62</f>
        <v/>
      </c>
      <c r="H65" s="496">
        <f>+'Invullen groen'!K62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491">
        <f>+'Invullen groen'!A63</f>
        <v/>
      </c>
      <c r="B66" s="491">
        <f>+'Invullen groen'!C63</f>
        <v/>
      </c>
      <c r="C66" s="492">
        <f>+'Invullen groen'!G63</f>
        <v/>
      </c>
      <c r="D66" s="491">
        <f>+'Invullen groen'!M63</f>
        <v/>
      </c>
      <c r="E66" s="493">
        <f>+'Invullen groen'!H63</f>
        <v/>
      </c>
      <c r="F66" s="493">
        <f>+'Invullen groen'!I63</f>
        <v/>
      </c>
      <c r="G66" s="493">
        <f>+'Invullen groen'!J63</f>
        <v/>
      </c>
      <c r="H66" s="493">
        <f>+'Invullen groen'!K63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494">
        <f>+'Invullen groen'!A64</f>
        <v/>
      </c>
      <c r="B67" s="494">
        <f>+'Invullen groen'!C64</f>
        <v/>
      </c>
      <c r="C67" s="495">
        <f>+'Invullen groen'!G64</f>
        <v/>
      </c>
      <c r="D67" s="494">
        <f>+'Invullen groen'!M64</f>
        <v/>
      </c>
      <c r="E67" s="496">
        <f>+'Invullen groen'!H64</f>
        <v/>
      </c>
      <c r="F67" s="496">
        <f>+'Invullen groen'!I64</f>
        <v/>
      </c>
      <c r="G67" s="496">
        <f>+'Invullen groen'!J64</f>
        <v/>
      </c>
      <c r="H67" s="496">
        <f>+'Invullen groen'!K64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491">
        <f>+'Invullen groen'!A65</f>
        <v/>
      </c>
      <c r="B68" s="491">
        <f>+'Invullen groen'!C65</f>
        <v/>
      </c>
      <c r="C68" s="492">
        <f>+'Invullen groen'!G65</f>
        <v/>
      </c>
      <c r="D68" s="491">
        <f>+'Invullen groen'!M65</f>
        <v/>
      </c>
      <c r="E68" s="493">
        <f>+'Invullen groen'!H65</f>
        <v/>
      </c>
      <c r="F68" s="493">
        <f>+'Invullen groen'!I65</f>
        <v/>
      </c>
      <c r="G68" s="493">
        <f>+'Invullen groen'!J65</f>
        <v/>
      </c>
      <c r="H68" s="493">
        <f>+'Invullen groen'!K65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494">
        <f>+'Invullen groen'!A66</f>
        <v/>
      </c>
      <c r="B69" s="494">
        <f>+'Invullen groen'!C66</f>
        <v/>
      </c>
      <c r="C69" s="495">
        <f>+'Invullen groen'!G66</f>
        <v/>
      </c>
      <c r="D69" s="494">
        <f>+'Invullen groen'!M66</f>
        <v/>
      </c>
      <c r="E69" s="496">
        <f>+'Invullen groen'!H66</f>
        <v/>
      </c>
      <c r="F69" s="496">
        <f>+'Invullen groen'!I66</f>
        <v/>
      </c>
      <c r="G69" s="496">
        <f>+'Invullen groen'!J66</f>
        <v/>
      </c>
      <c r="H69" s="496">
        <f>+'Invullen groen'!K66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491">
        <f>+'Invullen groen'!A67</f>
        <v/>
      </c>
      <c r="B70" s="491">
        <f>+'Invullen groen'!C67</f>
        <v/>
      </c>
      <c r="C70" s="492">
        <f>+'Invullen groen'!G67</f>
        <v/>
      </c>
      <c r="D70" s="491">
        <f>+'Invullen groen'!M67</f>
        <v/>
      </c>
      <c r="E70" s="493">
        <f>+'Invullen groen'!H67</f>
        <v/>
      </c>
      <c r="F70" s="493">
        <f>+'Invullen groen'!I67</f>
        <v/>
      </c>
      <c r="G70" s="493">
        <f>+'Invullen groen'!J67</f>
        <v/>
      </c>
      <c r="H70" s="493">
        <f>+'Invullen groen'!K67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494">
        <f>+'Invullen groen'!A68</f>
        <v/>
      </c>
      <c r="B71" s="494">
        <f>+'Invullen groen'!C68</f>
        <v/>
      </c>
      <c r="C71" s="495">
        <f>+'Invullen groen'!G68</f>
        <v/>
      </c>
      <c r="D71" s="494">
        <f>+'Invullen groen'!M68</f>
        <v/>
      </c>
      <c r="E71" s="496">
        <f>+'Invullen groen'!H68</f>
        <v/>
      </c>
      <c r="F71" s="496">
        <f>+'Invullen groen'!I68</f>
        <v/>
      </c>
      <c r="G71" s="496">
        <f>+'Invullen groen'!J68</f>
        <v/>
      </c>
      <c r="H71" s="496">
        <f>+'Invullen groen'!K68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491">
        <f>+'Invullen groen'!A69</f>
        <v/>
      </c>
      <c r="B72" s="491">
        <f>+'Invullen groen'!C69</f>
        <v/>
      </c>
      <c r="C72" s="492">
        <f>+'Invullen groen'!G69</f>
        <v/>
      </c>
      <c r="D72" s="491">
        <f>+'Invullen groen'!M69</f>
        <v/>
      </c>
      <c r="E72" s="493">
        <f>+'Invullen groen'!H69</f>
        <v/>
      </c>
      <c r="F72" s="493">
        <f>+'Invullen groen'!I69</f>
        <v/>
      </c>
      <c r="G72" s="493">
        <f>+'Invullen groen'!J69</f>
        <v/>
      </c>
      <c r="H72" s="493">
        <f>+'Invullen groen'!K69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494">
        <f>+'Invullen groen'!A70</f>
        <v/>
      </c>
      <c r="B73" s="494">
        <f>+'Invullen groen'!C70</f>
        <v/>
      </c>
      <c r="C73" s="495">
        <f>+'Invullen groen'!G70</f>
        <v/>
      </c>
      <c r="D73" s="494">
        <f>+'Invullen groen'!M70</f>
        <v/>
      </c>
      <c r="E73" s="496">
        <f>+'Invullen groen'!H70</f>
        <v/>
      </c>
      <c r="F73" s="496">
        <f>+'Invullen groen'!I70</f>
        <v/>
      </c>
      <c r="G73" s="496">
        <f>+'Invullen groen'!J70</f>
        <v/>
      </c>
      <c r="H73" s="496">
        <f>+'Invullen groen'!K70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491">
        <f>+'Invullen groen'!A71</f>
        <v/>
      </c>
      <c r="B74" s="491">
        <f>+'Invullen groen'!C71</f>
        <v/>
      </c>
      <c r="C74" s="492">
        <f>+'Invullen groen'!G71</f>
        <v/>
      </c>
      <c r="D74" s="491">
        <f>+'Invullen groen'!M71</f>
        <v/>
      </c>
      <c r="E74" s="493">
        <f>+'Invullen groen'!H71</f>
        <v/>
      </c>
      <c r="F74" s="493">
        <f>+'Invullen groen'!I71</f>
        <v/>
      </c>
      <c r="G74" s="493">
        <f>+'Invullen groen'!J71</f>
        <v/>
      </c>
      <c r="H74" s="493">
        <f>+'Invullen groen'!K71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494">
        <f>+'Invullen groen'!A72</f>
        <v/>
      </c>
      <c r="B75" s="494">
        <f>+'Invullen groen'!C72</f>
        <v/>
      </c>
      <c r="C75" s="495">
        <f>+'Invullen groen'!G72</f>
        <v/>
      </c>
      <c r="D75" s="494">
        <f>+'Invullen groen'!M72</f>
        <v/>
      </c>
      <c r="E75" s="496">
        <f>+'Invullen groen'!H72</f>
        <v/>
      </c>
      <c r="F75" s="496">
        <f>+'Invullen groen'!I72</f>
        <v/>
      </c>
      <c r="G75" s="496">
        <f>+'Invullen groen'!J72</f>
        <v/>
      </c>
      <c r="H75" s="496">
        <f>+'Invullen groen'!K72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491">
        <f>+'Invullen groen'!A73</f>
        <v/>
      </c>
      <c r="B76" s="491">
        <f>+'Invullen groen'!C73</f>
        <v/>
      </c>
      <c r="C76" s="492">
        <f>+'Invullen groen'!G73</f>
        <v/>
      </c>
      <c r="D76" s="491">
        <f>+'Invullen groen'!M73</f>
        <v/>
      </c>
      <c r="E76" s="493">
        <f>+'Invullen groen'!H73</f>
        <v/>
      </c>
      <c r="F76" s="493">
        <f>+'Invullen groen'!I73</f>
        <v/>
      </c>
      <c r="G76" s="493">
        <f>+'Invullen groen'!J73</f>
        <v/>
      </c>
      <c r="H76" s="493">
        <f>+'Invullen groen'!K73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494">
        <f>+'Invullen groen'!A74</f>
        <v/>
      </c>
      <c r="B77" s="494">
        <f>+'Invullen groen'!C74</f>
        <v/>
      </c>
      <c r="C77" s="495">
        <f>+'Invullen groen'!G74</f>
        <v/>
      </c>
      <c r="D77" s="494">
        <f>+'Invullen groen'!M74</f>
        <v/>
      </c>
      <c r="E77" s="497">
        <f>+'Invullen groen'!H74</f>
        <v/>
      </c>
      <c r="F77" s="497">
        <f>+'Invullen groen'!I74</f>
        <v/>
      </c>
      <c r="G77" s="497">
        <f>+'Invullen groen'!J74</f>
        <v/>
      </c>
      <c r="H77" s="497">
        <f>+'Invullen groen'!K74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498">
        <f>+'Invullen groen'!A75</f>
        <v/>
      </c>
      <c r="B78" s="498">
        <f>+'Invullen groen'!C75</f>
        <v/>
      </c>
      <c r="C78" s="499">
        <f>+'Invullen groen'!G75</f>
        <v/>
      </c>
      <c r="D78" s="498">
        <f>+'Invullen groen'!M75</f>
        <v/>
      </c>
      <c r="E78" s="500">
        <f>+'Invullen groen'!H75</f>
        <v/>
      </c>
      <c r="F78" s="500">
        <f>+'Invullen groen'!I75</f>
        <v/>
      </c>
      <c r="G78" s="500">
        <f>+'Invullen groen'!J75</f>
        <v/>
      </c>
      <c r="H78" s="500">
        <f>+'Invullen groen'!K75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494">
        <f>+'Invullen groen'!A76</f>
        <v/>
      </c>
      <c r="B79" s="494">
        <f>+'Invullen groen'!C76</f>
        <v/>
      </c>
      <c r="C79" s="495">
        <f>+'Invullen groen'!G76</f>
        <v/>
      </c>
      <c r="D79" s="494">
        <f>+'Invullen groen'!M76</f>
        <v/>
      </c>
      <c r="E79" s="496">
        <f>+'Invullen groen'!H76</f>
        <v/>
      </c>
      <c r="F79" s="496">
        <f>+'Invullen groen'!I76</f>
        <v/>
      </c>
      <c r="G79" s="496">
        <f>+'Invullen groen'!J76</f>
        <v/>
      </c>
      <c r="H79" s="496">
        <f>+'Invullen groen'!K76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501">
        <f>+'Invullen groen'!A77</f>
        <v/>
      </c>
      <c r="B80" s="501">
        <f>+'Invullen groen'!C77</f>
        <v/>
      </c>
      <c r="C80" s="501">
        <f>+'Invullen groen'!G77</f>
        <v/>
      </c>
      <c r="D80" s="501">
        <f>+'Invullen groen'!M77</f>
        <v/>
      </c>
      <c r="E80" s="502">
        <f>+'Invullen groen'!H77</f>
        <v/>
      </c>
      <c r="F80" s="502">
        <f>+'Invullen groen'!I77</f>
        <v/>
      </c>
      <c r="G80" s="502">
        <f>+'Invullen groen'!J77</f>
        <v/>
      </c>
      <c r="H80" s="502">
        <f>+'Invullen groen'!K77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494">
        <f>+'Invullen groen'!A78</f>
        <v/>
      </c>
      <c r="B81" s="494">
        <f>+'Invullen groen'!C78</f>
        <v/>
      </c>
      <c r="C81" s="495">
        <f>+'Invullen groen'!G78</f>
        <v/>
      </c>
      <c r="D81" s="494">
        <f>+'Invullen groen'!M78</f>
        <v/>
      </c>
      <c r="E81" s="496">
        <f>+'Invullen groen'!H78</f>
        <v/>
      </c>
      <c r="F81" s="496">
        <f>+'Invullen groen'!I78</f>
        <v/>
      </c>
      <c r="G81" s="496">
        <f>+'Invullen groen'!J78</f>
        <v/>
      </c>
      <c r="H81" s="496">
        <f>+'Invullen groen'!K78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491">
        <f>+'Invullen groen'!A79</f>
        <v/>
      </c>
      <c r="B82" s="491">
        <f>+'Invullen groen'!C79</f>
        <v/>
      </c>
      <c r="C82" s="492">
        <f>+'Invullen groen'!G79</f>
        <v/>
      </c>
      <c r="D82" s="491">
        <f>+'Invullen groen'!M79</f>
        <v/>
      </c>
      <c r="E82" s="493">
        <f>+'Invullen groen'!H79</f>
        <v/>
      </c>
      <c r="F82" s="493">
        <f>+'Invullen groen'!I79</f>
        <v/>
      </c>
      <c r="G82" s="493">
        <f>+'Invullen groen'!J79</f>
        <v/>
      </c>
      <c r="H82" s="493">
        <f>+'Invullen groen'!K79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494">
        <f>+'Invullen groen'!A80</f>
        <v/>
      </c>
      <c r="B83" s="494">
        <f>+'Invullen groen'!C80</f>
        <v/>
      </c>
      <c r="C83" s="495">
        <f>+'Invullen groen'!G80</f>
        <v/>
      </c>
      <c r="D83" s="494">
        <f>+'Invullen groen'!M80</f>
        <v/>
      </c>
      <c r="E83" s="496">
        <f>+'Invullen groen'!H80</f>
        <v/>
      </c>
      <c r="F83" s="496">
        <f>+'Invullen groen'!I80</f>
        <v/>
      </c>
      <c r="G83" s="496">
        <f>+'Invullen groen'!J80</f>
        <v/>
      </c>
      <c r="H83" s="496">
        <f>+'Invullen groen'!K80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491">
        <f>+'Invullen groen'!A81</f>
        <v/>
      </c>
      <c r="B84" s="491">
        <f>+'Invullen groen'!C81</f>
        <v/>
      </c>
      <c r="C84" s="492">
        <f>+'Invullen groen'!G81</f>
        <v/>
      </c>
      <c r="D84" s="491">
        <f>+'Invullen groen'!M81</f>
        <v/>
      </c>
      <c r="E84" s="493">
        <f>+'Invullen groen'!H81</f>
        <v/>
      </c>
      <c r="F84" s="493">
        <f>+'Invullen groen'!I81</f>
        <v/>
      </c>
      <c r="G84" s="493">
        <f>+'Invullen groen'!J81</f>
        <v/>
      </c>
      <c r="H84" s="493">
        <f>+'Invullen groen'!K81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494">
        <f>+'Invullen groen'!A82</f>
        <v/>
      </c>
      <c r="B85" s="494">
        <f>+'Invullen groen'!C82</f>
        <v/>
      </c>
      <c r="C85" s="495">
        <f>+'Invullen groen'!G82</f>
        <v/>
      </c>
      <c r="D85" s="494">
        <f>+'Invullen groen'!M82</f>
        <v/>
      </c>
      <c r="E85" s="496">
        <f>+'Invullen groen'!H82</f>
        <v/>
      </c>
      <c r="F85" s="496">
        <f>+'Invullen groen'!I82</f>
        <v/>
      </c>
      <c r="G85" s="496">
        <f>+'Invullen groen'!J82</f>
        <v/>
      </c>
      <c r="H85" s="496">
        <f>+'Invullen groen'!K82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491">
        <f>+'Invullen groen'!A83</f>
        <v/>
      </c>
      <c r="B86" s="491">
        <f>+'Invullen groen'!C83</f>
        <v/>
      </c>
      <c r="C86" s="492">
        <f>+'Invullen groen'!G83</f>
        <v/>
      </c>
      <c r="D86" s="491">
        <f>+'Invullen groen'!M83</f>
        <v/>
      </c>
      <c r="E86" s="493">
        <f>+'Invullen groen'!H83</f>
        <v/>
      </c>
      <c r="F86" s="493">
        <f>+'Invullen groen'!I83</f>
        <v/>
      </c>
      <c r="G86" s="493">
        <f>+'Invullen groen'!J83</f>
        <v/>
      </c>
      <c r="H86" s="493">
        <f>+'Invullen groen'!K83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494">
        <f>+'Invullen groen'!A84</f>
        <v/>
      </c>
      <c r="B87" s="494">
        <f>+'Invullen groen'!C84</f>
        <v/>
      </c>
      <c r="C87" s="495">
        <f>+'Invullen groen'!G84</f>
        <v/>
      </c>
      <c r="D87" s="494">
        <f>+'Invullen groen'!M84</f>
        <v/>
      </c>
      <c r="E87" s="496">
        <f>+'Invullen groen'!H84</f>
        <v/>
      </c>
      <c r="F87" s="496">
        <f>+'Invullen groen'!I84</f>
        <v/>
      </c>
      <c r="G87" s="496">
        <f>+'Invullen groen'!J84</f>
        <v/>
      </c>
      <c r="H87" s="496">
        <f>+'Invullen groen'!K84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491">
        <f>+'Invullen groen'!A85</f>
        <v/>
      </c>
      <c r="B88" s="491">
        <f>+'Invullen groen'!C85</f>
        <v/>
      </c>
      <c r="C88" s="492">
        <f>+'Invullen groen'!G85</f>
        <v/>
      </c>
      <c r="D88" s="491">
        <f>+'Invullen groen'!M85</f>
        <v/>
      </c>
      <c r="E88" s="493">
        <f>+'Invullen groen'!H85</f>
        <v/>
      </c>
      <c r="F88" s="493">
        <f>+'Invullen groen'!I85</f>
        <v/>
      </c>
      <c r="G88" s="493">
        <f>+'Invullen groen'!J85</f>
        <v/>
      </c>
      <c r="H88" s="493">
        <f>+'Invullen groen'!K85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494">
        <f>+'Invullen groen'!A86</f>
        <v/>
      </c>
      <c r="B89" s="494">
        <f>+'Invullen groen'!C86</f>
        <v/>
      </c>
      <c r="C89" s="495">
        <f>+'Invullen groen'!G86</f>
        <v/>
      </c>
      <c r="D89" s="494">
        <f>+'Invullen groen'!M86</f>
        <v/>
      </c>
      <c r="E89" s="496">
        <f>+'Invullen groen'!H86</f>
        <v/>
      </c>
      <c r="F89" s="496">
        <f>+'Invullen groen'!I86</f>
        <v/>
      </c>
      <c r="G89" s="496">
        <f>+'Invullen groen'!J86</f>
        <v/>
      </c>
      <c r="H89" s="496">
        <f>+'Invullen groen'!K86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491">
        <f>+'Invullen groen'!A87</f>
        <v/>
      </c>
      <c r="B90" s="491">
        <f>+'Invullen groen'!C87</f>
        <v/>
      </c>
      <c r="C90" s="492">
        <f>+'Invullen groen'!G87</f>
        <v/>
      </c>
      <c r="D90" s="491">
        <f>+'Invullen groen'!M87</f>
        <v/>
      </c>
      <c r="E90" s="493">
        <f>+'Invullen groen'!H87</f>
        <v/>
      </c>
      <c r="F90" s="493">
        <f>+'Invullen groen'!I87</f>
        <v/>
      </c>
      <c r="G90" s="493">
        <f>+'Invullen groen'!J87</f>
        <v/>
      </c>
      <c r="H90" s="493">
        <f>+'Invullen groen'!K87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494">
        <f>+'Invullen groen'!A88</f>
        <v/>
      </c>
      <c r="B91" s="494">
        <f>+'Invullen groen'!C88</f>
        <v/>
      </c>
      <c r="C91" s="495">
        <f>+'Invullen groen'!G88</f>
        <v/>
      </c>
      <c r="D91" s="494">
        <f>+'Invullen groen'!M88</f>
        <v/>
      </c>
      <c r="E91" s="496">
        <f>+'Invullen groen'!H88</f>
        <v/>
      </c>
      <c r="F91" s="496">
        <f>+'Invullen groen'!I88</f>
        <v/>
      </c>
      <c r="G91" s="496">
        <f>+'Invullen groen'!J88</f>
        <v/>
      </c>
      <c r="H91" s="496">
        <f>+'Invullen groen'!K88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491">
        <f>+'Invullen groen'!A89</f>
        <v/>
      </c>
      <c r="B92" s="491">
        <f>+'Invullen groen'!C89</f>
        <v/>
      </c>
      <c r="C92" s="492">
        <f>+'Invullen groen'!G89</f>
        <v/>
      </c>
      <c r="D92" s="491">
        <f>+'Invullen groen'!M89</f>
        <v/>
      </c>
      <c r="E92" s="493">
        <f>+'Invullen groen'!H89</f>
        <v/>
      </c>
      <c r="F92" s="493">
        <f>+'Invullen groen'!I89</f>
        <v/>
      </c>
      <c r="G92" s="493">
        <f>+'Invullen groen'!J89</f>
        <v/>
      </c>
      <c r="H92" s="493">
        <f>+'Invullen groen'!K89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494">
        <f>+'Invullen groen'!A90</f>
        <v/>
      </c>
      <c r="B93" s="494">
        <f>+'Invullen groen'!C90</f>
        <v/>
      </c>
      <c r="C93" s="495">
        <f>+'Invullen groen'!G90</f>
        <v/>
      </c>
      <c r="D93" s="494">
        <f>+'Invullen groen'!M90</f>
        <v/>
      </c>
      <c r="E93" s="496">
        <f>+'Invullen groen'!H90</f>
        <v/>
      </c>
      <c r="F93" s="496">
        <f>+'Invullen groen'!I90</f>
        <v/>
      </c>
      <c r="G93" s="496">
        <f>+'Invullen groen'!J90</f>
        <v/>
      </c>
      <c r="H93" s="496">
        <f>+'Invullen groen'!K90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491">
        <f>+'Invullen groen'!A91</f>
        <v/>
      </c>
      <c r="B94" s="491">
        <f>+'Invullen groen'!C91</f>
        <v/>
      </c>
      <c r="C94" s="492">
        <f>+'Invullen groen'!G91</f>
        <v/>
      </c>
      <c r="D94" s="491">
        <f>+'Invullen groen'!M91</f>
        <v/>
      </c>
      <c r="E94" s="493">
        <f>+'Invullen groen'!H91</f>
        <v/>
      </c>
      <c r="F94" s="493">
        <f>+'Invullen groen'!I91</f>
        <v/>
      </c>
      <c r="G94" s="493">
        <f>+'Invullen groen'!J91</f>
        <v/>
      </c>
      <c r="H94" s="493">
        <f>+'Invullen groen'!K91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494">
        <f>+'Invullen groen'!A92</f>
        <v/>
      </c>
      <c r="B95" s="494">
        <f>+'Invullen groen'!C92</f>
        <v/>
      </c>
      <c r="C95" s="495">
        <f>+'Invullen groen'!G92</f>
        <v/>
      </c>
      <c r="D95" s="494">
        <f>+'Invullen groen'!M92</f>
        <v/>
      </c>
      <c r="E95" s="496">
        <f>+'Invullen groen'!H92</f>
        <v/>
      </c>
      <c r="F95" s="496">
        <f>+'Invullen groen'!I92</f>
        <v/>
      </c>
      <c r="G95" s="496">
        <f>+'Invullen groen'!J92</f>
        <v/>
      </c>
      <c r="H95" s="496">
        <f>+'Invullen groen'!K92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491">
        <f>+'Invullen groen'!A93</f>
        <v/>
      </c>
      <c r="B96" s="491">
        <f>+'Invullen groen'!C93</f>
        <v/>
      </c>
      <c r="C96" s="492">
        <f>+'Invullen groen'!G93</f>
        <v/>
      </c>
      <c r="D96" s="491">
        <f>+'Invullen groen'!M93</f>
        <v/>
      </c>
      <c r="E96" s="493">
        <f>+'Invullen groen'!H93</f>
        <v/>
      </c>
      <c r="F96" s="493">
        <f>+'Invullen groen'!I93</f>
        <v/>
      </c>
      <c r="G96" s="493">
        <f>+'Invullen groen'!J93</f>
        <v/>
      </c>
      <c r="H96" s="493">
        <f>+'Invullen groen'!K93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494">
        <f>+'Invullen groen'!A94</f>
        <v/>
      </c>
      <c r="B97" s="494">
        <f>+'Invullen groen'!C94</f>
        <v/>
      </c>
      <c r="C97" s="495">
        <f>+'Invullen groen'!G94</f>
        <v/>
      </c>
      <c r="D97" s="494">
        <f>+'Invullen groen'!M94</f>
        <v/>
      </c>
      <c r="E97" s="496">
        <f>+'Invullen groen'!H94</f>
        <v/>
      </c>
      <c r="F97" s="496">
        <f>+'Invullen groen'!I94</f>
        <v/>
      </c>
      <c r="G97" s="496">
        <f>+'Invullen groen'!J94</f>
        <v/>
      </c>
      <c r="H97" s="496">
        <f>+'Invullen groen'!K94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491">
        <f>+'Invullen groen'!A95</f>
        <v/>
      </c>
      <c r="B98" s="491">
        <f>+'Invullen groen'!C95</f>
        <v/>
      </c>
      <c r="C98" s="492">
        <f>+'Invullen groen'!G95</f>
        <v/>
      </c>
      <c r="D98" s="491">
        <f>+'Invullen groen'!M95</f>
        <v/>
      </c>
      <c r="E98" s="493">
        <f>+'Invullen groen'!H95</f>
        <v/>
      </c>
      <c r="F98" s="493">
        <f>+'Invullen groen'!I95</f>
        <v/>
      </c>
      <c r="G98" s="493">
        <f>+'Invullen groen'!J95</f>
        <v/>
      </c>
      <c r="H98" s="493">
        <f>+'Invullen groen'!K95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494">
        <f>+'Invullen groen'!A96</f>
        <v/>
      </c>
      <c r="B99" s="494">
        <f>+'Invullen groen'!C96</f>
        <v/>
      </c>
      <c r="C99" s="495">
        <f>+'Invullen groen'!G96</f>
        <v/>
      </c>
      <c r="D99" s="494">
        <f>+'Invullen groen'!M96</f>
        <v/>
      </c>
      <c r="E99" s="496">
        <f>+'Invullen groen'!H96</f>
        <v/>
      </c>
      <c r="F99" s="496">
        <f>+'Invullen groen'!I96</f>
        <v/>
      </c>
      <c r="G99" s="496">
        <f>+'Invullen groen'!J96</f>
        <v/>
      </c>
      <c r="H99" s="496">
        <f>+'Invullen groen'!K96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491">
        <f>+'Invullen groen'!A97</f>
        <v/>
      </c>
      <c r="B100" s="491">
        <f>+'Invullen groen'!C97</f>
        <v/>
      </c>
      <c r="C100" s="492">
        <f>+'Invullen groen'!G97</f>
        <v/>
      </c>
      <c r="D100" s="491">
        <f>+'Invullen groen'!M97</f>
        <v/>
      </c>
      <c r="E100" s="493">
        <f>+'Invullen groen'!H97</f>
        <v/>
      </c>
      <c r="F100" s="493">
        <f>+'Invullen groen'!I97</f>
        <v/>
      </c>
      <c r="G100" s="493">
        <f>+'Invullen groen'!J97</f>
        <v/>
      </c>
      <c r="H100" s="493">
        <f>+'Invullen groen'!K97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494">
        <f>+'Invullen groen'!A98</f>
        <v/>
      </c>
      <c r="B101" s="494">
        <f>+'Invullen groen'!C98</f>
        <v/>
      </c>
      <c r="C101" s="495">
        <f>+'Invullen groen'!G98</f>
        <v/>
      </c>
      <c r="D101" s="494">
        <f>+'Invullen groen'!M98</f>
        <v/>
      </c>
      <c r="E101" s="496">
        <f>+'Invullen groen'!H98</f>
        <v/>
      </c>
      <c r="F101" s="496">
        <f>+'Invullen groen'!I98</f>
        <v/>
      </c>
      <c r="G101" s="496">
        <f>+'Invullen groen'!J98</f>
        <v/>
      </c>
      <c r="H101" s="496">
        <f>+'Invullen groen'!K98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491">
        <f>+'Invullen groen'!A99</f>
        <v/>
      </c>
      <c r="B102" s="491">
        <f>+'Invullen groen'!C99</f>
        <v/>
      </c>
      <c r="C102" s="492">
        <f>+'Invullen groen'!G99</f>
        <v/>
      </c>
      <c r="D102" s="491">
        <f>+'Invullen groen'!M99</f>
        <v/>
      </c>
      <c r="E102" s="493">
        <f>+'Invullen groen'!H99</f>
        <v/>
      </c>
      <c r="F102" s="493">
        <f>+'Invullen groen'!I99</f>
        <v/>
      </c>
      <c r="G102" s="493">
        <f>+'Invullen groen'!J99</f>
        <v/>
      </c>
      <c r="H102" s="493">
        <f>+'Invullen groen'!K99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494">
        <f>+'Invullen groen'!A100</f>
        <v/>
      </c>
      <c r="B103" s="494">
        <f>+'Invullen groen'!C100</f>
        <v/>
      </c>
      <c r="C103" s="495">
        <f>+'Invullen groen'!G100</f>
        <v/>
      </c>
      <c r="D103" s="494">
        <f>+'Invullen groen'!M100</f>
        <v/>
      </c>
      <c r="E103" s="496">
        <f>+'Invullen groen'!H100</f>
        <v/>
      </c>
      <c r="F103" s="496">
        <f>+'Invullen groen'!I100</f>
        <v/>
      </c>
      <c r="G103" s="496">
        <f>+'Invullen groen'!J100</f>
        <v/>
      </c>
      <c r="H103" s="496">
        <f>+'Invullen groen'!K100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491">
        <f>+'Invullen groen'!A101</f>
        <v/>
      </c>
      <c r="B104" s="491">
        <f>+'Invullen groen'!C101</f>
        <v/>
      </c>
      <c r="C104" s="492">
        <f>+'Invullen groen'!G101</f>
        <v/>
      </c>
      <c r="D104" s="491">
        <f>+'Invullen groen'!M101</f>
        <v/>
      </c>
      <c r="E104" s="493">
        <f>+'Invullen groen'!H101</f>
        <v/>
      </c>
      <c r="F104" s="493">
        <f>+'Invullen groen'!I101</f>
        <v/>
      </c>
      <c r="G104" s="493">
        <f>+'Invullen groen'!J101</f>
        <v/>
      </c>
      <c r="H104" s="493">
        <f>+'Invullen groen'!K101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494">
        <f>+'Invullen groen'!A102</f>
        <v/>
      </c>
      <c r="B105" s="494">
        <f>+'Invullen groen'!C102</f>
        <v/>
      </c>
      <c r="C105" s="495">
        <f>+'Invullen groen'!G102</f>
        <v/>
      </c>
      <c r="D105" s="494">
        <f>+'Invullen groen'!M102</f>
        <v/>
      </c>
      <c r="E105" s="496">
        <f>+'Invullen groen'!H102</f>
        <v/>
      </c>
      <c r="F105" s="496">
        <f>+'Invullen groen'!I102</f>
        <v/>
      </c>
      <c r="G105" s="496">
        <f>+'Invullen groen'!J102</f>
        <v/>
      </c>
      <c r="H105" s="496">
        <f>+'Invullen groen'!K102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491">
        <f>+'Invullen groen'!A103</f>
        <v/>
      </c>
      <c r="B106" s="491">
        <f>+'Invullen groen'!C103</f>
        <v/>
      </c>
      <c r="C106" s="492">
        <f>+'Invullen groen'!G103</f>
        <v/>
      </c>
      <c r="D106" s="491">
        <f>+'Invullen groen'!M103</f>
        <v/>
      </c>
      <c r="E106" s="493">
        <f>+'Invullen groen'!H103</f>
        <v/>
      </c>
      <c r="F106" s="493">
        <f>+'Invullen groen'!I103</f>
        <v/>
      </c>
      <c r="G106" s="493">
        <f>+'Invullen groen'!J103</f>
        <v/>
      </c>
      <c r="H106" s="493">
        <f>+'Invullen groen'!K103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494">
        <f>+'Invullen groen'!A104</f>
        <v/>
      </c>
      <c r="B107" s="494">
        <f>+'Invullen groen'!C104</f>
        <v/>
      </c>
      <c r="C107" s="495">
        <f>+'Invullen groen'!G104</f>
        <v/>
      </c>
      <c r="D107" s="494">
        <f>+'Invullen groen'!M104</f>
        <v/>
      </c>
      <c r="E107" s="496">
        <f>+'Invullen groen'!H104</f>
        <v/>
      </c>
      <c r="F107" s="496">
        <f>+'Invullen groen'!I104</f>
        <v/>
      </c>
      <c r="G107" s="496">
        <f>+'Invullen groen'!J104</f>
        <v/>
      </c>
      <c r="H107" s="496">
        <f>+'Invullen groen'!K104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491">
        <f>+'Invullen groen'!A105</f>
        <v/>
      </c>
      <c r="B108" s="491">
        <f>+'Invullen groen'!C105</f>
        <v/>
      </c>
      <c r="C108" s="492">
        <f>+'Invullen groen'!G105</f>
        <v/>
      </c>
      <c r="D108" s="491">
        <f>+'Invullen groen'!M105</f>
        <v/>
      </c>
      <c r="E108" s="493">
        <f>+'Invullen groen'!H105</f>
        <v/>
      </c>
      <c r="F108" s="493">
        <f>+'Invullen groen'!I105</f>
        <v/>
      </c>
      <c r="G108" s="493">
        <f>+'Invullen groen'!J105</f>
        <v/>
      </c>
      <c r="H108" s="493">
        <f>+'Invullen groen'!K105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494">
        <f>+'Invullen groen'!A106</f>
        <v/>
      </c>
      <c r="B109" s="494">
        <f>+'Invullen groen'!C106</f>
        <v/>
      </c>
      <c r="C109" s="495">
        <f>+'Invullen groen'!G106</f>
        <v/>
      </c>
      <c r="D109" s="494">
        <f>+'Invullen groen'!M106</f>
        <v/>
      </c>
      <c r="E109" s="496">
        <f>+'Invullen groen'!H106</f>
        <v/>
      </c>
      <c r="F109" s="496">
        <f>+'Invullen groen'!I106</f>
        <v/>
      </c>
      <c r="G109" s="496">
        <f>+'Invullen groen'!J106</f>
        <v/>
      </c>
      <c r="H109" s="496">
        <f>+'Invullen groen'!K106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491">
        <f>+'Invullen groen'!A107</f>
        <v/>
      </c>
      <c r="B110" s="491">
        <f>+'Invullen groen'!C107</f>
        <v/>
      </c>
      <c r="C110" s="492">
        <f>+'Invullen groen'!G107</f>
        <v/>
      </c>
      <c r="D110" s="491">
        <f>+'Invullen groen'!M107</f>
        <v/>
      </c>
      <c r="E110" s="493">
        <f>+'Invullen groen'!H107</f>
        <v/>
      </c>
      <c r="F110" s="493">
        <f>+'Invullen groen'!I107</f>
        <v/>
      </c>
      <c r="G110" s="493">
        <f>+'Invullen groen'!J107</f>
        <v/>
      </c>
      <c r="H110" s="493">
        <f>+'Invullen groen'!K107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494">
        <f>+'Invullen groen'!A108</f>
        <v/>
      </c>
      <c r="B111" s="494">
        <f>+'Invullen groen'!C108</f>
        <v/>
      </c>
      <c r="C111" s="495">
        <f>+'Invullen groen'!G108</f>
        <v/>
      </c>
      <c r="D111" s="494">
        <f>+'Invullen groen'!M108</f>
        <v/>
      </c>
      <c r="E111" s="496">
        <f>+'Invullen groen'!H108</f>
        <v/>
      </c>
      <c r="F111" s="496">
        <f>+'Invullen groen'!I108</f>
        <v/>
      </c>
      <c r="G111" s="496">
        <f>+'Invullen groen'!J108</f>
        <v/>
      </c>
      <c r="H111" s="496">
        <f>+'Invullen groen'!K108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491">
        <f>+'Invullen groen'!A109</f>
        <v/>
      </c>
      <c r="B112" s="491">
        <f>+'Invullen groen'!C109</f>
        <v/>
      </c>
      <c r="C112" s="492">
        <f>+'Invullen groen'!G109</f>
        <v/>
      </c>
      <c r="D112" s="491">
        <f>+'Invullen groen'!M109</f>
        <v/>
      </c>
      <c r="E112" s="503">
        <f>+'Invullen groen'!H109</f>
        <v/>
      </c>
      <c r="F112" s="503">
        <f>+'Invullen groen'!I109</f>
        <v/>
      </c>
      <c r="G112" s="503">
        <f>+'Invullen groen'!J109</f>
        <v/>
      </c>
      <c r="H112" s="503">
        <f>+'Invullen groen'!K109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504">
        <f>+'Invullen groen'!A110</f>
        <v/>
      </c>
      <c r="B113" s="504" t="n"/>
      <c r="C113" s="505">
        <f>+'Invullen groen'!G110</f>
        <v/>
      </c>
      <c r="D113" s="504">
        <f>+'Invullen groen'!M110</f>
        <v/>
      </c>
      <c r="E113" s="506">
        <f>+'Invullen groen'!H110</f>
        <v/>
      </c>
      <c r="F113" s="506">
        <f>+'Invullen groen'!I110</f>
        <v/>
      </c>
      <c r="G113" s="506">
        <f>+'Invullen groen'!J110</f>
        <v/>
      </c>
      <c r="H113" s="506">
        <f>+'Invullen groen'!K110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507">
        <f>+'Invullen groen'!A112</f>
        <v/>
      </c>
      <c r="B114" s="508">
        <f>+'Invullen groen'!C114</f>
        <v/>
      </c>
      <c r="C114" s="508">
        <f>+'Invullen groen'!G114</f>
        <v/>
      </c>
      <c r="D114" s="508">
        <f>+'Invullen groen'!M114</f>
        <v/>
      </c>
      <c r="E114" s="509">
        <f>+'Invullen groen'!H112</f>
        <v/>
      </c>
      <c r="F114" s="510">
        <f>+'Invullen groen'!I114</f>
        <v/>
      </c>
      <c r="G114" s="510">
        <f>+'Invullen groen'!J114</f>
        <v/>
      </c>
      <c r="H114" s="510">
        <f>+'Invullen groen'!K114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groen'!M115</f>
        <v/>
      </c>
      <c r="E115" s="8">
        <f>+'Invullen groen'!H115</f>
        <v/>
      </c>
      <c r="F115" s="8">
        <f>+'Invullen groen'!I115</f>
        <v/>
      </c>
      <c r="G115" s="8">
        <f>+'Invullen groen'!J115</f>
        <v/>
      </c>
      <c r="H115" s="7">
        <f>+'Invullen groen'!K115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groen'!M116</f>
        <v/>
      </c>
      <c r="E116" s="8">
        <f>+'Invullen groen'!H116</f>
        <v/>
      </c>
      <c r="F116" s="8">
        <f>+'Invullen groen'!I116</f>
        <v/>
      </c>
      <c r="G116" s="8">
        <f>+'Invullen groen'!J116</f>
        <v/>
      </c>
      <c r="H116" s="7">
        <f>+'Invullen groen'!K116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groen'!M117</f>
        <v/>
      </c>
      <c r="E117" s="14">
        <f>+'Invullen groen'!H117</f>
        <v/>
      </c>
      <c r="F117" s="14">
        <f>+'Invullen groen'!I117</f>
        <v/>
      </c>
      <c r="G117" s="14">
        <f>+'Invullen groen'!J117</f>
        <v/>
      </c>
      <c r="H117" s="14">
        <f>+'Invullen groen'!K117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groen'!M118</f>
        <v/>
      </c>
      <c r="E118" s="14">
        <f>+'Invullen groen'!H118</f>
        <v/>
      </c>
      <c r="F118" s="14">
        <f>+'Invullen groen'!I118</f>
        <v/>
      </c>
      <c r="G118" s="14">
        <f>+'Invullen groen'!J118</f>
        <v/>
      </c>
      <c r="H118" s="14">
        <f>+'Invullen groen'!K118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groen'!M119</f>
        <v/>
      </c>
      <c r="E119" s="18">
        <f>+'Invullen groen'!H119</f>
        <v/>
      </c>
      <c r="F119" s="18">
        <f>+'Invullen groen'!I119</f>
        <v/>
      </c>
      <c r="G119" s="18">
        <f>+'Invullen groen'!J119</f>
        <v/>
      </c>
      <c r="H119" s="18">
        <f>+'Invullen groen'!K119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groen'!M120</f>
        <v/>
      </c>
      <c r="E120" s="399">
        <f>+'Invullen groen'!H120</f>
        <v/>
      </c>
      <c r="F120" s="399">
        <f>+'Invullen groen'!I120</f>
        <v/>
      </c>
      <c r="G120" s="399">
        <f>+'Invullen groen'!J120</f>
        <v/>
      </c>
      <c r="H120" s="399">
        <f>+'Invullen groen'!K120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groen'!M121</f>
        <v/>
      </c>
      <c r="E121" s="18">
        <f>+'Invullen groen'!H121</f>
        <v/>
      </c>
      <c r="F121" s="18">
        <f>+'Invullen groen'!I121</f>
        <v/>
      </c>
      <c r="G121" s="18">
        <f>+'Invullen groen'!J121</f>
        <v/>
      </c>
      <c r="H121" s="18">
        <f>+'Invullen groen'!K121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groen'!M122</f>
        <v/>
      </c>
      <c r="E122" s="18">
        <f>+'Invullen groen'!H122</f>
        <v/>
      </c>
      <c r="F122" s="18">
        <f>+'Invullen groen'!I122</f>
        <v/>
      </c>
      <c r="G122" s="18">
        <f>+'Invullen groen'!J122</f>
        <v/>
      </c>
      <c r="H122" s="18">
        <f>+'Invullen groen'!K122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groen'!M123</f>
        <v/>
      </c>
      <c r="E123" s="18">
        <f>+'Invullen groen'!H123</f>
        <v/>
      </c>
      <c r="F123" s="18">
        <f>+'Invullen groen'!I123</f>
        <v/>
      </c>
      <c r="G123" s="18">
        <f>+'Invullen groen'!J123</f>
        <v/>
      </c>
      <c r="H123" s="18">
        <f>+'Invullen groen'!K123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groen'!M124</f>
        <v/>
      </c>
      <c r="E124" s="18">
        <f>+'Invullen groen'!H124</f>
        <v/>
      </c>
      <c r="F124" s="18">
        <f>+'Invullen groen'!I124</f>
        <v/>
      </c>
      <c r="G124" s="18">
        <f>+'Invullen groen'!J124</f>
        <v/>
      </c>
      <c r="H124" s="18">
        <f>+'Invullen groen'!K124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groen'!M125</f>
        <v/>
      </c>
      <c r="E125" s="18">
        <f>+'Invullen groen'!H125</f>
        <v/>
      </c>
      <c r="F125" s="18">
        <f>+'Invullen groen'!I125</f>
        <v/>
      </c>
      <c r="G125" s="18">
        <f>+'Invullen groen'!J125</f>
        <v/>
      </c>
      <c r="H125" s="18">
        <f>+'Invullen groen'!K125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groen'!M126</f>
        <v/>
      </c>
      <c r="E126" s="18">
        <f>+'Invullen groen'!H126</f>
        <v/>
      </c>
      <c r="F126" s="18">
        <f>+'Invullen groen'!I126</f>
        <v/>
      </c>
      <c r="G126" s="18">
        <f>+'Invullen groen'!J126</f>
        <v/>
      </c>
      <c r="H126" s="18">
        <f>+'Invullen groen'!K126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groen'!M127</f>
        <v/>
      </c>
      <c r="E127" s="18">
        <f>+'Invullen groen'!H127</f>
        <v/>
      </c>
      <c r="F127" s="18">
        <f>+'Invullen groen'!I127</f>
        <v/>
      </c>
      <c r="G127" s="18">
        <f>+'Invullen groen'!J127</f>
        <v/>
      </c>
      <c r="H127" s="18">
        <f>+'Invullen groen'!K127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groen'!M128</f>
        <v/>
      </c>
      <c r="E128" s="18">
        <f>+'Invullen groen'!H128</f>
        <v/>
      </c>
      <c r="F128" s="18">
        <f>+'Invullen groen'!I128</f>
        <v/>
      </c>
      <c r="G128" s="18">
        <f>+'Invullen groen'!J128</f>
        <v/>
      </c>
      <c r="H128" s="18">
        <f>+'Invullen groen'!K128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groen'!M129</f>
        <v/>
      </c>
      <c r="E129" s="18">
        <f>+'Invullen groen'!H129</f>
        <v/>
      </c>
      <c r="F129" s="18">
        <f>+'Invullen groen'!I129</f>
        <v/>
      </c>
      <c r="G129" s="18">
        <f>+'Invullen groen'!J129</f>
        <v/>
      </c>
      <c r="H129" s="18">
        <f>+'Invullen groen'!K129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groen'!M130</f>
        <v/>
      </c>
      <c r="E130" s="18">
        <f>+'Invullen groen'!H130</f>
        <v/>
      </c>
      <c r="F130" s="18">
        <f>+'Invullen groen'!I130</f>
        <v/>
      </c>
      <c r="G130" s="18">
        <f>+'Invullen groen'!J130</f>
        <v/>
      </c>
      <c r="H130" s="18">
        <f>+'Invullen groen'!K130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groen'!M131</f>
        <v/>
      </c>
      <c r="E131" s="18">
        <f>+'Invullen groen'!H131</f>
        <v/>
      </c>
      <c r="F131" s="18">
        <f>+'Invullen groen'!I131</f>
        <v/>
      </c>
      <c r="G131" s="18">
        <f>+'Invullen groen'!J131</f>
        <v/>
      </c>
      <c r="H131" s="18">
        <f>+'Invullen groen'!K131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groen'!M132</f>
        <v/>
      </c>
      <c r="E132" s="18">
        <f>+'Invullen groen'!H132</f>
        <v/>
      </c>
      <c r="F132" s="18">
        <f>+'Invullen groen'!I132</f>
        <v/>
      </c>
      <c r="G132" s="18">
        <f>+'Invullen groen'!J132</f>
        <v/>
      </c>
      <c r="H132" s="18">
        <f>+'Invullen groen'!K132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groen'!M133</f>
        <v/>
      </c>
      <c r="E133" s="18">
        <f>+'Invullen groen'!H133</f>
        <v/>
      </c>
      <c r="F133" s="18">
        <f>+'Invullen groen'!I133</f>
        <v/>
      </c>
      <c r="G133" s="18">
        <f>+'Invullen groen'!J133</f>
        <v/>
      </c>
      <c r="H133" s="18">
        <f>+'Invullen groen'!K133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groen'!M134</f>
        <v/>
      </c>
      <c r="E134" s="18">
        <f>+'Invullen groen'!H134</f>
        <v/>
      </c>
      <c r="F134" s="18">
        <f>+'Invullen groen'!I134</f>
        <v/>
      </c>
      <c r="G134" s="18">
        <f>+'Invullen groen'!J134</f>
        <v/>
      </c>
      <c r="H134" s="18">
        <f>+'Invullen groen'!K134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groen'!M135</f>
        <v/>
      </c>
      <c r="E135" s="18">
        <f>+'Invullen groen'!H135</f>
        <v/>
      </c>
      <c r="F135" s="18">
        <f>+'Invullen groen'!I135</f>
        <v/>
      </c>
      <c r="G135" s="18">
        <f>+'Invullen groen'!J135</f>
        <v/>
      </c>
      <c r="H135" s="18">
        <f>+'Invullen groen'!K135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groen'!M136</f>
        <v/>
      </c>
      <c r="E136" s="18">
        <f>+'Invullen groen'!H136</f>
        <v/>
      </c>
      <c r="F136" s="18">
        <f>+'Invullen groen'!I136</f>
        <v/>
      </c>
      <c r="G136" s="18">
        <f>+'Invullen groen'!J136</f>
        <v/>
      </c>
      <c r="H136" s="18">
        <f>+'Invullen groen'!K136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groen'!M137</f>
        <v/>
      </c>
      <c r="E137" s="18">
        <f>+'Invullen groen'!H137</f>
        <v/>
      </c>
      <c r="F137" s="18">
        <f>+'Invullen groen'!I137</f>
        <v/>
      </c>
      <c r="G137" s="18">
        <f>+'Invullen groen'!J137</f>
        <v/>
      </c>
      <c r="H137" s="18">
        <f>+'Invullen groen'!K137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groen'!M138</f>
        <v/>
      </c>
      <c r="E138" s="18">
        <f>+'Invullen groen'!H138</f>
        <v/>
      </c>
      <c r="F138" s="18">
        <f>+'Invullen groen'!I138</f>
        <v/>
      </c>
      <c r="G138" s="18">
        <f>+'Invullen groen'!J138</f>
        <v/>
      </c>
      <c r="H138" s="18">
        <f>+'Invullen groen'!K138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groen'!M139</f>
        <v/>
      </c>
      <c r="E139" s="18">
        <f>+'Invullen groen'!H139</f>
        <v/>
      </c>
      <c r="F139" s="18">
        <f>+'Invullen groen'!I139</f>
        <v/>
      </c>
      <c r="G139" s="18">
        <f>+'Invullen groen'!J139</f>
        <v/>
      </c>
      <c r="H139" s="18">
        <f>+'Invullen groen'!K139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groen'!M140</f>
        <v/>
      </c>
      <c r="E140" s="18">
        <f>+'Invullen groen'!H140</f>
        <v/>
      </c>
      <c r="F140" s="18">
        <f>+'Invullen groen'!I140</f>
        <v/>
      </c>
      <c r="G140" s="18">
        <f>+'Invullen groen'!J140</f>
        <v/>
      </c>
      <c r="H140" s="18">
        <f>+'Invullen groen'!K140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groen'!M141</f>
        <v/>
      </c>
      <c r="E141" s="18">
        <f>+'Invullen groen'!H141</f>
        <v/>
      </c>
      <c r="F141" s="18">
        <f>+'Invullen groen'!I141</f>
        <v/>
      </c>
      <c r="G141" s="18">
        <f>+'Invullen groen'!J141</f>
        <v/>
      </c>
      <c r="H141" s="18">
        <f>+'Invullen groen'!K141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groen'!M142</f>
        <v/>
      </c>
      <c r="E142" s="18">
        <f>+'Invullen groen'!H142</f>
        <v/>
      </c>
      <c r="F142" s="18">
        <f>+'Invullen groen'!I142</f>
        <v/>
      </c>
      <c r="G142" s="18">
        <f>+'Invullen groen'!J142</f>
        <v/>
      </c>
      <c r="H142" s="18">
        <f>+'Invullen groen'!K142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groen'!M143</f>
        <v/>
      </c>
      <c r="E143" s="18">
        <f>+'Invullen groen'!H143</f>
        <v/>
      </c>
      <c r="F143" s="18">
        <f>+'Invullen groen'!I143</f>
        <v/>
      </c>
      <c r="G143" s="18">
        <f>+'Invullen groen'!J143</f>
        <v/>
      </c>
      <c r="H143" s="18">
        <f>+'Invullen groen'!K143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groen'!M144</f>
        <v/>
      </c>
      <c r="E144" s="18">
        <f>+'Invullen groen'!H144</f>
        <v/>
      </c>
      <c r="F144" s="18">
        <f>+'Invullen groen'!I144</f>
        <v/>
      </c>
      <c r="G144" s="18">
        <f>+'Invullen groen'!J144</f>
        <v/>
      </c>
      <c r="H144" s="18">
        <f>+'Invullen groen'!K144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groen'!M145</f>
        <v/>
      </c>
      <c r="E145" s="18">
        <f>+'Invullen groen'!H145</f>
        <v/>
      </c>
      <c r="F145" s="18">
        <f>+'Invullen groen'!I145</f>
        <v/>
      </c>
      <c r="G145" s="18">
        <f>+'Invullen groen'!J145</f>
        <v/>
      </c>
      <c r="H145" s="18">
        <f>+'Invullen groen'!K145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groen'!M146</f>
        <v/>
      </c>
      <c r="E146" s="18">
        <f>+'Invullen groen'!H146</f>
        <v/>
      </c>
      <c r="F146" s="18">
        <f>+'Invullen groen'!I146</f>
        <v/>
      </c>
      <c r="G146" s="18">
        <f>+'Invullen groen'!J146</f>
        <v/>
      </c>
      <c r="H146" s="18">
        <f>+'Invullen groen'!K146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groen'!M147</f>
        <v/>
      </c>
      <c r="E147" s="18">
        <f>+'Invullen groen'!H147</f>
        <v/>
      </c>
      <c r="F147" s="18">
        <f>+'Invullen groen'!I147</f>
        <v/>
      </c>
      <c r="G147" s="18">
        <f>+'Invullen groen'!J147</f>
        <v/>
      </c>
      <c r="H147" s="18">
        <f>+'Invullen groen'!K147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groen'!M148</f>
        <v/>
      </c>
      <c r="E148" s="18">
        <f>+'Invullen groen'!H148</f>
        <v/>
      </c>
      <c r="F148" s="18">
        <f>+'Invullen groen'!I148</f>
        <v/>
      </c>
      <c r="G148" s="18">
        <f>+'Invullen groen'!J148</f>
        <v/>
      </c>
      <c r="H148" s="18">
        <f>+'Invullen groen'!K148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groen'!M149</f>
        <v/>
      </c>
      <c r="E149" s="18">
        <f>+'Invullen groen'!H149</f>
        <v/>
      </c>
      <c r="F149" s="18">
        <f>+'Invullen groen'!I149</f>
        <v/>
      </c>
      <c r="G149" s="18">
        <f>+'Invullen groen'!J149</f>
        <v/>
      </c>
      <c r="H149" s="18">
        <f>+'Invullen groen'!K149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groen'!M150</f>
        <v/>
      </c>
      <c r="E150" s="18">
        <f>+'Invullen groen'!H150</f>
        <v/>
      </c>
      <c r="F150" s="18">
        <f>+'Invullen groen'!I150</f>
        <v/>
      </c>
      <c r="G150" s="18">
        <f>+'Invullen groen'!J150</f>
        <v/>
      </c>
      <c r="H150" s="18">
        <f>+'Invullen groen'!K150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groen'!M151</f>
        <v/>
      </c>
      <c r="E151" s="18">
        <f>+'Invullen groen'!H151</f>
        <v/>
      </c>
      <c r="F151" s="18">
        <f>+'Invullen groen'!I151</f>
        <v/>
      </c>
      <c r="G151" s="18">
        <f>+'Invullen groen'!J151</f>
        <v/>
      </c>
      <c r="H151" s="18">
        <f>+'Invullen groen'!K151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groen'!M152</f>
        <v/>
      </c>
      <c r="E152" s="18">
        <f>+'Invullen groen'!H152</f>
        <v/>
      </c>
      <c r="F152" s="18">
        <f>+'Invullen groen'!I152</f>
        <v/>
      </c>
      <c r="G152" s="18">
        <f>+'Invullen groen'!J152</f>
        <v/>
      </c>
      <c r="H152" s="18">
        <f>+'Invullen groen'!K152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groen'!M153</f>
        <v/>
      </c>
      <c r="E153" s="18">
        <f>+'Invullen groen'!H153</f>
        <v/>
      </c>
      <c r="F153" s="18">
        <f>+'Invullen groen'!I153</f>
        <v/>
      </c>
      <c r="G153" s="18">
        <f>+'Invullen groen'!J153</f>
        <v/>
      </c>
      <c r="H153" s="18">
        <f>+'Invullen groen'!K153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groen'!M154</f>
        <v/>
      </c>
      <c r="E154" s="18">
        <f>+'Invullen groen'!H154</f>
        <v/>
      </c>
      <c r="F154" s="18">
        <f>+'Invullen groen'!I154</f>
        <v/>
      </c>
      <c r="G154" s="18">
        <f>+'Invullen groen'!J154</f>
        <v/>
      </c>
      <c r="H154" s="18">
        <f>+'Invullen groen'!K154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groen'!M155</f>
        <v/>
      </c>
      <c r="E155" s="18">
        <f>+'Invullen groen'!H155</f>
        <v/>
      </c>
      <c r="F155" s="18">
        <f>+'Invullen groen'!I155</f>
        <v/>
      </c>
      <c r="G155" s="18">
        <f>+'Invullen groen'!J155</f>
        <v/>
      </c>
      <c r="H155" s="18">
        <f>+'Invullen groen'!K155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groen'!M156</f>
        <v/>
      </c>
      <c r="E156" s="18">
        <f>+'Invullen groen'!H156</f>
        <v/>
      </c>
      <c r="F156" s="18">
        <f>+'Invullen groen'!I156</f>
        <v/>
      </c>
      <c r="G156" s="18">
        <f>+'Invullen groen'!J156</f>
        <v/>
      </c>
      <c r="H156" s="18">
        <f>+'Invullen groen'!K156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groen'!M157</f>
        <v/>
      </c>
      <c r="E157" s="18">
        <f>+'Invullen groen'!H157</f>
        <v/>
      </c>
      <c r="F157" s="18">
        <f>+'Invullen groen'!I157</f>
        <v/>
      </c>
      <c r="G157" s="18">
        <f>+'Invullen groen'!J157</f>
        <v/>
      </c>
      <c r="H157" s="18">
        <f>+'Invullen groen'!K157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groen'!M158</f>
        <v/>
      </c>
      <c r="E158" s="18">
        <f>+'Invullen groen'!H158</f>
        <v/>
      </c>
      <c r="F158" s="18">
        <f>+'Invullen groen'!I158</f>
        <v/>
      </c>
      <c r="G158" s="18">
        <f>+'Invullen groen'!J158</f>
        <v/>
      </c>
      <c r="H158" s="18">
        <f>+'Invullen groen'!K158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groen'!M159</f>
        <v/>
      </c>
      <c r="E159" s="18">
        <f>+'Invullen groen'!H159</f>
        <v/>
      </c>
      <c r="F159" s="18">
        <f>+'Invullen groen'!I159</f>
        <v/>
      </c>
      <c r="G159" s="18">
        <f>+'Invullen groen'!J159</f>
        <v/>
      </c>
      <c r="H159" s="18">
        <f>+'Invullen groen'!K159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groen'!M160</f>
        <v/>
      </c>
      <c r="E160" s="18">
        <f>+'Invullen groen'!H160</f>
        <v/>
      </c>
      <c r="F160" s="18">
        <f>+'Invullen groen'!I160</f>
        <v/>
      </c>
      <c r="G160" s="18">
        <f>+'Invullen groen'!J160</f>
        <v/>
      </c>
      <c r="H160" s="18">
        <f>+'Invullen groen'!K160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groen'!M161</f>
        <v/>
      </c>
      <c r="E161" s="18">
        <f>+'Invullen groen'!H161</f>
        <v/>
      </c>
      <c r="F161" s="18">
        <f>+'Invullen groen'!I161</f>
        <v/>
      </c>
      <c r="G161" s="18">
        <f>+'Invullen groen'!J161</f>
        <v/>
      </c>
      <c r="H161" s="18">
        <f>+'Invullen groen'!K161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groen'!M162</f>
        <v/>
      </c>
      <c r="E162" s="18">
        <f>+'Invullen groen'!H162</f>
        <v/>
      </c>
      <c r="F162" s="18">
        <f>+'Invullen groen'!I162</f>
        <v/>
      </c>
      <c r="G162" s="18">
        <f>+'Invullen groen'!J162</f>
        <v/>
      </c>
      <c r="H162" s="18">
        <f>+'Invullen groen'!K162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groen'!M163</f>
        <v/>
      </c>
      <c r="E163" s="18">
        <f>+'Invullen groen'!H163</f>
        <v/>
      </c>
      <c r="F163" s="18">
        <f>+'Invullen groen'!I163</f>
        <v/>
      </c>
      <c r="G163" s="18">
        <f>+'Invullen groen'!J163</f>
        <v/>
      </c>
      <c r="H163" s="18">
        <f>+'Invullen groen'!K163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groen'!M164</f>
        <v/>
      </c>
      <c r="E164" s="18">
        <f>+'Invullen groen'!H164</f>
        <v/>
      </c>
      <c r="F164" s="18">
        <f>+'Invullen groen'!I164</f>
        <v/>
      </c>
      <c r="G164" s="18">
        <f>+'Invullen groen'!J164</f>
        <v/>
      </c>
      <c r="H164" s="18">
        <f>+'Invullen groen'!K164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groen'!M165</f>
        <v/>
      </c>
      <c r="E165" s="18">
        <f>+'Invullen groen'!H165</f>
        <v/>
      </c>
      <c r="F165" s="18">
        <f>+'Invullen groen'!I165</f>
        <v/>
      </c>
      <c r="G165" s="18">
        <f>+'Invullen groen'!J165</f>
        <v/>
      </c>
      <c r="H165" s="18">
        <f>+'Invullen groen'!K165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groen'!M166</f>
        <v/>
      </c>
      <c r="E166" s="18">
        <f>+'Invullen groen'!H166</f>
        <v/>
      </c>
      <c r="F166" s="18">
        <f>+'Invullen groen'!I166</f>
        <v/>
      </c>
      <c r="G166" s="18">
        <f>+'Invullen groen'!J166</f>
        <v/>
      </c>
      <c r="H166" s="18">
        <f>+'Invullen groen'!K166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groen'!M167</f>
        <v/>
      </c>
      <c r="E167" s="20">
        <f>+'Invullen groen'!H167</f>
        <v/>
      </c>
      <c r="F167" s="20">
        <f>+'Invullen groen'!I167</f>
        <v/>
      </c>
      <c r="G167" s="20">
        <f>+'Invullen groen'!J167</f>
        <v/>
      </c>
      <c r="H167" s="20">
        <f>+'Invullen groen'!K167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groen'!M168</f>
        <v/>
      </c>
      <c r="E168" s="22">
        <f>+'Invullen groen'!H168</f>
        <v/>
      </c>
      <c r="F168" s="22">
        <f>+'Invullen groen'!I168</f>
        <v/>
      </c>
      <c r="G168" s="22">
        <f>+'Invullen groen'!J168</f>
        <v/>
      </c>
      <c r="H168" s="22">
        <f>+'Invullen groen'!K168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groen'!M169</f>
        <v/>
      </c>
      <c r="E169" s="18">
        <f>+'Invullen groen'!H169</f>
        <v/>
      </c>
      <c r="F169" s="18">
        <f>+'Invullen groen'!I169</f>
        <v/>
      </c>
      <c r="G169" s="18">
        <f>+'Invullen groen'!J169</f>
        <v/>
      </c>
      <c r="H169" s="18">
        <f>+'Invullen groen'!K169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groen'!M170</f>
        <v/>
      </c>
      <c r="E170" s="405">
        <f>+'Invullen groen'!H170</f>
        <v/>
      </c>
      <c r="F170" s="405">
        <f>+'Invullen groen'!I170</f>
        <v/>
      </c>
      <c r="G170" s="405">
        <f>+'Invullen groen'!J170</f>
        <v/>
      </c>
      <c r="H170" s="405">
        <f>+'Invullen groen'!K170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groen'!M171</f>
        <v/>
      </c>
      <c r="E171" s="18">
        <f>+'Invullen groen'!H171</f>
        <v/>
      </c>
      <c r="F171" s="18">
        <f>+'Invullen groen'!I171</f>
        <v/>
      </c>
      <c r="G171" s="18">
        <f>+'Invullen groen'!J171</f>
        <v/>
      </c>
      <c r="H171" s="18">
        <f>+'Invullen groen'!K171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groen'!M172</f>
        <v/>
      </c>
      <c r="E172" s="18">
        <f>+'Invullen groen'!H172</f>
        <v/>
      </c>
      <c r="F172" s="18">
        <f>+'Invullen groen'!I172</f>
        <v/>
      </c>
      <c r="G172" s="18">
        <f>+'Invullen groen'!J172</f>
        <v/>
      </c>
      <c r="H172" s="18">
        <f>+'Invullen groen'!K172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groen'!M173</f>
        <v/>
      </c>
      <c r="E173" s="18">
        <f>+'Invullen groen'!H173</f>
        <v/>
      </c>
      <c r="F173" s="18">
        <f>+'Invullen groen'!I173</f>
        <v/>
      </c>
      <c r="G173" s="18">
        <f>+'Invullen groen'!J173</f>
        <v/>
      </c>
      <c r="H173" s="18">
        <f>+'Invullen groen'!K173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groen'!M174</f>
        <v/>
      </c>
      <c r="E174" s="18">
        <f>+'Invullen groen'!H174</f>
        <v/>
      </c>
      <c r="F174" s="18">
        <f>+'Invullen groen'!I174</f>
        <v/>
      </c>
      <c r="G174" s="18">
        <f>+'Invullen groen'!J174</f>
        <v/>
      </c>
      <c r="H174" s="18">
        <f>+'Invullen groen'!K174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groen'!M175</f>
        <v/>
      </c>
      <c r="E175" s="18">
        <f>+'Invullen groen'!H175</f>
        <v/>
      </c>
      <c r="F175" s="18">
        <f>+'Invullen groen'!I175</f>
        <v/>
      </c>
      <c r="G175" s="18">
        <f>+'Invullen groen'!J175</f>
        <v/>
      </c>
      <c r="H175" s="18">
        <f>+'Invullen groen'!K175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groen'!M176</f>
        <v/>
      </c>
      <c r="E176" s="18">
        <f>+'Invullen groen'!H176</f>
        <v/>
      </c>
      <c r="F176" s="18">
        <f>+'Invullen groen'!I176</f>
        <v/>
      </c>
      <c r="G176" s="18">
        <f>+'Invullen groen'!J176</f>
        <v/>
      </c>
      <c r="H176" s="18">
        <f>+'Invullen groen'!K176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groen'!M177</f>
        <v/>
      </c>
      <c r="E177" s="18">
        <f>+'Invullen groen'!H177</f>
        <v/>
      </c>
      <c r="F177" s="18">
        <f>+'Invullen groen'!I177</f>
        <v/>
      </c>
      <c r="G177" s="18">
        <f>+'Invullen groen'!J177</f>
        <v/>
      </c>
      <c r="H177" s="18">
        <f>+'Invullen groen'!K177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groen'!M178</f>
        <v/>
      </c>
      <c r="E178" s="18">
        <f>+'Invullen groen'!H178</f>
        <v/>
      </c>
      <c r="F178" s="18">
        <f>+'Invullen groen'!I178</f>
        <v/>
      </c>
      <c r="G178" s="18">
        <f>+'Invullen groen'!J178</f>
        <v/>
      </c>
      <c r="H178" s="18">
        <f>+'Invullen groen'!K178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groen'!M179</f>
        <v/>
      </c>
      <c r="E179" s="18">
        <f>+'Invullen groen'!H179</f>
        <v/>
      </c>
      <c r="F179" s="18">
        <f>+'Invullen groen'!I179</f>
        <v/>
      </c>
      <c r="G179" s="18">
        <f>+'Invullen groen'!J179</f>
        <v/>
      </c>
      <c r="H179" s="18">
        <f>+'Invullen groen'!K179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groen'!M180</f>
        <v/>
      </c>
      <c r="E180" s="18">
        <f>+'Invullen groen'!H180</f>
        <v/>
      </c>
      <c r="F180" s="18">
        <f>+'Invullen groen'!I180</f>
        <v/>
      </c>
      <c r="G180" s="18">
        <f>+'Invullen groen'!J180</f>
        <v/>
      </c>
      <c r="H180" s="18">
        <f>+'Invullen groen'!K180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groen'!M181</f>
        <v/>
      </c>
      <c r="E181" s="18">
        <f>+'Invullen groen'!H181</f>
        <v/>
      </c>
      <c r="F181" s="18">
        <f>+'Invullen groen'!I181</f>
        <v/>
      </c>
      <c r="G181" s="18">
        <f>+'Invullen groen'!J181</f>
        <v/>
      </c>
      <c r="H181" s="18">
        <f>+'Invullen groen'!K181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groen'!M182</f>
        <v/>
      </c>
      <c r="E182" s="18">
        <f>+'Invullen groen'!H182</f>
        <v/>
      </c>
      <c r="F182" s="18">
        <f>+'Invullen groen'!I182</f>
        <v/>
      </c>
      <c r="G182" s="18">
        <f>+'Invullen groen'!J182</f>
        <v/>
      </c>
      <c r="H182" s="18">
        <f>+'Invullen groen'!K182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groen'!M183</f>
        <v/>
      </c>
      <c r="E183" s="18">
        <f>+'Invullen groen'!H183</f>
        <v/>
      </c>
      <c r="F183" s="18">
        <f>+'Invullen groen'!I183</f>
        <v/>
      </c>
      <c r="G183" s="18">
        <f>+'Invullen groen'!J183</f>
        <v/>
      </c>
      <c r="H183" s="18">
        <f>+'Invullen groen'!K183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groen'!M184</f>
        <v/>
      </c>
      <c r="E184" s="18">
        <f>+'Invullen groen'!H184</f>
        <v/>
      </c>
      <c r="F184" s="18">
        <f>+'Invullen groen'!I184</f>
        <v/>
      </c>
      <c r="G184" s="18">
        <f>+'Invullen groen'!J184</f>
        <v/>
      </c>
      <c r="H184" s="18">
        <f>+'Invullen groen'!K184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groen'!M185</f>
        <v/>
      </c>
      <c r="E185" s="18">
        <f>+'Invullen groen'!H185</f>
        <v/>
      </c>
      <c r="F185" s="18">
        <f>+'Invullen groen'!I185</f>
        <v/>
      </c>
      <c r="G185" s="18">
        <f>+'Invullen groen'!J185</f>
        <v/>
      </c>
      <c r="H185" s="18">
        <f>+'Invullen groen'!K185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groen'!M186</f>
        <v/>
      </c>
      <c r="E186" s="18">
        <f>+'Invullen groen'!H186</f>
        <v/>
      </c>
      <c r="F186" s="18">
        <f>+'Invullen groen'!I186</f>
        <v/>
      </c>
      <c r="G186" s="18">
        <f>+'Invullen groen'!J186</f>
        <v/>
      </c>
      <c r="H186" s="18">
        <f>+'Invullen groen'!K186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groen'!M187</f>
        <v/>
      </c>
      <c r="E187" s="18">
        <f>+'Invullen groen'!H187</f>
        <v/>
      </c>
      <c r="F187" s="18">
        <f>+'Invullen groen'!I187</f>
        <v/>
      </c>
      <c r="G187" s="18">
        <f>+'Invullen groen'!J187</f>
        <v/>
      </c>
      <c r="H187" s="18">
        <f>+'Invullen groen'!K187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groen'!M188</f>
        <v/>
      </c>
      <c r="E188" s="18">
        <f>+'Invullen groen'!H188</f>
        <v/>
      </c>
      <c r="F188" s="18">
        <f>+'Invullen groen'!I188</f>
        <v/>
      </c>
      <c r="G188" s="18">
        <f>+'Invullen groen'!J188</f>
        <v/>
      </c>
      <c r="H188" s="18">
        <f>+'Invullen groen'!K188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groen'!M189</f>
        <v/>
      </c>
      <c r="E189" s="18">
        <f>+'Invullen groen'!H189</f>
        <v/>
      </c>
      <c r="F189" s="18">
        <f>+'Invullen groen'!I189</f>
        <v/>
      </c>
      <c r="G189" s="18">
        <f>+'Invullen groen'!J189</f>
        <v/>
      </c>
      <c r="H189" s="18">
        <f>+'Invullen groen'!K189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groen'!M190</f>
        <v/>
      </c>
      <c r="E190" s="18">
        <f>+'Invullen groen'!H190</f>
        <v/>
      </c>
      <c r="F190" s="18">
        <f>+'Invullen groen'!I190</f>
        <v/>
      </c>
      <c r="G190" s="18">
        <f>+'Invullen groen'!J190</f>
        <v/>
      </c>
      <c r="H190" s="18">
        <f>+'Invullen groen'!K190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groen'!M191</f>
        <v/>
      </c>
      <c r="E191" s="18">
        <f>+'Invullen groen'!H191</f>
        <v/>
      </c>
      <c r="F191" s="18">
        <f>+'Invullen groen'!I191</f>
        <v/>
      </c>
      <c r="G191" s="18">
        <f>+'Invullen groen'!J191</f>
        <v/>
      </c>
      <c r="H191" s="18">
        <f>+'Invullen groen'!K191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groen'!M192</f>
        <v/>
      </c>
      <c r="E192" s="18">
        <f>+'Invullen groen'!H192</f>
        <v/>
      </c>
      <c r="F192" s="18">
        <f>+'Invullen groen'!I192</f>
        <v/>
      </c>
      <c r="G192" s="18">
        <f>+'Invullen groen'!J192</f>
        <v/>
      </c>
      <c r="H192" s="18">
        <f>+'Invullen groen'!K192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groen'!M193</f>
        <v/>
      </c>
      <c r="E193" s="18">
        <f>+'Invullen groen'!H193</f>
        <v/>
      </c>
      <c r="F193" s="18">
        <f>+'Invullen groen'!I193</f>
        <v/>
      </c>
      <c r="G193" s="18">
        <f>+'Invullen groen'!J193</f>
        <v/>
      </c>
      <c r="H193" s="18">
        <f>+'Invullen groen'!K193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groen'!M194</f>
        <v/>
      </c>
      <c r="E194" s="18">
        <f>+'Invullen groen'!H194</f>
        <v/>
      </c>
      <c r="F194" s="18">
        <f>+'Invullen groen'!I194</f>
        <v/>
      </c>
      <c r="G194" s="18">
        <f>+'Invullen groen'!J194</f>
        <v/>
      </c>
      <c r="H194" s="18">
        <f>+'Invullen groen'!K194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groen'!M195</f>
        <v/>
      </c>
      <c r="E195" s="18">
        <f>+'Invullen groen'!H195</f>
        <v/>
      </c>
      <c r="F195" s="18">
        <f>+'Invullen groen'!I195</f>
        <v/>
      </c>
      <c r="G195" s="18">
        <f>+'Invullen groen'!J195</f>
        <v/>
      </c>
      <c r="H195" s="18">
        <f>+'Invullen groen'!K195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groen'!M196</f>
        <v/>
      </c>
      <c r="E196" s="18">
        <f>+'Invullen groen'!H196</f>
        <v/>
      </c>
      <c r="F196" s="18">
        <f>+'Invullen groen'!I196</f>
        <v/>
      </c>
      <c r="G196" s="18">
        <f>+'Invullen groen'!J196</f>
        <v/>
      </c>
      <c r="H196" s="18">
        <f>+'Invullen groen'!K196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groen'!M197</f>
        <v/>
      </c>
      <c r="E197" s="18">
        <f>+'Invullen groen'!H197</f>
        <v/>
      </c>
      <c r="F197" s="18">
        <f>+'Invullen groen'!I197</f>
        <v/>
      </c>
      <c r="G197" s="18">
        <f>+'Invullen groen'!J197</f>
        <v/>
      </c>
      <c r="H197" s="18">
        <f>+'Invullen groen'!K197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groen'!M198</f>
        <v/>
      </c>
      <c r="E198" s="18">
        <f>+'Invullen groen'!H198</f>
        <v/>
      </c>
      <c r="F198" s="18">
        <f>+'Invullen groen'!I198</f>
        <v/>
      </c>
      <c r="G198" s="18">
        <f>+'Invullen groen'!J198</f>
        <v/>
      </c>
      <c r="H198" s="18">
        <f>+'Invullen groen'!K198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groen'!M199</f>
        <v/>
      </c>
      <c r="E199" s="18">
        <f>+'Invullen groen'!H199</f>
        <v/>
      </c>
      <c r="F199" s="18">
        <f>+'Invullen groen'!I199</f>
        <v/>
      </c>
      <c r="G199" s="18">
        <f>+'Invullen groen'!J199</f>
        <v/>
      </c>
      <c r="H199" s="18">
        <f>+'Invullen groen'!K199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groen'!M200</f>
        <v/>
      </c>
      <c r="E200" s="18">
        <f>+'Invullen groen'!H200</f>
        <v/>
      </c>
      <c r="F200" s="18">
        <f>+'Invullen groen'!I200</f>
        <v/>
      </c>
      <c r="G200" s="18">
        <f>+'Invullen groen'!J200</f>
        <v/>
      </c>
      <c r="H200" s="18">
        <f>+'Invullen groen'!K200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groen'!M201</f>
        <v/>
      </c>
      <c r="E201" s="18">
        <f>+'Invullen groen'!H201</f>
        <v/>
      </c>
      <c r="F201" s="18">
        <f>+'Invullen groen'!I201</f>
        <v/>
      </c>
      <c r="G201" s="18">
        <f>+'Invullen groen'!J201</f>
        <v/>
      </c>
      <c r="H201" s="18">
        <f>+'Invullen groen'!K201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groen'!M202</f>
        <v/>
      </c>
      <c r="E202" s="18">
        <f>+'Invullen groen'!H202</f>
        <v/>
      </c>
      <c r="F202" s="18">
        <f>+'Invullen groen'!I202</f>
        <v/>
      </c>
      <c r="G202" s="18">
        <f>+'Invullen groen'!J202</f>
        <v/>
      </c>
      <c r="H202" s="18">
        <f>+'Invullen groen'!K202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groen'!M203</f>
        <v/>
      </c>
      <c r="E203" s="18">
        <f>+'Invullen groen'!H203</f>
        <v/>
      </c>
      <c r="F203" s="18">
        <f>+'Invullen groen'!I203</f>
        <v/>
      </c>
      <c r="G203" s="18">
        <f>+'Invullen groen'!J203</f>
        <v/>
      </c>
      <c r="H203" s="18">
        <f>+'Invullen groen'!K203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groen'!M204</f>
        <v/>
      </c>
      <c r="E204" s="18">
        <f>+'Invullen groen'!H204</f>
        <v/>
      </c>
      <c r="F204" s="18">
        <f>+'Invullen groen'!I204</f>
        <v/>
      </c>
      <c r="G204" s="18">
        <f>+'Invullen groen'!J204</f>
        <v/>
      </c>
      <c r="H204" s="18">
        <f>+'Invullen groen'!K204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groen'!M205</f>
        <v/>
      </c>
      <c r="E205" s="18">
        <f>+'Invullen groen'!H205</f>
        <v/>
      </c>
      <c r="F205" s="18">
        <f>+'Invullen groen'!I205</f>
        <v/>
      </c>
      <c r="G205" s="18">
        <f>+'Invullen groen'!J205</f>
        <v/>
      </c>
      <c r="H205" s="18">
        <f>+'Invullen groen'!K205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groen'!M206</f>
        <v/>
      </c>
      <c r="E206" s="18">
        <f>+'Invullen groen'!H206</f>
        <v/>
      </c>
      <c r="F206" s="18">
        <f>+'Invullen groen'!I206</f>
        <v/>
      </c>
      <c r="G206" s="18">
        <f>+'Invullen groen'!J206</f>
        <v/>
      </c>
      <c r="H206" s="18">
        <f>+'Invullen groen'!K206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groen'!M207</f>
        <v/>
      </c>
      <c r="E207" s="18">
        <f>+'Invullen groen'!H207</f>
        <v/>
      </c>
      <c r="F207" s="18">
        <f>+'Invullen groen'!I207</f>
        <v/>
      </c>
      <c r="G207" s="18">
        <f>+'Invullen groen'!J207</f>
        <v/>
      </c>
      <c r="H207" s="18">
        <f>+'Invullen groen'!K207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groen'!M208</f>
        <v/>
      </c>
      <c r="E208" s="18">
        <f>+'Invullen groen'!H208</f>
        <v/>
      </c>
      <c r="F208" s="18">
        <f>+'Invullen groen'!I208</f>
        <v/>
      </c>
      <c r="G208" s="18">
        <f>+'Invullen groen'!J208</f>
        <v/>
      </c>
      <c r="H208" s="18">
        <f>+'Invullen groen'!K208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groen'!M209</f>
        <v/>
      </c>
      <c r="E209" s="18">
        <f>+'Invullen groen'!H209</f>
        <v/>
      </c>
      <c r="F209" s="18">
        <f>+'Invullen groen'!I209</f>
        <v/>
      </c>
      <c r="G209" s="18">
        <f>+'Invullen groen'!J209</f>
        <v/>
      </c>
      <c r="H209" s="18">
        <f>+'Invullen groen'!K209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groen'!M210</f>
        <v/>
      </c>
      <c r="E210" s="18">
        <f>+'Invullen groen'!H210</f>
        <v/>
      </c>
      <c r="F210" s="18">
        <f>+'Invullen groen'!I210</f>
        <v/>
      </c>
      <c r="G210" s="18">
        <f>+'Invullen groen'!J210</f>
        <v/>
      </c>
      <c r="H210" s="18">
        <f>+'Invullen groen'!K210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groen'!M211</f>
        <v/>
      </c>
      <c r="E211" s="18">
        <f>+'Invullen groen'!H211</f>
        <v/>
      </c>
      <c r="F211" s="18">
        <f>+'Invullen groen'!I211</f>
        <v/>
      </c>
      <c r="G211" s="18">
        <f>+'Invullen groen'!J211</f>
        <v/>
      </c>
      <c r="H211" s="18">
        <f>+'Invullen groen'!K211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groen'!M212</f>
        <v/>
      </c>
      <c r="E212" s="18">
        <f>+'Invullen groen'!H212</f>
        <v/>
      </c>
      <c r="F212" s="18">
        <f>+'Invullen groen'!I212</f>
        <v/>
      </c>
      <c r="G212" s="18">
        <f>+'Invullen groen'!J212</f>
        <v/>
      </c>
      <c r="H212" s="18">
        <f>+'Invullen groen'!K212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groen'!M213</f>
        <v/>
      </c>
      <c r="E213" s="18">
        <f>+'Invullen groen'!H213</f>
        <v/>
      </c>
      <c r="F213" s="18">
        <f>+'Invullen groen'!I213</f>
        <v/>
      </c>
      <c r="G213" s="18">
        <f>+'Invullen groen'!J213</f>
        <v/>
      </c>
      <c r="H213" s="18">
        <f>+'Invullen groen'!K213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groen'!M214</f>
        <v/>
      </c>
      <c r="E214" s="18">
        <f>+'Invullen groen'!H214</f>
        <v/>
      </c>
      <c r="F214" s="18">
        <f>+'Invullen groen'!I214</f>
        <v/>
      </c>
      <c r="G214" s="18">
        <f>+'Invullen groen'!J214</f>
        <v/>
      </c>
      <c r="H214" s="18">
        <f>+'Invullen groen'!K214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groen'!M215</f>
        <v/>
      </c>
      <c r="E215" s="18">
        <f>+'Invullen groen'!H215</f>
        <v/>
      </c>
      <c r="F215" s="18">
        <f>+'Invullen groen'!I215</f>
        <v/>
      </c>
      <c r="G215" s="18">
        <f>+'Invullen groen'!J215</f>
        <v/>
      </c>
      <c r="H215" s="18">
        <f>+'Invullen groen'!K215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groen'!M216</f>
        <v/>
      </c>
      <c r="E216" s="20">
        <f>+'Invullen groen'!H216</f>
        <v/>
      </c>
      <c r="F216" s="20">
        <f>+'Invullen groen'!I216</f>
        <v/>
      </c>
      <c r="G216" s="20">
        <f>+'Invullen groen'!J216</f>
        <v/>
      </c>
      <c r="H216" s="20">
        <f>+'Invullen groen'!K216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groen'!M217</f>
        <v/>
      </c>
      <c r="E217" s="22">
        <f>+'Invullen groen'!H217</f>
        <v/>
      </c>
      <c r="F217" s="22">
        <f>+'Invullen groen'!I217</f>
        <v/>
      </c>
      <c r="G217" s="22">
        <f>+'Invullen groen'!J217</f>
        <v/>
      </c>
      <c r="H217" s="22">
        <f>+'Invullen groen'!K217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groen'!M218</f>
        <v/>
      </c>
      <c r="E218" s="18">
        <f>+'Invullen groen'!H218</f>
        <v/>
      </c>
      <c r="F218" s="18">
        <f>+'Invullen groen'!I218</f>
        <v/>
      </c>
      <c r="G218" s="18">
        <f>+'Invullen groen'!J218</f>
        <v/>
      </c>
      <c r="H218" s="18">
        <f>+'Invullen groen'!K218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groen'!M219</f>
        <v/>
      </c>
      <c r="E219" s="18">
        <f>+'Invullen groen'!H219</f>
        <v/>
      </c>
      <c r="F219" s="18">
        <f>+'Invullen groen'!I219</f>
        <v/>
      </c>
      <c r="G219" s="18">
        <f>+'Invullen groen'!J219</f>
        <v/>
      </c>
      <c r="H219" s="18">
        <f>+'Invullen groen'!K219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groen'!M220</f>
        <v/>
      </c>
      <c r="E220" s="18">
        <f>+'Invullen groen'!H220</f>
        <v/>
      </c>
      <c r="F220" s="18">
        <f>+'Invullen groen'!I220</f>
        <v/>
      </c>
      <c r="G220" s="18">
        <f>+'Invullen groen'!J220</f>
        <v/>
      </c>
      <c r="H220" s="18">
        <f>+'Invullen groen'!K220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groen'!M221</f>
        <v/>
      </c>
      <c r="E221" s="18">
        <f>+'Invullen groen'!H221</f>
        <v/>
      </c>
      <c r="F221" s="18">
        <f>+'Invullen groen'!I221</f>
        <v/>
      </c>
      <c r="G221" s="18">
        <f>+'Invullen groen'!J221</f>
        <v/>
      </c>
      <c r="H221" s="18">
        <f>+'Invullen groen'!K221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groen'!M222</f>
        <v/>
      </c>
      <c r="E222" s="18">
        <f>+'Invullen groen'!H222</f>
        <v/>
      </c>
      <c r="F222" s="18">
        <f>+'Invullen groen'!I222</f>
        <v/>
      </c>
      <c r="G222" s="18">
        <f>+'Invullen groen'!J222</f>
        <v/>
      </c>
      <c r="H222" s="18">
        <f>+'Invullen groen'!K222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groen'!M223</f>
        <v/>
      </c>
      <c r="E223" s="18">
        <f>+'Invullen groen'!H223</f>
        <v/>
      </c>
      <c r="F223" s="18">
        <f>+'Invullen groen'!I223</f>
        <v/>
      </c>
      <c r="G223" s="18">
        <f>+'Invullen groen'!J223</f>
        <v/>
      </c>
      <c r="H223" s="18">
        <f>+'Invullen groen'!K223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groen'!M224</f>
        <v/>
      </c>
      <c r="E224" s="18">
        <f>+'Invullen groen'!H224</f>
        <v/>
      </c>
      <c r="F224" s="18">
        <f>+'Invullen groen'!I224</f>
        <v/>
      </c>
      <c r="G224" s="18">
        <f>+'Invullen groen'!J224</f>
        <v/>
      </c>
      <c r="H224" s="18">
        <f>+'Invullen groen'!K224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groen'!M225</f>
        <v/>
      </c>
      <c r="E225" s="18">
        <f>+'Invullen groen'!H225</f>
        <v/>
      </c>
      <c r="F225" s="18">
        <f>+'Invullen groen'!I225</f>
        <v/>
      </c>
      <c r="G225" s="18">
        <f>+'Invullen groen'!J225</f>
        <v/>
      </c>
      <c r="H225" s="18">
        <f>+'Invullen groen'!K225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groen'!M226</f>
        <v/>
      </c>
      <c r="E226" s="18">
        <f>+'Invullen groen'!H226</f>
        <v/>
      </c>
      <c r="F226" s="18">
        <f>+'Invullen groen'!I226</f>
        <v/>
      </c>
      <c r="G226" s="18">
        <f>+'Invullen groen'!J226</f>
        <v/>
      </c>
      <c r="H226" s="18">
        <f>+'Invullen groen'!K226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groen'!M227</f>
        <v/>
      </c>
      <c r="E227" s="18">
        <f>+'Invullen groen'!H227</f>
        <v/>
      </c>
      <c r="F227" s="18">
        <f>+'Invullen groen'!I227</f>
        <v/>
      </c>
      <c r="G227" s="18">
        <f>+'Invullen groen'!J227</f>
        <v/>
      </c>
      <c r="H227" s="18">
        <f>+'Invullen groen'!K227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groen'!M228</f>
        <v/>
      </c>
      <c r="E228" s="18">
        <f>+'Invullen groen'!H228</f>
        <v/>
      </c>
      <c r="F228" s="18">
        <f>+'Invullen groen'!I228</f>
        <v/>
      </c>
      <c r="G228" s="18">
        <f>+'Invullen groen'!J228</f>
        <v/>
      </c>
      <c r="H228" s="18">
        <f>+'Invullen groen'!K228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groen'!M229</f>
        <v/>
      </c>
      <c r="E229" s="18">
        <f>+'Invullen groen'!H229</f>
        <v/>
      </c>
      <c r="F229" s="18">
        <f>+'Invullen groen'!I229</f>
        <v/>
      </c>
      <c r="G229" s="18">
        <f>+'Invullen groen'!J229</f>
        <v/>
      </c>
      <c r="H229" s="18">
        <f>+'Invullen groen'!K229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groen'!M230</f>
        <v/>
      </c>
      <c r="E230" s="18">
        <f>+'Invullen groen'!H230</f>
        <v/>
      </c>
      <c r="F230" s="18">
        <f>+'Invullen groen'!I230</f>
        <v/>
      </c>
      <c r="G230" s="18">
        <f>+'Invullen groen'!J230</f>
        <v/>
      </c>
      <c r="H230" s="18">
        <f>+'Invullen groen'!K230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groen'!M231</f>
        <v/>
      </c>
      <c r="E231" s="18">
        <f>+'Invullen groen'!H231</f>
        <v/>
      </c>
      <c r="F231" s="18">
        <f>+'Invullen groen'!I231</f>
        <v/>
      </c>
      <c r="G231" s="18">
        <f>+'Invullen groen'!J231</f>
        <v/>
      </c>
      <c r="H231" s="18">
        <f>+'Invullen groen'!K231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groen'!M232</f>
        <v/>
      </c>
      <c r="E232" s="18">
        <f>+'Invullen groen'!H232</f>
        <v/>
      </c>
      <c r="F232" s="18">
        <f>+'Invullen groen'!I232</f>
        <v/>
      </c>
      <c r="G232" s="18">
        <f>+'Invullen groen'!J232</f>
        <v/>
      </c>
      <c r="H232" s="18">
        <f>+'Invullen groen'!K232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groen'!M233</f>
        <v/>
      </c>
      <c r="E233" s="18">
        <f>+'Invullen groen'!H233</f>
        <v/>
      </c>
      <c r="F233" s="18">
        <f>+'Invullen groen'!I233</f>
        <v/>
      </c>
      <c r="G233" s="18">
        <f>+'Invullen groen'!J233</f>
        <v/>
      </c>
      <c r="H233" s="18">
        <f>+'Invullen groen'!K233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groen'!M234</f>
        <v/>
      </c>
      <c r="E234" s="18">
        <f>+'Invullen groen'!H234</f>
        <v/>
      </c>
      <c r="F234" s="18">
        <f>+'Invullen groen'!I234</f>
        <v/>
      </c>
      <c r="G234" s="18">
        <f>+'Invullen groen'!J234</f>
        <v/>
      </c>
      <c r="H234" s="18">
        <f>+'Invullen groen'!K234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groen'!M235</f>
        <v/>
      </c>
      <c r="E235" s="18">
        <f>+'Invullen groen'!H235</f>
        <v/>
      </c>
      <c r="F235" s="18">
        <f>+'Invullen groen'!I235</f>
        <v/>
      </c>
      <c r="G235" s="18">
        <f>+'Invullen groen'!J235</f>
        <v/>
      </c>
      <c r="H235" s="18">
        <f>+'Invullen groen'!K235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groen'!M236</f>
        <v/>
      </c>
      <c r="E236" s="18">
        <f>+'Invullen groen'!H236</f>
        <v/>
      </c>
      <c r="F236" s="18">
        <f>+'Invullen groen'!I236</f>
        <v/>
      </c>
      <c r="G236" s="18">
        <f>+'Invullen groen'!J236</f>
        <v/>
      </c>
      <c r="H236" s="18">
        <f>+'Invullen groen'!K236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groen'!M237</f>
        <v/>
      </c>
      <c r="E237" s="18">
        <f>+'Invullen groen'!H237</f>
        <v/>
      </c>
      <c r="F237" s="18">
        <f>+'Invullen groen'!I237</f>
        <v/>
      </c>
      <c r="G237" s="18">
        <f>+'Invullen groen'!J237</f>
        <v/>
      </c>
      <c r="H237" s="18">
        <f>+'Invullen groen'!K237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groen'!M238</f>
        <v/>
      </c>
      <c r="E238" s="18">
        <f>+'Invullen groen'!H238</f>
        <v/>
      </c>
      <c r="F238" s="18">
        <f>+'Invullen groen'!I238</f>
        <v/>
      </c>
      <c r="G238" s="18">
        <f>+'Invullen groen'!J238</f>
        <v/>
      </c>
      <c r="H238" s="18">
        <f>+'Invullen groen'!K238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groen'!M239</f>
        <v/>
      </c>
      <c r="E239" s="18">
        <f>+'Invullen groen'!H239</f>
        <v/>
      </c>
      <c r="F239" s="18">
        <f>+'Invullen groen'!I239</f>
        <v/>
      </c>
      <c r="G239" s="18">
        <f>+'Invullen groen'!J239</f>
        <v/>
      </c>
      <c r="H239" s="18">
        <f>+'Invullen groen'!K239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groen'!M240</f>
        <v/>
      </c>
      <c r="E240" s="18">
        <f>+'Invullen groen'!H240</f>
        <v/>
      </c>
      <c r="F240" s="18">
        <f>+'Invullen groen'!I240</f>
        <v/>
      </c>
      <c r="G240" s="18">
        <f>+'Invullen groen'!J240</f>
        <v/>
      </c>
      <c r="H240" s="18">
        <f>+'Invullen groen'!K240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groen'!M241</f>
        <v/>
      </c>
      <c r="E241" s="18">
        <f>+'Invullen groen'!H241</f>
        <v/>
      </c>
      <c r="F241" s="18">
        <f>+'Invullen groen'!I241</f>
        <v/>
      </c>
      <c r="G241" s="18">
        <f>+'Invullen groen'!J241</f>
        <v/>
      </c>
      <c r="H241" s="18">
        <f>+'Invullen groen'!K241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groen'!M242</f>
        <v/>
      </c>
      <c r="E242" s="18">
        <f>+'Invullen groen'!H242</f>
        <v/>
      </c>
      <c r="F242" s="18">
        <f>+'Invullen groen'!I242</f>
        <v/>
      </c>
      <c r="G242" s="18">
        <f>+'Invullen groen'!J242</f>
        <v/>
      </c>
      <c r="H242" s="18">
        <f>+'Invullen groen'!K242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groen'!M243</f>
        <v/>
      </c>
      <c r="E243" s="18">
        <f>+'Invullen groen'!H243</f>
        <v/>
      </c>
      <c r="F243" s="18">
        <f>+'Invullen groen'!I243</f>
        <v/>
      </c>
      <c r="G243" s="18">
        <f>+'Invullen groen'!J243</f>
        <v/>
      </c>
      <c r="H243" s="18">
        <f>+'Invullen groen'!K243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groen'!M244</f>
        <v/>
      </c>
      <c r="E244" s="18">
        <f>+'Invullen groen'!H244</f>
        <v/>
      </c>
      <c r="F244" s="18">
        <f>+'Invullen groen'!I244</f>
        <v/>
      </c>
      <c r="G244" s="18">
        <f>+'Invullen groen'!J244</f>
        <v/>
      </c>
      <c r="H244" s="18">
        <f>+'Invullen groen'!K244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groen'!M245</f>
        <v/>
      </c>
      <c r="E245" s="18">
        <f>+'Invullen groen'!H245</f>
        <v/>
      </c>
      <c r="F245" s="18">
        <f>+'Invullen groen'!I245</f>
        <v/>
      </c>
      <c r="G245" s="18">
        <f>+'Invullen groen'!J245</f>
        <v/>
      </c>
      <c r="H245" s="18">
        <f>+'Invullen groen'!K245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groen'!M246</f>
        <v/>
      </c>
      <c r="E246" s="18">
        <f>+'Invullen groen'!H246</f>
        <v/>
      </c>
      <c r="F246" s="18">
        <f>+'Invullen groen'!I246</f>
        <v/>
      </c>
      <c r="G246" s="18">
        <f>+'Invullen groen'!J246</f>
        <v/>
      </c>
      <c r="H246" s="18">
        <f>+'Invullen groen'!K246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groen'!M247</f>
        <v/>
      </c>
      <c r="E247" s="18">
        <f>+'Invullen groen'!H247</f>
        <v/>
      </c>
      <c r="F247" s="18">
        <f>+'Invullen groen'!I247</f>
        <v/>
      </c>
      <c r="G247" s="18">
        <f>+'Invullen groen'!J247</f>
        <v/>
      </c>
      <c r="H247" s="18">
        <f>+'Invullen groen'!K247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groen'!M248</f>
        <v/>
      </c>
      <c r="E248" s="18">
        <f>+'Invullen groen'!H248</f>
        <v/>
      </c>
      <c r="F248" s="18">
        <f>+'Invullen groen'!I248</f>
        <v/>
      </c>
      <c r="G248" s="18">
        <f>+'Invullen groen'!J248</f>
        <v/>
      </c>
      <c r="H248" s="18">
        <f>+'Invullen groen'!K248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groen'!M249</f>
        <v/>
      </c>
      <c r="E249" s="18">
        <f>+'Invullen groen'!H249</f>
        <v/>
      </c>
      <c r="F249" s="18">
        <f>+'Invullen groen'!I249</f>
        <v/>
      </c>
      <c r="G249" s="18">
        <f>+'Invullen groen'!J249</f>
        <v/>
      </c>
      <c r="H249" s="18">
        <f>+'Invullen groen'!K249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groen'!M250</f>
        <v/>
      </c>
      <c r="E250" s="18">
        <f>+'Invullen groen'!H250</f>
        <v/>
      </c>
      <c r="F250" s="18">
        <f>+'Invullen groen'!I250</f>
        <v/>
      </c>
      <c r="G250" s="18">
        <f>+'Invullen groen'!J250</f>
        <v/>
      </c>
      <c r="H250" s="18">
        <f>+'Invullen groen'!K250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groen'!M251</f>
        <v/>
      </c>
      <c r="E251" s="18">
        <f>+'Invullen groen'!H251</f>
        <v/>
      </c>
      <c r="F251" s="18">
        <f>+'Invullen groen'!I251</f>
        <v/>
      </c>
      <c r="G251" s="18">
        <f>+'Invullen groen'!J251</f>
        <v/>
      </c>
      <c r="H251" s="18">
        <f>+'Invullen groen'!K251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groen'!M252</f>
        <v/>
      </c>
      <c r="E252" s="18">
        <f>+'Invullen groen'!H252</f>
        <v/>
      </c>
      <c r="F252" s="18">
        <f>+'Invullen groen'!I252</f>
        <v/>
      </c>
      <c r="G252" s="18">
        <f>+'Invullen groen'!J252</f>
        <v/>
      </c>
      <c r="H252" s="18">
        <f>+'Invullen groen'!K252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groen'!M253</f>
        <v/>
      </c>
      <c r="E253" s="18">
        <f>+'Invullen groen'!H253</f>
        <v/>
      </c>
      <c r="F253" s="18">
        <f>+'Invullen groen'!I253</f>
        <v/>
      </c>
      <c r="G253" s="18">
        <f>+'Invullen groen'!J253</f>
        <v/>
      </c>
      <c r="H253" s="18">
        <f>+'Invullen groen'!K253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groen'!M254</f>
        <v/>
      </c>
      <c r="E254" s="18">
        <f>+'Invullen groen'!H254</f>
        <v/>
      </c>
      <c r="F254" s="18">
        <f>+'Invullen groen'!I254</f>
        <v/>
      </c>
      <c r="G254" s="18">
        <f>+'Invullen groen'!J254</f>
        <v/>
      </c>
      <c r="H254" s="18">
        <f>+'Invullen groen'!K254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groen'!M255</f>
        <v/>
      </c>
      <c r="E255" s="18">
        <f>+'Invullen groen'!H255</f>
        <v/>
      </c>
      <c r="F255" s="18">
        <f>+'Invullen groen'!I255</f>
        <v/>
      </c>
      <c r="G255" s="18">
        <f>+'Invullen groen'!J255</f>
        <v/>
      </c>
      <c r="H255" s="18">
        <f>+'Invullen groen'!K255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groen'!M256</f>
        <v/>
      </c>
      <c r="E256" s="18">
        <f>+'Invullen groen'!H256</f>
        <v/>
      </c>
      <c r="F256" s="18">
        <f>+'Invullen groen'!I256</f>
        <v/>
      </c>
      <c r="G256" s="18">
        <f>+'Invullen groen'!J256</f>
        <v/>
      </c>
      <c r="H256" s="18">
        <f>+'Invullen groen'!K256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groen'!M257</f>
        <v/>
      </c>
      <c r="E257" s="18">
        <f>+'Invullen groen'!H257</f>
        <v/>
      </c>
      <c r="F257" s="18">
        <f>+'Invullen groen'!I257</f>
        <v/>
      </c>
      <c r="G257" s="18">
        <f>+'Invullen groen'!J257</f>
        <v/>
      </c>
      <c r="H257" s="18">
        <f>+'Invullen groen'!K257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groen'!M258</f>
        <v/>
      </c>
      <c r="E258" s="18">
        <f>+'Invullen groen'!H258</f>
        <v/>
      </c>
      <c r="F258" s="18">
        <f>+'Invullen groen'!I258</f>
        <v/>
      </c>
      <c r="G258" s="18">
        <f>+'Invullen groen'!J258</f>
        <v/>
      </c>
      <c r="H258" s="18">
        <f>+'Invullen groen'!K258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groen'!M259</f>
        <v/>
      </c>
      <c r="E259" s="18">
        <f>+'Invullen groen'!H259</f>
        <v/>
      </c>
      <c r="F259" s="18">
        <f>+'Invullen groen'!I259</f>
        <v/>
      </c>
      <c r="G259" s="18">
        <f>+'Invullen groen'!J259</f>
        <v/>
      </c>
      <c r="H259" s="18">
        <f>+'Invullen groen'!K259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groen'!M260</f>
        <v/>
      </c>
      <c r="E260" s="18">
        <f>+'Invullen groen'!H260</f>
        <v/>
      </c>
      <c r="F260" s="18">
        <f>+'Invullen groen'!I260</f>
        <v/>
      </c>
      <c r="G260" s="18">
        <f>+'Invullen groen'!J260</f>
        <v/>
      </c>
      <c r="H260" s="18">
        <f>+'Invullen groen'!K260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groen'!M261</f>
        <v/>
      </c>
      <c r="E261" s="18">
        <f>+'Invullen groen'!H261</f>
        <v/>
      </c>
      <c r="F261" s="18">
        <f>+'Invullen groen'!I261</f>
        <v/>
      </c>
      <c r="G261" s="18">
        <f>+'Invullen groen'!J261</f>
        <v/>
      </c>
      <c r="H261" s="18">
        <f>+'Invullen groen'!K261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groen'!M262</f>
        <v/>
      </c>
      <c r="E262" s="18">
        <f>+'Invullen groen'!H262</f>
        <v/>
      </c>
      <c r="F262" s="18">
        <f>+'Invullen groen'!I262</f>
        <v/>
      </c>
      <c r="G262" s="18">
        <f>+'Invullen groen'!J262</f>
        <v/>
      </c>
      <c r="H262" s="18">
        <f>+'Invullen groen'!K262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groen'!M263</f>
        <v/>
      </c>
      <c r="E263" s="18">
        <f>+'Invullen groen'!H263</f>
        <v/>
      </c>
      <c r="F263" s="18">
        <f>+'Invullen groen'!I263</f>
        <v/>
      </c>
      <c r="G263" s="18">
        <f>+'Invullen groen'!J263</f>
        <v/>
      </c>
      <c r="H263" s="18">
        <f>+'Invullen groen'!K263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groen'!M264</f>
        <v/>
      </c>
      <c r="E264" s="18">
        <f>+'Invullen groen'!H264</f>
        <v/>
      </c>
      <c r="F264" s="18">
        <f>+'Invullen groen'!I264</f>
        <v/>
      </c>
      <c r="G264" s="18">
        <f>+'Invullen groen'!J264</f>
        <v/>
      </c>
      <c r="H264" s="18">
        <f>+'Invullen groen'!K264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groen'!M265</f>
        <v/>
      </c>
      <c r="E265" s="18">
        <f>+'Invullen groen'!H265</f>
        <v/>
      </c>
      <c r="F265" s="18">
        <f>+'Invullen groen'!I265</f>
        <v/>
      </c>
      <c r="G265" s="18">
        <f>+'Invullen groen'!J265</f>
        <v/>
      </c>
      <c r="H265" s="18">
        <f>+'Invullen groen'!K265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groen'!M266</f>
        <v/>
      </c>
      <c r="E266" s="18">
        <f>+'Invullen groen'!H266</f>
        <v/>
      </c>
      <c r="F266" s="18">
        <f>+'Invullen groen'!I266</f>
        <v/>
      </c>
      <c r="G266" s="18">
        <f>+'Invullen groen'!J266</f>
        <v/>
      </c>
      <c r="H266" s="18">
        <f>+'Invullen groen'!K266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groen'!M267</f>
        <v/>
      </c>
      <c r="E267" s="18">
        <f>+'Invullen groen'!H267</f>
        <v/>
      </c>
      <c r="F267" s="18">
        <f>+'Invullen groen'!I267</f>
        <v/>
      </c>
      <c r="G267" s="18">
        <f>+'Invullen groen'!J267</f>
        <v/>
      </c>
      <c r="H267" s="18">
        <f>+'Invullen groen'!K267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groen'!M268</f>
        <v/>
      </c>
      <c r="E268" s="18">
        <f>+'Invullen groen'!H268</f>
        <v/>
      </c>
      <c r="F268" s="18">
        <f>+'Invullen groen'!I268</f>
        <v/>
      </c>
      <c r="G268" s="18">
        <f>+'Invullen groen'!J268</f>
        <v/>
      </c>
      <c r="H268" s="18">
        <f>+'Invullen groen'!K268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groen'!M269</f>
        <v/>
      </c>
      <c r="E269" s="18">
        <f>+'Invullen groen'!H269</f>
        <v/>
      </c>
      <c r="F269" s="18">
        <f>+'Invullen groen'!I269</f>
        <v/>
      </c>
      <c r="G269" s="18">
        <f>+'Invullen groen'!J269</f>
        <v/>
      </c>
      <c r="H269" s="18">
        <f>+'Invullen groen'!K269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groen'!M270</f>
        <v/>
      </c>
      <c r="E270" s="18">
        <f>+'Invullen groen'!H270</f>
        <v/>
      </c>
      <c r="F270" s="18">
        <f>+'Invullen groen'!I270</f>
        <v/>
      </c>
      <c r="G270" s="18">
        <f>+'Invullen groen'!J270</f>
        <v/>
      </c>
      <c r="H270" s="18">
        <f>+'Invullen groen'!K270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groen'!M271</f>
        <v/>
      </c>
      <c r="E271" s="18">
        <f>+'Invullen groen'!H271</f>
        <v/>
      </c>
      <c r="F271" s="18">
        <f>+'Invullen groen'!I271</f>
        <v/>
      </c>
      <c r="G271" s="18">
        <f>+'Invullen groen'!J271</f>
        <v/>
      </c>
      <c r="H271" s="18">
        <f>+'Invullen groen'!K271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groen'!M272</f>
        <v/>
      </c>
      <c r="E272" s="20">
        <f>+'Invullen groen'!H272</f>
        <v/>
      </c>
      <c r="F272" s="20">
        <f>+'Invullen groen'!I272</f>
        <v/>
      </c>
      <c r="G272" s="20">
        <f>+'Invullen groen'!J272</f>
        <v/>
      </c>
      <c r="H272" s="20">
        <f>+'Invullen groen'!K272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groen'!M273</f>
        <v/>
      </c>
      <c r="E273" s="22">
        <f>+'Invullen groen'!H273</f>
        <v/>
      </c>
      <c r="F273" s="22">
        <f>+'Invullen groen'!I273</f>
        <v/>
      </c>
      <c r="G273" s="22">
        <f>+'Invullen groen'!J273</f>
        <v/>
      </c>
      <c r="H273" s="22">
        <f>+'Invullen groen'!K273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groen'!M274</f>
        <v/>
      </c>
      <c r="E274" s="18">
        <f>+'Invullen groen'!H274</f>
        <v/>
      </c>
      <c r="F274" s="18">
        <f>+'Invullen groen'!I274</f>
        <v/>
      </c>
      <c r="G274" s="18">
        <f>+'Invullen groen'!J274</f>
        <v/>
      </c>
      <c r="H274" s="18">
        <f>+'Invullen groen'!K274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groen'!M275</f>
        <v/>
      </c>
      <c r="E275" s="18">
        <f>+'Invullen groen'!H275</f>
        <v/>
      </c>
      <c r="F275" s="18">
        <f>+'Invullen groen'!I275</f>
        <v/>
      </c>
      <c r="G275" s="18">
        <f>+'Invullen groen'!J275</f>
        <v/>
      </c>
      <c r="H275" s="18">
        <f>+'Invullen groen'!K275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groen'!M280</f>
        <v/>
      </c>
      <c r="E276" s="8">
        <f>+'Invullen groen'!H280</f>
        <v/>
      </c>
      <c r="F276" s="8">
        <f>+'Invullen groen'!I280</f>
        <v/>
      </c>
      <c r="G276" s="8">
        <f>+'Invullen groen'!J280</f>
        <v/>
      </c>
      <c r="H276" s="8">
        <f>+'Invullen groen'!K280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groen'!M281</f>
        <v/>
      </c>
      <c r="E277" s="3">
        <f>+'Invullen groen'!H281</f>
        <v/>
      </c>
      <c r="F277" s="3">
        <f>+'Invullen groen'!I281</f>
        <v/>
      </c>
      <c r="G277" s="3">
        <f>+'Invullen groen'!J281</f>
        <v/>
      </c>
      <c r="H277" s="3">
        <f>+'Invullen groen'!K281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groen'!M282</f>
        <v/>
      </c>
      <c r="E278" s="3">
        <f>+'Invullen groen'!H282</f>
        <v/>
      </c>
      <c r="F278" s="3">
        <f>+'Invullen groen'!I282</f>
        <v/>
      </c>
      <c r="G278" s="3">
        <f>+'Invullen groen'!J282</f>
        <v/>
      </c>
      <c r="H278" s="3">
        <f>+'Invullen groen'!K282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groen'!M283</f>
        <v/>
      </c>
      <c r="E279" s="3">
        <f>+'Invullen groen'!H283</f>
        <v/>
      </c>
      <c r="F279" s="3">
        <f>+'Invullen groen'!I283</f>
        <v/>
      </c>
      <c r="G279" s="3">
        <f>+'Invullen groen'!J283</f>
        <v/>
      </c>
      <c r="H279" s="3">
        <f>+'Invullen groen'!K283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groen'!M284</f>
        <v/>
      </c>
      <c r="E280" s="3">
        <f>+'Invullen groen'!H284</f>
        <v/>
      </c>
      <c r="F280" s="3">
        <f>+'Invullen groen'!I284</f>
        <v/>
      </c>
      <c r="G280" s="3">
        <f>+'Invullen groen'!J284</f>
        <v/>
      </c>
      <c r="H280" s="3">
        <f>+'Invullen groen'!K284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groen'!M285</f>
        <v/>
      </c>
      <c r="E281" s="3">
        <f>+'Invullen groen'!H285</f>
        <v/>
      </c>
      <c r="F281" s="3">
        <f>+'Invullen groen'!I285</f>
        <v/>
      </c>
      <c r="G281" s="3">
        <f>+'Invullen groen'!J285</f>
        <v/>
      </c>
      <c r="H281" s="3">
        <f>+'Invullen groen'!K285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groen'!M286</f>
        <v/>
      </c>
      <c r="E282" s="3">
        <f>+'Invullen groen'!H286</f>
        <v/>
      </c>
      <c r="F282" s="3">
        <f>+'Invullen groen'!I286</f>
        <v/>
      </c>
      <c r="G282" s="3">
        <f>+'Invullen groen'!J286</f>
        <v/>
      </c>
      <c r="H282" s="3">
        <f>+'Invullen groen'!K286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groen'!M287</f>
        <v/>
      </c>
      <c r="E283" s="3">
        <f>+'Invullen groen'!H287</f>
        <v/>
      </c>
      <c r="F283" s="3">
        <f>+'Invullen groen'!I287</f>
        <v/>
      </c>
      <c r="G283" s="3">
        <f>+'Invullen groen'!J287</f>
        <v/>
      </c>
      <c r="H283" s="3">
        <f>+'Invullen groen'!K287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groen'!M288</f>
        <v/>
      </c>
      <c r="E284" s="3">
        <f>+'Invullen groen'!H288</f>
        <v/>
      </c>
      <c r="F284" s="3">
        <f>+'Invullen groen'!I288</f>
        <v/>
      </c>
      <c r="G284" s="3">
        <f>+'Invullen groen'!J288</f>
        <v/>
      </c>
      <c r="H284" s="3">
        <f>+'Invullen groen'!K288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groen'!M289</f>
        <v/>
      </c>
      <c r="E285" s="3">
        <f>+'Invullen groen'!H289</f>
        <v/>
      </c>
      <c r="F285" s="3">
        <f>+'Invullen groen'!I289</f>
        <v/>
      </c>
      <c r="G285" s="3">
        <f>+'Invullen groen'!J289</f>
        <v/>
      </c>
      <c r="H285" s="3">
        <f>+'Invullen groen'!K289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groen'!M290</f>
        <v/>
      </c>
      <c r="E286" s="3">
        <f>+'Invullen groen'!H290</f>
        <v/>
      </c>
      <c r="F286" s="3">
        <f>+'Invullen groen'!I290</f>
        <v/>
      </c>
      <c r="G286" s="3">
        <f>+'Invullen groen'!J290</f>
        <v/>
      </c>
      <c r="H286" s="3">
        <f>+'Invullen groen'!K290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groen'!M291</f>
        <v/>
      </c>
      <c r="E287" s="3">
        <f>+'Invullen groen'!H291</f>
        <v/>
      </c>
      <c r="F287" s="3">
        <f>+'Invullen groen'!I291</f>
        <v/>
      </c>
      <c r="G287" s="3">
        <f>+'Invullen groen'!J291</f>
        <v/>
      </c>
      <c r="H287" s="3">
        <f>+'Invullen groen'!K291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groen'!M292</f>
        <v/>
      </c>
      <c r="E288" s="3">
        <f>+'Invullen groen'!H292</f>
        <v/>
      </c>
      <c r="F288" s="3">
        <f>+'Invullen groen'!I292</f>
        <v/>
      </c>
      <c r="G288" s="3">
        <f>+'Invullen groen'!J292</f>
        <v/>
      </c>
      <c r="H288" s="3">
        <f>+'Invullen groen'!K292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groen'!M293</f>
        <v/>
      </c>
      <c r="E289" s="3">
        <f>+'Invullen groen'!H293</f>
        <v/>
      </c>
      <c r="F289" s="3">
        <f>+'Invullen groen'!I293</f>
        <v/>
      </c>
      <c r="G289" s="3">
        <f>+'Invullen groen'!J293</f>
        <v/>
      </c>
      <c r="H289" s="3">
        <f>+'Invullen groen'!K293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groen'!M294</f>
        <v/>
      </c>
      <c r="E290" s="3">
        <f>+'Invullen groen'!H294</f>
        <v/>
      </c>
      <c r="F290" s="3">
        <f>+'Invullen groen'!I294</f>
        <v/>
      </c>
      <c r="G290" s="3">
        <f>+'Invullen groen'!J294</f>
        <v/>
      </c>
      <c r="H290" s="3">
        <f>+'Invullen groen'!K294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groen'!M295</f>
        <v/>
      </c>
      <c r="E291" s="3">
        <f>+'Invullen groen'!H295</f>
        <v/>
      </c>
      <c r="F291" s="3">
        <f>+'Invullen groen'!I295</f>
        <v/>
      </c>
      <c r="G291" s="3">
        <f>+'Invullen groen'!J295</f>
        <v/>
      </c>
      <c r="H291" s="3">
        <f>+'Invullen groen'!K295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groen'!M296</f>
        <v/>
      </c>
      <c r="E292" s="3">
        <f>+'Invullen groen'!H296</f>
        <v/>
      </c>
      <c r="F292" s="3">
        <f>+'Invullen groen'!I296</f>
        <v/>
      </c>
      <c r="G292" s="3">
        <f>+'Invullen groen'!J296</f>
        <v/>
      </c>
      <c r="H292" s="3">
        <f>+'Invullen groen'!K296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groen'!M297</f>
        <v/>
      </c>
      <c r="E293" s="3">
        <f>+'Invullen groen'!H297</f>
        <v/>
      </c>
      <c r="F293" s="3">
        <f>+'Invullen groen'!I297</f>
        <v/>
      </c>
      <c r="G293" s="3">
        <f>+'Invullen groen'!J297</f>
        <v/>
      </c>
      <c r="H293" s="3">
        <f>+'Invullen groen'!K297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groen'!M298</f>
        <v/>
      </c>
      <c r="E294" s="3">
        <f>+'Invullen groen'!H298</f>
        <v/>
      </c>
      <c r="F294" s="3">
        <f>+'Invullen groen'!I298</f>
        <v/>
      </c>
      <c r="G294" s="3">
        <f>+'Invullen groen'!J298</f>
        <v/>
      </c>
      <c r="H294" s="3">
        <f>+'Invullen groen'!K298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groen'!M299</f>
        <v/>
      </c>
      <c r="E295" s="3">
        <f>+'Invullen groen'!H299</f>
        <v/>
      </c>
      <c r="F295" s="3">
        <f>+'Invullen groen'!I299</f>
        <v/>
      </c>
      <c r="G295" s="3">
        <f>+'Invullen groen'!J299</f>
        <v/>
      </c>
      <c r="H295" s="3">
        <f>+'Invullen groen'!K299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groen'!M300</f>
        <v/>
      </c>
      <c r="E296" s="3">
        <f>+'Invullen groen'!H300</f>
        <v/>
      </c>
      <c r="F296" s="3">
        <f>+'Invullen groen'!I300</f>
        <v/>
      </c>
      <c r="G296" s="3">
        <f>+'Invullen groen'!J300</f>
        <v/>
      </c>
      <c r="H296" s="3">
        <f>+'Invullen groen'!K300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groen'!M301</f>
        <v/>
      </c>
      <c r="E297" s="3">
        <f>+'Invullen groen'!H301</f>
        <v/>
      </c>
      <c r="F297" s="3">
        <f>+'Invullen groen'!I301</f>
        <v/>
      </c>
      <c r="G297" s="3">
        <f>+'Invullen groen'!J301</f>
        <v/>
      </c>
      <c r="H297" s="3">
        <f>+'Invullen groen'!K301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groen'!M302</f>
        <v/>
      </c>
      <c r="E298" s="3">
        <f>+'Invullen groen'!H302</f>
        <v/>
      </c>
      <c r="F298" s="3">
        <f>+'Invullen groen'!I302</f>
        <v/>
      </c>
      <c r="G298" s="3">
        <f>+'Invullen groen'!J302</f>
        <v/>
      </c>
      <c r="H298" s="3">
        <f>+'Invullen groen'!K302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groen'!M303</f>
        <v/>
      </c>
      <c r="E299" s="3">
        <f>+'Invullen groen'!H303</f>
        <v/>
      </c>
      <c r="F299" s="3">
        <f>+'Invullen groen'!I303</f>
        <v/>
      </c>
      <c r="G299" s="3">
        <f>+'Invullen groen'!J303</f>
        <v/>
      </c>
      <c r="H299" s="3">
        <f>+'Invullen groen'!K303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groen'!M304</f>
        <v/>
      </c>
      <c r="E300" s="3">
        <f>+'Invullen groen'!H304</f>
        <v/>
      </c>
      <c r="F300" s="3">
        <f>+'Invullen groen'!I304</f>
        <v/>
      </c>
      <c r="G300" s="3">
        <f>+'Invullen groen'!J304</f>
        <v/>
      </c>
      <c r="H300" s="3">
        <f>+'Invullen groen'!K304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groen'!M305</f>
        <v/>
      </c>
      <c r="E301" s="3">
        <f>+'Invullen groen'!H305</f>
        <v/>
      </c>
      <c r="F301" s="3">
        <f>+'Invullen groen'!I305</f>
        <v/>
      </c>
      <c r="G301" s="3">
        <f>+'Invullen groen'!J305</f>
        <v/>
      </c>
      <c r="H301" s="3">
        <f>+'Invullen groen'!K305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groen'!M306</f>
        <v/>
      </c>
      <c r="E302" s="3">
        <f>+'Invullen groen'!H306</f>
        <v/>
      </c>
      <c r="F302" s="3">
        <f>+'Invullen groen'!I306</f>
        <v/>
      </c>
      <c r="G302" s="3">
        <f>+'Invullen groen'!J306</f>
        <v/>
      </c>
      <c r="H302" s="3">
        <f>+'Invullen groen'!K306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groen'!M307</f>
        <v/>
      </c>
      <c r="E303" s="3">
        <f>+'Invullen groen'!H307</f>
        <v/>
      </c>
      <c r="F303" s="3">
        <f>+'Invullen groen'!I307</f>
        <v/>
      </c>
      <c r="G303" s="3">
        <f>+'Invullen groen'!J307</f>
        <v/>
      </c>
      <c r="H303" s="3">
        <f>+'Invullen groen'!K307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groen'!M308</f>
        <v/>
      </c>
      <c r="E304" s="3">
        <f>+'Invullen groen'!H308</f>
        <v/>
      </c>
      <c r="F304" s="3">
        <f>+'Invullen groen'!I308</f>
        <v/>
      </c>
      <c r="G304" s="3">
        <f>+'Invullen groen'!J308</f>
        <v/>
      </c>
      <c r="H304" s="3">
        <f>+'Invullen groen'!K308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groen'!M309</f>
        <v/>
      </c>
      <c r="E305" s="3">
        <f>+'Invullen groen'!H309</f>
        <v/>
      </c>
      <c r="F305" s="3">
        <f>+'Invullen groen'!I309</f>
        <v/>
      </c>
      <c r="G305" s="3">
        <f>+'Invullen groen'!J309</f>
        <v/>
      </c>
      <c r="H305" s="3">
        <f>+'Invullen groen'!K309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groen'!M310</f>
        <v/>
      </c>
      <c r="E306" s="3">
        <f>+'Invullen groen'!H310</f>
        <v/>
      </c>
      <c r="F306" s="3">
        <f>+'Invullen groen'!I310</f>
        <v/>
      </c>
      <c r="G306" s="3">
        <f>+'Invullen groen'!J310</f>
        <v/>
      </c>
      <c r="H306" s="3">
        <f>+'Invullen groen'!K310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groen'!M311</f>
        <v/>
      </c>
      <c r="E307" s="3">
        <f>+'Invullen groen'!H311</f>
        <v/>
      </c>
      <c r="F307" s="3">
        <f>+'Invullen groen'!I311</f>
        <v/>
      </c>
      <c r="G307" s="3">
        <f>+'Invullen groen'!J311</f>
        <v/>
      </c>
      <c r="H307" s="3">
        <f>+'Invullen groen'!K311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groen'!M312</f>
        <v/>
      </c>
      <c r="E308" s="3">
        <f>+'Invullen groen'!H312</f>
        <v/>
      </c>
      <c r="F308" s="3">
        <f>+'Invullen groen'!I312</f>
        <v/>
      </c>
      <c r="G308" s="3">
        <f>+'Invullen groen'!J312</f>
        <v/>
      </c>
      <c r="H308" s="3">
        <f>+'Invullen groen'!K312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groen'!M313</f>
        <v/>
      </c>
      <c r="E309" s="3">
        <f>+'Invullen groen'!H313</f>
        <v/>
      </c>
      <c r="F309" s="3">
        <f>+'Invullen groen'!I313</f>
        <v/>
      </c>
      <c r="G309" s="3">
        <f>+'Invullen groen'!J313</f>
        <v/>
      </c>
      <c r="H309" s="3">
        <f>+'Invullen groen'!K313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groen'!M314</f>
        <v/>
      </c>
      <c r="E310" s="3">
        <f>+'Invullen groen'!H314</f>
        <v/>
      </c>
      <c r="F310" s="3">
        <f>+'Invullen groen'!I314</f>
        <v/>
      </c>
      <c r="G310" s="3">
        <f>+'Invullen groen'!J314</f>
        <v/>
      </c>
      <c r="H310" s="3">
        <f>+'Invullen groen'!K314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groen'!M315</f>
        <v/>
      </c>
      <c r="E311" s="3">
        <f>+'Invullen groen'!H315</f>
        <v/>
      </c>
      <c r="F311" s="3">
        <f>+'Invullen groen'!I315</f>
        <v/>
      </c>
      <c r="G311" s="3">
        <f>+'Invullen groen'!J315</f>
        <v/>
      </c>
      <c r="H311" s="3">
        <f>+'Invullen groen'!K315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groen'!M316</f>
        <v/>
      </c>
      <c r="E312" s="3">
        <f>+'Invullen groen'!H316</f>
        <v/>
      </c>
      <c r="F312" s="3">
        <f>+'Invullen groen'!I316</f>
        <v/>
      </c>
      <c r="G312" s="3">
        <f>+'Invullen groen'!J316</f>
        <v/>
      </c>
      <c r="H312" s="3">
        <f>+'Invullen groen'!K316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groen'!M317</f>
        <v/>
      </c>
      <c r="E313" s="3">
        <f>+'Invullen groen'!H317</f>
        <v/>
      </c>
      <c r="F313" s="3">
        <f>+'Invullen groen'!I317</f>
        <v/>
      </c>
      <c r="G313" s="3">
        <f>+'Invullen groen'!J317</f>
        <v/>
      </c>
      <c r="H313" s="3">
        <f>+'Invullen groen'!K317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groen'!M318</f>
        <v/>
      </c>
      <c r="E314" s="3">
        <f>+'Invullen groen'!H318</f>
        <v/>
      </c>
      <c r="F314" s="3">
        <f>+'Invullen groen'!I318</f>
        <v/>
      </c>
      <c r="G314" s="3">
        <f>+'Invullen groen'!J318</f>
        <v/>
      </c>
      <c r="H314" s="3">
        <f>+'Invullen groen'!K318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groen'!M319</f>
        <v/>
      </c>
      <c r="E315" s="3">
        <f>+'Invullen groen'!H319</f>
        <v/>
      </c>
      <c r="F315" s="3">
        <f>+'Invullen groen'!I319</f>
        <v/>
      </c>
      <c r="G315" s="3">
        <f>+'Invullen groen'!J319</f>
        <v/>
      </c>
      <c r="H315" s="3">
        <f>+'Invullen groen'!K319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groen'!M320</f>
        <v/>
      </c>
      <c r="E316" s="3">
        <f>+'Invullen groen'!H320</f>
        <v/>
      </c>
      <c r="F316" s="3">
        <f>+'Invullen groen'!I320</f>
        <v/>
      </c>
      <c r="G316" s="3">
        <f>+'Invullen groen'!J320</f>
        <v/>
      </c>
      <c r="H316" s="3">
        <f>+'Invullen groen'!K320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groen'!M321</f>
        <v/>
      </c>
      <c r="E317" s="3">
        <f>+'Invullen groen'!H321</f>
        <v/>
      </c>
      <c r="F317" s="3">
        <f>+'Invullen groen'!I321</f>
        <v/>
      </c>
      <c r="G317" s="3">
        <f>+'Invullen groen'!J321</f>
        <v/>
      </c>
      <c r="H317" s="3">
        <f>+'Invullen groen'!K321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groen'!M322</f>
        <v/>
      </c>
      <c r="E318" s="3">
        <f>+'Invullen groen'!H322</f>
        <v/>
      </c>
      <c r="F318" s="3">
        <f>+'Invullen groen'!I322</f>
        <v/>
      </c>
      <c r="G318" s="3">
        <f>+'Invullen groen'!J322</f>
        <v/>
      </c>
      <c r="H318" s="3">
        <f>+'Invullen groen'!K322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groen'!M323</f>
        <v/>
      </c>
      <c r="E319" s="3">
        <f>+'Invullen groen'!H323</f>
        <v/>
      </c>
      <c r="F319" s="3">
        <f>+'Invullen groen'!I323</f>
        <v/>
      </c>
      <c r="G319" s="3">
        <f>+'Invullen groen'!J323</f>
        <v/>
      </c>
      <c r="H319" s="3">
        <f>+'Invullen groen'!K323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groen'!M324</f>
        <v/>
      </c>
      <c r="E320" s="3">
        <f>+'Invullen groen'!H324</f>
        <v/>
      </c>
      <c r="F320" s="3">
        <f>+'Invullen groen'!I324</f>
        <v/>
      </c>
      <c r="G320" s="3">
        <f>+'Invullen groen'!J324</f>
        <v/>
      </c>
      <c r="H320" s="3">
        <f>+'Invullen groen'!K324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groen'!M325</f>
        <v/>
      </c>
      <c r="E321" s="3">
        <f>+'Invullen groen'!H325</f>
        <v/>
      </c>
      <c r="F321" s="3">
        <f>+'Invullen groen'!I325</f>
        <v/>
      </c>
      <c r="G321" s="3">
        <f>+'Invullen groen'!J325</f>
        <v/>
      </c>
      <c r="H321" s="3">
        <f>+'Invullen groen'!K325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groen'!M326</f>
        <v/>
      </c>
      <c r="E322" s="3">
        <f>+'Invullen groen'!H326</f>
        <v/>
      </c>
      <c r="F322" s="3">
        <f>+'Invullen groen'!I326</f>
        <v/>
      </c>
      <c r="G322" s="3">
        <f>+'Invullen groen'!J326</f>
        <v/>
      </c>
      <c r="H322" s="3">
        <f>+'Invullen groen'!K326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groen'!M327</f>
        <v/>
      </c>
      <c r="E323" s="3">
        <f>+'Invullen groen'!H327</f>
        <v/>
      </c>
      <c r="F323" s="3">
        <f>+'Invullen groen'!I327</f>
        <v/>
      </c>
      <c r="G323" s="3">
        <f>+'Invullen groen'!J327</f>
        <v/>
      </c>
      <c r="H323" s="3">
        <f>+'Invullen groen'!K327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groen'!M328</f>
        <v/>
      </c>
      <c r="E324" s="3">
        <f>+'Invullen groen'!H328</f>
        <v/>
      </c>
      <c r="F324" s="3">
        <f>+'Invullen groen'!I328</f>
        <v/>
      </c>
      <c r="G324" s="3">
        <f>+'Invullen groen'!J328</f>
        <v/>
      </c>
      <c r="H324" s="3">
        <f>+'Invullen groen'!K328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groen'!M329</f>
        <v/>
      </c>
      <c r="E325" s="3">
        <f>+'Invullen groen'!H329</f>
        <v/>
      </c>
      <c r="F325" s="3">
        <f>+'Invullen groen'!I329</f>
        <v/>
      </c>
      <c r="G325" s="3">
        <f>+'Invullen groen'!J329</f>
        <v/>
      </c>
      <c r="H325" s="3">
        <f>+'Invullen groen'!K329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groen'!M330</f>
        <v/>
      </c>
      <c r="E326" s="3">
        <f>+'Invullen groen'!H330</f>
        <v/>
      </c>
      <c r="F326" s="3">
        <f>+'Invullen groen'!I330</f>
        <v/>
      </c>
      <c r="G326" s="3">
        <f>+'Invullen groen'!J330</f>
        <v/>
      </c>
      <c r="H326" s="3">
        <f>+'Invullen groen'!K330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groen'!M331</f>
        <v/>
      </c>
      <c r="E327" s="3">
        <f>+'Invullen groen'!H331</f>
        <v/>
      </c>
      <c r="F327" s="3">
        <f>+'Invullen groen'!I331</f>
        <v/>
      </c>
      <c r="G327" s="3">
        <f>+'Invullen groen'!J331</f>
        <v/>
      </c>
      <c r="H327" s="3">
        <f>+'Invullen groen'!K331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groen'!M332</f>
        <v/>
      </c>
      <c r="E328" s="3">
        <f>+'Invullen groen'!H332</f>
        <v/>
      </c>
      <c r="F328" s="3">
        <f>+'Invullen groen'!I332</f>
        <v/>
      </c>
      <c r="G328" s="3">
        <f>+'Invullen groen'!J332</f>
        <v/>
      </c>
      <c r="H328" s="3">
        <f>+'Invullen groen'!K332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groen'!M333</f>
        <v/>
      </c>
      <c r="E329" s="3">
        <f>+'Invullen groen'!H333</f>
        <v/>
      </c>
      <c r="F329" s="3">
        <f>+'Invullen groen'!I333</f>
        <v/>
      </c>
      <c r="G329" s="3">
        <f>+'Invullen groen'!J333</f>
        <v/>
      </c>
      <c r="H329" s="3">
        <f>+'Invullen groen'!K333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groen'!M334</f>
        <v/>
      </c>
      <c r="E330" s="3">
        <f>+'Invullen groen'!H334</f>
        <v/>
      </c>
      <c r="F330" s="3">
        <f>+'Invullen groen'!I334</f>
        <v/>
      </c>
      <c r="G330" s="3">
        <f>+'Invullen groen'!J334</f>
        <v/>
      </c>
      <c r="H330" s="3">
        <f>+'Invullen groen'!K334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groen'!M335</f>
        <v/>
      </c>
      <c r="E331" s="3">
        <f>+'Invullen groen'!H335</f>
        <v/>
      </c>
      <c r="F331" s="3">
        <f>+'Invullen groen'!I335</f>
        <v/>
      </c>
      <c r="G331" s="3">
        <f>+'Invullen groen'!J335</f>
        <v/>
      </c>
      <c r="H331" s="3">
        <f>+'Invullen groen'!K335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groen'!M336</f>
        <v/>
      </c>
      <c r="E332" s="3">
        <f>+'Invullen groen'!H336</f>
        <v/>
      </c>
      <c r="F332" s="3">
        <f>+'Invullen groen'!I336</f>
        <v/>
      </c>
      <c r="G332" s="3">
        <f>+'Invullen groen'!J336</f>
        <v/>
      </c>
      <c r="H332" s="3">
        <f>+'Invullen groen'!K336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groen'!M337</f>
        <v/>
      </c>
      <c r="E333" s="3">
        <f>+'Invullen groen'!H337</f>
        <v/>
      </c>
      <c r="F333" s="3">
        <f>+'Invullen groen'!I337</f>
        <v/>
      </c>
      <c r="G333" s="3">
        <f>+'Invullen groen'!J337</f>
        <v/>
      </c>
      <c r="H333" s="3">
        <f>+'Invullen groen'!K337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groen'!M338</f>
        <v/>
      </c>
      <c r="E334" s="3">
        <f>+'Invullen groen'!H338</f>
        <v/>
      </c>
      <c r="F334" s="3">
        <f>+'Invullen groen'!I338</f>
        <v/>
      </c>
      <c r="G334" s="3">
        <f>+'Invullen groen'!J338</f>
        <v/>
      </c>
      <c r="H334" s="3">
        <f>+'Invullen groen'!K338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groen'!M339</f>
        <v/>
      </c>
      <c r="E335" s="3">
        <f>+'Invullen groen'!H339</f>
        <v/>
      </c>
      <c r="F335" s="3">
        <f>+'Invullen groen'!I339</f>
        <v/>
      </c>
      <c r="G335" s="3">
        <f>+'Invullen groen'!J339</f>
        <v/>
      </c>
      <c r="H335" s="3">
        <f>+'Invullen groen'!K339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groen'!M340</f>
        <v/>
      </c>
      <c r="E336" s="3">
        <f>+'Invullen groen'!H340</f>
        <v/>
      </c>
      <c r="F336" s="3">
        <f>+'Invullen groen'!I340</f>
        <v/>
      </c>
      <c r="G336" s="3">
        <f>+'Invullen groen'!J340</f>
        <v/>
      </c>
      <c r="H336" s="3">
        <f>+'Invullen groen'!K340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groen'!M341</f>
        <v/>
      </c>
      <c r="E337" s="3">
        <f>+'Invullen groen'!H341</f>
        <v/>
      </c>
      <c r="F337" s="3">
        <f>+'Invullen groen'!I341</f>
        <v/>
      </c>
      <c r="G337" s="3">
        <f>+'Invullen groen'!J341</f>
        <v/>
      </c>
      <c r="H337" s="3">
        <f>+'Invullen groen'!K341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groen'!M342</f>
        <v/>
      </c>
      <c r="E338" s="3">
        <f>+'Invullen groen'!H342</f>
        <v/>
      </c>
      <c r="F338" s="3">
        <f>+'Invullen groen'!I342</f>
        <v/>
      </c>
      <c r="G338" s="3">
        <f>+'Invullen groen'!J342</f>
        <v/>
      </c>
      <c r="H338" s="3">
        <f>+'Invullen groen'!K342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groen'!M343</f>
        <v/>
      </c>
      <c r="E339" s="3">
        <f>+'Invullen groen'!H343</f>
        <v/>
      </c>
      <c r="F339" s="3">
        <f>+'Invullen groen'!I343</f>
        <v/>
      </c>
      <c r="G339" s="3">
        <f>+'Invullen groen'!J343</f>
        <v/>
      </c>
      <c r="H339" s="3">
        <f>+'Invullen groen'!K343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groen'!M344</f>
        <v/>
      </c>
      <c r="E340" s="3">
        <f>+'Invullen groen'!H344</f>
        <v/>
      </c>
      <c r="F340" s="3">
        <f>+'Invullen groen'!I344</f>
        <v/>
      </c>
      <c r="G340" s="3">
        <f>+'Invullen groen'!J344</f>
        <v/>
      </c>
      <c r="H340" s="3">
        <f>+'Invullen groen'!K344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groen'!M345</f>
        <v/>
      </c>
      <c r="E341" s="3">
        <f>+'Invullen groen'!H345</f>
        <v/>
      </c>
      <c r="F341" s="3">
        <f>+'Invullen groen'!I345</f>
        <v/>
      </c>
      <c r="G341" s="3">
        <f>+'Invullen groen'!J345</f>
        <v/>
      </c>
      <c r="H341" s="3">
        <f>+'Invullen groen'!K345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groen'!M346</f>
        <v/>
      </c>
      <c r="E342" s="3">
        <f>+'Invullen groen'!H346</f>
        <v/>
      </c>
      <c r="F342" s="3">
        <f>+'Invullen groen'!I346</f>
        <v/>
      </c>
      <c r="G342" s="3">
        <f>+'Invullen groen'!J346</f>
        <v/>
      </c>
      <c r="H342" s="3">
        <f>+'Invullen groen'!K346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groen'!M347</f>
        <v/>
      </c>
      <c r="E343" s="3">
        <f>+'Invullen groen'!H347</f>
        <v/>
      </c>
      <c r="F343" s="3">
        <f>+'Invullen groen'!I347</f>
        <v/>
      </c>
      <c r="G343" s="3">
        <f>+'Invullen groen'!J347</f>
        <v/>
      </c>
      <c r="H343" s="3">
        <f>+'Invullen groen'!K347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groen'!M348</f>
        <v/>
      </c>
      <c r="E344" s="3">
        <f>+'Invullen groen'!H348</f>
        <v/>
      </c>
      <c r="F344" s="3">
        <f>+'Invullen groen'!I348</f>
        <v/>
      </c>
      <c r="G344" s="3">
        <f>+'Invullen groen'!J348</f>
        <v/>
      </c>
      <c r="H344" s="3">
        <f>+'Invullen groen'!K348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groen'!M349</f>
        <v/>
      </c>
      <c r="E345" s="3">
        <f>+'Invullen groen'!H349</f>
        <v/>
      </c>
      <c r="F345" s="3">
        <f>+'Invullen groen'!I349</f>
        <v/>
      </c>
      <c r="G345" s="3">
        <f>+'Invullen groen'!J349</f>
        <v/>
      </c>
      <c r="H345" s="3">
        <f>+'Invullen groen'!K349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groen'!M350</f>
        <v/>
      </c>
      <c r="E346" s="3">
        <f>+'Invullen groen'!H350</f>
        <v/>
      </c>
      <c r="F346" s="3">
        <f>+'Invullen groen'!I350</f>
        <v/>
      </c>
      <c r="G346" s="3">
        <f>+'Invullen groen'!J350</f>
        <v/>
      </c>
      <c r="H346" s="3">
        <f>+'Invullen groen'!K350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groen'!M351</f>
        <v/>
      </c>
      <c r="E347" s="3">
        <f>+'Invullen groen'!H351</f>
        <v/>
      </c>
      <c r="F347" s="3">
        <f>+'Invullen groen'!I351</f>
        <v/>
      </c>
      <c r="G347" s="3">
        <f>+'Invullen groen'!J351</f>
        <v/>
      </c>
      <c r="H347" s="3">
        <f>+'Invullen groen'!K351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groen'!M352</f>
        <v/>
      </c>
      <c r="E348" s="3">
        <f>+'Invullen groen'!H352</f>
        <v/>
      </c>
      <c r="F348" s="3">
        <f>+'Invullen groen'!I352</f>
        <v/>
      </c>
      <c r="G348" s="3">
        <f>+'Invullen groen'!J352</f>
        <v/>
      </c>
      <c r="H348" s="3">
        <f>+'Invullen groen'!K352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groen'!M353</f>
        <v/>
      </c>
      <c r="E349" s="3">
        <f>+'Invullen groen'!H353</f>
        <v/>
      </c>
      <c r="F349" s="3">
        <f>+'Invullen groen'!I353</f>
        <v/>
      </c>
      <c r="G349" s="3">
        <f>+'Invullen groen'!J353</f>
        <v/>
      </c>
      <c r="H349" s="3">
        <f>+'Invullen groen'!K353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groen'!M354</f>
        <v/>
      </c>
      <c r="E350" s="3">
        <f>+'Invullen groen'!H354</f>
        <v/>
      </c>
      <c r="F350" s="3">
        <f>+'Invullen groen'!I354</f>
        <v/>
      </c>
      <c r="G350" s="3">
        <f>+'Invullen groen'!J354</f>
        <v/>
      </c>
      <c r="H350" s="3">
        <f>+'Invullen groen'!K354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groen'!M355</f>
        <v/>
      </c>
      <c r="E351" s="3">
        <f>+'Invullen groen'!H355</f>
        <v/>
      </c>
      <c r="F351" s="3">
        <f>+'Invullen groen'!I355</f>
        <v/>
      </c>
      <c r="G351" s="3">
        <f>+'Invullen groen'!J355</f>
        <v/>
      </c>
      <c r="H351" s="3">
        <f>+'Invullen groen'!K355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groen'!M356</f>
        <v/>
      </c>
      <c r="E352" s="3">
        <f>+'Invullen groen'!H356</f>
        <v/>
      </c>
      <c r="F352" s="3">
        <f>+'Invullen groen'!I356</f>
        <v/>
      </c>
      <c r="G352" s="3">
        <f>+'Invullen groen'!J356</f>
        <v/>
      </c>
      <c r="H352" s="3">
        <f>+'Invullen groen'!K356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groen'!M357</f>
        <v/>
      </c>
      <c r="E353" s="3">
        <f>+'Invullen groen'!H357</f>
        <v/>
      </c>
      <c r="F353" s="3">
        <f>+'Invullen groen'!I357</f>
        <v/>
      </c>
      <c r="G353" s="3">
        <f>+'Invullen groen'!J357</f>
        <v/>
      </c>
      <c r="H353" s="3">
        <f>+'Invullen groen'!K357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groen'!M358</f>
        <v/>
      </c>
      <c r="E354" s="3">
        <f>+'Invullen groen'!H358</f>
        <v/>
      </c>
      <c r="F354" s="3">
        <f>+'Invullen groen'!I358</f>
        <v/>
      </c>
      <c r="G354" s="3">
        <f>+'Invullen groen'!J358</f>
        <v/>
      </c>
      <c r="H354" s="3">
        <f>+'Invullen groen'!K358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groen'!M359</f>
        <v/>
      </c>
      <c r="E355" s="3">
        <f>+'Invullen groen'!H359</f>
        <v/>
      </c>
      <c r="F355" s="3">
        <f>+'Invullen groen'!I359</f>
        <v/>
      </c>
      <c r="G355" s="3">
        <f>+'Invullen groen'!J359</f>
        <v/>
      </c>
      <c r="H355" s="3">
        <f>+'Invullen groen'!K359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groen'!M360</f>
        <v/>
      </c>
      <c r="E356" s="3">
        <f>+'Invullen groen'!H360</f>
        <v/>
      </c>
      <c r="F356" s="3">
        <f>+'Invullen groen'!I360</f>
        <v/>
      </c>
      <c r="G356" s="3">
        <f>+'Invullen groen'!J360</f>
        <v/>
      </c>
      <c r="H356" s="3">
        <f>+'Invullen groen'!K360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groen'!M361</f>
        <v/>
      </c>
      <c r="E357" s="3">
        <f>+'Invullen groen'!H361</f>
        <v/>
      </c>
      <c r="F357" s="3">
        <f>+'Invullen groen'!I361</f>
        <v/>
      </c>
      <c r="G357" s="3">
        <f>+'Invullen groen'!J361</f>
        <v/>
      </c>
      <c r="H357" s="3">
        <f>+'Invullen groen'!K361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groen'!M362</f>
        <v/>
      </c>
      <c r="E358" s="3">
        <f>+'Invullen groen'!H362</f>
        <v/>
      </c>
      <c r="F358" s="3">
        <f>+'Invullen groen'!I362</f>
        <v/>
      </c>
      <c r="G358" s="3">
        <f>+'Invullen groen'!J362</f>
        <v/>
      </c>
      <c r="H358" s="3">
        <f>+'Invullen groen'!K362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groen'!M363</f>
        <v/>
      </c>
      <c r="E359" s="3">
        <f>+'Invullen groen'!H363</f>
        <v/>
      </c>
      <c r="F359" s="3">
        <f>+'Invullen groen'!I363</f>
        <v/>
      </c>
      <c r="G359" s="3">
        <f>+'Invullen groen'!J363</f>
        <v/>
      </c>
      <c r="H359" s="3">
        <f>+'Invullen groen'!K363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groen'!M364</f>
        <v/>
      </c>
      <c r="E360" s="3">
        <f>+'Invullen groen'!H364</f>
        <v/>
      </c>
      <c r="F360" s="3">
        <f>+'Invullen groen'!I364</f>
        <v/>
      </c>
      <c r="G360" s="3">
        <f>+'Invullen groen'!J364</f>
        <v/>
      </c>
      <c r="H360" s="3">
        <f>+'Invullen groen'!K364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groen'!M365</f>
        <v/>
      </c>
      <c r="E361" s="3">
        <f>+'Invullen groen'!H365</f>
        <v/>
      </c>
      <c r="F361" s="3">
        <f>+'Invullen groen'!I365</f>
        <v/>
      </c>
      <c r="G361" s="3">
        <f>+'Invullen groen'!J365</f>
        <v/>
      </c>
      <c r="H361" s="3">
        <f>+'Invullen groen'!K365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groen'!M366</f>
        <v/>
      </c>
      <c r="E362" s="3">
        <f>+'Invullen groen'!H366</f>
        <v/>
      </c>
      <c r="F362" s="3">
        <f>+'Invullen groen'!I366</f>
        <v/>
      </c>
      <c r="G362" s="3">
        <f>+'Invullen groen'!J366</f>
        <v/>
      </c>
      <c r="H362" s="3">
        <f>+'Invullen groen'!K366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groen'!M367</f>
        <v/>
      </c>
      <c r="E363" s="3">
        <f>+'Invullen groen'!H367</f>
        <v/>
      </c>
      <c r="F363" s="3">
        <f>+'Invullen groen'!I367</f>
        <v/>
      </c>
      <c r="G363" s="3">
        <f>+'Invullen groen'!J367</f>
        <v/>
      </c>
      <c r="H363" s="3">
        <f>+'Invullen groen'!K367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groen'!M368</f>
        <v/>
      </c>
      <c r="E364" s="3">
        <f>+'Invullen groen'!H368</f>
        <v/>
      </c>
      <c r="F364" s="3">
        <f>+'Invullen groen'!I368</f>
        <v/>
      </c>
      <c r="G364" s="3">
        <f>+'Invullen groen'!J368</f>
        <v/>
      </c>
      <c r="H364" s="3">
        <f>+'Invullen groen'!K368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groen'!M369</f>
        <v/>
      </c>
      <c r="E365" s="3">
        <f>+'Invullen groen'!H369</f>
        <v/>
      </c>
      <c r="F365" s="3">
        <f>+'Invullen groen'!I369</f>
        <v/>
      </c>
      <c r="G365" s="3">
        <f>+'Invullen groen'!J369</f>
        <v/>
      </c>
      <c r="H365" s="3">
        <f>+'Invullen groen'!K369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groen'!M370</f>
        <v/>
      </c>
      <c r="E366" s="3">
        <f>+'Invullen groen'!H370</f>
        <v/>
      </c>
      <c r="F366" s="3">
        <f>+'Invullen groen'!I370</f>
        <v/>
      </c>
      <c r="G366" s="3">
        <f>+'Invullen groen'!J370</f>
        <v/>
      </c>
      <c r="H366" s="3">
        <f>+'Invullen groen'!K370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groen'!M371</f>
        <v/>
      </c>
      <c r="E367" s="3">
        <f>+'Invullen groen'!H371</f>
        <v/>
      </c>
      <c r="F367" s="3">
        <f>+'Invullen groen'!I371</f>
        <v/>
      </c>
      <c r="G367" s="3">
        <f>+'Invullen groen'!J371</f>
        <v/>
      </c>
      <c r="H367" s="3">
        <f>+'Invullen groen'!K371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groen'!M372</f>
        <v/>
      </c>
      <c r="E368" s="3">
        <f>+'Invullen groen'!H372</f>
        <v/>
      </c>
      <c r="F368" s="3">
        <f>+'Invullen groen'!I372</f>
        <v/>
      </c>
      <c r="G368" s="3">
        <f>+'Invullen groen'!J372</f>
        <v/>
      </c>
      <c r="H368" s="3">
        <f>+'Invullen groen'!K372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groen'!M373</f>
        <v/>
      </c>
      <c r="E369" s="3">
        <f>+'Invullen groen'!H373</f>
        <v/>
      </c>
      <c r="F369" s="3">
        <f>+'Invullen groen'!I373</f>
        <v/>
      </c>
      <c r="G369" s="3">
        <f>+'Invullen groen'!J373</f>
        <v/>
      </c>
      <c r="H369" s="3">
        <f>+'Invullen groen'!K373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groen'!M374</f>
        <v/>
      </c>
      <c r="E370" s="3">
        <f>+'Invullen groen'!H374</f>
        <v/>
      </c>
      <c r="F370" s="3">
        <f>+'Invullen groen'!I374</f>
        <v/>
      </c>
      <c r="G370" s="3">
        <f>+'Invullen groen'!J374</f>
        <v/>
      </c>
      <c r="H370" s="3">
        <f>+'Invullen groen'!K374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groen'!M375</f>
        <v/>
      </c>
      <c r="E371" s="3">
        <f>+'Invullen groen'!H375</f>
        <v/>
      </c>
      <c r="F371" s="3">
        <f>+'Invullen groen'!I375</f>
        <v/>
      </c>
      <c r="G371" s="3">
        <f>+'Invullen groen'!J375</f>
        <v/>
      </c>
      <c r="H371" s="3">
        <f>+'Invullen groen'!K375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groen'!M376</f>
        <v/>
      </c>
      <c r="E372" s="3">
        <f>+'Invullen groen'!H376</f>
        <v/>
      </c>
      <c r="F372" s="3">
        <f>+'Invullen groen'!I376</f>
        <v/>
      </c>
      <c r="G372" s="3">
        <f>+'Invullen groen'!J376</f>
        <v/>
      </c>
      <c r="H372" s="3">
        <f>+'Invullen groen'!K376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groen'!M377</f>
        <v/>
      </c>
      <c r="E373" s="3">
        <f>+'Invullen groen'!H377</f>
        <v/>
      </c>
      <c r="F373" s="3">
        <f>+'Invullen groen'!I377</f>
        <v/>
      </c>
      <c r="G373" s="3">
        <f>+'Invullen groen'!J377</f>
        <v/>
      </c>
      <c r="H373" s="3">
        <f>+'Invullen groen'!K377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groen'!M378</f>
        <v/>
      </c>
      <c r="E374" s="3">
        <f>+'Invullen groen'!H378</f>
        <v/>
      </c>
      <c r="F374" s="3">
        <f>+'Invullen groen'!I378</f>
        <v/>
      </c>
      <c r="G374" s="3">
        <f>+'Invullen groen'!J378</f>
        <v/>
      </c>
      <c r="H374" s="3">
        <f>+'Invullen groen'!K378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groen'!M379</f>
        <v/>
      </c>
      <c r="E375" s="3">
        <f>+'Invullen groen'!H379</f>
        <v/>
      </c>
      <c r="F375" s="3">
        <f>+'Invullen groen'!I379</f>
        <v/>
      </c>
      <c r="G375" s="3">
        <f>+'Invullen groen'!J379</f>
        <v/>
      </c>
      <c r="H375" s="3">
        <f>+'Invullen groen'!K379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groen'!M380</f>
        <v/>
      </c>
      <c r="E376" s="3">
        <f>+'Invullen groen'!H380</f>
        <v/>
      </c>
      <c r="F376" s="3">
        <f>+'Invullen groen'!I380</f>
        <v/>
      </c>
      <c r="G376" s="3">
        <f>+'Invullen groen'!J380</f>
        <v/>
      </c>
      <c r="H376" s="3">
        <f>+'Invullen groen'!K380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groen'!M381</f>
        <v/>
      </c>
      <c r="E377" s="3">
        <f>+'Invullen groen'!H381</f>
        <v/>
      </c>
      <c r="F377" s="3">
        <f>+'Invullen groen'!I381</f>
        <v/>
      </c>
      <c r="G377" s="3">
        <f>+'Invullen groen'!J381</f>
        <v/>
      </c>
      <c r="H377" s="3">
        <f>+'Invullen groen'!K381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groen'!M382</f>
        <v/>
      </c>
      <c r="E378" s="3">
        <f>+'Invullen groen'!H382</f>
        <v/>
      </c>
      <c r="F378" s="3">
        <f>+'Invullen groen'!I382</f>
        <v/>
      </c>
      <c r="G378" s="3">
        <f>+'Invullen groen'!J382</f>
        <v/>
      </c>
      <c r="H378" s="3">
        <f>+'Invullen groen'!K382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groen'!M383</f>
        <v/>
      </c>
      <c r="E379" s="3">
        <f>+'Invullen groen'!H383</f>
        <v/>
      </c>
      <c r="F379" s="3">
        <f>+'Invullen groen'!I383</f>
        <v/>
      </c>
      <c r="G379" s="3">
        <f>+'Invullen groen'!J383</f>
        <v/>
      </c>
      <c r="H379" s="3">
        <f>+'Invullen groen'!K383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groen'!M384</f>
        <v/>
      </c>
      <c r="E380" s="3">
        <f>+'Invullen groen'!H384</f>
        <v/>
      </c>
      <c r="F380" s="3">
        <f>+'Invullen groen'!I384</f>
        <v/>
      </c>
      <c r="G380" s="3">
        <f>+'Invullen groen'!J384</f>
        <v/>
      </c>
      <c r="H380" s="3">
        <f>+'Invullen groen'!K384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groen'!M385</f>
        <v/>
      </c>
      <c r="E381" s="3">
        <f>+'Invullen groen'!H385</f>
        <v/>
      </c>
      <c r="F381" s="3">
        <f>+'Invullen groen'!I385</f>
        <v/>
      </c>
      <c r="G381" s="3">
        <f>+'Invullen groen'!J385</f>
        <v/>
      </c>
      <c r="H381" s="3">
        <f>+'Invullen groen'!K385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groen'!M386</f>
        <v/>
      </c>
      <c r="E382" s="3">
        <f>+'Invullen groen'!H386</f>
        <v/>
      </c>
      <c r="F382" s="3">
        <f>+'Invullen groen'!I386</f>
        <v/>
      </c>
      <c r="G382" s="3">
        <f>+'Invullen groen'!J386</f>
        <v/>
      </c>
      <c r="H382" s="3">
        <f>+'Invullen groen'!K386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groen'!M387</f>
        <v/>
      </c>
      <c r="E383" s="3">
        <f>+'Invullen groen'!H387</f>
        <v/>
      </c>
      <c r="F383" s="3">
        <f>+'Invullen groen'!I387</f>
        <v/>
      </c>
      <c r="G383" s="3">
        <f>+'Invullen groen'!J387</f>
        <v/>
      </c>
      <c r="H383" s="3">
        <f>+'Invullen groen'!K387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groen'!M388</f>
        <v/>
      </c>
      <c r="E384" s="3">
        <f>+'Invullen groen'!H388</f>
        <v/>
      </c>
      <c r="F384" s="3">
        <f>+'Invullen groen'!I388</f>
        <v/>
      </c>
      <c r="G384" s="3">
        <f>+'Invullen groen'!J388</f>
        <v/>
      </c>
      <c r="H384" s="3">
        <f>+'Invullen groen'!K388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groen'!M389</f>
        <v/>
      </c>
      <c r="E385" s="3">
        <f>+'Invullen groen'!H389</f>
        <v/>
      </c>
      <c r="F385" s="3">
        <f>+'Invullen groen'!I389</f>
        <v/>
      </c>
      <c r="G385" s="3">
        <f>+'Invullen groen'!J389</f>
        <v/>
      </c>
      <c r="H385" s="3">
        <f>+'Invullen groen'!K389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groen'!M390</f>
        <v/>
      </c>
      <c r="E386" s="3">
        <f>+'Invullen groen'!H390</f>
        <v/>
      </c>
      <c r="F386" s="3">
        <f>+'Invullen groen'!I390</f>
        <v/>
      </c>
      <c r="G386" s="3">
        <f>+'Invullen groen'!J390</f>
        <v/>
      </c>
      <c r="H386" s="3">
        <f>+'Invullen groen'!K390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groen'!M391</f>
        <v/>
      </c>
      <c r="E387" s="3">
        <f>+'Invullen groen'!H391</f>
        <v/>
      </c>
      <c r="F387" s="3">
        <f>+'Invullen groen'!I391</f>
        <v/>
      </c>
      <c r="G387" s="3">
        <f>+'Invullen groen'!J391</f>
        <v/>
      </c>
      <c r="H387" s="3">
        <f>+'Invullen groen'!K391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groen'!M392</f>
        <v/>
      </c>
      <c r="E388" s="3">
        <f>+'Invullen groen'!H392</f>
        <v/>
      </c>
      <c r="F388" s="3">
        <f>+'Invullen groen'!I392</f>
        <v/>
      </c>
      <c r="G388" s="3">
        <f>+'Invullen groen'!J392</f>
        <v/>
      </c>
      <c r="H388" s="3">
        <f>+'Invullen groen'!K392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groen'!M393</f>
        <v/>
      </c>
      <c r="E389" s="3">
        <f>+'Invullen groen'!H393</f>
        <v/>
      </c>
      <c r="F389" s="3">
        <f>+'Invullen groen'!I393</f>
        <v/>
      </c>
      <c r="G389" s="3">
        <f>+'Invullen groen'!J393</f>
        <v/>
      </c>
      <c r="H389" s="3">
        <f>+'Invullen groen'!K393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groen'!M394</f>
        <v/>
      </c>
      <c r="E390" s="3">
        <f>+'Invullen groen'!H394</f>
        <v/>
      </c>
      <c r="F390" s="3">
        <f>+'Invullen groen'!I394</f>
        <v/>
      </c>
      <c r="G390" s="3">
        <f>+'Invullen groen'!J394</f>
        <v/>
      </c>
      <c r="H390" s="3">
        <f>+'Invullen groen'!K394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groen'!M395</f>
        <v/>
      </c>
      <c r="E391" s="3">
        <f>+'Invullen groen'!H395</f>
        <v/>
      </c>
      <c r="F391" s="3">
        <f>+'Invullen groen'!I395</f>
        <v/>
      </c>
      <c r="G391" s="3">
        <f>+'Invullen groen'!J395</f>
        <v/>
      </c>
      <c r="H391" s="3">
        <f>+'Invullen groen'!K395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groen'!M396</f>
        <v/>
      </c>
      <c r="E392" s="3">
        <f>+'Invullen groen'!H396</f>
        <v/>
      </c>
      <c r="F392" s="3">
        <f>+'Invullen groen'!I396</f>
        <v/>
      </c>
      <c r="G392" s="3">
        <f>+'Invullen groen'!J396</f>
        <v/>
      </c>
      <c r="H392" s="3">
        <f>+'Invullen groen'!K396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groen'!M397</f>
        <v/>
      </c>
      <c r="E393" s="3">
        <f>+'Invullen groen'!H397</f>
        <v/>
      </c>
      <c r="F393" s="3">
        <f>+'Invullen groen'!I397</f>
        <v/>
      </c>
      <c r="G393" s="3">
        <f>+'Invullen groen'!J397</f>
        <v/>
      </c>
      <c r="H393" s="3">
        <f>+'Invullen groen'!K397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groen'!M398</f>
        <v/>
      </c>
      <c r="E394" s="3">
        <f>+'Invullen groen'!H398</f>
        <v/>
      </c>
      <c r="F394" s="3">
        <f>+'Invullen groen'!I398</f>
        <v/>
      </c>
      <c r="G394" s="3">
        <f>+'Invullen groen'!J398</f>
        <v/>
      </c>
      <c r="H394" s="3">
        <f>+'Invullen groen'!K398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groen'!M399</f>
        <v/>
      </c>
      <c r="E395" s="3">
        <f>+'Invullen groen'!H399</f>
        <v/>
      </c>
      <c r="F395" s="3">
        <f>+'Invullen groen'!I399</f>
        <v/>
      </c>
      <c r="G395" s="3">
        <f>+'Invullen groen'!J399</f>
        <v/>
      </c>
      <c r="H395" s="3">
        <f>+'Invullen groen'!K399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groen'!M400</f>
        <v/>
      </c>
      <c r="E396" s="3">
        <f>+'Invullen groen'!H400</f>
        <v/>
      </c>
      <c r="F396" s="3">
        <f>+'Invullen groen'!I400</f>
        <v/>
      </c>
      <c r="G396" s="3">
        <f>+'Invullen groen'!J400</f>
        <v/>
      </c>
      <c r="H396" s="3">
        <f>+'Invullen groen'!K400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groen'!M401</f>
        <v/>
      </c>
      <c r="E397" s="3">
        <f>+'Invullen groen'!H401</f>
        <v/>
      </c>
      <c r="F397" s="3">
        <f>+'Invullen groen'!I401</f>
        <v/>
      </c>
      <c r="G397" s="3">
        <f>+'Invullen groen'!J401</f>
        <v/>
      </c>
      <c r="H397" s="3">
        <f>+'Invullen groen'!K401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groen'!M402</f>
        <v/>
      </c>
      <c r="E398" s="3">
        <f>+'Invullen groen'!H402</f>
        <v/>
      </c>
      <c r="F398" s="3">
        <f>+'Invullen groen'!I402</f>
        <v/>
      </c>
      <c r="G398" s="3">
        <f>+'Invullen groen'!J402</f>
        <v/>
      </c>
      <c r="H398" s="3">
        <f>+'Invullen groen'!K402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groen'!M403</f>
        <v/>
      </c>
      <c r="E399" s="3">
        <f>+'Invullen groen'!H403</f>
        <v/>
      </c>
      <c r="F399" s="3">
        <f>+'Invullen groen'!I403</f>
        <v/>
      </c>
      <c r="G399" s="3">
        <f>+'Invullen groen'!J403</f>
        <v/>
      </c>
      <c r="H399" s="3">
        <f>+'Invullen groen'!K403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groen'!M404</f>
        <v/>
      </c>
      <c r="E400" s="3">
        <f>+'Invullen groen'!H404</f>
        <v/>
      </c>
      <c r="F400" s="3">
        <f>+'Invullen groen'!I404</f>
        <v/>
      </c>
      <c r="G400" s="3">
        <f>+'Invullen groen'!J404</f>
        <v/>
      </c>
      <c r="H400" s="3">
        <f>+'Invullen groen'!K404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groen'!M405</f>
        <v/>
      </c>
      <c r="E401" s="3">
        <f>+'Invullen groen'!H405</f>
        <v/>
      </c>
      <c r="F401" s="3">
        <f>+'Invullen groen'!I405</f>
        <v/>
      </c>
      <c r="G401" s="3">
        <f>+'Invullen groen'!J405</f>
        <v/>
      </c>
      <c r="H401" s="3">
        <f>+'Invullen groen'!K405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groen'!M406</f>
        <v/>
      </c>
      <c r="E402" s="3">
        <f>+'Invullen groen'!H406</f>
        <v/>
      </c>
      <c r="F402" s="3">
        <f>+'Invullen groen'!I406</f>
        <v/>
      </c>
      <c r="G402" s="3">
        <f>+'Invullen groen'!J406</f>
        <v/>
      </c>
      <c r="H402" s="3">
        <f>+'Invullen groen'!K406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groen'!M407</f>
        <v/>
      </c>
      <c r="E403" s="3">
        <f>+'Invullen groen'!H407</f>
        <v/>
      </c>
      <c r="F403" s="3">
        <f>+'Invullen groen'!I407</f>
        <v/>
      </c>
      <c r="G403" s="3">
        <f>+'Invullen groen'!J407</f>
        <v/>
      </c>
      <c r="H403" s="3">
        <f>+'Invullen groen'!K407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groen'!M408</f>
        <v/>
      </c>
      <c r="E404" s="3">
        <f>+'Invullen groen'!H408</f>
        <v/>
      </c>
      <c r="F404" s="3">
        <f>+'Invullen groen'!I408</f>
        <v/>
      </c>
      <c r="G404" s="3">
        <f>+'Invullen groen'!J408</f>
        <v/>
      </c>
      <c r="H404" s="3">
        <f>+'Invullen groen'!K408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groen'!M409</f>
        <v/>
      </c>
      <c r="E405" s="3">
        <f>+'Invullen groen'!H409</f>
        <v/>
      </c>
      <c r="F405" s="3">
        <f>+'Invullen groen'!I409</f>
        <v/>
      </c>
      <c r="G405" s="3">
        <f>+'Invullen groen'!J409</f>
        <v/>
      </c>
      <c r="H405" s="3">
        <f>+'Invullen groen'!K409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groen'!M410</f>
        <v/>
      </c>
      <c r="E406" s="3">
        <f>+'Invullen groen'!H410</f>
        <v/>
      </c>
      <c r="F406" s="3">
        <f>+'Invullen groen'!I410</f>
        <v/>
      </c>
      <c r="G406" s="3">
        <f>+'Invullen groen'!J410</f>
        <v/>
      </c>
      <c r="H406" s="3">
        <f>+'Invullen groen'!K410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groen'!M411</f>
        <v/>
      </c>
      <c r="E407" s="3">
        <f>+'Invullen groen'!H411</f>
        <v/>
      </c>
      <c r="F407" s="3">
        <f>+'Invullen groen'!I411</f>
        <v/>
      </c>
      <c r="G407" s="3">
        <f>+'Invullen groen'!J411</f>
        <v/>
      </c>
      <c r="H407" s="3">
        <f>+'Invullen groen'!K411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groen'!M412</f>
        <v/>
      </c>
      <c r="E408" s="3">
        <f>+'Invullen groen'!H412</f>
        <v/>
      </c>
      <c r="F408" s="3">
        <f>+'Invullen groen'!I412</f>
        <v/>
      </c>
      <c r="G408" s="3">
        <f>+'Invullen groen'!J412</f>
        <v/>
      </c>
      <c r="H408" s="3">
        <f>+'Invullen groen'!K412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groen'!M413</f>
        <v/>
      </c>
      <c r="E409" s="3">
        <f>+'Invullen groen'!H413</f>
        <v/>
      </c>
      <c r="F409" s="3">
        <f>+'Invullen groen'!I413</f>
        <v/>
      </c>
      <c r="G409" s="3">
        <f>+'Invullen groen'!J413</f>
        <v/>
      </c>
      <c r="H409" s="3">
        <f>+'Invullen groen'!K413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groen'!M414</f>
        <v/>
      </c>
      <c r="E410" s="3">
        <f>+'Invullen groen'!H414</f>
        <v/>
      </c>
      <c r="F410" s="3">
        <f>+'Invullen groen'!I414</f>
        <v/>
      </c>
      <c r="G410" s="3">
        <f>+'Invullen groen'!J414</f>
        <v/>
      </c>
      <c r="H410" s="3">
        <f>+'Invullen groen'!K414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groen'!M415</f>
        <v/>
      </c>
      <c r="E411" s="3">
        <f>+'Invullen groen'!H415</f>
        <v/>
      </c>
      <c r="F411" s="3">
        <f>+'Invullen groen'!I415</f>
        <v/>
      </c>
      <c r="G411" s="3">
        <f>+'Invullen groen'!J415</f>
        <v/>
      </c>
      <c r="H411" s="3">
        <f>+'Invullen groen'!K415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groen'!M416</f>
        <v/>
      </c>
      <c r="E412" s="3">
        <f>+'Invullen groen'!H416</f>
        <v/>
      </c>
      <c r="F412" s="3">
        <f>+'Invullen groen'!I416</f>
        <v/>
      </c>
      <c r="G412" s="3">
        <f>+'Invullen groen'!J416</f>
        <v/>
      </c>
      <c r="H412" s="3">
        <f>+'Invullen groen'!K416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groen'!M417</f>
        <v/>
      </c>
      <c r="E413" s="3">
        <f>+'Invullen groen'!H417</f>
        <v/>
      </c>
      <c r="F413" s="3">
        <f>+'Invullen groen'!I417</f>
        <v/>
      </c>
      <c r="G413" s="3">
        <f>+'Invullen groen'!J417</f>
        <v/>
      </c>
      <c r="H413" s="3">
        <f>+'Invullen groen'!K417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groen'!M418</f>
        <v/>
      </c>
      <c r="E414" s="3">
        <f>+'Invullen groen'!H418</f>
        <v/>
      </c>
      <c r="F414" s="3">
        <f>+'Invullen groen'!I418</f>
        <v/>
      </c>
      <c r="G414" s="3">
        <f>+'Invullen groen'!J418</f>
        <v/>
      </c>
      <c r="H414" s="3">
        <f>+'Invullen groen'!K418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groen'!M419</f>
        <v/>
      </c>
      <c r="E415" s="3">
        <f>+'Invullen groen'!H419</f>
        <v/>
      </c>
      <c r="F415" s="3">
        <f>+'Invullen groen'!I419</f>
        <v/>
      </c>
      <c r="G415" s="3">
        <f>+'Invullen groen'!J419</f>
        <v/>
      </c>
      <c r="H415" s="3">
        <f>+'Invullen groen'!K419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groen'!M420</f>
        <v/>
      </c>
      <c r="E416" s="3">
        <f>+'Invullen groen'!H420</f>
        <v/>
      </c>
      <c r="F416" s="3">
        <f>+'Invullen groen'!I420</f>
        <v/>
      </c>
      <c r="G416" s="3">
        <f>+'Invullen groen'!J420</f>
        <v/>
      </c>
      <c r="H416" s="3">
        <f>+'Invullen groen'!K420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groen'!M421</f>
        <v/>
      </c>
      <c r="E417" s="3">
        <f>+'Invullen groen'!H421</f>
        <v/>
      </c>
      <c r="F417" s="3">
        <f>+'Invullen groen'!I421</f>
        <v/>
      </c>
      <c r="G417" s="3">
        <f>+'Invullen groen'!J421</f>
        <v/>
      </c>
      <c r="H417" s="3">
        <f>+'Invullen groen'!K421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groen'!M422</f>
        <v/>
      </c>
      <c r="E418" s="3">
        <f>+'Invullen groen'!H422</f>
        <v/>
      </c>
      <c r="F418" s="3">
        <f>+'Invullen groen'!I422</f>
        <v/>
      </c>
      <c r="G418" s="3">
        <f>+'Invullen groen'!J422</f>
        <v/>
      </c>
      <c r="H418" s="3">
        <f>+'Invullen groen'!K422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groen'!M423</f>
        <v/>
      </c>
      <c r="E419" s="3">
        <f>+'Invullen groen'!H423</f>
        <v/>
      </c>
      <c r="F419" s="3">
        <f>+'Invullen groen'!I423</f>
        <v/>
      </c>
      <c r="G419" s="3">
        <f>+'Invullen groen'!J423</f>
        <v/>
      </c>
      <c r="H419" s="3">
        <f>+'Invullen groen'!K423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groen'!M424</f>
        <v/>
      </c>
      <c r="E420" s="3">
        <f>+'Invullen groen'!H424</f>
        <v/>
      </c>
      <c r="F420" s="3">
        <f>+'Invullen groen'!I424</f>
        <v/>
      </c>
      <c r="G420" s="3">
        <f>+'Invullen groen'!J424</f>
        <v/>
      </c>
      <c r="H420" s="3">
        <f>+'Invullen groen'!K424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groen'!M425</f>
        <v/>
      </c>
      <c r="E421" s="3">
        <f>+'Invullen groen'!H425</f>
        <v/>
      </c>
      <c r="F421" s="3">
        <f>+'Invullen groen'!I425</f>
        <v/>
      </c>
      <c r="G421" s="3">
        <f>+'Invullen groen'!J425</f>
        <v/>
      </c>
      <c r="H421" s="3">
        <f>+'Invullen groen'!K425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groen'!M426</f>
        <v/>
      </c>
      <c r="E422" s="3">
        <f>+'Invullen groen'!H426</f>
        <v/>
      </c>
      <c r="F422" s="3">
        <f>+'Invullen groen'!I426</f>
        <v/>
      </c>
      <c r="G422" s="3">
        <f>+'Invullen groen'!J426</f>
        <v/>
      </c>
      <c r="H422" s="3">
        <f>+'Invullen groen'!K426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groen'!M427</f>
        <v/>
      </c>
      <c r="E423" s="3">
        <f>+'Invullen groen'!H427</f>
        <v/>
      </c>
      <c r="F423" s="3">
        <f>+'Invullen groen'!I427</f>
        <v/>
      </c>
      <c r="G423" s="3">
        <f>+'Invullen groen'!J427</f>
        <v/>
      </c>
      <c r="H423" s="3">
        <f>+'Invullen groen'!K427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groen'!M428</f>
        <v/>
      </c>
      <c r="E424" s="3">
        <f>+'Invullen groen'!H428</f>
        <v/>
      </c>
      <c r="F424" s="3">
        <f>+'Invullen groen'!I428</f>
        <v/>
      </c>
      <c r="G424" s="3">
        <f>+'Invullen groen'!J428</f>
        <v/>
      </c>
      <c r="H424" s="3">
        <f>+'Invullen groen'!K428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groen'!M429</f>
        <v/>
      </c>
      <c r="E425" s="3">
        <f>+'Invullen groen'!H429</f>
        <v/>
      </c>
      <c r="F425" s="3">
        <f>+'Invullen groen'!I429</f>
        <v/>
      </c>
      <c r="G425" s="3">
        <f>+'Invullen groen'!J429</f>
        <v/>
      </c>
      <c r="H425" s="3">
        <f>+'Invullen groen'!K429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groen'!M430</f>
        <v/>
      </c>
      <c r="E426" s="3">
        <f>+'Invullen groen'!H430</f>
        <v/>
      </c>
      <c r="F426" s="3">
        <f>+'Invullen groen'!I430</f>
        <v/>
      </c>
      <c r="G426" s="3">
        <f>+'Invullen groen'!J430</f>
        <v/>
      </c>
      <c r="H426" s="3">
        <f>+'Invullen groen'!K430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groen'!M431</f>
        <v/>
      </c>
      <c r="E427" s="3">
        <f>+'Invullen groen'!H431</f>
        <v/>
      </c>
      <c r="F427" s="3">
        <f>+'Invullen groen'!I431</f>
        <v/>
      </c>
      <c r="G427" s="3">
        <f>+'Invullen groen'!J431</f>
        <v/>
      </c>
      <c r="H427" s="3">
        <f>+'Invullen groen'!K431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groen'!M432</f>
        <v/>
      </c>
      <c r="E428" s="3">
        <f>+'Invullen groen'!H432</f>
        <v/>
      </c>
      <c r="F428" s="3">
        <f>+'Invullen groen'!I432</f>
        <v/>
      </c>
      <c r="G428" s="3">
        <f>+'Invullen groen'!J432</f>
        <v/>
      </c>
      <c r="H428" s="3">
        <f>+'Invullen groen'!K432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groen'!M433</f>
        <v/>
      </c>
      <c r="E429" s="3">
        <f>+'Invullen groen'!H433</f>
        <v/>
      </c>
      <c r="F429" s="3">
        <f>+'Invullen groen'!I433</f>
        <v/>
      </c>
      <c r="G429" s="3">
        <f>+'Invullen groen'!J433</f>
        <v/>
      </c>
      <c r="H429" s="3">
        <f>+'Invullen groen'!K433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groen'!M434</f>
        <v/>
      </c>
      <c r="E430" s="3">
        <f>+'Invullen groen'!H434</f>
        <v/>
      </c>
      <c r="F430" s="3">
        <f>+'Invullen groen'!I434</f>
        <v/>
      </c>
      <c r="G430" s="3">
        <f>+'Invullen groen'!J434</f>
        <v/>
      </c>
      <c r="H430" s="3">
        <f>+'Invullen groen'!K434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groen'!M435</f>
        <v/>
      </c>
      <c r="E431" s="3">
        <f>+'Invullen groen'!H435</f>
        <v/>
      </c>
      <c r="F431" s="3">
        <f>+'Invullen groen'!I435</f>
        <v/>
      </c>
      <c r="G431" s="3">
        <f>+'Invullen groen'!J435</f>
        <v/>
      </c>
      <c r="H431" s="3">
        <f>+'Invullen groen'!K435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groen'!M436</f>
        <v/>
      </c>
      <c r="E432" s="3">
        <f>+'Invullen groen'!H436</f>
        <v/>
      </c>
      <c r="F432" s="3">
        <f>+'Invullen groen'!I436</f>
        <v/>
      </c>
      <c r="G432" s="3">
        <f>+'Invullen groen'!J436</f>
        <v/>
      </c>
      <c r="H432" s="3">
        <f>+'Invullen groen'!K436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groen'!M437</f>
        <v/>
      </c>
      <c r="E433" s="3">
        <f>+'Invullen groen'!H437</f>
        <v/>
      </c>
      <c r="F433" s="3">
        <f>+'Invullen groen'!I437</f>
        <v/>
      </c>
      <c r="G433" s="3">
        <f>+'Invullen groen'!J437</f>
        <v/>
      </c>
      <c r="H433" s="3">
        <f>+'Invullen groen'!K437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groen'!M438</f>
        <v/>
      </c>
      <c r="E434" s="3">
        <f>+'Invullen groen'!H438</f>
        <v/>
      </c>
      <c r="F434" s="3">
        <f>+'Invullen groen'!I438</f>
        <v/>
      </c>
      <c r="G434" s="3">
        <f>+'Invullen groen'!J438</f>
        <v/>
      </c>
      <c r="H434" s="3">
        <f>+'Invullen groen'!K438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groen'!M439</f>
        <v/>
      </c>
      <c r="E435" s="3">
        <f>+'Invullen groen'!H439</f>
        <v/>
      </c>
      <c r="F435" s="3">
        <f>+'Invullen groen'!I439</f>
        <v/>
      </c>
      <c r="G435" s="3">
        <f>+'Invullen groen'!J439</f>
        <v/>
      </c>
      <c r="H435" s="3">
        <f>+'Invullen groen'!K439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groen'!M440</f>
        <v/>
      </c>
      <c r="E436" s="3">
        <f>+'Invullen groen'!H440</f>
        <v/>
      </c>
      <c r="F436" s="3">
        <f>+'Invullen groen'!I440</f>
        <v/>
      </c>
      <c r="G436" s="3">
        <f>+'Invullen groen'!J440</f>
        <v/>
      </c>
      <c r="H436" s="3">
        <f>+'Invullen groen'!K440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groen'!M441</f>
        <v/>
      </c>
      <c r="E437" s="3">
        <f>+'Invullen groen'!H441</f>
        <v/>
      </c>
      <c r="F437" s="3">
        <f>+'Invullen groen'!I441</f>
        <v/>
      </c>
      <c r="G437" s="3">
        <f>+'Invullen groen'!J441</f>
        <v/>
      </c>
      <c r="H437" s="3">
        <f>+'Invullen groen'!K441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groen'!M442</f>
        <v/>
      </c>
      <c r="E438" s="3">
        <f>+'Invullen groen'!H442</f>
        <v/>
      </c>
      <c r="F438" s="3">
        <f>+'Invullen groen'!I442</f>
        <v/>
      </c>
      <c r="G438" s="3">
        <f>+'Invullen groen'!J442</f>
        <v/>
      </c>
      <c r="H438" s="3">
        <f>+'Invullen groen'!K442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groen'!M443</f>
        <v/>
      </c>
      <c r="E439" s="3">
        <f>+'Invullen groen'!H443</f>
        <v/>
      </c>
      <c r="F439" s="3">
        <f>+'Invullen groen'!I443</f>
        <v/>
      </c>
      <c r="G439" s="3">
        <f>+'Invullen groen'!J443</f>
        <v/>
      </c>
      <c r="H439" s="3">
        <f>+'Invullen groen'!K443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groen'!M444</f>
        <v/>
      </c>
      <c r="E440" s="3">
        <f>+'Invullen groen'!H444</f>
        <v/>
      </c>
      <c r="F440" s="3">
        <f>+'Invullen groen'!I444</f>
        <v/>
      </c>
      <c r="G440" s="3">
        <f>+'Invullen groen'!J444</f>
        <v/>
      </c>
      <c r="H440" s="3">
        <f>+'Invullen groen'!K444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groen'!M445</f>
        <v/>
      </c>
      <c r="E441" s="3">
        <f>+'Invullen groen'!H445</f>
        <v/>
      </c>
      <c r="F441" s="3">
        <f>+'Invullen groen'!I445</f>
        <v/>
      </c>
      <c r="G441" s="3">
        <f>+'Invullen groen'!J445</f>
        <v/>
      </c>
      <c r="H441" s="3">
        <f>+'Invullen groen'!K445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groen'!M446</f>
        <v/>
      </c>
      <c r="E442" s="3">
        <f>+'Invullen groen'!H446</f>
        <v/>
      </c>
      <c r="F442" s="3">
        <f>+'Invullen groen'!I446</f>
        <v/>
      </c>
      <c r="G442" s="3">
        <f>+'Invullen groen'!J446</f>
        <v/>
      </c>
      <c r="H442" s="3">
        <f>+'Invullen groen'!K446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groen'!M447</f>
        <v/>
      </c>
      <c r="E443" s="3">
        <f>+'Invullen groen'!H447</f>
        <v/>
      </c>
      <c r="F443" s="3">
        <f>+'Invullen groen'!I447</f>
        <v/>
      </c>
      <c r="G443" s="3">
        <f>+'Invullen groen'!J447</f>
        <v/>
      </c>
      <c r="H443" s="3">
        <f>+'Invullen groen'!K447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groen'!M448</f>
        <v/>
      </c>
      <c r="E444" s="3">
        <f>+'Invullen groen'!H448</f>
        <v/>
      </c>
      <c r="F444" s="3">
        <f>+'Invullen groen'!I448</f>
        <v/>
      </c>
      <c r="G444" s="3">
        <f>+'Invullen groen'!J448</f>
        <v/>
      </c>
      <c r="H444" s="3">
        <f>+'Invullen groen'!K448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groen'!M449</f>
        <v/>
      </c>
      <c r="E445" s="3">
        <f>+'Invullen groen'!H449</f>
        <v/>
      </c>
      <c r="F445" s="3">
        <f>+'Invullen groen'!I449</f>
        <v/>
      </c>
      <c r="G445" s="3">
        <f>+'Invullen groen'!J449</f>
        <v/>
      </c>
      <c r="H445" s="3">
        <f>+'Invullen groen'!K449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groen'!M450</f>
        <v/>
      </c>
      <c r="E446" s="3">
        <f>+'Invullen groen'!H450</f>
        <v/>
      </c>
      <c r="F446" s="3">
        <f>+'Invullen groen'!I450</f>
        <v/>
      </c>
      <c r="G446" s="3">
        <f>+'Invullen groen'!J450</f>
        <v/>
      </c>
      <c r="H446" s="3">
        <f>+'Invullen groen'!K450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groen'!M451</f>
        <v/>
      </c>
      <c r="E447" s="3">
        <f>+'Invullen groen'!H451</f>
        <v/>
      </c>
      <c r="F447" s="3">
        <f>+'Invullen groen'!I451</f>
        <v/>
      </c>
      <c r="G447" s="3">
        <f>+'Invullen groen'!J451</f>
        <v/>
      </c>
      <c r="H447" s="3">
        <f>+'Invullen groen'!K451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groen'!M452</f>
        <v/>
      </c>
      <c r="E448" s="3">
        <f>+'Invullen groen'!H452</f>
        <v/>
      </c>
      <c r="F448" s="3">
        <f>+'Invullen groen'!I452</f>
        <v/>
      </c>
      <c r="G448" s="3">
        <f>+'Invullen groen'!J452</f>
        <v/>
      </c>
      <c r="H448" s="3">
        <f>+'Invullen groen'!K452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groen'!M453</f>
        <v/>
      </c>
      <c r="E449" s="3">
        <f>+'Invullen groen'!H453</f>
        <v/>
      </c>
      <c r="F449" s="3">
        <f>+'Invullen groen'!I453</f>
        <v/>
      </c>
      <c r="G449" s="3">
        <f>+'Invullen groen'!J453</f>
        <v/>
      </c>
      <c r="H449" s="3">
        <f>+'Invullen groen'!K453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groen'!M454</f>
        <v/>
      </c>
      <c r="E450" s="3">
        <f>+'Invullen groen'!H454</f>
        <v/>
      </c>
      <c r="F450" s="3">
        <f>+'Invullen groen'!I454</f>
        <v/>
      </c>
      <c r="G450" s="3">
        <f>+'Invullen groen'!J454</f>
        <v/>
      </c>
      <c r="H450" s="3">
        <f>+'Invullen groen'!K454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groen'!M455</f>
        <v/>
      </c>
      <c r="E451" s="3">
        <f>+'Invullen groen'!H455</f>
        <v/>
      </c>
      <c r="F451" s="3">
        <f>+'Invullen groen'!I455</f>
        <v/>
      </c>
      <c r="G451" s="3">
        <f>+'Invullen groen'!J455</f>
        <v/>
      </c>
      <c r="H451" s="3">
        <f>+'Invullen groen'!K455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groen'!M456</f>
        <v/>
      </c>
      <c r="E452" s="3">
        <f>+'Invullen groen'!H456</f>
        <v/>
      </c>
      <c r="F452" s="3">
        <f>+'Invullen groen'!I456</f>
        <v/>
      </c>
      <c r="G452" s="3">
        <f>+'Invullen groen'!J456</f>
        <v/>
      </c>
      <c r="H452" s="3">
        <f>+'Invullen groen'!K456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groen'!M457</f>
        <v/>
      </c>
      <c r="E453" s="3">
        <f>+'Invullen groen'!H457</f>
        <v/>
      </c>
      <c r="F453" s="3">
        <f>+'Invullen groen'!I457</f>
        <v/>
      </c>
      <c r="G453" s="3">
        <f>+'Invullen groen'!J457</f>
        <v/>
      </c>
      <c r="H453" s="3">
        <f>+'Invullen groen'!K457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groen'!M458</f>
        <v/>
      </c>
      <c r="E454" s="3">
        <f>+'Invullen groen'!H458</f>
        <v/>
      </c>
      <c r="F454" s="3">
        <f>+'Invullen groen'!I458</f>
        <v/>
      </c>
      <c r="G454" s="3">
        <f>+'Invullen groen'!J458</f>
        <v/>
      </c>
      <c r="H454" s="3">
        <f>+'Invullen groen'!K458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groen'!M459</f>
        <v/>
      </c>
      <c r="E455" s="3">
        <f>+'Invullen groen'!H459</f>
        <v/>
      </c>
      <c r="F455" s="3">
        <f>+'Invullen groen'!I459</f>
        <v/>
      </c>
      <c r="G455" s="3">
        <f>+'Invullen groen'!J459</f>
        <v/>
      </c>
      <c r="H455" s="3">
        <f>+'Invullen groen'!K459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groen'!M460</f>
        <v/>
      </c>
      <c r="E456" s="3">
        <f>+'Invullen groen'!H460</f>
        <v/>
      </c>
      <c r="F456" s="3">
        <f>+'Invullen groen'!I460</f>
        <v/>
      </c>
      <c r="G456" s="3">
        <f>+'Invullen groen'!J460</f>
        <v/>
      </c>
      <c r="H456" s="3">
        <f>+'Invullen groen'!K460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groen'!M461</f>
        <v/>
      </c>
      <c r="E457" s="3">
        <f>+'Invullen groen'!H461</f>
        <v/>
      </c>
      <c r="F457" s="3">
        <f>+'Invullen groen'!I461</f>
        <v/>
      </c>
      <c r="G457" s="3">
        <f>+'Invullen groen'!J461</f>
        <v/>
      </c>
      <c r="H457" s="3">
        <f>+'Invullen groen'!K461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groen'!M462</f>
        <v/>
      </c>
      <c r="E458" s="3">
        <f>+'Invullen groen'!H462</f>
        <v/>
      </c>
      <c r="F458" s="3">
        <f>+'Invullen groen'!I462</f>
        <v/>
      </c>
      <c r="G458" s="3">
        <f>+'Invullen groen'!J462</f>
        <v/>
      </c>
      <c r="H458" s="3">
        <f>+'Invullen groen'!K462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groen'!M463</f>
        <v/>
      </c>
      <c r="E459" s="3">
        <f>+'Invullen groen'!H463</f>
        <v/>
      </c>
      <c r="F459" s="3">
        <f>+'Invullen groen'!I463</f>
        <v/>
      </c>
      <c r="G459" s="3">
        <f>+'Invullen groen'!J463</f>
        <v/>
      </c>
      <c r="H459" s="3">
        <f>+'Invullen groen'!K463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groen'!M464</f>
        <v/>
      </c>
      <c r="E460" s="3">
        <f>+'Invullen groen'!H464</f>
        <v/>
      </c>
      <c r="F460" s="3">
        <f>+'Invullen groen'!I464</f>
        <v/>
      </c>
      <c r="G460" s="3">
        <f>+'Invullen groen'!J464</f>
        <v/>
      </c>
      <c r="H460" s="3">
        <f>+'Invullen groen'!K464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groen'!M465</f>
        <v/>
      </c>
      <c r="E461" s="3">
        <f>+'Invullen groen'!H465</f>
        <v/>
      </c>
      <c r="F461" s="3">
        <f>+'Invullen groen'!I465</f>
        <v/>
      </c>
      <c r="G461" s="3">
        <f>+'Invullen groen'!J465</f>
        <v/>
      </c>
      <c r="H461" s="3">
        <f>+'Invullen groen'!K465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groen'!M466</f>
        <v/>
      </c>
      <c r="E462" s="3">
        <f>+'Invullen groen'!H466</f>
        <v/>
      </c>
      <c r="F462" s="3">
        <f>+'Invullen groen'!I466</f>
        <v/>
      </c>
      <c r="G462" s="3">
        <f>+'Invullen groen'!J466</f>
        <v/>
      </c>
      <c r="H462" s="3">
        <f>+'Invullen groen'!K466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groen'!M467</f>
        <v/>
      </c>
      <c r="E463" s="3">
        <f>+'Invullen groen'!H467</f>
        <v/>
      </c>
      <c r="F463" s="3">
        <f>+'Invullen groen'!I467</f>
        <v/>
      </c>
      <c r="G463" s="3">
        <f>+'Invullen groen'!J467</f>
        <v/>
      </c>
      <c r="H463" s="3">
        <f>+'Invullen groen'!K467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groen'!M468</f>
        <v/>
      </c>
      <c r="E464" s="3">
        <f>+'Invullen groen'!H468</f>
        <v/>
      </c>
      <c r="F464" s="3">
        <f>+'Invullen groen'!I468</f>
        <v/>
      </c>
      <c r="G464" s="3">
        <f>+'Invullen groen'!J468</f>
        <v/>
      </c>
      <c r="H464" s="3">
        <f>+'Invullen groen'!K468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groen'!M469</f>
        <v/>
      </c>
      <c r="E465" s="3">
        <f>+'Invullen groen'!H469</f>
        <v/>
      </c>
      <c r="F465" s="3">
        <f>+'Invullen groen'!I469</f>
        <v/>
      </c>
      <c r="G465" s="3">
        <f>+'Invullen groen'!J469</f>
        <v/>
      </c>
      <c r="H465" s="3">
        <f>+'Invullen groen'!K469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groen'!M470</f>
        <v/>
      </c>
      <c r="E466" s="3">
        <f>+'Invullen groen'!H470</f>
        <v/>
      </c>
      <c r="F466" s="3">
        <f>+'Invullen groen'!I470</f>
        <v/>
      </c>
      <c r="G466" s="3">
        <f>+'Invullen groen'!J470</f>
        <v/>
      </c>
      <c r="H466" s="3">
        <f>+'Invullen groen'!K470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groen'!M471</f>
        <v/>
      </c>
      <c r="E467" s="3">
        <f>+'Invullen groen'!H471</f>
        <v/>
      </c>
      <c r="F467" s="3">
        <f>+'Invullen groen'!I471</f>
        <v/>
      </c>
      <c r="G467" s="3">
        <f>+'Invullen groen'!J471</f>
        <v/>
      </c>
      <c r="H467" s="3">
        <f>+'Invullen groen'!K471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groen'!M472</f>
        <v/>
      </c>
      <c r="E468" s="3">
        <f>+'Invullen groen'!H472</f>
        <v/>
      </c>
      <c r="F468" s="3">
        <f>+'Invullen groen'!I472</f>
        <v/>
      </c>
      <c r="G468" s="3">
        <f>+'Invullen groen'!J472</f>
        <v/>
      </c>
      <c r="H468" s="3">
        <f>+'Invullen groen'!K472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groen'!M473</f>
        <v/>
      </c>
      <c r="E469" s="3">
        <f>+'Invullen groen'!H473</f>
        <v/>
      </c>
      <c r="F469" s="3">
        <f>+'Invullen groen'!I473</f>
        <v/>
      </c>
      <c r="G469" s="3">
        <f>+'Invullen groen'!J473</f>
        <v/>
      </c>
      <c r="H469" s="3">
        <f>+'Invullen groen'!K473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groen'!M474</f>
        <v/>
      </c>
      <c r="E470" s="3">
        <f>+'Invullen groen'!H474</f>
        <v/>
      </c>
      <c r="F470" s="3">
        <f>+'Invullen groen'!I474</f>
        <v/>
      </c>
      <c r="G470" s="3">
        <f>+'Invullen groen'!J474</f>
        <v/>
      </c>
      <c r="H470" s="3">
        <f>+'Invullen groen'!K474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groen'!M475</f>
        <v/>
      </c>
      <c r="E471" s="3">
        <f>+'Invullen groen'!H475</f>
        <v/>
      </c>
      <c r="F471" s="3">
        <f>+'Invullen groen'!I475</f>
        <v/>
      </c>
      <c r="G471" s="3">
        <f>+'Invullen groen'!J475</f>
        <v/>
      </c>
      <c r="H471" s="3">
        <f>+'Invullen groen'!K475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groen'!M476</f>
        <v/>
      </c>
      <c r="E472" s="3">
        <f>+'Invullen groen'!H476</f>
        <v/>
      </c>
      <c r="F472" s="3">
        <f>+'Invullen groen'!I476</f>
        <v/>
      </c>
      <c r="G472" s="3">
        <f>+'Invullen groen'!J476</f>
        <v/>
      </c>
      <c r="H472" s="3">
        <f>+'Invullen groen'!K476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groen'!M477</f>
        <v/>
      </c>
      <c r="E473" s="3">
        <f>+'Invullen groen'!H477</f>
        <v/>
      </c>
      <c r="F473" s="3">
        <f>+'Invullen groen'!I477</f>
        <v/>
      </c>
      <c r="G473" s="3">
        <f>+'Invullen groen'!J477</f>
        <v/>
      </c>
      <c r="H473" s="3">
        <f>+'Invullen groen'!K477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groen'!M478</f>
        <v/>
      </c>
      <c r="E474" s="3">
        <f>+'Invullen groen'!H478</f>
        <v/>
      </c>
      <c r="F474" s="3">
        <f>+'Invullen groen'!I478</f>
        <v/>
      </c>
      <c r="G474" s="3">
        <f>+'Invullen groen'!J478</f>
        <v/>
      </c>
      <c r="H474" s="3">
        <f>+'Invullen groen'!K478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groen'!M479</f>
        <v/>
      </c>
      <c r="E475" s="3">
        <f>+'Invullen groen'!H479</f>
        <v/>
      </c>
      <c r="F475" s="3">
        <f>+'Invullen groen'!I479</f>
        <v/>
      </c>
      <c r="G475" s="3">
        <f>+'Invullen groen'!J479</f>
        <v/>
      </c>
      <c r="H475" s="3">
        <f>+'Invullen groen'!K479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groen'!M480</f>
        <v/>
      </c>
      <c r="E476" s="3">
        <f>+'Invullen groen'!H480</f>
        <v/>
      </c>
      <c r="F476" s="3">
        <f>+'Invullen groen'!I480</f>
        <v/>
      </c>
      <c r="G476" s="3">
        <f>+'Invullen groen'!J480</f>
        <v/>
      </c>
      <c r="H476" s="3">
        <f>+'Invullen groen'!K480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groen'!M481</f>
        <v/>
      </c>
      <c r="E477" s="3">
        <f>+'Invullen groen'!H481</f>
        <v/>
      </c>
      <c r="F477" s="3">
        <f>+'Invullen groen'!I481</f>
        <v/>
      </c>
      <c r="G477" s="3">
        <f>+'Invullen groen'!J481</f>
        <v/>
      </c>
      <c r="H477" s="3">
        <f>+'Invullen groen'!K481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groen'!M482</f>
        <v/>
      </c>
      <c r="E478" s="3">
        <f>+'Invullen groen'!H482</f>
        <v/>
      </c>
      <c r="F478" s="3">
        <f>+'Invullen groen'!I482</f>
        <v/>
      </c>
      <c r="G478" s="3">
        <f>+'Invullen groen'!J482</f>
        <v/>
      </c>
      <c r="H478" s="3">
        <f>+'Invullen groen'!K482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groen'!M483</f>
        <v/>
      </c>
      <c r="E479" s="3">
        <f>+'Invullen groen'!H483</f>
        <v/>
      </c>
      <c r="F479" s="3">
        <f>+'Invullen groen'!I483</f>
        <v/>
      </c>
      <c r="G479" s="3">
        <f>+'Invullen groen'!J483</f>
        <v/>
      </c>
      <c r="H479" s="3">
        <f>+'Invullen groen'!K483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groen'!M484</f>
        <v/>
      </c>
      <c r="E480" s="3">
        <f>+'Invullen groen'!H484</f>
        <v/>
      </c>
      <c r="F480" s="3">
        <f>+'Invullen groen'!I484</f>
        <v/>
      </c>
      <c r="G480" s="3">
        <f>+'Invullen groen'!J484</f>
        <v/>
      </c>
      <c r="H480" s="3">
        <f>+'Invullen groen'!K484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groen'!M485</f>
        <v/>
      </c>
      <c r="E481" s="3">
        <f>+'Invullen groen'!H485</f>
        <v/>
      </c>
      <c r="F481" s="3">
        <f>+'Invullen groen'!I485</f>
        <v/>
      </c>
      <c r="G481" s="3">
        <f>+'Invullen groen'!J485</f>
        <v/>
      </c>
      <c r="H481" s="3">
        <f>+'Invullen groen'!K485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groen'!M486</f>
        <v/>
      </c>
      <c r="E482" s="3">
        <f>+'Invullen groen'!H486</f>
        <v/>
      </c>
      <c r="F482" s="3">
        <f>+'Invullen groen'!I486</f>
        <v/>
      </c>
      <c r="G482" s="3">
        <f>+'Invullen groen'!J486</f>
        <v/>
      </c>
      <c r="H482" s="3">
        <f>+'Invullen groen'!K486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groen'!M487</f>
        <v/>
      </c>
      <c r="E483" s="3">
        <f>+'Invullen groen'!H487</f>
        <v/>
      </c>
      <c r="F483" s="3">
        <f>+'Invullen groen'!I487</f>
        <v/>
      </c>
      <c r="G483" s="3">
        <f>+'Invullen groen'!J487</f>
        <v/>
      </c>
      <c r="H483" s="3">
        <f>+'Invullen groen'!K487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groen'!M488</f>
        <v/>
      </c>
      <c r="E484" s="3">
        <f>+'Invullen groen'!H488</f>
        <v/>
      </c>
      <c r="F484" s="3">
        <f>+'Invullen groen'!I488</f>
        <v/>
      </c>
      <c r="G484" s="3">
        <f>+'Invullen groen'!J488</f>
        <v/>
      </c>
      <c r="H484" s="3">
        <f>+'Invullen groen'!K488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groen'!M489</f>
        <v/>
      </c>
      <c r="E485" s="3">
        <f>+'Invullen groen'!H489</f>
        <v/>
      </c>
      <c r="F485" s="3">
        <f>+'Invullen groen'!I489</f>
        <v/>
      </c>
      <c r="G485" s="3">
        <f>+'Invullen groen'!J489</f>
        <v/>
      </c>
      <c r="H485" s="3">
        <f>+'Invullen groen'!K489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groen'!M490</f>
        <v/>
      </c>
      <c r="E486" s="3">
        <f>+'Invullen groen'!H490</f>
        <v/>
      </c>
      <c r="F486" s="3">
        <f>+'Invullen groen'!I490</f>
        <v/>
      </c>
      <c r="G486" s="3">
        <f>+'Invullen groen'!J490</f>
        <v/>
      </c>
      <c r="H486" s="3">
        <f>+'Invullen groen'!K490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groen'!M491</f>
        <v/>
      </c>
      <c r="E487" s="3">
        <f>+'Invullen groen'!H491</f>
        <v/>
      </c>
      <c r="F487" s="3">
        <f>+'Invullen groen'!I491</f>
        <v/>
      </c>
      <c r="G487" s="3">
        <f>+'Invullen groen'!J491</f>
        <v/>
      </c>
      <c r="H487" s="3">
        <f>+'Invullen groen'!K491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groen'!M492</f>
        <v/>
      </c>
      <c r="E488" s="3">
        <f>+'Invullen groen'!H492</f>
        <v/>
      </c>
      <c r="F488" s="3">
        <f>+'Invullen groen'!I492</f>
        <v/>
      </c>
      <c r="G488" s="3">
        <f>+'Invullen groen'!J492</f>
        <v/>
      </c>
      <c r="H488" s="3">
        <f>+'Invullen groen'!K492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groen'!M493</f>
        <v/>
      </c>
      <c r="E489" s="3">
        <f>+'Invullen groen'!H493</f>
        <v/>
      </c>
      <c r="F489" s="3">
        <f>+'Invullen groen'!I493</f>
        <v/>
      </c>
      <c r="G489" s="3">
        <f>+'Invullen groen'!J493</f>
        <v/>
      </c>
      <c r="H489" s="3">
        <f>+'Invullen groen'!K493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groen'!M494</f>
        <v/>
      </c>
      <c r="E490" s="3">
        <f>+'Invullen groen'!H494</f>
        <v/>
      </c>
      <c r="F490" s="3">
        <f>+'Invullen groen'!I494</f>
        <v/>
      </c>
      <c r="G490" s="3">
        <f>+'Invullen groen'!J494</f>
        <v/>
      </c>
      <c r="H490" s="3">
        <f>+'Invullen groen'!K494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groen'!M495</f>
        <v/>
      </c>
      <c r="E491" s="3">
        <f>+'Invullen groen'!H495</f>
        <v/>
      </c>
      <c r="F491" s="3">
        <f>+'Invullen groen'!I495</f>
        <v/>
      </c>
      <c r="G491" s="3">
        <f>+'Invullen groen'!J495</f>
        <v/>
      </c>
      <c r="H491" s="3">
        <f>+'Invullen groen'!K495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groen'!M496</f>
        <v/>
      </c>
      <c r="E492" s="3">
        <f>+'Invullen groen'!H496</f>
        <v/>
      </c>
      <c r="F492" s="3">
        <f>+'Invullen groen'!I496</f>
        <v/>
      </c>
      <c r="G492" s="3">
        <f>+'Invullen groen'!J496</f>
        <v/>
      </c>
      <c r="H492" s="3">
        <f>+'Invullen groen'!K496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groen'!M497</f>
        <v/>
      </c>
      <c r="E493" s="3">
        <f>+'Invullen groen'!H497</f>
        <v/>
      </c>
      <c r="F493" s="3">
        <f>+'Invullen groen'!I497</f>
        <v/>
      </c>
      <c r="G493" s="3">
        <f>+'Invullen groen'!J497</f>
        <v/>
      </c>
      <c r="H493" s="3">
        <f>+'Invullen groen'!K497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groen'!M498</f>
        <v/>
      </c>
      <c r="E494" s="3">
        <f>+'Invullen groen'!H498</f>
        <v/>
      </c>
      <c r="F494" s="3">
        <f>+'Invullen groen'!I498</f>
        <v/>
      </c>
      <c r="G494" s="3">
        <f>+'Invullen groen'!J498</f>
        <v/>
      </c>
      <c r="H494" s="3">
        <f>+'Invullen groen'!K498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groen'!M499</f>
        <v/>
      </c>
      <c r="E495" s="3">
        <f>+'Invullen groen'!H499</f>
        <v/>
      </c>
      <c r="F495" s="3">
        <f>+'Invullen groen'!I499</f>
        <v/>
      </c>
      <c r="G495" s="3">
        <f>+'Invullen groen'!J499</f>
        <v/>
      </c>
      <c r="H495" s="3">
        <f>+'Invullen groen'!K499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groen'!M500</f>
        <v/>
      </c>
      <c r="E496" s="3">
        <f>+'Invullen groen'!H500</f>
        <v/>
      </c>
      <c r="F496" s="3">
        <f>+'Invullen groen'!I500</f>
        <v/>
      </c>
      <c r="G496" s="3">
        <f>+'Invullen groen'!J500</f>
        <v/>
      </c>
      <c r="H496" s="3">
        <f>+'Invullen groen'!K500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groen'!M501</f>
        <v/>
      </c>
      <c r="E497" s="3">
        <f>+'Invullen groen'!H501</f>
        <v/>
      </c>
      <c r="F497" s="3">
        <f>+'Invullen groen'!I501</f>
        <v/>
      </c>
      <c r="G497" s="3">
        <f>+'Invullen groen'!J501</f>
        <v/>
      </c>
      <c r="H497" s="3">
        <f>+'Invullen groen'!K501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groen'!M502</f>
        <v/>
      </c>
      <c r="E498" s="3">
        <f>+'Invullen groen'!H502</f>
        <v/>
      </c>
      <c r="F498" s="3">
        <f>+'Invullen groen'!I502</f>
        <v/>
      </c>
      <c r="G498" s="3">
        <f>+'Invullen groen'!J502</f>
        <v/>
      </c>
      <c r="H498" s="3">
        <f>+'Invullen groen'!K502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groen'!M503</f>
        <v/>
      </c>
      <c r="E499" s="3">
        <f>+'Invullen groen'!H503</f>
        <v/>
      </c>
      <c r="F499" s="3">
        <f>+'Invullen groen'!I503</f>
        <v/>
      </c>
      <c r="G499" s="3">
        <f>+'Invullen groen'!J503</f>
        <v/>
      </c>
      <c r="H499" s="3">
        <f>+'Invullen groen'!K503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groen'!M504</f>
        <v/>
      </c>
      <c r="E500" s="3">
        <f>+'Invullen groen'!H504</f>
        <v/>
      </c>
      <c r="F500" s="3">
        <f>+'Invullen groen'!I504</f>
        <v/>
      </c>
      <c r="G500" s="3">
        <f>+'Invullen groen'!J504</f>
        <v/>
      </c>
      <c r="H500" s="3">
        <f>+'Invullen groen'!K504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groen'!M505</f>
        <v/>
      </c>
      <c r="E501" s="3">
        <f>+'Invullen groen'!H505</f>
        <v/>
      </c>
      <c r="F501" s="3">
        <f>+'Invullen groen'!I505</f>
        <v/>
      </c>
      <c r="G501" s="3">
        <f>+'Invullen groen'!J505</f>
        <v/>
      </c>
      <c r="H501" s="3">
        <f>+'Invullen groen'!K505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groen'!M506</f>
        <v/>
      </c>
      <c r="E502" s="3">
        <f>+'Invullen groen'!H506</f>
        <v/>
      </c>
      <c r="F502" s="3">
        <f>+'Invullen groen'!I506</f>
        <v/>
      </c>
      <c r="G502" s="3">
        <f>+'Invullen groen'!J506</f>
        <v/>
      </c>
      <c r="H502" s="3">
        <f>+'Invullen groen'!K506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groen'!M507</f>
        <v/>
      </c>
      <c r="E503" s="3">
        <f>+'Invullen groen'!H507</f>
        <v/>
      </c>
      <c r="F503" s="3">
        <f>+'Invullen groen'!I507</f>
        <v/>
      </c>
      <c r="G503" s="3">
        <f>+'Invullen groen'!J507</f>
        <v/>
      </c>
      <c r="H503" s="3">
        <f>+'Invullen groen'!K507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groen'!M508</f>
        <v/>
      </c>
      <c r="E504" s="3">
        <f>+'Invullen groen'!H508</f>
        <v/>
      </c>
      <c r="F504" s="3">
        <f>+'Invullen groen'!I508</f>
        <v/>
      </c>
      <c r="G504" s="3">
        <f>+'Invullen groen'!J508</f>
        <v/>
      </c>
      <c r="H504" s="3">
        <f>+'Invullen groen'!K508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groen'!M509</f>
        <v/>
      </c>
      <c r="E505" s="3">
        <f>+'Invullen groen'!H509</f>
        <v/>
      </c>
      <c r="F505" s="3">
        <f>+'Invullen groen'!I509</f>
        <v/>
      </c>
      <c r="G505" s="3">
        <f>+'Invullen groen'!J509</f>
        <v/>
      </c>
      <c r="H505" s="3">
        <f>+'Invullen groen'!K509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groen'!M510</f>
        <v/>
      </c>
      <c r="E506" s="3">
        <f>+'Invullen groen'!H510</f>
        <v/>
      </c>
      <c r="F506" s="3">
        <f>+'Invullen groen'!I510</f>
        <v/>
      </c>
      <c r="G506" s="3">
        <f>+'Invullen groen'!J510</f>
        <v/>
      </c>
      <c r="H506" s="3">
        <f>+'Invullen groen'!K510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groen'!M511</f>
        <v/>
      </c>
      <c r="E507" s="3">
        <f>+'Invullen groen'!H511</f>
        <v/>
      </c>
      <c r="F507" s="3">
        <f>+'Invullen groen'!I511</f>
        <v/>
      </c>
      <c r="G507" s="3">
        <f>+'Invullen groen'!J511</f>
        <v/>
      </c>
      <c r="H507" s="3">
        <f>+'Invullen groen'!K511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groen'!M512</f>
        <v/>
      </c>
      <c r="E508" s="3">
        <f>+'Invullen groen'!H512</f>
        <v/>
      </c>
      <c r="F508" s="3">
        <f>+'Invullen groen'!I512</f>
        <v/>
      </c>
      <c r="G508" s="3">
        <f>+'Invullen groen'!J512</f>
        <v/>
      </c>
      <c r="H508" s="3">
        <f>+'Invullen groen'!K512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groen'!M513</f>
        <v/>
      </c>
      <c r="E509" s="3">
        <f>+'Invullen groen'!H513</f>
        <v/>
      </c>
      <c r="F509" s="3">
        <f>+'Invullen groen'!I513</f>
        <v/>
      </c>
      <c r="G509" s="3">
        <f>+'Invullen groen'!J513</f>
        <v/>
      </c>
      <c r="H509" s="3">
        <f>+'Invullen groen'!K513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groen'!M514</f>
        <v/>
      </c>
      <c r="E510" s="3">
        <f>+'Invullen groen'!H514</f>
        <v/>
      </c>
      <c r="F510" s="3">
        <f>+'Invullen groen'!I514</f>
        <v/>
      </c>
      <c r="G510" s="3">
        <f>+'Invullen groen'!J514</f>
        <v/>
      </c>
      <c r="H510" s="3">
        <f>+'Invullen groen'!K514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groen'!M515</f>
        <v/>
      </c>
      <c r="E511" s="3">
        <f>+'Invullen groen'!H515</f>
        <v/>
      </c>
      <c r="F511" s="3">
        <f>+'Invullen groen'!I515</f>
        <v/>
      </c>
      <c r="G511" s="3">
        <f>+'Invullen groen'!J515</f>
        <v/>
      </c>
      <c r="H511" s="3">
        <f>+'Invullen groen'!K515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groen'!M516</f>
        <v/>
      </c>
      <c r="E512" s="3">
        <f>+'Invullen groen'!H516</f>
        <v/>
      </c>
      <c r="F512" s="3">
        <f>+'Invullen groen'!I516</f>
        <v/>
      </c>
      <c r="G512" s="3">
        <f>+'Invullen groen'!J516</f>
        <v/>
      </c>
      <c r="H512" s="3">
        <f>+'Invullen groen'!K516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groen'!M517</f>
        <v/>
      </c>
      <c r="E513" s="3">
        <f>+'Invullen groen'!H517</f>
        <v/>
      </c>
      <c r="F513" s="3">
        <f>+'Invullen groen'!I517</f>
        <v/>
      </c>
      <c r="G513" s="3">
        <f>+'Invullen groen'!J517</f>
        <v/>
      </c>
      <c r="H513" s="3">
        <f>+'Invullen groen'!K517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groen'!M518</f>
        <v/>
      </c>
      <c r="E514" s="3">
        <f>+'Invullen groen'!H518</f>
        <v/>
      </c>
      <c r="F514" s="3">
        <f>+'Invullen groen'!I518</f>
        <v/>
      </c>
      <c r="G514" s="3">
        <f>+'Invullen groen'!J518</f>
        <v/>
      </c>
      <c r="H514" s="3">
        <f>+'Invullen groen'!K518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groen'!M519</f>
        <v/>
      </c>
      <c r="E515" s="3">
        <f>+'Invullen groen'!H519</f>
        <v/>
      </c>
      <c r="F515" s="3">
        <f>+'Invullen groen'!I519</f>
        <v/>
      </c>
      <c r="G515" s="3">
        <f>+'Invullen groen'!J519</f>
        <v/>
      </c>
      <c r="H515" s="3">
        <f>+'Invullen groen'!K519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groen'!M520</f>
        <v/>
      </c>
      <c r="E516" s="3">
        <f>+'Invullen groen'!H520</f>
        <v/>
      </c>
      <c r="F516" s="3">
        <f>+'Invullen groen'!I520</f>
        <v/>
      </c>
      <c r="G516" s="3">
        <f>+'Invullen groen'!J520</f>
        <v/>
      </c>
      <c r="H516" s="3">
        <f>+'Invullen groen'!K520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groen'!M521</f>
        <v/>
      </c>
      <c r="E517" s="3">
        <f>+'Invullen groen'!H521</f>
        <v/>
      </c>
      <c r="F517" s="3">
        <f>+'Invullen groen'!I521</f>
        <v/>
      </c>
      <c r="G517" s="3">
        <f>+'Invullen groen'!J521</f>
        <v/>
      </c>
      <c r="H517" s="3">
        <f>+'Invullen groen'!K521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groen'!M522</f>
        <v/>
      </c>
      <c r="E518" s="3">
        <f>+'Invullen groen'!H522</f>
        <v/>
      </c>
      <c r="F518" s="3">
        <f>+'Invullen groen'!I522</f>
        <v/>
      </c>
      <c r="G518" s="3">
        <f>+'Invullen groen'!J522</f>
        <v/>
      </c>
      <c r="H518" s="3">
        <f>+'Invullen groen'!K522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groen'!M523</f>
        <v/>
      </c>
      <c r="E519" s="3">
        <f>+'Invullen groen'!H523</f>
        <v/>
      </c>
      <c r="F519" s="3">
        <f>+'Invullen groen'!I523</f>
        <v/>
      </c>
      <c r="G519" s="3">
        <f>+'Invullen groen'!J523</f>
        <v/>
      </c>
      <c r="H519" s="3">
        <f>+'Invullen groen'!K523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groen'!M524</f>
        <v/>
      </c>
      <c r="E520" s="3">
        <f>+'Invullen groen'!H524</f>
        <v/>
      </c>
      <c r="F520" s="3">
        <f>+'Invullen groen'!I524</f>
        <v/>
      </c>
      <c r="G520" s="3">
        <f>+'Invullen groen'!J524</f>
        <v/>
      </c>
      <c r="H520" s="3">
        <f>+'Invullen groen'!K524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groen'!M525</f>
        <v/>
      </c>
      <c r="E521" s="3">
        <f>+'Invullen groen'!H525</f>
        <v/>
      </c>
      <c r="F521" s="3">
        <f>+'Invullen groen'!I525</f>
        <v/>
      </c>
      <c r="G521" s="3">
        <f>+'Invullen groen'!J525</f>
        <v/>
      </c>
      <c r="H521" s="3">
        <f>+'Invullen groen'!K525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groen'!M526</f>
        <v/>
      </c>
      <c r="E522" s="3">
        <f>+'Invullen groen'!H526</f>
        <v/>
      </c>
      <c r="F522" s="3">
        <f>+'Invullen groen'!I526</f>
        <v/>
      </c>
      <c r="G522" s="3">
        <f>+'Invullen groen'!J526</f>
        <v/>
      </c>
      <c r="H522" s="3">
        <f>+'Invullen groen'!K526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groen'!M527</f>
        <v/>
      </c>
      <c r="E523" s="3">
        <f>+'Invullen groen'!H527</f>
        <v/>
      </c>
      <c r="F523" s="3">
        <f>+'Invullen groen'!I527</f>
        <v/>
      </c>
      <c r="G523" s="3">
        <f>+'Invullen groen'!J527</f>
        <v/>
      </c>
      <c r="H523" s="3">
        <f>+'Invullen groen'!K527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groen'!M528</f>
        <v/>
      </c>
      <c r="E524" s="3">
        <f>+'Invullen groen'!H528</f>
        <v/>
      </c>
      <c r="F524" s="3">
        <f>+'Invullen groen'!I528</f>
        <v/>
      </c>
      <c r="G524" s="3">
        <f>+'Invullen groen'!J528</f>
        <v/>
      </c>
      <c r="H524" s="3">
        <f>+'Invullen groen'!K528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groen'!M529</f>
        <v/>
      </c>
      <c r="E525" s="3">
        <f>+'Invullen groen'!H529</f>
        <v/>
      </c>
      <c r="F525" s="3">
        <f>+'Invullen groen'!I529</f>
        <v/>
      </c>
      <c r="G525" s="3">
        <f>+'Invullen groen'!J529</f>
        <v/>
      </c>
      <c r="H525" s="3">
        <f>+'Invullen groen'!K529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groen'!M530</f>
        <v/>
      </c>
      <c r="E526" s="3">
        <f>+'Invullen groen'!H530</f>
        <v/>
      </c>
      <c r="F526" s="3">
        <f>+'Invullen groen'!I530</f>
        <v/>
      </c>
      <c r="G526" s="3">
        <f>+'Invullen groen'!J530</f>
        <v/>
      </c>
      <c r="H526" s="3">
        <f>+'Invullen groen'!K530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groen'!M531</f>
        <v/>
      </c>
      <c r="E527" s="3">
        <f>+'Invullen groen'!H531</f>
        <v/>
      </c>
      <c r="F527" s="3">
        <f>+'Invullen groen'!I531</f>
        <v/>
      </c>
      <c r="G527" s="3">
        <f>+'Invullen groen'!J531</f>
        <v/>
      </c>
      <c r="H527" s="3">
        <f>+'Invullen groen'!K531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groen'!M532</f>
        <v/>
      </c>
      <c r="E528" s="3">
        <f>+'Invullen groen'!H532</f>
        <v/>
      </c>
      <c r="F528" s="3">
        <f>+'Invullen groen'!I532</f>
        <v/>
      </c>
      <c r="G528" s="3">
        <f>+'Invullen groen'!J532</f>
        <v/>
      </c>
      <c r="H528" s="3">
        <f>+'Invullen groen'!K532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groen'!M533</f>
        <v/>
      </c>
      <c r="E529" s="3">
        <f>+'Invullen groen'!H533</f>
        <v/>
      </c>
      <c r="F529" s="3">
        <f>+'Invullen groen'!I533</f>
        <v/>
      </c>
      <c r="G529" s="3">
        <f>+'Invullen groen'!J533</f>
        <v/>
      </c>
      <c r="H529" s="3">
        <f>+'Invullen groen'!K533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groen'!M534</f>
        <v/>
      </c>
      <c r="E530" s="3">
        <f>+'Invullen groen'!H534</f>
        <v/>
      </c>
      <c r="F530" s="3">
        <f>+'Invullen groen'!I534</f>
        <v/>
      </c>
      <c r="G530" s="3">
        <f>+'Invullen groen'!J534</f>
        <v/>
      </c>
      <c r="H530" s="3">
        <f>+'Invullen groen'!K534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groen'!M535</f>
        <v/>
      </c>
      <c r="E531" s="3">
        <f>+'Invullen groen'!H535</f>
        <v/>
      </c>
      <c r="F531" s="3">
        <f>+'Invullen groen'!I535</f>
        <v/>
      </c>
      <c r="G531" s="3">
        <f>+'Invullen groen'!J535</f>
        <v/>
      </c>
      <c r="H531" s="3">
        <f>+'Invullen groen'!K535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groen'!M536</f>
        <v/>
      </c>
      <c r="E532" s="3">
        <f>+'Invullen groen'!H536</f>
        <v/>
      </c>
      <c r="F532" s="3">
        <f>+'Invullen groen'!I536</f>
        <v/>
      </c>
      <c r="G532" s="3">
        <f>+'Invullen groen'!J536</f>
        <v/>
      </c>
      <c r="H532" s="3">
        <f>+'Invullen groen'!K536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groen'!M537</f>
        <v/>
      </c>
      <c r="E533" s="3">
        <f>+'Invullen groen'!H537</f>
        <v/>
      </c>
      <c r="F533" s="3">
        <f>+'Invullen groen'!I537</f>
        <v/>
      </c>
      <c r="G533" s="3">
        <f>+'Invullen groen'!J537</f>
        <v/>
      </c>
      <c r="H533" s="3">
        <f>+'Invullen groen'!K537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groen'!M538</f>
        <v/>
      </c>
      <c r="E534" s="3">
        <f>+'Invullen groen'!H538</f>
        <v/>
      </c>
      <c r="F534" s="3">
        <f>+'Invullen groen'!I538</f>
        <v/>
      </c>
      <c r="G534" s="3">
        <f>+'Invullen groen'!J538</f>
        <v/>
      </c>
      <c r="H534" s="3">
        <f>+'Invullen groen'!K538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groen'!M539</f>
        <v/>
      </c>
      <c r="E535" s="3">
        <f>+'Invullen groen'!H539</f>
        <v/>
      </c>
      <c r="F535" s="3">
        <f>+'Invullen groen'!I539</f>
        <v/>
      </c>
      <c r="G535" s="3">
        <f>+'Invullen groen'!J539</f>
        <v/>
      </c>
      <c r="H535" s="3">
        <f>+'Invullen groen'!K539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groen'!M540</f>
        <v/>
      </c>
      <c r="E536" s="3">
        <f>+'Invullen groen'!H540</f>
        <v/>
      </c>
      <c r="F536" s="3">
        <f>+'Invullen groen'!I540</f>
        <v/>
      </c>
      <c r="G536" s="3">
        <f>+'Invullen groen'!J540</f>
        <v/>
      </c>
      <c r="H536" s="3">
        <f>+'Invullen groen'!K540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groen'!M541</f>
        <v/>
      </c>
      <c r="E537" s="3">
        <f>+'Invullen groen'!H541</f>
        <v/>
      </c>
      <c r="F537" s="3">
        <f>+'Invullen groen'!I541</f>
        <v/>
      </c>
      <c r="G537" s="3">
        <f>+'Invullen groen'!J541</f>
        <v/>
      </c>
      <c r="H537" s="3">
        <f>+'Invullen groen'!K541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groen'!M542</f>
        <v/>
      </c>
      <c r="E538" s="3">
        <f>+'Invullen groen'!H542</f>
        <v/>
      </c>
      <c r="F538" s="3">
        <f>+'Invullen groen'!I542</f>
        <v/>
      </c>
      <c r="G538" s="3">
        <f>+'Invullen groen'!J542</f>
        <v/>
      </c>
      <c r="H538" s="3">
        <f>+'Invullen groen'!K542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groen'!M543</f>
        <v/>
      </c>
      <c r="E539" s="3">
        <f>+'Invullen groen'!H543</f>
        <v/>
      </c>
      <c r="F539" s="3">
        <f>+'Invullen groen'!I543</f>
        <v/>
      </c>
      <c r="G539" s="3">
        <f>+'Invullen groen'!J543</f>
        <v/>
      </c>
      <c r="H539" s="3">
        <f>+'Invullen groen'!K543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groen'!M544</f>
        <v/>
      </c>
      <c r="E540" s="3">
        <f>+'Invullen groen'!H544</f>
        <v/>
      </c>
      <c r="F540" s="3">
        <f>+'Invullen groen'!I544</f>
        <v/>
      </c>
      <c r="G540" s="3">
        <f>+'Invullen groen'!J544</f>
        <v/>
      </c>
      <c r="H540" s="3">
        <f>+'Invullen groen'!K544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groen'!M545</f>
        <v/>
      </c>
      <c r="E541" s="3">
        <f>+'Invullen groen'!H545</f>
        <v/>
      </c>
      <c r="F541" s="3">
        <f>+'Invullen groen'!I545</f>
        <v/>
      </c>
      <c r="G541" s="3">
        <f>+'Invullen groen'!J545</f>
        <v/>
      </c>
      <c r="H541" s="3">
        <f>+'Invullen groen'!K545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groen'!M546</f>
        <v/>
      </c>
      <c r="E542" s="3">
        <f>+'Invullen groen'!H546</f>
        <v/>
      </c>
      <c r="F542" s="3">
        <f>+'Invullen groen'!I546</f>
        <v/>
      </c>
      <c r="G542" s="3">
        <f>+'Invullen groen'!J546</f>
        <v/>
      </c>
      <c r="H542" s="3">
        <f>+'Invullen groen'!K546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groen'!M547</f>
        <v/>
      </c>
      <c r="E543" s="3">
        <f>+'Invullen groen'!H547</f>
        <v/>
      </c>
      <c r="F543" s="3">
        <f>+'Invullen groen'!I547</f>
        <v/>
      </c>
      <c r="G543" s="3">
        <f>+'Invullen groen'!J547</f>
        <v/>
      </c>
      <c r="H543" s="3">
        <f>+'Invullen groen'!K547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groen'!M548</f>
        <v/>
      </c>
      <c r="E544" s="3">
        <f>+'Invullen groen'!H548</f>
        <v/>
      </c>
      <c r="F544" s="3">
        <f>+'Invullen groen'!I548</f>
        <v/>
      </c>
      <c r="G544" s="3">
        <f>+'Invullen groen'!J548</f>
        <v/>
      </c>
      <c r="H544" s="3">
        <f>+'Invullen groen'!K548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groen'!M549</f>
        <v/>
      </c>
      <c r="E545" s="3">
        <f>+'Invullen groen'!H549</f>
        <v/>
      </c>
      <c r="F545" s="3">
        <f>+'Invullen groen'!I549</f>
        <v/>
      </c>
      <c r="G545" s="3">
        <f>+'Invullen groen'!J549</f>
        <v/>
      </c>
      <c r="H545" s="3">
        <f>+'Invullen groen'!K549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groen'!M550</f>
        <v/>
      </c>
      <c r="E546" s="3">
        <f>+'Invullen groen'!H550</f>
        <v/>
      </c>
      <c r="F546" s="3">
        <f>+'Invullen groen'!I550</f>
        <v/>
      </c>
      <c r="G546" s="3">
        <f>+'Invullen groen'!J550</f>
        <v/>
      </c>
      <c r="H546" s="3">
        <f>+'Invullen groen'!K550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groen'!M551</f>
        <v/>
      </c>
      <c r="E547" s="3">
        <f>+'Invullen groen'!H551</f>
        <v/>
      </c>
      <c r="F547" s="3">
        <f>+'Invullen groen'!I551</f>
        <v/>
      </c>
      <c r="G547" s="3">
        <f>+'Invullen groen'!J551</f>
        <v/>
      </c>
      <c r="H547" s="3">
        <f>+'Invullen groen'!K551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groen'!M552</f>
        <v/>
      </c>
      <c r="E548" s="3">
        <f>+'Invullen groen'!H552</f>
        <v/>
      </c>
      <c r="F548" s="3">
        <f>+'Invullen groen'!I552</f>
        <v/>
      </c>
      <c r="G548" s="3">
        <f>+'Invullen groen'!J552</f>
        <v/>
      </c>
      <c r="H548" s="3">
        <f>+'Invullen groen'!K552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groen'!M553</f>
        <v/>
      </c>
      <c r="E549" s="3">
        <f>+'Invullen groen'!H553</f>
        <v/>
      </c>
      <c r="F549" s="3">
        <f>+'Invullen groen'!I553</f>
        <v/>
      </c>
      <c r="G549" s="3">
        <f>+'Invullen groen'!J553</f>
        <v/>
      </c>
      <c r="H549" s="3">
        <f>+'Invullen groen'!K553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groen'!M554</f>
        <v/>
      </c>
      <c r="E550" s="3">
        <f>+'Invullen groen'!H554</f>
        <v/>
      </c>
      <c r="F550" s="3">
        <f>+'Invullen groen'!I554</f>
        <v/>
      </c>
      <c r="G550" s="3">
        <f>+'Invullen groen'!J554</f>
        <v/>
      </c>
      <c r="H550" s="3">
        <f>+'Invullen groen'!K554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groen'!M555</f>
        <v/>
      </c>
      <c r="E551" s="3">
        <f>+'Invullen groen'!H555</f>
        <v/>
      </c>
      <c r="F551" s="3">
        <f>+'Invullen groen'!I555</f>
        <v/>
      </c>
      <c r="G551" s="3">
        <f>+'Invullen groen'!J555</f>
        <v/>
      </c>
      <c r="H551" s="3">
        <f>+'Invullen groen'!K555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groen'!M556</f>
        <v/>
      </c>
      <c r="E552" s="3">
        <f>+'Invullen groen'!H556</f>
        <v/>
      </c>
      <c r="F552" s="3">
        <f>+'Invullen groen'!I556</f>
        <v/>
      </c>
      <c r="G552" s="3">
        <f>+'Invullen groen'!J556</f>
        <v/>
      </c>
      <c r="H552" s="3">
        <f>+'Invullen groen'!K556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groen'!M557</f>
        <v/>
      </c>
      <c r="E553" s="3">
        <f>+'Invullen groen'!H557</f>
        <v/>
      </c>
      <c r="F553" s="3">
        <f>+'Invullen groen'!I557</f>
        <v/>
      </c>
      <c r="G553" s="3">
        <f>+'Invullen groen'!J557</f>
        <v/>
      </c>
      <c r="H553" s="3">
        <f>+'Invullen groen'!K557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groen'!M558</f>
        <v/>
      </c>
      <c r="E554" s="3">
        <f>+'Invullen groen'!H558</f>
        <v/>
      </c>
      <c r="F554" s="3">
        <f>+'Invullen groen'!I558</f>
        <v/>
      </c>
      <c r="G554" s="3">
        <f>+'Invullen groen'!J558</f>
        <v/>
      </c>
      <c r="H554" s="3">
        <f>+'Invullen groen'!K558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groen'!M559</f>
        <v/>
      </c>
      <c r="E555" s="3">
        <f>+'Invullen groen'!H559</f>
        <v/>
      </c>
      <c r="F555" s="3">
        <f>+'Invullen groen'!I559</f>
        <v/>
      </c>
      <c r="G555" s="3">
        <f>+'Invullen groen'!J559</f>
        <v/>
      </c>
      <c r="H555" s="3">
        <f>+'Invullen groen'!K559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groen'!M560</f>
        <v/>
      </c>
      <c r="E556" s="3">
        <f>+'Invullen groen'!H560</f>
        <v/>
      </c>
      <c r="F556" s="3">
        <f>+'Invullen groen'!I560</f>
        <v/>
      </c>
      <c r="G556" s="3">
        <f>+'Invullen groen'!J560</f>
        <v/>
      </c>
      <c r="H556" s="3">
        <f>+'Invullen groen'!K560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groen'!M561</f>
        <v/>
      </c>
      <c r="E557" s="3">
        <f>+'Invullen groen'!H561</f>
        <v/>
      </c>
      <c r="F557" s="3">
        <f>+'Invullen groen'!I561</f>
        <v/>
      </c>
      <c r="G557" s="3">
        <f>+'Invullen groen'!J561</f>
        <v/>
      </c>
      <c r="H557" s="3">
        <f>+'Invullen groen'!K561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groen'!M562</f>
        <v/>
      </c>
      <c r="E558" s="3">
        <f>+'Invullen groen'!H562</f>
        <v/>
      </c>
      <c r="F558" s="3">
        <f>+'Invullen groen'!I562</f>
        <v/>
      </c>
      <c r="G558" s="3">
        <f>+'Invullen groen'!J562</f>
        <v/>
      </c>
      <c r="H558" s="3">
        <f>+'Invullen groen'!K562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groen'!M563</f>
        <v/>
      </c>
      <c r="E559" s="3">
        <f>+'Invullen groen'!H563</f>
        <v/>
      </c>
      <c r="F559" s="3">
        <f>+'Invullen groen'!I563</f>
        <v/>
      </c>
      <c r="G559" s="3">
        <f>+'Invullen groen'!J563</f>
        <v/>
      </c>
      <c r="H559" s="3">
        <f>+'Invullen groen'!K563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groen'!M564</f>
        <v/>
      </c>
      <c r="E560" s="3">
        <f>+'Invullen groen'!H564</f>
        <v/>
      </c>
      <c r="F560" s="3">
        <f>+'Invullen groen'!I564</f>
        <v/>
      </c>
      <c r="G560" s="3">
        <f>+'Invullen groen'!J564</f>
        <v/>
      </c>
      <c r="H560" s="3">
        <f>+'Invullen groen'!K564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groen'!M565</f>
        <v/>
      </c>
      <c r="E561" s="3">
        <f>+'Invullen groen'!H565</f>
        <v/>
      </c>
      <c r="F561" s="3">
        <f>+'Invullen groen'!I565</f>
        <v/>
      </c>
      <c r="G561" s="3">
        <f>+'Invullen groen'!J565</f>
        <v/>
      </c>
      <c r="H561" s="3">
        <f>+'Invullen groen'!K565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groen'!M566</f>
        <v/>
      </c>
      <c r="E562" s="3">
        <f>+'Invullen groen'!H566</f>
        <v/>
      </c>
      <c r="F562" s="3">
        <f>+'Invullen groen'!I566</f>
        <v/>
      </c>
      <c r="G562" s="3">
        <f>+'Invullen groen'!J566</f>
        <v/>
      </c>
      <c r="H562" s="3">
        <f>+'Invullen groen'!K566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groen'!M567</f>
        <v/>
      </c>
      <c r="E563" s="3">
        <f>+'Invullen groen'!H567</f>
        <v/>
      </c>
      <c r="F563" s="3">
        <f>+'Invullen groen'!I567</f>
        <v/>
      </c>
      <c r="G563" s="3">
        <f>+'Invullen groen'!J567</f>
        <v/>
      </c>
      <c r="H563" s="3">
        <f>+'Invullen groen'!K567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groen'!M568</f>
        <v/>
      </c>
      <c r="E564" s="3">
        <f>+'Invullen groen'!H568</f>
        <v/>
      </c>
      <c r="F564" s="3">
        <f>+'Invullen groen'!I568</f>
        <v/>
      </c>
      <c r="G564" s="3">
        <f>+'Invullen groen'!J568</f>
        <v/>
      </c>
      <c r="H564" s="3">
        <f>+'Invullen groen'!K568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groen'!M569</f>
        <v/>
      </c>
      <c r="E565" s="3">
        <f>+'Invullen groen'!H569</f>
        <v/>
      </c>
      <c r="F565" s="3">
        <f>+'Invullen groen'!I569</f>
        <v/>
      </c>
      <c r="G565" s="3">
        <f>+'Invullen groen'!J569</f>
        <v/>
      </c>
      <c r="H565" s="3">
        <f>+'Invullen groen'!K569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groen'!M570</f>
        <v/>
      </c>
      <c r="E566" s="3">
        <f>+'Invullen groen'!H570</f>
        <v/>
      </c>
      <c r="F566" s="3">
        <f>+'Invullen groen'!I570</f>
        <v/>
      </c>
      <c r="G566" s="3">
        <f>+'Invullen groen'!J570</f>
        <v/>
      </c>
      <c r="H566" s="3">
        <f>+'Invullen groen'!K570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groen'!M571</f>
        <v/>
      </c>
      <c r="E567" s="3">
        <f>+'Invullen groen'!H571</f>
        <v/>
      </c>
      <c r="F567" s="3">
        <f>+'Invullen groen'!I571</f>
        <v/>
      </c>
      <c r="G567" s="3">
        <f>+'Invullen groen'!J571</f>
        <v/>
      </c>
      <c r="H567" s="3">
        <f>+'Invullen groen'!K571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groen'!M572</f>
        <v/>
      </c>
      <c r="E568" s="3">
        <f>+'Invullen groen'!H572</f>
        <v/>
      </c>
      <c r="F568" s="3">
        <f>+'Invullen groen'!I572</f>
        <v/>
      </c>
      <c r="G568" s="3">
        <f>+'Invullen groen'!J572</f>
        <v/>
      </c>
      <c r="H568" s="3">
        <f>+'Invullen groen'!K572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groen'!M573</f>
        <v/>
      </c>
      <c r="E569" s="3">
        <f>+'Invullen groen'!H573</f>
        <v/>
      </c>
      <c r="F569" s="3">
        <f>+'Invullen groen'!I573</f>
        <v/>
      </c>
      <c r="G569" s="3">
        <f>+'Invullen groen'!J573</f>
        <v/>
      </c>
      <c r="H569" s="3">
        <f>+'Invullen groen'!K573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groen'!M574</f>
        <v/>
      </c>
      <c r="E570" s="3">
        <f>+'Invullen groen'!H574</f>
        <v/>
      </c>
      <c r="F570" s="3">
        <f>+'Invullen groen'!I574</f>
        <v/>
      </c>
      <c r="G570" s="3">
        <f>+'Invullen groen'!J574</f>
        <v/>
      </c>
      <c r="H570" s="3">
        <f>+'Invullen groen'!K574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groen'!M575</f>
        <v/>
      </c>
      <c r="E571" s="3">
        <f>+'Invullen groen'!H575</f>
        <v/>
      </c>
      <c r="F571" s="3">
        <f>+'Invullen groen'!I575</f>
        <v/>
      </c>
      <c r="G571" s="3">
        <f>+'Invullen groen'!J575</f>
        <v/>
      </c>
      <c r="H571" s="3">
        <f>+'Invullen groen'!K575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groen'!M576</f>
        <v/>
      </c>
      <c r="E572" s="3">
        <f>+'Invullen groen'!H576</f>
        <v/>
      </c>
      <c r="F572" s="3">
        <f>+'Invullen groen'!I576</f>
        <v/>
      </c>
      <c r="G572" s="3">
        <f>+'Invullen groen'!J576</f>
        <v/>
      </c>
      <c r="H572" s="3">
        <f>+'Invullen groen'!K576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groen'!M577</f>
        <v/>
      </c>
      <c r="E573" s="3">
        <f>+'Invullen groen'!H577</f>
        <v/>
      </c>
      <c r="F573" s="3">
        <f>+'Invullen groen'!I577</f>
        <v/>
      </c>
      <c r="G573" s="3">
        <f>+'Invullen groen'!J577</f>
        <v/>
      </c>
      <c r="H573" s="3">
        <f>+'Invullen groen'!K577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groen'!M578</f>
        <v/>
      </c>
      <c r="E574" s="3">
        <f>+'Invullen groen'!H578</f>
        <v/>
      </c>
      <c r="F574" s="3">
        <f>+'Invullen groen'!I578</f>
        <v/>
      </c>
      <c r="G574" s="3">
        <f>+'Invullen groen'!J578</f>
        <v/>
      </c>
      <c r="H574" s="3">
        <f>+'Invullen groen'!K578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groen'!M579</f>
        <v/>
      </c>
      <c r="E575" s="3">
        <f>+'Invullen groen'!H579</f>
        <v/>
      </c>
      <c r="F575" s="3">
        <f>+'Invullen groen'!I579</f>
        <v/>
      </c>
      <c r="G575" s="3">
        <f>+'Invullen groen'!J579</f>
        <v/>
      </c>
      <c r="H575" s="3">
        <f>+'Invullen groen'!K579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groen'!M580</f>
        <v/>
      </c>
      <c r="E576" s="3">
        <f>+'Invullen groen'!H580</f>
        <v/>
      </c>
      <c r="F576" s="3">
        <f>+'Invullen groen'!I580</f>
        <v/>
      </c>
      <c r="G576" s="3">
        <f>+'Invullen groen'!J580</f>
        <v/>
      </c>
      <c r="H576" s="3">
        <f>+'Invullen groen'!K580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groen'!M581</f>
        <v/>
      </c>
      <c r="E577" s="3">
        <f>+'Invullen groen'!H581</f>
        <v/>
      </c>
      <c r="F577" s="3">
        <f>+'Invullen groen'!I581</f>
        <v/>
      </c>
      <c r="G577" s="3">
        <f>+'Invullen groen'!J581</f>
        <v/>
      </c>
      <c r="H577" s="3">
        <f>+'Invullen groen'!K581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groen'!M582</f>
        <v/>
      </c>
      <c r="E578" s="3">
        <f>+'Invullen groen'!H582</f>
        <v/>
      </c>
      <c r="F578" s="3">
        <f>+'Invullen groen'!I582</f>
        <v/>
      </c>
      <c r="G578" s="3">
        <f>+'Invullen groen'!J582</f>
        <v/>
      </c>
      <c r="H578" s="3">
        <f>+'Invullen groen'!K582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groen'!M583</f>
        <v/>
      </c>
      <c r="E579" s="3">
        <f>+'Invullen groen'!H583</f>
        <v/>
      </c>
      <c r="F579" s="3">
        <f>+'Invullen groen'!I583</f>
        <v/>
      </c>
      <c r="G579" s="3">
        <f>+'Invullen groen'!J583</f>
        <v/>
      </c>
      <c r="H579" s="3">
        <f>+'Invullen groen'!K583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groen'!M584</f>
        <v/>
      </c>
      <c r="E580" s="3">
        <f>+'Invullen groen'!H584</f>
        <v/>
      </c>
      <c r="F580" s="3">
        <f>+'Invullen groen'!I584</f>
        <v/>
      </c>
      <c r="G580" s="3">
        <f>+'Invullen groen'!J584</f>
        <v/>
      </c>
      <c r="H580" s="3">
        <f>+'Invullen groen'!K584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groen'!M585</f>
        <v/>
      </c>
      <c r="E581" s="3">
        <f>+'Invullen groen'!H585</f>
        <v/>
      </c>
      <c r="F581" s="3">
        <f>+'Invullen groen'!I585</f>
        <v/>
      </c>
      <c r="G581" s="3">
        <f>+'Invullen groen'!J585</f>
        <v/>
      </c>
      <c r="H581" s="3">
        <f>+'Invullen groen'!K585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groen'!M586</f>
        <v/>
      </c>
      <c r="E582" s="3">
        <f>+'Invullen groen'!H586</f>
        <v/>
      </c>
      <c r="F582" s="3">
        <f>+'Invullen groen'!I586</f>
        <v/>
      </c>
      <c r="G582" s="3">
        <f>+'Invullen groen'!J586</f>
        <v/>
      </c>
      <c r="H582" s="3">
        <f>+'Invullen groen'!K586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groen'!M587</f>
        <v/>
      </c>
      <c r="E583" s="3">
        <f>+'Invullen groen'!H587</f>
        <v/>
      </c>
      <c r="F583" s="3">
        <f>+'Invullen groen'!I587</f>
        <v/>
      </c>
      <c r="G583" s="3">
        <f>+'Invullen groen'!J587</f>
        <v/>
      </c>
      <c r="H583" s="3">
        <f>+'Invullen groen'!K587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groen'!M588</f>
        <v/>
      </c>
      <c r="E584" s="3">
        <f>+'Invullen groen'!H588</f>
        <v/>
      </c>
      <c r="F584" s="3">
        <f>+'Invullen groen'!I588</f>
        <v/>
      </c>
      <c r="G584" s="3">
        <f>+'Invullen groen'!J588</f>
        <v/>
      </c>
      <c r="H584" s="3">
        <f>+'Invullen groen'!K588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groen'!M589</f>
        <v/>
      </c>
      <c r="E585" s="3">
        <f>+'Invullen groen'!H589</f>
        <v/>
      </c>
      <c r="F585" s="3">
        <f>+'Invullen groen'!I589</f>
        <v/>
      </c>
      <c r="G585" s="3">
        <f>+'Invullen groen'!J589</f>
        <v/>
      </c>
      <c r="H585" s="3">
        <f>+'Invullen groen'!K589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groen'!M590</f>
        <v/>
      </c>
      <c r="E586" s="3">
        <f>+'Invullen groen'!H590</f>
        <v/>
      </c>
      <c r="F586" s="3">
        <f>+'Invullen groen'!I590</f>
        <v/>
      </c>
      <c r="G586" s="3">
        <f>+'Invullen groen'!J590</f>
        <v/>
      </c>
      <c r="H586" s="3">
        <f>+'Invullen groen'!K590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groen'!M591</f>
        <v/>
      </c>
      <c r="E587" s="3">
        <f>+'Invullen groen'!H591</f>
        <v/>
      </c>
      <c r="F587" s="3">
        <f>+'Invullen groen'!I591</f>
        <v/>
      </c>
      <c r="G587" s="3">
        <f>+'Invullen groen'!J591</f>
        <v/>
      </c>
      <c r="H587" s="3">
        <f>+'Invullen groen'!K591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groen'!M592</f>
        <v/>
      </c>
      <c r="E588" s="3">
        <f>+'Invullen groen'!H592</f>
        <v/>
      </c>
      <c r="F588" s="3">
        <f>+'Invullen groen'!I592</f>
        <v/>
      </c>
      <c r="G588" s="3">
        <f>+'Invullen groen'!J592</f>
        <v/>
      </c>
      <c r="H588" s="3">
        <f>+'Invullen groen'!K592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groen'!M593</f>
        <v/>
      </c>
      <c r="E589" s="3">
        <f>+'Invullen groen'!H593</f>
        <v/>
      </c>
      <c r="F589" s="3">
        <f>+'Invullen groen'!I593</f>
        <v/>
      </c>
      <c r="G589" s="3">
        <f>+'Invullen groen'!J593</f>
        <v/>
      </c>
      <c r="H589" s="3">
        <f>+'Invullen groen'!K593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groen'!M594</f>
        <v/>
      </c>
      <c r="E590" s="3">
        <f>+'Invullen groen'!H594</f>
        <v/>
      </c>
      <c r="F590" s="3">
        <f>+'Invullen groen'!I594</f>
        <v/>
      </c>
      <c r="G590" s="3">
        <f>+'Invullen groen'!J594</f>
        <v/>
      </c>
      <c r="H590" s="3">
        <f>+'Invullen groen'!K594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groen'!M595</f>
        <v/>
      </c>
      <c r="E591" s="3">
        <f>+'Invullen groen'!H595</f>
        <v/>
      </c>
      <c r="F591" s="3">
        <f>+'Invullen groen'!I595</f>
        <v/>
      </c>
      <c r="G591" s="3">
        <f>+'Invullen groen'!J595</f>
        <v/>
      </c>
      <c r="H591" s="3">
        <f>+'Invullen groen'!K595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groen'!M596</f>
        <v/>
      </c>
      <c r="E592" s="3">
        <f>+'Invullen groen'!H596</f>
        <v/>
      </c>
      <c r="F592" s="3">
        <f>+'Invullen groen'!I596</f>
        <v/>
      </c>
      <c r="G592" s="3">
        <f>+'Invullen groen'!J596</f>
        <v/>
      </c>
      <c r="H592" s="3">
        <f>+'Invullen groen'!K596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groen'!M597</f>
        <v/>
      </c>
      <c r="E593" s="3">
        <f>+'Invullen groen'!H597</f>
        <v/>
      </c>
      <c r="F593" s="3">
        <f>+'Invullen groen'!I597</f>
        <v/>
      </c>
      <c r="G593" s="3">
        <f>+'Invullen groen'!J597</f>
        <v/>
      </c>
      <c r="H593" s="3">
        <f>+'Invullen groen'!K597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groen'!M598</f>
        <v/>
      </c>
      <c r="E594" s="3">
        <f>+'Invullen groen'!H598</f>
        <v/>
      </c>
      <c r="F594" s="3">
        <f>+'Invullen groen'!I598</f>
        <v/>
      </c>
      <c r="G594" s="3">
        <f>+'Invullen groen'!J598</f>
        <v/>
      </c>
      <c r="H594" s="3">
        <f>+'Invullen groen'!K598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groen'!M599</f>
        <v/>
      </c>
      <c r="E595" s="3">
        <f>+'Invullen groen'!H599</f>
        <v/>
      </c>
      <c r="F595" s="3">
        <f>+'Invullen groen'!I599</f>
        <v/>
      </c>
      <c r="G595" s="3">
        <f>+'Invullen groen'!J599</f>
        <v/>
      </c>
      <c r="H595" s="3">
        <f>+'Invullen groen'!K599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groen'!M600</f>
        <v/>
      </c>
      <c r="E596" s="3">
        <f>+'Invullen groen'!H600</f>
        <v/>
      </c>
      <c r="F596" s="3">
        <f>+'Invullen groen'!I600</f>
        <v/>
      </c>
      <c r="G596" s="3">
        <f>+'Invullen groen'!J600</f>
        <v/>
      </c>
      <c r="H596" s="3">
        <f>+'Invullen groen'!K600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groen'!M601</f>
        <v/>
      </c>
      <c r="E597" s="3">
        <f>+'Invullen groen'!H601</f>
        <v/>
      </c>
      <c r="F597" s="3">
        <f>+'Invullen groen'!I601</f>
        <v/>
      </c>
      <c r="G597" s="3">
        <f>+'Invullen groen'!J601</f>
        <v/>
      </c>
      <c r="H597" s="3">
        <f>+'Invullen groen'!K601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groen'!M602</f>
        <v/>
      </c>
      <c r="E598" s="3">
        <f>+'Invullen groen'!H602</f>
        <v/>
      </c>
      <c r="F598" s="3">
        <f>+'Invullen groen'!I602</f>
        <v/>
      </c>
      <c r="G598" s="3">
        <f>+'Invullen groen'!J602</f>
        <v/>
      </c>
      <c r="H598" s="3">
        <f>+'Invullen groen'!K602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groen'!M603</f>
        <v/>
      </c>
      <c r="E599" s="3">
        <f>+'Invullen groen'!H603</f>
        <v/>
      </c>
      <c r="F599" s="3">
        <f>+'Invullen groen'!I603</f>
        <v/>
      </c>
      <c r="G599" s="3">
        <f>+'Invullen groen'!J603</f>
        <v/>
      </c>
      <c r="H599" s="3">
        <f>+'Invullen groen'!K603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groen'!M604</f>
        <v/>
      </c>
      <c r="E600" s="3">
        <f>+'Invullen groen'!H604</f>
        <v/>
      </c>
      <c r="F600" s="3">
        <f>+'Invullen groen'!I604</f>
        <v/>
      </c>
      <c r="G600" s="3">
        <f>+'Invullen groen'!J604</f>
        <v/>
      </c>
      <c r="H600" s="3">
        <f>+'Invullen groen'!K604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groen'!M605</f>
        <v/>
      </c>
      <c r="E601" s="3">
        <f>+'Invullen groen'!H605</f>
        <v/>
      </c>
      <c r="F601" s="3">
        <f>+'Invullen groen'!I605</f>
        <v/>
      </c>
      <c r="G601" s="3">
        <f>+'Invullen groen'!J605</f>
        <v/>
      </c>
      <c r="H601" s="3">
        <f>+'Invullen groen'!K605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groen'!M606</f>
        <v/>
      </c>
      <c r="E602" s="3">
        <f>+'Invullen groen'!H606</f>
        <v/>
      </c>
      <c r="F602" s="3">
        <f>+'Invullen groen'!I606</f>
        <v/>
      </c>
      <c r="G602" s="3">
        <f>+'Invullen groen'!J606</f>
        <v/>
      </c>
      <c r="H602" s="3">
        <f>+'Invullen groen'!K606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groen'!M607</f>
        <v/>
      </c>
      <c r="E603" s="3">
        <f>+'Invullen groen'!H607</f>
        <v/>
      </c>
      <c r="F603" s="3">
        <f>+'Invullen groen'!I607</f>
        <v/>
      </c>
      <c r="G603" s="3">
        <f>+'Invullen groen'!J607</f>
        <v/>
      </c>
      <c r="H603" s="3">
        <f>+'Invullen groen'!K607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groen'!M608</f>
        <v/>
      </c>
      <c r="E604" s="3">
        <f>+'Invullen groen'!H608</f>
        <v/>
      </c>
      <c r="F604" s="3">
        <f>+'Invullen groen'!I608</f>
        <v/>
      </c>
      <c r="G604" s="3">
        <f>+'Invullen groen'!J608</f>
        <v/>
      </c>
      <c r="H604" s="3">
        <f>+'Invullen groen'!K608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groen'!M609</f>
        <v/>
      </c>
      <c r="E605" s="3">
        <f>+'Invullen groen'!H609</f>
        <v/>
      </c>
      <c r="F605" s="3">
        <f>+'Invullen groen'!I609</f>
        <v/>
      </c>
      <c r="G605" s="3">
        <f>+'Invullen groen'!J609</f>
        <v/>
      </c>
      <c r="H605" s="3">
        <f>+'Invullen groen'!K609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groen'!M610</f>
        <v/>
      </c>
      <c r="E606" s="3">
        <f>+'Invullen groen'!H610</f>
        <v/>
      </c>
      <c r="F606" s="3">
        <f>+'Invullen groen'!I610</f>
        <v/>
      </c>
      <c r="G606" s="3">
        <f>+'Invullen groen'!J610</f>
        <v/>
      </c>
      <c r="H606" s="3">
        <f>+'Invullen groen'!K610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groen'!M611</f>
        <v/>
      </c>
      <c r="E607" s="3">
        <f>+'Invullen groen'!H611</f>
        <v/>
      </c>
      <c r="F607" s="3">
        <f>+'Invullen groen'!I611</f>
        <v/>
      </c>
      <c r="G607" s="3">
        <f>+'Invullen groen'!J611</f>
        <v/>
      </c>
      <c r="H607" s="3">
        <f>+'Invullen groen'!K611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groen'!M612</f>
        <v/>
      </c>
      <c r="E608" s="3">
        <f>+'Invullen groen'!H612</f>
        <v/>
      </c>
      <c r="F608" s="3">
        <f>+'Invullen groen'!I612</f>
        <v/>
      </c>
      <c r="G608" s="3">
        <f>+'Invullen groen'!J612</f>
        <v/>
      </c>
      <c r="H608" s="3">
        <f>+'Invullen groen'!K612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groen'!M613</f>
        <v/>
      </c>
      <c r="E609" s="3">
        <f>+'Invullen groen'!H613</f>
        <v/>
      </c>
      <c r="F609" s="3">
        <f>+'Invullen groen'!I613</f>
        <v/>
      </c>
      <c r="G609" s="3">
        <f>+'Invullen groen'!J613</f>
        <v/>
      </c>
      <c r="H609" s="3">
        <f>+'Invullen groen'!K613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groen'!M614</f>
        <v/>
      </c>
      <c r="E610" s="3">
        <f>+'Invullen groen'!H614</f>
        <v/>
      </c>
      <c r="F610" s="3">
        <f>+'Invullen groen'!I614</f>
        <v/>
      </c>
      <c r="G610" s="3">
        <f>+'Invullen groen'!J614</f>
        <v/>
      </c>
      <c r="H610" s="3">
        <f>+'Invullen groen'!K614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groen'!M615</f>
        <v/>
      </c>
      <c r="E611" s="3">
        <f>+'Invullen groen'!H615</f>
        <v/>
      </c>
      <c r="F611" s="3">
        <f>+'Invullen groen'!I615</f>
        <v/>
      </c>
      <c r="G611" s="3">
        <f>+'Invullen groen'!J615</f>
        <v/>
      </c>
      <c r="H611" s="3">
        <f>+'Invullen groen'!K615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groen'!M616</f>
        <v/>
      </c>
      <c r="E612" s="3">
        <f>+'Invullen groen'!H616</f>
        <v/>
      </c>
      <c r="F612" s="3">
        <f>+'Invullen groen'!I616</f>
        <v/>
      </c>
      <c r="G612" s="3">
        <f>+'Invullen groen'!J616</f>
        <v/>
      </c>
      <c r="H612" s="3">
        <f>+'Invullen groen'!K616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groen'!M617</f>
        <v/>
      </c>
      <c r="E613" s="3">
        <f>+'Invullen groen'!H617</f>
        <v/>
      </c>
      <c r="F613" s="3">
        <f>+'Invullen groen'!I617</f>
        <v/>
      </c>
      <c r="G613" s="3">
        <f>+'Invullen groen'!J617</f>
        <v/>
      </c>
      <c r="H613" s="3">
        <f>+'Invullen groen'!K617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groen'!M618</f>
        <v/>
      </c>
      <c r="E614" s="3">
        <f>+'Invullen groen'!H618</f>
        <v/>
      </c>
      <c r="F614" s="3">
        <f>+'Invullen groen'!I618</f>
        <v/>
      </c>
      <c r="G614" s="3">
        <f>+'Invullen groen'!J618</f>
        <v/>
      </c>
      <c r="H614" s="3">
        <f>+'Invullen groen'!K618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groen'!M619</f>
        <v/>
      </c>
      <c r="E615" s="3">
        <f>+'Invullen groen'!H619</f>
        <v/>
      </c>
      <c r="F615" s="3">
        <f>+'Invullen groen'!I619</f>
        <v/>
      </c>
      <c r="G615" s="3">
        <f>+'Invullen groen'!J619</f>
        <v/>
      </c>
      <c r="H615" s="3">
        <f>+'Invullen groen'!K619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groen'!M620</f>
        <v/>
      </c>
      <c r="E616" s="3">
        <f>+'Invullen groen'!H620</f>
        <v/>
      </c>
      <c r="F616" s="3">
        <f>+'Invullen groen'!I620</f>
        <v/>
      </c>
      <c r="G616" s="3">
        <f>+'Invullen groen'!J620</f>
        <v/>
      </c>
      <c r="H616" s="3">
        <f>+'Invullen groen'!K620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groen'!M621</f>
        <v/>
      </c>
      <c r="E617" s="3">
        <f>+'Invullen groen'!H621</f>
        <v/>
      </c>
      <c r="F617" s="3">
        <f>+'Invullen groen'!I621</f>
        <v/>
      </c>
      <c r="G617" s="3">
        <f>+'Invullen groen'!J621</f>
        <v/>
      </c>
      <c r="H617" s="3">
        <f>+'Invullen groen'!K621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groen'!M622</f>
        <v/>
      </c>
      <c r="E618" s="3">
        <f>+'Invullen groen'!H622</f>
        <v/>
      </c>
      <c r="F618" s="3">
        <f>+'Invullen groen'!I622</f>
        <v/>
      </c>
      <c r="G618" s="3">
        <f>+'Invullen groen'!J622</f>
        <v/>
      </c>
      <c r="H618" s="3">
        <f>+'Invullen groen'!K622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groen'!M623</f>
        <v/>
      </c>
      <c r="E619" s="3">
        <f>+'Invullen groen'!H623</f>
        <v/>
      </c>
      <c r="F619" s="3">
        <f>+'Invullen groen'!I623</f>
        <v/>
      </c>
      <c r="G619" s="3">
        <f>+'Invullen groen'!J623</f>
        <v/>
      </c>
      <c r="H619" s="3">
        <f>+'Invullen groen'!K623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groen'!M624</f>
        <v/>
      </c>
      <c r="E620" s="3">
        <f>+'Invullen groen'!H624</f>
        <v/>
      </c>
      <c r="F620" s="3">
        <f>+'Invullen groen'!I624</f>
        <v/>
      </c>
      <c r="G620" s="3">
        <f>+'Invullen groen'!J624</f>
        <v/>
      </c>
      <c r="H620" s="3">
        <f>+'Invullen groen'!K624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groen'!M625</f>
        <v/>
      </c>
      <c r="E621" s="3">
        <f>+'Invullen groen'!H625</f>
        <v/>
      </c>
      <c r="F621" s="3">
        <f>+'Invullen groen'!I625</f>
        <v/>
      </c>
      <c r="G621" s="3">
        <f>+'Invullen groen'!J625</f>
        <v/>
      </c>
      <c r="H621" s="3">
        <f>+'Invullen groen'!K625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groen'!M626</f>
        <v/>
      </c>
      <c r="E622" s="3">
        <f>+'Invullen groen'!H626</f>
        <v/>
      </c>
      <c r="F622" s="3">
        <f>+'Invullen groen'!I626</f>
        <v/>
      </c>
      <c r="G622" s="3">
        <f>+'Invullen groen'!J626</f>
        <v/>
      </c>
      <c r="H622" s="3">
        <f>+'Invullen groen'!K626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groen'!M627</f>
        <v/>
      </c>
      <c r="E623" s="3">
        <f>+'Invullen groen'!H627</f>
        <v/>
      </c>
      <c r="F623" s="3">
        <f>+'Invullen groen'!I627</f>
        <v/>
      </c>
      <c r="G623" s="3">
        <f>+'Invullen groen'!J627</f>
        <v/>
      </c>
      <c r="H623" s="3">
        <f>+'Invullen groen'!K627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groen'!M628</f>
        <v/>
      </c>
      <c r="E624" s="3">
        <f>+'Invullen groen'!H628</f>
        <v/>
      </c>
      <c r="F624" s="3">
        <f>+'Invullen groen'!I628</f>
        <v/>
      </c>
      <c r="G624" s="3">
        <f>+'Invullen groen'!J628</f>
        <v/>
      </c>
      <c r="H624" s="3">
        <f>+'Invullen groen'!K628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groen'!M629</f>
        <v/>
      </c>
      <c r="E625" s="3">
        <f>+'Invullen groen'!H629</f>
        <v/>
      </c>
      <c r="F625" s="3">
        <f>+'Invullen groen'!I629</f>
        <v/>
      </c>
      <c r="G625" s="3">
        <f>+'Invullen groen'!J629</f>
        <v/>
      </c>
      <c r="H625" s="3">
        <f>+'Invullen groen'!K629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groen'!M630</f>
        <v/>
      </c>
      <c r="E626" s="3">
        <f>+'Invullen groen'!H630</f>
        <v/>
      </c>
      <c r="F626" s="3">
        <f>+'Invullen groen'!I630</f>
        <v/>
      </c>
      <c r="G626" s="3">
        <f>+'Invullen groen'!J630</f>
        <v/>
      </c>
      <c r="H626" s="3">
        <f>+'Invullen groen'!K630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groen'!M631</f>
        <v/>
      </c>
      <c r="E627" s="3">
        <f>+'Invullen groen'!H631</f>
        <v/>
      </c>
      <c r="F627" s="3">
        <f>+'Invullen groen'!I631</f>
        <v/>
      </c>
      <c r="G627" s="3">
        <f>+'Invullen groen'!J631</f>
        <v/>
      </c>
      <c r="H627" s="3">
        <f>+'Invullen groen'!K631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groen'!M632</f>
        <v/>
      </c>
      <c r="E628" s="3">
        <f>+'Invullen groen'!H632</f>
        <v/>
      </c>
      <c r="F628" s="3">
        <f>+'Invullen groen'!I632</f>
        <v/>
      </c>
      <c r="G628" s="3">
        <f>+'Invullen groen'!J632</f>
        <v/>
      </c>
      <c r="H628" s="3">
        <f>+'Invullen groen'!K632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groen'!M633</f>
        <v/>
      </c>
      <c r="E629" s="3">
        <f>+'Invullen groen'!H633</f>
        <v/>
      </c>
      <c r="F629" s="3">
        <f>+'Invullen groen'!I633</f>
        <v/>
      </c>
      <c r="G629" s="3">
        <f>+'Invullen groen'!J633</f>
        <v/>
      </c>
      <c r="H629" s="3">
        <f>+'Invullen groen'!K633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groen'!M634</f>
        <v/>
      </c>
      <c r="E630" s="3">
        <f>+'Invullen groen'!H634</f>
        <v/>
      </c>
      <c r="F630" s="3">
        <f>+'Invullen groen'!I634</f>
        <v/>
      </c>
      <c r="G630" s="3">
        <f>+'Invullen groen'!J634</f>
        <v/>
      </c>
      <c r="H630" s="3">
        <f>+'Invullen groen'!K634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groen'!M635</f>
        <v/>
      </c>
      <c r="E631" s="3">
        <f>+'Invullen groen'!H635</f>
        <v/>
      </c>
      <c r="F631" s="3">
        <f>+'Invullen groen'!I635</f>
        <v/>
      </c>
      <c r="G631" s="3">
        <f>+'Invullen groen'!J635</f>
        <v/>
      </c>
      <c r="H631" s="3">
        <f>+'Invullen groen'!K635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groen'!M636</f>
        <v/>
      </c>
      <c r="E632" s="3">
        <f>+'Invullen groen'!H636</f>
        <v/>
      </c>
      <c r="F632" s="3">
        <f>+'Invullen groen'!I636</f>
        <v/>
      </c>
      <c r="G632" s="3">
        <f>+'Invullen groen'!J636</f>
        <v/>
      </c>
      <c r="H632" s="3">
        <f>+'Invullen groen'!K636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groen'!M637</f>
        <v/>
      </c>
      <c r="E633" s="3">
        <f>+'Invullen groen'!H637</f>
        <v/>
      </c>
      <c r="F633" s="3">
        <f>+'Invullen groen'!I637</f>
        <v/>
      </c>
      <c r="G633" s="3">
        <f>+'Invullen groen'!J637</f>
        <v/>
      </c>
      <c r="H633" s="3">
        <f>+'Invullen groen'!K637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groen'!M638</f>
        <v/>
      </c>
      <c r="E634" s="3">
        <f>+'Invullen groen'!H638</f>
        <v/>
      </c>
      <c r="F634" s="3">
        <f>+'Invullen groen'!I638</f>
        <v/>
      </c>
      <c r="G634" s="3">
        <f>+'Invullen groen'!J638</f>
        <v/>
      </c>
      <c r="H634" s="3">
        <f>+'Invullen groen'!K638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groen'!M639</f>
        <v/>
      </c>
      <c r="E635" s="3">
        <f>+'Invullen groen'!H639</f>
        <v/>
      </c>
      <c r="F635" s="3">
        <f>+'Invullen groen'!I639</f>
        <v/>
      </c>
      <c r="G635" s="3">
        <f>+'Invullen groen'!J639</f>
        <v/>
      </c>
      <c r="H635" s="3">
        <f>+'Invullen groen'!K639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groen'!M640</f>
        <v/>
      </c>
      <c r="E636" s="3">
        <f>+'Invullen groen'!H640</f>
        <v/>
      </c>
      <c r="F636" s="3">
        <f>+'Invullen groen'!I640</f>
        <v/>
      </c>
      <c r="G636" s="3">
        <f>+'Invullen groen'!J640</f>
        <v/>
      </c>
      <c r="H636" s="3">
        <f>+'Invullen groen'!K640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groen'!M641</f>
        <v/>
      </c>
      <c r="E637" s="3">
        <f>+'Invullen groen'!H641</f>
        <v/>
      </c>
      <c r="F637" s="3">
        <f>+'Invullen groen'!I641</f>
        <v/>
      </c>
      <c r="G637" s="3">
        <f>+'Invullen groen'!J641</f>
        <v/>
      </c>
      <c r="H637" s="3">
        <f>+'Invullen groen'!K641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groen'!M642</f>
        <v/>
      </c>
      <c r="E638" s="3">
        <f>+'Invullen groen'!H642</f>
        <v/>
      </c>
      <c r="F638" s="3">
        <f>+'Invullen groen'!I642</f>
        <v/>
      </c>
      <c r="G638" s="3">
        <f>+'Invullen groen'!J642</f>
        <v/>
      </c>
      <c r="H638" s="3">
        <f>+'Invullen groen'!K642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groen'!M643</f>
        <v/>
      </c>
      <c r="E639" s="3">
        <f>+'Invullen groen'!H643</f>
        <v/>
      </c>
      <c r="F639" s="3">
        <f>+'Invullen groen'!I643</f>
        <v/>
      </c>
      <c r="G639" s="3">
        <f>+'Invullen groen'!J643</f>
        <v/>
      </c>
      <c r="H639" s="3">
        <f>+'Invullen groen'!K643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groen'!M644</f>
        <v/>
      </c>
      <c r="E640" s="3">
        <f>+'Invullen groen'!H644</f>
        <v/>
      </c>
      <c r="F640" s="3">
        <f>+'Invullen groen'!I644</f>
        <v/>
      </c>
      <c r="G640" s="3">
        <f>+'Invullen groen'!J644</f>
        <v/>
      </c>
      <c r="H640" s="3">
        <f>+'Invullen groen'!K644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groen'!M645</f>
        <v/>
      </c>
      <c r="E641" s="3">
        <f>+'Invullen groen'!H645</f>
        <v/>
      </c>
      <c r="F641" s="3">
        <f>+'Invullen groen'!I645</f>
        <v/>
      </c>
      <c r="G641" s="3">
        <f>+'Invullen groen'!J645</f>
        <v/>
      </c>
      <c r="H641" s="3">
        <f>+'Invullen groen'!K645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groen'!M646</f>
        <v/>
      </c>
      <c r="E642" s="3">
        <f>+'Invullen groen'!H646</f>
        <v/>
      </c>
      <c r="F642" s="3">
        <f>+'Invullen groen'!I646</f>
        <v/>
      </c>
      <c r="G642" s="3">
        <f>+'Invullen groen'!J646</f>
        <v/>
      </c>
      <c r="H642" s="3">
        <f>+'Invullen groen'!K646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groen'!M647</f>
        <v/>
      </c>
      <c r="E643" s="3">
        <f>+'Invullen groen'!H647</f>
        <v/>
      </c>
      <c r="F643" s="3">
        <f>+'Invullen groen'!I647</f>
        <v/>
      </c>
      <c r="G643" s="3">
        <f>+'Invullen groen'!J647</f>
        <v/>
      </c>
      <c r="H643" s="3">
        <f>+'Invullen groen'!K647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groen'!M648</f>
        <v/>
      </c>
      <c r="E644" s="3">
        <f>+'Invullen groen'!H648</f>
        <v/>
      </c>
      <c r="F644" s="3">
        <f>+'Invullen groen'!I648</f>
        <v/>
      </c>
      <c r="G644" s="3">
        <f>+'Invullen groen'!J648</f>
        <v/>
      </c>
      <c r="H644" s="3">
        <f>+'Invullen groen'!K648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groen'!M649</f>
        <v/>
      </c>
      <c r="E645" s="3">
        <f>+'Invullen groen'!H649</f>
        <v/>
      </c>
      <c r="F645" s="3">
        <f>+'Invullen groen'!I649</f>
        <v/>
      </c>
      <c r="G645" s="3">
        <f>+'Invullen groen'!J649</f>
        <v/>
      </c>
      <c r="H645" s="3">
        <f>+'Invullen groen'!K649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groen'!M650</f>
        <v/>
      </c>
      <c r="E646" s="3">
        <f>+'Invullen groen'!H650</f>
        <v/>
      </c>
      <c r="F646" s="3">
        <f>+'Invullen groen'!I650</f>
        <v/>
      </c>
      <c r="G646" s="3">
        <f>+'Invullen groen'!J650</f>
        <v/>
      </c>
      <c r="H646" s="3">
        <f>+'Invullen groen'!K650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groen'!M651</f>
        <v/>
      </c>
      <c r="E647" s="3">
        <f>+'Invullen groen'!H651</f>
        <v/>
      </c>
      <c r="F647" s="3">
        <f>+'Invullen groen'!I651</f>
        <v/>
      </c>
      <c r="G647" s="3">
        <f>+'Invullen groen'!J651</f>
        <v/>
      </c>
      <c r="H647" s="3">
        <f>+'Invullen groen'!K651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groen'!M652</f>
        <v/>
      </c>
      <c r="E648" s="3">
        <f>+'Invullen groen'!H652</f>
        <v/>
      </c>
      <c r="F648" s="3">
        <f>+'Invullen groen'!I652</f>
        <v/>
      </c>
      <c r="G648" s="3">
        <f>+'Invullen groen'!J652</f>
        <v/>
      </c>
      <c r="H648" s="3">
        <f>+'Invullen groen'!K652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groen'!M653</f>
        <v/>
      </c>
      <c r="E649" s="3">
        <f>+'Invullen groen'!H653</f>
        <v/>
      </c>
      <c r="F649" s="3">
        <f>+'Invullen groen'!I653</f>
        <v/>
      </c>
      <c r="G649" s="3">
        <f>+'Invullen groen'!J653</f>
        <v/>
      </c>
      <c r="H649" s="3">
        <f>+'Invullen groen'!K653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groen'!M654</f>
        <v/>
      </c>
      <c r="E650" s="3">
        <f>+'Invullen groen'!H654</f>
        <v/>
      </c>
      <c r="F650" s="3">
        <f>+'Invullen groen'!I654</f>
        <v/>
      </c>
      <c r="G650" s="3">
        <f>+'Invullen groen'!J654</f>
        <v/>
      </c>
      <c r="H650" s="3">
        <f>+'Invullen groen'!K654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groen'!M655</f>
        <v/>
      </c>
      <c r="E651" s="3">
        <f>+'Invullen groen'!H655</f>
        <v/>
      </c>
      <c r="F651" s="3">
        <f>+'Invullen groen'!I655</f>
        <v/>
      </c>
      <c r="G651" s="3">
        <f>+'Invullen groen'!J655</f>
        <v/>
      </c>
      <c r="H651" s="3">
        <f>+'Invullen groen'!K655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groen'!M656</f>
        <v/>
      </c>
      <c r="E652" s="3">
        <f>+'Invullen groen'!H656</f>
        <v/>
      </c>
      <c r="F652" s="3">
        <f>+'Invullen groen'!I656</f>
        <v/>
      </c>
      <c r="G652" s="3">
        <f>+'Invullen groen'!J656</f>
        <v/>
      </c>
      <c r="H652" s="3">
        <f>+'Invullen groen'!K656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groen'!M657</f>
        <v/>
      </c>
      <c r="E653" s="3">
        <f>+'Invullen groen'!H657</f>
        <v/>
      </c>
      <c r="F653" s="3">
        <f>+'Invullen groen'!I657</f>
        <v/>
      </c>
      <c r="G653" s="3">
        <f>+'Invullen groen'!J657</f>
        <v/>
      </c>
      <c r="H653" s="3">
        <f>+'Invullen groen'!K657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groen'!M658</f>
        <v/>
      </c>
      <c r="E654" s="3">
        <f>+'Invullen groen'!H658</f>
        <v/>
      </c>
      <c r="F654" s="3">
        <f>+'Invullen groen'!I658</f>
        <v/>
      </c>
      <c r="G654" s="3">
        <f>+'Invullen groen'!J658</f>
        <v/>
      </c>
      <c r="H654" s="3">
        <f>+'Invullen groen'!K658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groen'!M659</f>
        <v/>
      </c>
      <c r="E655" s="3">
        <f>+'Invullen groen'!H659</f>
        <v/>
      </c>
      <c r="F655" s="3">
        <f>+'Invullen groen'!I659</f>
        <v/>
      </c>
      <c r="G655" s="3">
        <f>+'Invullen groen'!J659</f>
        <v/>
      </c>
      <c r="H655" s="3">
        <f>+'Invullen groen'!K659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groen'!M660</f>
        <v/>
      </c>
      <c r="E656" s="3">
        <f>+'Invullen groen'!H660</f>
        <v/>
      </c>
      <c r="F656" s="3">
        <f>+'Invullen groen'!I660</f>
        <v/>
      </c>
      <c r="G656" s="3">
        <f>+'Invullen groen'!J660</f>
        <v/>
      </c>
      <c r="H656" s="3">
        <f>+'Invullen groen'!K660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groen'!M661</f>
        <v/>
      </c>
      <c r="E657" s="3">
        <f>+'Invullen groen'!H661</f>
        <v/>
      </c>
      <c r="F657" s="3">
        <f>+'Invullen groen'!I661</f>
        <v/>
      </c>
      <c r="G657" s="3">
        <f>+'Invullen groen'!J661</f>
        <v/>
      </c>
      <c r="H657" s="3">
        <f>+'Invullen groen'!K661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groen'!M662</f>
        <v/>
      </c>
      <c r="E658" s="3">
        <f>+'Invullen groen'!H662</f>
        <v/>
      </c>
      <c r="F658" s="3">
        <f>+'Invullen groen'!I662</f>
        <v/>
      </c>
      <c r="G658" s="3">
        <f>+'Invullen groen'!J662</f>
        <v/>
      </c>
      <c r="H658" s="3">
        <f>+'Invullen groen'!K662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groen'!M663</f>
        <v/>
      </c>
      <c r="E659" s="3">
        <f>+'Invullen groen'!H663</f>
        <v/>
      </c>
      <c r="F659" s="3">
        <f>+'Invullen groen'!I663</f>
        <v/>
      </c>
      <c r="G659" s="3">
        <f>+'Invullen groen'!J663</f>
        <v/>
      </c>
      <c r="H659" s="3">
        <f>+'Invullen groen'!K663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groen'!M664</f>
        <v/>
      </c>
      <c r="E660" s="3">
        <f>+'Invullen groen'!H664</f>
        <v/>
      </c>
      <c r="F660" s="3">
        <f>+'Invullen groen'!I664</f>
        <v/>
      </c>
      <c r="G660" s="3">
        <f>+'Invullen groen'!J664</f>
        <v/>
      </c>
      <c r="H660" s="3">
        <f>+'Invullen groen'!K664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groen'!M665</f>
        <v/>
      </c>
      <c r="E661" s="3">
        <f>+'Invullen groen'!H665</f>
        <v/>
      </c>
      <c r="F661" s="3">
        <f>+'Invullen groen'!I665</f>
        <v/>
      </c>
      <c r="G661" s="3">
        <f>+'Invullen groen'!J665</f>
        <v/>
      </c>
      <c r="H661" s="3">
        <f>+'Invullen groen'!K665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groen'!M666</f>
        <v/>
      </c>
      <c r="E662" s="3">
        <f>+'Invullen groen'!H666</f>
        <v/>
      </c>
      <c r="F662" s="3">
        <f>+'Invullen groen'!I666</f>
        <v/>
      </c>
      <c r="G662" s="3">
        <f>+'Invullen groen'!J666</f>
        <v/>
      </c>
      <c r="H662" s="3">
        <f>+'Invullen groen'!K666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groen'!M667</f>
        <v/>
      </c>
      <c r="E663" s="3">
        <f>+'Invullen groen'!H667</f>
        <v/>
      </c>
      <c r="F663" s="3">
        <f>+'Invullen groen'!I667</f>
        <v/>
      </c>
      <c r="G663" s="3">
        <f>+'Invullen groen'!J667</f>
        <v/>
      </c>
      <c r="H663" s="3">
        <f>+'Invullen groen'!K667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groen'!M668</f>
        <v/>
      </c>
      <c r="E664" s="3">
        <f>+'Invullen groen'!H668</f>
        <v/>
      </c>
      <c r="F664" s="3">
        <f>+'Invullen groen'!I668</f>
        <v/>
      </c>
      <c r="G664" s="3">
        <f>+'Invullen groen'!J668</f>
        <v/>
      </c>
      <c r="H664" s="3">
        <f>+'Invullen groen'!K668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groen'!M669</f>
        <v/>
      </c>
      <c r="E665" s="3">
        <f>+'Invullen groen'!H669</f>
        <v/>
      </c>
      <c r="F665" s="3">
        <f>+'Invullen groen'!I669</f>
        <v/>
      </c>
      <c r="G665" s="3">
        <f>+'Invullen groen'!J669</f>
        <v/>
      </c>
      <c r="H665" s="3">
        <f>+'Invullen groen'!K669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groen'!M670</f>
        <v/>
      </c>
      <c r="E666" s="3">
        <f>+'Invullen groen'!H670</f>
        <v/>
      </c>
      <c r="F666" s="3">
        <f>+'Invullen groen'!I670</f>
        <v/>
      </c>
      <c r="G666" s="3">
        <f>+'Invullen groen'!J670</f>
        <v/>
      </c>
      <c r="H666" s="3">
        <f>+'Invullen groen'!K670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groen'!M671</f>
        <v/>
      </c>
      <c r="E667" s="3">
        <f>+'Invullen groen'!H671</f>
        <v/>
      </c>
      <c r="F667" s="3">
        <f>+'Invullen groen'!I671</f>
        <v/>
      </c>
      <c r="G667" s="3">
        <f>+'Invullen groen'!J671</f>
        <v/>
      </c>
      <c r="H667" s="3">
        <f>+'Invullen groen'!K671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groen'!M672</f>
        <v/>
      </c>
      <c r="E668" s="3">
        <f>+'Invullen groen'!H672</f>
        <v/>
      </c>
      <c r="F668" s="3">
        <f>+'Invullen groen'!I672</f>
        <v/>
      </c>
      <c r="G668" s="3">
        <f>+'Invullen groen'!J672</f>
        <v/>
      </c>
      <c r="H668" s="3">
        <f>+'Invullen groen'!K672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groen'!M673</f>
        <v/>
      </c>
      <c r="E669" s="3">
        <f>+'Invullen groen'!H673</f>
        <v/>
      </c>
      <c r="F669" s="3">
        <f>+'Invullen groen'!I673</f>
        <v/>
      </c>
      <c r="G669" s="3">
        <f>+'Invullen groen'!J673</f>
        <v/>
      </c>
      <c r="H669" s="3">
        <f>+'Invullen groen'!K673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groen'!M674</f>
        <v/>
      </c>
      <c r="E670" s="3">
        <f>+'Invullen groen'!H674</f>
        <v/>
      </c>
      <c r="F670" s="3">
        <f>+'Invullen groen'!I674</f>
        <v/>
      </c>
      <c r="G670" s="3">
        <f>+'Invullen groen'!J674</f>
        <v/>
      </c>
      <c r="H670" s="3">
        <f>+'Invullen groen'!K674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groen'!M675</f>
        <v/>
      </c>
      <c r="E671" s="3">
        <f>+'Invullen groen'!H675</f>
        <v/>
      </c>
      <c r="F671" s="3">
        <f>+'Invullen groen'!I675</f>
        <v/>
      </c>
      <c r="G671" s="3">
        <f>+'Invullen groen'!J675</f>
        <v/>
      </c>
      <c r="H671" s="3">
        <f>+'Invullen groen'!K675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groen'!M676</f>
        <v/>
      </c>
      <c r="E672" s="3">
        <f>+'Invullen groen'!H676</f>
        <v/>
      </c>
      <c r="F672" s="3">
        <f>+'Invullen groen'!I676</f>
        <v/>
      </c>
      <c r="G672" s="3">
        <f>+'Invullen groen'!J676</f>
        <v/>
      </c>
      <c r="H672" s="3">
        <f>+'Invullen groen'!K676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groen'!M677</f>
        <v/>
      </c>
      <c r="E673" s="3">
        <f>+'Invullen groen'!H677</f>
        <v/>
      </c>
      <c r="F673" s="3">
        <f>+'Invullen groen'!I677</f>
        <v/>
      </c>
      <c r="G673" s="3">
        <f>+'Invullen groen'!J677</f>
        <v/>
      </c>
      <c r="H673" s="3">
        <f>+'Invullen groen'!K677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groen'!M678</f>
        <v/>
      </c>
      <c r="E674" s="3">
        <f>+'Invullen groen'!H678</f>
        <v/>
      </c>
      <c r="F674" s="3">
        <f>+'Invullen groen'!I678</f>
        <v/>
      </c>
      <c r="G674" s="3">
        <f>+'Invullen groen'!J678</f>
        <v/>
      </c>
      <c r="H674" s="3">
        <f>+'Invullen groen'!K678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groen'!M679</f>
        <v/>
      </c>
      <c r="E675" s="3">
        <f>+'Invullen groen'!H679</f>
        <v/>
      </c>
      <c r="F675" s="3">
        <f>+'Invullen groen'!I679</f>
        <v/>
      </c>
      <c r="G675" s="3">
        <f>+'Invullen groen'!J679</f>
        <v/>
      </c>
      <c r="H675" s="3">
        <f>+'Invullen groen'!K679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groen'!M680</f>
        <v/>
      </c>
      <c r="E676" s="3">
        <f>+'Invullen groen'!H680</f>
        <v/>
      </c>
      <c r="F676" s="3">
        <f>+'Invullen groen'!I680</f>
        <v/>
      </c>
      <c r="G676" s="3">
        <f>+'Invullen groen'!J680</f>
        <v/>
      </c>
      <c r="H676" s="3">
        <f>+'Invullen groen'!K680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groen'!M681</f>
        <v/>
      </c>
      <c r="E677" s="3">
        <f>+'Invullen groen'!H681</f>
        <v/>
      </c>
      <c r="F677" s="3">
        <f>+'Invullen groen'!I681</f>
        <v/>
      </c>
      <c r="G677" s="3">
        <f>+'Invullen groen'!J681</f>
        <v/>
      </c>
      <c r="H677" s="3">
        <f>+'Invullen groen'!K681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groen'!M682</f>
        <v/>
      </c>
      <c r="E678" s="3">
        <f>+'Invullen groen'!H682</f>
        <v/>
      </c>
      <c r="F678" s="3">
        <f>+'Invullen groen'!I682</f>
        <v/>
      </c>
      <c r="G678" s="3">
        <f>+'Invullen groen'!J682</f>
        <v/>
      </c>
      <c r="H678" s="3">
        <f>+'Invullen groen'!K682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groen'!M683</f>
        <v/>
      </c>
      <c r="E679" s="3">
        <f>+'Invullen groen'!H683</f>
        <v/>
      </c>
      <c r="F679" s="3">
        <f>+'Invullen groen'!I683</f>
        <v/>
      </c>
      <c r="G679" s="3">
        <f>+'Invullen groen'!J683</f>
        <v/>
      </c>
      <c r="H679" s="3">
        <f>+'Invullen groen'!K683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groen'!M684</f>
        <v/>
      </c>
      <c r="E680" s="3">
        <f>+'Invullen groen'!H684</f>
        <v/>
      </c>
      <c r="F680" s="3">
        <f>+'Invullen groen'!I684</f>
        <v/>
      </c>
      <c r="G680" s="3">
        <f>+'Invullen groen'!J684</f>
        <v/>
      </c>
      <c r="H680" s="3">
        <f>+'Invullen groen'!K684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groen'!M685</f>
        <v/>
      </c>
      <c r="E681" s="3">
        <f>+'Invullen groen'!H685</f>
        <v/>
      </c>
      <c r="F681" s="3">
        <f>+'Invullen groen'!I685</f>
        <v/>
      </c>
      <c r="G681" s="3">
        <f>+'Invullen groen'!J685</f>
        <v/>
      </c>
      <c r="H681" s="3">
        <f>+'Invullen groen'!K685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groen'!M686</f>
        <v/>
      </c>
      <c r="E682" s="3">
        <f>+'Invullen groen'!H686</f>
        <v/>
      </c>
      <c r="F682" s="3">
        <f>+'Invullen groen'!I686</f>
        <v/>
      </c>
      <c r="G682" s="3">
        <f>+'Invullen groen'!J686</f>
        <v/>
      </c>
      <c r="H682" s="3">
        <f>+'Invullen groen'!K686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groen'!M687</f>
        <v/>
      </c>
      <c r="E683" s="3">
        <f>+'Invullen groen'!H687</f>
        <v/>
      </c>
      <c r="F683" s="3">
        <f>+'Invullen groen'!I687</f>
        <v/>
      </c>
      <c r="G683" s="3">
        <f>+'Invullen groen'!J687</f>
        <v/>
      </c>
      <c r="H683" s="3">
        <f>+'Invullen groen'!K687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groen'!M688</f>
        <v/>
      </c>
      <c r="E684" s="3">
        <f>+'Invullen groen'!H688</f>
        <v/>
      </c>
      <c r="F684" s="3">
        <f>+'Invullen groen'!I688</f>
        <v/>
      </c>
      <c r="G684" s="3">
        <f>+'Invullen groen'!J688</f>
        <v/>
      </c>
      <c r="H684" s="3">
        <f>+'Invullen groen'!K688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groen'!M689</f>
        <v/>
      </c>
      <c r="E685" s="3">
        <f>+'Invullen groen'!H689</f>
        <v/>
      </c>
      <c r="F685" s="3">
        <f>+'Invullen groen'!I689</f>
        <v/>
      </c>
      <c r="G685" s="3">
        <f>+'Invullen groen'!J689</f>
        <v/>
      </c>
      <c r="H685" s="3">
        <f>+'Invullen groen'!K689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groen'!M690</f>
        <v/>
      </c>
      <c r="E686" s="3">
        <f>+'Invullen groen'!H690</f>
        <v/>
      </c>
      <c r="F686" s="3">
        <f>+'Invullen groen'!I690</f>
        <v/>
      </c>
      <c r="G686" s="3">
        <f>+'Invullen groen'!J690</f>
        <v/>
      </c>
      <c r="H686" s="3">
        <f>+'Invullen groen'!K690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groen'!M691</f>
        <v/>
      </c>
      <c r="E687" s="3">
        <f>+'Invullen groen'!H691</f>
        <v/>
      </c>
      <c r="F687" s="3">
        <f>+'Invullen groen'!I691</f>
        <v/>
      </c>
      <c r="G687" s="3">
        <f>+'Invullen groen'!J691</f>
        <v/>
      </c>
      <c r="H687" s="3">
        <f>+'Invullen groen'!K691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groen'!M692</f>
        <v/>
      </c>
      <c r="E688" s="3">
        <f>+'Invullen groen'!H692</f>
        <v/>
      </c>
      <c r="F688" s="3">
        <f>+'Invullen groen'!I692</f>
        <v/>
      </c>
      <c r="G688" s="3">
        <f>+'Invullen groen'!J692</f>
        <v/>
      </c>
      <c r="H688" s="3">
        <f>+'Invullen groen'!K692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groen'!M693</f>
        <v/>
      </c>
      <c r="E689" s="3">
        <f>+'Invullen groen'!H693</f>
        <v/>
      </c>
      <c r="F689" s="3">
        <f>+'Invullen groen'!I693</f>
        <v/>
      </c>
      <c r="G689" s="3">
        <f>+'Invullen groen'!J693</f>
        <v/>
      </c>
      <c r="H689" s="3">
        <f>+'Invullen groen'!K693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groen'!M694</f>
        <v/>
      </c>
      <c r="E690" s="3">
        <f>+'Invullen groen'!H694</f>
        <v/>
      </c>
      <c r="F690" s="3">
        <f>+'Invullen groen'!I694</f>
        <v/>
      </c>
      <c r="G690" s="3">
        <f>+'Invullen groen'!J694</f>
        <v/>
      </c>
      <c r="H690" s="3">
        <f>+'Invullen groen'!K694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groen'!M695</f>
        <v/>
      </c>
      <c r="E691" s="3">
        <f>+'Invullen groen'!H695</f>
        <v/>
      </c>
      <c r="F691" s="3">
        <f>+'Invullen groen'!I695</f>
        <v/>
      </c>
      <c r="G691" s="3">
        <f>+'Invullen groen'!J695</f>
        <v/>
      </c>
      <c r="H691" s="3">
        <f>+'Invullen groen'!K695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groen'!M696</f>
        <v/>
      </c>
      <c r="E692" s="3">
        <f>+'Invullen groen'!H696</f>
        <v/>
      </c>
      <c r="F692" s="3">
        <f>+'Invullen groen'!I696</f>
        <v/>
      </c>
      <c r="G692" s="3">
        <f>+'Invullen groen'!J696</f>
        <v/>
      </c>
      <c r="H692" s="3">
        <f>+'Invullen groen'!K696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groen'!M697</f>
        <v/>
      </c>
      <c r="E693" s="3">
        <f>+'Invullen groen'!H697</f>
        <v/>
      </c>
      <c r="F693" s="3">
        <f>+'Invullen groen'!I697</f>
        <v/>
      </c>
      <c r="G693" s="3">
        <f>+'Invullen groen'!J697</f>
        <v/>
      </c>
      <c r="H693" s="3">
        <f>+'Invullen groen'!K697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groen'!M698</f>
        <v/>
      </c>
      <c r="E694" s="3">
        <f>+'Invullen groen'!H698</f>
        <v/>
      </c>
      <c r="F694" s="3">
        <f>+'Invullen groen'!I698</f>
        <v/>
      </c>
      <c r="G694" s="3">
        <f>+'Invullen groen'!J698</f>
        <v/>
      </c>
      <c r="H694" s="3">
        <f>+'Invullen groen'!K698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groen'!M699</f>
        <v/>
      </c>
      <c r="E695" s="3">
        <f>+'Invullen groen'!H699</f>
        <v/>
      </c>
      <c r="F695" s="3">
        <f>+'Invullen groen'!I699</f>
        <v/>
      </c>
      <c r="G695" s="3">
        <f>+'Invullen groen'!J699</f>
        <v/>
      </c>
      <c r="H695" s="3">
        <f>+'Invullen groen'!K699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groen'!M700</f>
        <v/>
      </c>
      <c r="E696" s="3">
        <f>+'Invullen groen'!H700</f>
        <v/>
      </c>
      <c r="F696" s="3">
        <f>+'Invullen groen'!I700</f>
        <v/>
      </c>
      <c r="G696" s="3">
        <f>+'Invullen groen'!J700</f>
        <v/>
      </c>
      <c r="H696" s="3">
        <f>+'Invullen groen'!K700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groen'!M701</f>
        <v/>
      </c>
      <c r="E697" s="3">
        <f>+'Invullen groen'!H701</f>
        <v/>
      </c>
      <c r="F697" s="3">
        <f>+'Invullen groen'!I701</f>
        <v/>
      </c>
      <c r="G697" s="3">
        <f>+'Invullen groen'!J701</f>
        <v/>
      </c>
      <c r="H697" s="3">
        <f>+'Invullen groen'!K701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groen'!M702</f>
        <v/>
      </c>
      <c r="E698" s="3">
        <f>+'Invullen groen'!H702</f>
        <v/>
      </c>
      <c r="F698" s="3">
        <f>+'Invullen groen'!I702</f>
        <v/>
      </c>
      <c r="G698" s="3">
        <f>+'Invullen groen'!J702</f>
        <v/>
      </c>
      <c r="H698" s="3">
        <f>+'Invullen groen'!K702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groen'!M703</f>
        <v/>
      </c>
      <c r="E699" s="3">
        <f>+'Invullen groen'!H703</f>
        <v/>
      </c>
      <c r="F699" s="3">
        <f>+'Invullen groen'!I703</f>
        <v/>
      </c>
      <c r="G699" s="3">
        <f>+'Invullen groen'!J703</f>
        <v/>
      </c>
      <c r="H699" s="3">
        <f>+'Invullen groen'!K703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groen'!M704</f>
        <v/>
      </c>
      <c r="E700" s="3">
        <f>+'Invullen groen'!H704</f>
        <v/>
      </c>
      <c r="F700" s="3">
        <f>+'Invullen groen'!I704</f>
        <v/>
      </c>
      <c r="G700" s="3">
        <f>+'Invullen groen'!J704</f>
        <v/>
      </c>
      <c r="H700" s="3">
        <f>+'Invullen groen'!K704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groen'!M705</f>
        <v/>
      </c>
      <c r="E701" s="3">
        <f>+'Invullen groen'!H705</f>
        <v/>
      </c>
      <c r="F701" s="3">
        <f>+'Invullen groen'!I705</f>
        <v/>
      </c>
      <c r="G701" s="3">
        <f>+'Invullen groen'!J705</f>
        <v/>
      </c>
      <c r="H701" s="3">
        <f>+'Invullen groen'!K705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groen'!M706</f>
        <v/>
      </c>
      <c r="E702" s="3">
        <f>+'Invullen groen'!H706</f>
        <v/>
      </c>
      <c r="F702" s="3">
        <f>+'Invullen groen'!I706</f>
        <v/>
      </c>
      <c r="G702" s="3">
        <f>+'Invullen groen'!J706</f>
        <v/>
      </c>
      <c r="H702" s="3">
        <f>+'Invullen groen'!K706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groen'!M707</f>
        <v/>
      </c>
      <c r="E703" s="3">
        <f>+'Invullen groen'!H707</f>
        <v/>
      </c>
      <c r="F703" s="3">
        <f>+'Invullen groen'!I707</f>
        <v/>
      </c>
      <c r="G703" s="3">
        <f>+'Invullen groen'!J707</f>
        <v/>
      </c>
      <c r="H703" s="3">
        <f>+'Invullen groen'!K707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groen'!M708</f>
        <v/>
      </c>
      <c r="E704" s="3">
        <f>+'Invullen groen'!H708</f>
        <v/>
      </c>
      <c r="F704" s="3">
        <f>+'Invullen groen'!I708</f>
        <v/>
      </c>
      <c r="G704" s="3">
        <f>+'Invullen groen'!J708</f>
        <v/>
      </c>
      <c r="H704" s="3">
        <f>+'Invullen groen'!K708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groen'!M709</f>
        <v/>
      </c>
      <c r="E705" s="3">
        <f>+'Invullen groen'!H709</f>
        <v/>
      </c>
      <c r="F705" s="3">
        <f>+'Invullen groen'!I709</f>
        <v/>
      </c>
      <c r="G705" s="3">
        <f>+'Invullen groen'!J709</f>
        <v/>
      </c>
      <c r="H705" s="3">
        <f>+'Invullen groen'!K709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groen'!M710</f>
        <v/>
      </c>
      <c r="E706" s="3">
        <f>+'Invullen groen'!H710</f>
        <v/>
      </c>
      <c r="F706" s="3">
        <f>+'Invullen groen'!I710</f>
        <v/>
      </c>
      <c r="G706" s="3">
        <f>+'Invullen groen'!J710</f>
        <v/>
      </c>
      <c r="H706" s="3">
        <f>+'Invullen groen'!K710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groen'!M711</f>
        <v/>
      </c>
      <c r="E707" s="3">
        <f>+'Invullen groen'!H711</f>
        <v/>
      </c>
      <c r="F707" s="3">
        <f>+'Invullen groen'!I711</f>
        <v/>
      </c>
      <c r="G707" s="3">
        <f>+'Invullen groen'!J711</f>
        <v/>
      </c>
      <c r="H707" s="3">
        <f>+'Invullen groen'!K711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groen'!M712</f>
        <v/>
      </c>
      <c r="E708" s="3">
        <f>+'Invullen groen'!H712</f>
        <v/>
      </c>
      <c r="F708" s="3">
        <f>+'Invullen groen'!I712</f>
        <v/>
      </c>
      <c r="G708" s="3">
        <f>+'Invullen groen'!J712</f>
        <v/>
      </c>
      <c r="H708" s="3">
        <f>+'Invullen groen'!K712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groen'!M713</f>
        <v/>
      </c>
      <c r="E709" s="3">
        <f>+'Invullen groen'!H713</f>
        <v/>
      </c>
      <c r="F709" s="3">
        <f>+'Invullen groen'!I713</f>
        <v/>
      </c>
      <c r="G709" s="3">
        <f>+'Invullen groen'!J713</f>
        <v/>
      </c>
      <c r="H709" s="3">
        <f>+'Invullen groen'!K713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groen'!M714</f>
        <v/>
      </c>
      <c r="E710" s="3">
        <f>+'Invullen groen'!H714</f>
        <v/>
      </c>
      <c r="F710" s="3">
        <f>+'Invullen groen'!I714</f>
        <v/>
      </c>
      <c r="G710" s="3">
        <f>+'Invullen groen'!J714</f>
        <v/>
      </c>
      <c r="H710" s="3">
        <f>+'Invullen groen'!K714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groen'!M715</f>
        <v/>
      </c>
      <c r="E711" s="3">
        <f>+'Invullen groen'!H715</f>
        <v/>
      </c>
      <c r="F711" s="3">
        <f>+'Invullen groen'!I715</f>
        <v/>
      </c>
      <c r="G711" s="3">
        <f>+'Invullen groen'!J715</f>
        <v/>
      </c>
      <c r="H711" s="3">
        <f>+'Invullen groen'!K715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groen'!M716</f>
        <v/>
      </c>
      <c r="E712" s="3">
        <f>+'Invullen groen'!H716</f>
        <v/>
      </c>
      <c r="F712" s="3">
        <f>+'Invullen groen'!I716</f>
        <v/>
      </c>
      <c r="G712" s="3">
        <f>+'Invullen groen'!J716</f>
        <v/>
      </c>
      <c r="H712" s="3">
        <f>+'Invullen groen'!K716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groen'!M717</f>
        <v/>
      </c>
      <c r="E713" s="3">
        <f>+'Invullen groen'!H717</f>
        <v/>
      </c>
      <c r="F713" s="3">
        <f>+'Invullen groen'!I717</f>
        <v/>
      </c>
      <c r="G713" s="3">
        <f>+'Invullen groen'!J717</f>
        <v/>
      </c>
      <c r="H713" s="3">
        <f>+'Invullen groen'!K717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groen'!M718</f>
        <v/>
      </c>
      <c r="E714" s="3">
        <f>+'Invullen groen'!H718</f>
        <v/>
      </c>
      <c r="F714" s="3">
        <f>+'Invullen groen'!I718</f>
        <v/>
      </c>
      <c r="G714" s="3">
        <f>+'Invullen groen'!J718</f>
        <v/>
      </c>
      <c r="H714" s="3">
        <f>+'Invullen groen'!K718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groen'!M719</f>
        <v/>
      </c>
      <c r="E715" s="3">
        <f>+'Invullen groen'!H719</f>
        <v/>
      </c>
      <c r="F715" s="3">
        <f>+'Invullen groen'!I719</f>
        <v/>
      </c>
      <c r="G715" s="3">
        <f>+'Invullen groen'!J719</f>
        <v/>
      </c>
      <c r="H715" s="3">
        <f>+'Invullen groen'!K719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groen'!M720</f>
        <v/>
      </c>
      <c r="E716" s="3">
        <f>+'Invullen groen'!H720</f>
        <v/>
      </c>
      <c r="F716" s="3">
        <f>+'Invullen groen'!I720</f>
        <v/>
      </c>
      <c r="G716" s="3">
        <f>+'Invullen groen'!J720</f>
        <v/>
      </c>
      <c r="H716" s="3">
        <f>+'Invullen groen'!K720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groen'!M721</f>
        <v/>
      </c>
      <c r="E717" s="3">
        <f>+'Invullen groen'!H721</f>
        <v/>
      </c>
      <c r="F717" s="3">
        <f>+'Invullen groen'!I721</f>
        <v/>
      </c>
      <c r="G717" s="3">
        <f>+'Invullen groen'!J721</f>
        <v/>
      </c>
      <c r="H717" s="3">
        <f>+'Invullen groen'!K721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groen'!M722</f>
        <v/>
      </c>
      <c r="E718" s="3">
        <f>+'Invullen groen'!H722</f>
        <v/>
      </c>
      <c r="F718" s="3">
        <f>+'Invullen groen'!I722</f>
        <v/>
      </c>
      <c r="G718" s="3">
        <f>+'Invullen groen'!J722</f>
        <v/>
      </c>
      <c r="H718" s="3">
        <f>+'Invullen groen'!K722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groen'!M723</f>
        <v/>
      </c>
      <c r="E719" s="3">
        <f>+'Invullen groen'!H723</f>
        <v/>
      </c>
      <c r="F719" s="3">
        <f>+'Invullen groen'!I723</f>
        <v/>
      </c>
      <c r="G719" s="3">
        <f>+'Invullen groen'!J723</f>
        <v/>
      </c>
      <c r="H719" s="3">
        <f>+'Invullen groen'!K723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groen'!M724</f>
        <v/>
      </c>
      <c r="E720" s="3">
        <f>+'Invullen groen'!H724</f>
        <v/>
      </c>
      <c r="F720" s="3">
        <f>+'Invullen groen'!I724</f>
        <v/>
      </c>
      <c r="G720" s="3">
        <f>+'Invullen groen'!J724</f>
        <v/>
      </c>
      <c r="H720" s="3">
        <f>+'Invullen groen'!K724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groen'!M725</f>
        <v/>
      </c>
      <c r="E721" s="3">
        <f>+'Invullen groen'!H725</f>
        <v/>
      </c>
      <c r="F721" s="3">
        <f>+'Invullen groen'!I725</f>
        <v/>
      </c>
      <c r="G721" s="3">
        <f>+'Invullen groen'!J725</f>
        <v/>
      </c>
      <c r="H721" s="3">
        <f>+'Invullen groen'!K725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groen'!M726</f>
        <v/>
      </c>
      <c r="E722" s="3">
        <f>+'Invullen groen'!H726</f>
        <v/>
      </c>
      <c r="F722" s="3">
        <f>+'Invullen groen'!I726</f>
        <v/>
      </c>
      <c r="G722" s="3">
        <f>+'Invullen groen'!J726</f>
        <v/>
      </c>
      <c r="H722" s="3">
        <f>+'Invullen groen'!K726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groen'!M727</f>
        <v/>
      </c>
      <c r="E723" s="3">
        <f>+'Invullen groen'!H727</f>
        <v/>
      </c>
      <c r="F723" s="3">
        <f>+'Invullen groen'!I727</f>
        <v/>
      </c>
      <c r="G723" s="3">
        <f>+'Invullen groen'!J727</f>
        <v/>
      </c>
      <c r="H723" s="3">
        <f>+'Invullen groen'!K727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groen'!M728</f>
        <v/>
      </c>
      <c r="E724" s="3">
        <f>+'Invullen groen'!H728</f>
        <v/>
      </c>
      <c r="F724" s="3">
        <f>+'Invullen groen'!I728</f>
        <v/>
      </c>
      <c r="G724" s="3">
        <f>+'Invullen groen'!J728</f>
        <v/>
      </c>
      <c r="H724" s="3">
        <f>+'Invullen groen'!K728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groen'!M729</f>
        <v/>
      </c>
      <c r="E725" s="3">
        <f>+'Invullen groen'!H729</f>
        <v/>
      </c>
      <c r="F725" s="3">
        <f>+'Invullen groen'!I729</f>
        <v/>
      </c>
      <c r="G725" s="3">
        <f>+'Invullen groen'!J729</f>
        <v/>
      </c>
      <c r="H725" s="3">
        <f>+'Invullen groen'!K729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groen'!M730</f>
        <v/>
      </c>
      <c r="E726" s="3">
        <f>+'Invullen groen'!H730</f>
        <v/>
      </c>
      <c r="F726" s="3">
        <f>+'Invullen groen'!I730</f>
        <v/>
      </c>
      <c r="G726" s="3">
        <f>+'Invullen groen'!J730</f>
        <v/>
      </c>
      <c r="H726" s="3">
        <f>+'Invullen groen'!K730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groen'!M731</f>
        <v/>
      </c>
      <c r="E727" s="3">
        <f>+'Invullen groen'!H731</f>
        <v/>
      </c>
      <c r="F727" s="3">
        <f>+'Invullen groen'!I731</f>
        <v/>
      </c>
      <c r="G727" s="3">
        <f>+'Invullen groen'!J731</f>
        <v/>
      </c>
      <c r="H727" s="3">
        <f>+'Invullen groen'!K731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groen'!M732</f>
        <v/>
      </c>
      <c r="E728" s="3">
        <f>+'Invullen groen'!H732</f>
        <v/>
      </c>
      <c r="F728" s="3">
        <f>+'Invullen groen'!I732</f>
        <v/>
      </c>
      <c r="G728" s="3">
        <f>+'Invullen groen'!J732</f>
        <v/>
      </c>
      <c r="H728" s="3">
        <f>+'Invullen groen'!K732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groen'!M733</f>
        <v/>
      </c>
      <c r="E729" s="3">
        <f>+'Invullen groen'!H733</f>
        <v/>
      </c>
      <c r="F729" s="3">
        <f>+'Invullen groen'!I733</f>
        <v/>
      </c>
      <c r="G729" s="3">
        <f>+'Invullen groen'!J733</f>
        <v/>
      </c>
      <c r="H729" s="3">
        <f>+'Invullen groen'!K733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groen'!M734</f>
        <v/>
      </c>
      <c r="E730" s="3">
        <f>+'Invullen groen'!H734</f>
        <v/>
      </c>
      <c r="F730" s="3">
        <f>+'Invullen groen'!I734</f>
        <v/>
      </c>
      <c r="G730" s="3">
        <f>+'Invullen groen'!J734</f>
        <v/>
      </c>
      <c r="H730" s="3">
        <f>+'Invullen groen'!K734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groen'!M735</f>
        <v/>
      </c>
      <c r="E731" s="3">
        <f>+'Invullen groen'!H735</f>
        <v/>
      </c>
      <c r="F731" s="3">
        <f>+'Invullen groen'!I735</f>
        <v/>
      </c>
      <c r="G731" s="3">
        <f>+'Invullen groen'!J735</f>
        <v/>
      </c>
      <c r="H731" s="3">
        <f>+'Invullen groen'!K735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groen'!M736</f>
        <v/>
      </c>
      <c r="E732" s="3">
        <f>+'Invullen groen'!H736</f>
        <v/>
      </c>
      <c r="F732" s="3">
        <f>+'Invullen groen'!I736</f>
        <v/>
      </c>
      <c r="G732" s="3">
        <f>+'Invullen groen'!J736</f>
        <v/>
      </c>
      <c r="H732" s="3">
        <f>+'Invullen groen'!K736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groen'!M737</f>
        <v/>
      </c>
      <c r="E733" s="3">
        <f>+'Invullen groen'!H737</f>
        <v/>
      </c>
      <c r="F733" s="3">
        <f>+'Invullen groen'!I737</f>
        <v/>
      </c>
      <c r="G733" s="3">
        <f>+'Invullen groen'!J737</f>
        <v/>
      </c>
      <c r="H733" s="3">
        <f>+'Invullen groen'!K737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groen'!M738</f>
        <v/>
      </c>
      <c r="E734" s="3">
        <f>+'Invullen groen'!H738</f>
        <v/>
      </c>
      <c r="F734" s="3">
        <f>+'Invullen groen'!I738</f>
        <v/>
      </c>
      <c r="G734" s="3">
        <f>+'Invullen groen'!J738</f>
        <v/>
      </c>
      <c r="H734" s="3">
        <f>+'Invullen groen'!K738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groen'!M739</f>
        <v/>
      </c>
      <c r="E735" s="3">
        <f>+'Invullen groen'!H739</f>
        <v/>
      </c>
      <c r="F735" s="3">
        <f>+'Invullen groen'!I739</f>
        <v/>
      </c>
      <c r="G735" s="3">
        <f>+'Invullen groen'!J739</f>
        <v/>
      </c>
      <c r="H735" s="3">
        <f>+'Invullen groen'!K739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groen'!M740</f>
        <v/>
      </c>
      <c r="E736" s="3">
        <f>+'Invullen groen'!H740</f>
        <v/>
      </c>
      <c r="F736" s="3">
        <f>+'Invullen groen'!I740</f>
        <v/>
      </c>
      <c r="G736" s="3">
        <f>+'Invullen groen'!J740</f>
        <v/>
      </c>
      <c r="H736" s="3">
        <f>+'Invullen groen'!K740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groen'!M741</f>
        <v/>
      </c>
      <c r="E737" s="3">
        <f>+'Invullen groen'!H741</f>
        <v/>
      </c>
      <c r="F737" s="3">
        <f>+'Invullen groen'!I741</f>
        <v/>
      </c>
      <c r="G737" s="3">
        <f>+'Invullen groen'!J741</f>
        <v/>
      </c>
      <c r="H737" s="3">
        <f>+'Invullen groen'!K741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groen'!M742</f>
        <v/>
      </c>
      <c r="E738" s="3">
        <f>+'Invullen groen'!H742</f>
        <v/>
      </c>
      <c r="F738" s="3">
        <f>+'Invullen groen'!I742</f>
        <v/>
      </c>
      <c r="G738" s="3">
        <f>+'Invullen groen'!J742</f>
        <v/>
      </c>
      <c r="H738" s="3">
        <f>+'Invullen groen'!K742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groen'!M743</f>
        <v/>
      </c>
      <c r="E739" s="3">
        <f>+'Invullen groen'!H743</f>
        <v/>
      </c>
      <c r="F739" s="3">
        <f>+'Invullen groen'!I743</f>
        <v/>
      </c>
      <c r="G739" s="3">
        <f>+'Invullen groen'!J743</f>
        <v/>
      </c>
      <c r="H739" s="3">
        <f>+'Invullen groen'!K743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groen'!M744</f>
        <v/>
      </c>
      <c r="E740" s="3">
        <f>+'Invullen groen'!H744</f>
        <v/>
      </c>
      <c r="F740" s="3">
        <f>+'Invullen groen'!I744</f>
        <v/>
      </c>
      <c r="G740" s="3">
        <f>+'Invullen groen'!J744</f>
        <v/>
      </c>
      <c r="H740" s="3">
        <f>+'Invullen groen'!K744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groen'!M745</f>
        <v/>
      </c>
      <c r="E741" s="3">
        <f>+'Invullen groen'!H745</f>
        <v/>
      </c>
      <c r="F741" s="3">
        <f>+'Invullen groen'!I745</f>
        <v/>
      </c>
      <c r="G741" s="3">
        <f>+'Invullen groen'!J745</f>
        <v/>
      </c>
      <c r="H741" s="3">
        <f>+'Invullen groen'!K745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groen'!M746</f>
        <v/>
      </c>
      <c r="E742" s="3">
        <f>+'Invullen groen'!H746</f>
        <v/>
      </c>
      <c r="F742" s="3">
        <f>+'Invullen groen'!I746</f>
        <v/>
      </c>
      <c r="G742" s="3">
        <f>+'Invullen groen'!J746</f>
        <v/>
      </c>
      <c r="H742" s="3">
        <f>+'Invullen groen'!K746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groen'!M747</f>
        <v/>
      </c>
      <c r="E743" s="3">
        <f>+'Invullen groen'!H747</f>
        <v/>
      </c>
      <c r="F743" s="3">
        <f>+'Invullen groen'!I747</f>
        <v/>
      </c>
      <c r="G743" s="3">
        <f>+'Invullen groen'!J747</f>
        <v/>
      </c>
      <c r="H743" s="3">
        <f>+'Invullen groen'!K747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groen'!M748</f>
        <v/>
      </c>
      <c r="E744" s="3">
        <f>+'Invullen groen'!H748</f>
        <v/>
      </c>
      <c r="F744" s="3">
        <f>+'Invullen groen'!I748</f>
        <v/>
      </c>
      <c r="G744" s="3">
        <f>+'Invullen groen'!J748</f>
        <v/>
      </c>
      <c r="H744" s="3">
        <f>+'Invullen groen'!K748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groen'!M749</f>
        <v/>
      </c>
      <c r="E745" s="3">
        <f>+'Invullen groen'!H749</f>
        <v/>
      </c>
      <c r="F745" s="3">
        <f>+'Invullen groen'!I749</f>
        <v/>
      </c>
      <c r="G745" s="3">
        <f>+'Invullen groen'!J749</f>
        <v/>
      </c>
      <c r="H745" s="3">
        <f>+'Invullen groen'!K749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groen'!M750</f>
        <v/>
      </c>
      <c r="E746" s="3">
        <f>+'Invullen groen'!H750</f>
        <v/>
      </c>
      <c r="F746" s="3">
        <f>+'Invullen groen'!I750</f>
        <v/>
      </c>
      <c r="G746" s="3">
        <f>+'Invullen groen'!J750</f>
        <v/>
      </c>
      <c r="H746" s="3">
        <f>+'Invullen groen'!K750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groen'!M751</f>
        <v/>
      </c>
      <c r="E747" s="3">
        <f>+'Invullen groen'!H751</f>
        <v/>
      </c>
      <c r="F747" s="3">
        <f>+'Invullen groen'!I751</f>
        <v/>
      </c>
      <c r="G747" s="3">
        <f>+'Invullen groen'!J751</f>
        <v/>
      </c>
      <c r="H747" s="3">
        <f>+'Invullen groen'!K751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groen'!M752</f>
        <v/>
      </c>
      <c r="E748" s="3">
        <f>+'Invullen groen'!H752</f>
        <v/>
      </c>
      <c r="F748" s="3">
        <f>+'Invullen groen'!I752</f>
        <v/>
      </c>
      <c r="G748" s="3">
        <f>+'Invullen groen'!J752</f>
        <v/>
      </c>
      <c r="H748" s="3">
        <f>+'Invullen groen'!K752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groen'!M753</f>
        <v/>
      </c>
      <c r="E749" s="3">
        <f>+'Invullen groen'!H753</f>
        <v/>
      </c>
      <c r="F749" s="3">
        <f>+'Invullen groen'!I753</f>
        <v/>
      </c>
      <c r="G749" s="3">
        <f>+'Invullen groen'!J753</f>
        <v/>
      </c>
      <c r="H749" s="3">
        <f>+'Invullen groen'!K753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groen'!M754</f>
        <v/>
      </c>
      <c r="E750" s="3">
        <f>+'Invullen groen'!H754</f>
        <v/>
      </c>
      <c r="F750" s="3">
        <f>+'Invullen groen'!I754</f>
        <v/>
      </c>
      <c r="G750" s="3">
        <f>+'Invullen groen'!J754</f>
        <v/>
      </c>
      <c r="H750" s="3">
        <f>+'Invullen groen'!K754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groen'!M755</f>
        <v/>
      </c>
      <c r="E751" s="3">
        <f>+'Invullen groen'!H755</f>
        <v/>
      </c>
      <c r="F751" s="3">
        <f>+'Invullen groen'!I755</f>
        <v/>
      </c>
      <c r="G751" s="3">
        <f>+'Invullen groen'!J755</f>
        <v/>
      </c>
      <c r="H751" s="3">
        <f>+'Invullen groen'!K755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groen'!M756</f>
        <v/>
      </c>
      <c r="E752" s="3">
        <f>+'Invullen groen'!H756</f>
        <v/>
      </c>
      <c r="F752" s="3">
        <f>+'Invullen groen'!I756</f>
        <v/>
      </c>
      <c r="G752" s="3">
        <f>+'Invullen groen'!J756</f>
        <v/>
      </c>
      <c r="H752" s="3">
        <f>+'Invullen groen'!K756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groen'!M757</f>
        <v/>
      </c>
      <c r="E753" s="3">
        <f>+'Invullen groen'!H757</f>
        <v/>
      </c>
      <c r="F753" s="3">
        <f>+'Invullen groen'!I757</f>
        <v/>
      </c>
      <c r="G753" s="3">
        <f>+'Invullen groen'!J757</f>
        <v/>
      </c>
      <c r="H753" s="3">
        <f>+'Invullen groen'!K757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groen'!M758</f>
        <v/>
      </c>
      <c r="E754" s="3">
        <f>+'Invullen groen'!H758</f>
        <v/>
      </c>
      <c r="F754" s="3">
        <f>+'Invullen groen'!I758</f>
        <v/>
      </c>
      <c r="G754" s="3">
        <f>+'Invullen groen'!J758</f>
        <v/>
      </c>
      <c r="H754" s="3">
        <f>+'Invullen groen'!K758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groen'!M759</f>
        <v/>
      </c>
      <c r="E755" s="3">
        <f>+'Invullen groen'!H759</f>
        <v/>
      </c>
      <c r="F755" s="3">
        <f>+'Invullen groen'!I759</f>
        <v/>
      </c>
      <c r="G755" s="3">
        <f>+'Invullen groen'!J759</f>
        <v/>
      </c>
      <c r="H755" s="3">
        <f>+'Invullen groen'!K759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groen'!M760</f>
        <v/>
      </c>
      <c r="E756" s="3">
        <f>+'Invullen groen'!H760</f>
        <v/>
      </c>
      <c r="F756" s="3">
        <f>+'Invullen groen'!I760</f>
        <v/>
      </c>
      <c r="G756" s="3">
        <f>+'Invullen groen'!J760</f>
        <v/>
      </c>
      <c r="H756" s="3">
        <f>+'Invullen groen'!K760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groen'!M761</f>
        <v/>
      </c>
      <c r="E757" s="3">
        <f>+'Invullen groen'!H761</f>
        <v/>
      </c>
      <c r="F757" s="3">
        <f>+'Invullen groen'!I761</f>
        <v/>
      </c>
      <c r="G757" s="3">
        <f>+'Invullen groen'!J761</f>
        <v/>
      </c>
      <c r="H757" s="3">
        <f>+'Invullen groen'!K761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groen'!M762</f>
        <v/>
      </c>
      <c r="E758" s="3">
        <f>+'Invullen groen'!H762</f>
        <v/>
      </c>
      <c r="F758" s="3">
        <f>+'Invullen groen'!I762</f>
        <v/>
      </c>
      <c r="G758" s="3">
        <f>+'Invullen groen'!J762</f>
        <v/>
      </c>
      <c r="H758" s="3">
        <f>+'Invullen groen'!K762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groen'!M763</f>
        <v/>
      </c>
      <c r="E759" s="3">
        <f>+'Invullen groen'!H763</f>
        <v/>
      </c>
      <c r="F759" s="3">
        <f>+'Invullen groen'!I763</f>
        <v/>
      </c>
      <c r="G759" s="3">
        <f>+'Invullen groen'!J763</f>
        <v/>
      </c>
      <c r="H759" s="3">
        <f>+'Invullen groen'!K763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groen'!M764</f>
        <v/>
      </c>
      <c r="E760" s="3">
        <f>+'Invullen groen'!H764</f>
        <v/>
      </c>
      <c r="F760" s="3">
        <f>+'Invullen groen'!I764</f>
        <v/>
      </c>
      <c r="G760" s="3">
        <f>+'Invullen groen'!J764</f>
        <v/>
      </c>
      <c r="H760" s="3">
        <f>+'Invullen groen'!K764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groen'!M765</f>
        <v/>
      </c>
      <c r="E761" s="3">
        <f>+'Invullen groen'!H765</f>
        <v/>
      </c>
      <c r="F761" s="3">
        <f>+'Invullen groen'!I765</f>
        <v/>
      </c>
      <c r="G761" s="3">
        <f>+'Invullen groen'!J765</f>
        <v/>
      </c>
      <c r="H761" s="3">
        <f>+'Invullen groen'!K765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groen'!M766</f>
        <v/>
      </c>
      <c r="E762" s="3">
        <f>+'Invullen groen'!H766</f>
        <v/>
      </c>
      <c r="F762" s="3">
        <f>+'Invullen groen'!I766</f>
        <v/>
      </c>
      <c r="G762" s="3">
        <f>+'Invullen groen'!J766</f>
        <v/>
      </c>
      <c r="H762" s="3">
        <f>+'Invullen groen'!K766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groen'!M767</f>
        <v/>
      </c>
      <c r="E763" s="3">
        <f>+'Invullen groen'!H767</f>
        <v/>
      </c>
      <c r="F763" s="3">
        <f>+'Invullen groen'!I767</f>
        <v/>
      </c>
      <c r="G763" s="3">
        <f>+'Invullen groen'!J767</f>
        <v/>
      </c>
      <c r="H763" s="3">
        <f>+'Invullen groen'!K767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groen'!M768</f>
        <v/>
      </c>
      <c r="E764" s="3">
        <f>+'Invullen groen'!H768</f>
        <v/>
      </c>
      <c r="F764" s="3">
        <f>+'Invullen groen'!I768</f>
        <v/>
      </c>
      <c r="G764" s="3">
        <f>+'Invullen groen'!J768</f>
        <v/>
      </c>
      <c r="H764" s="3">
        <f>+'Invullen groen'!K768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groen'!M769</f>
        <v/>
      </c>
      <c r="E765" s="3">
        <f>+'Invullen groen'!H769</f>
        <v/>
      </c>
      <c r="F765" s="3">
        <f>+'Invullen groen'!I769</f>
        <v/>
      </c>
      <c r="G765" s="3">
        <f>+'Invullen groen'!J769</f>
        <v/>
      </c>
      <c r="H765" s="3">
        <f>+'Invullen groen'!K769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groen'!M770</f>
        <v/>
      </c>
      <c r="E766" s="3">
        <f>+'Invullen groen'!H770</f>
        <v/>
      </c>
      <c r="F766" s="3">
        <f>+'Invullen groen'!I770</f>
        <v/>
      </c>
      <c r="G766" s="3">
        <f>+'Invullen groen'!J770</f>
        <v/>
      </c>
      <c r="H766" s="3">
        <f>+'Invullen groen'!K770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groen'!M771</f>
        <v/>
      </c>
      <c r="E767" s="3">
        <f>+'Invullen groen'!H771</f>
        <v/>
      </c>
      <c r="F767" s="3">
        <f>+'Invullen groen'!I771</f>
        <v/>
      </c>
      <c r="G767" s="3">
        <f>+'Invullen groen'!J771</f>
        <v/>
      </c>
      <c r="H767" s="3">
        <f>+'Invullen groen'!K771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groen'!M772</f>
        <v/>
      </c>
      <c r="E768" s="3">
        <f>+'Invullen groen'!H772</f>
        <v/>
      </c>
      <c r="F768" s="3">
        <f>+'Invullen groen'!I772</f>
        <v/>
      </c>
      <c r="G768" s="3">
        <f>+'Invullen groen'!J772</f>
        <v/>
      </c>
      <c r="H768" s="3">
        <f>+'Invullen groen'!K772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groen'!M773</f>
        <v/>
      </c>
      <c r="E769" s="3">
        <f>+'Invullen groen'!H773</f>
        <v/>
      </c>
      <c r="F769" s="3">
        <f>+'Invullen groen'!I773</f>
        <v/>
      </c>
      <c r="G769" s="3">
        <f>+'Invullen groen'!J773</f>
        <v/>
      </c>
      <c r="H769" s="3">
        <f>+'Invullen groen'!K773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groen'!M774</f>
        <v/>
      </c>
      <c r="E770" s="3">
        <f>+'Invullen groen'!H774</f>
        <v/>
      </c>
      <c r="F770" s="3">
        <f>+'Invullen groen'!I774</f>
        <v/>
      </c>
      <c r="G770" s="3">
        <f>+'Invullen groen'!J774</f>
        <v/>
      </c>
      <c r="H770" s="3">
        <f>+'Invullen groen'!K774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groen'!M775</f>
        <v/>
      </c>
      <c r="E771" s="3">
        <f>+'Invullen groen'!H775</f>
        <v/>
      </c>
      <c r="F771" s="3">
        <f>+'Invullen groen'!I775</f>
        <v/>
      </c>
      <c r="G771" s="3">
        <f>+'Invullen groen'!J775</f>
        <v/>
      </c>
      <c r="H771" s="3">
        <f>+'Invullen groen'!K775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groen'!M776</f>
        <v/>
      </c>
      <c r="E772" s="3">
        <f>+'Invullen groen'!H776</f>
        <v/>
      </c>
      <c r="F772" s="3">
        <f>+'Invullen groen'!I776</f>
        <v/>
      </c>
      <c r="G772" s="3">
        <f>+'Invullen groen'!J776</f>
        <v/>
      </c>
      <c r="H772" s="3">
        <f>+'Invullen groen'!K776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groen'!M777</f>
        <v/>
      </c>
      <c r="E773" s="3">
        <f>+'Invullen groen'!H777</f>
        <v/>
      </c>
      <c r="F773" s="3">
        <f>+'Invullen groen'!I777</f>
        <v/>
      </c>
      <c r="G773" s="3">
        <f>+'Invullen groen'!J777</f>
        <v/>
      </c>
      <c r="H773" s="3">
        <f>+'Invullen groen'!K777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groen'!M778</f>
        <v/>
      </c>
      <c r="E774" s="3">
        <f>+'Invullen groen'!H778</f>
        <v/>
      </c>
      <c r="F774" s="3">
        <f>+'Invullen groen'!I778</f>
        <v/>
      </c>
      <c r="G774" s="3">
        <f>+'Invullen groen'!J778</f>
        <v/>
      </c>
      <c r="H774" s="3">
        <f>+'Invullen groen'!K778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groen'!M779</f>
        <v/>
      </c>
      <c r="E775" s="3">
        <f>+'Invullen groen'!H779</f>
        <v/>
      </c>
      <c r="F775" s="3">
        <f>+'Invullen groen'!I779</f>
        <v/>
      </c>
      <c r="G775" s="3">
        <f>+'Invullen groen'!J779</f>
        <v/>
      </c>
      <c r="H775" s="3">
        <f>+'Invullen groen'!K779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groen'!M780</f>
        <v/>
      </c>
      <c r="E776" s="3">
        <f>+'Invullen groen'!H780</f>
        <v/>
      </c>
      <c r="F776" s="3">
        <f>+'Invullen groen'!I780</f>
        <v/>
      </c>
      <c r="G776" s="3">
        <f>+'Invullen groen'!J780</f>
        <v/>
      </c>
      <c r="H776" s="3">
        <f>+'Invullen groen'!K780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groen'!M781</f>
        <v/>
      </c>
      <c r="E777" s="3">
        <f>+'Invullen groen'!H781</f>
        <v/>
      </c>
      <c r="F777" s="3">
        <f>+'Invullen groen'!I781</f>
        <v/>
      </c>
      <c r="G777" s="3">
        <f>+'Invullen groen'!J781</f>
        <v/>
      </c>
      <c r="H777" s="3">
        <f>+'Invullen groen'!K781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groen'!M782</f>
        <v/>
      </c>
      <c r="E778" s="3">
        <f>+'Invullen groen'!H782</f>
        <v/>
      </c>
      <c r="F778" s="3">
        <f>+'Invullen groen'!I782</f>
        <v/>
      </c>
      <c r="G778" s="3">
        <f>+'Invullen groen'!J782</f>
        <v/>
      </c>
      <c r="H778" s="3">
        <f>+'Invullen groen'!K782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groen'!M783</f>
        <v/>
      </c>
      <c r="E779" s="3">
        <f>+'Invullen groen'!H783</f>
        <v/>
      </c>
      <c r="F779" s="3">
        <f>+'Invullen groen'!I783</f>
        <v/>
      </c>
      <c r="G779" s="3">
        <f>+'Invullen groen'!J783</f>
        <v/>
      </c>
      <c r="H779" s="3">
        <f>+'Invullen groen'!K783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groen'!M784</f>
        <v/>
      </c>
      <c r="E780" s="3">
        <f>+'Invullen groen'!H784</f>
        <v/>
      </c>
      <c r="F780" s="3">
        <f>+'Invullen groen'!I784</f>
        <v/>
      </c>
      <c r="G780" s="3">
        <f>+'Invullen groen'!J784</f>
        <v/>
      </c>
      <c r="H780" s="3">
        <f>+'Invullen groen'!K784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groen'!M785</f>
        <v/>
      </c>
      <c r="E781" s="3">
        <f>+'Invullen groen'!H785</f>
        <v/>
      </c>
      <c r="F781" s="3">
        <f>+'Invullen groen'!I785</f>
        <v/>
      </c>
      <c r="G781" s="3">
        <f>+'Invullen groen'!J785</f>
        <v/>
      </c>
      <c r="H781" s="3">
        <f>+'Invullen groen'!K785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groen'!M786</f>
        <v/>
      </c>
      <c r="E782" s="3">
        <f>+'Invullen groen'!H786</f>
        <v/>
      </c>
      <c r="F782" s="3">
        <f>+'Invullen groen'!I786</f>
        <v/>
      </c>
      <c r="G782" s="3">
        <f>+'Invullen groen'!J786</f>
        <v/>
      </c>
      <c r="H782" s="3">
        <f>+'Invullen groen'!K786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groen'!M787</f>
        <v/>
      </c>
      <c r="E783" s="3">
        <f>+'Invullen groen'!H787</f>
        <v/>
      </c>
      <c r="F783" s="3">
        <f>+'Invullen groen'!I787</f>
        <v/>
      </c>
      <c r="G783" s="3">
        <f>+'Invullen groen'!J787</f>
        <v/>
      </c>
      <c r="H783" s="3">
        <f>+'Invullen groen'!K787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groen'!M788</f>
        <v/>
      </c>
      <c r="E784" s="3">
        <f>+'Invullen groen'!H788</f>
        <v/>
      </c>
      <c r="F784" s="3">
        <f>+'Invullen groen'!I788</f>
        <v/>
      </c>
      <c r="G784" s="3">
        <f>+'Invullen groen'!J788</f>
        <v/>
      </c>
      <c r="H784" s="3">
        <f>+'Invullen groen'!K788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groen'!M789</f>
        <v/>
      </c>
      <c r="E785" s="3">
        <f>+'Invullen groen'!H789</f>
        <v/>
      </c>
      <c r="F785" s="3">
        <f>+'Invullen groen'!I789</f>
        <v/>
      </c>
      <c r="G785" s="3">
        <f>+'Invullen groen'!J789</f>
        <v/>
      </c>
      <c r="H785" s="3">
        <f>+'Invullen groen'!K789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groen'!M790</f>
        <v/>
      </c>
      <c r="E786" s="3">
        <f>+'Invullen groen'!H790</f>
        <v/>
      </c>
      <c r="F786" s="3">
        <f>+'Invullen groen'!I790</f>
        <v/>
      </c>
      <c r="G786" s="3">
        <f>+'Invullen groen'!J790</f>
        <v/>
      </c>
      <c r="H786" s="3">
        <f>+'Invullen groen'!K790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groen'!M791</f>
        <v/>
      </c>
      <c r="E787" s="3">
        <f>+'Invullen groen'!H791</f>
        <v/>
      </c>
      <c r="F787" s="3">
        <f>+'Invullen groen'!I791</f>
        <v/>
      </c>
      <c r="G787" s="3">
        <f>+'Invullen groen'!J791</f>
        <v/>
      </c>
      <c r="H787" s="3">
        <f>+'Invullen groen'!K791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groen'!M792</f>
        <v/>
      </c>
      <c r="E788" s="3">
        <f>+'Invullen groen'!H792</f>
        <v/>
      </c>
      <c r="F788" s="3">
        <f>+'Invullen groen'!I792</f>
        <v/>
      </c>
      <c r="G788" s="3">
        <f>+'Invullen groen'!J792</f>
        <v/>
      </c>
      <c r="H788" s="3">
        <f>+'Invullen groen'!K792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groen'!M793</f>
        <v/>
      </c>
      <c r="E789" s="3">
        <f>+'Invullen groen'!H793</f>
        <v/>
      </c>
      <c r="F789" s="3">
        <f>+'Invullen groen'!I793</f>
        <v/>
      </c>
      <c r="G789" s="3">
        <f>+'Invullen groen'!J793</f>
        <v/>
      </c>
      <c r="H789" s="3">
        <f>+'Invullen groen'!K793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groen'!M794</f>
        <v/>
      </c>
      <c r="E790" s="3">
        <f>+'Invullen groen'!H794</f>
        <v/>
      </c>
      <c r="F790" s="3">
        <f>+'Invullen groen'!I794</f>
        <v/>
      </c>
      <c r="G790" s="3">
        <f>+'Invullen groen'!J794</f>
        <v/>
      </c>
      <c r="H790" s="3">
        <f>+'Invullen groen'!K794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groen'!M795</f>
        <v/>
      </c>
      <c r="E791" s="3">
        <f>+'Invullen groen'!H795</f>
        <v/>
      </c>
      <c r="F791" s="3">
        <f>+'Invullen groen'!I795</f>
        <v/>
      </c>
      <c r="G791" s="3">
        <f>+'Invullen groen'!J795</f>
        <v/>
      </c>
      <c r="H791" s="3">
        <f>+'Invullen groen'!K795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groen'!M796</f>
        <v/>
      </c>
      <c r="E792" s="3">
        <f>+'Invullen groen'!H796</f>
        <v/>
      </c>
      <c r="F792" s="3">
        <f>+'Invullen groen'!I796</f>
        <v/>
      </c>
      <c r="G792" s="3">
        <f>+'Invullen groen'!J796</f>
        <v/>
      </c>
      <c r="H792" s="3">
        <f>+'Invullen groen'!K796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groen'!M797</f>
        <v/>
      </c>
      <c r="E793" s="3">
        <f>+'Invullen groen'!H797</f>
        <v/>
      </c>
      <c r="F793" s="3">
        <f>+'Invullen groen'!I797</f>
        <v/>
      </c>
      <c r="G793" s="3">
        <f>+'Invullen groen'!J797</f>
        <v/>
      </c>
      <c r="H793" s="3">
        <f>+'Invullen groen'!K797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groen'!M798</f>
        <v/>
      </c>
      <c r="E794" s="3">
        <f>+'Invullen groen'!H798</f>
        <v/>
      </c>
      <c r="F794" s="3">
        <f>+'Invullen groen'!I798</f>
        <v/>
      </c>
      <c r="G794" s="3">
        <f>+'Invullen groen'!J798</f>
        <v/>
      </c>
      <c r="H794" s="3">
        <f>+'Invullen groen'!K798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groen'!M799</f>
        <v/>
      </c>
      <c r="E795" s="3">
        <f>+'Invullen groen'!H799</f>
        <v/>
      </c>
      <c r="F795" s="3">
        <f>+'Invullen groen'!I799</f>
        <v/>
      </c>
      <c r="G795" s="3">
        <f>+'Invullen groen'!J799</f>
        <v/>
      </c>
      <c r="H795" s="3">
        <f>+'Invullen groen'!K799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groen'!M800</f>
        <v/>
      </c>
      <c r="E796" s="3">
        <f>+'Invullen groen'!H800</f>
        <v/>
      </c>
      <c r="F796" s="3">
        <f>+'Invullen groen'!I800</f>
        <v/>
      </c>
      <c r="G796" s="3">
        <f>+'Invullen groen'!J800</f>
        <v/>
      </c>
      <c r="H796" s="3">
        <f>+'Invullen groen'!K800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groen'!M801</f>
        <v/>
      </c>
      <c r="E797" s="3">
        <f>+'Invullen groen'!H801</f>
        <v/>
      </c>
      <c r="F797" s="3">
        <f>+'Invullen groen'!I801</f>
        <v/>
      </c>
      <c r="G797" s="3">
        <f>+'Invullen groen'!J801</f>
        <v/>
      </c>
      <c r="H797" s="3">
        <f>+'Invullen groen'!K801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groen'!M802</f>
        <v/>
      </c>
      <c r="E798" s="3">
        <f>+'Invullen groen'!H802</f>
        <v/>
      </c>
      <c r="F798" s="3">
        <f>+'Invullen groen'!I802</f>
        <v/>
      </c>
      <c r="G798" s="3">
        <f>+'Invullen groen'!J802</f>
        <v/>
      </c>
      <c r="H798" s="3">
        <f>+'Invullen groen'!K802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groen'!M803</f>
        <v/>
      </c>
      <c r="E799" s="3">
        <f>+'Invullen groen'!H803</f>
        <v/>
      </c>
      <c r="F799" s="3">
        <f>+'Invullen groen'!I803</f>
        <v/>
      </c>
      <c r="G799" s="3">
        <f>+'Invullen groen'!J803</f>
        <v/>
      </c>
      <c r="H799" s="3">
        <f>+'Invullen groen'!K803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groen'!M804</f>
        <v/>
      </c>
      <c r="E800" s="3">
        <f>+'Invullen groen'!H804</f>
        <v/>
      </c>
      <c r="F800" s="3">
        <f>+'Invullen groen'!I804</f>
        <v/>
      </c>
      <c r="G800" s="3">
        <f>+'Invullen groen'!J804</f>
        <v/>
      </c>
      <c r="H800" s="3">
        <f>+'Invullen groen'!K804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groen'!M805</f>
        <v/>
      </c>
      <c r="E801" s="3">
        <f>+'Invullen groen'!H805</f>
        <v/>
      </c>
      <c r="F801" s="3">
        <f>+'Invullen groen'!I805</f>
        <v/>
      </c>
      <c r="G801" s="3">
        <f>+'Invullen groen'!J805</f>
        <v/>
      </c>
      <c r="H801" s="3">
        <f>+'Invullen groen'!K805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groen'!M806</f>
        <v/>
      </c>
      <c r="E802" s="3">
        <f>+'Invullen groen'!H806</f>
        <v/>
      </c>
      <c r="F802" s="3">
        <f>+'Invullen groen'!I806</f>
        <v/>
      </c>
      <c r="G802" s="3">
        <f>+'Invullen groen'!J806</f>
        <v/>
      </c>
      <c r="H802" s="3">
        <f>+'Invullen groen'!K806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groen'!M807</f>
        <v/>
      </c>
      <c r="E803" s="3">
        <f>+'Invullen groen'!H807</f>
        <v/>
      </c>
      <c r="F803" s="3">
        <f>+'Invullen groen'!I807</f>
        <v/>
      </c>
      <c r="G803" s="3">
        <f>+'Invullen groen'!J807</f>
        <v/>
      </c>
      <c r="H803" s="3">
        <f>+'Invullen groen'!K807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groen'!M808</f>
        <v/>
      </c>
      <c r="E804" s="3">
        <f>+'Invullen groen'!H808</f>
        <v/>
      </c>
      <c r="F804" s="3">
        <f>+'Invullen groen'!I808</f>
        <v/>
      </c>
      <c r="G804" s="3">
        <f>+'Invullen groen'!J808</f>
        <v/>
      </c>
      <c r="H804" s="3">
        <f>+'Invullen groen'!K808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groen'!M809</f>
        <v/>
      </c>
      <c r="E805" s="3">
        <f>+'Invullen groen'!H809</f>
        <v/>
      </c>
      <c r="F805" s="3">
        <f>+'Invullen groen'!I809</f>
        <v/>
      </c>
      <c r="G805" s="3">
        <f>+'Invullen groen'!J809</f>
        <v/>
      </c>
      <c r="H805" s="3">
        <f>+'Invullen groen'!K809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groen'!M810</f>
        <v/>
      </c>
      <c r="E806" s="3">
        <f>+'Invullen groen'!H810</f>
        <v/>
      </c>
      <c r="F806" s="3">
        <f>+'Invullen groen'!I810</f>
        <v/>
      </c>
      <c r="G806" s="3">
        <f>+'Invullen groen'!J810</f>
        <v/>
      </c>
      <c r="H806" s="3">
        <f>+'Invullen groen'!K810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groen'!M811</f>
        <v/>
      </c>
      <c r="E807" s="3">
        <f>+'Invullen groen'!H811</f>
        <v/>
      </c>
      <c r="F807" s="3">
        <f>+'Invullen groen'!I811</f>
        <v/>
      </c>
      <c r="G807" s="3">
        <f>+'Invullen groen'!J811</f>
        <v/>
      </c>
      <c r="H807" s="3">
        <f>+'Invullen groen'!K811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groen'!M812</f>
        <v/>
      </c>
      <c r="E808" s="3">
        <f>+'Invullen groen'!H812</f>
        <v/>
      </c>
      <c r="F808" s="3">
        <f>+'Invullen groen'!I812</f>
        <v/>
      </c>
      <c r="G808" s="3">
        <f>+'Invullen groen'!J812</f>
        <v/>
      </c>
      <c r="H808" s="3">
        <f>+'Invullen groen'!K812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groen'!M813</f>
        <v/>
      </c>
      <c r="E809" s="3">
        <f>+'Invullen groen'!H813</f>
        <v/>
      </c>
      <c r="F809" s="3">
        <f>+'Invullen groen'!I813</f>
        <v/>
      </c>
      <c r="G809" s="3">
        <f>+'Invullen groen'!J813</f>
        <v/>
      </c>
      <c r="H809" s="3">
        <f>+'Invullen groen'!K813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groen'!M814</f>
        <v/>
      </c>
      <c r="E810" s="3">
        <f>+'Invullen groen'!H814</f>
        <v/>
      </c>
      <c r="F810" s="3">
        <f>+'Invullen groen'!I814</f>
        <v/>
      </c>
      <c r="G810" s="3">
        <f>+'Invullen groen'!J814</f>
        <v/>
      </c>
      <c r="H810" s="3">
        <f>+'Invullen groen'!K814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groen'!M815</f>
        <v/>
      </c>
      <c r="E811" s="3">
        <f>+'Invullen groen'!H815</f>
        <v/>
      </c>
      <c r="F811" s="3">
        <f>+'Invullen groen'!I815</f>
        <v/>
      </c>
      <c r="G811" s="3">
        <f>+'Invullen groen'!J815</f>
        <v/>
      </c>
      <c r="H811" s="3">
        <f>+'Invullen groen'!K815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groen'!M816</f>
        <v/>
      </c>
      <c r="E812" s="3">
        <f>+'Invullen groen'!H816</f>
        <v/>
      </c>
      <c r="F812" s="3">
        <f>+'Invullen groen'!I816</f>
        <v/>
      </c>
      <c r="G812" s="3">
        <f>+'Invullen groen'!J816</f>
        <v/>
      </c>
      <c r="H812" s="3">
        <f>+'Invullen groen'!K816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groen'!M817</f>
        <v/>
      </c>
      <c r="E813" s="3">
        <f>+'Invullen groen'!H817</f>
        <v/>
      </c>
      <c r="F813" s="3">
        <f>+'Invullen groen'!I817</f>
        <v/>
      </c>
      <c r="G813" s="3">
        <f>+'Invullen groen'!J817</f>
        <v/>
      </c>
      <c r="H813" s="3">
        <f>+'Invullen groen'!K817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groen'!M818</f>
        <v/>
      </c>
      <c r="E814" s="3">
        <f>+'Invullen groen'!H818</f>
        <v/>
      </c>
      <c r="F814" s="3">
        <f>+'Invullen groen'!I818</f>
        <v/>
      </c>
      <c r="G814" s="3">
        <f>+'Invullen groen'!J818</f>
        <v/>
      </c>
      <c r="H814" s="3">
        <f>+'Invullen groen'!K818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groen'!M819</f>
        <v/>
      </c>
      <c r="E815" s="3">
        <f>+'Invullen groen'!H819</f>
        <v/>
      </c>
      <c r="F815" s="3">
        <f>+'Invullen groen'!I819</f>
        <v/>
      </c>
      <c r="G815" s="3">
        <f>+'Invullen groen'!J819</f>
        <v/>
      </c>
      <c r="H815" s="3">
        <f>+'Invullen groen'!K819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groen'!M820</f>
        <v/>
      </c>
      <c r="E816" s="3">
        <f>+'Invullen groen'!H820</f>
        <v/>
      </c>
      <c r="F816" s="3">
        <f>+'Invullen groen'!I820</f>
        <v/>
      </c>
      <c r="G816" s="3">
        <f>+'Invullen groen'!J820</f>
        <v/>
      </c>
      <c r="H816" s="3">
        <f>+'Invullen groen'!K820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groen'!M821</f>
        <v/>
      </c>
      <c r="E817" s="3">
        <f>+'Invullen groen'!H821</f>
        <v/>
      </c>
      <c r="F817" s="3">
        <f>+'Invullen groen'!I821</f>
        <v/>
      </c>
      <c r="G817" s="3">
        <f>+'Invullen groen'!J821</f>
        <v/>
      </c>
      <c r="H817" s="3">
        <f>+'Invullen groen'!K821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groen'!M822</f>
        <v/>
      </c>
      <c r="E818" s="3">
        <f>+'Invullen groen'!H822</f>
        <v/>
      </c>
      <c r="F818" s="3">
        <f>+'Invullen groen'!I822</f>
        <v/>
      </c>
      <c r="G818" s="3">
        <f>+'Invullen groen'!J822</f>
        <v/>
      </c>
      <c r="H818" s="3">
        <f>+'Invullen groen'!K822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groen'!M823</f>
        <v/>
      </c>
      <c r="E819" s="3">
        <f>+'Invullen groen'!H823</f>
        <v/>
      </c>
      <c r="F819" s="3">
        <f>+'Invullen groen'!I823</f>
        <v/>
      </c>
      <c r="G819" s="3">
        <f>+'Invullen groen'!J823</f>
        <v/>
      </c>
      <c r="H819" s="3">
        <f>+'Invullen groen'!K823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groen'!M824</f>
        <v/>
      </c>
      <c r="E820" s="3">
        <f>+'Invullen groen'!H824</f>
        <v/>
      </c>
      <c r="F820" s="3">
        <f>+'Invullen groen'!I824</f>
        <v/>
      </c>
      <c r="G820" s="3">
        <f>+'Invullen groen'!J824</f>
        <v/>
      </c>
      <c r="H820" s="3">
        <f>+'Invullen groen'!K824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groen'!M825</f>
        <v/>
      </c>
      <c r="E821" s="3">
        <f>+'Invullen groen'!H825</f>
        <v/>
      </c>
      <c r="F821" s="3">
        <f>+'Invullen groen'!I825</f>
        <v/>
      </c>
      <c r="G821" s="3">
        <f>+'Invullen groen'!J825</f>
        <v/>
      </c>
      <c r="H821" s="3">
        <f>+'Invullen groen'!K825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groen'!M826</f>
        <v/>
      </c>
      <c r="E822" s="3">
        <f>+'Invullen groen'!H826</f>
        <v/>
      </c>
      <c r="F822" s="3">
        <f>+'Invullen groen'!I826</f>
        <v/>
      </c>
      <c r="G822" s="3">
        <f>+'Invullen groen'!J826</f>
        <v/>
      </c>
      <c r="H822" s="3">
        <f>+'Invullen groen'!K826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groen'!M827</f>
        <v/>
      </c>
      <c r="E823" s="3">
        <f>+'Invullen groen'!H827</f>
        <v/>
      </c>
      <c r="F823" s="3">
        <f>+'Invullen groen'!I827</f>
        <v/>
      </c>
      <c r="G823" s="3">
        <f>+'Invullen groen'!J827</f>
        <v/>
      </c>
      <c r="H823" s="3">
        <f>+'Invullen groen'!K827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groen'!M828</f>
        <v/>
      </c>
      <c r="E824" s="3">
        <f>+'Invullen groen'!H828</f>
        <v/>
      </c>
      <c r="F824" s="3">
        <f>+'Invullen groen'!I828</f>
        <v/>
      </c>
      <c r="G824" s="3">
        <f>+'Invullen groen'!J828</f>
        <v/>
      </c>
      <c r="H824" s="3">
        <f>+'Invullen groen'!K828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groen'!M829</f>
        <v/>
      </c>
      <c r="E825" s="3">
        <f>+'Invullen groen'!H829</f>
        <v/>
      </c>
      <c r="F825" s="3">
        <f>+'Invullen groen'!I829</f>
        <v/>
      </c>
      <c r="G825" s="3">
        <f>+'Invullen groen'!J829</f>
        <v/>
      </c>
      <c r="H825" s="3">
        <f>+'Invullen groen'!K829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groen'!M830</f>
        <v/>
      </c>
      <c r="E826" s="3">
        <f>+'Invullen groen'!H830</f>
        <v/>
      </c>
      <c r="F826" s="3">
        <f>+'Invullen groen'!I830</f>
        <v/>
      </c>
      <c r="G826" s="3">
        <f>+'Invullen groen'!J830</f>
        <v/>
      </c>
      <c r="H826" s="3">
        <f>+'Invullen groen'!K830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groen'!M831</f>
        <v/>
      </c>
      <c r="E827" s="3">
        <f>+'Invullen groen'!H831</f>
        <v/>
      </c>
      <c r="F827" s="3">
        <f>+'Invullen groen'!I831</f>
        <v/>
      </c>
      <c r="G827" s="3">
        <f>+'Invullen groen'!J831</f>
        <v/>
      </c>
      <c r="H827" s="3">
        <f>+'Invullen groen'!K831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groen'!M832</f>
        <v/>
      </c>
      <c r="E828" s="3">
        <f>+'Invullen groen'!H832</f>
        <v/>
      </c>
      <c r="F828" s="3">
        <f>+'Invullen groen'!I832</f>
        <v/>
      </c>
      <c r="G828" s="3">
        <f>+'Invullen groen'!J832</f>
        <v/>
      </c>
      <c r="H828" s="3">
        <f>+'Invullen groen'!K832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groen'!M833</f>
        <v/>
      </c>
      <c r="E829" s="3">
        <f>+'Invullen groen'!H833</f>
        <v/>
      </c>
      <c r="F829" s="3">
        <f>+'Invullen groen'!I833</f>
        <v/>
      </c>
      <c r="G829" s="3">
        <f>+'Invullen groen'!J833</f>
        <v/>
      </c>
      <c r="H829" s="3">
        <f>+'Invullen groen'!K833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groen'!M834</f>
        <v/>
      </c>
      <c r="E830" s="3">
        <f>+'Invullen groen'!H834</f>
        <v/>
      </c>
      <c r="F830" s="3">
        <f>+'Invullen groen'!I834</f>
        <v/>
      </c>
      <c r="G830" s="3">
        <f>+'Invullen groen'!J834</f>
        <v/>
      </c>
      <c r="H830" s="3">
        <f>+'Invullen groen'!K834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groen'!M835</f>
        <v/>
      </c>
      <c r="E831" s="3">
        <f>+'Invullen groen'!H835</f>
        <v/>
      </c>
      <c r="F831" s="3">
        <f>+'Invullen groen'!I835</f>
        <v/>
      </c>
      <c r="G831" s="3">
        <f>+'Invullen groen'!J835</f>
        <v/>
      </c>
      <c r="H831" s="3">
        <f>+'Invullen groen'!K835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groen'!M836</f>
        <v/>
      </c>
      <c r="E832" s="3">
        <f>+'Invullen groen'!H836</f>
        <v/>
      </c>
      <c r="F832" s="3">
        <f>+'Invullen groen'!I836</f>
        <v/>
      </c>
      <c r="G832" s="3">
        <f>+'Invullen groen'!J836</f>
        <v/>
      </c>
      <c r="H832" s="3">
        <f>+'Invullen groen'!K836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groen'!M837</f>
        <v/>
      </c>
      <c r="E833" s="3">
        <f>+'Invullen groen'!H837</f>
        <v/>
      </c>
      <c r="F833" s="3">
        <f>+'Invullen groen'!I837</f>
        <v/>
      </c>
      <c r="G833" s="3">
        <f>+'Invullen groen'!J837</f>
        <v/>
      </c>
      <c r="H833" s="3">
        <f>+'Invullen groen'!K837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groen'!M838</f>
        <v/>
      </c>
      <c r="E834" s="3">
        <f>+'Invullen groen'!H838</f>
        <v/>
      </c>
      <c r="F834" s="3">
        <f>+'Invullen groen'!I838</f>
        <v/>
      </c>
      <c r="G834" s="3">
        <f>+'Invullen groen'!J838</f>
        <v/>
      </c>
      <c r="H834" s="3">
        <f>+'Invullen groen'!K838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groen'!M839</f>
        <v/>
      </c>
      <c r="E835" s="3">
        <f>+'Invullen groen'!H839</f>
        <v/>
      </c>
      <c r="F835" s="3">
        <f>+'Invullen groen'!I839</f>
        <v/>
      </c>
      <c r="G835" s="3">
        <f>+'Invullen groen'!J839</f>
        <v/>
      </c>
      <c r="H835" s="3">
        <f>+'Invullen groen'!K839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groen'!M840</f>
        <v/>
      </c>
      <c r="E836" s="3">
        <f>+'Invullen groen'!H840</f>
        <v/>
      </c>
      <c r="F836" s="3">
        <f>+'Invullen groen'!I840</f>
        <v/>
      </c>
      <c r="G836" s="3">
        <f>+'Invullen groen'!J840</f>
        <v/>
      </c>
      <c r="H836" s="3">
        <f>+'Invullen groen'!K840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groen'!M841</f>
        <v/>
      </c>
      <c r="E837" s="3">
        <f>+'Invullen groen'!H841</f>
        <v/>
      </c>
      <c r="F837" s="3">
        <f>+'Invullen groen'!I841</f>
        <v/>
      </c>
      <c r="G837" s="3">
        <f>+'Invullen groen'!J841</f>
        <v/>
      </c>
      <c r="H837" s="3">
        <f>+'Invullen groen'!K841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groen'!M842</f>
        <v/>
      </c>
      <c r="E838" s="3">
        <f>+'Invullen groen'!H842</f>
        <v/>
      </c>
      <c r="F838" s="3">
        <f>+'Invullen groen'!I842</f>
        <v/>
      </c>
      <c r="G838" s="3">
        <f>+'Invullen groen'!J842</f>
        <v/>
      </c>
      <c r="H838" s="3">
        <f>+'Invullen groen'!K842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groen'!M843</f>
        <v/>
      </c>
      <c r="E839" s="3">
        <f>+'Invullen groen'!H843</f>
        <v/>
      </c>
      <c r="F839" s="3">
        <f>+'Invullen groen'!I843</f>
        <v/>
      </c>
      <c r="G839" s="3">
        <f>+'Invullen groen'!J843</f>
        <v/>
      </c>
      <c r="H839" s="3">
        <f>+'Invullen groen'!K843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groen'!M844</f>
        <v/>
      </c>
      <c r="E840" s="3">
        <f>+'Invullen groen'!H844</f>
        <v/>
      </c>
      <c r="F840" s="3">
        <f>+'Invullen groen'!I844</f>
        <v/>
      </c>
      <c r="G840" s="3">
        <f>+'Invullen groen'!J844</f>
        <v/>
      </c>
      <c r="H840" s="3">
        <f>+'Invullen groen'!K844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groen'!M845</f>
        <v/>
      </c>
      <c r="E841" s="3">
        <f>+'Invullen groen'!H845</f>
        <v/>
      </c>
      <c r="F841" s="3">
        <f>+'Invullen groen'!I845</f>
        <v/>
      </c>
      <c r="G841" s="3">
        <f>+'Invullen groen'!J845</f>
        <v/>
      </c>
      <c r="H841" s="3">
        <f>+'Invullen groen'!K845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groen'!M846</f>
        <v/>
      </c>
      <c r="E842" s="3">
        <f>+'Invullen groen'!H846</f>
        <v/>
      </c>
      <c r="F842" s="3">
        <f>+'Invullen groen'!I846</f>
        <v/>
      </c>
      <c r="G842" s="3">
        <f>+'Invullen groen'!J846</f>
        <v/>
      </c>
      <c r="H842" s="3">
        <f>+'Invullen groen'!K846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groen'!M847</f>
        <v/>
      </c>
      <c r="E843" s="3">
        <f>+'Invullen groen'!H847</f>
        <v/>
      </c>
      <c r="F843" s="3">
        <f>+'Invullen groen'!I847</f>
        <v/>
      </c>
      <c r="G843" s="3">
        <f>+'Invullen groen'!J847</f>
        <v/>
      </c>
      <c r="H843" s="3">
        <f>+'Invullen groen'!K847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groen'!M848</f>
        <v/>
      </c>
      <c r="E844" s="3">
        <f>+'Invullen groen'!H848</f>
        <v/>
      </c>
      <c r="F844" s="3">
        <f>+'Invullen groen'!I848</f>
        <v/>
      </c>
      <c r="G844" s="3">
        <f>+'Invullen groen'!J848</f>
        <v/>
      </c>
      <c r="H844" s="3">
        <f>+'Invullen groen'!K848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groen'!M849</f>
        <v/>
      </c>
      <c r="E845" s="3">
        <f>+'Invullen groen'!H849</f>
        <v/>
      </c>
      <c r="F845" s="3">
        <f>+'Invullen groen'!I849</f>
        <v/>
      </c>
      <c r="G845" s="3">
        <f>+'Invullen groen'!J849</f>
        <v/>
      </c>
      <c r="H845" s="3">
        <f>+'Invullen groen'!K849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groen'!M850</f>
        <v/>
      </c>
      <c r="E846" s="3">
        <f>+'Invullen groen'!H850</f>
        <v/>
      </c>
      <c r="F846" s="3">
        <f>+'Invullen groen'!I850</f>
        <v/>
      </c>
      <c r="G846" s="3">
        <f>+'Invullen groen'!J850</f>
        <v/>
      </c>
      <c r="H846" s="3">
        <f>+'Invullen groen'!K850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groen'!M851</f>
        <v/>
      </c>
      <c r="E847" s="3">
        <f>+'Invullen groen'!H851</f>
        <v/>
      </c>
      <c r="F847" s="3">
        <f>+'Invullen groen'!I851</f>
        <v/>
      </c>
      <c r="G847" s="3">
        <f>+'Invullen groen'!J851</f>
        <v/>
      </c>
      <c r="H847" s="3">
        <f>+'Invullen groen'!K851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groen'!M852</f>
        <v/>
      </c>
      <c r="E848" s="3">
        <f>+'Invullen groen'!H852</f>
        <v/>
      </c>
      <c r="F848" s="3">
        <f>+'Invullen groen'!I852</f>
        <v/>
      </c>
      <c r="G848" s="3">
        <f>+'Invullen groen'!J852</f>
        <v/>
      </c>
      <c r="H848" s="3">
        <f>+'Invullen groen'!K852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groen'!M853</f>
        <v/>
      </c>
      <c r="E849" s="3">
        <f>+'Invullen groen'!H853</f>
        <v/>
      </c>
      <c r="F849" s="3">
        <f>+'Invullen groen'!I853</f>
        <v/>
      </c>
      <c r="G849" s="3">
        <f>+'Invullen groen'!J853</f>
        <v/>
      </c>
      <c r="H849" s="3">
        <f>+'Invullen groen'!K853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groen'!M854</f>
        <v/>
      </c>
      <c r="E850" s="3">
        <f>+'Invullen groen'!H854</f>
        <v/>
      </c>
      <c r="F850" s="3">
        <f>+'Invullen groen'!I854</f>
        <v/>
      </c>
      <c r="G850" s="3">
        <f>+'Invullen groen'!J854</f>
        <v/>
      </c>
      <c r="H850" s="3">
        <f>+'Invullen groen'!K854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groen'!M855</f>
        <v/>
      </c>
      <c r="E851" s="3">
        <f>+'Invullen groen'!H855</f>
        <v/>
      </c>
      <c r="F851" s="3">
        <f>+'Invullen groen'!I855</f>
        <v/>
      </c>
      <c r="G851" s="3">
        <f>+'Invullen groen'!J855</f>
        <v/>
      </c>
      <c r="H851" s="3">
        <f>+'Invullen groen'!K855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groen'!M856</f>
        <v/>
      </c>
      <c r="E852" s="3">
        <f>+'Invullen groen'!H856</f>
        <v/>
      </c>
      <c r="F852" s="3">
        <f>+'Invullen groen'!I856</f>
        <v/>
      </c>
      <c r="G852" s="3">
        <f>+'Invullen groen'!J856</f>
        <v/>
      </c>
      <c r="H852" s="3">
        <f>+'Invullen groen'!K856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groen'!M857</f>
        <v/>
      </c>
      <c r="E853" s="3">
        <f>+'Invullen groen'!H857</f>
        <v/>
      </c>
      <c r="F853" s="3">
        <f>+'Invullen groen'!I857</f>
        <v/>
      </c>
      <c r="G853" s="3">
        <f>+'Invullen groen'!J857</f>
        <v/>
      </c>
      <c r="H853" s="3">
        <f>+'Invullen groen'!K857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groen'!M858</f>
        <v/>
      </c>
      <c r="E854" s="3">
        <f>+'Invullen groen'!H858</f>
        <v/>
      </c>
      <c r="F854" s="3">
        <f>+'Invullen groen'!I858</f>
        <v/>
      </c>
      <c r="G854" s="3">
        <f>+'Invullen groen'!J858</f>
        <v/>
      </c>
      <c r="H854" s="3">
        <f>+'Invullen groen'!K858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groen'!M859</f>
        <v/>
      </c>
      <c r="E855" s="3">
        <f>+'Invullen groen'!H859</f>
        <v/>
      </c>
      <c r="F855" s="3">
        <f>+'Invullen groen'!I859</f>
        <v/>
      </c>
      <c r="G855" s="3">
        <f>+'Invullen groen'!J859</f>
        <v/>
      </c>
      <c r="H855" s="3">
        <f>+'Invullen groen'!K859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groen'!M860</f>
        <v/>
      </c>
      <c r="E856" s="3">
        <f>+'Invullen groen'!H860</f>
        <v/>
      </c>
      <c r="F856" s="3">
        <f>+'Invullen groen'!I860</f>
        <v/>
      </c>
      <c r="G856" s="3">
        <f>+'Invullen groen'!J860</f>
        <v/>
      </c>
      <c r="H856" s="3">
        <f>+'Invullen groen'!K860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groen'!M861</f>
        <v/>
      </c>
      <c r="E857" s="3">
        <f>+'Invullen groen'!H861</f>
        <v/>
      </c>
      <c r="F857" s="3">
        <f>+'Invullen groen'!I861</f>
        <v/>
      </c>
      <c r="G857" s="3">
        <f>+'Invullen groen'!J861</f>
        <v/>
      </c>
      <c r="H857" s="3">
        <f>+'Invullen groen'!K861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groen'!M862</f>
        <v/>
      </c>
      <c r="E858" s="3">
        <f>+'Invullen groen'!H862</f>
        <v/>
      </c>
      <c r="F858" s="3">
        <f>+'Invullen groen'!I862</f>
        <v/>
      </c>
      <c r="G858" s="3">
        <f>+'Invullen groen'!J862</f>
        <v/>
      </c>
      <c r="H858" s="3">
        <f>+'Invullen groen'!K862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groen'!M863</f>
        <v/>
      </c>
      <c r="E859" s="3">
        <f>+'Invullen groen'!H863</f>
        <v/>
      </c>
      <c r="F859" s="3">
        <f>+'Invullen groen'!I863</f>
        <v/>
      </c>
      <c r="G859" s="3">
        <f>+'Invullen groen'!J863</f>
        <v/>
      </c>
      <c r="H859" s="3">
        <f>+'Invullen groen'!K863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groen'!M864</f>
        <v/>
      </c>
      <c r="E860" s="3">
        <f>+'Invullen groen'!H864</f>
        <v/>
      </c>
      <c r="F860" s="3">
        <f>+'Invullen groen'!I864</f>
        <v/>
      </c>
      <c r="G860" s="3">
        <f>+'Invullen groen'!J864</f>
        <v/>
      </c>
      <c r="H860" s="3">
        <f>+'Invullen groen'!K864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groen'!M865</f>
        <v/>
      </c>
      <c r="E861" s="3">
        <f>+'Invullen groen'!H865</f>
        <v/>
      </c>
      <c r="F861" s="3">
        <f>+'Invullen groen'!I865</f>
        <v/>
      </c>
      <c r="G861" s="3">
        <f>+'Invullen groen'!J865</f>
        <v/>
      </c>
      <c r="H861" s="3">
        <f>+'Invullen groen'!K865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groen'!M866</f>
        <v/>
      </c>
      <c r="E862" s="3">
        <f>+'Invullen groen'!H866</f>
        <v/>
      </c>
      <c r="F862" s="3">
        <f>+'Invullen groen'!I866</f>
        <v/>
      </c>
      <c r="G862" s="3">
        <f>+'Invullen groen'!J866</f>
        <v/>
      </c>
      <c r="H862" s="3">
        <f>+'Invullen groen'!K866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groen'!M867</f>
        <v/>
      </c>
      <c r="E863" s="3">
        <f>+'Invullen groen'!H867</f>
        <v/>
      </c>
      <c r="F863" s="3">
        <f>+'Invullen groen'!I867</f>
        <v/>
      </c>
      <c r="G863" s="3">
        <f>+'Invullen groen'!J867</f>
        <v/>
      </c>
      <c r="H863" s="3">
        <f>+'Invullen groen'!K867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groen'!M868</f>
        <v/>
      </c>
      <c r="E864" s="3">
        <f>+'Invullen groen'!H868</f>
        <v/>
      </c>
      <c r="F864" s="3">
        <f>+'Invullen groen'!I868</f>
        <v/>
      </c>
      <c r="G864" s="3">
        <f>+'Invullen groen'!J868</f>
        <v/>
      </c>
      <c r="H864" s="3">
        <f>+'Invullen groen'!K868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groen'!M869</f>
        <v/>
      </c>
      <c r="E865" s="3">
        <f>+'Invullen groen'!H869</f>
        <v/>
      </c>
      <c r="F865" s="3">
        <f>+'Invullen groen'!I869</f>
        <v/>
      </c>
      <c r="G865" s="3">
        <f>+'Invullen groen'!J869</f>
        <v/>
      </c>
      <c r="H865" s="3">
        <f>+'Invullen groen'!K869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groen'!M870</f>
        <v/>
      </c>
      <c r="E866" s="3">
        <f>+'Invullen groen'!H870</f>
        <v/>
      </c>
      <c r="F866" s="3">
        <f>+'Invullen groen'!I870</f>
        <v/>
      </c>
      <c r="G866" s="3">
        <f>+'Invullen groen'!J870</f>
        <v/>
      </c>
      <c r="H866" s="3">
        <f>+'Invullen groen'!K870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groen'!M871</f>
        <v/>
      </c>
      <c r="E867" s="3">
        <f>+'Invullen groen'!H871</f>
        <v/>
      </c>
      <c r="F867" s="3">
        <f>+'Invullen groen'!I871</f>
        <v/>
      </c>
      <c r="G867" s="3">
        <f>+'Invullen groen'!J871</f>
        <v/>
      </c>
      <c r="H867" s="3">
        <f>+'Invullen groen'!K871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groen'!M872</f>
        <v/>
      </c>
      <c r="E868" s="3">
        <f>+'Invullen groen'!H872</f>
        <v/>
      </c>
      <c r="F868" s="3">
        <f>+'Invullen groen'!I872</f>
        <v/>
      </c>
      <c r="G868" s="3">
        <f>+'Invullen groen'!J872</f>
        <v/>
      </c>
      <c r="H868" s="3">
        <f>+'Invullen groen'!K872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groen'!M873</f>
        <v/>
      </c>
      <c r="E869" s="3">
        <f>+'Invullen groen'!H873</f>
        <v/>
      </c>
      <c r="F869" s="3">
        <f>+'Invullen groen'!I873</f>
        <v/>
      </c>
      <c r="G869" s="3">
        <f>+'Invullen groen'!J873</f>
        <v/>
      </c>
      <c r="H869" s="3">
        <f>+'Invullen groen'!K873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groen'!M874</f>
        <v/>
      </c>
      <c r="E870" s="3">
        <f>+'Invullen groen'!H874</f>
        <v/>
      </c>
      <c r="F870" s="3">
        <f>+'Invullen groen'!I874</f>
        <v/>
      </c>
      <c r="G870" s="3">
        <f>+'Invullen groen'!J874</f>
        <v/>
      </c>
      <c r="H870" s="3">
        <f>+'Invullen groen'!K874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groen'!M875</f>
        <v/>
      </c>
      <c r="E871" s="3">
        <f>+'Invullen groen'!H875</f>
        <v/>
      </c>
      <c r="F871" s="3">
        <f>+'Invullen groen'!I875</f>
        <v/>
      </c>
      <c r="G871" s="3">
        <f>+'Invullen groen'!J875</f>
        <v/>
      </c>
      <c r="H871" s="3">
        <f>+'Invullen groen'!K875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groen'!M876</f>
        <v/>
      </c>
      <c r="E872" s="3">
        <f>+'Invullen groen'!H876</f>
        <v/>
      </c>
      <c r="F872" s="3">
        <f>+'Invullen groen'!I876</f>
        <v/>
      </c>
      <c r="G872" s="3">
        <f>+'Invullen groen'!J876</f>
        <v/>
      </c>
      <c r="H872" s="3">
        <f>+'Invullen groen'!K876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groen'!M877</f>
        <v/>
      </c>
      <c r="E873" s="3">
        <f>+'Invullen groen'!H877</f>
        <v/>
      </c>
      <c r="F873" s="3">
        <f>+'Invullen groen'!I877</f>
        <v/>
      </c>
      <c r="G873" s="3">
        <f>+'Invullen groen'!J877</f>
        <v/>
      </c>
      <c r="H873" s="3">
        <f>+'Invullen groen'!K877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groen'!M878</f>
        <v/>
      </c>
      <c r="E874" s="3">
        <f>+'Invullen groen'!H878</f>
        <v/>
      </c>
      <c r="F874" s="3">
        <f>+'Invullen groen'!I878</f>
        <v/>
      </c>
      <c r="G874" s="3">
        <f>+'Invullen groen'!J878</f>
        <v/>
      </c>
      <c r="H874" s="3">
        <f>+'Invullen groen'!K878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groen'!M879</f>
        <v/>
      </c>
      <c r="E875" s="3">
        <f>+'Invullen groen'!H879</f>
        <v/>
      </c>
      <c r="F875" s="3">
        <f>+'Invullen groen'!I879</f>
        <v/>
      </c>
      <c r="G875" s="3">
        <f>+'Invullen groen'!J879</f>
        <v/>
      </c>
      <c r="H875" s="3">
        <f>+'Invullen groen'!K879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groen'!M880</f>
        <v/>
      </c>
      <c r="E876" s="3">
        <f>+'Invullen groen'!H880</f>
        <v/>
      </c>
      <c r="F876" s="3">
        <f>+'Invullen groen'!I880</f>
        <v/>
      </c>
      <c r="G876" s="3">
        <f>+'Invullen groen'!J880</f>
        <v/>
      </c>
      <c r="H876" s="3">
        <f>+'Invullen groen'!K880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groen'!M881</f>
        <v/>
      </c>
      <c r="E877" s="3">
        <f>+'Invullen groen'!H881</f>
        <v/>
      </c>
      <c r="F877" s="3">
        <f>+'Invullen groen'!I881</f>
        <v/>
      </c>
      <c r="G877" s="3">
        <f>+'Invullen groen'!J881</f>
        <v/>
      </c>
      <c r="H877" s="3">
        <f>+'Invullen groen'!K881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groen'!M882</f>
        <v/>
      </c>
      <c r="E878" s="3">
        <f>+'Invullen groen'!H882</f>
        <v/>
      </c>
      <c r="F878" s="3">
        <f>+'Invullen groen'!I882</f>
        <v/>
      </c>
      <c r="G878" s="3">
        <f>+'Invullen groen'!J882</f>
        <v/>
      </c>
      <c r="H878" s="3">
        <f>+'Invullen groen'!K882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groen'!M883</f>
        <v/>
      </c>
      <c r="E879" s="3">
        <f>+'Invullen groen'!H883</f>
        <v/>
      </c>
      <c r="F879" s="3">
        <f>+'Invullen groen'!I883</f>
        <v/>
      </c>
      <c r="G879" s="3">
        <f>+'Invullen groen'!J883</f>
        <v/>
      </c>
      <c r="H879" s="3">
        <f>+'Invullen groen'!K883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groen'!M884</f>
        <v/>
      </c>
      <c r="E880" s="3">
        <f>+'Invullen groen'!H884</f>
        <v/>
      </c>
      <c r="F880" s="3">
        <f>+'Invullen groen'!I884</f>
        <v/>
      </c>
      <c r="G880" s="3">
        <f>+'Invullen groen'!J884</f>
        <v/>
      </c>
      <c r="H880" s="3">
        <f>+'Invullen groen'!K884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groen'!M885</f>
        <v/>
      </c>
      <c r="E881" s="3">
        <f>+'Invullen groen'!H885</f>
        <v/>
      </c>
      <c r="F881" s="3">
        <f>+'Invullen groen'!I885</f>
        <v/>
      </c>
      <c r="G881" s="3">
        <f>+'Invullen groen'!J885</f>
        <v/>
      </c>
      <c r="H881" s="3">
        <f>+'Invullen groen'!K885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groen'!M886</f>
        <v/>
      </c>
      <c r="E882" s="3">
        <f>+'Invullen groen'!H886</f>
        <v/>
      </c>
      <c r="F882" s="3">
        <f>+'Invullen groen'!I886</f>
        <v/>
      </c>
      <c r="G882" s="3">
        <f>+'Invullen groen'!J886</f>
        <v/>
      </c>
      <c r="H882" s="3">
        <f>+'Invullen groen'!K886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groen'!M887</f>
        <v/>
      </c>
      <c r="E883" s="3">
        <f>+'Invullen groen'!H887</f>
        <v/>
      </c>
      <c r="F883" s="3">
        <f>+'Invullen groen'!I887</f>
        <v/>
      </c>
      <c r="G883" s="3">
        <f>+'Invullen groen'!J887</f>
        <v/>
      </c>
      <c r="H883" s="3">
        <f>+'Invullen groen'!K887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groen'!M888</f>
        <v/>
      </c>
      <c r="E884" s="3">
        <f>+'Invullen groen'!H888</f>
        <v/>
      </c>
      <c r="F884" s="3">
        <f>+'Invullen groen'!I888</f>
        <v/>
      </c>
      <c r="G884" s="3">
        <f>+'Invullen groen'!J888</f>
        <v/>
      </c>
      <c r="H884" s="3">
        <f>+'Invullen groen'!K888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groen'!M889</f>
        <v/>
      </c>
      <c r="E885" s="3">
        <f>+'Invullen groen'!H889</f>
        <v/>
      </c>
      <c r="F885" s="3">
        <f>+'Invullen groen'!I889</f>
        <v/>
      </c>
      <c r="G885" s="3">
        <f>+'Invullen groen'!J889</f>
        <v/>
      </c>
      <c r="H885" s="3">
        <f>+'Invullen groen'!K889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groen'!M890</f>
        <v/>
      </c>
      <c r="E886" s="3">
        <f>+'Invullen groen'!H890</f>
        <v/>
      </c>
      <c r="F886" s="3">
        <f>+'Invullen groen'!I890</f>
        <v/>
      </c>
      <c r="G886" s="3">
        <f>+'Invullen groen'!J890</f>
        <v/>
      </c>
      <c r="H886" s="3">
        <f>+'Invullen groen'!K890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groen'!M891</f>
        <v/>
      </c>
      <c r="E887" s="3">
        <f>+'Invullen groen'!H891</f>
        <v/>
      </c>
      <c r="F887" s="3">
        <f>+'Invullen groen'!I891</f>
        <v/>
      </c>
      <c r="G887" s="3">
        <f>+'Invullen groen'!J891</f>
        <v/>
      </c>
      <c r="H887" s="3">
        <f>+'Invullen groen'!K891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groen'!M892</f>
        <v/>
      </c>
      <c r="E888" s="3">
        <f>+'Invullen groen'!H892</f>
        <v/>
      </c>
      <c r="F888" s="3">
        <f>+'Invullen groen'!I892</f>
        <v/>
      </c>
      <c r="G888" s="3">
        <f>+'Invullen groen'!J892</f>
        <v/>
      </c>
      <c r="H888" s="3">
        <f>+'Invullen groen'!K892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groen'!M893</f>
        <v/>
      </c>
      <c r="E889" s="3">
        <f>+'Invullen groen'!H893</f>
        <v/>
      </c>
      <c r="F889" s="3">
        <f>+'Invullen groen'!I893</f>
        <v/>
      </c>
      <c r="G889" s="3">
        <f>+'Invullen groen'!J893</f>
        <v/>
      </c>
      <c r="H889" s="3">
        <f>+'Invullen groen'!K893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groen'!M894</f>
        <v/>
      </c>
      <c r="E890" s="3">
        <f>+'Invullen groen'!H894</f>
        <v/>
      </c>
      <c r="F890" s="3">
        <f>+'Invullen groen'!I894</f>
        <v/>
      </c>
      <c r="G890" s="3">
        <f>+'Invullen groen'!J894</f>
        <v/>
      </c>
      <c r="H890" s="3">
        <f>+'Invullen groen'!K894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groen'!M895</f>
        <v/>
      </c>
      <c r="E891" s="3">
        <f>+'Invullen groen'!H895</f>
        <v/>
      </c>
      <c r="F891" s="3">
        <f>+'Invullen groen'!I895</f>
        <v/>
      </c>
      <c r="G891" s="3">
        <f>+'Invullen groen'!J895</f>
        <v/>
      </c>
      <c r="H891" s="3">
        <f>+'Invullen groen'!K895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groen'!M896</f>
        <v/>
      </c>
      <c r="E892" s="3">
        <f>+'Invullen groen'!H896</f>
        <v/>
      </c>
      <c r="F892" s="3">
        <f>+'Invullen groen'!I896</f>
        <v/>
      </c>
      <c r="G892" s="3">
        <f>+'Invullen groen'!J896</f>
        <v/>
      </c>
      <c r="H892" s="3">
        <f>+'Invullen groen'!K896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groen'!M897</f>
        <v/>
      </c>
      <c r="E893" s="3">
        <f>+'Invullen groen'!H897</f>
        <v/>
      </c>
      <c r="F893" s="3">
        <f>+'Invullen groen'!I897</f>
        <v/>
      </c>
      <c r="G893" s="3">
        <f>+'Invullen groen'!J897</f>
        <v/>
      </c>
      <c r="H893" s="3">
        <f>+'Invullen groen'!K897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groen'!M898</f>
        <v/>
      </c>
      <c r="E894" s="3">
        <f>+'Invullen groen'!H898</f>
        <v/>
      </c>
      <c r="F894" s="3">
        <f>+'Invullen groen'!I898</f>
        <v/>
      </c>
      <c r="G894" s="3">
        <f>+'Invullen groen'!J898</f>
        <v/>
      </c>
      <c r="H894" s="3">
        <f>+'Invullen groen'!K898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groen'!M899</f>
        <v/>
      </c>
      <c r="E895" s="3">
        <f>+'Invullen groen'!H899</f>
        <v/>
      </c>
      <c r="F895" s="3">
        <f>+'Invullen groen'!I899</f>
        <v/>
      </c>
      <c r="G895" s="3">
        <f>+'Invullen groen'!J899</f>
        <v/>
      </c>
      <c r="H895" s="3">
        <f>+'Invullen groen'!K899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groen'!M900</f>
        <v/>
      </c>
      <c r="E896" s="3">
        <f>+'Invullen groen'!H900</f>
        <v/>
      </c>
      <c r="F896" s="3">
        <f>+'Invullen groen'!I900</f>
        <v/>
      </c>
      <c r="G896" s="3">
        <f>+'Invullen groen'!J900</f>
        <v/>
      </c>
      <c r="H896" s="3">
        <f>+'Invullen groen'!K900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groen'!M901</f>
        <v/>
      </c>
      <c r="E897" s="3">
        <f>+'Invullen groen'!H901</f>
        <v/>
      </c>
      <c r="F897" s="3">
        <f>+'Invullen groen'!I901</f>
        <v/>
      </c>
      <c r="G897" s="3">
        <f>+'Invullen groen'!J901</f>
        <v/>
      </c>
      <c r="H897" s="3">
        <f>+'Invullen groen'!K901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groen'!M902</f>
        <v/>
      </c>
      <c r="E898" s="3">
        <f>+'Invullen groen'!H902</f>
        <v/>
      </c>
      <c r="F898" s="3">
        <f>+'Invullen groen'!I902</f>
        <v/>
      </c>
      <c r="G898" s="3">
        <f>+'Invullen groen'!J902</f>
        <v/>
      </c>
      <c r="H898" s="3">
        <f>+'Invullen groen'!K902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groen'!M903</f>
        <v/>
      </c>
      <c r="E899" s="3">
        <f>+'Invullen groen'!H903</f>
        <v/>
      </c>
      <c r="F899" s="3">
        <f>+'Invullen groen'!I903</f>
        <v/>
      </c>
      <c r="G899" s="3">
        <f>+'Invullen groen'!J903</f>
        <v/>
      </c>
      <c r="H899" s="3">
        <f>+'Invullen groen'!K903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groen'!M904</f>
        <v/>
      </c>
      <c r="E900" s="3">
        <f>+'Invullen groen'!H904</f>
        <v/>
      </c>
      <c r="F900" s="3">
        <f>+'Invullen groen'!I904</f>
        <v/>
      </c>
      <c r="G900" s="3">
        <f>+'Invullen groen'!J904</f>
        <v/>
      </c>
      <c r="H900" s="3">
        <f>+'Invullen groen'!K904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groen'!M905</f>
        <v/>
      </c>
      <c r="E901" s="3">
        <f>+'Invullen groen'!H905</f>
        <v/>
      </c>
      <c r="F901" s="3">
        <f>+'Invullen groen'!I905</f>
        <v/>
      </c>
      <c r="G901" s="3">
        <f>+'Invullen groen'!J905</f>
        <v/>
      </c>
      <c r="H901" s="3">
        <f>+'Invullen groen'!K905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groen'!M906</f>
        <v/>
      </c>
      <c r="E902" s="3">
        <f>+'Invullen groen'!H906</f>
        <v/>
      </c>
      <c r="F902" s="3">
        <f>+'Invullen groen'!I906</f>
        <v/>
      </c>
      <c r="G902" s="3">
        <f>+'Invullen groen'!J906</f>
        <v/>
      </c>
      <c r="H902" s="3">
        <f>+'Invullen groen'!K906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groen'!M907</f>
        <v/>
      </c>
      <c r="E903" s="3">
        <f>+'Invullen groen'!H907</f>
        <v/>
      </c>
      <c r="F903" s="3">
        <f>+'Invullen groen'!I907</f>
        <v/>
      </c>
      <c r="G903" s="3">
        <f>+'Invullen groen'!J907</f>
        <v/>
      </c>
      <c r="H903" s="3">
        <f>+'Invullen groen'!K907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groen'!M908</f>
        <v/>
      </c>
      <c r="E904" s="3">
        <f>+'Invullen groen'!H908</f>
        <v/>
      </c>
      <c r="F904" s="3">
        <f>+'Invullen groen'!I908</f>
        <v/>
      </c>
      <c r="G904" s="3">
        <f>+'Invullen groen'!J908</f>
        <v/>
      </c>
      <c r="H904" s="3">
        <f>+'Invullen groen'!K908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groen'!M909</f>
        <v/>
      </c>
      <c r="E905" s="3">
        <f>+'Invullen groen'!H909</f>
        <v/>
      </c>
      <c r="F905" s="3">
        <f>+'Invullen groen'!I909</f>
        <v/>
      </c>
      <c r="G905" s="3">
        <f>+'Invullen groen'!J909</f>
        <v/>
      </c>
      <c r="H905" s="3">
        <f>+'Invullen groen'!K909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groen'!M910</f>
        <v/>
      </c>
      <c r="E906" s="3">
        <f>+'Invullen groen'!H910</f>
        <v/>
      </c>
      <c r="F906" s="3">
        <f>+'Invullen groen'!I910</f>
        <v/>
      </c>
      <c r="G906" s="3">
        <f>+'Invullen groen'!J910</f>
        <v/>
      </c>
      <c r="H906" s="3">
        <f>+'Invullen groen'!K910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groen'!M911</f>
        <v/>
      </c>
      <c r="E907" s="3">
        <f>+'Invullen groen'!H911</f>
        <v/>
      </c>
      <c r="F907" s="3">
        <f>+'Invullen groen'!I911</f>
        <v/>
      </c>
      <c r="G907" s="3">
        <f>+'Invullen groen'!J911</f>
        <v/>
      </c>
      <c r="H907" s="3">
        <f>+'Invullen groen'!K911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groen'!M912</f>
        <v/>
      </c>
      <c r="E908" s="3">
        <f>+'Invullen groen'!H912</f>
        <v/>
      </c>
      <c r="F908" s="3">
        <f>+'Invullen groen'!I912</f>
        <v/>
      </c>
      <c r="G908" s="3">
        <f>+'Invullen groen'!J912</f>
        <v/>
      </c>
      <c r="H908" s="3">
        <f>+'Invullen groen'!K912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groen'!M913</f>
        <v/>
      </c>
      <c r="E909" s="3">
        <f>+'Invullen groen'!H913</f>
        <v/>
      </c>
      <c r="F909" s="3">
        <f>+'Invullen groen'!I913</f>
        <v/>
      </c>
      <c r="G909" s="3">
        <f>+'Invullen groen'!J913</f>
        <v/>
      </c>
      <c r="H909" s="3">
        <f>+'Invullen groen'!K913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groen'!M914</f>
        <v/>
      </c>
      <c r="E910" s="3">
        <f>+'Invullen groen'!H914</f>
        <v/>
      </c>
      <c r="F910" s="3">
        <f>+'Invullen groen'!I914</f>
        <v/>
      </c>
      <c r="G910" s="3">
        <f>+'Invullen groen'!J914</f>
        <v/>
      </c>
      <c r="H910" s="3">
        <f>+'Invullen groen'!K914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groen'!M915</f>
        <v/>
      </c>
      <c r="E911" s="3">
        <f>+'Invullen groen'!H915</f>
        <v/>
      </c>
      <c r="F911" s="3">
        <f>+'Invullen groen'!I915</f>
        <v/>
      </c>
      <c r="G911" s="3">
        <f>+'Invullen groen'!J915</f>
        <v/>
      </c>
      <c r="H911" s="3">
        <f>+'Invullen groen'!K915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groen'!M916</f>
        <v/>
      </c>
      <c r="E912" s="3">
        <f>+'Invullen groen'!H916</f>
        <v/>
      </c>
      <c r="F912" s="3">
        <f>+'Invullen groen'!I916</f>
        <v/>
      </c>
      <c r="G912" s="3">
        <f>+'Invullen groen'!J916</f>
        <v/>
      </c>
      <c r="H912" s="3">
        <f>+'Invullen groen'!K916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groen'!M917</f>
        <v/>
      </c>
      <c r="E913" s="3">
        <f>+'Invullen groen'!H917</f>
        <v/>
      </c>
      <c r="F913" s="3">
        <f>+'Invullen groen'!I917</f>
        <v/>
      </c>
      <c r="G913" s="3">
        <f>+'Invullen groen'!J917</f>
        <v/>
      </c>
      <c r="H913" s="3">
        <f>+'Invullen groen'!K917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groen'!M918</f>
        <v/>
      </c>
      <c r="E914" s="3">
        <f>+'Invullen groen'!H918</f>
        <v/>
      </c>
      <c r="F914" s="3">
        <f>+'Invullen groen'!I918</f>
        <v/>
      </c>
      <c r="G914" s="3">
        <f>+'Invullen groen'!J918</f>
        <v/>
      </c>
      <c r="H914" s="3">
        <f>+'Invullen groen'!K918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groen'!M919</f>
        <v/>
      </c>
      <c r="E915" s="3">
        <f>+'Invullen groen'!H919</f>
        <v/>
      </c>
      <c r="F915" s="3">
        <f>+'Invullen groen'!I919</f>
        <v/>
      </c>
      <c r="G915" s="3">
        <f>+'Invullen groen'!J919</f>
        <v/>
      </c>
      <c r="H915" s="3">
        <f>+'Invullen groen'!K919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groen'!M920</f>
        <v/>
      </c>
      <c r="E916" s="3">
        <f>+'Invullen groen'!H920</f>
        <v/>
      </c>
      <c r="F916" s="3">
        <f>+'Invullen groen'!I920</f>
        <v/>
      </c>
      <c r="G916" s="3">
        <f>+'Invullen groen'!J920</f>
        <v/>
      </c>
      <c r="H916" s="3">
        <f>+'Invullen groen'!K920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groen'!M921</f>
        <v/>
      </c>
      <c r="E917" s="3">
        <f>+'Invullen groen'!H921</f>
        <v/>
      </c>
      <c r="F917" s="3">
        <f>+'Invullen groen'!I921</f>
        <v/>
      </c>
      <c r="G917" s="3">
        <f>+'Invullen groen'!J921</f>
        <v/>
      </c>
      <c r="H917" s="3">
        <f>+'Invullen groen'!K921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groen'!M922</f>
        <v/>
      </c>
      <c r="E918" s="3">
        <f>+'Invullen groen'!H922</f>
        <v/>
      </c>
      <c r="F918" s="3">
        <f>+'Invullen groen'!I922</f>
        <v/>
      </c>
      <c r="G918" s="3">
        <f>+'Invullen groen'!J922</f>
        <v/>
      </c>
      <c r="H918" s="3">
        <f>+'Invullen groen'!K922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groen'!M923</f>
        <v/>
      </c>
      <c r="E919" s="3">
        <f>+'Invullen groen'!H923</f>
        <v/>
      </c>
      <c r="F919" s="3">
        <f>+'Invullen groen'!I923</f>
        <v/>
      </c>
      <c r="G919" s="3">
        <f>+'Invullen groen'!J923</f>
        <v/>
      </c>
      <c r="H919" s="3">
        <f>+'Invullen groen'!K923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groen'!M924</f>
        <v/>
      </c>
      <c r="E920" s="3">
        <f>+'Invullen groen'!H924</f>
        <v/>
      </c>
      <c r="F920" s="3">
        <f>+'Invullen groen'!I924</f>
        <v/>
      </c>
      <c r="G920" s="3">
        <f>+'Invullen groen'!J924</f>
        <v/>
      </c>
      <c r="H920" s="3">
        <f>+'Invullen groen'!K924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groen'!M925</f>
        <v/>
      </c>
      <c r="E921" s="3">
        <f>+'Invullen groen'!H925</f>
        <v/>
      </c>
      <c r="F921" s="3">
        <f>+'Invullen groen'!I925</f>
        <v/>
      </c>
      <c r="G921" s="3">
        <f>+'Invullen groen'!J925</f>
        <v/>
      </c>
      <c r="H921" s="3">
        <f>+'Invullen groen'!K925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groen'!M926</f>
        <v/>
      </c>
      <c r="E922" s="3">
        <f>+'Invullen groen'!H926</f>
        <v/>
      </c>
      <c r="F922" s="3">
        <f>+'Invullen groen'!I926</f>
        <v/>
      </c>
      <c r="G922" s="3">
        <f>+'Invullen groen'!J926</f>
        <v/>
      </c>
      <c r="H922" s="3">
        <f>+'Invullen groen'!K926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groen'!M927</f>
        <v/>
      </c>
      <c r="E923" s="3">
        <f>+'Invullen groen'!H927</f>
        <v/>
      </c>
      <c r="F923" s="3">
        <f>+'Invullen groen'!I927</f>
        <v/>
      </c>
      <c r="G923" s="3">
        <f>+'Invullen groen'!J927</f>
        <v/>
      </c>
      <c r="H923" s="3">
        <f>+'Invullen groen'!K927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groen'!M928</f>
        <v/>
      </c>
      <c r="E924" s="3">
        <f>+'Invullen groen'!H928</f>
        <v/>
      </c>
      <c r="F924" s="3">
        <f>+'Invullen groen'!I928</f>
        <v/>
      </c>
      <c r="G924" s="3">
        <f>+'Invullen groen'!J928</f>
        <v/>
      </c>
      <c r="H924" s="3">
        <f>+'Invullen groen'!K928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groen'!M929</f>
        <v/>
      </c>
      <c r="E925" s="3">
        <f>+'Invullen groen'!H929</f>
        <v/>
      </c>
      <c r="F925" s="3">
        <f>+'Invullen groen'!I929</f>
        <v/>
      </c>
      <c r="G925" s="3">
        <f>+'Invullen groen'!J929</f>
        <v/>
      </c>
      <c r="H925" s="3">
        <f>+'Invullen groen'!K929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groen'!M930</f>
        <v/>
      </c>
      <c r="E926" s="3">
        <f>+'Invullen groen'!H930</f>
        <v/>
      </c>
      <c r="F926" s="3">
        <f>+'Invullen groen'!I930</f>
        <v/>
      </c>
      <c r="G926" s="3">
        <f>+'Invullen groen'!J930</f>
        <v/>
      </c>
      <c r="H926" s="3">
        <f>+'Invullen groen'!K930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groen'!M931</f>
        <v/>
      </c>
      <c r="E927" s="3">
        <f>+'Invullen groen'!H931</f>
        <v/>
      </c>
      <c r="F927" s="3">
        <f>+'Invullen groen'!I931</f>
        <v/>
      </c>
      <c r="G927" s="3">
        <f>+'Invullen groen'!J931</f>
        <v/>
      </c>
      <c r="H927" s="3">
        <f>+'Invullen groen'!K931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groen'!M932</f>
        <v/>
      </c>
      <c r="E928" s="3">
        <f>+'Invullen groen'!H932</f>
        <v/>
      </c>
      <c r="F928" s="3">
        <f>+'Invullen groen'!I932</f>
        <v/>
      </c>
      <c r="G928" s="3">
        <f>+'Invullen groen'!J932</f>
        <v/>
      </c>
      <c r="H928" s="3">
        <f>+'Invullen groen'!K932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groen'!M933</f>
        <v/>
      </c>
      <c r="E929" s="3">
        <f>+'Invullen groen'!H933</f>
        <v/>
      </c>
      <c r="F929" s="3">
        <f>+'Invullen groen'!I933</f>
        <v/>
      </c>
      <c r="G929" s="3">
        <f>+'Invullen groen'!J933</f>
        <v/>
      </c>
      <c r="H929" s="3">
        <f>+'Invullen groen'!K933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groen'!M934</f>
        <v/>
      </c>
      <c r="E930" s="3">
        <f>+'Invullen groen'!H934</f>
        <v/>
      </c>
      <c r="F930" s="3">
        <f>+'Invullen groen'!I934</f>
        <v/>
      </c>
      <c r="G930" s="3">
        <f>+'Invullen groen'!J934</f>
        <v/>
      </c>
      <c r="H930" s="3">
        <f>+'Invullen groen'!K934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groen'!M935</f>
        <v/>
      </c>
      <c r="E931" s="3">
        <f>+'Invullen groen'!H935</f>
        <v/>
      </c>
      <c r="F931" s="3">
        <f>+'Invullen groen'!I935</f>
        <v/>
      </c>
      <c r="G931" s="3">
        <f>+'Invullen groen'!J935</f>
        <v/>
      </c>
      <c r="H931" s="3">
        <f>+'Invullen groen'!K935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groen'!M936</f>
        <v/>
      </c>
      <c r="E932" s="3">
        <f>+'Invullen groen'!H936</f>
        <v/>
      </c>
      <c r="F932" s="3">
        <f>+'Invullen groen'!I936</f>
        <v/>
      </c>
      <c r="G932" s="3">
        <f>+'Invullen groen'!J936</f>
        <v/>
      </c>
      <c r="H932" s="3">
        <f>+'Invullen groen'!K936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groen'!M937</f>
        <v/>
      </c>
      <c r="E933" s="3">
        <f>+'Invullen groen'!H937</f>
        <v/>
      </c>
      <c r="F933" s="3">
        <f>+'Invullen groen'!I937</f>
        <v/>
      </c>
      <c r="G933" s="3">
        <f>+'Invullen groen'!J937</f>
        <v/>
      </c>
      <c r="H933" s="3">
        <f>+'Invullen groen'!K937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groen'!M938</f>
        <v/>
      </c>
      <c r="E934" s="3">
        <f>+'Invullen groen'!H938</f>
        <v/>
      </c>
      <c r="F934" s="3">
        <f>+'Invullen groen'!I938</f>
        <v/>
      </c>
      <c r="G934" s="3">
        <f>+'Invullen groen'!J938</f>
        <v/>
      </c>
      <c r="H934" s="3">
        <f>+'Invullen groen'!K938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groen'!M939</f>
        <v/>
      </c>
      <c r="E935" s="3">
        <f>+'Invullen groen'!H939</f>
        <v/>
      </c>
      <c r="F935" s="3">
        <f>+'Invullen groen'!I939</f>
        <v/>
      </c>
      <c r="G935" s="3">
        <f>+'Invullen groen'!J939</f>
        <v/>
      </c>
      <c r="H935" s="3">
        <f>+'Invullen groen'!K939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groen'!M940</f>
        <v/>
      </c>
      <c r="E936" s="3">
        <f>+'Invullen groen'!H940</f>
        <v/>
      </c>
      <c r="F936" s="3">
        <f>+'Invullen groen'!I940</f>
        <v/>
      </c>
      <c r="G936" s="3">
        <f>+'Invullen groen'!J940</f>
        <v/>
      </c>
      <c r="H936" s="3">
        <f>+'Invullen groen'!K940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groen'!M941</f>
        <v/>
      </c>
      <c r="E937" s="3">
        <f>+'Invullen groen'!H941</f>
        <v/>
      </c>
      <c r="F937" s="3">
        <f>+'Invullen groen'!I941</f>
        <v/>
      </c>
      <c r="G937" s="3">
        <f>+'Invullen groen'!J941</f>
        <v/>
      </c>
      <c r="H937" s="3">
        <f>+'Invullen groen'!K941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groen'!M942</f>
        <v/>
      </c>
      <c r="E938" s="3">
        <f>+'Invullen groen'!H942</f>
        <v/>
      </c>
      <c r="F938" s="3">
        <f>+'Invullen groen'!I942</f>
        <v/>
      </c>
      <c r="G938" s="3">
        <f>+'Invullen groen'!J942</f>
        <v/>
      </c>
      <c r="H938" s="3">
        <f>+'Invullen groen'!K942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groen'!M943</f>
        <v/>
      </c>
      <c r="E939" s="3">
        <f>+'Invullen groen'!H943</f>
        <v/>
      </c>
      <c r="F939" s="3">
        <f>+'Invullen groen'!I943</f>
        <v/>
      </c>
      <c r="G939" s="3">
        <f>+'Invullen groen'!J943</f>
        <v/>
      </c>
      <c r="H939" s="3">
        <f>+'Invullen groen'!K943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groen'!M944</f>
        <v/>
      </c>
      <c r="E940" s="3">
        <f>+'Invullen groen'!H944</f>
        <v/>
      </c>
      <c r="F940" s="3">
        <f>+'Invullen groen'!I944</f>
        <v/>
      </c>
      <c r="G940" s="3">
        <f>+'Invullen groen'!J944</f>
        <v/>
      </c>
      <c r="H940" s="3">
        <f>+'Invullen groen'!K944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groen'!M945</f>
        <v/>
      </c>
      <c r="E941" s="3">
        <f>+'Invullen groen'!H945</f>
        <v/>
      </c>
      <c r="F941" s="3">
        <f>+'Invullen groen'!I945</f>
        <v/>
      </c>
      <c r="G941" s="3">
        <f>+'Invullen groen'!J945</f>
        <v/>
      </c>
      <c r="H941" s="3">
        <f>+'Invullen groen'!K945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groen'!M946</f>
        <v/>
      </c>
      <c r="E942" s="3">
        <f>+'Invullen groen'!H946</f>
        <v/>
      </c>
      <c r="F942" s="3">
        <f>+'Invullen groen'!I946</f>
        <v/>
      </c>
      <c r="G942" s="3">
        <f>+'Invullen groen'!J946</f>
        <v/>
      </c>
      <c r="H942" s="3">
        <f>+'Invullen groen'!K946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groen'!M947</f>
        <v/>
      </c>
      <c r="E943" s="3">
        <f>+'Invullen groen'!H947</f>
        <v/>
      </c>
      <c r="F943" s="3">
        <f>+'Invullen groen'!I947</f>
        <v/>
      </c>
      <c r="G943" s="3">
        <f>+'Invullen groen'!J947</f>
        <v/>
      </c>
      <c r="H943" s="3">
        <f>+'Invullen groen'!K947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groen'!M948</f>
        <v/>
      </c>
      <c r="E944" s="3">
        <f>+'Invullen groen'!H948</f>
        <v/>
      </c>
      <c r="F944" s="3">
        <f>+'Invullen groen'!I948</f>
        <v/>
      </c>
      <c r="G944" s="3">
        <f>+'Invullen groen'!J948</f>
        <v/>
      </c>
      <c r="H944" s="3">
        <f>+'Invullen groen'!K948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groen'!M949</f>
        <v/>
      </c>
      <c r="E945" s="3">
        <f>+'Invullen groen'!H949</f>
        <v/>
      </c>
      <c r="F945" s="3">
        <f>+'Invullen groen'!I949</f>
        <v/>
      </c>
      <c r="G945" s="3">
        <f>+'Invullen groen'!J949</f>
        <v/>
      </c>
      <c r="H945" s="3">
        <f>+'Invullen groen'!K949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groen'!M950</f>
        <v/>
      </c>
      <c r="E946" s="3">
        <f>+'Invullen groen'!H950</f>
        <v/>
      </c>
      <c r="F946" s="3">
        <f>+'Invullen groen'!I950</f>
        <v/>
      </c>
      <c r="G946" s="3">
        <f>+'Invullen groen'!J950</f>
        <v/>
      </c>
      <c r="H946" s="3">
        <f>+'Invullen groen'!K950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groen'!M951</f>
        <v/>
      </c>
      <c r="E947" s="3">
        <f>+'Invullen groen'!H951</f>
        <v/>
      </c>
      <c r="F947" s="3">
        <f>+'Invullen groen'!I951</f>
        <v/>
      </c>
      <c r="G947" s="3">
        <f>+'Invullen groen'!J951</f>
        <v/>
      </c>
      <c r="H947" s="3">
        <f>+'Invullen groen'!K951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groen'!M952</f>
        <v/>
      </c>
      <c r="E948" s="3">
        <f>+'Invullen groen'!H952</f>
        <v/>
      </c>
      <c r="F948" s="3">
        <f>+'Invullen groen'!I952</f>
        <v/>
      </c>
      <c r="G948" s="3">
        <f>+'Invullen groen'!J952</f>
        <v/>
      </c>
      <c r="H948" s="3">
        <f>+'Invullen groen'!K952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groen'!M953</f>
        <v/>
      </c>
      <c r="E949" s="3">
        <f>+'Invullen groen'!H953</f>
        <v/>
      </c>
      <c r="F949" s="3">
        <f>+'Invullen groen'!I953</f>
        <v/>
      </c>
      <c r="G949" s="3">
        <f>+'Invullen groen'!J953</f>
        <v/>
      </c>
      <c r="H949" s="3">
        <f>+'Invullen groen'!K953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groen'!M954</f>
        <v/>
      </c>
      <c r="E950" s="3">
        <f>+'Invullen groen'!H954</f>
        <v/>
      </c>
      <c r="F950" s="3">
        <f>+'Invullen groen'!I954</f>
        <v/>
      </c>
      <c r="G950" s="3">
        <f>+'Invullen groen'!J954</f>
        <v/>
      </c>
      <c r="H950" s="3">
        <f>+'Invullen groen'!K954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groen'!M955</f>
        <v/>
      </c>
      <c r="E951" s="3">
        <f>+'Invullen groen'!H955</f>
        <v/>
      </c>
      <c r="F951" s="3">
        <f>+'Invullen groen'!I955</f>
        <v/>
      </c>
      <c r="G951" s="3">
        <f>+'Invullen groen'!J955</f>
        <v/>
      </c>
      <c r="H951" s="3">
        <f>+'Invullen groen'!K955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groen'!M956</f>
        <v/>
      </c>
      <c r="E952" s="3">
        <f>+'Invullen groen'!H956</f>
        <v/>
      </c>
      <c r="F952" s="3">
        <f>+'Invullen groen'!I956</f>
        <v/>
      </c>
      <c r="G952" s="3">
        <f>+'Invullen groen'!J956</f>
        <v/>
      </c>
      <c r="H952" s="3">
        <f>+'Invullen groen'!K956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groen'!M957</f>
        <v/>
      </c>
      <c r="E953" s="3">
        <f>+'Invullen groen'!H957</f>
        <v/>
      </c>
      <c r="F953" s="3">
        <f>+'Invullen groen'!I957</f>
        <v/>
      </c>
      <c r="G953" s="3">
        <f>+'Invullen groen'!J957</f>
        <v/>
      </c>
      <c r="H953" s="3">
        <f>+'Invullen groen'!K957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groen'!M958</f>
        <v/>
      </c>
      <c r="E954" s="3">
        <f>+'Invullen groen'!H958</f>
        <v/>
      </c>
      <c r="F954" s="3">
        <f>+'Invullen groen'!I958</f>
        <v/>
      </c>
      <c r="G954" s="3">
        <f>+'Invullen groen'!J958</f>
        <v/>
      </c>
      <c r="H954" s="3">
        <f>+'Invullen groen'!K958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groen'!M959</f>
        <v/>
      </c>
      <c r="E955" s="3">
        <f>+'Invullen groen'!H959</f>
        <v/>
      </c>
      <c r="F955" s="3">
        <f>+'Invullen groen'!I959</f>
        <v/>
      </c>
      <c r="G955" s="3">
        <f>+'Invullen groen'!J959</f>
        <v/>
      </c>
      <c r="H955" s="3">
        <f>+'Invullen groen'!K959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groen'!M960</f>
        <v/>
      </c>
      <c r="E956" s="3">
        <f>+'Invullen groen'!H960</f>
        <v/>
      </c>
      <c r="F956" s="3">
        <f>+'Invullen groen'!I960</f>
        <v/>
      </c>
      <c r="G956" s="3">
        <f>+'Invullen groen'!J960</f>
        <v/>
      </c>
      <c r="H956" s="3">
        <f>+'Invullen groen'!K960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groen'!M961</f>
        <v/>
      </c>
      <c r="E957" s="3">
        <f>+'Invullen groen'!H961</f>
        <v/>
      </c>
      <c r="F957" s="3">
        <f>+'Invullen groen'!I961</f>
        <v/>
      </c>
      <c r="G957" s="3">
        <f>+'Invullen groen'!J961</f>
        <v/>
      </c>
      <c r="H957" s="3">
        <f>+'Invullen groen'!K961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groen'!M962</f>
        <v/>
      </c>
      <c r="E958" s="3">
        <f>+'Invullen groen'!H962</f>
        <v/>
      </c>
      <c r="F958" s="3">
        <f>+'Invullen groen'!I962</f>
        <v/>
      </c>
      <c r="G958" s="3">
        <f>+'Invullen groen'!J962</f>
        <v/>
      </c>
      <c r="H958" s="3">
        <f>+'Invullen groen'!K962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groen'!M963</f>
        <v/>
      </c>
      <c r="E959" s="3">
        <f>+'Invullen groen'!H963</f>
        <v/>
      </c>
      <c r="F959" s="3">
        <f>+'Invullen groen'!I963</f>
        <v/>
      </c>
      <c r="G959" s="3">
        <f>+'Invullen groen'!J963</f>
        <v/>
      </c>
      <c r="H959" s="3">
        <f>+'Invullen groen'!K963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groen'!M964</f>
        <v/>
      </c>
      <c r="E960" s="3">
        <f>+'Invullen groen'!H964</f>
        <v/>
      </c>
      <c r="F960" s="3">
        <f>+'Invullen groen'!I964</f>
        <v/>
      </c>
      <c r="G960" s="3">
        <f>+'Invullen groen'!J964</f>
        <v/>
      </c>
      <c r="H960" s="3">
        <f>+'Invullen groen'!K964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groen'!M965</f>
        <v/>
      </c>
      <c r="E961" s="3">
        <f>+'Invullen groen'!H965</f>
        <v/>
      </c>
      <c r="F961" s="3">
        <f>+'Invullen groen'!I965</f>
        <v/>
      </c>
      <c r="G961" s="3">
        <f>+'Invullen groen'!J965</f>
        <v/>
      </c>
      <c r="H961" s="3">
        <f>+'Invullen groen'!K965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groen'!M966</f>
        <v/>
      </c>
      <c r="E962" s="3">
        <f>+'Invullen groen'!H966</f>
        <v/>
      </c>
      <c r="F962" s="3">
        <f>+'Invullen groen'!I966</f>
        <v/>
      </c>
      <c r="G962" s="3">
        <f>+'Invullen groen'!J966</f>
        <v/>
      </c>
      <c r="H962" s="3">
        <f>+'Invullen groen'!K966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groen'!M967</f>
        <v/>
      </c>
      <c r="E963" s="3">
        <f>+'Invullen groen'!H967</f>
        <v/>
      </c>
      <c r="F963" s="3">
        <f>+'Invullen groen'!I967</f>
        <v/>
      </c>
      <c r="G963" s="3">
        <f>+'Invullen groen'!J967</f>
        <v/>
      </c>
      <c r="H963" s="3">
        <f>+'Invullen groen'!K967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groen'!M968</f>
        <v/>
      </c>
      <c r="E964" s="3">
        <f>+'Invullen groen'!H968</f>
        <v/>
      </c>
      <c r="F964" s="3">
        <f>+'Invullen groen'!I968</f>
        <v/>
      </c>
      <c r="G964" s="3">
        <f>+'Invullen groen'!J968</f>
        <v/>
      </c>
      <c r="H964" s="3">
        <f>+'Invullen groen'!K968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groen'!M969</f>
        <v/>
      </c>
      <c r="E965" s="3">
        <f>+'Invullen groen'!H969</f>
        <v/>
      </c>
      <c r="F965" s="3">
        <f>+'Invullen groen'!I969</f>
        <v/>
      </c>
      <c r="G965" s="3">
        <f>+'Invullen groen'!J969</f>
        <v/>
      </c>
      <c r="H965" s="3">
        <f>+'Invullen groen'!K969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groen'!M970</f>
        <v/>
      </c>
      <c r="E966" s="3">
        <f>+'Invullen groen'!H970</f>
        <v/>
      </c>
      <c r="F966" s="3">
        <f>+'Invullen groen'!I970</f>
        <v/>
      </c>
      <c r="G966" s="3">
        <f>+'Invullen groen'!J970</f>
        <v/>
      </c>
      <c r="H966" s="3">
        <f>+'Invullen groen'!K970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groen'!M971</f>
        <v/>
      </c>
      <c r="E967" s="3">
        <f>+'Invullen groen'!H971</f>
        <v/>
      </c>
      <c r="F967" s="3">
        <f>+'Invullen groen'!I971</f>
        <v/>
      </c>
      <c r="G967" s="3">
        <f>+'Invullen groen'!J971</f>
        <v/>
      </c>
      <c r="H967" s="3">
        <f>+'Invullen groen'!K971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groen'!M972</f>
        <v/>
      </c>
      <c r="E968" s="3">
        <f>+'Invullen groen'!H972</f>
        <v/>
      </c>
      <c r="F968" s="3">
        <f>+'Invullen groen'!I972</f>
        <v/>
      </c>
      <c r="G968" s="3">
        <f>+'Invullen groen'!J972</f>
        <v/>
      </c>
      <c r="H968" s="3">
        <f>+'Invullen groen'!K972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groen'!M973</f>
        <v/>
      </c>
      <c r="E969" s="3">
        <f>+'Invullen groen'!H973</f>
        <v/>
      </c>
      <c r="F969" s="3">
        <f>+'Invullen groen'!I973</f>
        <v/>
      </c>
      <c r="G969" s="3">
        <f>+'Invullen groen'!J973</f>
        <v/>
      </c>
      <c r="H969" s="3">
        <f>+'Invullen groen'!K973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groen'!M974</f>
        <v/>
      </c>
      <c r="E970" s="3">
        <f>+'Invullen groen'!H974</f>
        <v/>
      </c>
      <c r="F970" s="3">
        <f>+'Invullen groen'!I974</f>
        <v/>
      </c>
      <c r="G970" s="3">
        <f>+'Invullen groen'!J974</f>
        <v/>
      </c>
      <c r="H970" s="3">
        <f>+'Invullen groen'!K974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groen'!M975</f>
        <v/>
      </c>
      <c r="E971" s="3">
        <f>+'Invullen groen'!H975</f>
        <v/>
      </c>
      <c r="F971" s="3">
        <f>+'Invullen groen'!I975</f>
        <v/>
      </c>
      <c r="G971" s="3">
        <f>+'Invullen groen'!J975</f>
        <v/>
      </c>
      <c r="H971" s="3">
        <f>+'Invullen groen'!K975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groen'!M976</f>
        <v/>
      </c>
      <c r="E972" s="3">
        <f>+'Invullen groen'!H976</f>
        <v/>
      </c>
      <c r="F972" s="3">
        <f>+'Invullen groen'!I976</f>
        <v/>
      </c>
      <c r="G972" s="3">
        <f>+'Invullen groen'!J976</f>
        <v/>
      </c>
      <c r="H972" s="3">
        <f>+'Invullen groen'!K976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groen'!M977</f>
        <v/>
      </c>
      <c r="E973" s="3">
        <f>+'Invullen groen'!H977</f>
        <v/>
      </c>
      <c r="F973" s="3">
        <f>+'Invullen groen'!I977</f>
        <v/>
      </c>
      <c r="G973" s="3">
        <f>+'Invullen groen'!J977</f>
        <v/>
      </c>
      <c r="H973" s="3">
        <f>+'Invullen groen'!K977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groen'!M978</f>
        <v/>
      </c>
      <c r="E974" s="3">
        <f>+'Invullen groen'!H978</f>
        <v/>
      </c>
      <c r="F974" s="3">
        <f>+'Invullen groen'!I978</f>
        <v/>
      </c>
      <c r="G974" s="3">
        <f>+'Invullen groen'!J978</f>
        <v/>
      </c>
      <c r="H974" s="3">
        <f>+'Invullen groen'!K978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groen'!M979</f>
        <v/>
      </c>
      <c r="E975" s="3">
        <f>+'Invullen groen'!H979</f>
        <v/>
      </c>
      <c r="F975" s="3">
        <f>+'Invullen groen'!I979</f>
        <v/>
      </c>
      <c r="G975" s="3">
        <f>+'Invullen groen'!J979</f>
        <v/>
      </c>
      <c r="H975" s="3">
        <f>+'Invullen groen'!K979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groen'!M980</f>
        <v/>
      </c>
      <c r="E976" s="3">
        <f>+'Invullen groen'!H980</f>
        <v/>
      </c>
      <c r="F976" s="3">
        <f>+'Invullen groen'!I980</f>
        <v/>
      </c>
      <c r="G976" s="3">
        <f>+'Invullen groen'!J980</f>
        <v/>
      </c>
      <c r="H976" s="3">
        <f>+'Invullen groen'!K980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groen'!M981</f>
        <v/>
      </c>
      <c r="E977" s="3">
        <f>+'Invullen groen'!H981</f>
        <v/>
      </c>
      <c r="F977" s="3">
        <f>+'Invullen groen'!I981</f>
        <v/>
      </c>
      <c r="G977" s="3">
        <f>+'Invullen groen'!J981</f>
        <v/>
      </c>
      <c r="H977" s="3">
        <f>+'Invullen groen'!K981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groen'!M982</f>
        <v/>
      </c>
      <c r="E978" s="3">
        <f>+'Invullen groen'!H982</f>
        <v/>
      </c>
      <c r="F978" s="3">
        <f>+'Invullen groen'!I982</f>
        <v/>
      </c>
      <c r="G978" s="3">
        <f>+'Invullen groen'!J982</f>
        <v/>
      </c>
      <c r="H978" s="3">
        <f>+'Invullen groen'!K982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groen'!M983</f>
        <v/>
      </c>
      <c r="E979" s="3">
        <f>+'Invullen groen'!H983</f>
        <v/>
      </c>
      <c r="F979" s="3">
        <f>+'Invullen groen'!I983</f>
        <v/>
      </c>
      <c r="G979" s="3">
        <f>+'Invullen groen'!J983</f>
        <v/>
      </c>
      <c r="H979" s="3">
        <f>+'Invullen groen'!K983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groen'!M984</f>
        <v/>
      </c>
      <c r="E980" s="3">
        <f>+'Invullen groen'!H984</f>
        <v/>
      </c>
      <c r="F980" s="3">
        <f>+'Invullen groen'!I984</f>
        <v/>
      </c>
      <c r="G980" s="3">
        <f>+'Invullen groen'!J984</f>
        <v/>
      </c>
      <c r="H980" s="3">
        <f>+'Invullen groen'!K984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groen'!M985</f>
        <v/>
      </c>
      <c r="E981" s="3">
        <f>+'Invullen groen'!H985</f>
        <v/>
      </c>
      <c r="F981" s="3">
        <f>+'Invullen groen'!I985</f>
        <v/>
      </c>
      <c r="G981" s="3">
        <f>+'Invullen groen'!J985</f>
        <v/>
      </c>
      <c r="H981" s="3">
        <f>+'Invullen groen'!K985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groen'!M986</f>
        <v/>
      </c>
      <c r="E982" s="3">
        <f>+'Invullen groen'!H986</f>
        <v/>
      </c>
      <c r="F982" s="3">
        <f>+'Invullen groen'!I986</f>
        <v/>
      </c>
      <c r="G982" s="3">
        <f>+'Invullen groen'!J986</f>
        <v/>
      </c>
      <c r="H982" s="3">
        <f>+'Invullen groen'!K986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groen'!M987</f>
        <v/>
      </c>
      <c r="E983" s="3">
        <f>+'Invullen groen'!H987</f>
        <v/>
      </c>
      <c r="F983" s="3">
        <f>+'Invullen groen'!I987</f>
        <v/>
      </c>
      <c r="G983" s="3">
        <f>+'Invullen groen'!J987</f>
        <v/>
      </c>
      <c r="H983" s="3">
        <f>+'Invullen groen'!K987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groen'!M988</f>
        <v/>
      </c>
      <c r="E984" s="3">
        <f>+'Invullen groen'!H988</f>
        <v/>
      </c>
      <c r="F984" s="3">
        <f>+'Invullen groen'!I988</f>
        <v/>
      </c>
      <c r="G984" s="3">
        <f>+'Invullen groen'!J988</f>
        <v/>
      </c>
      <c r="H984" s="3">
        <f>+'Invullen groen'!K988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groen'!M989</f>
        <v/>
      </c>
      <c r="E985" s="3">
        <f>+'Invullen groen'!H989</f>
        <v/>
      </c>
      <c r="F985" s="3">
        <f>+'Invullen groen'!I989</f>
        <v/>
      </c>
      <c r="G985" s="3">
        <f>+'Invullen groen'!J989</f>
        <v/>
      </c>
      <c r="H985" s="3">
        <f>+'Invullen groen'!K989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groen'!M990</f>
        <v/>
      </c>
      <c r="E986" s="3">
        <f>+'Invullen groen'!H990</f>
        <v/>
      </c>
      <c r="F986" s="3">
        <f>+'Invullen groen'!I990</f>
        <v/>
      </c>
      <c r="G986" s="3">
        <f>+'Invullen groen'!J990</f>
        <v/>
      </c>
      <c r="H986" s="3">
        <f>+'Invullen groen'!K990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groen'!M991</f>
        <v/>
      </c>
      <c r="E987" s="3">
        <f>+'Invullen groen'!H991</f>
        <v/>
      </c>
      <c r="F987" s="3">
        <f>+'Invullen groen'!I991</f>
        <v/>
      </c>
      <c r="G987" s="3">
        <f>+'Invullen groen'!J991</f>
        <v/>
      </c>
      <c r="H987" s="3">
        <f>+'Invullen groen'!K991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groen'!M992</f>
        <v/>
      </c>
      <c r="E988" s="3">
        <f>+'Invullen groen'!H992</f>
        <v/>
      </c>
      <c r="F988" s="3">
        <f>+'Invullen groen'!I992</f>
        <v/>
      </c>
      <c r="G988" s="3">
        <f>+'Invullen groen'!J992</f>
        <v/>
      </c>
      <c r="H988" s="3">
        <f>+'Invullen groen'!K992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groen'!M993</f>
        <v/>
      </c>
      <c r="E989" s="3">
        <f>+'Invullen groen'!H993</f>
        <v/>
      </c>
      <c r="F989" s="3">
        <f>+'Invullen groen'!I993</f>
        <v/>
      </c>
      <c r="G989" s="3">
        <f>+'Invullen groen'!J993</f>
        <v/>
      </c>
      <c r="H989" s="3">
        <f>+'Invullen groen'!K993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groen'!M994</f>
        <v/>
      </c>
      <c r="E990" s="3">
        <f>+'Invullen groen'!H994</f>
        <v/>
      </c>
      <c r="F990" s="3">
        <f>+'Invullen groen'!I994</f>
        <v/>
      </c>
      <c r="G990" s="3">
        <f>+'Invullen groen'!J994</f>
        <v/>
      </c>
      <c r="H990" s="3">
        <f>+'Invullen groen'!K994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groen'!M995</f>
        <v/>
      </c>
      <c r="E991" s="3">
        <f>+'Invullen groen'!H995</f>
        <v/>
      </c>
      <c r="F991" s="3">
        <f>+'Invullen groen'!I995</f>
        <v/>
      </c>
      <c r="G991" s="3">
        <f>+'Invullen groen'!J995</f>
        <v/>
      </c>
      <c r="H991" s="3">
        <f>+'Invullen groen'!K995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groen'!M996</f>
        <v/>
      </c>
      <c r="E992" s="3">
        <f>+'Invullen groen'!H996</f>
        <v/>
      </c>
      <c r="F992" s="3">
        <f>+'Invullen groen'!I996</f>
        <v/>
      </c>
      <c r="G992" s="3">
        <f>+'Invullen groen'!J996</f>
        <v/>
      </c>
      <c r="H992" s="3">
        <f>+'Invullen groen'!K996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groen'!M997</f>
        <v/>
      </c>
      <c r="E993" s="3">
        <f>+'Invullen groen'!H997</f>
        <v/>
      </c>
      <c r="F993" s="3">
        <f>+'Invullen groen'!I997</f>
        <v/>
      </c>
      <c r="G993" s="3">
        <f>+'Invullen groen'!J997</f>
        <v/>
      </c>
      <c r="H993" s="3">
        <f>+'Invullen groen'!K997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groen'!M998</f>
        <v/>
      </c>
      <c r="E994" s="3">
        <f>+'Invullen groen'!H998</f>
        <v/>
      </c>
      <c r="F994" s="3">
        <f>+'Invullen groen'!I998</f>
        <v/>
      </c>
      <c r="G994" s="3">
        <f>+'Invullen groen'!J998</f>
        <v/>
      </c>
      <c r="H994" s="3">
        <f>+'Invullen groen'!K998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groen'!M999</f>
        <v/>
      </c>
      <c r="E995" s="3">
        <f>+'Invullen groen'!H999</f>
        <v/>
      </c>
      <c r="F995" s="3">
        <f>+'Invullen groen'!I999</f>
        <v/>
      </c>
      <c r="G995" s="3">
        <f>+'Invullen groen'!J999</f>
        <v/>
      </c>
      <c r="H995" s="3">
        <f>+'Invullen groen'!K999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groen'!M1000</f>
        <v/>
      </c>
      <c r="E996" s="3">
        <f>+'Invullen groen'!H1000</f>
        <v/>
      </c>
      <c r="F996" s="3">
        <f>+'Invullen groen'!I1000</f>
        <v/>
      </c>
      <c r="G996" s="3">
        <f>+'Invullen groen'!J1000</f>
        <v/>
      </c>
      <c r="H996" s="3">
        <f>+'Invullen groen'!K1000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groen'!M1001</f>
        <v/>
      </c>
      <c r="E997" s="3">
        <f>+'Invullen groen'!H1001</f>
        <v/>
      </c>
      <c r="F997" s="3">
        <f>+'Invullen groen'!I1001</f>
        <v/>
      </c>
      <c r="G997" s="3">
        <f>+'Invullen groen'!J1001</f>
        <v/>
      </c>
      <c r="H997" s="3">
        <f>+'Invullen groen'!K1001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groen'!M1002</f>
        <v/>
      </c>
      <c r="E998" s="3">
        <f>+'Invullen groen'!H1002</f>
        <v/>
      </c>
      <c r="F998" s="3">
        <f>+'Invullen groen'!I1002</f>
        <v/>
      </c>
      <c r="G998" s="3">
        <f>+'Invullen groen'!J1002</f>
        <v/>
      </c>
      <c r="H998" s="3">
        <f>+'Invullen groen'!K1002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groen'!M1003</f>
        <v/>
      </c>
      <c r="E999" s="3">
        <f>+'Invullen groen'!H1003</f>
        <v/>
      </c>
      <c r="F999" s="3">
        <f>+'Invullen groen'!I1003</f>
        <v/>
      </c>
      <c r="G999" s="3">
        <f>+'Invullen groen'!J1003</f>
        <v/>
      </c>
      <c r="H999" s="3">
        <f>+'Invullen groen'!K1003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groen'!M1004</f>
        <v/>
      </c>
      <c r="E1000" s="3">
        <f>+'Invullen groen'!H1004</f>
        <v/>
      </c>
      <c r="F1000" s="3">
        <f>+'Invullen groen'!I1004</f>
        <v/>
      </c>
      <c r="G1000" s="3">
        <f>+'Invullen groen'!J1004</f>
        <v/>
      </c>
      <c r="H1000" s="3">
        <f>+'Invullen groen'!K1004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groen'!M1005</f>
        <v/>
      </c>
      <c r="E1001" s="3">
        <f>+'Invullen groen'!H1005</f>
        <v/>
      </c>
      <c r="F1001" s="3">
        <f>+'Invullen groen'!I1005</f>
        <v/>
      </c>
      <c r="G1001" s="3">
        <f>+'Invullen groen'!J1005</f>
        <v/>
      </c>
      <c r="H1001" s="3">
        <f>+'Invullen groen'!K1005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groen'!M1006</f>
        <v/>
      </c>
      <c r="E1002" s="3">
        <f>+'Invullen groen'!H1006</f>
        <v/>
      </c>
      <c r="F1002" s="3">
        <f>+'Invullen groen'!I1006</f>
        <v/>
      </c>
      <c r="G1002" s="3">
        <f>+'Invullen groen'!J1006</f>
        <v/>
      </c>
      <c r="H1002" s="3">
        <f>+'Invullen groen'!K1006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groen'!M1007</f>
        <v/>
      </c>
      <c r="E1003" s="3">
        <f>+'Invullen groen'!H1007</f>
        <v/>
      </c>
      <c r="F1003" s="3">
        <f>+'Invullen groen'!I1007</f>
        <v/>
      </c>
      <c r="G1003" s="3">
        <f>+'Invullen groen'!J1007</f>
        <v/>
      </c>
      <c r="H1003" s="3">
        <f>+'Invullen groen'!K1007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groen'!M1008</f>
        <v/>
      </c>
      <c r="E1004" s="3">
        <f>+'Invullen groen'!H1008</f>
        <v/>
      </c>
      <c r="F1004" s="3">
        <f>+'Invullen groen'!I1008</f>
        <v/>
      </c>
      <c r="G1004" s="3">
        <f>+'Invullen groen'!J1008</f>
        <v/>
      </c>
      <c r="H1004" s="3">
        <f>+'Invullen groen'!K1008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groen'!M1009</f>
        <v/>
      </c>
      <c r="E1005" s="3">
        <f>+'Invullen groen'!H1009</f>
        <v/>
      </c>
      <c r="F1005" s="3">
        <f>+'Invullen groen'!I1009</f>
        <v/>
      </c>
      <c r="G1005" s="3">
        <f>+'Invullen groen'!J1009</f>
        <v/>
      </c>
      <c r="H1005" s="3">
        <f>+'Invullen groen'!K1009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groen'!M1010</f>
        <v/>
      </c>
      <c r="E1006" s="3">
        <f>+'Invullen groen'!H1010</f>
        <v/>
      </c>
      <c r="F1006" s="3">
        <f>+'Invullen groen'!I1010</f>
        <v/>
      </c>
      <c r="G1006" s="3">
        <f>+'Invullen groen'!J1010</f>
        <v/>
      </c>
      <c r="H1006" s="3">
        <f>+'Invullen groen'!K1010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groen'!M1011</f>
        <v/>
      </c>
      <c r="E1007" s="3">
        <f>+'Invullen groen'!H1011</f>
        <v/>
      </c>
      <c r="F1007" s="3">
        <f>+'Invullen groen'!I1011</f>
        <v/>
      </c>
      <c r="G1007" s="3">
        <f>+'Invullen groen'!J1011</f>
        <v/>
      </c>
      <c r="H1007" s="3">
        <f>+'Invullen groen'!K1011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groen'!M1012</f>
        <v/>
      </c>
      <c r="E1008" s="3">
        <f>+'Invullen groen'!H1012</f>
        <v/>
      </c>
      <c r="F1008" s="3">
        <f>+'Invullen groen'!I1012</f>
        <v/>
      </c>
      <c r="G1008" s="3">
        <f>+'Invullen groen'!J1012</f>
        <v/>
      </c>
      <c r="H1008" s="3">
        <f>+'Invullen groen'!K1012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groen'!M1013</f>
        <v/>
      </c>
      <c r="E1009" s="3">
        <f>+'Invullen groen'!H1013</f>
        <v/>
      </c>
      <c r="F1009" s="3">
        <f>+'Invullen groen'!I1013</f>
        <v/>
      </c>
      <c r="G1009" s="3">
        <f>+'Invullen groen'!J1013</f>
        <v/>
      </c>
      <c r="H1009" s="3">
        <f>+'Invullen groen'!K1013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groen'!M1014</f>
        <v/>
      </c>
      <c r="E1010" s="3">
        <f>+'Invullen groen'!H1014</f>
        <v/>
      </c>
      <c r="F1010" s="3">
        <f>+'Invullen groen'!I1014</f>
        <v/>
      </c>
      <c r="G1010" s="3">
        <f>+'Invullen groen'!J1014</f>
        <v/>
      </c>
      <c r="H1010" s="3">
        <f>+'Invullen groen'!K1014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groen'!M1015</f>
        <v/>
      </c>
      <c r="E1011" s="3">
        <f>+'Invullen groen'!H1015</f>
        <v/>
      </c>
      <c r="F1011" s="3">
        <f>+'Invullen groen'!I1015</f>
        <v/>
      </c>
      <c r="G1011" s="3">
        <f>+'Invullen groen'!J1015</f>
        <v/>
      </c>
      <c r="H1011" s="3">
        <f>+'Invullen groen'!K1015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groen'!M1016</f>
        <v/>
      </c>
      <c r="E1012" s="3">
        <f>+'Invullen groen'!H1016</f>
        <v/>
      </c>
      <c r="F1012" s="3">
        <f>+'Invullen groen'!I1016</f>
        <v/>
      </c>
      <c r="G1012" s="3">
        <f>+'Invullen groen'!J1016</f>
        <v/>
      </c>
      <c r="H1012" s="3">
        <f>+'Invullen groen'!K1016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groen'!M1017</f>
        <v/>
      </c>
      <c r="E1013" s="3">
        <f>+'Invullen groen'!H1017</f>
        <v/>
      </c>
      <c r="F1013" s="3">
        <f>+'Invullen groen'!I1017</f>
        <v/>
      </c>
      <c r="G1013" s="3">
        <f>+'Invullen groen'!J1017</f>
        <v/>
      </c>
      <c r="H1013" s="3">
        <f>+'Invullen groen'!K1017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groen'!M1018</f>
        <v/>
      </c>
      <c r="E1014" s="3">
        <f>+'Invullen groen'!H1018</f>
        <v/>
      </c>
      <c r="F1014" s="3">
        <f>+'Invullen groen'!I1018</f>
        <v/>
      </c>
      <c r="G1014" s="3">
        <f>+'Invullen groen'!J1018</f>
        <v/>
      </c>
      <c r="H1014" s="3">
        <f>+'Invullen groen'!K1018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groen'!M1019</f>
        <v/>
      </c>
      <c r="E1015" s="3">
        <f>+'Invullen groen'!H1019</f>
        <v/>
      </c>
      <c r="F1015" s="3">
        <f>+'Invullen groen'!I1019</f>
        <v/>
      </c>
      <c r="G1015" s="3">
        <f>+'Invullen groen'!J1019</f>
        <v/>
      </c>
      <c r="H1015" s="3">
        <f>+'Invullen groen'!K1019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groen'!M1020</f>
        <v/>
      </c>
      <c r="E1016" s="3">
        <f>+'Invullen groen'!H1020</f>
        <v/>
      </c>
      <c r="F1016" s="3">
        <f>+'Invullen groen'!I1020</f>
        <v/>
      </c>
      <c r="G1016" s="3">
        <f>+'Invullen groen'!J1020</f>
        <v/>
      </c>
      <c r="H1016" s="3">
        <f>+'Invullen groen'!K1020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groen'!M1021</f>
        <v/>
      </c>
      <c r="E1017" s="3">
        <f>+'Invullen groen'!H1021</f>
        <v/>
      </c>
      <c r="F1017" s="3">
        <f>+'Invullen groen'!I1021</f>
        <v/>
      </c>
      <c r="G1017" s="3">
        <f>+'Invullen groen'!J1021</f>
        <v/>
      </c>
      <c r="H1017" s="3">
        <f>+'Invullen groen'!K1021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groen'!M1022</f>
        <v/>
      </c>
      <c r="E1018" s="3">
        <f>+'Invullen groen'!H1022</f>
        <v/>
      </c>
      <c r="F1018" s="3">
        <f>+'Invullen groen'!I1022</f>
        <v/>
      </c>
      <c r="G1018" s="3">
        <f>+'Invullen groen'!J1022</f>
        <v/>
      </c>
      <c r="H1018" s="3">
        <f>+'Invullen groen'!K1022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groen'!M1023</f>
        <v/>
      </c>
      <c r="E1019" s="3">
        <f>+'Invullen groen'!H1023</f>
        <v/>
      </c>
      <c r="F1019" s="3">
        <f>+'Invullen groen'!I1023</f>
        <v/>
      </c>
      <c r="G1019" s="3">
        <f>+'Invullen groen'!J1023</f>
        <v/>
      </c>
      <c r="H1019" s="3">
        <f>+'Invullen groen'!K1023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groen'!M1024</f>
        <v/>
      </c>
      <c r="E1020" s="3">
        <f>+'Invullen groen'!H1024</f>
        <v/>
      </c>
      <c r="F1020" s="3">
        <f>+'Invullen groen'!I1024</f>
        <v/>
      </c>
      <c r="G1020" s="3">
        <f>+'Invullen groen'!J1024</f>
        <v/>
      </c>
      <c r="H1020" s="3">
        <f>+'Invullen groen'!K1024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groen'!M1025</f>
        <v/>
      </c>
      <c r="E1021" s="3">
        <f>+'Invullen groen'!H1025</f>
        <v/>
      </c>
      <c r="F1021" s="3">
        <f>+'Invullen groen'!I1025</f>
        <v/>
      </c>
      <c r="G1021" s="3">
        <f>+'Invullen groen'!J1025</f>
        <v/>
      </c>
      <c r="H1021" s="3">
        <f>+'Invullen groen'!K1025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groen'!M1026</f>
        <v/>
      </c>
      <c r="E1022" s="3">
        <f>+'Invullen groen'!H1026</f>
        <v/>
      </c>
      <c r="F1022" s="3">
        <f>+'Invullen groen'!I1026</f>
        <v/>
      </c>
      <c r="G1022" s="3">
        <f>+'Invullen groen'!J1026</f>
        <v/>
      </c>
      <c r="H1022" s="3">
        <f>+'Invullen groen'!K1026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groen'!M1027</f>
        <v/>
      </c>
      <c r="E1023" s="3">
        <f>+'Invullen groen'!H1027</f>
        <v/>
      </c>
      <c r="F1023" s="3">
        <f>+'Invullen groen'!I1027</f>
        <v/>
      </c>
      <c r="G1023" s="3">
        <f>+'Invullen groen'!J1027</f>
        <v/>
      </c>
      <c r="H1023" s="3">
        <f>+'Invullen groen'!K1027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groen'!M1028</f>
        <v/>
      </c>
      <c r="E1024" s="3">
        <f>+'Invullen groen'!H1028</f>
        <v/>
      </c>
      <c r="F1024" s="3">
        <f>+'Invullen groen'!I1028</f>
        <v/>
      </c>
      <c r="G1024" s="3">
        <f>+'Invullen groen'!J1028</f>
        <v/>
      </c>
      <c r="H1024" s="3">
        <f>+'Invullen groen'!K1028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groen'!M1029</f>
        <v/>
      </c>
      <c r="E1025" s="3">
        <f>+'Invullen groen'!H1029</f>
        <v/>
      </c>
      <c r="F1025" s="3">
        <f>+'Invullen groen'!I1029</f>
        <v/>
      </c>
      <c r="G1025" s="3">
        <f>+'Invullen groen'!J1029</f>
        <v/>
      </c>
      <c r="H1025" s="3">
        <f>+'Invullen groen'!K1029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groen'!M1030</f>
        <v/>
      </c>
      <c r="E1026" s="3">
        <f>+'Invullen groen'!H1030</f>
        <v/>
      </c>
      <c r="F1026" s="3">
        <f>+'Invullen groen'!I1030</f>
        <v/>
      </c>
      <c r="G1026" s="3">
        <f>+'Invullen groen'!J1030</f>
        <v/>
      </c>
      <c r="H1026" s="3">
        <f>+'Invullen groen'!K1030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groen'!M1031</f>
        <v/>
      </c>
      <c r="E1027" s="3">
        <f>+'Invullen groen'!H1031</f>
        <v/>
      </c>
      <c r="F1027" s="3">
        <f>+'Invullen groen'!I1031</f>
        <v/>
      </c>
      <c r="G1027" s="3">
        <f>+'Invullen groen'!J1031</f>
        <v/>
      </c>
      <c r="H1027" s="3">
        <f>+'Invullen groen'!K1031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groen'!M1032</f>
        <v/>
      </c>
      <c r="E1028" s="3">
        <f>+'Invullen groen'!H1032</f>
        <v/>
      </c>
      <c r="F1028" s="3">
        <f>+'Invullen groen'!I1032</f>
        <v/>
      </c>
      <c r="G1028" s="3">
        <f>+'Invullen groen'!J1032</f>
        <v/>
      </c>
      <c r="H1028" s="3">
        <f>+'Invullen groen'!K1032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groen'!M1033</f>
        <v/>
      </c>
      <c r="E1029" s="3">
        <f>+'Invullen groen'!H1033</f>
        <v/>
      </c>
      <c r="F1029" s="3">
        <f>+'Invullen groen'!I1033</f>
        <v/>
      </c>
      <c r="G1029" s="3">
        <f>+'Invullen groen'!J1033</f>
        <v/>
      </c>
      <c r="H1029" s="3">
        <f>+'Invullen groen'!K1033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groen'!M1034</f>
        <v/>
      </c>
      <c r="E1030" s="3">
        <f>+'Invullen groen'!H1034</f>
        <v/>
      </c>
      <c r="F1030" s="3">
        <f>+'Invullen groen'!I1034</f>
        <v/>
      </c>
      <c r="G1030" s="3">
        <f>+'Invullen groen'!J1034</f>
        <v/>
      </c>
      <c r="H1030" s="3">
        <f>+'Invullen groen'!K1034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groen'!M1035</f>
        <v/>
      </c>
      <c r="E1031" s="3">
        <f>+'Invullen groen'!H1035</f>
        <v/>
      </c>
      <c r="F1031" s="3">
        <f>+'Invullen groen'!I1035</f>
        <v/>
      </c>
      <c r="G1031" s="3">
        <f>+'Invullen groen'!J1035</f>
        <v/>
      </c>
      <c r="H1031" s="3">
        <f>+'Invullen groen'!K1035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groen'!M1036</f>
        <v/>
      </c>
      <c r="E1032" s="3">
        <f>+'Invullen groen'!H1036</f>
        <v/>
      </c>
      <c r="F1032" s="3">
        <f>+'Invullen groen'!I1036</f>
        <v/>
      </c>
      <c r="G1032" s="3">
        <f>+'Invullen groen'!J1036</f>
        <v/>
      </c>
      <c r="H1032" s="3">
        <f>+'Invullen groen'!K1036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groen'!M1037</f>
        <v/>
      </c>
      <c r="E1033" s="3">
        <f>+'Invullen groen'!H1037</f>
        <v/>
      </c>
      <c r="F1033" s="3">
        <f>+'Invullen groen'!I1037</f>
        <v/>
      </c>
      <c r="G1033" s="3">
        <f>+'Invullen groen'!J1037</f>
        <v/>
      </c>
      <c r="H1033" s="3">
        <f>+'Invullen groen'!K1037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groen'!M1038</f>
        <v/>
      </c>
      <c r="E1034" s="3">
        <f>+'Invullen groen'!H1038</f>
        <v/>
      </c>
      <c r="F1034" s="3">
        <f>+'Invullen groen'!I1038</f>
        <v/>
      </c>
      <c r="G1034" s="3">
        <f>+'Invullen groen'!J1038</f>
        <v/>
      </c>
      <c r="H1034" s="3">
        <f>+'Invullen groen'!K1038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groen'!M1039</f>
        <v/>
      </c>
      <c r="E1035" s="3">
        <f>+'Invullen groen'!H1039</f>
        <v/>
      </c>
      <c r="F1035" s="3">
        <f>+'Invullen groen'!I1039</f>
        <v/>
      </c>
      <c r="G1035" s="3">
        <f>+'Invullen groen'!J1039</f>
        <v/>
      </c>
      <c r="H1035" s="3">
        <f>+'Invullen groen'!K1039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groen'!M1040</f>
        <v/>
      </c>
      <c r="E1036" s="3">
        <f>+'Invullen groen'!H1040</f>
        <v/>
      </c>
      <c r="F1036" s="3">
        <f>+'Invullen groen'!I1040</f>
        <v/>
      </c>
      <c r="G1036" s="3">
        <f>+'Invullen groen'!J1040</f>
        <v/>
      </c>
      <c r="H1036" s="3">
        <f>+'Invullen groen'!K1040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groen'!M1041</f>
        <v/>
      </c>
      <c r="E1037" s="3">
        <f>+'Invullen groen'!H1041</f>
        <v/>
      </c>
      <c r="F1037" s="3">
        <f>+'Invullen groen'!I1041</f>
        <v/>
      </c>
      <c r="G1037" s="3">
        <f>+'Invullen groen'!J1041</f>
        <v/>
      </c>
      <c r="H1037" s="3">
        <f>+'Invullen groen'!K1041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groen'!M1042</f>
        <v/>
      </c>
      <c r="E1038" s="3">
        <f>+'Invullen groen'!H1042</f>
        <v/>
      </c>
      <c r="F1038" s="3">
        <f>+'Invullen groen'!I1042</f>
        <v/>
      </c>
      <c r="G1038" s="3">
        <f>+'Invullen groen'!J1042</f>
        <v/>
      </c>
      <c r="H1038" s="3">
        <f>+'Invullen groen'!K1042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groen'!M1043</f>
        <v/>
      </c>
      <c r="E1039" s="3">
        <f>+'Invullen groen'!H1043</f>
        <v/>
      </c>
      <c r="F1039" s="3">
        <f>+'Invullen groen'!I1043</f>
        <v/>
      </c>
      <c r="G1039" s="3">
        <f>+'Invullen groen'!J1043</f>
        <v/>
      </c>
      <c r="H1039" s="3">
        <f>+'Invullen groen'!K1043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groen'!M1044</f>
        <v/>
      </c>
      <c r="E1040" s="3">
        <f>+'Invullen groen'!H1044</f>
        <v/>
      </c>
      <c r="F1040" s="3">
        <f>+'Invullen groen'!I1044</f>
        <v/>
      </c>
      <c r="G1040" s="3">
        <f>+'Invullen groen'!J1044</f>
        <v/>
      </c>
      <c r="H1040" s="3">
        <f>+'Invullen groen'!K1044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groen'!M1045</f>
        <v/>
      </c>
      <c r="E1041" s="3">
        <f>+'Invullen groen'!H1045</f>
        <v/>
      </c>
      <c r="F1041" s="3">
        <f>+'Invullen groen'!I1045</f>
        <v/>
      </c>
      <c r="G1041" s="3">
        <f>+'Invullen groen'!J1045</f>
        <v/>
      </c>
      <c r="H1041" s="3">
        <f>+'Invullen groen'!K1045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groen'!M1046</f>
        <v/>
      </c>
      <c r="E1042" s="3">
        <f>+'Invullen groen'!H1046</f>
        <v/>
      </c>
      <c r="F1042" s="3">
        <f>+'Invullen groen'!I1046</f>
        <v/>
      </c>
      <c r="G1042" s="3">
        <f>+'Invullen groen'!J1046</f>
        <v/>
      </c>
      <c r="H1042" s="3">
        <f>+'Invullen groen'!K1046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groen'!M1047</f>
        <v/>
      </c>
      <c r="E1043" s="3">
        <f>+'Invullen groen'!H1047</f>
        <v/>
      </c>
      <c r="F1043" s="3">
        <f>+'Invullen groen'!I1047</f>
        <v/>
      </c>
      <c r="G1043" s="3">
        <f>+'Invullen groen'!J1047</f>
        <v/>
      </c>
      <c r="H1043" s="3">
        <f>+'Invullen groen'!K1047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groen'!M1048</f>
        <v/>
      </c>
      <c r="E1044" s="3">
        <f>+'Invullen groen'!H1048</f>
        <v/>
      </c>
      <c r="F1044" s="3">
        <f>+'Invullen groen'!I1048</f>
        <v/>
      </c>
      <c r="G1044" s="3">
        <f>+'Invullen groen'!J1048</f>
        <v/>
      </c>
      <c r="H1044" s="3">
        <f>+'Invullen groen'!K1048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groen'!M1049</f>
        <v/>
      </c>
      <c r="E1045" s="3">
        <f>+'Invullen groen'!H1049</f>
        <v/>
      </c>
      <c r="F1045" s="3">
        <f>+'Invullen groen'!I1049</f>
        <v/>
      </c>
      <c r="G1045" s="3">
        <f>+'Invullen groen'!J1049</f>
        <v/>
      </c>
      <c r="H1045" s="3">
        <f>+'Invullen groen'!K1049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groen'!M1050</f>
        <v/>
      </c>
      <c r="E1046" s="3">
        <f>+'Invullen groen'!H1050</f>
        <v/>
      </c>
      <c r="F1046" s="3">
        <f>+'Invullen groen'!I1050</f>
        <v/>
      </c>
      <c r="G1046" s="3">
        <f>+'Invullen groen'!J1050</f>
        <v/>
      </c>
      <c r="H1046" s="3">
        <f>+'Invullen groen'!K1050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groen'!M1051</f>
        <v/>
      </c>
      <c r="E1047" s="3">
        <f>+'Invullen groen'!H1051</f>
        <v/>
      </c>
      <c r="F1047" s="3">
        <f>+'Invullen groen'!I1051</f>
        <v/>
      </c>
      <c r="G1047" s="3">
        <f>+'Invullen groen'!J1051</f>
        <v/>
      </c>
      <c r="H1047" s="3">
        <f>+'Invullen groen'!K1051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groen'!M1052</f>
        <v/>
      </c>
      <c r="E1048" s="3">
        <f>+'Invullen groen'!H1052</f>
        <v/>
      </c>
      <c r="F1048" s="3">
        <f>+'Invullen groen'!I1052</f>
        <v/>
      </c>
      <c r="G1048" s="3">
        <f>+'Invullen groen'!J1052</f>
        <v/>
      </c>
      <c r="H1048" s="3">
        <f>+'Invullen groen'!K1052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groen'!M1053</f>
        <v/>
      </c>
      <c r="E1049" s="3">
        <f>+'Invullen groen'!H1053</f>
        <v/>
      </c>
      <c r="F1049" s="3">
        <f>+'Invullen groen'!I1053</f>
        <v/>
      </c>
      <c r="G1049" s="3">
        <f>+'Invullen groen'!J1053</f>
        <v/>
      </c>
      <c r="H1049" s="3">
        <f>+'Invullen groen'!K1053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groen'!M1054</f>
        <v/>
      </c>
      <c r="E1050" s="3">
        <f>+'Invullen groen'!H1054</f>
        <v/>
      </c>
      <c r="F1050" s="3">
        <f>+'Invullen groen'!I1054</f>
        <v/>
      </c>
      <c r="G1050" s="3">
        <f>+'Invullen groen'!J1054</f>
        <v/>
      </c>
      <c r="H1050" s="3">
        <f>+'Invullen groen'!K1054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groen'!M1055</f>
        <v/>
      </c>
      <c r="E1051" s="3">
        <f>+'Invullen groen'!H1055</f>
        <v/>
      </c>
      <c r="F1051" s="3">
        <f>+'Invullen groen'!I1055</f>
        <v/>
      </c>
      <c r="G1051" s="3">
        <f>+'Invullen groen'!J1055</f>
        <v/>
      </c>
      <c r="H1051" s="3">
        <f>+'Invullen groen'!K1055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groen'!M1056</f>
        <v/>
      </c>
      <c r="E1052" s="3">
        <f>+'Invullen groen'!H1056</f>
        <v/>
      </c>
      <c r="F1052" s="3">
        <f>+'Invullen groen'!I1056</f>
        <v/>
      </c>
      <c r="G1052" s="3">
        <f>+'Invullen groen'!J1056</f>
        <v/>
      </c>
      <c r="H1052" s="3">
        <f>+'Invullen groen'!K1056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groen'!M1057</f>
        <v/>
      </c>
      <c r="E1053" s="3">
        <f>+'Invullen groen'!H1057</f>
        <v/>
      </c>
      <c r="F1053" s="3">
        <f>+'Invullen groen'!I1057</f>
        <v/>
      </c>
      <c r="G1053" s="3">
        <f>+'Invullen groen'!J1057</f>
        <v/>
      </c>
      <c r="H1053" s="3">
        <f>+'Invullen groen'!K1057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groen'!M1058</f>
        <v/>
      </c>
      <c r="E1054" s="3">
        <f>+'Invullen groen'!H1058</f>
        <v/>
      </c>
      <c r="F1054" s="3">
        <f>+'Invullen groen'!I1058</f>
        <v/>
      </c>
      <c r="G1054" s="3">
        <f>+'Invullen groen'!J1058</f>
        <v/>
      </c>
      <c r="H1054" s="3">
        <f>+'Invullen groen'!K1058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groen'!M1059</f>
        <v/>
      </c>
      <c r="E1055" s="3">
        <f>+'Invullen groen'!H1059</f>
        <v/>
      </c>
      <c r="F1055" s="3">
        <f>+'Invullen groen'!I1059</f>
        <v/>
      </c>
      <c r="G1055" s="3">
        <f>+'Invullen groen'!J1059</f>
        <v/>
      </c>
      <c r="H1055" s="3">
        <f>+'Invullen groen'!K1059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groen'!M1060</f>
        <v/>
      </c>
      <c r="E1056" s="3">
        <f>+'Invullen groen'!H1060</f>
        <v/>
      </c>
      <c r="F1056" s="3">
        <f>+'Invullen groen'!I1060</f>
        <v/>
      </c>
      <c r="G1056" s="3">
        <f>+'Invullen groen'!J1060</f>
        <v/>
      </c>
      <c r="H1056" s="3">
        <f>+'Invullen groen'!K1060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groen'!M1061</f>
        <v/>
      </c>
      <c r="E1057" s="3">
        <f>+'Invullen groen'!H1061</f>
        <v/>
      </c>
      <c r="F1057" s="3">
        <f>+'Invullen groen'!I1061</f>
        <v/>
      </c>
      <c r="G1057" s="3">
        <f>+'Invullen groen'!J1061</f>
        <v/>
      </c>
      <c r="H1057" s="3">
        <f>+'Invullen groen'!K1061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groen'!M1062</f>
        <v/>
      </c>
      <c r="E1058" s="3">
        <f>+'Invullen groen'!H1062</f>
        <v/>
      </c>
      <c r="F1058" s="3">
        <f>+'Invullen groen'!I1062</f>
        <v/>
      </c>
      <c r="G1058" s="3">
        <f>+'Invullen groen'!J1062</f>
        <v/>
      </c>
      <c r="H1058" s="3">
        <f>+'Invullen groen'!K1062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groen'!M1063</f>
        <v/>
      </c>
      <c r="E1059" s="3">
        <f>+'Invullen groen'!H1063</f>
        <v/>
      </c>
      <c r="F1059" s="3">
        <f>+'Invullen groen'!I1063</f>
        <v/>
      </c>
      <c r="G1059" s="3">
        <f>+'Invullen groen'!J1063</f>
        <v/>
      </c>
      <c r="H1059" s="3">
        <f>+'Invullen groen'!K1063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groen'!M1064</f>
        <v/>
      </c>
      <c r="E1060" s="3">
        <f>+'Invullen groen'!H1064</f>
        <v/>
      </c>
      <c r="F1060" s="3">
        <f>+'Invullen groen'!I1064</f>
        <v/>
      </c>
      <c r="G1060" s="3">
        <f>+'Invullen groen'!J1064</f>
        <v/>
      </c>
      <c r="H1060" s="3">
        <f>+'Invullen groen'!K1064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groen'!M1065</f>
        <v/>
      </c>
      <c r="E1061" s="3">
        <f>+'Invullen groen'!H1065</f>
        <v/>
      </c>
      <c r="F1061" s="3">
        <f>+'Invullen groen'!I1065</f>
        <v/>
      </c>
      <c r="G1061" s="3">
        <f>+'Invullen groen'!J1065</f>
        <v/>
      </c>
      <c r="H1061" s="3">
        <f>+'Invullen groen'!K1065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groen'!M1066</f>
        <v/>
      </c>
      <c r="E1062" s="3">
        <f>+'Invullen groen'!H1066</f>
        <v/>
      </c>
      <c r="F1062" s="3">
        <f>+'Invullen groen'!I1066</f>
        <v/>
      </c>
      <c r="G1062" s="3">
        <f>+'Invullen groen'!J1066</f>
        <v/>
      </c>
      <c r="H1062" s="3">
        <f>+'Invullen groen'!K1066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groen'!M1067</f>
        <v/>
      </c>
      <c r="E1063" s="3">
        <f>+'Invullen groen'!H1067</f>
        <v/>
      </c>
      <c r="F1063" s="3">
        <f>+'Invullen groen'!I1067</f>
        <v/>
      </c>
      <c r="G1063" s="3">
        <f>+'Invullen groen'!J1067</f>
        <v/>
      </c>
      <c r="H1063" s="3">
        <f>+'Invullen groen'!K1067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groen'!M1068</f>
        <v/>
      </c>
      <c r="E1064" s="3">
        <f>+'Invullen groen'!H1068</f>
        <v/>
      </c>
      <c r="F1064" s="3">
        <f>+'Invullen groen'!I1068</f>
        <v/>
      </c>
      <c r="G1064" s="3">
        <f>+'Invullen groen'!J1068</f>
        <v/>
      </c>
      <c r="H1064" s="3">
        <f>+'Invullen groen'!K1068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groen'!M1069</f>
        <v/>
      </c>
      <c r="E1065" s="3">
        <f>+'Invullen groen'!H1069</f>
        <v/>
      </c>
      <c r="F1065" s="3">
        <f>+'Invullen groen'!I1069</f>
        <v/>
      </c>
      <c r="G1065" s="3">
        <f>+'Invullen groen'!J1069</f>
        <v/>
      </c>
      <c r="H1065" s="3">
        <f>+'Invullen groen'!K1069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groen'!M1070</f>
        <v/>
      </c>
      <c r="E1066" s="3">
        <f>+'Invullen groen'!H1070</f>
        <v/>
      </c>
      <c r="F1066" s="3">
        <f>+'Invullen groen'!I1070</f>
        <v/>
      </c>
      <c r="G1066" s="3">
        <f>+'Invullen groen'!J1070</f>
        <v/>
      </c>
      <c r="H1066" s="3">
        <f>+'Invullen groen'!K1070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groen'!M1071</f>
        <v/>
      </c>
      <c r="E1067" s="3">
        <f>+'Invullen groen'!H1071</f>
        <v/>
      </c>
      <c r="F1067" s="3">
        <f>+'Invullen groen'!I1071</f>
        <v/>
      </c>
      <c r="G1067" s="3">
        <f>+'Invullen groen'!J1071</f>
        <v/>
      </c>
      <c r="H1067" s="3">
        <f>+'Invullen groen'!K1071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groen'!M1072</f>
        <v/>
      </c>
      <c r="E1068" s="3">
        <f>+'Invullen groen'!H1072</f>
        <v/>
      </c>
      <c r="F1068" s="3">
        <f>+'Invullen groen'!I1072</f>
        <v/>
      </c>
      <c r="G1068" s="3">
        <f>+'Invullen groen'!J1072</f>
        <v/>
      </c>
      <c r="H1068" s="3">
        <f>+'Invullen groen'!K1072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groen'!M1073</f>
        <v/>
      </c>
      <c r="E1069" s="3">
        <f>+'Invullen groen'!H1073</f>
        <v/>
      </c>
      <c r="F1069" s="3">
        <f>+'Invullen groen'!I1073</f>
        <v/>
      </c>
      <c r="G1069" s="3">
        <f>+'Invullen groen'!J1073</f>
        <v/>
      </c>
      <c r="H1069" s="3">
        <f>+'Invullen groen'!K1073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groen'!M1074</f>
        <v/>
      </c>
      <c r="E1070" s="3">
        <f>+'Invullen groen'!H1074</f>
        <v/>
      </c>
      <c r="F1070" s="3">
        <f>+'Invullen groen'!I1074</f>
        <v/>
      </c>
      <c r="G1070" s="3">
        <f>+'Invullen groen'!J1074</f>
        <v/>
      </c>
      <c r="H1070" s="3">
        <f>+'Invullen groen'!K1074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groen'!M1075</f>
        <v/>
      </c>
      <c r="E1071" s="3">
        <f>+'Invullen groen'!H1075</f>
        <v/>
      </c>
      <c r="F1071" s="3">
        <f>+'Invullen groen'!I1075</f>
        <v/>
      </c>
      <c r="G1071" s="3">
        <f>+'Invullen groen'!J1075</f>
        <v/>
      </c>
      <c r="H1071" s="3">
        <f>+'Invullen groen'!K1075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groen'!M1076</f>
        <v/>
      </c>
      <c r="E1072" s="3">
        <f>+'Invullen groen'!H1076</f>
        <v/>
      </c>
      <c r="F1072" s="3">
        <f>+'Invullen groen'!I1076</f>
        <v/>
      </c>
      <c r="G1072" s="3">
        <f>+'Invullen groen'!J1076</f>
        <v/>
      </c>
      <c r="H1072" s="3">
        <f>+'Invullen groen'!K1076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groen'!M1077</f>
        <v/>
      </c>
      <c r="E1073" s="3">
        <f>+'Invullen groen'!H1077</f>
        <v/>
      </c>
      <c r="F1073" s="3">
        <f>+'Invullen groen'!I1077</f>
        <v/>
      </c>
      <c r="G1073" s="3">
        <f>+'Invullen groen'!J1077</f>
        <v/>
      </c>
      <c r="H1073" s="3">
        <f>+'Invullen groen'!K1077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groen'!M1078</f>
        <v/>
      </c>
      <c r="E1074" s="3">
        <f>+'Invullen groen'!H1078</f>
        <v/>
      </c>
      <c r="F1074" s="3">
        <f>+'Invullen groen'!I1078</f>
        <v/>
      </c>
      <c r="G1074" s="3">
        <f>+'Invullen groen'!J1078</f>
        <v/>
      </c>
      <c r="H1074" s="3">
        <f>+'Invullen groen'!K1078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groen'!M1079</f>
        <v/>
      </c>
      <c r="E1075" s="3">
        <f>+'Invullen groen'!H1079</f>
        <v/>
      </c>
      <c r="F1075" s="3">
        <f>+'Invullen groen'!I1079</f>
        <v/>
      </c>
      <c r="G1075" s="3">
        <f>+'Invullen groen'!J1079</f>
        <v/>
      </c>
      <c r="H1075" s="3">
        <f>+'Invullen groen'!K1079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groen'!M1080</f>
        <v/>
      </c>
      <c r="E1076" s="3">
        <f>+'Invullen groen'!H1080</f>
        <v/>
      </c>
      <c r="F1076" s="3">
        <f>+'Invullen groen'!I1080</f>
        <v/>
      </c>
      <c r="G1076" s="3">
        <f>+'Invullen groen'!J1080</f>
        <v/>
      </c>
      <c r="H1076" s="3">
        <f>+'Invullen groen'!K1080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groen'!M1081</f>
        <v/>
      </c>
      <c r="E1077" s="3">
        <f>+'Invullen groen'!H1081</f>
        <v/>
      </c>
      <c r="F1077" s="3">
        <f>+'Invullen groen'!I1081</f>
        <v/>
      </c>
      <c r="G1077" s="3">
        <f>+'Invullen groen'!J1081</f>
        <v/>
      </c>
      <c r="H1077" s="3">
        <f>+'Invullen groen'!K1081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groen'!M1082</f>
        <v/>
      </c>
      <c r="E1078" s="3">
        <f>+'Invullen groen'!H1082</f>
        <v/>
      </c>
      <c r="F1078" s="3">
        <f>+'Invullen groen'!I1082</f>
        <v/>
      </c>
      <c r="G1078" s="3">
        <f>+'Invullen groen'!J1082</f>
        <v/>
      </c>
      <c r="H1078" s="3">
        <f>+'Invullen groen'!K1082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groen'!M1083</f>
        <v/>
      </c>
      <c r="E1079" s="3">
        <f>+'Invullen groen'!H1083</f>
        <v/>
      </c>
      <c r="F1079" s="3">
        <f>+'Invullen groen'!I1083</f>
        <v/>
      </c>
      <c r="G1079" s="3">
        <f>+'Invullen groen'!J1083</f>
        <v/>
      </c>
      <c r="H1079" s="3">
        <f>+'Invullen groen'!K1083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groen'!M1084</f>
        <v/>
      </c>
      <c r="E1080" s="3">
        <f>+'Invullen groen'!H1084</f>
        <v/>
      </c>
      <c r="F1080" s="3">
        <f>+'Invullen groen'!I1084</f>
        <v/>
      </c>
      <c r="G1080" s="3">
        <f>+'Invullen groen'!J1084</f>
        <v/>
      </c>
      <c r="H1080" s="3">
        <f>+'Invullen groen'!K1084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groen'!M1085</f>
        <v/>
      </c>
      <c r="E1081" s="3">
        <f>+'Invullen groen'!H1085</f>
        <v/>
      </c>
      <c r="F1081" s="3">
        <f>+'Invullen groen'!I1085</f>
        <v/>
      </c>
      <c r="G1081" s="3">
        <f>+'Invullen groen'!J1085</f>
        <v/>
      </c>
      <c r="H1081" s="3">
        <f>+'Invullen groen'!K1085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groen'!M1086</f>
        <v/>
      </c>
      <c r="E1082" s="3">
        <f>+'Invullen groen'!H1086</f>
        <v/>
      </c>
      <c r="F1082" s="3">
        <f>+'Invullen groen'!I1086</f>
        <v/>
      </c>
      <c r="G1082" s="3">
        <f>+'Invullen groen'!J1086</f>
        <v/>
      </c>
      <c r="H1082" s="3">
        <f>+'Invullen groen'!K1086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groen'!M1087</f>
        <v/>
      </c>
      <c r="E1083" s="3">
        <f>+'Invullen groen'!H1087</f>
        <v/>
      </c>
      <c r="F1083" s="3">
        <f>+'Invullen groen'!I1087</f>
        <v/>
      </c>
      <c r="G1083" s="3">
        <f>+'Invullen groen'!J1087</f>
        <v/>
      </c>
      <c r="H1083" s="3">
        <f>+'Invullen groen'!K1087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groen'!M1088</f>
        <v/>
      </c>
      <c r="E1084" s="3">
        <f>+'Invullen groen'!H1088</f>
        <v/>
      </c>
      <c r="F1084" s="3">
        <f>+'Invullen groen'!I1088</f>
        <v/>
      </c>
      <c r="G1084" s="3">
        <f>+'Invullen groen'!J1088</f>
        <v/>
      </c>
      <c r="H1084" s="3">
        <f>+'Invullen groen'!K1088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groen'!M1089</f>
        <v/>
      </c>
      <c r="E1085" s="3">
        <f>+'Invullen groen'!H1089</f>
        <v/>
      </c>
      <c r="F1085" s="3">
        <f>+'Invullen groen'!I1089</f>
        <v/>
      </c>
      <c r="G1085" s="3">
        <f>+'Invullen groen'!J1089</f>
        <v/>
      </c>
      <c r="H1085" s="3">
        <f>+'Invullen groen'!K1089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groen'!M1090</f>
        <v/>
      </c>
      <c r="E1086" s="3">
        <f>+'Invullen groen'!H1090</f>
        <v/>
      </c>
      <c r="F1086" s="3">
        <f>+'Invullen groen'!I1090</f>
        <v/>
      </c>
      <c r="G1086" s="3">
        <f>+'Invullen groen'!J1090</f>
        <v/>
      </c>
      <c r="H1086" s="3">
        <f>+'Invullen groen'!K1090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groen'!M1091</f>
        <v/>
      </c>
      <c r="E1087" s="3">
        <f>+'Invullen groen'!H1091</f>
        <v/>
      </c>
      <c r="F1087" s="3">
        <f>+'Invullen groen'!I1091</f>
        <v/>
      </c>
      <c r="G1087" s="3">
        <f>+'Invullen groen'!J1091</f>
        <v/>
      </c>
      <c r="H1087" s="3">
        <f>+'Invullen groen'!K1091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groen'!M1092</f>
        <v/>
      </c>
      <c r="E1088" s="3">
        <f>+'Invullen groen'!H1092</f>
        <v/>
      </c>
      <c r="F1088" s="3">
        <f>+'Invullen groen'!I1092</f>
        <v/>
      </c>
      <c r="G1088" s="3">
        <f>+'Invullen groen'!J1092</f>
        <v/>
      </c>
      <c r="H1088" s="3">
        <f>+'Invullen groen'!K1092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groen'!M1093</f>
        <v/>
      </c>
      <c r="E1089" s="3">
        <f>+'Invullen groen'!H1093</f>
        <v/>
      </c>
      <c r="F1089" s="3">
        <f>+'Invullen groen'!I1093</f>
        <v/>
      </c>
      <c r="G1089" s="3">
        <f>+'Invullen groen'!J1093</f>
        <v/>
      </c>
      <c r="H1089" s="3">
        <f>+'Invullen groen'!K1093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groen'!M1094</f>
        <v/>
      </c>
      <c r="E1090" s="3">
        <f>+'Invullen groen'!H1094</f>
        <v/>
      </c>
      <c r="F1090" s="3">
        <f>+'Invullen groen'!I1094</f>
        <v/>
      </c>
      <c r="G1090" s="3">
        <f>+'Invullen groen'!J1094</f>
        <v/>
      </c>
      <c r="H1090" s="3">
        <f>+'Invullen groen'!K1094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groen'!M1095</f>
        <v/>
      </c>
      <c r="E1091" s="3">
        <f>+'Invullen groen'!H1095</f>
        <v/>
      </c>
      <c r="F1091" s="3">
        <f>+'Invullen groen'!I1095</f>
        <v/>
      </c>
      <c r="G1091" s="3">
        <f>+'Invullen groen'!J1095</f>
        <v/>
      </c>
      <c r="H1091" s="3">
        <f>+'Invullen groen'!K1095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groen'!M1096</f>
        <v/>
      </c>
      <c r="E1092" s="3">
        <f>+'Invullen groen'!H1096</f>
        <v/>
      </c>
      <c r="F1092" s="3">
        <f>+'Invullen groen'!I1096</f>
        <v/>
      </c>
      <c r="G1092" s="3">
        <f>+'Invullen groen'!J1096</f>
        <v/>
      </c>
      <c r="H1092" s="3">
        <f>+'Invullen groen'!K1096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groen'!M1097</f>
        <v/>
      </c>
      <c r="E1093" s="3">
        <f>+'Invullen groen'!H1097</f>
        <v/>
      </c>
      <c r="F1093" s="3">
        <f>+'Invullen groen'!I1097</f>
        <v/>
      </c>
      <c r="G1093" s="3">
        <f>+'Invullen groen'!J1097</f>
        <v/>
      </c>
      <c r="H1093" s="3">
        <f>+'Invullen groen'!K1097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groen'!M1098</f>
        <v/>
      </c>
      <c r="E1094" s="3">
        <f>+'Invullen groen'!H1098</f>
        <v/>
      </c>
      <c r="F1094" s="3">
        <f>+'Invullen groen'!I1098</f>
        <v/>
      </c>
      <c r="G1094" s="3">
        <f>+'Invullen groen'!J1098</f>
        <v/>
      </c>
      <c r="H1094" s="3">
        <f>+'Invullen groen'!K1098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groen'!M1099</f>
        <v/>
      </c>
      <c r="E1095" s="3">
        <f>+'Invullen groen'!H1099</f>
        <v/>
      </c>
      <c r="F1095" s="3">
        <f>+'Invullen groen'!I1099</f>
        <v/>
      </c>
      <c r="G1095" s="3">
        <f>+'Invullen groen'!J1099</f>
        <v/>
      </c>
      <c r="H1095" s="3">
        <f>+'Invullen groen'!K1099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groen'!M1100</f>
        <v/>
      </c>
      <c r="E1096" s="3">
        <f>+'Invullen groen'!H1100</f>
        <v/>
      </c>
      <c r="F1096" s="3">
        <f>+'Invullen groen'!I1100</f>
        <v/>
      </c>
      <c r="G1096" s="3">
        <f>+'Invullen groen'!J1100</f>
        <v/>
      </c>
      <c r="H1096" s="3">
        <f>+'Invullen groen'!K1100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groen'!M1101</f>
        <v/>
      </c>
      <c r="E1097" s="3">
        <f>+'Invullen groen'!H1101</f>
        <v/>
      </c>
      <c r="F1097" s="3">
        <f>+'Invullen groen'!I1101</f>
        <v/>
      </c>
      <c r="G1097" s="3">
        <f>+'Invullen groen'!J1101</f>
        <v/>
      </c>
      <c r="H1097" s="3">
        <f>+'Invullen groen'!K1101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groen'!M1102</f>
        <v/>
      </c>
      <c r="E1098" s="3">
        <f>+'Invullen groen'!H1102</f>
        <v/>
      </c>
      <c r="F1098" s="3">
        <f>+'Invullen groen'!I1102</f>
        <v/>
      </c>
      <c r="G1098" s="3">
        <f>+'Invullen groen'!J1102</f>
        <v/>
      </c>
      <c r="H1098" s="3">
        <f>+'Invullen groen'!K1102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groen'!M1103</f>
        <v/>
      </c>
      <c r="E1099" s="3">
        <f>+'Invullen groen'!H1103</f>
        <v/>
      </c>
      <c r="F1099" s="3">
        <f>+'Invullen groen'!I1103</f>
        <v/>
      </c>
      <c r="G1099" s="3">
        <f>+'Invullen groen'!J1103</f>
        <v/>
      </c>
      <c r="H1099" s="3">
        <f>+'Invullen groen'!K1103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groen'!M1104</f>
        <v/>
      </c>
      <c r="E1100" s="3">
        <f>+'Invullen groen'!H1104</f>
        <v/>
      </c>
      <c r="F1100" s="3">
        <f>+'Invullen groen'!I1104</f>
        <v/>
      </c>
      <c r="G1100" s="3">
        <f>+'Invullen groen'!J1104</f>
        <v/>
      </c>
      <c r="H1100" s="3">
        <f>+'Invullen groen'!K1104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groen'!M1105</f>
        <v/>
      </c>
      <c r="E1101" s="3">
        <f>+'Invullen groen'!H1105</f>
        <v/>
      </c>
      <c r="F1101" s="3">
        <f>+'Invullen groen'!I1105</f>
        <v/>
      </c>
      <c r="G1101" s="3">
        <f>+'Invullen groen'!J1105</f>
        <v/>
      </c>
      <c r="H1101" s="3">
        <f>+'Invullen groen'!K1105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groen'!M1106</f>
        <v/>
      </c>
      <c r="E1102" s="3">
        <f>+'Invullen groen'!H1106</f>
        <v/>
      </c>
      <c r="F1102" s="3">
        <f>+'Invullen groen'!I1106</f>
        <v/>
      </c>
      <c r="G1102" s="3">
        <f>+'Invullen groen'!J1106</f>
        <v/>
      </c>
      <c r="H1102" s="3">
        <f>+'Invullen groen'!K1106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groen'!M1107</f>
        <v/>
      </c>
      <c r="E1103" s="3">
        <f>+'Invullen groen'!H1107</f>
        <v/>
      </c>
      <c r="F1103" s="3">
        <f>+'Invullen groen'!I1107</f>
        <v/>
      </c>
      <c r="G1103" s="3">
        <f>+'Invullen groen'!J1107</f>
        <v/>
      </c>
      <c r="H1103" s="3">
        <f>+'Invullen groen'!K1107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groen'!M1108</f>
        <v/>
      </c>
      <c r="E1104" s="3">
        <f>+'Invullen groen'!H1108</f>
        <v/>
      </c>
      <c r="F1104" s="3">
        <f>+'Invullen groen'!I1108</f>
        <v/>
      </c>
      <c r="G1104" s="3">
        <f>+'Invullen groen'!J1108</f>
        <v/>
      </c>
      <c r="H1104" s="3">
        <f>+'Invullen groen'!K1108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groen'!M1109</f>
        <v/>
      </c>
      <c r="E1105" s="3">
        <f>+'Invullen groen'!H1109</f>
        <v/>
      </c>
      <c r="F1105" s="3">
        <f>+'Invullen groen'!I1109</f>
        <v/>
      </c>
      <c r="G1105" s="3">
        <f>+'Invullen groen'!J1109</f>
        <v/>
      </c>
      <c r="H1105" s="3">
        <f>+'Invullen groen'!K1109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groen'!M1110</f>
        <v/>
      </c>
      <c r="E1106" s="3">
        <f>+'Invullen groen'!H1110</f>
        <v/>
      </c>
      <c r="F1106" s="3">
        <f>+'Invullen groen'!I1110</f>
        <v/>
      </c>
      <c r="G1106" s="3">
        <f>+'Invullen groen'!J1110</f>
        <v/>
      </c>
      <c r="H1106" s="3">
        <f>+'Invullen groen'!K1110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groen'!M1111</f>
        <v/>
      </c>
      <c r="E1107" s="3">
        <f>+'Invullen groen'!H1111</f>
        <v/>
      </c>
      <c r="F1107" s="3">
        <f>+'Invullen groen'!I1111</f>
        <v/>
      </c>
      <c r="G1107" s="3">
        <f>+'Invullen groen'!J1111</f>
        <v/>
      </c>
      <c r="H1107" s="3">
        <f>+'Invullen groen'!K1111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groen'!M1112</f>
        <v/>
      </c>
      <c r="E1108" s="3">
        <f>+'Invullen groen'!H1112</f>
        <v/>
      </c>
      <c r="F1108" s="3">
        <f>+'Invullen groen'!I1112</f>
        <v/>
      </c>
      <c r="G1108" s="3">
        <f>+'Invullen groen'!J1112</f>
        <v/>
      </c>
      <c r="H1108" s="3">
        <f>+'Invullen groen'!K1112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groen'!M1113</f>
        <v/>
      </c>
      <c r="E1109" s="3">
        <f>+'Invullen groen'!H1113</f>
        <v/>
      </c>
      <c r="F1109" s="3">
        <f>+'Invullen groen'!I1113</f>
        <v/>
      </c>
      <c r="G1109" s="3">
        <f>+'Invullen groen'!J1113</f>
        <v/>
      </c>
      <c r="H1109" s="3">
        <f>+'Invullen groen'!K1113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groen'!M1114</f>
        <v/>
      </c>
      <c r="E1110" s="3">
        <f>+'Invullen groen'!H1114</f>
        <v/>
      </c>
      <c r="F1110" s="3">
        <f>+'Invullen groen'!I1114</f>
        <v/>
      </c>
      <c r="G1110" s="3">
        <f>+'Invullen groen'!J1114</f>
        <v/>
      </c>
      <c r="H1110" s="3">
        <f>+'Invullen groen'!K1114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groen'!M1115</f>
        <v/>
      </c>
      <c r="E1111" s="3">
        <f>+'Invullen groen'!H1115</f>
        <v/>
      </c>
      <c r="F1111" s="3">
        <f>+'Invullen groen'!I1115</f>
        <v/>
      </c>
      <c r="G1111" s="3">
        <f>+'Invullen groen'!J1115</f>
        <v/>
      </c>
      <c r="H1111" s="3">
        <f>+'Invullen groen'!K1115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groen'!M1116</f>
        <v/>
      </c>
      <c r="E1112" s="3">
        <f>+'Invullen groen'!H1116</f>
        <v/>
      </c>
      <c r="F1112" s="3">
        <f>+'Invullen groen'!I1116</f>
        <v/>
      </c>
      <c r="G1112" s="3">
        <f>+'Invullen groen'!J1116</f>
        <v/>
      </c>
      <c r="H1112" s="3">
        <f>+'Invullen groen'!K1116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groen'!M1117</f>
        <v/>
      </c>
      <c r="E1113" s="3">
        <f>+'Invullen groen'!H1117</f>
        <v/>
      </c>
      <c r="F1113" s="3">
        <f>+'Invullen groen'!I1117</f>
        <v/>
      </c>
      <c r="G1113" s="3">
        <f>+'Invullen groen'!J1117</f>
        <v/>
      </c>
      <c r="H1113" s="3">
        <f>+'Invullen groen'!K1117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groen'!M1118</f>
        <v/>
      </c>
      <c r="E1114" s="3">
        <f>+'Invullen groen'!H1118</f>
        <v/>
      </c>
      <c r="F1114" s="3">
        <f>+'Invullen groen'!I1118</f>
        <v/>
      </c>
      <c r="G1114" s="3">
        <f>+'Invullen groen'!J1118</f>
        <v/>
      </c>
      <c r="H1114" s="3">
        <f>+'Invullen groen'!K1118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groen'!M1119</f>
        <v/>
      </c>
      <c r="E1115" s="3">
        <f>+'Invullen groen'!H1119</f>
        <v/>
      </c>
      <c r="F1115" s="3">
        <f>+'Invullen groen'!I1119</f>
        <v/>
      </c>
      <c r="G1115" s="3">
        <f>+'Invullen groen'!J1119</f>
        <v/>
      </c>
      <c r="H1115" s="3">
        <f>+'Invullen groen'!K1119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groen'!M1120</f>
        <v/>
      </c>
      <c r="E1116" s="3">
        <f>+'Invullen groen'!H1120</f>
        <v/>
      </c>
      <c r="F1116" s="3">
        <f>+'Invullen groen'!I1120</f>
        <v/>
      </c>
      <c r="G1116" s="3">
        <f>+'Invullen groen'!J1120</f>
        <v/>
      </c>
      <c r="H1116" s="3">
        <f>+'Invullen groen'!K1120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groen'!M1121</f>
        <v/>
      </c>
      <c r="E1117" s="3">
        <f>+'Invullen groen'!H1121</f>
        <v/>
      </c>
      <c r="F1117" s="3">
        <f>+'Invullen groen'!I1121</f>
        <v/>
      </c>
      <c r="G1117" s="3">
        <f>+'Invullen groen'!J1121</f>
        <v/>
      </c>
      <c r="H1117" s="3">
        <f>+'Invullen groen'!K1121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groen'!M1122</f>
        <v/>
      </c>
      <c r="E1118" s="3">
        <f>+'Invullen groen'!H1122</f>
        <v/>
      </c>
      <c r="F1118" s="3">
        <f>+'Invullen groen'!I1122</f>
        <v/>
      </c>
      <c r="G1118" s="3">
        <f>+'Invullen groen'!J1122</f>
        <v/>
      </c>
      <c r="H1118" s="3">
        <f>+'Invullen groen'!K1122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groen'!M1123</f>
        <v/>
      </c>
      <c r="E1119" s="3">
        <f>+'Invullen groen'!H1123</f>
        <v/>
      </c>
      <c r="F1119" s="3">
        <f>+'Invullen groen'!I1123</f>
        <v/>
      </c>
      <c r="G1119" s="3">
        <f>+'Invullen groen'!J1123</f>
        <v/>
      </c>
      <c r="H1119" s="3">
        <f>+'Invullen groen'!K1123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groen'!M1124</f>
        <v/>
      </c>
      <c r="E1120" s="3">
        <f>+'Invullen groen'!H1124</f>
        <v/>
      </c>
      <c r="F1120" s="3">
        <f>+'Invullen groen'!I1124</f>
        <v/>
      </c>
      <c r="G1120" s="3">
        <f>+'Invullen groen'!J1124</f>
        <v/>
      </c>
      <c r="H1120" s="3">
        <f>+'Invullen groen'!K1124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groen'!M1125</f>
        <v/>
      </c>
      <c r="E1121" s="3">
        <f>+'Invullen groen'!H1125</f>
        <v/>
      </c>
      <c r="F1121" s="3">
        <f>+'Invullen groen'!I1125</f>
        <v/>
      </c>
      <c r="G1121" s="3">
        <f>+'Invullen groen'!J1125</f>
        <v/>
      </c>
      <c r="H1121" s="3">
        <f>+'Invullen groen'!K1125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groen'!M1126</f>
        <v/>
      </c>
      <c r="E1122" s="3">
        <f>+'Invullen groen'!H1126</f>
        <v/>
      </c>
      <c r="F1122" s="3">
        <f>+'Invullen groen'!I1126</f>
        <v/>
      </c>
      <c r="G1122" s="3">
        <f>+'Invullen groen'!J1126</f>
        <v/>
      </c>
      <c r="H1122" s="3">
        <f>+'Invullen groen'!K1126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groen'!M1127</f>
        <v/>
      </c>
      <c r="E1123" s="3">
        <f>+'Invullen groen'!H1127</f>
        <v/>
      </c>
      <c r="F1123" s="3">
        <f>+'Invullen groen'!I1127</f>
        <v/>
      </c>
      <c r="G1123" s="3">
        <f>+'Invullen groen'!J1127</f>
        <v/>
      </c>
      <c r="H1123" s="3">
        <f>+'Invullen groen'!K1127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groen'!M1128</f>
        <v/>
      </c>
      <c r="E1124" s="3">
        <f>+'Invullen groen'!H1128</f>
        <v/>
      </c>
      <c r="F1124" s="3">
        <f>+'Invullen groen'!I1128</f>
        <v/>
      </c>
      <c r="G1124" s="3">
        <f>+'Invullen groen'!J1128</f>
        <v/>
      </c>
      <c r="H1124" s="3">
        <f>+'Invullen groen'!K1128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groen'!M1129</f>
        <v/>
      </c>
      <c r="E1125" s="3">
        <f>+'Invullen groen'!H1129</f>
        <v/>
      </c>
      <c r="F1125" s="3">
        <f>+'Invullen groen'!I1129</f>
        <v/>
      </c>
      <c r="G1125" s="3">
        <f>+'Invullen groen'!J1129</f>
        <v/>
      </c>
      <c r="H1125" s="3">
        <f>+'Invullen groen'!K1129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groen'!M1130</f>
        <v/>
      </c>
      <c r="E1126" s="3">
        <f>+'Invullen groen'!H1130</f>
        <v/>
      </c>
      <c r="F1126" s="3">
        <f>+'Invullen groen'!I1130</f>
        <v/>
      </c>
      <c r="G1126" s="3">
        <f>+'Invullen groen'!J1130</f>
        <v/>
      </c>
      <c r="H1126" s="3">
        <f>+'Invullen groen'!K1130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groen'!M1131</f>
        <v/>
      </c>
      <c r="E1127" s="3">
        <f>+'Invullen groen'!H1131</f>
        <v/>
      </c>
      <c r="F1127" s="3">
        <f>+'Invullen groen'!I1131</f>
        <v/>
      </c>
      <c r="G1127" s="3">
        <f>+'Invullen groen'!J1131</f>
        <v/>
      </c>
      <c r="H1127" s="3">
        <f>+'Invullen groen'!K1131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groen'!M1132</f>
        <v/>
      </c>
      <c r="E1128" s="3">
        <f>+'Invullen groen'!H1132</f>
        <v/>
      </c>
      <c r="F1128" s="3">
        <f>+'Invullen groen'!I1132</f>
        <v/>
      </c>
      <c r="G1128" s="3">
        <f>+'Invullen groen'!J1132</f>
        <v/>
      </c>
      <c r="H1128" s="3">
        <f>+'Invullen groen'!K1132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groen'!M1133</f>
        <v/>
      </c>
      <c r="E1129" s="3">
        <f>+'Invullen groen'!H1133</f>
        <v/>
      </c>
      <c r="F1129" s="3">
        <f>+'Invullen groen'!I1133</f>
        <v/>
      </c>
      <c r="G1129" s="3">
        <f>+'Invullen groen'!J1133</f>
        <v/>
      </c>
      <c r="H1129" s="3">
        <f>+'Invullen groen'!K1133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groen'!M1134</f>
        <v/>
      </c>
      <c r="E1130" s="3">
        <f>+'Invullen groen'!H1134</f>
        <v/>
      </c>
      <c r="F1130" s="3">
        <f>+'Invullen groen'!I1134</f>
        <v/>
      </c>
      <c r="G1130" s="3">
        <f>+'Invullen groen'!J1134</f>
        <v/>
      </c>
      <c r="H1130" s="3">
        <f>+'Invullen groen'!K1134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groen'!M1135</f>
        <v/>
      </c>
      <c r="E1131" s="3">
        <f>+'Invullen groen'!H1135</f>
        <v/>
      </c>
      <c r="F1131" s="3">
        <f>+'Invullen groen'!I1135</f>
        <v/>
      </c>
      <c r="G1131" s="3">
        <f>+'Invullen groen'!J1135</f>
        <v/>
      </c>
      <c r="H1131" s="3">
        <f>+'Invullen groen'!K1135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groen'!M1136</f>
        <v/>
      </c>
      <c r="E1132" s="3">
        <f>+'Invullen groen'!H1136</f>
        <v/>
      </c>
      <c r="F1132" s="3">
        <f>+'Invullen groen'!I1136</f>
        <v/>
      </c>
      <c r="G1132" s="3">
        <f>+'Invullen groen'!J1136</f>
        <v/>
      </c>
      <c r="H1132" s="3">
        <f>+'Invullen groen'!K1136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groen'!M1137</f>
        <v/>
      </c>
      <c r="E1133" s="3">
        <f>+'Invullen groen'!H1137</f>
        <v/>
      </c>
      <c r="F1133" s="3">
        <f>+'Invullen groen'!I1137</f>
        <v/>
      </c>
      <c r="G1133" s="3">
        <f>+'Invullen groen'!J1137</f>
        <v/>
      </c>
      <c r="H1133" s="3">
        <f>+'Invullen groen'!K1137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groen'!M1138</f>
        <v/>
      </c>
      <c r="E1134" s="3">
        <f>+'Invullen groen'!H1138</f>
        <v/>
      </c>
      <c r="F1134" s="3">
        <f>+'Invullen groen'!I1138</f>
        <v/>
      </c>
      <c r="G1134" s="3">
        <f>+'Invullen groen'!J1138</f>
        <v/>
      </c>
      <c r="H1134" s="3">
        <f>+'Invullen groen'!K1138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groen'!M1139</f>
        <v/>
      </c>
      <c r="E1135" s="3">
        <f>+'Invullen groen'!H1139</f>
        <v/>
      </c>
      <c r="F1135" s="3">
        <f>+'Invullen groen'!I1139</f>
        <v/>
      </c>
      <c r="G1135" s="3">
        <f>+'Invullen groen'!J1139</f>
        <v/>
      </c>
      <c r="H1135" s="3">
        <f>+'Invullen groen'!K1139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groen'!M1140</f>
        <v/>
      </c>
      <c r="E1136" s="3">
        <f>+'Invullen groen'!H1140</f>
        <v/>
      </c>
      <c r="F1136" s="3">
        <f>+'Invullen groen'!I1140</f>
        <v/>
      </c>
      <c r="G1136" s="3">
        <f>+'Invullen groen'!J1140</f>
        <v/>
      </c>
      <c r="H1136" s="3">
        <f>+'Invullen groen'!K1140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groen'!M1141</f>
        <v/>
      </c>
      <c r="E1137" s="3">
        <f>+'Invullen groen'!H1141</f>
        <v/>
      </c>
      <c r="F1137" s="3">
        <f>+'Invullen groen'!I1141</f>
        <v/>
      </c>
      <c r="G1137" s="3">
        <f>+'Invullen groen'!J1141</f>
        <v/>
      </c>
      <c r="H1137" s="3">
        <f>+'Invullen groen'!K1141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groen'!M1142</f>
        <v/>
      </c>
      <c r="E1138" s="3">
        <f>+'Invullen groen'!H1142</f>
        <v/>
      </c>
      <c r="F1138" s="3">
        <f>+'Invullen groen'!I1142</f>
        <v/>
      </c>
      <c r="G1138" s="3">
        <f>+'Invullen groen'!J1142</f>
        <v/>
      </c>
      <c r="H1138" s="3">
        <f>+'Invullen groen'!K1142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groen'!M1143</f>
        <v/>
      </c>
      <c r="E1139" s="3">
        <f>+'Invullen groen'!H1143</f>
        <v/>
      </c>
      <c r="F1139" s="3">
        <f>+'Invullen groen'!I1143</f>
        <v/>
      </c>
      <c r="G1139" s="3">
        <f>+'Invullen groen'!J1143</f>
        <v/>
      </c>
      <c r="H1139" s="3">
        <f>+'Invullen groen'!K1143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groen'!M1144</f>
        <v/>
      </c>
      <c r="E1140" s="3">
        <f>+'Invullen groen'!H1144</f>
        <v/>
      </c>
      <c r="F1140" s="3">
        <f>+'Invullen groen'!I1144</f>
        <v/>
      </c>
      <c r="G1140" s="3">
        <f>+'Invullen groen'!J1144</f>
        <v/>
      </c>
      <c r="H1140" s="3">
        <f>+'Invullen groen'!K1144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groen'!M1145</f>
        <v/>
      </c>
      <c r="E1141" s="3">
        <f>+'Invullen groen'!H1145</f>
        <v/>
      </c>
      <c r="F1141" s="3">
        <f>+'Invullen groen'!I1145</f>
        <v/>
      </c>
      <c r="G1141" s="3">
        <f>+'Invullen groen'!J1145</f>
        <v/>
      </c>
      <c r="H1141" s="3">
        <f>+'Invullen groen'!K1145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groen'!M1146</f>
        <v/>
      </c>
      <c r="E1142" s="3">
        <f>+'Invullen groen'!H1146</f>
        <v/>
      </c>
      <c r="F1142" s="3">
        <f>+'Invullen groen'!I1146</f>
        <v/>
      </c>
      <c r="G1142" s="3">
        <f>+'Invullen groen'!J1146</f>
        <v/>
      </c>
      <c r="H1142" s="3">
        <f>+'Invullen groen'!K1146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tabColor rgb="004A4A4A"/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 ht="24" customHeight="1">
      <c r="A1" s="511" t="inlineStr">
        <is>
          <t>Coda import — Begrotingswijziging</t>
        </is>
      </c>
      <c r="B1" s="512" t="n"/>
      <c r="C1" s="512">
        <f>'Invullen groen'!H4</f>
        <v/>
      </c>
      <c r="D1" s="512" t="n"/>
      <c r="E1" s="512" t="n"/>
      <c r="F1" s="513" t="n"/>
      <c r="G1" s="513" t="n"/>
      <c r="H1" s="513" t="n"/>
      <c r="I1" s="513" t="n"/>
      <c r="J1" s="484" t="n"/>
      <c r="K1" s="484">
        <f>IFERROR(LEFT('Invullen groen'!H4,FIND("/",'Invullen groen'!H4)-1)&amp;"-"&amp;RIGHT('Invullen groen'!H4,2),"")</f>
        <v/>
      </c>
      <c r="L1" s="214" t="n"/>
      <c r="M1" s="214" t="n"/>
      <c r="N1" s="214" t="n"/>
    </row>
    <row r="2" ht="16" customHeight="1">
      <c r="A2" s="485" t="n"/>
      <c r="B2" s="514" t="n"/>
      <c r="C2" s="514" t="n"/>
      <c r="D2" s="514" t="n"/>
      <c r="E2" s="514" t="n"/>
      <c r="F2" s="515" t="inlineStr">
        <is>
          <t>Baten en lasten:</t>
        </is>
      </c>
      <c r="G2" s="515" t="inlineStr">
        <is>
          <t>Baten en lasten:</t>
        </is>
      </c>
      <c r="H2" s="515" t="inlineStr">
        <is>
          <t>Baten en lasten:</t>
        </is>
      </c>
      <c r="I2" s="515" t="inlineStr">
        <is>
          <t>Baten en lasten:</t>
        </is>
      </c>
      <c r="J2" s="516" t="n"/>
      <c r="K2" s="516" t="n"/>
      <c r="L2" s="214" t="n"/>
      <c r="M2" s="214" t="n"/>
      <c r="N2" s="214" t="n"/>
    </row>
    <row r="3" ht="16" customHeight="1">
      <c r="A3" s="517" t="n"/>
      <c r="B3" s="514" t="n"/>
      <c r="C3" s="514" t="n"/>
      <c r="D3" s="514" t="n"/>
      <c r="E3" s="514" t="n"/>
      <c r="F3" s="514" t="n">
        <v>2026</v>
      </c>
      <c r="G3" s="514" t="n">
        <v>2027</v>
      </c>
      <c r="H3" s="514" t="n">
        <v>2028</v>
      </c>
      <c r="I3" s="514" t="n">
        <v>2029</v>
      </c>
      <c r="J3" s="516" t="n"/>
      <c r="K3" s="516" t="n"/>
      <c r="L3" s="214" t="n"/>
      <c r="M3" s="214" t="n"/>
      <c r="N3" s="214" t="n"/>
    </row>
    <row r="4" ht="18" customHeight="1">
      <c r="A4" s="518" t="inlineStr">
        <is>
          <t>Grootboek</t>
        </is>
      </c>
      <c r="B4" s="519" t="inlineStr">
        <is>
          <t>Econ.Categorie</t>
        </is>
      </c>
      <c r="C4" s="519" t="inlineStr">
        <is>
          <t>Verbijzondering</t>
        </is>
      </c>
      <c r="D4" s="519" t="inlineStr">
        <is>
          <t>Verdere verbijz.</t>
        </is>
      </c>
      <c r="E4" s="519" t="inlineStr">
        <is>
          <t>Omschrijving</t>
        </is>
      </c>
      <c r="F4" s="520" t="inlineStr">
        <is>
          <t>Bedrag:</t>
        </is>
      </c>
      <c r="G4" s="520" t="inlineStr">
        <is>
          <t>Bedrag:</t>
        </is>
      </c>
      <c r="H4" s="520" t="inlineStr">
        <is>
          <t>Bedrag:</t>
        </is>
      </c>
      <c r="I4" s="520" t="inlineStr">
        <is>
          <t>Bedrag:</t>
        </is>
      </c>
      <c r="J4" s="521" t="n"/>
      <c r="K4" s="521" t="n"/>
      <c r="L4" s="214" t="n"/>
      <c r="M4" s="214" t="n"/>
      <c r="N4" s="214" t="n"/>
    </row>
    <row r="5" ht="15" customHeight="1">
      <c r="A5" s="522">
        <f>IFERROR(IF('Invullen groen'!E17&gt;0,'Invullen groen'!E17,""),"")</f>
        <v/>
      </c>
      <c r="B5" s="522">
        <f>IFERROR(IF('Invullen groen'!L17&gt;0,'Invullen groen'!L17,""),"")</f>
        <v/>
      </c>
      <c r="C5" s="522">
        <f>IFERROR(IF('Invullen groen'!N17&gt;0,'Invullen groen'!N17,""),"")</f>
        <v/>
      </c>
      <c r="D5" s="522" t="n"/>
      <c r="E5" s="522">
        <f>IFERROR(IF(LEN(J5)&lt;=36,J5,IFERROR(LEFT(J5,FIND(CHAR(1),SUBSTITUTE(LEFT(J5,36)," ",CHAR(1),LEN(LEFT(J5,36))-LEN(SUBSTITUTE(LEFT(J5,36)," ",""))))-1),LEFT(J5,36))),"")</f>
        <v/>
      </c>
      <c r="F5" s="523">
        <f>IFERROR(IF('Invullen groen'!H17=0,"",INT('Invullen groen'!H17)),"")</f>
        <v/>
      </c>
      <c r="G5" s="523">
        <f>IFERROR(IF('Invullen groen'!I17=0,"",INT('Invullen groen'!I17)),"")</f>
        <v/>
      </c>
      <c r="H5" s="523">
        <f>IFERROR(IF('Invullen groen'!J17=0,"",INT('Invullen groen'!J17)),"")</f>
        <v/>
      </c>
      <c r="I5" s="523">
        <f>IFERROR(IF('Invullen groen'!K17=0,"",INT('Invullen groen'!K17)),"")</f>
        <v/>
      </c>
      <c r="J5" s="522">
        <f>IF('Invullen groen'!E17&gt;0,IFERROR($K$1&amp;" "&amp;TRIM(SUBSTITUTE(SUBSTITUTE(SUBSTITUTE(SUBSTITUTE(SUBSTITUTE(SUBSTITUTE(SUBSTITUTE(SUBSTITUTE(SUBSTITUTE(SUBSTITUTE(SUBSTITUTE(SUBSTITUTE(LOWER(IF(LEFT(TEXT('Invullen groen'!E17,"0"),1)="6",'Invullen groen'!O17,IF('Invullen groen'!N17&gt;0,'Invullen groen'!G17,'Invullen groen'!O17))),"2024",""),"2025",""),"2026",""),"2027",""),"2028",""),"2029",""),"taakveld ",""),"installaties","inst"),"ruwbouw","ruwb"),"afbouw","afb"),"bijstelling","bijst"),"investeringen","invest")),""),"")</f>
        <v/>
      </c>
      <c r="K5" s="522" t="n"/>
      <c r="L5" s="234" t="n"/>
      <c r="M5" s="234" t="n"/>
      <c r="N5" s="234" t="n"/>
    </row>
    <row r="6" ht="15" customHeight="1">
      <c r="A6" s="524">
        <f>IFERROR(IF('Invullen groen'!E18&gt;0,'Invullen groen'!E18,""),"")</f>
        <v/>
      </c>
      <c r="B6" s="524">
        <f>IFERROR(IF('Invullen groen'!L18&gt;0,'Invullen groen'!L18,""),"")</f>
        <v/>
      </c>
      <c r="C6" s="524">
        <f>IFERROR(IF('Invullen groen'!N18&gt;0,'Invullen groen'!N18,""),"")</f>
        <v/>
      </c>
      <c r="D6" s="524" t="n"/>
      <c r="E6" s="524">
        <f>IFERROR(IF(LEN(J6)&lt;=36,J6,IFERROR(LEFT(J6,FIND(CHAR(1),SUBSTITUTE(LEFT(J6,36)," ",CHAR(1),LEN(LEFT(J6,36))-LEN(SUBSTITUTE(LEFT(J6,36)," ",""))))-1),LEFT(J6,36))),"")</f>
        <v/>
      </c>
      <c r="F6" s="525">
        <f>IFERROR(IF('Invullen groen'!H18=0,"",INT('Invullen groen'!H18)),"")</f>
        <v/>
      </c>
      <c r="G6" s="525">
        <f>IFERROR(IF('Invullen groen'!I18=0,"",INT('Invullen groen'!I18)),"")</f>
        <v/>
      </c>
      <c r="H6" s="525">
        <f>IFERROR(IF('Invullen groen'!J18=0,"",INT('Invullen groen'!J18)),"")</f>
        <v/>
      </c>
      <c r="I6" s="525">
        <f>IFERROR(IF('Invullen groen'!K18=0,"",INT('Invullen groen'!K18)),"")</f>
        <v/>
      </c>
      <c r="J6" s="524">
        <f>IF('Invullen groen'!E18&gt;0,IFERROR($K$1&amp;" "&amp;TRIM(SUBSTITUTE(SUBSTITUTE(SUBSTITUTE(SUBSTITUTE(SUBSTITUTE(SUBSTITUTE(SUBSTITUTE(SUBSTITUTE(SUBSTITUTE(SUBSTITUTE(SUBSTITUTE(SUBSTITUTE(LOWER(IF(LEFT(TEXT('Invullen groen'!E18,"0"),1)="6",'Invullen groen'!O18,IF('Invullen groen'!N18&gt;0,'Invullen groen'!G18,'Invullen groen'!O18))),"2024",""),"2025",""),"2026",""),"2027",""),"2028",""),"2029",""),"taakveld ",""),"installaties","inst"),"ruwbouw","ruwb"),"afbouw","afb"),"bijstelling","bijst"),"investeringen","invest")),""),"")</f>
        <v/>
      </c>
      <c r="K6" s="524" t="n"/>
      <c r="L6" s="234" t="n"/>
      <c r="M6" s="234" t="n"/>
      <c r="N6" s="234" t="n"/>
    </row>
    <row r="7" ht="15" customHeight="1">
      <c r="A7" s="522">
        <f>IFERROR(IF('Invullen groen'!E19&gt;0,'Invullen groen'!E19,""),"")</f>
        <v/>
      </c>
      <c r="B7" s="522">
        <f>IFERROR(IF('Invullen groen'!L19&gt;0,'Invullen groen'!L19,""),"")</f>
        <v/>
      </c>
      <c r="C7" s="522">
        <f>IFERROR(IF('Invullen groen'!N19&gt;0,'Invullen groen'!N19,""),"")</f>
        <v/>
      </c>
      <c r="D7" s="522" t="n"/>
      <c r="E7" s="522">
        <f>IFERROR(IF(LEN(J7)&lt;=36,J7,IFERROR(LEFT(J7,FIND(CHAR(1),SUBSTITUTE(LEFT(J7,36)," ",CHAR(1),LEN(LEFT(J7,36))-LEN(SUBSTITUTE(LEFT(J7,36)," ",""))))-1),LEFT(J7,36))),"")</f>
        <v/>
      </c>
      <c r="F7" s="523">
        <f>IFERROR(IF('Invullen groen'!H19=0,"",INT('Invullen groen'!H19)),"")</f>
        <v/>
      </c>
      <c r="G7" s="523">
        <f>IFERROR(IF('Invullen groen'!I19=0,"",INT('Invullen groen'!I19)),"")</f>
        <v/>
      </c>
      <c r="H7" s="523">
        <f>IFERROR(IF('Invullen groen'!J19=0,"",INT('Invullen groen'!J19)),"")</f>
        <v/>
      </c>
      <c r="I7" s="523">
        <f>IFERROR(IF('Invullen groen'!K19=0,"",INT('Invullen groen'!K19)),"")</f>
        <v/>
      </c>
      <c r="J7" s="522">
        <f>IF('Invullen groen'!E19&gt;0,IFERROR($K$1&amp;" "&amp;TRIM(SUBSTITUTE(SUBSTITUTE(SUBSTITUTE(SUBSTITUTE(SUBSTITUTE(SUBSTITUTE(SUBSTITUTE(SUBSTITUTE(SUBSTITUTE(SUBSTITUTE(SUBSTITUTE(SUBSTITUTE(LOWER(IF(LEFT(TEXT('Invullen groen'!E19,"0"),1)="6",'Invullen groen'!O19,IF('Invullen groen'!N19&gt;0,'Invullen groen'!G19,'Invullen groen'!O19))),"2024",""),"2025",""),"2026",""),"2027",""),"2028",""),"2029",""),"taakveld ",""),"installaties","inst"),"ruwbouw","ruwb"),"afbouw","afb"),"bijstelling","bijst"),"investeringen","invest")),""),"")</f>
        <v/>
      </c>
      <c r="K7" s="522" t="n"/>
      <c r="L7" s="234" t="n"/>
      <c r="M7" s="234" t="n"/>
      <c r="N7" s="234" t="n"/>
    </row>
    <row r="8" ht="15" customHeight="1">
      <c r="A8" s="524">
        <f>IFERROR(IF('Invullen groen'!E20&gt;0,'Invullen groen'!E20,""),"")</f>
        <v/>
      </c>
      <c r="B8" s="524">
        <f>IFERROR(IF('Invullen groen'!L20&gt;0,'Invullen groen'!L20,""),"")</f>
        <v/>
      </c>
      <c r="C8" s="524">
        <f>IFERROR(IF('Invullen groen'!N20&gt;0,'Invullen groen'!N20,""),"")</f>
        <v/>
      </c>
      <c r="D8" s="524" t="n"/>
      <c r="E8" s="524">
        <f>IFERROR(IF(LEN(J8)&lt;=36,J8,IFERROR(LEFT(J8,FIND(CHAR(1),SUBSTITUTE(LEFT(J8,36)," ",CHAR(1),LEN(LEFT(J8,36))-LEN(SUBSTITUTE(LEFT(J8,36)," ",""))))-1),LEFT(J8,36))),"")</f>
        <v/>
      </c>
      <c r="F8" s="525">
        <f>IFERROR(IF('Invullen groen'!H20=0,"",INT('Invullen groen'!H20)),"")</f>
        <v/>
      </c>
      <c r="G8" s="525">
        <f>IFERROR(IF('Invullen groen'!I20=0,"",INT('Invullen groen'!I20)),"")</f>
        <v/>
      </c>
      <c r="H8" s="525">
        <f>IFERROR(IF('Invullen groen'!J20=0,"",INT('Invullen groen'!J20)),"")</f>
        <v/>
      </c>
      <c r="I8" s="525">
        <f>IFERROR(IF('Invullen groen'!K20=0,"",INT('Invullen groen'!K20)),"")</f>
        <v/>
      </c>
      <c r="J8" s="524">
        <f>IF('Invullen groen'!E20&gt;0,IFERROR($K$1&amp;" "&amp;TRIM(SUBSTITUTE(SUBSTITUTE(SUBSTITUTE(SUBSTITUTE(SUBSTITUTE(SUBSTITUTE(SUBSTITUTE(SUBSTITUTE(SUBSTITUTE(SUBSTITUTE(SUBSTITUTE(SUBSTITUTE(LOWER(IF(LEFT(TEXT('Invullen groen'!E20,"0"),1)="6",'Invullen groen'!O20,IF('Invullen groen'!N20&gt;0,'Invullen groen'!G20,'Invullen groen'!O20))),"2024",""),"2025",""),"2026",""),"2027",""),"2028",""),"2029",""),"taakveld ",""),"installaties","inst"),"ruwbouw","ruwb"),"afbouw","afb"),"bijstelling","bijst"),"investeringen","invest")),""),"")</f>
        <v/>
      </c>
      <c r="K8" s="524" t="n"/>
      <c r="L8" s="234" t="n"/>
      <c r="M8" s="234" t="n"/>
      <c r="N8" s="234" t="n"/>
    </row>
    <row r="9" ht="15" customHeight="1">
      <c r="A9" s="522">
        <f>IFERROR(IF('Invullen groen'!E21&gt;0,'Invullen groen'!E21,""),"")</f>
        <v/>
      </c>
      <c r="B9" s="522">
        <f>IFERROR(IF('Invullen groen'!L21&gt;0,'Invullen groen'!L21,""),"")</f>
        <v/>
      </c>
      <c r="C9" s="522">
        <f>IFERROR(IF('Invullen groen'!N21&gt;0,'Invullen groen'!N21,""),"")</f>
        <v/>
      </c>
      <c r="D9" s="522" t="n"/>
      <c r="E9" s="522">
        <f>IFERROR(IF(LEN(J9)&lt;=36,J9,IFERROR(LEFT(J9,FIND(CHAR(1),SUBSTITUTE(LEFT(J9,36)," ",CHAR(1),LEN(LEFT(J9,36))-LEN(SUBSTITUTE(LEFT(J9,36)," ",""))))-1),LEFT(J9,36))),"")</f>
        <v/>
      </c>
      <c r="F9" s="523">
        <f>IFERROR(IF('Invullen groen'!H21=0,"",INT('Invullen groen'!H21)),"")</f>
        <v/>
      </c>
      <c r="G9" s="523">
        <f>IFERROR(IF('Invullen groen'!I21=0,"",INT('Invullen groen'!I21)),"")</f>
        <v/>
      </c>
      <c r="H9" s="523">
        <f>IFERROR(IF('Invullen groen'!J21=0,"",INT('Invullen groen'!J21)),"")</f>
        <v/>
      </c>
      <c r="I9" s="523">
        <f>IFERROR(IF('Invullen groen'!K21=0,"",INT('Invullen groen'!K21)),"")</f>
        <v/>
      </c>
      <c r="J9" s="522">
        <f>IF('Invullen groen'!E21&gt;0,IFERROR($K$1&amp;" "&amp;TRIM(SUBSTITUTE(SUBSTITUTE(SUBSTITUTE(SUBSTITUTE(SUBSTITUTE(SUBSTITUTE(SUBSTITUTE(SUBSTITUTE(SUBSTITUTE(SUBSTITUTE(SUBSTITUTE(SUBSTITUTE(LOWER(IF(LEFT(TEXT('Invullen groen'!E21,"0"),1)="6",'Invullen groen'!O21,IF('Invullen groen'!N21&gt;0,'Invullen groen'!G21,'Invullen groen'!O21))),"2024",""),"2025",""),"2026",""),"2027",""),"2028",""),"2029",""),"taakveld ",""),"installaties","inst"),"ruwbouw","ruwb"),"afbouw","afb"),"bijstelling","bijst"),"investeringen","invest")),""),"")</f>
        <v/>
      </c>
      <c r="K9" s="522" t="n"/>
      <c r="L9" s="234" t="n"/>
      <c r="M9" s="234" t="n"/>
      <c r="N9" s="234" t="n"/>
    </row>
    <row r="10" ht="15" customHeight="1">
      <c r="A10" s="524">
        <f>IFERROR(IF('Invullen groen'!E22&gt;0,'Invullen groen'!E22,""),"")</f>
        <v/>
      </c>
      <c r="B10" s="524">
        <f>IFERROR(IF('Invullen groen'!L22&gt;0,'Invullen groen'!L22,""),"")</f>
        <v/>
      </c>
      <c r="C10" s="524">
        <f>IFERROR(IF('Invullen groen'!N22&gt;0,'Invullen groen'!N22,""),"")</f>
        <v/>
      </c>
      <c r="D10" s="524" t="n"/>
      <c r="E10" s="524">
        <f>IFERROR(IF(LEN(J10)&lt;=36,J10,IFERROR(LEFT(J10,FIND(CHAR(1),SUBSTITUTE(LEFT(J10,36)," ",CHAR(1),LEN(LEFT(J10,36))-LEN(SUBSTITUTE(LEFT(J10,36)," ",""))))-1),LEFT(J10,36))),"")</f>
        <v/>
      </c>
      <c r="F10" s="525">
        <f>IFERROR(IF('Invullen groen'!H22=0,"",INT('Invullen groen'!H22)),"")</f>
        <v/>
      </c>
      <c r="G10" s="525">
        <f>IFERROR(IF('Invullen groen'!I22=0,"",INT('Invullen groen'!I22)),"")</f>
        <v/>
      </c>
      <c r="H10" s="525">
        <f>IFERROR(IF('Invullen groen'!J22=0,"",INT('Invullen groen'!J22)),"")</f>
        <v/>
      </c>
      <c r="I10" s="525">
        <f>IFERROR(IF('Invullen groen'!K22=0,"",INT('Invullen groen'!K22)),"")</f>
        <v/>
      </c>
      <c r="J10" s="524">
        <f>IF('Invullen groen'!E22&gt;0,IFERROR($K$1&amp;" "&amp;TRIM(SUBSTITUTE(SUBSTITUTE(SUBSTITUTE(SUBSTITUTE(SUBSTITUTE(SUBSTITUTE(SUBSTITUTE(SUBSTITUTE(SUBSTITUTE(SUBSTITUTE(SUBSTITUTE(SUBSTITUTE(LOWER(IF(LEFT(TEXT('Invullen groen'!E22,"0"),1)="6",'Invullen groen'!O22,IF('Invullen groen'!N22&gt;0,'Invullen groen'!G22,'Invullen groen'!O22))),"2024",""),"2025",""),"2026",""),"2027",""),"2028",""),"2029",""),"taakveld ",""),"installaties","inst"),"ruwbouw","ruwb"),"afbouw","afb"),"bijstelling","bijst"),"investeringen","invest")),""),"")</f>
        <v/>
      </c>
      <c r="K10" s="524" t="n"/>
      <c r="L10" s="234" t="n"/>
      <c r="M10" s="234" t="n"/>
      <c r="N10" s="234" t="n"/>
    </row>
    <row r="11" ht="15" customHeight="1">
      <c r="A11" s="522">
        <f>IFERROR(IF('Invullen groen'!E23&gt;0,'Invullen groen'!E23,""),"")</f>
        <v/>
      </c>
      <c r="B11" s="522">
        <f>IFERROR(IF('Invullen groen'!L23&gt;0,'Invullen groen'!L23,""),"")</f>
        <v/>
      </c>
      <c r="C11" s="522">
        <f>IFERROR(IF('Invullen groen'!N23&gt;0,'Invullen groen'!N23,""),"")</f>
        <v/>
      </c>
      <c r="D11" s="522" t="n"/>
      <c r="E11" s="522">
        <f>IFERROR(IF(LEN(J11)&lt;=36,J11,IFERROR(LEFT(J11,FIND(CHAR(1),SUBSTITUTE(LEFT(J11,36)," ",CHAR(1),LEN(LEFT(J11,36))-LEN(SUBSTITUTE(LEFT(J11,36)," ",""))))-1),LEFT(J11,36))),"")</f>
        <v/>
      </c>
      <c r="F11" s="523">
        <f>IFERROR(IF('Invullen groen'!H23=0,"",INT('Invullen groen'!H23)),"")</f>
        <v/>
      </c>
      <c r="G11" s="523">
        <f>IFERROR(IF('Invullen groen'!I23=0,"",INT('Invullen groen'!I23)),"")</f>
        <v/>
      </c>
      <c r="H11" s="523">
        <f>IFERROR(IF('Invullen groen'!J23=0,"",INT('Invullen groen'!J23)),"")</f>
        <v/>
      </c>
      <c r="I11" s="523">
        <f>IFERROR(IF('Invullen groen'!K23=0,"",INT('Invullen groen'!K23)),"")</f>
        <v/>
      </c>
      <c r="J11" s="522">
        <f>IF('Invullen groen'!E23&gt;0,IFERROR($K$1&amp;" "&amp;TRIM(SUBSTITUTE(SUBSTITUTE(SUBSTITUTE(SUBSTITUTE(SUBSTITUTE(SUBSTITUTE(SUBSTITUTE(SUBSTITUTE(SUBSTITUTE(SUBSTITUTE(SUBSTITUTE(SUBSTITUTE(LOWER(IF(LEFT(TEXT('Invullen groen'!E23,"0"),1)="6",'Invullen groen'!O23,IF('Invullen groen'!N23&gt;0,'Invullen groen'!G23,'Invullen groen'!O23))),"2024",""),"2025",""),"2026",""),"2027",""),"2028",""),"2029",""),"taakveld ",""),"installaties","inst"),"ruwbouw","ruwb"),"afbouw","afb"),"bijstelling","bijst"),"investeringen","invest")),""),"")</f>
        <v/>
      </c>
      <c r="K11" s="522" t="n"/>
      <c r="L11" s="234" t="n"/>
      <c r="M11" s="234" t="n"/>
      <c r="N11" s="234" t="n"/>
    </row>
    <row r="12" ht="15" customHeight="1">
      <c r="A12" s="524">
        <f>IFERROR(IF('Invullen groen'!E24&gt;0,'Invullen groen'!E24,""),"")</f>
        <v/>
      </c>
      <c r="B12" s="524">
        <f>IFERROR(IF('Invullen groen'!L24&gt;0,'Invullen groen'!L24,""),"")</f>
        <v/>
      </c>
      <c r="C12" s="524">
        <f>IFERROR(IF('Invullen groen'!N24&gt;0,'Invullen groen'!N24,""),"")</f>
        <v/>
      </c>
      <c r="D12" s="524" t="n"/>
      <c r="E12" s="524">
        <f>IFERROR(IF(LEN(J12)&lt;=36,J12,IFERROR(LEFT(J12,FIND(CHAR(1),SUBSTITUTE(LEFT(J12,36)," ",CHAR(1),LEN(LEFT(J12,36))-LEN(SUBSTITUTE(LEFT(J12,36)," ",""))))-1),LEFT(J12,36))),"")</f>
        <v/>
      </c>
      <c r="F12" s="525">
        <f>IFERROR(IF('Invullen groen'!H24=0,"",INT('Invullen groen'!H24)),"")</f>
        <v/>
      </c>
      <c r="G12" s="525">
        <f>IFERROR(IF('Invullen groen'!I24=0,"",INT('Invullen groen'!I24)),"")</f>
        <v/>
      </c>
      <c r="H12" s="525">
        <f>IFERROR(IF('Invullen groen'!J24=0,"",INT('Invullen groen'!J24)),"")</f>
        <v/>
      </c>
      <c r="I12" s="525">
        <f>IFERROR(IF('Invullen groen'!K24=0,"",INT('Invullen groen'!K24)),"")</f>
        <v/>
      </c>
      <c r="J12" s="524">
        <f>IF('Invullen groen'!E24&gt;0,IFERROR($K$1&amp;" "&amp;TRIM(SUBSTITUTE(SUBSTITUTE(SUBSTITUTE(SUBSTITUTE(SUBSTITUTE(SUBSTITUTE(SUBSTITUTE(SUBSTITUTE(SUBSTITUTE(SUBSTITUTE(SUBSTITUTE(SUBSTITUTE(LOWER(IF(LEFT(TEXT('Invullen groen'!E24,"0"),1)="6",'Invullen groen'!O24,IF('Invullen groen'!N24&gt;0,'Invullen groen'!G24,'Invullen groen'!O24))),"2024",""),"2025",""),"2026",""),"2027",""),"2028",""),"2029",""),"taakveld ",""),"installaties","inst"),"ruwbouw","ruwb"),"afbouw","afb"),"bijstelling","bijst"),"investeringen","invest")),""),"")</f>
        <v/>
      </c>
      <c r="K12" s="524" t="n"/>
      <c r="L12" s="234" t="n"/>
      <c r="M12" s="234" t="n"/>
      <c r="N12" s="234" t="n"/>
    </row>
    <row r="13" ht="15" customHeight="1">
      <c r="A13" s="522">
        <f>IFERROR(IF('Invullen groen'!E25&gt;0,'Invullen groen'!E25,""),"")</f>
        <v/>
      </c>
      <c r="B13" s="522">
        <f>IFERROR(IF('Invullen groen'!L25&gt;0,'Invullen groen'!L25,""),"")</f>
        <v/>
      </c>
      <c r="C13" s="522">
        <f>IFERROR(IF('Invullen groen'!N25&gt;0,'Invullen groen'!N25,""),"")</f>
        <v/>
      </c>
      <c r="D13" s="522" t="n"/>
      <c r="E13" s="522">
        <f>IFERROR(IF(LEN(J13)&lt;=36,J13,IFERROR(LEFT(J13,FIND(CHAR(1),SUBSTITUTE(LEFT(J13,36)," ",CHAR(1),LEN(LEFT(J13,36))-LEN(SUBSTITUTE(LEFT(J13,36)," ",""))))-1),LEFT(J13,36))),"")</f>
        <v/>
      </c>
      <c r="F13" s="523">
        <f>IFERROR(IF('Invullen groen'!H25=0,"",INT('Invullen groen'!H25)),"")</f>
        <v/>
      </c>
      <c r="G13" s="523">
        <f>IFERROR(IF('Invullen groen'!I25=0,"",INT('Invullen groen'!I25)),"")</f>
        <v/>
      </c>
      <c r="H13" s="523">
        <f>IFERROR(IF('Invullen groen'!J25=0,"",INT('Invullen groen'!J25)),"")</f>
        <v/>
      </c>
      <c r="I13" s="523">
        <f>IFERROR(IF('Invullen groen'!K25=0,"",INT('Invullen groen'!K25)),"")</f>
        <v/>
      </c>
      <c r="J13" s="522">
        <f>IF('Invullen groen'!E25&gt;0,IFERROR($K$1&amp;" "&amp;TRIM(SUBSTITUTE(SUBSTITUTE(SUBSTITUTE(SUBSTITUTE(SUBSTITUTE(SUBSTITUTE(SUBSTITUTE(SUBSTITUTE(SUBSTITUTE(SUBSTITUTE(SUBSTITUTE(SUBSTITUTE(LOWER(IF(LEFT(TEXT('Invullen groen'!E25,"0"),1)="6",'Invullen groen'!O25,IF('Invullen groen'!N25&gt;0,'Invullen groen'!G25,'Invullen groen'!O25))),"2024",""),"2025",""),"2026",""),"2027",""),"2028",""),"2029",""),"taakveld ",""),"installaties","inst"),"ruwbouw","ruwb"),"afbouw","afb"),"bijstelling","bijst"),"investeringen","invest")),""),"")</f>
        <v/>
      </c>
      <c r="K13" s="522" t="n"/>
      <c r="L13" s="234" t="n"/>
      <c r="M13" s="234" t="n"/>
      <c r="N13" s="234" t="n"/>
    </row>
    <row r="14" ht="15" customHeight="1">
      <c r="A14" s="524">
        <f>IFERROR(IF('Invullen groen'!E26&gt;0,'Invullen groen'!E26,""),"")</f>
        <v/>
      </c>
      <c r="B14" s="524">
        <f>IFERROR(IF('Invullen groen'!L26&gt;0,'Invullen groen'!L26,""),"")</f>
        <v/>
      </c>
      <c r="C14" s="524">
        <f>IFERROR(IF('Invullen groen'!N26&gt;0,'Invullen groen'!N26,""),"")</f>
        <v/>
      </c>
      <c r="D14" s="524" t="n"/>
      <c r="E14" s="524">
        <f>IFERROR(IF(LEN(J14)&lt;=36,J14,IFERROR(LEFT(J14,FIND(CHAR(1),SUBSTITUTE(LEFT(J14,36)," ",CHAR(1),LEN(LEFT(J14,36))-LEN(SUBSTITUTE(LEFT(J14,36)," ",""))))-1),LEFT(J14,36))),"")</f>
        <v/>
      </c>
      <c r="F14" s="525">
        <f>IFERROR(IF('Invullen groen'!H26=0,"",INT('Invullen groen'!H26)),"")</f>
        <v/>
      </c>
      <c r="G14" s="525">
        <f>IFERROR(IF('Invullen groen'!I26=0,"",INT('Invullen groen'!I26)),"")</f>
        <v/>
      </c>
      <c r="H14" s="525">
        <f>IFERROR(IF('Invullen groen'!J26=0,"",INT('Invullen groen'!J26)),"")</f>
        <v/>
      </c>
      <c r="I14" s="525">
        <f>IFERROR(IF('Invullen groen'!K26=0,"",INT('Invullen groen'!K26)),"")</f>
        <v/>
      </c>
      <c r="J14" s="524">
        <f>IF('Invullen groen'!E26&gt;0,IFERROR($K$1&amp;" "&amp;TRIM(SUBSTITUTE(SUBSTITUTE(SUBSTITUTE(SUBSTITUTE(SUBSTITUTE(SUBSTITUTE(SUBSTITUTE(SUBSTITUTE(SUBSTITUTE(SUBSTITUTE(SUBSTITUTE(SUBSTITUTE(LOWER(IF(LEFT(TEXT('Invullen groen'!E26,"0"),1)="6",'Invullen groen'!O26,IF('Invullen groen'!N26&gt;0,'Invullen groen'!G26,'Invullen groen'!O26))),"2024",""),"2025",""),"2026",""),"2027",""),"2028",""),"2029",""),"taakveld ",""),"installaties","inst"),"ruwbouw","ruwb"),"afbouw","afb"),"bijstelling","bijst"),"investeringen","invest")),""),"")</f>
        <v/>
      </c>
      <c r="K14" s="524" t="n"/>
      <c r="L14" s="234" t="n"/>
      <c r="M14" s="234" t="n"/>
      <c r="N14" s="234" t="n"/>
    </row>
    <row r="15" ht="15" customHeight="1">
      <c r="A15" s="522">
        <f>IFERROR(IF('Invullen groen'!E27&gt;0,'Invullen groen'!E27,""),"")</f>
        <v/>
      </c>
      <c r="B15" s="522">
        <f>IFERROR(IF('Invullen groen'!L27&gt;0,'Invullen groen'!L27,""),"")</f>
        <v/>
      </c>
      <c r="C15" s="522">
        <f>IFERROR(IF('Invullen groen'!N27&gt;0,'Invullen groen'!N27,""),"")</f>
        <v/>
      </c>
      <c r="D15" s="522" t="n"/>
      <c r="E15" s="522">
        <f>IFERROR(IF(LEN(J15)&lt;=36,J15,IFERROR(LEFT(J15,FIND(CHAR(1),SUBSTITUTE(LEFT(J15,36)," ",CHAR(1),LEN(LEFT(J15,36))-LEN(SUBSTITUTE(LEFT(J15,36)," ",""))))-1),LEFT(J15,36))),"")</f>
        <v/>
      </c>
      <c r="F15" s="523">
        <f>IFERROR(IF('Invullen groen'!H27=0,"",INT('Invullen groen'!H27)),"")</f>
        <v/>
      </c>
      <c r="G15" s="523">
        <f>IFERROR(IF('Invullen groen'!I27=0,"",INT('Invullen groen'!I27)),"")</f>
        <v/>
      </c>
      <c r="H15" s="523">
        <f>IFERROR(IF('Invullen groen'!J27=0,"",INT('Invullen groen'!J27)),"")</f>
        <v/>
      </c>
      <c r="I15" s="523">
        <f>IFERROR(IF('Invullen groen'!K27=0,"",INT('Invullen groen'!K27)),"")</f>
        <v/>
      </c>
      <c r="J15" s="522">
        <f>IF('Invullen groen'!E27&gt;0,IFERROR($K$1&amp;" "&amp;TRIM(SUBSTITUTE(SUBSTITUTE(SUBSTITUTE(SUBSTITUTE(SUBSTITUTE(SUBSTITUTE(SUBSTITUTE(SUBSTITUTE(SUBSTITUTE(SUBSTITUTE(SUBSTITUTE(SUBSTITUTE(LOWER(IF(LEFT(TEXT('Invullen groen'!E27,"0"),1)="6",'Invullen groen'!O27,IF('Invullen groen'!N27&gt;0,'Invullen groen'!G27,'Invullen groen'!O27))),"2024",""),"2025",""),"2026",""),"2027",""),"2028",""),"2029",""),"taakveld ",""),"installaties","inst"),"ruwbouw","ruwb"),"afbouw","afb"),"bijstelling","bijst"),"investeringen","invest")),""),"")</f>
        <v/>
      </c>
      <c r="K15" s="522" t="n"/>
      <c r="L15" s="234" t="n"/>
      <c r="M15" s="234" t="n"/>
      <c r="N15" s="234" t="n"/>
    </row>
    <row r="16" ht="15" customHeight="1">
      <c r="A16" s="524">
        <f>IFERROR(IF('Invullen groen'!E28&gt;0,'Invullen groen'!E28,""),"")</f>
        <v/>
      </c>
      <c r="B16" s="524">
        <f>IFERROR(IF('Invullen groen'!L28&gt;0,'Invullen groen'!L28,""),"")</f>
        <v/>
      </c>
      <c r="C16" s="524">
        <f>IFERROR(IF('Invullen groen'!N28&gt;0,'Invullen groen'!N28,""),"")</f>
        <v/>
      </c>
      <c r="D16" s="524" t="n"/>
      <c r="E16" s="524">
        <f>IFERROR(IF(LEN(J16)&lt;=36,J16,IFERROR(LEFT(J16,FIND(CHAR(1),SUBSTITUTE(LEFT(J16,36)," ",CHAR(1),LEN(LEFT(J16,36))-LEN(SUBSTITUTE(LEFT(J16,36)," ",""))))-1),LEFT(J16,36))),"")</f>
        <v/>
      </c>
      <c r="F16" s="525">
        <f>IFERROR(IF('Invullen groen'!H28=0,"",INT('Invullen groen'!H28)),"")</f>
        <v/>
      </c>
      <c r="G16" s="525">
        <f>IFERROR(IF('Invullen groen'!I28=0,"",INT('Invullen groen'!I28)),"")</f>
        <v/>
      </c>
      <c r="H16" s="525">
        <f>IFERROR(IF('Invullen groen'!J28=0,"",INT('Invullen groen'!J28)),"")</f>
        <v/>
      </c>
      <c r="I16" s="525">
        <f>IFERROR(IF('Invullen groen'!K28=0,"",INT('Invullen groen'!K28)),"")</f>
        <v/>
      </c>
      <c r="J16" s="524">
        <f>IF('Invullen groen'!E28&gt;0,IFERROR($K$1&amp;" "&amp;TRIM(SUBSTITUTE(SUBSTITUTE(SUBSTITUTE(SUBSTITUTE(SUBSTITUTE(SUBSTITUTE(SUBSTITUTE(SUBSTITUTE(SUBSTITUTE(SUBSTITUTE(SUBSTITUTE(SUBSTITUTE(LOWER(IF(LEFT(TEXT('Invullen groen'!E28,"0"),1)="6",'Invullen groen'!O28,IF('Invullen groen'!N28&gt;0,'Invullen groen'!G28,'Invullen groen'!O28))),"2024",""),"2025",""),"2026",""),"2027",""),"2028",""),"2029",""),"taakveld ",""),"installaties","inst"),"ruwbouw","ruwb"),"afbouw","afb"),"bijstelling","bijst"),"investeringen","invest")),""),"")</f>
        <v/>
      </c>
      <c r="K16" s="524" t="n"/>
      <c r="L16" s="234" t="n"/>
      <c r="M16" s="234" t="n"/>
      <c r="N16" s="234" t="n"/>
    </row>
    <row r="17" ht="15" customHeight="1">
      <c r="A17" s="522">
        <f>IFERROR(IF('Invullen groen'!E29&gt;0,'Invullen groen'!E29,""),"")</f>
        <v/>
      </c>
      <c r="B17" s="522">
        <f>IFERROR(IF('Invullen groen'!L29&gt;0,'Invullen groen'!L29,""),"")</f>
        <v/>
      </c>
      <c r="C17" s="522">
        <f>IFERROR(IF('Invullen groen'!N29&gt;0,'Invullen groen'!N29,""),"")</f>
        <v/>
      </c>
      <c r="D17" s="522" t="n"/>
      <c r="E17" s="522">
        <f>IFERROR(IF(LEN(J17)&lt;=36,J17,IFERROR(LEFT(J17,FIND(CHAR(1),SUBSTITUTE(LEFT(J17,36)," ",CHAR(1),LEN(LEFT(J17,36))-LEN(SUBSTITUTE(LEFT(J17,36)," ",""))))-1),LEFT(J17,36))),"")</f>
        <v/>
      </c>
      <c r="F17" s="523">
        <f>IFERROR(IF('Invullen groen'!H29=0,"",INT('Invullen groen'!H29)),"")</f>
        <v/>
      </c>
      <c r="G17" s="523">
        <f>IFERROR(IF('Invullen groen'!I29=0,"",INT('Invullen groen'!I29)),"")</f>
        <v/>
      </c>
      <c r="H17" s="523">
        <f>IFERROR(IF('Invullen groen'!J29=0,"",INT('Invullen groen'!J29)),"")</f>
        <v/>
      </c>
      <c r="I17" s="523">
        <f>IFERROR(IF('Invullen groen'!K29=0,"",INT('Invullen groen'!K29)),"")</f>
        <v/>
      </c>
      <c r="J17" s="522">
        <f>IF('Invullen groen'!E29&gt;0,IFERROR($K$1&amp;" "&amp;TRIM(SUBSTITUTE(SUBSTITUTE(SUBSTITUTE(SUBSTITUTE(SUBSTITUTE(SUBSTITUTE(SUBSTITUTE(SUBSTITUTE(SUBSTITUTE(SUBSTITUTE(SUBSTITUTE(SUBSTITUTE(LOWER(IF(LEFT(TEXT('Invullen groen'!E29,"0"),1)="6",'Invullen groen'!O29,IF('Invullen groen'!N29&gt;0,'Invullen groen'!G29,'Invullen groen'!O29))),"2024",""),"2025",""),"2026",""),"2027",""),"2028",""),"2029",""),"taakveld ",""),"installaties","inst"),"ruwbouw","ruwb"),"afbouw","afb"),"bijstelling","bijst"),"investeringen","invest")),""),"")</f>
        <v/>
      </c>
      <c r="K17" s="522" t="n"/>
      <c r="L17" s="234" t="n"/>
      <c r="M17" s="234" t="n"/>
      <c r="N17" s="234" t="n"/>
    </row>
    <row r="18" ht="15" customHeight="1">
      <c r="A18" s="524">
        <f>IFERROR(IF('Invullen groen'!E30&gt;0,'Invullen groen'!E30,""),"")</f>
        <v/>
      </c>
      <c r="B18" s="524">
        <f>IFERROR(IF('Invullen groen'!L30&gt;0,'Invullen groen'!L30,""),"")</f>
        <v/>
      </c>
      <c r="C18" s="524">
        <f>IFERROR(IF('Invullen groen'!N30&gt;0,'Invullen groen'!N30,""),"")</f>
        <v/>
      </c>
      <c r="D18" s="524" t="n"/>
      <c r="E18" s="524">
        <f>IFERROR(IF(LEN(J18)&lt;=36,J18,IFERROR(LEFT(J18,FIND(CHAR(1),SUBSTITUTE(LEFT(J18,36)," ",CHAR(1),LEN(LEFT(J18,36))-LEN(SUBSTITUTE(LEFT(J18,36)," ",""))))-1),LEFT(J18,36))),"")</f>
        <v/>
      </c>
      <c r="F18" s="525">
        <f>IFERROR(IF('Invullen groen'!H30=0,"",INT('Invullen groen'!H30)),"")</f>
        <v/>
      </c>
      <c r="G18" s="525">
        <f>IFERROR(IF('Invullen groen'!I30=0,"",INT('Invullen groen'!I30)),"")</f>
        <v/>
      </c>
      <c r="H18" s="525">
        <f>IFERROR(IF('Invullen groen'!J30=0,"",INT('Invullen groen'!J30)),"")</f>
        <v/>
      </c>
      <c r="I18" s="525">
        <f>IFERROR(IF('Invullen groen'!K30=0,"",INT('Invullen groen'!K30)),"")</f>
        <v/>
      </c>
      <c r="J18" s="524">
        <f>IF('Invullen groen'!E30&gt;0,IFERROR($K$1&amp;" "&amp;TRIM(SUBSTITUTE(SUBSTITUTE(SUBSTITUTE(SUBSTITUTE(SUBSTITUTE(SUBSTITUTE(SUBSTITUTE(SUBSTITUTE(SUBSTITUTE(SUBSTITUTE(SUBSTITUTE(SUBSTITUTE(LOWER(IF(LEFT(TEXT('Invullen groen'!E30,"0"),1)="6",'Invullen groen'!O30,IF('Invullen groen'!N30&gt;0,'Invullen groen'!G30,'Invullen groen'!O30))),"2024",""),"2025",""),"2026",""),"2027",""),"2028",""),"2029",""),"taakveld ",""),"installaties","inst"),"ruwbouw","ruwb"),"afbouw","afb"),"bijstelling","bijst"),"investeringen","invest")),""),"")</f>
        <v/>
      </c>
      <c r="K18" s="524" t="n"/>
      <c r="L18" s="234" t="n"/>
      <c r="M18" s="234" t="n"/>
      <c r="N18" s="234" t="n"/>
    </row>
    <row r="19" ht="15" customHeight="1">
      <c r="A19" s="522">
        <f>IFERROR(IF('Invullen groen'!E31&gt;0,'Invullen groen'!E31,""),"")</f>
        <v/>
      </c>
      <c r="B19" s="522">
        <f>IFERROR(IF('Invullen groen'!L31&gt;0,'Invullen groen'!L31,""),"")</f>
        <v/>
      </c>
      <c r="C19" s="522">
        <f>IFERROR(IF('Invullen groen'!N31&gt;0,'Invullen groen'!N31,""),"")</f>
        <v/>
      </c>
      <c r="D19" s="522" t="n"/>
      <c r="E19" s="522">
        <f>IFERROR(IF(LEN(J19)&lt;=36,J19,IFERROR(LEFT(J19,FIND(CHAR(1),SUBSTITUTE(LEFT(J19,36)," ",CHAR(1),LEN(LEFT(J19,36))-LEN(SUBSTITUTE(LEFT(J19,36)," ",""))))-1),LEFT(J19,36))),"")</f>
        <v/>
      </c>
      <c r="F19" s="523">
        <f>IFERROR(IF('Invullen groen'!H31=0,"",INT('Invullen groen'!H31)),"")</f>
        <v/>
      </c>
      <c r="G19" s="523">
        <f>IFERROR(IF('Invullen groen'!I31=0,"",INT('Invullen groen'!I31)),"")</f>
        <v/>
      </c>
      <c r="H19" s="523">
        <f>IFERROR(IF('Invullen groen'!J31=0,"",INT('Invullen groen'!J31)),"")</f>
        <v/>
      </c>
      <c r="I19" s="523">
        <f>IFERROR(IF('Invullen groen'!K31=0,"",INT('Invullen groen'!K31)),"")</f>
        <v/>
      </c>
      <c r="J19" s="522">
        <f>IF('Invullen groen'!E31&gt;0,IFERROR($K$1&amp;" "&amp;TRIM(SUBSTITUTE(SUBSTITUTE(SUBSTITUTE(SUBSTITUTE(SUBSTITUTE(SUBSTITUTE(SUBSTITUTE(SUBSTITUTE(SUBSTITUTE(SUBSTITUTE(SUBSTITUTE(SUBSTITUTE(LOWER(IF(LEFT(TEXT('Invullen groen'!E31,"0"),1)="6",'Invullen groen'!O31,IF('Invullen groen'!N31&gt;0,'Invullen groen'!G31,'Invullen groen'!O31))),"2024",""),"2025",""),"2026",""),"2027",""),"2028",""),"2029",""),"taakveld ",""),"installaties","inst"),"ruwbouw","ruwb"),"afbouw","afb"),"bijstelling","bijst"),"investeringen","invest")),""),"")</f>
        <v/>
      </c>
      <c r="K19" s="522" t="n"/>
      <c r="L19" s="234" t="n"/>
      <c r="M19" s="234" t="n"/>
      <c r="N19" s="234" t="n"/>
    </row>
    <row r="20" ht="15" customHeight="1">
      <c r="A20" s="524">
        <f>IFERROR(IF('Invullen groen'!E32&gt;0,'Invullen groen'!E32,""),"")</f>
        <v/>
      </c>
      <c r="B20" s="524">
        <f>IFERROR(IF('Invullen groen'!L32&gt;0,'Invullen groen'!L32,""),"")</f>
        <v/>
      </c>
      <c r="C20" s="524">
        <f>IFERROR(IF('Invullen groen'!N32&gt;0,'Invullen groen'!N32,""),"")</f>
        <v/>
      </c>
      <c r="D20" s="524" t="n"/>
      <c r="E20" s="524">
        <f>IFERROR(IF(LEN(J20)&lt;=36,J20,IFERROR(LEFT(J20,FIND(CHAR(1),SUBSTITUTE(LEFT(J20,36)," ",CHAR(1),LEN(LEFT(J20,36))-LEN(SUBSTITUTE(LEFT(J20,36)," ",""))))-1),LEFT(J20,36))),"")</f>
        <v/>
      </c>
      <c r="F20" s="525">
        <f>IFERROR(IF('Invullen groen'!H32=0,"",INT('Invullen groen'!H32)),"")</f>
        <v/>
      </c>
      <c r="G20" s="525">
        <f>IFERROR(IF('Invullen groen'!I32=0,"",INT('Invullen groen'!I32)),"")</f>
        <v/>
      </c>
      <c r="H20" s="525">
        <f>IFERROR(IF('Invullen groen'!J32=0,"",INT('Invullen groen'!J32)),"")</f>
        <v/>
      </c>
      <c r="I20" s="525">
        <f>IFERROR(IF('Invullen groen'!K32=0,"",INT('Invullen groen'!K32)),"")</f>
        <v/>
      </c>
      <c r="J20" s="524">
        <f>IF('Invullen groen'!E32&gt;0,IFERROR($K$1&amp;" "&amp;TRIM(SUBSTITUTE(SUBSTITUTE(SUBSTITUTE(SUBSTITUTE(SUBSTITUTE(SUBSTITUTE(SUBSTITUTE(SUBSTITUTE(SUBSTITUTE(SUBSTITUTE(SUBSTITUTE(SUBSTITUTE(LOWER(IF(LEFT(TEXT('Invullen groen'!E32,"0"),1)="6",'Invullen groen'!O32,IF('Invullen groen'!N32&gt;0,'Invullen groen'!G32,'Invullen groen'!O32))),"2024",""),"2025",""),"2026",""),"2027",""),"2028",""),"2029",""),"taakveld ",""),"installaties","inst"),"ruwbouw","ruwb"),"afbouw","afb"),"bijstelling","bijst"),"investeringen","invest")),""),"")</f>
        <v/>
      </c>
      <c r="K20" s="524" t="n"/>
      <c r="L20" s="234" t="n"/>
      <c r="M20" s="234" t="n"/>
      <c r="N20" s="234" t="n"/>
    </row>
    <row r="21" ht="15" customHeight="1">
      <c r="A21" s="522">
        <f>IFERROR(IF('Invullen groen'!E33&gt;0,'Invullen groen'!E33,""),"")</f>
        <v/>
      </c>
      <c r="B21" s="522">
        <f>IFERROR(IF('Invullen groen'!L33&gt;0,'Invullen groen'!L33,""),"")</f>
        <v/>
      </c>
      <c r="C21" s="522">
        <f>IFERROR(IF('Invullen groen'!N33&gt;0,'Invullen groen'!N33,""),"")</f>
        <v/>
      </c>
      <c r="D21" s="522" t="n"/>
      <c r="E21" s="522">
        <f>IFERROR(IF(LEN(J21)&lt;=36,J21,IFERROR(LEFT(J21,FIND(CHAR(1),SUBSTITUTE(LEFT(J21,36)," ",CHAR(1),LEN(LEFT(J21,36))-LEN(SUBSTITUTE(LEFT(J21,36)," ",""))))-1),LEFT(J21,36))),"")</f>
        <v/>
      </c>
      <c r="F21" s="523">
        <f>IFERROR(IF('Invullen groen'!H33=0,"",INT('Invullen groen'!H33)),"")</f>
        <v/>
      </c>
      <c r="G21" s="523">
        <f>IFERROR(IF('Invullen groen'!I33=0,"",INT('Invullen groen'!I33)),"")</f>
        <v/>
      </c>
      <c r="H21" s="523">
        <f>IFERROR(IF('Invullen groen'!J33=0,"",INT('Invullen groen'!J33)),"")</f>
        <v/>
      </c>
      <c r="I21" s="523">
        <f>IFERROR(IF('Invullen groen'!K33=0,"",INT('Invullen groen'!K33)),"")</f>
        <v/>
      </c>
      <c r="J21" s="522">
        <f>IF('Invullen groen'!E33&gt;0,IFERROR($K$1&amp;" "&amp;TRIM(SUBSTITUTE(SUBSTITUTE(SUBSTITUTE(SUBSTITUTE(SUBSTITUTE(SUBSTITUTE(SUBSTITUTE(SUBSTITUTE(SUBSTITUTE(SUBSTITUTE(SUBSTITUTE(SUBSTITUTE(LOWER(IF(LEFT(TEXT('Invullen groen'!E33,"0"),1)="6",'Invullen groen'!O33,IF('Invullen groen'!N33&gt;0,'Invullen groen'!G33,'Invullen groen'!O33))),"2024",""),"2025",""),"2026",""),"2027",""),"2028",""),"2029",""),"taakveld ",""),"installaties","inst"),"ruwbouw","ruwb"),"afbouw","afb"),"bijstelling","bijst"),"investeringen","invest")),""),"")</f>
        <v/>
      </c>
      <c r="K21" s="522" t="n"/>
      <c r="L21" s="234" t="n"/>
      <c r="M21" s="234" t="n"/>
      <c r="N21" s="234" t="n"/>
    </row>
    <row r="22" ht="15" customHeight="1">
      <c r="A22" s="524">
        <f>IFERROR(IF('Invullen groen'!E34&gt;0,'Invullen groen'!E34,""),"")</f>
        <v/>
      </c>
      <c r="B22" s="524">
        <f>IFERROR(IF('Invullen groen'!L34&gt;0,'Invullen groen'!L34,""),"")</f>
        <v/>
      </c>
      <c r="C22" s="524">
        <f>IFERROR(IF('Invullen groen'!N34&gt;0,'Invullen groen'!N34,""),"")</f>
        <v/>
      </c>
      <c r="D22" s="524" t="n"/>
      <c r="E22" s="524">
        <f>IFERROR(IF(LEN(J22)&lt;=36,J22,IFERROR(LEFT(J22,FIND(CHAR(1),SUBSTITUTE(LEFT(J22,36)," ",CHAR(1),LEN(LEFT(J22,36))-LEN(SUBSTITUTE(LEFT(J22,36)," ",""))))-1),LEFT(J22,36))),"")</f>
        <v/>
      </c>
      <c r="F22" s="525">
        <f>IFERROR(IF('Invullen groen'!H34=0,"",INT('Invullen groen'!H34)),"")</f>
        <v/>
      </c>
      <c r="G22" s="525">
        <f>IFERROR(IF('Invullen groen'!I34=0,"",INT('Invullen groen'!I34)),"")</f>
        <v/>
      </c>
      <c r="H22" s="525">
        <f>IFERROR(IF('Invullen groen'!J34=0,"",INT('Invullen groen'!J34)),"")</f>
        <v/>
      </c>
      <c r="I22" s="525">
        <f>IFERROR(IF('Invullen groen'!K34=0,"",INT('Invullen groen'!K34)),"")</f>
        <v/>
      </c>
      <c r="J22" s="524">
        <f>IF('Invullen groen'!E34&gt;0,IFERROR($K$1&amp;" "&amp;TRIM(SUBSTITUTE(SUBSTITUTE(SUBSTITUTE(SUBSTITUTE(SUBSTITUTE(SUBSTITUTE(SUBSTITUTE(SUBSTITUTE(SUBSTITUTE(SUBSTITUTE(SUBSTITUTE(SUBSTITUTE(LOWER(IF(LEFT(TEXT('Invullen groen'!E34,"0"),1)="6",'Invullen groen'!O34,IF('Invullen groen'!N34&gt;0,'Invullen groen'!G34,'Invullen groen'!O34))),"2024",""),"2025",""),"2026",""),"2027",""),"2028",""),"2029",""),"taakveld ",""),"installaties","inst"),"ruwbouw","ruwb"),"afbouw","afb"),"bijstelling","bijst"),"investeringen","invest")),""),"")</f>
        <v/>
      </c>
      <c r="K22" s="524" t="n"/>
      <c r="L22" s="234" t="n"/>
      <c r="M22" s="234" t="n"/>
      <c r="N22" s="234" t="n"/>
    </row>
    <row r="23" ht="15" customHeight="1">
      <c r="A23" s="522">
        <f>IFERROR(IF('Invullen groen'!E35&gt;0,'Invullen groen'!E35,""),"")</f>
        <v/>
      </c>
      <c r="B23" s="522">
        <f>IFERROR(IF('Invullen groen'!L35&gt;0,'Invullen groen'!L35,""),"")</f>
        <v/>
      </c>
      <c r="C23" s="522">
        <f>IFERROR(IF('Invullen groen'!N35&gt;0,'Invullen groen'!N35,""),"")</f>
        <v/>
      </c>
      <c r="D23" s="522" t="n"/>
      <c r="E23" s="522">
        <f>IFERROR(IF(LEN(J23)&lt;=36,J23,IFERROR(LEFT(J23,FIND(CHAR(1),SUBSTITUTE(LEFT(J23,36)," ",CHAR(1),LEN(LEFT(J23,36))-LEN(SUBSTITUTE(LEFT(J23,36)," ",""))))-1),LEFT(J23,36))),"")</f>
        <v/>
      </c>
      <c r="F23" s="523">
        <f>IFERROR(IF('Invullen groen'!H35=0,"",INT('Invullen groen'!H35)),"")</f>
        <v/>
      </c>
      <c r="G23" s="523">
        <f>IFERROR(IF('Invullen groen'!I35=0,"",INT('Invullen groen'!I35)),"")</f>
        <v/>
      </c>
      <c r="H23" s="523">
        <f>IFERROR(IF('Invullen groen'!J35=0,"",INT('Invullen groen'!J35)),"")</f>
        <v/>
      </c>
      <c r="I23" s="523">
        <f>IFERROR(IF('Invullen groen'!K35=0,"",INT('Invullen groen'!K35)),"")</f>
        <v/>
      </c>
      <c r="J23" s="522">
        <f>IF('Invullen groen'!E35&gt;0,IFERROR($K$1&amp;" "&amp;TRIM(SUBSTITUTE(SUBSTITUTE(SUBSTITUTE(SUBSTITUTE(SUBSTITUTE(SUBSTITUTE(SUBSTITUTE(SUBSTITUTE(SUBSTITUTE(SUBSTITUTE(SUBSTITUTE(SUBSTITUTE(LOWER(IF(LEFT(TEXT('Invullen groen'!E35,"0"),1)="6",'Invullen groen'!O35,IF('Invullen groen'!N35&gt;0,'Invullen groen'!G35,'Invullen groen'!O35))),"2024",""),"2025",""),"2026",""),"2027",""),"2028",""),"2029",""),"taakveld ",""),"installaties","inst"),"ruwbouw","ruwb"),"afbouw","afb"),"bijstelling","bijst"),"investeringen","invest")),""),"")</f>
        <v/>
      </c>
      <c r="K23" s="522" t="n"/>
      <c r="L23" s="234" t="n"/>
      <c r="M23" s="234" t="n"/>
      <c r="N23" s="234" t="n"/>
    </row>
    <row r="24" ht="15" customHeight="1">
      <c r="A24" s="524">
        <f>IFERROR(IF('Invullen groen'!E36&gt;0,'Invullen groen'!E36,""),"")</f>
        <v/>
      </c>
      <c r="B24" s="524">
        <f>IFERROR(IF('Invullen groen'!L36&gt;0,'Invullen groen'!L36,""),"")</f>
        <v/>
      </c>
      <c r="C24" s="524">
        <f>IFERROR(IF('Invullen groen'!N36&gt;0,'Invullen groen'!N36,""),"")</f>
        <v/>
      </c>
      <c r="D24" s="524" t="n"/>
      <c r="E24" s="524">
        <f>IFERROR(IF(LEN(J24)&lt;=36,J24,IFERROR(LEFT(J24,FIND(CHAR(1),SUBSTITUTE(LEFT(J24,36)," ",CHAR(1),LEN(LEFT(J24,36))-LEN(SUBSTITUTE(LEFT(J24,36)," ",""))))-1),LEFT(J24,36))),"")</f>
        <v/>
      </c>
      <c r="F24" s="525">
        <f>IFERROR(IF('Invullen groen'!H36=0,"",INT('Invullen groen'!H36)),"")</f>
        <v/>
      </c>
      <c r="G24" s="525">
        <f>IFERROR(IF('Invullen groen'!I36=0,"",INT('Invullen groen'!I36)),"")</f>
        <v/>
      </c>
      <c r="H24" s="525">
        <f>IFERROR(IF('Invullen groen'!J36=0,"",INT('Invullen groen'!J36)),"")</f>
        <v/>
      </c>
      <c r="I24" s="525">
        <f>IFERROR(IF('Invullen groen'!K36=0,"",INT('Invullen groen'!K36)),"")</f>
        <v/>
      </c>
      <c r="J24" s="524">
        <f>IF('Invullen groen'!E36&gt;0,IFERROR($K$1&amp;" "&amp;TRIM(SUBSTITUTE(SUBSTITUTE(SUBSTITUTE(SUBSTITUTE(SUBSTITUTE(SUBSTITUTE(SUBSTITUTE(SUBSTITUTE(SUBSTITUTE(SUBSTITUTE(SUBSTITUTE(SUBSTITUTE(LOWER(IF(LEFT(TEXT('Invullen groen'!E36,"0"),1)="6",'Invullen groen'!O36,IF('Invullen groen'!N36&gt;0,'Invullen groen'!G36,'Invullen groen'!O36))),"2024",""),"2025",""),"2026",""),"2027",""),"2028",""),"2029",""),"taakveld ",""),"installaties","inst"),"ruwbouw","ruwb"),"afbouw","afb"),"bijstelling","bijst"),"investeringen","invest")),""),"")</f>
        <v/>
      </c>
      <c r="K24" s="524" t="n"/>
      <c r="L24" s="234" t="n"/>
      <c r="M24" s="234" t="n"/>
      <c r="N24" s="234" t="n"/>
    </row>
    <row r="25" ht="15" customHeight="1">
      <c r="A25" s="522">
        <f>IFERROR(IF('Invullen groen'!E37&gt;0,'Invullen groen'!E37,""),"")</f>
        <v/>
      </c>
      <c r="B25" s="522">
        <f>IFERROR(IF('Invullen groen'!L37&gt;0,'Invullen groen'!L37,""),"")</f>
        <v/>
      </c>
      <c r="C25" s="522">
        <f>IFERROR(IF('Invullen groen'!N37&gt;0,'Invullen groen'!N37,""),"")</f>
        <v/>
      </c>
      <c r="D25" s="522" t="n"/>
      <c r="E25" s="522">
        <f>IFERROR(IF(LEN(J25)&lt;=36,J25,IFERROR(LEFT(J25,FIND(CHAR(1),SUBSTITUTE(LEFT(J25,36)," ",CHAR(1),LEN(LEFT(J25,36))-LEN(SUBSTITUTE(LEFT(J25,36)," ",""))))-1),LEFT(J25,36))),"")</f>
        <v/>
      </c>
      <c r="F25" s="523">
        <f>IFERROR(IF('Invullen groen'!H37=0,"",INT('Invullen groen'!H37)),"")</f>
        <v/>
      </c>
      <c r="G25" s="523">
        <f>IFERROR(IF('Invullen groen'!I37=0,"",INT('Invullen groen'!I37)),"")</f>
        <v/>
      </c>
      <c r="H25" s="523">
        <f>IFERROR(IF('Invullen groen'!J37=0,"",INT('Invullen groen'!J37)),"")</f>
        <v/>
      </c>
      <c r="I25" s="523">
        <f>IFERROR(IF('Invullen groen'!K37=0,"",INT('Invullen groen'!K37)),"")</f>
        <v/>
      </c>
      <c r="J25" s="522">
        <f>IF('Invullen groen'!E37&gt;0,IFERROR($K$1&amp;" "&amp;TRIM(SUBSTITUTE(SUBSTITUTE(SUBSTITUTE(SUBSTITUTE(SUBSTITUTE(SUBSTITUTE(SUBSTITUTE(SUBSTITUTE(SUBSTITUTE(SUBSTITUTE(SUBSTITUTE(SUBSTITUTE(LOWER(IF(LEFT(TEXT('Invullen groen'!E37,"0"),1)="6",'Invullen groen'!O37,IF('Invullen groen'!N37&gt;0,'Invullen groen'!G37,'Invullen groen'!O37))),"2024",""),"2025",""),"2026",""),"2027",""),"2028",""),"2029",""),"taakveld ",""),"installaties","inst"),"ruwbouw","ruwb"),"afbouw","afb"),"bijstelling","bijst"),"investeringen","invest")),""),"")</f>
        <v/>
      </c>
      <c r="K25" s="522" t="n"/>
      <c r="L25" s="234" t="n"/>
      <c r="M25" s="234" t="n"/>
      <c r="N25" s="234" t="n"/>
    </row>
    <row r="26" ht="15" customHeight="1">
      <c r="A26" s="524">
        <f>IFERROR(IF('Invullen groen'!E38&gt;0,'Invullen groen'!E38,""),"")</f>
        <v/>
      </c>
      <c r="B26" s="524">
        <f>IFERROR(IF('Invullen groen'!L38&gt;0,'Invullen groen'!L38,""),"")</f>
        <v/>
      </c>
      <c r="C26" s="524">
        <f>IFERROR(IF('Invullen groen'!N38&gt;0,'Invullen groen'!N38,""),"")</f>
        <v/>
      </c>
      <c r="D26" s="524" t="n"/>
      <c r="E26" s="524">
        <f>IFERROR(IF(LEN(J26)&lt;=36,J26,IFERROR(LEFT(J26,FIND(CHAR(1),SUBSTITUTE(LEFT(J26,36)," ",CHAR(1),LEN(LEFT(J26,36))-LEN(SUBSTITUTE(LEFT(J26,36)," ",""))))-1),LEFT(J26,36))),"")</f>
        <v/>
      </c>
      <c r="F26" s="525">
        <f>IFERROR(IF('Invullen groen'!H38=0,"",INT('Invullen groen'!H38)),"")</f>
        <v/>
      </c>
      <c r="G26" s="525">
        <f>IFERROR(IF('Invullen groen'!I38=0,"",INT('Invullen groen'!I38)),"")</f>
        <v/>
      </c>
      <c r="H26" s="525">
        <f>IFERROR(IF('Invullen groen'!J38=0,"",INT('Invullen groen'!J38)),"")</f>
        <v/>
      </c>
      <c r="I26" s="525">
        <f>IFERROR(IF('Invullen groen'!K38=0,"",INT('Invullen groen'!K38)),"")</f>
        <v/>
      </c>
      <c r="J26" s="524">
        <f>IF('Invullen groen'!E38&gt;0,IFERROR($K$1&amp;" "&amp;TRIM(SUBSTITUTE(SUBSTITUTE(SUBSTITUTE(SUBSTITUTE(SUBSTITUTE(SUBSTITUTE(SUBSTITUTE(SUBSTITUTE(SUBSTITUTE(SUBSTITUTE(SUBSTITUTE(SUBSTITUTE(LOWER(IF(LEFT(TEXT('Invullen groen'!E38,"0"),1)="6",'Invullen groen'!O38,IF('Invullen groen'!N38&gt;0,'Invullen groen'!G38,'Invullen groen'!O38))),"2024",""),"2025",""),"2026",""),"2027",""),"2028",""),"2029",""),"taakveld ",""),"installaties","inst"),"ruwbouw","ruwb"),"afbouw","afb"),"bijstelling","bijst"),"investeringen","invest")),""),"")</f>
        <v/>
      </c>
      <c r="K26" s="524" t="n"/>
      <c r="L26" s="234" t="n"/>
      <c r="M26" s="234" t="n"/>
      <c r="N26" s="234" t="n"/>
    </row>
    <row r="27" ht="15" customHeight="1">
      <c r="A27" s="522">
        <f>IFERROR(IF('Invullen groen'!E39&gt;0,'Invullen groen'!E39,""),"")</f>
        <v/>
      </c>
      <c r="B27" s="522">
        <f>IFERROR(IF('Invullen groen'!L39&gt;0,'Invullen groen'!L39,""),"")</f>
        <v/>
      </c>
      <c r="C27" s="522">
        <f>IFERROR(IF('Invullen groen'!N39&gt;0,'Invullen groen'!N39,""),"")</f>
        <v/>
      </c>
      <c r="D27" s="522" t="n"/>
      <c r="E27" s="522">
        <f>IFERROR(IF(LEN(J27)&lt;=36,J27,IFERROR(LEFT(J27,FIND(CHAR(1),SUBSTITUTE(LEFT(J27,36)," ",CHAR(1),LEN(LEFT(J27,36))-LEN(SUBSTITUTE(LEFT(J27,36)," ",""))))-1),LEFT(J27,36))),"")</f>
        <v/>
      </c>
      <c r="F27" s="523">
        <f>IFERROR(IF('Invullen groen'!H39=0,"",INT('Invullen groen'!H39)),"")</f>
        <v/>
      </c>
      <c r="G27" s="523">
        <f>IFERROR(IF('Invullen groen'!I39=0,"",INT('Invullen groen'!I39)),"")</f>
        <v/>
      </c>
      <c r="H27" s="523">
        <f>IFERROR(IF('Invullen groen'!J39=0,"",INT('Invullen groen'!J39)),"")</f>
        <v/>
      </c>
      <c r="I27" s="523">
        <f>IFERROR(IF('Invullen groen'!K39=0,"",INT('Invullen groen'!K39)),"")</f>
        <v/>
      </c>
      <c r="J27" s="522">
        <f>IF('Invullen groen'!E39&gt;0,IFERROR($K$1&amp;" "&amp;TRIM(SUBSTITUTE(SUBSTITUTE(SUBSTITUTE(SUBSTITUTE(SUBSTITUTE(SUBSTITUTE(SUBSTITUTE(SUBSTITUTE(SUBSTITUTE(SUBSTITUTE(SUBSTITUTE(SUBSTITUTE(LOWER(IF(LEFT(TEXT('Invullen groen'!E39,"0"),1)="6",'Invullen groen'!O39,IF('Invullen groen'!N39&gt;0,'Invullen groen'!G39,'Invullen groen'!O39))),"2024",""),"2025",""),"2026",""),"2027",""),"2028",""),"2029",""),"taakveld ",""),"installaties","inst"),"ruwbouw","ruwb"),"afbouw","afb"),"bijstelling","bijst"),"investeringen","invest")),""),"")</f>
        <v/>
      </c>
      <c r="K27" s="522" t="n"/>
      <c r="L27" s="234" t="n"/>
      <c r="M27" s="234" t="n"/>
      <c r="N27" s="234" t="n"/>
    </row>
    <row r="28" ht="15" customHeight="1">
      <c r="A28" s="524">
        <f>IFERROR(IF('Invullen groen'!E40&gt;0,'Invullen groen'!E40,""),"")</f>
        <v/>
      </c>
      <c r="B28" s="524">
        <f>IFERROR(IF('Invullen groen'!L40&gt;0,'Invullen groen'!L40,""),"")</f>
        <v/>
      </c>
      <c r="C28" s="524">
        <f>IFERROR(IF('Invullen groen'!N40&gt;0,'Invullen groen'!N40,""),"")</f>
        <v/>
      </c>
      <c r="D28" s="524" t="n"/>
      <c r="E28" s="524">
        <f>IFERROR(IF(LEN(J28)&lt;=36,J28,IFERROR(LEFT(J28,FIND(CHAR(1),SUBSTITUTE(LEFT(J28,36)," ",CHAR(1),LEN(LEFT(J28,36))-LEN(SUBSTITUTE(LEFT(J28,36)," ",""))))-1),LEFT(J28,36))),"")</f>
        <v/>
      </c>
      <c r="F28" s="525">
        <f>IFERROR(IF('Invullen groen'!H40=0,"",INT('Invullen groen'!H40)),"")</f>
        <v/>
      </c>
      <c r="G28" s="525">
        <f>IFERROR(IF('Invullen groen'!I40=0,"",INT('Invullen groen'!I40)),"")</f>
        <v/>
      </c>
      <c r="H28" s="525">
        <f>IFERROR(IF('Invullen groen'!J40=0,"",INT('Invullen groen'!J40)),"")</f>
        <v/>
      </c>
      <c r="I28" s="525">
        <f>IFERROR(IF('Invullen groen'!K40=0,"",INT('Invullen groen'!K40)),"")</f>
        <v/>
      </c>
      <c r="J28" s="524">
        <f>IF('Invullen groen'!E40&gt;0,IFERROR($K$1&amp;" "&amp;TRIM(SUBSTITUTE(SUBSTITUTE(SUBSTITUTE(SUBSTITUTE(SUBSTITUTE(SUBSTITUTE(SUBSTITUTE(SUBSTITUTE(SUBSTITUTE(SUBSTITUTE(SUBSTITUTE(SUBSTITUTE(LOWER(IF(LEFT(TEXT('Invullen groen'!E40,"0"),1)="6",'Invullen groen'!O40,IF('Invullen groen'!N40&gt;0,'Invullen groen'!G40,'Invullen groen'!O40))),"2024",""),"2025",""),"2026",""),"2027",""),"2028",""),"2029",""),"taakveld ",""),"installaties","inst"),"ruwbouw","ruwb"),"afbouw","afb"),"bijstelling","bijst"),"investeringen","invest")),""),"")</f>
        <v/>
      </c>
      <c r="K28" s="524" t="n"/>
      <c r="L28" s="234" t="n"/>
      <c r="M28" s="234" t="n"/>
      <c r="N28" s="234" t="n"/>
    </row>
    <row r="29" ht="15" customHeight="1">
      <c r="A29" s="522">
        <f>IFERROR(IF('Invullen groen'!E41&gt;0,'Invullen groen'!E41,""),"")</f>
        <v/>
      </c>
      <c r="B29" s="522">
        <f>IFERROR(IF('Invullen groen'!L41&gt;0,'Invullen groen'!L41,""),"")</f>
        <v/>
      </c>
      <c r="C29" s="522">
        <f>IFERROR(IF('Invullen groen'!N41&gt;0,'Invullen groen'!N41,""),"")</f>
        <v/>
      </c>
      <c r="D29" s="522" t="n"/>
      <c r="E29" s="522">
        <f>IFERROR(IF(LEN(J29)&lt;=36,J29,IFERROR(LEFT(J29,FIND(CHAR(1),SUBSTITUTE(LEFT(J29,36)," ",CHAR(1),LEN(LEFT(J29,36))-LEN(SUBSTITUTE(LEFT(J29,36)," ",""))))-1),LEFT(J29,36))),"")</f>
        <v/>
      </c>
      <c r="F29" s="523">
        <f>IFERROR(IF('Invullen groen'!H41=0,"",INT('Invullen groen'!H41)),"")</f>
        <v/>
      </c>
      <c r="G29" s="523">
        <f>IFERROR(IF('Invullen groen'!I41=0,"",INT('Invullen groen'!I41)),"")</f>
        <v/>
      </c>
      <c r="H29" s="523">
        <f>IFERROR(IF('Invullen groen'!J41=0,"",INT('Invullen groen'!J41)),"")</f>
        <v/>
      </c>
      <c r="I29" s="523">
        <f>IFERROR(IF('Invullen groen'!K41=0,"",INT('Invullen groen'!K41)),"")</f>
        <v/>
      </c>
      <c r="J29" s="522">
        <f>IF('Invullen groen'!E41&gt;0,IFERROR($K$1&amp;" "&amp;TRIM(SUBSTITUTE(SUBSTITUTE(SUBSTITUTE(SUBSTITUTE(SUBSTITUTE(SUBSTITUTE(SUBSTITUTE(SUBSTITUTE(SUBSTITUTE(SUBSTITUTE(SUBSTITUTE(SUBSTITUTE(LOWER(IF(LEFT(TEXT('Invullen groen'!E41,"0"),1)="6",'Invullen groen'!O41,IF('Invullen groen'!N41&gt;0,'Invullen groen'!G41,'Invullen groen'!O41))),"2024",""),"2025",""),"2026",""),"2027",""),"2028",""),"2029",""),"taakveld ",""),"installaties","inst"),"ruwbouw","ruwb"),"afbouw","afb"),"bijstelling","bijst"),"investeringen","invest")),""),"")</f>
        <v/>
      </c>
      <c r="K29" s="522" t="n"/>
      <c r="L29" s="234" t="n"/>
      <c r="M29" s="234" t="n"/>
      <c r="N29" s="234" t="n"/>
    </row>
    <row r="30" ht="15" customHeight="1">
      <c r="A30" s="524">
        <f>IFERROR(IF('Invullen groen'!E42&gt;0,'Invullen groen'!E42,""),"")</f>
        <v/>
      </c>
      <c r="B30" s="524">
        <f>IFERROR(IF('Invullen groen'!L42&gt;0,'Invullen groen'!L42,""),"")</f>
        <v/>
      </c>
      <c r="C30" s="524">
        <f>IFERROR(IF('Invullen groen'!N42&gt;0,'Invullen groen'!N42,""),"")</f>
        <v/>
      </c>
      <c r="D30" s="524" t="n"/>
      <c r="E30" s="524">
        <f>IFERROR(IF(LEN(J30)&lt;=36,J30,IFERROR(LEFT(J30,FIND(CHAR(1),SUBSTITUTE(LEFT(J30,36)," ",CHAR(1),LEN(LEFT(J30,36))-LEN(SUBSTITUTE(LEFT(J30,36)," ",""))))-1),LEFT(J30,36))),"")</f>
        <v/>
      </c>
      <c r="F30" s="525">
        <f>IFERROR(IF('Invullen groen'!H42=0,"",INT('Invullen groen'!H42)),"")</f>
        <v/>
      </c>
      <c r="G30" s="525">
        <f>IFERROR(IF('Invullen groen'!I42=0,"",INT('Invullen groen'!I42)),"")</f>
        <v/>
      </c>
      <c r="H30" s="525">
        <f>IFERROR(IF('Invullen groen'!J42=0,"",INT('Invullen groen'!J42)),"")</f>
        <v/>
      </c>
      <c r="I30" s="525">
        <f>IFERROR(IF('Invullen groen'!K42=0,"",INT('Invullen groen'!K42)),"")</f>
        <v/>
      </c>
      <c r="J30" s="524">
        <f>IF('Invullen groen'!E42&gt;0,IFERROR($K$1&amp;" "&amp;TRIM(SUBSTITUTE(SUBSTITUTE(SUBSTITUTE(SUBSTITUTE(SUBSTITUTE(SUBSTITUTE(SUBSTITUTE(SUBSTITUTE(SUBSTITUTE(SUBSTITUTE(SUBSTITUTE(SUBSTITUTE(LOWER(IF(LEFT(TEXT('Invullen groen'!E42,"0"),1)="6",'Invullen groen'!O42,IF('Invullen groen'!N42&gt;0,'Invullen groen'!G42,'Invullen groen'!O42))),"2024",""),"2025",""),"2026",""),"2027",""),"2028",""),"2029",""),"taakveld ",""),"installaties","inst"),"ruwbouw","ruwb"),"afbouw","afb"),"bijstelling","bijst"),"investeringen","invest")),""),"")</f>
        <v/>
      </c>
      <c r="K30" s="524" t="n"/>
      <c r="L30" s="234" t="n"/>
      <c r="M30" s="234" t="n"/>
      <c r="N30" s="234" t="n"/>
    </row>
    <row r="31" ht="15" customHeight="1">
      <c r="A31" s="522">
        <f>IFERROR(IF('Invullen groen'!E43&gt;0,'Invullen groen'!E43,""),"")</f>
        <v/>
      </c>
      <c r="B31" s="522">
        <f>IFERROR(IF('Invullen groen'!L43&gt;0,'Invullen groen'!L43,""),"")</f>
        <v/>
      </c>
      <c r="C31" s="522">
        <f>IFERROR(IF('Invullen groen'!N43&gt;0,'Invullen groen'!N43,""),"")</f>
        <v/>
      </c>
      <c r="D31" s="522" t="n"/>
      <c r="E31" s="522">
        <f>IFERROR(IF(LEN(J31)&lt;=36,J31,IFERROR(LEFT(J31,FIND(CHAR(1),SUBSTITUTE(LEFT(J31,36)," ",CHAR(1),LEN(LEFT(J31,36))-LEN(SUBSTITUTE(LEFT(J31,36)," ",""))))-1),LEFT(J31,36))),"")</f>
        <v/>
      </c>
      <c r="F31" s="523">
        <f>IFERROR(IF('Invullen groen'!H43=0,"",INT('Invullen groen'!H43)),"")</f>
        <v/>
      </c>
      <c r="G31" s="523">
        <f>IFERROR(IF('Invullen groen'!I43=0,"",INT('Invullen groen'!I43)),"")</f>
        <v/>
      </c>
      <c r="H31" s="523">
        <f>IFERROR(IF('Invullen groen'!J43=0,"",INT('Invullen groen'!J43)),"")</f>
        <v/>
      </c>
      <c r="I31" s="523">
        <f>IFERROR(IF('Invullen groen'!K43=0,"",INT('Invullen groen'!K43)),"")</f>
        <v/>
      </c>
      <c r="J31" s="522">
        <f>IF('Invullen groen'!E43&gt;0,IFERROR($K$1&amp;" "&amp;TRIM(SUBSTITUTE(SUBSTITUTE(SUBSTITUTE(SUBSTITUTE(SUBSTITUTE(SUBSTITUTE(SUBSTITUTE(SUBSTITUTE(SUBSTITUTE(SUBSTITUTE(SUBSTITUTE(SUBSTITUTE(LOWER(IF(LEFT(TEXT('Invullen groen'!E43,"0"),1)="6",'Invullen groen'!O43,IF('Invullen groen'!N43&gt;0,'Invullen groen'!G43,'Invullen groen'!O43))),"2024",""),"2025",""),"2026",""),"2027",""),"2028",""),"2029",""),"taakveld ",""),"installaties","inst"),"ruwbouw","ruwb"),"afbouw","afb"),"bijstelling","bijst"),"investeringen","invest")),""),"")</f>
        <v/>
      </c>
      <c r="K31" s="522" t="n"/>
      <c r="L31" s="234" t="n"/>
      <c r="M31" s="234" t="n"/>
      <c r="N31" s="234" t="n"/>
    </row>
    <row r="32" ht="15" customHeight="1">
      <c r="A32" s="524">
        <f>IFERROR(IF('Invullen groen'!E44&gt;0,'Invullen groen'!E44,""),"")</f>
        <v/>
      </c>
      <c r="B32" s="524">
        <f>IFERROR(IF('Invullen groen'!L44&gt;0,'Invullen groen'!L44,""),"")</f>
        <v/>
      </c>
      <c r="C32" s="524">
        <f>IFERROR(IF('Invullen groen'!N44&gt;0,'Invullen groen'!N44,""),"")</f>
        <v/>
      </c>
      <c r="D32" s="524" t="n"/>
      <c r="E32" s="524">
        <f>IFERROR(IF(LEN(J32)&lt;=36,J32,IFERROR(LEFT(J32,FIND(CHAR(1),SUBSTITUTE(LEFT(J32,36)," ",CHAR(1),LEN(LEFT(J32,36))-LEN(SUBSTITUTE(LEFT(J32,36)," ",""))))-1),LEFT(J32,36))),"")</f>
        <v/>
      </c>
      <c r="F32" s="525">
        <f>IFERROR(IF('Invullen groen'!H44=0,"",INT('Invullen groen'!H44)),"")</f>
        <v/>
      </c>
      <c r="G32" s="525">
        <f>IFERROR(IF('Invullen groen'!I44=0,"",INT('Invullen groen'!I44)),"")</f>
        <v/>
      </c>
      <c r="H32" s="525">
        <f>IFERROR(IF('Invullen groen'!J44=0,"",INT('Invullen groen'!J44)),"")</f>
        <v/>
      </c>
      <c r="I32" s="525">
        <f>IFERROR(IF('Invullen groen'!K44=0,"",INT('Invullen groen'!K44)),"")</f>
        <v/>
      </c>
      <c r="J32" s="524">
        <f>IF('Invullen groen'!E44&gt;0,IFERROR($K$1&amp;" "&amp;TRIM(SUBSTITUTE(SUBSTITUTE(SUBSTITUTE(SUBSTITUTE(SUBSTITUTE(SUBSTITUTE(SUBSTITUTE(SUBSTITUTE(SUBSTITUTE(SUBSTITUTE(SUBSTITUTE(SUBSTITUTE(LOWER(IF(LEFT(TEXT('Invullen groen'!E44,"0"),1)="6",'Invullen groen'!O44,IF('Invullen groen'!N44&gt;0,'Invullen groen'!G44,'Invullen groen'!O44))),"2024",""),"2025",""),"2026",""),"2027",""),"2028",""),"2029",""),"taakveld ",""),"installaties","inst"),"ruwbouw","ruwb"),"afbouw","afb"),"bijstelling","bijst"),"investeringen","invest")),""),"")</f>
        <v/>
      </c>
      <c r="K32" s="524" t="n"/>
      <c r="L32" s="234" t="n"/>
      <c r="M32" s="234" t="n"/>
      <c r="N32" s="234" t="n"/>
    </row>
    <row r="33" ht="15" customHeight="1">
      <c r="A33" s="522">
        <f>IFERROR(IF('Invullen groen'!E45&gt;0,'Invullen groen'!E45,""),"")</f>
        <v/>
      </c>
      <c r="B33" s="522">
        <f>IFERROR(IF('Invullen groen'!L45&gt;0,'Invullen groen'!L45,""),"")</f>
        <v/>
      </c>
      <c r="C33" s="522">
        <f>IFERROR(IF('Invullen groen'!N45&gt;0,'Invullen groen'!N45,""),"")</f>
        <v/>
      </c>
      <c r="D33" s="522" t="n"/>
      <c r="E33" s="522">
        <f>IFERROR(IF(LEN(J33)&lt;=36,J33,IFERROR(LEFT(J33,FIND(CHAR(1),SUBSTITUTE(LEFT(J33,36)," ",CHAR(1),LEN(LEFT(J33,36))-LEN(SUBSTITUTE(LEFT(J33,36)," ",""))))-1),LEFT(J33,36))),"")</f>
        <v/>
      </c>
      <c r="F33" s="523">
        <f>IFERROR(IF('Invullen groen'!H45=0,"",INT('Invullen groen'!H45)),"")</f>
        <v/>
      </c>
      <c r="G33" s="523">
        <f>IFERROR(IF('Invullen groen'!I45=0,"",INT('Invullen groen'!I45)),"")</f>
        <v/>
      </c>
      <c r="H33" s="523">
        <f>IFERROR(IF('Invullen groen'!J45=0,"",INT('Invullen groen'!J45)),"")</f>
        <v/>
      </c>
      <c r="I33" s="523">
        <f>IFERROR(IF('Invullen groen'!K45=0,"",INT('Invullen groen'!K45)),"")</f>
        <v/>
      </c>
      <c r="J33" s="522">
        <f>IF('Invullen groen'!E45&gt;0,IFERROR($K$1&amp;" "&amp;TRIM(SUBSTITUTE(SUBSTITUTE(SUBSTITUTE(SUBSTITUTE(SUBSTITUTE(SUBSTITUTE(SUBSTITUTE(SUBSTITUTE(SUBSTITUTE(SUBSTITUTE(SUBSTITUTE(SUBSTITUTE(LOWER(IF(LEFT(TEXT('Invullen groen'!E45,"0"),1)="6",'Invullen groen'!O45,IF('Invullen groen'!N45&gt;0,'Invullen groen'!G45,'Invullen groen'!O45))),"2024",""),"2025",""),"2026",""),"2027",""),"2028",""),"2029",""),"taakveld ",""),"installaties","inst"),"ruwbouw","ruwb"),"afbouw","afb"),"bijstelling","bijst"),"investeringen","invest")),""),"")</f>
        <v/>
      </c>
      <c r="K33" s="522" t="n"/>
      <c r="L33" s="234" t="n"/>
      <c r="M33" s="234" t="n"/>
      <c r="N33" s="234" t="n"/>
    </row>
    <row r="34" ht="15" customHeight="1">
      <c r="A34" s="524">
        <f>IFERROR(IF('Invullen groen'!E46&gt;0,'Invullen groen'!E46,""),"")</f>
        <v/>
      </c>
      <c r="B34" s="524">
        <f>IFERROR(IF('Invullen groen'!L46&gt;0,'Invullen groen'!L46,""),"")</f>
        <v/>
      </c>
      <c r="C34" s="524">
        <f>IFERROR(IF('Invullen groen'!N46&gt;0,'Invullen groen'!N46,""),"")</f>
        <v/>
      </c>
      <c r="D34" s="524" t="n"/>
      <c r="E34" s="524">
        <f>IFERROR(IF(LEN(J34)&lt;=36,J34,IFERROR(LEFT(J34,FIND(CHAR(1),SUBSTITUTE(LEFT(J34,36)," ",CHAR(1),LEN(LEFT(J34,36))-LEN(SUBSTITUTE(LEFT(J34,36)," ",""))))-1),LEFT(J34,36))),"")</f>
        <v/>
      </c>
      <c r="F34" s="525">
        <f>IFERROR(IF('Invullen groen'!H46=0,"",INT('Invullen groen'!H46)),"")</f>
        <v/>
      </c>
      <c r="G34" s="525">
        <f>IFERROR(IF('Invullen groen'!I46=0,"",INT('Invullen groen'!I46)),"")</f>
        <v/>
      </c>
      <c r="H34" s="525">
        <f>IFERROR(IF('Invullen groen'!J46=0,"",INT('Invullen groen'!J46)),"")</f>
        <v/>
      </c>
      <c r="I34" s="525">
        <f>IFERROR(IF('Invullen groen'!K46=0,"",INT('Invullen groen'!K46)),"")</f>
        <v/>
      </c>
      <c r="J34" s="524">
        <f>IF('Invullen groen'!E46&gt;0,IFERROR($K$1&amp;" "&amp;TRIM(SUBSTITUTE(SUBSTITUTE(SUBSTITUTE(SUBSTITUTE(SUBSTITUTE(SUBSTITUTE(SUBSTITUTE(SUBSTITUTE(SUBSTITUTE(SUBSTITUTE(SUBSTITUTE(SUBSTITUTE(LOWER(IF(LEFT(TEXT('Invullen groen'!E46,"0"),1)="6",'Invullen groen'!O46,IF('Invullen groen'!N46&gt;0,'Invullen groen'!G46,'Invullen groen'!O46))),"2024",""),"2025",""),"2026",""),"2027",""),"2028",""),"2029",""),"taakveld ",""),"installaties","inst"),"ruwbouw","ruwb"),"afbouw","afb"),"bijstelling","bijst"),"investeringen","invest")),""),"")</f>
        <v/>
      </c>
      <c r="K34" s="524" t="n"/>
      <c r="L34" s="234" t="n"/>
      <c r="M34" s="234" t="n"/>
      <c r="N34" s="234" t="n"/>
    </row>
    <row r="35" ht="15" customHeight="1">
      <c r="A35" s="522">
        <f>IFERROR(IF('Invullen groen'!E47&gt;0,'Invullen groen'!E47,""),"")</f>
        <v/>
      </c>
      <c r="B35" s="522">
        <f>IFERROR(IF('Invullen groen'!L47&gt;0,'Invullen groen'!L47,""),"")</f>
        <v/>
      </c>
      <c r="C35" s="522">
        <f>IFERROR(IF('Invullen groen'!N47&gt;0,'Invullen groen'!N47,""),"")</f>
        <v/>
      </c>
      <c r="D35" s="522" t="n"/>
      <c r="E35" s="522">
        <f>IFERROR(IF(LEN(J35)&lt;=36,J35,IFERROR(LEFT(J35,FIND(CHAR(1),SUBSTITUTE(LEFT(J35,36)," ",CHAR(1),LEN(LEFT(J35,36))-LEN(SUBSTITUTE(LEFT(J35,36)," ",""))))-1),LEFT(J35,36))),"")</f>
        <v/>
      </c>
      <c r="F35" s="523">
        <f>IFERROR(IF('Invullen groen'!H47=0,"",INT('Invullen groen'!H47)),"")</f>
        <v/>
      </c>
      <c r="G35" s="523">
        <f>IFERROR(IF('Invullen groen'!I47=0,"",INT('Invullen groen'!I47)),"")</f>
        <v/>
      </c>
      <c r="H35" s="523">
        <f>IFERROR(IF('Invullen groen'!J47=0,"",INT('Invullen groen'!J47)),"")</f>
        <v/>
      </c>
      <c r="I35" s="523">
        <f>IFERROR(IF('Invullen groen'!K47=0,"",INT('Invullen groen'!K47)),"")</f>
        <v/>
      </c>
      <c r="J35" s="522">
        <f>IF('Invullen groen'!E47&gt;0,IFERROR($K$1&amp;" "&amp;TRIM(SUBSTITUTE(SUBSTITUTE(SUBSTITUTE(SUBSTITUTE(SUBSTITUTE(SUBSTITUTE(SUBSTITUTE(SUBSTITUTE(SUBSTITUTE(SUBSTITUTE(SUBSTITUTE(SUBSTITUTE(LOWER(IF(LEFT(TEXT('Invullen groen'!E47,"0"),1)="6",'Invullen groen'!O47,IF('Invullen groen'!N47&gt;0,'Invullen groen'!G47,'Invullen groen'!O47))),"2024",""),"2025",""),"2026",""),"2027",""),"2028",""),"2029",""),"taakveld ",""),"installaties","inst"),"ruwbouw","ruwb"),"afbouw","afb"),"bijstelling","bijst"),"investeringen","invest")),""),"")</f>
        <v/>
      </c>
      <c r="K35" s="522" t="n"/>
      <c r="L35" s="234" t="n"/>
      <c r="M35" s="234" t="n"/>
      <c r="N35" s="234" t="n"/>
    </row>
    <row r="36" ht="15" customHeight="1">
      <c r="A36" s="524">
        <f>IFERROR(IF('Invullen groen'!E48&gt;0,'Invullen groen'!E48,""),"")</f>
        <v/>
      </c>
      <c r="B36" s="524">
        <f>IFERROR(IF('Invullen groen'!L48&gt;0,'Invullen groen'!L48,""),"")</f>
        <v/>
      </c>
      <c r="C36" s="524">
        <f>IFERROR(IF('Invullen groen'!N48&gt;0,'Invullen groen'!N48,""),"")</f>
        <v/>
      </c>
      <c r="D36" s="524" t="n"/>
      <c r="E36" s="524">
        <f>IFERROR(IF(LEN(J36)&lt;=36,J36,IFERROR(LEFT(J36,FIND(CHAR(1),SUBSTITUTE(LEFT(J36,36)," ",CHAR(1),LEN(LEFT(J36,36))-LEN(SUBSTITUTE(LEFT(J36,36)," ",""))))-1),LEFT(J36,36))),"")</f>
        <v/>
      </c>
      <c r="F36" s="525">
        <f>IFERROR(IF('Invullen groen'!H48=0,"",INT('Invullen groen'!H48)),"")</f>
        <v/>
      </c>
      <c r="G36" s="525">
        <f>IFERROR(IF('Invullen groen'!I48=0,"",INT('Invullen groen'!I48)),"")</f>
        <v/>
      </c>
      <c r="H36" s="525">
        <f>IFERROR(IF('Invullen groen'!J48=0,"",INT('Invullen groen'!J48)),"")</f>
        <v/>
      </c>
      <c r="I36" s="525">
        <f>IFERROR(IF('Invullen groen'!K48=0,"",INT('Invullen groen'!K48)),"")</f>
        <v/>
      </c>
      <c r="J36" s="524">
        <f>IF('Invullen groen'!E48&gt;0,IFERROR($K$1&amp;" "&amp;TRIM(SUBSTITUTE(SUBSTITUTE(SUBSTITUTE(SUBSTITUTE(SUBSTITUTE(SUBSTITUTE(SUBSTITUTE(SUBSTITUTE(SUBSTITUTE(SUBSTITUTE(SUBSTITUTE(SUBSTITUTE(LOWER(IF(LEFT(TEXT('Invullen groen'!E48,"0"),1)="6",'Invullen groen'!O48,IF('Invullen groen'!N48&gt;0,'Invullen groen'!G48,'Invullen groen'!O48))),"2024",""),"2025",""),"2026",""),"2027",""),"2028",""),"2029",""),"taakveld ",""),"installaties","inst"),"ruwbouw","ruwb"),"afbouw","afb"),"bijstelling","bijst"),"investeringen","invest")),""),"")</f>
        <v/>
      </c>
      <c r="K36" s="524" t="n"/>
      <c r="L36" s="234" t="n"/>
      <c r="M36" s="234" t="n"/>
      <c r="N36" s="234" t="n"/>
    </row>
    <row r="37" ht="15" customHeight="1">
      <c r="A37" s="522">
        <f>IFERROR(IF('Invullen groen'!E49&gt;0,'Invullen groen'!E49,""),"")</f>
        <v/>
      </c>
      <c r="B37" s="522">
        <f>IFERROR(IF('Invullen groen'!L49&gt;0,'Invullen groen'!L49,""),"")</f>
        <v/>
      </c>
      <c r="C37" s="522">
        <f>IFERROR(IF('Invullen groen'!N49&gt;0,'Invullen groen'!N49,""),"")</f>
        <v/>
      </c>
      <c r="D37" s="522" t="n"/>
      <c r="E37" s="522">
        <f>IFERROR(IF(LEN(J37)&lt;=36,J37,IFERROR(LEFT(J37,FIND(CHAR(1),SUBSTITUTE(LEFT(J37,36)," ",CHAR(1),LEN(LEFT(J37,36))-LEN(SUBSTITUTE(LEFT(J37,36)," ",""))))-1),LEFT(J37,36))),"")</f>
        <v/>
      </c>
      <c r="F37" s="523">
        <f>IFERROR(IF('Invullen groen'!H49=0,"",INT('Invullen groen'!H49)),"")</f>
        <v/>
      </c>
      <c r="G37" s="523">
        <f>IFERROR(IF('Invullen groen'!I49=0,"",INT('Invullen groen'!I49)),"")</f>
        <v/>
      </c>
      <c r="H37" s="523">
        <f>IFERROR(IF('Invullen groen'!J49=0,"",INT('Invullen groen'!J49)),"")</f>
        <v/>
      </c>
      <c r="I37" s="523">
        <f>IFERROR(IF('Invullen groen'!K49=0,"",INT('Invullen groen'!K49)),"")</f>
        <v/>
      </c>
      <c r="J37" s="522">
        <f>IF('Invullen groen'!E49&gt;0,IFERROR($K$1&amp;" "&amp;TRIM(SUBSTITUTE(SUBSTITUTE(SUBSTITUTE(SUBSTITUTE(SUBSTITUTE(SUBSTITUTE(SUBSTITUTE(SUBSTITUTE(SUBSTITUTE(SUBSTITUTE(SUBSTITUTE(SUBSTITUTE(LOWER(IF(LEFT(TEXT('Invullen groen'!E49,"0"),1)="6",'Invullen groen'!O49,IF('Invullen groen'!N49&gt;0,'Invullen groen'!G49,'Invullen groen'!O49))),"2024",""),"2025",""),"2026",""),"2027",""),"2028",""),"2029",""),"taakveld ",""),"installaties","inst"),"ruwbouw","ruwb"),"afbouw","afb"),"bijstelling","bijst"),"investeringen","invest")),""),"")</f>
        <v/>
      </c>
      <c r="K37" s="522" t="n"/>
      <c r="L37" s="234" t="n"/>
      <c r="M37" s="234" t="n"/>
      <c r="N37" s="234" t="n"/>
    </row>
    <row r="38" ht="15" customHeight="1">
      <c r="A38" s="524">
        <f>IFERROR(IF('Invullen groen'!E50&gt;0,'Invullen groen'!E50,""),"")</f>
        <v/>
      </c>
      <c r="B38" s="524">
        <f>IFERROR(IF('Invullen groen'!L50&gt;0,'Invullen groen'!L50,""),"")</f>
        <v/>
      </c>
      <c r="C38" s="524">
        <f>IFERROR(IF('Invullen groen'!N50&gt;0,'Invullen groen'!N50,""),"")</f>
        <v/>
      </c>
      <c r="D38" s="524" t="n"/>
      <c r="E38" s="524">
        <f>IFERROR(IF(LEN(J38)&lt;=36,J38,IFERROR(LEFT(J38,FIND(CHAR(1),SUBSTITUTE(LEFT(J38,36)," ",CHAR(1),LEN(LEFT(J38,36))-LEN(SUBSTITUTE(LEFT(J38,36)," ",""))))-1),LEFT(J38,36))),"")</f>
        <v/>
      </c>
      <c r="F38" s="525">
        <f>IFERROR(IF('Invullen groen'!H50=0,"",INT('Invullen groen'!H50)),"")</f>
        <v/>
      </c>
      <c r="G38" s="525">
        <f>IFERROR(IF('Invullen groen'!I50=0,"",INT('Invullen groen'!I50)),"")</f>
        <v/>
      </c>
      <c r="H38" s="525">
        <f>IFERROR(IF('Invullen groen'!J50=0,"",INT('Invullen groen'!J50)),"")</f>
        <v/>
      </c>
      <c r="I38" s="525">
        <f>IFERROR(IF('Invullen groen'!K50=0,"",INT('Invullen groen'!K50)),"")</f>
        <v/>
      </c>
      <c r="J38" s="524">
        <f>IF('Invullen groen'!E50&gt;0,IFERROR($K$1&amp;" "&amp;TRIM(SUBSTITUTE(SUBSTITUTE(SUBSTITUTE(SUBSTITUTE(SUBSTITUTE(SUBSTITUTE(SUBSTITUTE(SUBSTITUTE(SUBSTITUTE(SUBSTITUTE(SUBSTITUTE(SUBSTITUTE(LOWER(IF(LEFT(TEXT('Invullen groen'!E50,"0"),1)="6",'Invullen groen'!O50,IF('Invullen groen'!N50&gt;0,'Invullen groen'!G50,'Invullen groen'!O50))),"2024",""),"2025",""),"2026",""),"2027",""),"2028",""),"2029",""),"taakveld ",""),"installaties","inst"),"ruwbouw","ruwb"),"afbouw","afb"),"bijstelling","bijst"),"investeringen","invest")),""),"")</f>
        <v/>
      </c>
      <c r="K38" s="524" t="n"/>
      <c r="L38" s="234" t="n"/>
      <c r="M38" s="234" t="n"/>
      <c r="N38" s="234" t="n"/>
    </row>
    <row r="39" ht="15" customHeight="1">
      <c r="A39" s="522">
        <f>IFERROR(IF('Invullen groen'!E51&gt;0,'Invullen groen'!E51,""),"")</f>
        <v/>
      </c>
      <c r="B39" s="522">
        <f>IFERROR(IF('Invullen groen'!L51&gt;0,'Invullen groen'!L51,""),"")</f>
        <v/>
      </c>
      <c r="C39" s="522">
        <f>IFERROR(IF('Invullen groen'!N51&gt;0,'Invullen groen'!N51,""),"")</f>
        <v/>
      </c>
      <c r="D39" s="522" t="n"/>
      <c r="E39" s="522">
        <f>IFERROR(IF(LEN(J39)&lt;=36,J39,IFERROR(LEFT(J39,FIND(CHAR(1),SUBSTITUTE(LEFT(J39,36)," ",CHAR(1),LEN(LEFT(J39,36))-LEN(SUBSTITUTE(LEFT(J39,36)," ",""))))-1),LEFT(J39,36))),"")</f>
        <v/>
      </c>
      <c r="F39" s="523">
        <f>IFERROR(IF('Invullen groen'!H51=0,"",INT('Invullen groen'!H51)),"")</f>
        <v/>
      </c>
      <c r="G39" s="523">
        <f>IFERROR(IF('Invullen groen'!I51=0,"",INT('Invullen groen'!I51)),"")</f>
        <v/>
      </c>
      <c r="H39" s="523">
        <f>IFERROR(IF('Invullen groen'!J51=0,"",INT('Invullen groen'!J51)),"")</f>
        <v/>
      </c>
      <c r="I39" s="523">
        <f>IFERROR(IF('Invullen groen'!K51=0,"",INT('Invullen groen'!K51)),"")</f>
        <v/>
      </c>
      <c r="J39" s="522">
        <f>IF('Invullen groen'!E51&gt;0,IFERROR($K$1&amp;" "&amp;TRIM(SUBSTITUTE(SUBSTITUTE(SUBSTITUTE(SUBSTITUTE(SUBSTITUTE(SUBSTITUTE(SUBSTITUTE(SUBSTITUTE(SUBSTITUTE(SUBSTITUTE(SUBSTITUTE(SUBSTITUTE(LOWER(IF(LEFT(TEXT('Invullen groen'!E51,"0"),1)="6",'Invullen groen'!O51,IF('Invullen groen'!N51&gt;0,'Invullen groen'!G51,'Invullen groen'!O51))),"2024",""),"2025",""),"2026",""),"2027",""),"2028",""),"2029",""),"taakveld ",""),"installaties","inst"),"ruwbouw","ruwb"),"afbouw","afb"),"bijstelling","bijst"),"investeringen","invest")),""),"")</f>
        <v/>
      </c>
      <c r="K39" s="522" t="n"/>
      <c r="L39" s="234" t="n"/>
      <c r="M39" s="234" t="n"/>
      <c r="N39" s="234" t="n"/>
    </row>
    <row r="40" ht="15" customHeight="1">
      <c r="A40" s="524">
        <f>IFERROR(IF('Invullen groen'!E52&gt;0,'Invullen groen'!E52,""),"")</f>
        <v/>
      </c>
      <c r="B40" s="524">
        <f>IFERROR(IF('Invullen groen'!L52&gt;0,'Invullen groen'!L52,""),"")</f>
        <v/>
      </c>
      <c r="C40" s="524">
        <f>IFERROR(IF('Invullen groen'!N52&gt;0,'Invullen groen'!N52,""),"")</f>
        <v/>
      </c>
      <c r="D40" s="524" t="n"/>
      <c r="E40" s="524">
        <f>IFERROR(IF(LEN(J40)&lt;=36,J40,IFERROR(LEFT(J40,FIND(CHAR(1),SUBSTITUTE(LEFT(J40,36)," ",CHAR(1),LEN(LEFT(J40,36))-LEN(SUBSTITUTE(LEFT(J40,36)," ",""))))-1),LEFT(J40,36))),"")</f>
        <v/>
      </c>
      <c r="F40" s="525">
        <f>IFERROR(IF('Invullen groen'!H52=0,"",INT('Invullen groen'!H52)),"")</f>
        <v/>
      </c>
      <c r="G40" s="525">
        <f>IFERROR(IF('Invullen groen'!I52=0,"",INT('Invullen groen'!I52)),"")</f>
        <v/>
      </c>
      <c r="H40" s="525">
        <f>IFERROR(IF('Invullen groen'!J52=0,"",INT('Invullen groen'!J52)),"")</f>
        <v/>
      </c>
      <c r="I40" s="525">
        <f>IFERROR(IF('Invullen groen'!K52=0,"",INT('Invullen groen'!K52)),"")</f>
        <v/>
      </c>
      <c r="J40" s="524">
        <f>IF('Invullen groen'!E52&gt;0,IFERROR($K$1&amp;" "&amp;TRIM(SUBSTITUTE(SUBSTITUTE(SUBSTITUTE(SUBSTITUTE(SUBSTITUTE(SUBSTITUTE(SUBSTITUTE(SUBSTITUTE(SUBSTITUTE(SUBSTITUTE(SUBSTITUTE(SUBSTITUTE(LOWER(IF(LEFT(TEXT('Invullen groen'!E52,"0"),1)="6",'Invullen groen'!O52,IF('Invullen groen'!N52&gt;0,'Invullen groen'!G52,'Invullen groen'!O52))),"2024",""),"2025",""),"2026",""),"2027",""),"2028",""),"2029",""),"taakveld ",""),"installaties","inst"),"ruwbouw","ruwb"),"afbouw","afb"),"bijstelling","bijst"),"investeringen","invest")),""),"")</f>
        <v/>
      </c>
      <c r="K40" s="524" t="n"/>
      <c r="L40" s="234" t="n"/>
      <c r="M40" s="234" t="n"/>
      <c r="N40" s="234" t="n"/>
    </row>
    <row r="41" ht="15" customHeight="1">
      <c r="A41" s="522">
        <f>IFERROR(IF('Invullen groen'!E53&gt;0,'Invullen groen'!E53,""),"")</f>
        <v/>
      </c>
      <c r="B41" s="522">
        <f>IFERROR(IF('Invullen groen'!L53&gt;0,'Invullen groen'!L53,""),"")</f>
        <v/>
      </c>
      <c r="C41" s="522">
        <f>IFERROR(IF('Invullen groen'!N53&gt;0,'Invullen groen'!N53,""),"")</f>
        <v/>
      </c>
      <c r="D41" s="522" t="n"/>
      <c r="E41" s="522">
        <f>IFERROR(IF(LEN(J41)&lt;=36,J41,IFERROR(LEFT(J41,FIND(CHAR(1),SUBSTITUTE(LEFT(J41,36)," ",CHAR(1),LEN(LEFT(J41,36))-LEN(SUBSTITUTE(LEFT(J41,36)," ",""))))-1),LEFT(J41,36))),"")</f>
        <v/>
      </c>
      <c r="F41" s="523">
        <f>IFERROR(IF('Invullen groen'!H53=0,"",INT('Invullen groen'!H53)),"")</f>
        <v/>
      </c>
      <c r="G41" s="523">
        <f>IFERROR(IF('Invullen groen'!I53=0,"",INT('Invullen groen'!I53)),"")</f>
        <v/>
      </c>
      <c r="H41" s="523">
        <f>IFERROR(IF('Invullen groen'!J53=0,"",INT('Invullen groen'!J53)),"")</f>
        <v/>
      </c>
      <c r="I41" s="523">
        <f>IFERROR(IF('Invullen groen'!K53=0,"",INT('Invullen groen'!K53)),"")</f>
        <v/>
      </c>
      <c r="J41" s="522">
        <f>IF('Invullen groen'!E53&gt;0,IFERROR($K$1&amp;" "&amp;TRIM(SUBSTITUTE(SUBSTITUTE(SUBSTITUTE(SUBSTITUTE(SUBSTITUTE(SUBSTITUTE(SUBSTITUTE(SUBSTITUTE(SUBSTITUTE(SUBSTITUTE(SUBSTITUTE(SUBSTITUTE(LOWER(IF(LEFT(TEXT('Invullen groen'!E53,"0"),1)="6",'Invullen groen'!O53,IF('Invullen groen'!N53&gt;0,'Invullen groen'!G53,'Invullen groen'!O53))),"2024",""),"2025",""),"2026",""),"2027",""),"2028",""),"2029",""),"taakveld ",""),"installaties","inst"),"ruwbouw","ruwb"),"afbouw","afb"),"bijstelling","bijst"),"investeringen","invest")),""),"")</f>
        <v/>
      </c>
      <c r="K41" s="522" t="n"/>
      <c r="L41" s="234" t="n"/>
      <c r="M41" s="234" t="n"/>
      <c r="N41" s="234" t="n"/>
    </row>
    <row r="42" ht="15" customHeight="1">
      <c r="A42" s="524">
        <f>IFERROR(IF('Invullen groen'!E54&gt;0,'Invullen groen'!E54,""),"")</f>
        <v/>
      </c>
      <c r="B42" s="524">
        <f>IFERROR(IF('Invullen groen'!L54&gt;0,'Invullen groen'!L54,""),"")</f>
        <v/>
      </c>
      <c r="C42" s="524">
        <f>IFERROR(IF('Invullen groen'!N54&gt;0,'Invullen groen'!N54,""),"")</f>
        <v/>
      </c>
      <c r="D42" s="524" t="n"/>
      <c r="E42" s="524">
        <f>IFERROR(IF(LEN(J42)&lt;=36,J42,IFERROR(LEFT(J42,FIND(CHAR(1),SUBSTITUTE(LEFT(J42,36)," ",CHAR(1),LEN(LEFT(J42,36))-LEN(SUBSTITUTE(LEFT(J42,36)," ",""))))-1),LEFT(J42,36))),"")</f>
        <v/>
      </c>
      <c r="F42" s="525">
        <f>IFERROR(IF('Invullen groen'!H54=0,"",INT('Invullen groen'!H54)),"")</f>
        <v/>
      </c>
      <c r="G42" s="525">
        <f>IFERROR(IF('Invullen groen'!I54=0,"",INT('Invullen groen'!I54)),"")</f>
        <v/>
      </c>
      <c r="H42" s="525">
        <f>IFERROR(IF('Invullen groen'!J54=0,"",INT('Invullen groen'!J54)),"")</f>
        <v/>
      </c>
      <c r="I42" s="525">
        <f>IFERROR(IF('Invullen groen'!K54=0,"",INT('Invullen groen'!K54)),"")</f>
        <v/>
      </c>
      <c r="J42" s="524">
        <f>IF('Invullen groen'!E54&gt;0,IFERROR($K$1&amp;" "&amp;TRIM(SUBSTITUTE(SUBSTITUTE(SUBSTITUTE(SUBSTITUTE(SUBSTITUTE(SUBSTITUTE(SUBSTITUTE(SUBSTITUTE(SUBSTITUTE(SUBSTITUTE(SUBSTITUTE(SUBSTITUTE(LOWER(IF(LEFT(TEXT('Invullen groen'!E54,"0"),1)="6",'Invullen groen'!O54,IF('Invullen groen'!N54&gt;0,'Invullen groen'!G54,'Invullen groen'!O54))),"2024",""),"2025",""),"2026",""),"2027",""),"2028",""),"2029",""),"taakveld ",""),"installaties","inst"),"ruwbouw","ruwb"),"afbouw","afb"),"bijstelling","bijst"),"investeringen","invest")),""),"")</f>
        <v/>
      </c>
      <c r="K42" s="524" t="n"/>
      <c r="L42" s="234" t="n"/>
      <c r="M42" s="234" t="n"/>
      <c r="N42" s="234" t="n"/>
    </row>
    <row r="43" ht="15" customHeight="1">
      <c r="A43" s="522">
        <f>IFERROR(IF('Invullen groen'!E55&gt;0,'Invullen groen'!E55,""),"")</f>
        <v/>
      </c>
      <c r="B43" s="522">
        <f>IFERROR(IF('Invullen groen'!L55&gt;0,'Invullen groen'!L55,""),"")</f>
        <v/>
      </c>
      <c r="C43" s="522">
        <f>IFERROR(IF('Invullen groen'!N55&gt;0,'Invullen groen'!N55,""),"")</f>
        <v/>
      </c>
      <c r="D43" s="522" t="n"/>
      <c r="E43" s="522">
        <f>IFERROR(IF(LEN(J43)&lt;=36,J43,IFERROR(LEFT(J43,FIND(CHAR(1),SUBSTITUTE(LEFT(J43,36)," ",CHAR(1),LEN(LEFT(J43,36))-LEN(SUBSTITUTE(LEFT(J43,36)," ",""))))-1),LEFT(J43,36))),"")</f>
        <v/>
      </c>
      <c r="F43" s="523">
        <f>IFERROR(IF('Invullen groen'!H55=0,"",INT('Invullen groen'!H55)),"")</f>
        <v/>
      </c>
      <c r="G43" s="523">
        <f>IFERROR(IF('Invullen groen'!I55=0,"",INT('Invullen groen'!I55)),"")</f>
        <v/>
      </c>
      <c r="H43" s="523">
        <f>IFERROR(IF('Invullen groen'!J55=0,"",INT('Invullen groen'!J55)),"")</f>
        <v/>
      </c>
      <c r="I43" s="523">
        <f>IFERROR(IF('Invullen groen'!K55=0,"",INT('Invullen groen'!K55)),"")</f>
        <v/>
      </c>
      <c r="J43" s="522">
        <f>IF('Invullen groen'!E55&gt;0,IFERROR($K$1&amp;" "&amp;TRIM(SUBSTITUTE(SUBSTITUTE(SUBSTITUTE(SUBSTITUTE(SUBSTITUTE(SUBSTITUTE(SUBSTITUTE(SUBSTITUTE(SUBSTITUTE(SUBSTITUTE(SUBSTITUTE(SUBSTITUTE(LOWER(IF(LEFT(TEXT('Invullen groen'!E55,"0"),1)="6",'Invullen groen'!O55,IF('Invullen groen'!N55&gt;0,'Invullen groen'!G55,'Invullen groen'!O55))),"2024",""),"2025",""),"2026",""),"2027",""),"2028",""),"2029",""),"taakveld ",""),"installaties","inst"),"ruwbouw","ruwb"),"afbouw","afb"),"bijstelling","bijst"),"investeringen","invest")),""),"")</f>
        <v/>
      </c>
      <c r="K43" s="522" t="n"/>
      <c r="L43" s="234" t="n"/>
      <c r="M43" s="234" t="n"/>
      <c r="N43" s="234" t="n"/>
    </row>
    <row r="44" ht="15" customHeight="1">
      <c r="A44" s="524">
        <f>IFERROR(IF('Invullen groen'!E56&gt;0,'Invullen groen'!E56,""),"")</f>
        <v/>
      </c>
      <c r="B44" s="524">
        <f>IFERROR(IF('Invullen groen'!L56&gt;0,'Invullen groen'!L56,""),"")</f>
        <v/>
      </c>
      <c r="C44" s="524">
        <f>IFERROR(IF('Invullen groen'!N56&gt;0,'Invullen groen'!N56,""),"")</f>
        <v/>
      </c>
      <c r="D44" s="524" t="n"/>
      <c r="E44" s="524">
        <f>IFERROR(IF(LEN(J44)&lt;=36,J44,IFERROR(LEFT(J44,FIND(CHAR(1),SUBSTITUTE(LEFT(J44,36)," ",CHAR(1),LEN(LEFT(J44,36))-LEN(SUBSTITUTE(LEFT(J44,36)," ",""))))-1),LEFT(J44,36))),"")</f>
        <v/>
      </c>
      <c r="F44" s="525">
        <f>IFERROR(IF('Invullen groen'!H56=0,"",INT('Invullen groen'!H56)),"")</f>
        <v/>
      </c>
      <c r="G44" s="525">
        <f>IFERROR(IF('Invullen groen'!I56=0,"",INT('Invullen groen'!I56)),"")</f>
        <v/>
      </c>
      <c r="H44" s="525">
        <f>IFERROR(IF('Invullen groen'!J56=0,"",INT('Invullen groen'!J56)),"")</f>
        <v/>
      </c>
      <c r="I44" s="525">
        <f>IFERROR(IF('Invullen groen'!K56=0,"",INT('Invullen groen'!K56)),"")</f>
        <v/>
      </c>
      <c r="J44" s="524">
        <f>IF('Invullen groen'!E56&gt;0,IFERROR($K$1&amp;" "&amp;TRIM(SUBSTITUTE(SUBSTITUTE(SUBSTITUTE(SUBSTITUTE(SUBSTITUTE(SUBSTITUTE(SUBSTITUTE(SUBSTITUTE(SUBSTITUTE(SUBSTITUTE(SUBSTITUTE(SUBSTITUTE(LOWER(IF(LEFT(TEXT('Invullen groen'!E56,"0"),1)="6",'Invullen groen'!O56,IF('Invullen groen'!N56&gt;0,'Invullen groen'!G56,'Invullen groen'!O56))),"2024",""),"2025",""),"2026",""),"2027",""),"2028",""),"2029",""),"taakveld ",""),"installaties","inst"),"ruwbouw","ruwb"),"afbouw","afb"),"bijstelling","bijst"),"investeringen","invest")),""),"")</f>
        <v/>
      </c>
      <c r="K44" s="524" t="n"/>
      <c r="L44" s="234" t="n"/>
      <c r="M44" s="234" t="n"/>
      <c r="N44" s="234" t="n"/>
    </row>
    <row r="45" ht="15" customHeight="1">
      <c r="A45" s="522">
        <f>IFERROR(IF('Invullen groen'!E57&gt;0,'Invullen groen'!E57,""),"")</f>
        <v/>
      </c>
      <c r="B45" s="522">
        <f>IFERROR(IF('Invullen groen'!L57&gt;0,'Invullen groen'!L57,""),"")</f>
        <v/>
      </c>
      <c r="C45" s="522">
        <f>IFERROR(IF('Invullen groen'!N57&gt;0,'Invullen groen'!N57,""),"")</f>
        <v/>
      </c>
      <c r="D45" s="522" t="n"/>
      <c r="E45" s="522">
        <f>IFERROR(IF(LEN(J45)&lt;=36,J45,IFERROR(LEFT(J45,FIND(CHAR(1),SUBSTITUTE(LEFT(J45,36)," ",CHAR(1),LEN(LEFT(J45,36))-LEN(SUBSTITUTE(LEFT(J45,36)," ",""))))-1),LEFT(J45,36))),"")</f>
        <v/>
      </c>
      <c r="F45" s="523">
        <f>IFERROR(IF('Invullen groen'!H57=0,"",INT('Invullen groen'!H57)),"")</f>
        <v/>
      </c>
      <c r="G45" s="523">
        <f>IFERROR(IF('Invullen groen'!I57=0,"",INT('Invullen groen'!I57)),"")</f>
        <v/>
      </c>
      <c r="H45" s="523">
        <f>IFERROR(IF('Invullen groen'!J57=0,"",INT('Invullen groen'!J57)),"")</f>
        <v/>
      </c>
      <c r="I45" s="523">
        <f>IFERROR(IF('Invullen groen'!K57=0,"",INT('Invullen groen'!K57)),"")</f>
        <v/>
      </c>
      <c r="J45" s="522">
        <f>IF('Invullen groen'!E57&gt;0,IFERROR($K$1&amp;" "&amp;TRIM(SUBSTITUTE(SUBSTITUTE(SUBSTITUTE(SUBSTITUTE(SUBSTITUTE(SUBSTITUTE(SUBSTITUTE(SUBSTITUTE(SUBSTITUTE(SUBSTITUTE(SUBSTITUTE(SUBSTITUTE(LOWER(IF(LEFT(TEXT('Invullen groen'!E57,"0"),1)="6",'Invullen groen'!O57,IF('Invullen groen'!N57&gt;0,'Invullen groen'!G57,'Invullen groen'!O57))),"2024",""),"2025",""),"2026",""),"2027",""),"2028",""),"2029",""),"taakveld ",""),"installaties","inst"),"ruwbouw","ruwb"),"afbouw","afb"),"bijstelling","bijst"),"investeringen","invest")),""),"")</f>
        <v/>
      </c>
      <c r="K45" s="522" t="n"/>
      <c r="L45" s="234" t="n"/>
      <c r="M45" s="234" t="n"/>
      <c r="N45" s="234" t="n"/>
    </row>
    <row r="46" ht="15" customHeight="1">
      <c r="A46" s="524">
        <f>IFERROR(IF('Invullen groen'!E58&gt;0,'Invullen groen'!E58,""),"")</f>
        <v/>
      </c>
      <c r="B46" s="524">
        <f>IFERROR(IF('Invullen groen'!L58&gt;0,'Invullen groen'!L58,""),"")</f>
        <v/>
      </c>
      <c r="C46" s="524">
        <f>IFERROR(IF('Invullen groen'!N58&gt;0,'Invullen groen'!N58,""),"")</f>
        <v/>
      </c>
      <c r="D46" s="524" t="n"/>
      <c r="E46" s="524">
        <f>IFERROR(IF(LEN(J46)&lt;=36,J46,IFERROR(LEFT(J46,FIND(CHAR(1),SUBSTITUTE(LEFT(J46,36)," ",CHAR(1),LEN(LEFT(J46,36))-LEN(SUBSTITUTE(LEFT(J46,36)," ",""))))-1),LEFT(J46,36))),"")</f>
        <v/>
      </c>
      <c r="F46" s="525">
        <f>IFERROR(IF('Invullen groen'!H58=0,"",INT('Invullen groen'!H58)),"")</f>
        <v/>
      </c>
      <c r="G46" s="525">
        <f>IFERROR(IF('Invullen groen'!I58=0,"",INT('Invullen groen'!I58)),"")</f>
        <v/>
      </c>
      <c r="H46" s="525">
        <f>IFERROR(IF('Invullen groen'!J58=0,"",INT('Invullen groen'!J58)),"")</f>
        <v/>
      </c>
      <c r="I46" s="525">
        <f>IFERROR(IF('Invullen groen'!K58=0,"",INT('Invullen groen'!K58)),"")</f>
        <v/>
      </c>
      <c r="J46" s="524">
        <f>IF('Invullen groen'!E58&gt;0,IFERROR($K$1&amp;" "&amp;TRIM(SUBSTITUTE(SUBSTITUTE(SUBSTITUTE(SUBSTITUTE(SUBSTITUTE(SUBSTITUTE(SUBSTITUTE(SUBSTITUTE(SUBSTITUTE(SUBSTITUTE(SUBSTITUTE(SUBSTITUTE(LOWER(IF(LEFT(TEXT('Invullen groen'!E58,"0"),1)="6",'Invullen groen'!O58,IF('Invullen groen'!N58&gt;0,'Invullen groen'!G58,'Invullen groen'!O58))),"2024",""),"2025",""),"2026",""),"2027",""),"2028",""),"2029",""),"taakveld ",""),"installaties","inst"),"ruwbouw","ruwb"),"afbouw","afb"),"bijstelling","bijst"),"investeringen","invest")),""),"")</f>
        <v/>
      </c>
      <c r="K46" s="524" t="n"/>
      <c r="L46" s="234" t="n"/>
      <c r="M46" s="234" t="n"/>
      <c r="N46" s="234" t="n"/>
    </row>
    <row r="47" ht="15" customHeight="1">
      <c r="A47" s="522">
        <f>IFERROR(IF('Invullen groen'!E59&gt;0,'Invullen groen'!E59,""),"")</f>
        <v/>
      </c>
      <c r="B47" s="522">
        <f>IFERROR(IF('Invullen groen'!L59&gt;0,'Invullen groen'!L59,""),"")</f>
        <v/>
      </c>
      <c r="C47" s="522">
        <f>IFERROR(IF('Invullen groen'!N59&gt;0,'Invullen groen'!N59,""),"")</f>
        <v/>
      </c>
      <c r="D47" s="522" t="n"/>
      <c r="E47" s="522">
        <f>IFERROR(IF(LEN(J47)&lt;=36,J47,IFERROR(LEFT(J47,FIND(CHAR(1),SUBSTITUTE(LEFT(J47,36)," ",CHAR(1),LEN(LEFT(J47,36))-LEN(SUBSTITUTE(LEFT(J47,36)," ",""))))-1),LEFT(J47,36))),"")</f>
        <v/>
      </c>
      <c r="F47" s="523">
        <f>IFERROR(IF('Invullen groen'!H59=0,"",INT('Invullen groen'!H59)),"")</f>
        <v/>
      </c>
      <c r="G47" s="523">
        <f>IFERROR(IF('Invullen groen'!I59=0,"",INT('Invullen groen'!I59)),"")</f>
        <v/>
      </c>
      <c r="H47" s="523">
        <f>IFERROR(IF('Invullen groen'!J59=0,"",INT('Invullen groen'!J59)),"")</f>
        <v/>
      </c>
      <c r="I47" s="523">
        <f>IFERROR(IF('Invullen groen'!K59=0,"",INT('Invullen groen'!K59)),"")</f>
        <v/>
      </c>
      <c r="J47" s="522">
        <f>IF('Invullen groen'!E59&gt;0,IFERROR($K$1&amp;" "&amp;TRIM(SUBSTITUTE(SUBSTITUTE(SUBSTITUTE(SUBSTITUTE(SUBSTITUTE(SUBSTITUTE(SUBSTITUTE(SUBSTITUTE(SUBSTITUTE(SUBSTITUTE(SUBSTITUTE(SUBSTITUTE(LOWER(IF(LEFT(TEXT('Invullen groen'!E59,"0"),1)="6",'Invullen groen'!O59,IF('Invullen groen'!N59&gt;0,'Invullen groen'!G59,'Invullen groen'!O59))),"2024",""),"2025",""),"2026",""),"2027",""),"2028",""),"2029",""),"taakveld ",""),"installaties","inst"),"ruwbouw","ruwb"),"afbouw","afb"),"bijstelling","bijst"),"investeringen","invest")),""),"")</f>
        <v/>
      </c>
      <c r="K47" s="522" t="n"/>
      <c r="L47" s="234" t="n"/>
      <c r="M47" s="234" t="n"/>
      <c r="N47" s="234" t="n"/>
    </row>
    <row r="48" ht="15" customHeight="1">
      <c r="A48" s="524">
        <f>IFERROR(IF('Invullen groen'!E60&gt;0,'Invullen groen'!E60,""),"")</f>
        <v/>
      </c>
      <c r="B48" s="524">
        <f>IFERROR(IF('Invullen groen'!L60&gt;0,'Invullen groen'!L60,""),"")</f>
        <v/>
      </c>
      <c r="C48" s="524">
        <f>IFERROR(IF('Invullen groen'!N60&gt;0,'Invullen groen'!N60,""),"")</f>
        <v/>
      </c>
      <c r="D48" s="524" t="n"/>
      <c r="E48" s="524">
        <f>IFERROR(IF(LEN(J48)&lt;=36,J48,IFERROR(LEFT(J48,FIND(CHAR(1),SUBSTITUTE(LEFT(J48,36)," ",CHAR(1),LEN(LEFT(J48,36))-LEN(SUBSTITUTE(LEFT(J48,36)," ",""))))-1),LEFT(J48,36))),"")</f>
        <v/>
      </c>
      <c r="F48" s="525">
        <f>IFERROR(IF('Invullen groen'!H60=0,"",INT('Invullen groen'!H60)),"")</f>
        <v/>
      </c>
      <c r="G48" s="525">
        <f>IFERROR(IF('Invullen groen'!I60=0,"",INT('Invullen groen'!I60)),"")</f>
        <v/>
      </c>
      <c r="H48" s="525">
        <f>IFERROR(IF('Invullen groen'!J60=0,"",INT('Invullen groen'!J60)),"")</f>
        <v/>
      </c>
      <c r="I48" s="525">
        <f>IFERROR(IF('Invullen groen'!K60=0,"",INT('Invullen groen'!K60)),"")</f>
        <v/>
      </c>
      <c r="J48" s="524">
        <f>IF('Invullen groen'!E60&gt;0,IFERROR($K$1&amp;" "&amp;TRIM(SUBSTITUTE(SUBSTITUTE(SUBSTITUTE(SUBSTITUTE(SUBSTITUTE(SUBSTITUTE(SUBSTITUTE(SUBSTITUTE(SUBSTITUTE(SUBSTITUTE(SUBSTITUTE(SUBSTITUTE(LOWER(IF(LEFT(TEXT('Invullen groen'!E60,"0"),1)="6",'Invullen groen'!O60,IF('Invullen groen'!N60&gt;0,'Invullen groen'!G60,'Invullen groen'!O60))),"2024",""),"2025",""),"2026",""),"2027",""),"2028",""),"2029",""),"taakveld ",""),"installaties","inst"),"ruwbouw","ruwb"),"afbouw","afb"),"bijstelling","bijst"),"investeringen","invest")),""),"")</f>
        <v/>
      </c>
      <c r="K48" s="524" t="n"/>
      <c r="L48" s="234" t="n"/>
      <c r="M48" s="234" t="n"/>
      <c r="N48" s="234" t="n"/>
    </row>
    <row r="49" ht="15" customHeight="1">
      <c r="A49" s="522">
        <f>IFERROR(IF('Invullen groen'!E61&gt;0,'Invullen groen'!E61,""),"")</f>
        <v/>
      </c>
      <c r="B49" s="522">
        <f>IFERROR(IF('Invullen groen'!L61&gt;0,'Invullen groen'!L61,""),"")</f>
        <v/>
      </c>
      <c r="C49" s="522">
        <f>IFERROR(IF('Invullen groen'!N61&gt;0,'Invullen groen'!N61,""),"")</f>
        <v/>
      </c>
      <c r="D49" s="522" t="n"/>
      <c r="E49" s="522">
        <f>IFERROR(IF(LEN(J49)&lt;=36,J49,IFERROR(LEFT(J49,FIND(CHAR(1),SUBSTITUTE(LEFT(J49,36)," ",CHAR(1),LEN(LEFT(J49,36))-LEN(SUBSTITUTE(LEFT(J49,36)," ",""))))-1),LEFT(J49,36))),"")</f>
        <v/>
      </c>
      <c r="F49" s="523">
        <f>IFERROR(IF('Invullen groen'!H61=0,"",INT('Invullen groen'!H61)),"")</f>
        <v/>
      </c>
      <c r="G49" s="523">
        <f>IFERROR(IF('Invullen groen'!I61=0,"",INT('Invullen groen'!I61)),"")</f>
        <v/>
      </c>
      <c r="H49" s="523">
        <f>IFERROR(IF('Invullen groen'!J61=0,"",INT('Invullen groen'!J61)),"")</f>
        <v/>
      </c>
      <c r="I49" s="523">
        <f>IFERROR(IF('Invullen groen'!K61=0,"",INT('Invullen groen'!K61)),"")</f>
        <v/>
      </c>
      <c r="J49" s="522">
        <f>IF('Invullen groen'!E61&gt;0,IFERROR($K$1&amp;" "&amp;TRIM(SUBSTITUTE(SUBSTITUTE(SUBSTITUTE(SUBSTITUTE(SUBSTITUTE(SUBSTITUTE(SUBSTITUTE(SUBSTITUTE(SUBSTITUTE(SUBSTITUTE(SUBSTITUTE(SUBSTITUTE(LOWER(IF(LEFT(TEXT('Invullen groen'!E61,"0"),1)="6",'Invullen groen'!O61,IF('Invullen groen'!N61&gt;0,'Invullen groen'!G61,'Invullen groen'!O61))),"2024",""),"2025",""),"2026",""),"2027",""),"2028",""),"2029",""),"taakveld ",""),"installaties","inst"),"ruwbouw","ruwb"),"afbouw","afb"),"bijstelling","bijst"),"investeringen","invest")),""),"")</f>
        <v/>
      </c>
      <c r="K49" s="522" t="n"/>
      <c r="L49" s="234" t="n"/>
      <c r="M49" s="234" t="n"/>
      <c r="N49" s="234" t="n"/>
    </row>
    <row r="50" ht="15" customHeight="1">
      <c r="A50" s="524">
        <f>IFERROR(IF('Invullen groen'!E62&gt;0,'Invullen groen'!E62,""),"")</f>
        <v/>
      </c>
      <c r="B50" s="524">
        <f>IFERROR(IF('Invullen groen'!L62&gt;0,'Invullen groen'!L62,""),"")</f>
        <v/>
      </c>
      <c r="C50" s="524">
        <f>IFERROR(IF('Invullen groen'!N62&gt;0,'Invullen groen'!N62,""),"")</f>
        <v/>
      </c>
      <c r="D50" s="524" t="n"/>
      <c r="E50" s="524">
        <f>IFERROR(IF(LEN(J50)&lt;=36,J50,IFERROR(LEFT(J50,FIND(CHAR(1),SUBSTITUTE(LEFT(J50,36)," ",CHAR(1),LEN(LEFT(J50,36))-LEN(SUBSTITUTE(LEFT(J50,36)," ",""))))-1),LEFT(J50,36))),"")</f>
        <v/>
      </c>
      <c r="F50" s="525">
        <f>IFERROR(IF('Invullen groen'!H62=0,"",INT('Invullen groen'!H62)),"")</f>
        <v/>
      </c>
      <c r="G50" s="525">
        <f>IFERROR(IF('Invullen groen'!I62=0,"",INT('Invullen groen'!I62)),"")</f>
        <v/>
      </c>
      <c r="H50" s="525">
        <f>IFERROR(IF('Invullen groen'!J62=0,"",INT('Invullen groen'!J62)),"")</f>
        <v/>
      </c>
      <c r="I50" s="525">
        <f>IFERROR(IF('Invullen groen'!K62=0,"",INT('Invullen groen'!K62)),"")</f>
        <v/>
      </c>
      <c r="J50" s="524">
        <f>IF('Invullen groen'!E62&gt;0,IFERROR($K$1&amp;" "&amp;TRIM(SUBSTITUTE(SUBSTITUTE(SUBSTITUTE(SUBSTITUTE(SUBSTITUTE(SUBSTITUTE(SUBSTITUTE(SUBSTITUTE(SUBSTITUTE(SUBSTITUTE(SUBSTITUTE(SUBSTITUTE(LOWER(IF(LEFT(TEXT('Invullen groen'!E62,"0"),1)="6",'Invullen groen'!O62,IF('Invullen groen'!N62&gt;0,'Invullen groen'!G62,'Invullen groen'!O62))),"2024",""),"2025",""),"2026",""),"2027",""),"2028",""),"2029",""),"taakveld ",""),"installaties","inst"),"ruwbouw","ruwb"),"afbouw","afb"),"bijstelling","bijst"),"investeringen","invest")),""),"")</f>
        <v/>
      </c>
      <c r="K50" s="524" t="n"/>
      <c r="L50" s="234" t="n"/>
      <c r="M50" s="234" t="n"/>
      <c r="N50" s="234" t="n"/>
    </row>
    <row r="51" ht="15" customHeight="1">
      <c r="A51" s="522">
        <f>IFERROR(IF('Invullen groen'!E63&gt;0,'Invullen groen'!E63,""),"")</f>
        <v/>
      </c>
      <c r="B51" s="522">
        <f>IFERROR(IF('Invullen groen'!L63&gt;0,'Invullen groen'!L63,""),"")</f>
        <v/>
      </c>
      <c r="C51" s="522">
        <f>IFERROR(IF('Invullen groen'!N63&gt;0,'Invullen groen'!N63,""),"")</f>
        <v/>
      </c>
      <c r="D51" s="522" t="n"/>
      <c r="E51" s="522">
        <f>IFERROR(IF(LEN(J51)&lt;=36,J51,IFERROR(LEFT(J51,FIND(CHAR(1),SUBSTITUTE(LEFT(J51,36)," ",CHAR(1),LEN(LEFT(J51,36))-LEN(SUBSTITUTE(LEFT(J51,36)," ",""))))-1),LEFT(J51,36))),"")</f>
        <v/>
      </c>
      <c r="F51" s="523">
        <f>IFERROR(IF('Invullen groen'!H63=0,"",INT('Invullen groen'!H63)),"")</f>
        <v/>
      </c>
      <c r="G51" s="523">
        <f>IFERROR(IF('Invullen groen'!I63=0,"",INT('Invullen groen'!I63)),"")</f>
        <v/>
      </c>
      <c r="H51" s="523">
        <f>IFERROR(IF('Invullen groen'!J63=0,"",INT('Invullen groen'!J63)),"")</f>
        <v/>
      </c>
      <c r="I51" s="523">
        <f>IFERROR(IF('Invullen groen'!K63=0,"",INT('Invullen groen'!K63)),"")</f>
        <v/>
      </c>
      <c r="J51" s="522">
        <f>IF('Invullen groen'!E63&gt;0,IFERROR($K$1&amp;" "&amp;TRIM(SUBSTITUTE(SUBSTITUTE(SUBSTITUTE(SUBSTITUTE(SUBSTITUTE(SUBSTITUTE(SUBSTITUTE(SUBSTITUTE(SUBSTITUTE(SUBSTITUTE(SUBSTITUTE(SUBSTITUTE(LOWER(IF(LEFT(TEXT('Invullen groen'!E63,"0"),1)="6",'Invullen groen'!O63,IF('Invullen groen'!N63&gt;0,'Invullen groen'!G63,'Invullen groen'!O63))),"2024",""),"2025",""),"2026",""),"2027",""),"2028",""),"2029",""),"taakveld ",""),"installaties","inst"),"ruwbouw","ruwb"),"afbouw","afb"),"bijstelling","bijst"),"investeringen","invest")),""),"")</f>
        <v/>
      </c>
      <c r="K51" s="522" t="n"/>
      <c r="L51" s="234" t="n"/>
      <c r="M51" s="234" t="n"/>
      <c r="N51" s="234" t="n"/>
    </row>
    <row r="52" ht="15" customHeight="1">
      <c r="A52" s="524">
        <f>IFERROR(IF('Invullen groen'!E64&gt;0,'Invullen groen'!E64,""),"")</f>
        <v/>
      </c>
      <c r="B52" s="524">
        <f>IFERROR(IF('Invullen groen'!L64&gt;0,'Invullen groen'!L64,""),"")</f>
        <v/>
      </c>
      <c r="C52" s="524">
        <f>IFERROR(IF('Invullen groen'!N64&gt;0,'Invullen groen'!N64,""),"")</f>
        <v/>
      </c>
      <c r="D52" s="524" t="n"/>
      <c r="E52" s="524">
        <f>IFERROR(IF(LEN(J52)&lt;=36,J52,IFERROR(LEFT(J52,FIND(CHAR(1),SUBSTITUTE(LEFT(J52,36)," ",CHAR(1),LEN(LEFT(J52,36))-LEN(SUBSTITUTE(LEFT(J52,36)," ",""))))-1),LEFT(J52,36))),"")</f>
        <v/>
      </c>
      <c r="F52" s="525">
        <f>IFERROR(IF('Invullen groen'!H64=0,"",INT('Invullen groen'!H64)),"")</f>
        <v/>
      </c>
      <c r="G52" s="525">
        <f>IFERROR(IF('Invullen groen'!I64=0,"",INT('Invullen groen'!I64)),"")</f>
        <v/>
      </c>
      <c r="H52" s="525">
        <f>IFERROR(IF('Invullen groen'!J64=0,"",INT('Invullen groen'!J64)),"")</f>
        <v/>
      </c>
      <c r="I52" s="525">
        <f>IFERROR(IF('Invullen groen'!K64=0,"",INT('Invullen groen'!K64)),"")</f>
        <v/>
      </c>
      <c r="J52" s="524">
        <f>IF('Invullen groen'!E64&gt;0,IFERROR($K$1&amp;" "&amp;TRIM(SUBSTITUTE(SUBSTITUTE(SUBSTITUTE(SUBSTITUTE(SUBSTITUTE(SUBSTITUTE(SUBSTITUTE(SUBSTITUTE(SUBSTITUTE(SUBSTITUTE(SUBSTITUTE(SUBSTITUTE(LOWER(IF(LEFT(TEXT('Invullen groen'!E64,"0"),1)="6",'Invullen groen'!O64,IF('Invullen groen'!N64&gt;0,'Invullen groen'!G64,'Invullen groen'!O64))),"2024",""),"2025",""),"2026",""),"2027",""),"2028",""),"2029",""),"taakveld ",""),"installaties","inst"),"ruwbouw","ruwb"),"afbouw","afb"),"bijstelling","bijst"),"investeringen","invest")),""),"")</f>
        <v/>
      </c>
      <c r="K52" s="524" t="n"/>
      <c r="L52" s="234" t="n"/>
      <c r="M52" s="234" t="n"/>
      <c r="N52" s="234" t="n"/>
    </row>
    <row r="53" ht="15" customHeight="1">
      <c r="A53" s="522">
        <f>IFERROR(IF('Invullen groen'!E65&gt;0,'Invullen groen'!E65,""),"")</f>
        <v/>
      </c>
      <c r="B53" s="522">
        <f>IFERROR(IF('Invullen groen'!L65&gt;0,'Invullen groen'!L65,""),"")</f>
        <v/>
      </c>
      <c r="C53" s="522">
        <f>IFERROR(IF('Invullen groen'!N65&gt;0,'Invullen groen'!N65,""),"")</f>
        <v/>
      </c>
      <c r="D53" s="522" t="n"/>
      <c r="E53" s="522">
        <f>IFERROR(IF(LEN(J53)&lt;=36,J53,IFERROR(LEFT(J53,FIND(CHAR(1),SUBSTITUTE(LEFT(J53,36)," ",CHAR(1),LEN(LEFT(J53,36))-LEN(SUBSTITUTE(LEFT(J53,36)," ",""))))-1),LEFT(J53,36))),"")</f>
        <v/>
      </c>
      <c r="F53" s="523">
        <f>IFERROR(IF('Invullen groen'!H65=0,"",INT('Invullen groen'!H65)),"")</f>
        <v/>
      </c>
      <c r="G53" s="523">
        <f>IFERROR(IF('Invullen groen'!I65=0,"",INT('Invullen groen'!I65)),"")</f>
        <v/>
      </c>
      <c r="H53" s="523">
        <f>IFERROR(IF('Invullen groen'!J65=0,"",INT('Invullen groen'!J65)),"")</f>
        <v/>
      </c>
      <c r="I53" s="523">
        <f>IFERROR(IF('Invullen groen'!K65=0,"",INT('Invullen groen'!K65)),"")</f>
        <v/>
      </c>
      <c r="J53" s="522">
        <f>IF('Invullen groen'!E65&gt;0,IFERROR($K$1&amp;" "&amp;TRIM(SUBSTITUTE(SUBSTITUTE(SUBSTITUTE(SUBSTITUTE(SUBSTITUTE(SUBSTITUTE(SUBSTITUTE(SUBSTITUTE(SUBSTITUTE(SUBSTITUTE(SUBSTITUTE(SUBSTITUTE(LOWER(IF(LEFT(TEXT('Invullen groen'!E65,"0"),1)="6",'Invullen groen'!O65,IF('Invullen groen'!N65&gt;0,'Invullen groen'!G65,'Invullen groen'!O65))),"2024",""),"2025",""),"2026",""),"2027",""),"2028",""),"2029",""),"taakveld ",""),"installaties","inst"),"ruwbouw","ruwb"),"afbouw","afb"),"bijstelling","bijst"),"investeringen","invest")),""),"")</f>
        <v/>
      </c>
      <c r="K53" s="522" t="n"/>
      <c r="L53" s="234" t="n"/>
      <c r="M53" s="234" t="n"/>
      <c r="N53" s="234" t="n"/>
    </row>
    <row r="54" ht="15" customHeight="1">
      <c r="A54" s="524">
        <f>IFERROR(IF('Invullen groen'!E66&gt;0,'Invullen groen'!E66,""),"")</f>
        <v/>
      </c>
      <c r="B54" s="524">
        <f>IFERROR(IF('Invullen groen'!L66&gt;0,'Invullen groen'!L66,""),"")</f>
        <v/>
      </c>
      <c r="C54" s="524">
        <f>IFERROR(IF('Invullen groen'!N66&gt;0,'Invullen groen'!N66,""),"")</f>
        <v/>
      </c>
      <c r="D54" s="524" t="n"/>
      <c r="E54" s="524">
        <f>IFERROR(IF(LEN(J54)&lt;=36,J54,IFERROR(LEFT(J54,FIND(CHAR(1),SUBSTITUTE(LEFT(J54,36)," ",CHAR(1),LEN(LEFT(J54,36))-LEN(SUBSTITUTE(LEFT(J54,36)," ",""))))-1),LEFT(J54,36))),"")</f>
        <v/>
      </c>
      <c r="F54" s="525">
        <f>IFERROR(IF('Invullen groen'!H66=0,"",INT('Invullen groen'!H66)),"")</f>
        <v/>
      </c>
      <c r="G54" s="525">
        <f>IFERROR(IF('Invullen groen'!I66=0,"",INT('Invullen groen'!I66)),"")</f>
        <v/>
      </c>
      <c r="H54" s="525">
        <f>IFERROR(IF('Invullen groen'!J66=0,"",INT('Invullen groen'!J66)),"")</f>
        <v/>
      </c>
      <c r="I54" s="525">
        <f>IFERROR(IF('Invullen groen'!K66=0,"",INT('Invullen groen'!K66)),"")</f>
        <v/>
      </c>
      <c r="J54" s="524">
        <f>IF('Invullen groen'!E66&gt;0,IFERROR($K$1&amp;" "&amp;TRIM(SUBSTITUTE(SUBSTITUTE(SUBSTITUTE(SUBSTITUTE(SUBSTITUTE(SUBSTITUTE(SUBSTITUTE(SUBSTITUTE(SUBSTITUTE(SUBSTITUTE(SUBSTITUTE(SUBSTITUTE(LOWER(IF(LEFT(TEXT('Invullen groen'!E66,"0"),1)="6",'Invullen groen'!O66,IF('Invullen groen'!N66&gt;0,'Invullen groen'!G66,'Invullen groen'!O66))),"2024",""),"2025",""),"2026",""),"2027",""),"2028",""),"2029",""),"taakveld ",""),"installaties","inst"),"ruwbouw","ruwb"),"afbouw","afb"),"bijstelling","bijst"),"investeringen","invest")),""),"")</f>
        <v/>
      </c>
      <c r="K54" s="524" t="n"/>
      <c r="L54" s="234" t="n"/>
      <c r="M54" s="234" t="n"/>
      <c r="N54" s="234" t="n"/>
    </row>
    <row r="55" ht="15" customHeight="1">
      <c r="A55" s="522">
        <f>IFERROR(IF('Invullen groen'!E67&gt;0,'Invullen groen'!E67,""),"")</f>
        <v/>
      </c>
      <c r="B55" s="522">
        <f>IFERROR(IF('Invullen groen'!L67&gt;0,'Invullen groen'!L67,""),"")</f>
        <v/>
      </c>
      <c r="C55" s="522">
        <f>IFERROR(IF('Invullen groen'!N67&gt;0,'Invullen groen'!N67,""),"")</f>
        <v/>
      </c>
      <c r="D55" s="522" t="n"/>
      <c r="E55" s="522">
        <f>IFERROR(IF(LEN(J55)&lt;=36,J55,IFERROR(LEFT(J55,FIND(CHAR(1),SUBSTITUTE(LEFT(J55,36)," ",CHAR(1),LEN(LEFT(J55,36))-LEN(SUBSTITUTE(LEFT(J55,36)," ",""))))-1),LEFT(J55,36))),"")</f>
        <v/>
      </c>
      <c r="F55" s="523">
        <f>IFERROR(IF('Invullen groen'!H67=0,"",INT('Invullen groen'!H67)),"")</f>
        <v/>
      </c>
      <c r="G55" s="523">
        <f>IFERROR(IF('Invullen groen'!I67=0,"",INT('Invullen groen'!I67)),"")</f>
        <v/>
      </c>
      <c r="H55" s="523">
        <f>IFERROR(IF('Invullen groen'!J67=0,"",INT('Invullen groen'!J67)),"")</f>
        <v/>
      </c>
      <c r="I55" s="523">
        <f>IFERROR(IF('Invullen groen'!K67=0,"",INT('Invullen groen'!K67)),"")</f>
        <v/>
      </c>
      <c r="J55" s="522">
        <f>IF('Invullen groen'!E67&gt;0,IFERROR($K$1&amp;" "&amp;TRIM(SUBSTITUTE(SUBSTITUTE(SUBSTITUTE(SUBSTITUTE(SUBSTITUTE(SUBSTITUTE(SUBSTITUTE(SUBSTITUTE(SUBSTITUTE(SUBSTITUTE(SUBSTITUTE(SUBSTITUTE(LOWER(IF(LEFT(TEXT('Invullen groen'!E67,"0"),1)="6",'Invullen groen'!O67,IF('Invullen groen'!N67&gt;0,'Invullen groen'!G67,'Invullen groen'!O67))),"2024",""),"2025",""),"2026",""),"2027",""),"2028",""),"2029",""),"taakveld ",""),"installaties","inst"),"ruwbouw","ruwb"),"afbouw","afb"),"bijstelling","bijst"),"investeringen","invest")),""),"")</f>
        <v/>
      </c>
      <c r="K55" s="522" t="n"/>
      <c r="L55" s="234" t="n"/>
      <c r="M55" s="234" t="n"/>
      <c r="N55" s="234" t="n"/>
    </row>
    <row r="56" ht="15" customHeight="1">
      <c r="A56" s="524">
        <f>IFERROR(IF('Invullen groen'!E68&gt;0,'Invullen groen'!E68,""),"")</f>
        <v/>
      </c>
      <c r="B56" s="524">
        <f>IFERROR(IF('Invullen groen'!L68&gt;0,'Invullen groen'!L68,""),"")</f>
        <v/>
      </c>
      <c r="C56" s="524">
        <f>IFERROR(IF('Invullen groen'!N68&gt;0,'Invullen groen'!N68,""),"")</f>
        <v/>
      </c>
      <c r="D56" s="524" t="n"/>
      <c r="E56" s="524">
        <f>IFERROR(IF(LEN(J56)&lt;=36,J56,IFERROR(LEFT(J56,FIND(CHAR(1),SUBSTITUTE(LEFT(J56,36)," ",CHAR(1),LEN(LEFT(J56,36))-LEN(SUBSTITUTE(LEFT(J56,36)," ",""))))-1),LEFT(J56,36))),"")</f>
        <v/>
      </c>
      <c r="F56" s="525">
        <f>IFERROR(IF('Invullen groen'!H68=0,"",INT('Invullen groen'!H68)),"")</f>
        <v/>
      </c>
      <c r="G56" s="525">
        <f>IFERROR(IF('Invullen groen'!I68=0,"",INT('Invullen groen'!I68)),"")</f>
        <v/>
      </c>
      <c r="H56" s="525">
        <f>IFERROR(IF('Invullen groen'!J68=0,"",INT('Invullen groen'!J68)),"")</f>
        <v/>
      </c>
      <c r="I56" s="525">
        <f>IFERROR(IF('Invullen groen'!K68=0,"",INT('Invullen groen'!K68)),"")</f>
        <v/>
      </c>
      <c r="J56" s="524">
        <f>IF('Invullen groen'!E68&gt;0,IFERROR($K$1&amp;" "&amp;TRIM(SUBSTITUTE(SUBSTITUTE(SUBSTITUTE(SUBSTITUTE(SUBSTITUTE(SUBSTITUTE(SUBSTITUTE(SUBSTITUTE(SUBSTITUTE(SUBSTITUTE(SUBSTITUTE(SUBSTITUTE(LOWER(IF(LEFT(TEXT('Invullen groen'!E68,"0"),1)="6",'Invullen groen'!O68,IF('Invullen groen'!N68&gt;0,'Invullen groen'!G68,'Invullen groen'!O68))),"2024",""),"2025",""),"2026",""),"2027",""),"2028",""),"2029",""),"taakveld ",""),"installaties","inst"),"ruwbouw","ruwb"),"afbouw","afb"),"bijstelling","bijst"),"investeringen","invest")),""),"")</f>
        <v/>
      </c>
      <c r="K56" s="524" t="n"/>
      <c r="L56" s="234" t="n"/>
      <c r="M56" s="234" t="n"/>
      <c r="N56" s="234" t="n"/>
    </row>
    <row r="57" ht="15" customHeight="1">
      <c r="A57" s="522">
        <f>IFERROR(IF('Invullen groen'!E69&gt;0,'Invullen groen'!E69,""),"")</f>
        <v/>
      </c>
      <c r="B57" s="522">
        <f>IFERROR(IF('Invullen groen'!L69&gt;0,'Invullen groen'!L69,""),"")</f>
        <v/>
      </c>
      <c r="C57" s="522">
        <f>IFERROR(IF('Invullen groen'!N69&gt;0,'Invullen groen'!N69,""),"")</f>
        <v/>
      </c>
      <c r="D57" s="522" t="n"/>
      <c r="E57" s="522">
        <f>IFERROR(IF(LEN(J57)&lt;=36,J57,IFERROR(LEFT(J57,FIND(CHAR(1),SUBSTITUTE(LEFT(J57,36)," ",CHAR(1),LEN(LEFT(J57,36))-LEN(SUBSTITUTE(LEFT(J57,36)," ",""))))-1),LEFT(J57,36))),"")</f>
        <v/>
      </c>
      <c r="F57" s="523">
        <f>IFERROR(IF('Invullen groen'!H69=0,"",INT('Invullen groen'!H69)),"")</f>
        <v/>
      </c>
      <c r="G57" s="523">
        <f>IFERROR(IF('Invullen groen'!I69=0,"",INT('Invullen groen'!I69)),"")</f>
        <v/>
      </c>
      <c r="H57" s="523">
        <f>IFERROR(IF('Invullen groen'!J69=0,"",INT('Invullen groen'!J69)),"")</f>
        <v/>
      </c>
      <c r="I57" s="523">
        <f>IFERROR(IF('Invullen groen'!K69=0,"",INT('Invullen groen'!K69)),"")</f>
        <v/>
      </c>
      <c r="J57" s="522">
        <f>IF('Invullen groen'!E69&gt;0,IFERROR($K$1&amp;" "&amp;TRIM(SUBSTITUTE(SUBSTITUTE(SUBSTITUTE(SUBSTITUTE(SUBSTITUTE(SUBSTITUTE(SUBSTITUTE(SUBSTITUTE(SUBSTITUTE(SUBSTITUTE(SUBSTITUTE(SUBSTITUTE(LOWER(IF(LEFT(TEXT('Invullen groen'!E69,"0"),1)="6",'Invullen groen'!O69,IF('Invullen groen'!N69&gt;0,'Invullen groen'!G69,'Invullen groen'!O69))),"2024",""),"2025",""),"2026",""),"2027",""),"2028",""),"2029",""),"taakveld ",""),"installaties","inst"),"ruwbouw","ruwb"),"afbouw","afb"),"bijstelling","bijst"),"investeringen","invest")),""),"")</f>
        <v/>
      </c>
      <c r="K57" s="522" t="n"/>
      <c r="L57" s="234" t="n"/>
      <c r="M57" s="234" t="n"/>
      <c r="N57" s="234" t="n"/>
    </row>
    <row r="58" ht="15" customHeight="1">
      <c r="A58" s="524">
        <f>IFERROR(IF('Invullen groen'!E70&gt;0,'Invullen groen'!E70,""),"")</f>
        <v/>
      </c>
      <c r="B58" s="524">
        <f>IFERROR(IF('Invullen groen'!L70&gt;0,'Invullen groen'!L70,""),"")</f>
        <v/>
      </c>
      <c r="C58" s="524">
        <f>IFERROR(IF('Invullen groen'!N70&gt;0,'Invullen groen'!N70,""),"")</f>
        <v/>
      </c>
      <c r="D58" s="524" t="n"/>
      <c r="E58" s="524">
        <f>IFERROR(IF(LEN(J58)&lt;=36,J58,IFERROR(LEFT(J58,FIND(CHAR(1),SUBSTITUTE(LEFT(J58,36)," ",CHAR(1),LEN(LEFT(J58,36))-LEN(SUBSTITUTE(LEFT(J58,36)," ",""))))-1),LEFT(J58,36))),"")</f>
        <v/>
      </c>
      <c r="F58" s="525">
        <f>IFERROR(IF('Invullen groen'!H70=0,"",INT('Invullen groen'!H70)),"")</f>
        <v/>
      </c>
      <c r="G58" s="525">
        <f>IFERROR(IF('Invullen groen'!I70=0,"",INT('Invullen groen'!I70)),"")</f>
        <v/>
      </c>
      <c r="H58" s="525">
        <f>IFERROR(IF('Invullen groen'!J70=0,"",INT('Invullen groen'!J70)),"")</f>
        <v/>
      </c>
      <c r="I58" s="525">
        <f>IFERROR(IF('Invullen groen'!K70=0,"",INT('Invullen groen'!K70)),"")</f>
        <v/>
      </c>
      <c r="J58" s="524">
        <f>IF('Invullen groen'!E70&gt;0,IFERROR($K$1&amp;" "&amp;TRIM(SUBSTITUTE(SUBSTITUTE(SUBSTITUTE(SUBSTITUTE(SUBSTITUTE(SUBSTITUTE(SUBSTITUTE(SUBSTITUTE(SUBSTITUTE(SUBSTITUTE(SUBSTITUTE(SUBSTITUTE(LOWER(IF(LEFT(TEXT('Invullen groen'!E70,"0"),1)="6",'Invullen groen'!O70,IF('Invullen groen'!N70&gt;0,'Invullen groen'!G70,'Invullen groen'!O70))),"2024",""),"2025",""),"2026",""),"2027",""),"2028",""),"2029",""),"taakveld ",""),"installaties","inst"),"ruwbouw","ruwb"),"afbouw","afb"),"bijstelling","bijst"),"investeringen","invest")),""),"")</f>
        <v/>
      </c>
      <c r="K58" s="524" t="n"/>
      <c r="L58" s="234" t="n"/>
      <c r="M58" s="234" t="n"/>
      <c r="N58" s="234" t="n"/>
    </row>
    <row r="59" ht="15" customHeight="1">
      <c r="A59" s="522">
        <f>IFERROR(IF('Invullen groen'!E71&gt;0,'Invullen groen'!E71,""),"")</f>
        <v/>
      </c>
      <c r="B59" s="522">
        <f>IFERROR(IF('Invullen groen'!L71&gt;0,'Invullen groen'!L71,""),"")</f>
        <v/>
      </c>
      <c r="C59" s="522">
        <f>IFERROR(IF('Invullen groen'!N71&gt;0,'Invullen groen'!N71,""),"")</f>
        <v/>
      </c>
      <c r="D59" s="522" t="n"/>
      <c r="E59" s="522">
        <f>IFERROR(IF(LEN(J59)&lt;=36,J59,IFERROR(LEFT(J59,FIND(CHAR(1),SUBSTITUTE(LEFT(J59,36)," ",CHAR(1),LEN(LEFT(J59,36))-LEN(SUBSTITUTE(LEFT(J59,36)," ",""))))-1),LEFT(J59,36))),"")</f>
        <v/>
      </c>
      <c r="F59" s="523">
        <f>IFERROR(IF('Invullen groen'!H71=0,"",INT('Invullen groen'!H71)),"")</f>
        <v/>
      </c>
      <c r="G59" s="523">
        <f>IFERROR(IF('Invullen groen'!I71=0,"",INT('Invullen groen'!I71)),"")</f>
        <v/>
      </c>
      <c r="H59" s="523">
        <f>IFERROR(IF('Invullen groen'!J71=0,"",INT('Invullen groen'!J71)),"")</f>
        <v/>
      </c>
      <c r="I59" s="523">
        <f>IFERROR(IF('Invullen groen'!K71=0,"",INT('Invullen groen'!K71)),"")</f>
        <v/>
      </c>
      <c r="J59" s="522">
        <f>IF('Invullen groen'!E71&gt;0,IFERROR($K$1&amp;" "&amp;TRIM(SUBSTITUTE(SUBSTITUTE(SUBSTITUTE(SUBSTITUTE(SUBSTITUTE(SUBSTITUTE(SUBSTITUTE(SUBSTITUTE(SUBSTITUTE(SUBSTITUTE(SUBSTITUTE(SUBSTITUTE(LOWER(IF(LEFT(TEXT('Invullen groen'!E71,"0"),1)="6",'Invullen groen'!O71,IF('Invullen groen'!N71&gt;0,'Invullen groen'!G71,'Invullen groen'!O71))),"2024",""),"2025",""),"2026",""),"2027",""),"2028",""),"2029",""),"taakveld ",""),"installaties","inst"),"ruwbouw","ruwb"),"afbouw","afb"),"bijstelling","bijst"),"investeringen","invest")),""),"")</f>
        <v/>
      </c>
      <c r="K59" s="522" t="n"/>
      <c r="L59" s="234" t="n"/>
      <c r="M59" s="234" t="n"/>
      <c r="N59" s="234" t="n"/>
    </row>
    <row r="60" ht="15" customHeight="1">
      <c r="A60" s="524">
        <f>IFERROR(IF('Invullen groen'!E72&gt;0,'Invullen groen'!E72,""),"")</f>
        <v/>
      </c>
      <c r="B60" s="524">
        <f>IFERROR(IF('Invullen groen'!L72&gt;0,'Invullen groen'!L72,""),"")</f>
        <v/>
      </c>
      <c r="C60" s="524">
        <f>IFERROR(IF('Invullen groen'!N72&gt;0,'Invullen groen'!N72,""),"")</f>
        <v/>
      </c>
      <c r="D60" s="524" t="n"/>
      <c r="E60" s="524">
        <f>IFERROR(IF(LEN(J60)&lt;=36,J60,IFERROR(LEFT(J60,FIND(CHAR(1),SUBSTITUTE(LEFT(J60,36)," ",CHAR(1),LEN(LEFT(J60,36))-LEN(SUBSTITUTE(LEFT(J60,36)," ",""))))-1),LEFT(J60,36))),"")</f>
        <v/>
      </c>
      <c r="F60" s="525">
        <f>IFERROR(IF('Invullen groen'!H72=0,"",INT('Invullen groen'!H72)),"")</f>
        <v/>
      </c>
      <c r="G60" s="525">
        <f>IFERROR(IF('Invullen groen'!I72=0,"",INT('Invullen groen'!I72)),"")</f>
        <v/>
      </c>
      <c r="H60" s="525">
        <f>IFERROR(IF('Invullen groen'!J72=0,"",INT('Invullen groen'!J72)),"")</f>
        <v/>
      </c>
      <c r="I60" s="525">
        <f>IFERROR(IF('Invullen groen'!K72=0,"",INT('Invullen groen'!K72)),"")</f>
        <v/>
      </c>
      <c r="J60" s="524">
        <f>IF('Invullen groen'!E72&gt;0,IFERROR($K$1&amp;" "&amp;TRIM(SUBSTITUTE(SUBSTITUTE(SUBSTITUTE(SUBSTITUTE(SUBSTITUTE(SUBSTITUTE(SUBSTITUTE(SUBSTITUTE(SUBSTITUTE(SUBSTITUTE(SUBSTITUTE(SUBSTITUTE(LOWER(IF(LEFT(TEXT('Invullen groen'!E72,"0"),1)="6",'Invullen groen'!O72,IF('Invullen groen'!N72&gt;0,'Invullen groen'!G72,'Invullen groen'!O72))),"2024",""),"2025",""),"2026",""),"2027",""),"2028",""),"2029",""),"taakveld ",""),"installaties","inst"),"ruwbouw","ruwb"),"afbouw","afb"),"bijstelling","bijst"),"investeringen","invest")),""),"")</f>
        <v/>
      </c>
      <c r="K60" s="524" t="n"/>
      <c r="L60" s="234" t="n"/>
      <c r="M60" s="234" t="n"/>
      <c r="N60" s="234" t="n"/>
    </row>
    <row r="61" ht="15" customHeight="1">
      <c r="A61" s="522">
        <f>IFERROR(IF('Invullen groen'!E73&gt;0,'Invullen groen'!E73,""),"")</f>
        <v/>
      </c>
      <c r="B61" s="522">
        <f>IFERROR(IF('Invullen groen'!L73&gt;0,'Invullen groen'!L73,""),"")</f>
        <v/>
      </c>
      <c r="C61" s="522">
        <f>IFERROR(IF('Invullen groen'!N73&gt;0,'Invullen groen'!N73,""),"")</f>
        <v/>
      </c>
      <c r="D61" s="522" t="n"/>
      <c r="E61" s="522">
        <f>IFERROR(IF(LEN(J61)&lt;=36,J61,IFERROR(LEFT(J61,FIND(CHAR(1),SUBSTITUTE(LEFT(J61,36)," ",CHAR(1),LEN(LEFT(J61,36))-LEN(SUBSTITUTE(LEFT(J61,36)," ",""))))-1),LEFT(J61,36))),"")</f>
        <v/>
      </c>
      <c r="F61" s="523">
        <f>IFERROR(IF('Invullen groen'!H73=0,"",INT('Invullen groen'!H73)),"")</f>
        <v/>
      </c>
      <c r="G61" s="523">
        <f>IFERROR(IF('Invullen groen'!I73=0,"",INT('Invullen groen'!I73)),"")</f>
        <v/>
      </c>
      <c r="H61" s="523">
        <f>IFERROR(IF('Invullen groen'!J73=0,"",INT('Invullen groen'!J73)),"")</f>
        <v/>
      </c>
      <c r="I61" s="523">
        <f>IFERROR(IF('Invullen groen'!K73=0,"",INT('Invullen groen'!K73)),"")</f>
        <v/>
      </c>
      <c r="J61" s="522">
        <f>IF('Invullen groen'!E73&gt;0,IFERROR($K$1&amp;" "&amp;TRIM(SUBSTITUTE(SUBSTITUTE(SUBSTITUTE(SUBSTITUTE(SUBSTITUTE(SUBSTITUTE(SUBSTITUTE(SUBSTITUTE(SUBSTITUTE(SUBSTITUTE(SUBSTITUTE(SUBSTITUTE(LOWER(IF(LEFT(TEXT('Invullen groen'!E73,"0"),1)="6",'Invullen groen'!O73,IF('Invullen groen'!N73&gt;0,'Invullen groen'!G73,'Invullen groen'!O73))),"2024",""),"2025",""),"2026",""),"2027",""),"2028",""),"2029",""),"taakveld ",""),"installaties","inst"),"ruwbouw","ruwb"),"afbouw","afb"),"bijstelling","bijst"),"investeringen","invest")),""),"")</f>
        <v/>
      </c>
      <c r="K61" s="522" t="n"/>
      <c r="L61" s="234" t="n"/>
      <c r="M61" s="234" t="n"/>
      <c r="N61" s="234" t="n"/>
    </row>
    <row r="62" ht="15" customHeight="1">
      <c r="A62" s="524">
        <f>IFERROR(IF('Invullen groen'!E74&gt;0,'Invullen groen'!E74,""),"")</f>
        <v/>
      </c>
      <c r="B62" s="524">
        <f>IFERROR(IF('Invullen groen'!L74&gt;0,'Invullen groen'!L74,""),"")</f>
        <v/>
      </c>
      <c r="C62" s="524">
        <f>IFERROR(IF('Invullen groen'!N74&gt;0,'Invullen groen'!N74,""),"")</f>
        <v/>
      </c>
      <c r="D62" s="524" t="n"/>
      <c r="E62" s="524">
        <f>IFERROR(IF(LEN(J62)&lt;=36,J62,IFERROR(LEFT(J62,FIND(CHAR(1),SUBSTITUTE(LEFT(J62,36)," ",CHAR(1),LEN(LEFT(J62,36))-LEN(SUBSTITUTE(LEFT(J62,36)," ",""))))-1),LEFT(J62,36))),"")</f>
        <v/>
      </c>
      <c r="F62" s="525">
        <f>IFERROR(IF('Invullen groen'!H74=0,"",INT('Invullen groen'!H74)),"")</f>
        <v/>
      </c>
      <c r="G62" s="525">
        <f>IFERROR(IF('Invullen groen'!I74=0,"",INT('Invullen groen'!I74)),"")</f>
        <v/>
      </c>
      <c r="H62" s="525">
        <f>IFERROR(IF('Invullen groen'!J74=0,"",INT('Invullen groen'!J74)),"")</f>
        <v/>
      </c>
      <c r="I62" s="525">
        <f>IFERROR(IF('Invullen groen'!K74=0,"",INT('Invullen groen'!K74)),"")</f>
        <v/>
      </c>
      <c r="J62" s="524">
        <f>IF('Invullen groen'!E74&gt;0,IFERROR($K$1&amp;" "&amp;TRIM(SUBSTITUTE(SUBSTITUTE(SUBSTITUTE(SUBSTITUTE(SUBSTITUTE(SUBSTITUTE(SUBSTITUTE(SUBSTITUTE(SUBSTITUTE(SUBSTITUTE(SUBSTITUTE(SUBSTITUTE(LOWER(IF(LEFT(TEXT('Invullen groen'!E74,"0"),1)="6",'Invullen groen'!O74,IF('Invullen groen'!N74&gt;0,'Invullen groen'!G74,'Invullen groen'!O74))),"2024",""),"2025",""),"2026",""),"2027",""),"2028",""),"2029",""),"taakveld ",""),"installaties","inst"),"ruwbouw","ruwb"),"afbouw","afb"),"bijstelling","bijst"),"investeringen","invest")),""),"")</f>
        <v/>
      </c>
      <c r="K62" s="524" t="n"/>
      <c r="L62" s="234" t="n"/>
      <c r="M62" s="234" t="n"/>
      <c r="N62" s="234" t="n"/>
    </row>
    <row r="63" ht="15" customHeight="1">
      <c r="A63" s="522">
        <f>IFERROR(IF('Invullen groen'!E78&gt;0,'Invullen groen'!E78,""),"")</f>
        <v/>
      </c>
      <c r="B63" s="522">
        <f>IFERROR(IF('Invullen groen'!L78&gt;0,'Invullen groen'!L78,""),"")</f>
        <v/>
      </c>
      <c r="C63" s="522">
        <f>IFERROR(IF('Invullen groen'!N78&gt;0,'Invullen groen'!N78,""),"")</f>
        <v/>
      </c>
      <c r="D63" s="522" t="n"/>
      <c r="E63" s="522">
        <f>IFERROR(IF(LEN(J63)&lt;=36,J63,IFERROR(LEFT(J63,FIND(CHAR(1),SUBSTITUTE(LEFT(J63,36)," ",CHAR(1),LEN(LEFT(J63,36))-LEN(SUBSTITUTE(LEFT(J63,36)," ",""))))-1),LEFT(J63,36))),"")</f>
        <v/>
      </c>
      <c r="F63" s="523">
        <f>IFERROR(IF('Invullen groen'!H78=0,"",INT('Invullen groen'!H78)),"")</f>
        <v/>
      </c>
      <c r="G63" s="523">
        <f>IFERROR(IF('Invullen groen'!I78=0,"",INT('Invullen groen'!I78)),"")</f>
        <v/>
      </c>
      <c r="H63" s="523">
        <f>IFERROR(IF('Invullen groen'!J78=0,"",INT('Invullen groen'!J78)),"")</f>
        <v/>
      </c>
      <c r="I63" s="523">
        <f>IFERROR(IF('Invullen groen'!K78=0,"",INT('Invullen groen'!K78)),"")</f>
        <v/>
      </c>
      <c r="J63" s="522">
        <f>IF('Invullen groen'!E78&gt;0,IFERROR($K$1&amp;" "&amp;TRIM(SUBSTITUTE(SUBSTITUTE(SUBSTITUTE(SUBSTITUTE(SUBSTITUTE(SUBSTITUTE(SUBSTITUTE(SUBSTITUTE(SUBSTITUTE(SUBSTITUTE(SUBSTITUTE(SUBSTITUTE(LOWER(IF(LEFT(TEXT('Invullen groen'!E78,"0"),1)="6",'Invullen groen'!O78,IF('Invullen groen'!N78&gt;0,'Invullen groen'!G78,'Invullen groen'!O78))),"2024",""),"2025",""),"2026",""),"2027",""),"2028",""),"2029",""),"taakveld ",""),"installaties","inst"),"ruwbouw","ruwb"),"afbouw","afb"),"bijstelling","bijst"),"investeringen","invest")),""),"")</f>
        <v/>
      </c>
      <c r="K63" s="522" t="n"/>
      <c r="L63" s="234" t="n"/>
      <c r="M63" s="234" t="n"/>
      <c r="N63" s="234" t="n"/>
    </row>
    <row r="64" ht="15" customHeight="1">
      <c r="A64" s="524">
        <f>IFERROR(IF('Invullen groen'!E79&gt;0,'Invullen groen'!E79,""),"")</f>
        <v/>
      </c>
      <c r="B64" s="524">
        <f>IFERROR(IF('Invullen groen'!L79&gt;0,'Invullen groen'!L79,""),"")</f>
        <v/>
      </c>
      <c r="C64" s="524">
        <f>IFERROR(IF('Invullen groen'!N79&gt;0,'Invullen groen'!N79,""),"")</f>
        <v/>
      </c>
      <c r="D64" s="524" t="n"/>
      <c r="E64" s="524">
        <f>IFERROR(IF(LEN(J64)&lt;=36,J64,IFERROR(LEFT(J64,FIND(CHAR(1),SUBSTITUTE(LEFT(J64,36)," ",CHAR(1),LEN(LEFT(J64,36))-LEN(SUBSTITUTE(LEFT(J64,36)," ",""))))-1),LEFT(J64,36))),"")</f>
        <v/>
      </c>
      <c r="F64" s="525">
        <f>IFERROR(IF('Invullen groen'!H79=0,"",INT('Invullen groen'!H79)),"")</f>
        <v/>
      </c>
      <c r="G64" s="525">
        <f>IFERROR(IF('Invullen groen'!I79=0,"",INT('Invullen groen'!I79)),"")</f>
        <v/>
      </c>
      <c r="H64" s="525">
        <f>IFERROR(IF('Invullen groen'!J79=0,"",INT('Invullen groen'!J79)),"")</f>
        <v/>
      </c>
      <c r="I64" s="525">
        <f>IFERROR(IF('Invullen groen'!K79=0,"",INT('Invullen groen'!K79)),"")</f>
        <v/>
      </c>
      <c r="J64" s="524">
        <f>IF('Invullen groen'!E79&gt;0,IFERROR($K$1&amp;" "&amp;TRIM(SUBSTITUTE(SUBSTITUTE(SUBSTITUTE(SUBSTITUTE(SUBSTITUTE(SUBSTITUTE(SUBSTITUTE(SUBSTITUTE(SUBSTITUTE(SUBSTITUTE(SUBSTITUTE(SUBSTITUTE(LOWER(IF(LEFT(TEXT('Invullen groen'!E79,"0"),1)="6",'Invullen groen'!O79,IF('Invullen groen'!N79&gt;0,'Invullen groen'!G79,'Invullen groen'!O79))),"2024",""),"2025",""),"2026",""),"2027",""),"2028",""),"2029",""),"taakveld ",""),"installaties","inst"),"ruwbouw","ruwb"),"afbouw","afb"),"bijstelling","bijst"),"investeringen","invest")),""),"")</f>
        <v/>
      </c>
      <c r="K64" s="524" t="n"/>
      <c r="L64" s="234" t="n"/>
      <c r="M64" s="234" t="n"/>
      <c r="N64" s="234" t="n"/>
    </row>
    <row r="65" ht="15" customHeight="1">
      <c r="A65" s="522">
        <f>IFERROR(IF('Invullen groen'!E80&gt;0,'Invullen groen'!E80,""),"")</f>
        <v/>
      </c>
      <c r="B65" s="522">
        <f>IFERROR(IF('Invullen groen'!L80&gt;0,'Invullen groen'!L80,""),"")</f>
        <v/>
      </c>
      <c r="C65" s="522">
        <f>IFERROR(IF('Invullen groen'!N80&gt;0,'Invullen groen'!N80,""),"")</f>
        <v/>
      </c>
      <c r="D65" s="522" t="n"/>
      <c r="E65" s="522">
        <f>IFERROR(IF(LEN(J65)&lt;=36,J65,IFERROR(LEFT(J65,FIND(CHAR(1),SUBSTITUTE(LEFT(J65,36)," ",CHAR(1),LEN(LEFT(J65,36))-LEN(SUBSTITUTE(LEFT(J65,36)," ",""))))-1),LEFT(J65,36))),"")</f>
        <v/>
      </c>
      <c r="F65" s="523">
        <f>IFERROR(IF('Invullen groen'!H80=0,"",INT('Invullen groen'!H80)),"")</f>
        <v/>
      </c>
      <c r="G65" s="523">
        <f>IFERROR(IF('Invullen groen'!I80=0,"",INT('Invullen groen'!I80)),"")</f>
        <v/>
      </c>
      <c r="H65" s="523">
        <f>IFERROR(IF('Invullen groen'!J80=0,"",INT('Invullen groen'!J80)),"")</f>
        <v/>
      </c>
      <c r="I65" s="523">
        <f>IFERROR(IF('Invullen groen'!K80=0,"",INT('Invullen groen'!K80)),"")</f>
        <v/>
      </c>
      <c r="J65" s="522">
        <f>IF('Invullen groen'!E80&gt;0,IFERROR($K$1&amp;" "&amp;TRIM(SUBSTITUTE(SUBSTITUTE(SUBSTITUTE(SUBSTITUTE(SUBSTITUTE(SUBSTITUTE(SUBSTITUTE(SUBSTITUTE(SUBSTITUTE(SUBSTITUTE(SUBSTITUTE(SUBSTITUTE(LOWER(IF(LEFT(TEXT('Invullen groen'!E80,"0"),1)="6",'Invullen groen'!O80,IF('Invullen groen'!N80&gt;0,'Invullen groen'!G80,'Invullen groen'!O80))),"2024",""),"2025",""),"2026",""),"2027",""),"2028",""),"2029",""),"taakveld ",""),"installaties","inst"),"ruwbouw","ruwb"),"afbouw","afb"),"bijstelling","bijst"),"investeringen","invest")),""),"")</f>
        <v/>
      </c>
      <c r="K65" s="522" t="n"/>
      <c r="L65" s="234" t="n"/>
      <c r="M65" s="234" t="n"/>
      <c r="N65" s="234" t="n"/>
    </row>
    <row r="66" ht="15" customHeight="1">
      <c r="A66" s="524">
        <f>IFERROR(IF('Invullen groen'!E81&gt;0,'Invullen groen'!E81,""),"")</f>
        <v/>
      </c>
      <c r="B66" s="524">
        <f>IFERROR(IF('Invullen groen'!L81&gt;0,'Invullen groen'!L81,""),"")</f>
        <v/>
      </c>
      <c r="C66" s="524">
        <f>IFERROR(IF('Invullen groen'!N81&gt;0,'Invullen groen'!N81,""),"")</f>
        <v/>
      </c>
      <c r="D66" s="524" t="n"/>
      <c r="E66" s="524">
        <f>IFERROR(IF(LEN(J66)&lt;=36,J66,IFERROR(LEFT(J66,FIND(CHAR(1),SUBSTITUTE(LEFT(J66,36)," ",CHAR(1),LEN(LEFT(J66,36))-LEN(SUBSTITUTE(LEFT(J66,36)," ",""))))-1),LEFT(J66,36))),"")</f>
        <v/>
      </c>
      <c r="F66" s="525">
        <f>IFERROR(IF('Invullen groen'!H81=0,"",INT('Invullen groen'!H81)),"")</f>
        <v/>
      </c>
      <c r="G66" s="525">
        <f>IFERROR(IF('Invullen groen'!I81=0,"",INT('Invullen groen'!I81)),"")</f>
        <v/>
      </c>
      <c r="H66" s="525">
        <f>IFERROR(IF('Invullen groen'!J81=0,"",INT('Invullen groen'!J81)),"")</f>
        <v/>
      </c>
      <c r="I66" s="525">
        <f>IFERROR(IF('Invullen groen'!K81=0,"",INT('Invullen groen'!K81)),"")</f>
        <v/>
      </c>
      <c r="J66" s="524">
        <f>IF('Invullen groen'!E81&gt;0,IFERROR($K$1&amp;" "&amp;TRIM(SUBSTITUTE(SUBSTITUTE(SUBSTITUTE(SUBSTITUTE(SUBSTITUTE(SUBSTITUTE(SUBSTITUTE(SUBSTITUTE(SUBSTITUTE(SUBSTITUTE(SUBSTITUTE(SUBSTITUTE(LOWER(IF(LEFT(TEXT('Invullen groen'!E81,"0"),1)="6",'Invullen groen'!O81,IF('Invullen groen'!N81&gt;0,'Invullen groen'!G81,'Invullen groen'!O81))),"2024",""),"2025",""),"2026",""),"2027",""),"2028",""),"2029",""),"taakveld ",""),"installaties","inst"),"ruwbouw","ruwb"),"afbouw","afb"),"bijstelling","bijst"),"investeringen","invest")),""),"")</f>
        <v/>
      </c>
      <c r="K66" s="524" t="n"/>
      <c r="L66" s="234" t="n"/>
      <c r="M66" s="234" t="n"/>
      <c r="N66" s="234" t="n"/>
    </row>
    <row r="67" ht="15" customHeight="1">
      <c r="A67" s="522">
        <f>IFERROR(IF('Invullen groen'!E82&gt;0,'Invullen groen'!E82,""),"")</f>
        <v/>
      </c>
      <c r="B67" s="522">
        <f>IFERROR(IF('Invullen groen'!L82&gt;0,'Invullen groen'!L82,""),"")</f>
        <v/>
      </c>
      <c r="C67" s="522">
        <f>IFERROR(IF('Invullen groen'!N82&gt;0,'Invullen groen'!N82,""),"")</f>
        <v/>
      </c>
      <c r="D67" s="522" t="n"/>
      <c r="E67" s="522">
        <f>IFERROR(IF(LEN(J67)&lt;=36,J67,IFERROR(LEFT(J67,FIND(CHAR(1),SUBSTITUTE(LEFT(J67,36)," ",CHAR(1),LEN(LEFT(J67,36))-LEN(SUBSTITUTE(LEFT(J67,36)," ",""))))-1),LEFT(J67,36))),"")</f>
        <v/>
      </c>
      <c r="F67" s="523">
        <f>IFERROR(IF('Invullen groen'!H82=0,"",INT('Invullen groen'!H82)),"")</f>
        <v/>
      </c>
      <c r="G67" s="523">
        <f>IFERROR(IF('Invullen groen'!I82=0,"",INT('Invullen groen'!I82)),"")</f>
        <v/>
      </c>
      <c r="H67" s="523">
        <f>IFERROR(IF('Invullen groen'!J82=0,"",INT('Invullen groen'!J82)),"")</f>
        <v/>
      </c>
      <c r="I67" s="523">
        <f>IFERROR(IF('Invullen groen'!K82=0,"",INT('Invullen groen'!K82)),"")</f>
        <v/>
      </c>
      <c r="J67" s="522">
        <f>IF('Invullen groen'!E82&gt;0,IFERROR($K$1&amp;" "&amp;TRIM(SUBSTITUTE(SUBSTITUTE(SUBSTITUTE(SUBSTITUTE(SUBSTITUTE(SUBSTITUTE(SUBSTITUTE(SUBSTITUTE(SUBSTITUTE(SUBSTITUTE(SUBSTITUTE(SUBSTITUTE(LOWER(IF(LEFT(TEXT('Invullen groen'!E82,"0"),1)="6",'Invullen groen'!O82,IF('Invullen groen'!N82&gt;0,'Invullen groen'!G82,'Invullen groen'!O82))),"2024",""),"2025",""),"2026",""),"2027",""),"2028",""),"2029",""),"taakveld ",""),"installaties","inst"),"ruwbouw","ruwb"),"afbouw","afb"),"bijstelling","bijst"),"investeringen","invest")),""),"")</f>
        <v/>
      </c>
      <c r="K67" s="522" t="n"/>
      <c r="L67" s="234" t="n"/>
      <c r="M67" s="234" t="n"/>
      <c r="N67" s="234" t="n"/>
    </row>
    <row r="68" ht="15" customHeight="1">
      <c r="A68" s="524">
        <f>IFERROR(IF('Invullen groen'!E83&gt;0,'Invullen groen'!E83,""),"")</f>
        <v/>
      </c>
      <c r="B68" s="524">
        <f>IFERROR(IF('Invullen groen'!L83&gt;0,'Invullen groen'!L83,""),"")</f>
        <v/>
      </c>
      <c r="C68" s="524">
        <f>IFERROR(IF('Invullen groen'!N83&gt;0,'Invullen groen'!N83,""),"")</f>
        <v/>
      </c>
      <c r="D68" s="524" t="n"/>
      <c r="E68" s="524">
        <f>IFERROR(IF(LEN(J68)&lt;=36,J68,IFERROR(LEFT(J68,FIND(CHAR(1),SUBSTITUTE(LEFT(J68,36)," ",CHAR(1),LEN(LEFT(J68,36))-LEN(SUBSTITUTE(LEFT(J68,36)," ",""))))-1),LEFT(J68,36))),"")</f>
        <v/>
      </c>
      <c r="F68" s="525">
        <f>IFERROR(IF('Invullen groen'!H83=0,"",INT('Invullen groen'!H83)),"")</f>
        <v/>
      </c>
      <c r="G68" s="525">
        <f>IFERROR(IF('Invullen groen'!I83=0,"",INT('Invullen groen'!I83)),"")</f>
        <v/>
      </c>
      <c r="H68" s="525">
        <f>IFERROR(IF('Invullen groen'!J83=0,"",INT('Invullen groen'!J83)),"")</f>
        <v/>
      </c>
      <c r="I68" s="525">
        <f>IFERROR(IF('Invullen groen'!K83=0,"",INT('Invullen groen'!K83)),"")</f>
        <v/>
      </c>
      <c r="J68" s="524">
        <f>IF('Invullen groen'!E83&gt;0,IFERROR($K$1&amp;" "&amp;TRIM(SUBSTITUTE(SUBSTITUTE(SUBSTITUTE(SUBSTITUTE(SUBSTITUTE(SUBSTITUTE(SUBSTITUTE(SUBSTITUTE(SUBSTITUTE(SUBSTITUTE(SUBSTITUTE(SUBSTITUTE(LOWER(IF(LEFT(TEXT('Invullen groen'!E83,"0"),1)="6",'Invullen groen'!O83,IF('Invullen groen'!N83&gt;0,'Invullen groen'!G83,'Invullen groen'!O83))),"2024",""),"2025",""),"2026",""),"2027",""),"2028",""),"2029",""),"taakveld ",""),"installaties","inst"),"ruwbouw","ruwb"),"afbouw","afb"),"bijstelling","bijst"),"investeringen","invest")),""),"")</f>
        <v/>
      </c>
      <c r="K68" s="524" t="n"/>
      <c r="L68" s="234" t="n"/>
      <c r="M68" s="234" t="n"/>
      <c r="N68" s="234" t="n"/>
    </row>
    <row r="69" ht="15" customHeight="1">
      <c r="A69" s="522">
        <f>IFERROR(IF('Invullen groen'!E84&gt;0,'Invullen groen'!E84,""),"")</f>
        <v/>
      </c>
      <c r="B69" s="522">
        <f>IFERROR(IF('Invullen groen'!L84&gt;0,'Invullen groen'!L84,""),"")</f>
        <v/>
      </c>
      <c r="C69" s="522">
        <f>IFERROR(IF('Invullen groen'!N84&gt;0,'Invullen groen'!N84,""),"")</f>
        <v/>
      </c>
      <c r="D69" s="522" t="n"/>
      <c r="E69" s="522">
        <f>IFERROR(IF(LEN(J69)&lt;=36,J69,IFERROR(LEFT(J69,FIND(CHAR(1),SUBSTITUTE(LEFT(J69,36)," ",CHAR(1),LEN(LEFT(J69,36))-LEN(SUBSTITUTE(LEFT(J69,36)," ",""))))-1),LEFT(J69,36))),"")</f>
        <v/>
      </c>
      <c r="F69" s="523">
        <f>IFERROR(IF('Invullen groen'!H84=0,"",INT('Invullen groen'!H84)),"")</f>
        <v/>
      </c>
      <c r="G69" s="523">
        <f>IFERROR(IF('Invullen groen'!I84=0,"",INT('Invullen groen'!I84)),"")</f>
        <v/>
      </c>
      <c r="H69" s="523">
        <f>IFERROR(IF('Invullen groen'!J84=0,"",INT('Invullen groen'!J84)),"")</f>
        <v/>
      </c>
      <c r="I69" s="523">
        <f>IFERROR(IF('Invullen groen'!K84=0,"",INT('Invullen groen'!K84)),"")</f>
        <v/>
      </c>
      <c r="J69" s="522">
        <f>IF('Invullen groen'!E84&gt;0,IFERROR($K$1&amp;" "&amp;TRIM(SUBSTITUTE(SUBSTITUTE(SUBSTITUTE(SUBSTITUTE(SUBSTITUTE(SUBSTITUTE(SUBSTITUTE(SUBSTITUTE(SUBSTITUTE(SUBSTITUTE(SUBSTITUTE(SUBSTITUTE(LOWER(IF(LEFT(TEXT('Invullen groen'!E84,"0"),1)="6",'Invullen groen'!O84,IF('Invullen groen'!N84&gt;0,'Invullen groen'!G84,'Invullen groen'!O84))),"2024",""),"2025",""),"2026",""),"2027",""),"2028",""),"2029",""),"taakveld ",""),"installaties","inst"),"ruwbouw","ruwb"),"afbouw","afb"),"bijstelling","bijst"),"investeringen","invest")),""),"")</f>
        <v/>
      </c>
      <c r="K69" s="522" t="n"/>
      <c r="L69" s="234" t="n"/>
      <c r="M69" s="234" t="n"/>
      <c r="N69" s="234" t="n"/>
    </row>
    <row r="70" ht="15" customHeight="1">
      <c r="A70" s="524">
        <f>IFERROR(IF('Invullen groen'!E85&gt;0,'Invullen groen'!E85,""),"")</f>
        <v/>
      </c>
      <c r="B70" s="524">
        <f>IFERROR(IF('Invullen groen'!L85&gt;0,'Invullen groen'!L85,""),"")</f>
        <v/>
      </c>
      <c r="C70" s="524">
        <f>IFERROR(IF('Invullen groen'!N85&gt;0,'Invullen groen'!N85,""),"")</f>
        <v/>
      </c>
      <c r="D70" s="524" t="n"/>
      <c r="E70" s="524">
        <f>IFERROR(IF(LEN(J70)&lt;=36,J70,IFERROR(LEFT(J70,FIND(CHAR(1),SUBSTITUTE(LEFT(J70,36)," ",CHAR(1),LEN(LEFT(J70,36))-LEN(SUBSTITUTE(LEFT(J70,36)," ",""))))-1),LEFT(J70,36))),"")</f>
        <v/>
      </c>
      <c r="F70" s="525">
        <f>IFERROR(IF('Invullen groen'!H85=0,"",INT('Invullen groen'!H85)),"")</f>
        <v/>
      </c>
      <c r="G70" s="525">
        <f>IFERROR(IF('Invullen groen'!I85=0,"",INT('Invullen groen'!I85)),"")</f>
        <v/>
      </c>
      <c r="H70" s="525">
        <f>IFERROR(IF('Invullen groen'!J85=0,"",INT('Invullen groen'!J85)),"")</f>
        <v/>
      </c>
      <c r="I70" s="525">
        <f>IFERROR(IF('Invullen groen'!K85=0,"",INT('Invullen groen'!K85)),"")</f>
        <v/>
      </c>
      <c r="J70" s="524">
        <f>IF('Invullen groen'!E85&gt;0,IFERROR($K$1&amp;" "&amp;TRIM(SUBSTITUTE(SUBSTITUTE(SUBSTITUTE(SUBSTITUTE(SUBSTITUTE(SUBSTITUTE(SUBSTITUTE(SUBSTITUTE(SUBSTITUTE(SUBSTITUTE(SUBSTITUTE(SUBSTITUTE(LOWER(IF(LEFT(TEXT('Invullen groen'!E85,"0"),1)="6",'Invullen groen'!O85,IF('Invullen groen'!N85&gt;0,'Invullen groen'!G85,'Invullen groen'!O85))),"2024",""),"2025",""),"2026",""),"2027",""),"2028",""),"2029",""),"taakveld ",""),"installaties","inst"),"ruwbouw","ruwb"),"afbouw","afb"),"bijstelling","bijst"),"investeringen","invest")),""),"")</f>
        <v/>
      </c>
      <c r="K70" s="524" t="n"/>
      <c r="L70" s="234" t="n"/>
      <c r="M70" s="234" t="n"/>
      <c r="N70" s="234" t="n"/>
    </row>
    <row r="71" ht="15" customHeight="1">
      <c r="A71" s="522">
        <f>IFERROR(IF('Invullen groen'!E86&gt;0,'Invullen groen'!E86,""),"")</f>
        <v/>
      </c>
      <c r="B71" s="522">
        <f>IFERROR(IF('Invullen groen'!L86&gt;0,'Invullen groen'!L86,""),"")</f>
        <v/>
      </c>
      <c r="C71" s="522">
        <f>IFERROR(IF('Invullen groen'!N86&gt;0,'Invullen groen'!N86,""),"")</f>
        <v/>
      </c>
      <c r="D71" s="522" t="n"/>
      <c r="E71" s="522">
        <f>IFERROR(IF(LEN(J71)&lt;=36,J71,IFERROR(LEFT(J71,FIND(CHAR(1),SUBSTITUTE(LEFT(J71,36)," ",CHAR(1),LEN(LEFT(J71,36))-LEN(SUBSTITUTE(LEFT(J71,36)," ",""))))-1),LEFT(J71,36))),"")</f>
        <v/>
      </c>
      <c r="F71" s="523">
        <f>IFERROR(IF('Invullen groen'!H86=0,"",INT('Invullen groen'!H86)),"")</f>
        <v/>
      </c>
      <c r="G71" s="523">
        <f>IFERROR(IF('Invullen groen'!I86=0,"",INT('Invullen groen'!I86)),"")</f>
        <v/>
      </c>
      <c r="H71" s="523">
        <f>IFERROR(IF('Invullen groen'!J86=0,"",INT('Invullen groen'!J86)),"")</f>
        <v/>
      </c>
      <c r="I71" s="523">
        <f>IFERROR(IF('Invullen groen'!K86=0,"",INT('Invullen groen'!K86)),"")</f>
        <v/>
      </c>
      <c r="J71" s="522">
        <f>IF('Invullen groen'!E86&gt;0,IFERROR($K$1&amp;" "&amp;TRIM(SUBSTITUTE(SUBSTITUTE(SUBSTITUTE(SUBSTITUTE(SUBSTITUTE(SUBSTITUTE(SUBSTITUTE(SUBSTITUTE(SUBSTITUTE(SUBSTITUTE(SUBSTITUTE(SUBSTITUTE(LOWER(IF(LEFT(TEXT('Invullen groen'!E86,"0"),1)="6",'Invullen groen'!O86,IF('Invullen groen'!N86&gt;0,'Invullen groen'!G86,'Invullen groen'!O86))),"2024",""),"2025",""),"2026",""),"2027",""),"2028",""),"2029",""),"taakveld ",""),"installaties","inst"),"ruwbouw","ruwb"),"afbouw","afb"),"bijstelling","bijst"),"investeringen","invest")),""),"")</f>
        <v/>
      </c>
      <c r="K71" s="522" t="n"/>
      <c r="L71" s="234" t="n"/>
      <c r="M71" s="234" t="n"/>
      <c r="N71" s="234" t="n"/>
    </row>
    <row r="72" ht="15" customHeight="1">
      <c r="A72" s="524">
        <f>IFERROR(IF('Invullen groen'!E87&gt;0,'Invullen groen'!E87,""),"")</f>
        <v/>
      </c>
      <c r="B72" s="524">
        <f>IFERROR(IF('Invullen groen'!L87&gt;0,'Invullen groen'!L87,""),"")</f>
        <v/>
      </c>
      <c r="C72" s="524">
        <f>IFERROR(IF('Invullen groen'!N87&gt;0,'Invullen groen'!N87,""),"")</f>
        <v/>
      </c>
      <c r="D72" s="524" t="n"/>
      <c r="E72" s="524">
        <f>IFERROR(IF(LEN(J72)&lt;=36,J72,IFERROR(LEFT(J72,FIND(CHAR(1),SUBSTITUTE(LEFT(J72,36)," ",CHAR(1),LEN(LEFT(J72,36))-LEN(SUBSTITUTE(LEFT(J72,36)," ",""))))-1),LEFT(J72,36))),"")</f>
        <v/>
      </c>
      <c r="F72" s="525">
        <f>IFERROR(IF('Invullen groen'!H87=0,"",INT('Invullen groen'!H87)),"")</f>
        <v/>
      </c>
      <c r="G72" s="525">
        <f>IFERROR(IF('Invullen groen'!I87=0,"",INT('Invullen groen'!I87)),"")</f>
        <v/>
      </c>
      <c r="H72" s="525">
        <f>IFERROR(IF('Invullen groen'!J87=0,"",INT('Invullen groen'!J87)),"")</f>
        <v/>
      </c>
      <c r="I72" s="525">
        <f>IFERROR(IF('Invullen groen'!K87=0,"",INT('Invullen groen'!K87)),"")</f>
        <v/>
      </c>
      <c r="J72" s="524">
        <f>IF('Invullen groen'!E87&gt;0,IFERROR($K$1&amp;" "&amp;TRIM(SUBSTITUTE(SUBSTITUTE(SUBSTITUTE(SUBSTITUTE(SUBSTITUTE(SUBSTITUTE(SUBSTITUTE(SUBSTITUTE(SUBSTITUTE(SUBSTITUTE(SUBSTITUTE(SUBSTITUTE(LOWER(IF(LEFT(TEXT('Invullen groen'!E87,"0"),1)="6",'Invullen groen'!O87,IF('Invullen groen'!N87&gt;0,'Invullen groen'!G87,'Invullen groen'!O87))),"2024",""),"2025",""),"2026",""),"2027",""),"2028",""),"2029",""),"taakveld ",""),"installaties","inst"),"ruwbouw","ruwb"),"afbouw","afb"),"bijstelling","bijst"),"investeringen","invest")),""),"")</f>
        <v/>
      </c>
      <c r="K72" s="524" t="n"/>
      <c r="L72" s="234" t="n"/>
      <c r="M72" s="234" t="n"/>
      <c r="N72" s="234" t="n"/>
    </row>
    <row r="73" ht="15" customHeight="1">
      <c r="A73" s="522">
        <f>IFERROR(IF('Invullen groen'!E88&gt;0,'Invullen groen'!E88,""),"")</f>
        <v/>
      </c>
      <c r="B73" s="522">
        <f>IFERROR(IF('Invullen groen'!L88&gt;0,'Invullen groen'!L88,""),"")</f>
        <v/>
      </c>
      <c r="C73" s="522">
        <f>IFERROR(IF('Invullen groen'!N88&gt;0,'Invullen groen'!N88,""),"")</f>
        <v/>
      </c>
      <c r="D73" s="522" t="n"/>
      <c r="E73" s="522">
        <f>IFERROR(IF(LEN(J73)&lt;=36,J73,IFERROR(LEFT(J73,FIND(CHAR(1),SUBSTITUTE(LEFT(J73,36)," ",CHAR(1),LEN(LEFT(J73,36))-LEN(SUBSTITUTE(LEFT(J73,36)," ",""))))-1),LEFT(J73,36))),"")</f>
        <v/>
      </c>
      <c r="F73" s="523">
        <f>IFERROR(IF('Invullen groen'!H88=0,"",INT('Invullen groen'!H88)),"")</f>
        <v/>
      </c>
      <c r="G73" s="523">
        <f>IFERROR(IF('Invullen groen'!I88=0,"",INT('Invullen groen'!I88)),"")</f>
        <v/>
      </c>
      <c r="H73" s="523">
        <f>IFERROR(IF('Invullen groen'!J88=0,"",INT('Invullen groen'!J88)),"")</f>
        <v/>
      </c>
      <c r="I73" s="523">
        <f>IFERROR(IF('Invullen groen'!K88=0,"",INT('Invullen groen'!K88)),"")</f>
        <v/>
      </c>
      <c r="J73" s="522">
        <f>IF('Invullen groen'!E88&gt;0,IFERROR($K$1&amp;" "&amp;TRIM(SUBSTITUTE(SUBSTITUTE(SUBSTITUTE(SUBSTITUTE(SUBSTITUTE(SUBSTITUTE(SUBSTITUTE(SUBSTITUTE(SUBSTITUTE(SUBSTITUTE(SUBSTITUTE(SUBSTITUTE(LOWER(IF(LEFT(TEXT('Invullen groen'!E88,"0"),1)="6",'Invullen groen'!O88,IF('Invullen groen'!N88&gt;0,'Invullen groen'!G88,'Invullen groen'!O88))),"2024",""),"2025",""),"2026",""),"2027",""),"2028",""),"2029",""),"taakveld ",""),"installaties","inst"),"ruwbouw","ruwb"),"afbouw","afb"),"bijstelling","bijst"),"investeringen","invest")),""),"")</f>
        <v/>
      </c>
      <c r="K73" s="522" t="n"/>
      <c r="L73" s="234" t="n"/>
      <c r="M73" s="234" t="n"/>
      <c r="N73" s="234" t="n"/>
    </row>
    <row r="74" ht="15" customHeight="1">
      <c r="A74" s="524">
        <f>IFERROR(IF('Invullen groen'!E89&gt;0,'Invullen groen'!E89,""),"")</f>
        <v/>
      </c>
      <c r="B74" s="524">
        <f>IFERROR(IF('Invullen groen'!L89&gt;0,'Invullen groen'!L89,""),"")</f>
        <v/>
      </c>
      <c r="C74" s="524">
        <f>IFERROR(IF('Invullen groen'!N89&gt;0,'Invullen groen'!N89,""),"")</f>
        <v/>
      </c>
      <c r="D74" s="524" t="n"/>
      <c r="E74" s="524">
        <f>IFERROR(IF(LEN(J74)&lt;=36,J74,IFERROR(LEFT(J74,FIND(CHAR(1),SUBSTITUTE(LEFT(J74,36)," ",CHAR(1),LEN(LEFT(J74,36))-LEN(SUBSTITUTE(LEFT(J74,36)," ",""))))-1),LEFT(J74,36))),"")</f>
        <v/>
      </c>
      <c r="F74" s="525">
        <f>IFERROR(IF('Invullen groen'!H89=0,"",INT('Invullen groen'!H89)),"")</f>
        <v/>
      </c>
      <c r="G74" s="525">
        <f>IFERROR(IF('Invullen groen'!I89=0,"",INT('Invullen groen'!I89)),"")</f>
        <v/>
      </c>
      <c r="H74" s="525">
        <f>IFERROR(IF('Invullen groen'!J89=0,"",INT('Invullen groen'!J89)),"")</f>
        <v/>
      </c>
      <c r="I74" s="525">
        <f>IFERROR(IF('Invullen groen'!K89=0,"",INT('Invullen groen'!K89)),"")</f>
        <v/>
      </c>
      <c r="J74" s="524">
        <f>IF('Invullen groen'!E89&gt;0,IFERROR($K$1&amp;" "&amp;TRIM(SUBSTITUTE(SUBSTITUTE(SUBSTITUTE(SUBSTITUTE(SUBSTITUTE(SUBSTITUTE(SUBSTITUTE(SUBSTITUTE(SUBSTITUTE(SUBSTITUTE(SUBSTITUTE(SUBSTITUTE(LOWER(IF(LEFT(TEXT('Invullen groen'!E89,"0"),1)="6",'Invullen groen'!O89,IF('Invullen groen'!N89&gt;0,'Invullen groen'!G89,'Invullen groen'!O89))),"2024",""),"2025",""),"2026",""),"2027",""),"2028",""),"2029",""),"taakveld ",""),"installaties","inst"),"ruwbouw","ruwb"),"afbouw","afb"),"bijstelling","bijst"),"investeringen","invest")),""),"")</f>
        <v/>
      </c>
      <c r="K74" s="524" t="n"/>
      <c r="L74" s="234" t="n"/>
      <c r="M74" s="234" t="n"/>
      <c r="N74" s="234" t="n"/>
    </row>
    <row r="75" ht="15" customHeight="1">
      <c r="A75" s="522">
        <f>IFERROR(IF('Invullen groen'!E90&gt;0,'Invullen groen'!E90,""),"")</f>
        <v/>
      </c>
      <c r="B75" s="522">
        <f>IFERROR(IF('Invullen groen'!L90&gt;0,'Invullen groen'!L90,""),"")</f>
        <v/>
      </c>
      <c r="C75" s="522">
        <f>IFERROR(IF('Invullen groen'!N90&gt;0,'Invullen groen'!N90,""),"")</f>
        <v/>
      </c>
      <c r="D75" s="522" t="n"/>
      <c r="E75" s="522">
        <f>IFERROR(IF(LEN(J75)&lt;=36,J75,IFERROR(LEFT(J75,FIND(CHAR(1),SUBSTITUTE(LEFT(J75,36)," ",CHAR(1),LEN(LEFT(J75,36))-LEN(SUBSTITUTE(LEFT(J75,36)," ",""))))-1),LEFT(J75,36))),"")</f>
        <v/>
      </c>
      <c r="F75" s="523">
        <f>IFERROR(IF('Invullen groen'!H90=0,"",INT('Invullen groen'!H90)),"")</f>
        <v/>
      </c>
      <c r="G75" s="523">
        <f>IFERROR(IF('Invullen groen'!I90=0,"",INT('Invullen groen'!I90)),"")</f>
        <v/>
      </c>
      <c r="H75" s="523">
        <f>IFERROR(IF('Invullen groen'!J90=0,"",INT('Invullen groen'!J90)),"")</f>
        <v/>
      </c>
      <c r="I75" s="523">
        <f>IFERROR(IF('Invullen groen'!K90=0,"",INT('Invullen groen'!K90)),"")</f>
        <v/>
      </c>
      <c r="J75" s="522">
        <f>IF('Invullen groen'!E90&gt;0,IFERROR($K$1&amp;" "&amp;TRIM(SUBSTITUTE(SUBSTITUTE(SUBSTITUTE(SUBSTITUTE(SUBSTITUTE(SUBSTITUTE(SUBSTITUTE(SUBSTITUTE(SUBSTITUTE(SUBSTITUTE(SUBSTITUTE(SUBSTITUTE(LOWER(IF(LEFT(TEXT('Invullen groen'!E90,"0"),1)="6",'Invullen groen'!O90,IF('Invullen groen'!N90&gt;0,'Invullen groen'!G90,'Invullen groen'!O90))),"2024",""),"2025",""),"2026",""),"2027",""),"2028",""),"2029",""),"taakveld ",""),"installaties","inst"),"ruwbouw","ruwb"),"afbouw","afb"),"bijstelling","bijst"),"investeringen","invest")),""),"")</f>
        <v/>
      </c>
      <c r="K75" s="522" t="n"/>
      <c r="L75" s="234" t="n"/>
      <c r="M75" s="234" t="n"/>
      <c r="N75" s="234" t="n"/>
    </row>
    <row r="76" ht="15" customHeight="1">
      <c r="A76" s="524">
        <f>IFERROR(IF('Invullen groen'!E91&gt;0,'Invullen groen'!E91,""),"")</f>
        <v/>
      </c>
      <c r="B76" s="524">
        <f>IFERROR(IF('Invullen groen'!L91&gt;0,'Invullen groen'!L91,""),"")</f>
        <v/>
      </c>
      <c r="C76" s="524">
        <f>IFERROR(IF('Invullen groen'!N91&gt;0,'Invullen groen'!N91,""),"")</f>
        <v/>
      </c>
      <c r="D76" s="508" t="n"/>
      <c r="E76" s="524">
        <f>IFERROR(IF(LEN(J76)&lt;=36,J76,IFERROR(LEFT(J76,FIND(CHAR(1),SUBSTITUTE(LEFT(J76,36)," ",CHAR(1),LEN(LEFT(J76,36))-LEN(SUBSTITUTE(LEFT(J76,36)," ",""))))-1),LEFT(J76,36))),"")</f>
        <v/>
      </c>
      <c r="F76" s="525">
        <f>IFERROR(IF('Invullen groen'!H91=0,"",INT('Invullen groen'!H91)),"")</f>
        <v/>
      </c>
      <c r="G76" s="525">
        <f>IFERROR(IF('Invullen groen'!I91=0,"",INT('Invullen groen'!I91)),"")</f>
        <v/>
      </c>
      <c r="H76" s="525">
        <f>IFERROR(IF('Invullen groen'!J91=0,"",INT('Invullen groen'!J91)),"")</f>
        <v/>
      </c>
      <c r="I76" s="525">
        <f>IFERROR(IF('Invullen groen'!K91=0,"",INT('Invullen groen'!K91)),"")</f>
        <v/>
      </c>
      <c r="J76" s="524">
        <f>IF('Invullen groen'!E91&gt;0,IFERROR($K$1&amp;" "&amp;TRIM(SUBSTITUTE(SUBSTITUTE(SUBSTITUTE(SUBSTITUTE(SUBSTITUTE(SUBSTITUTE(SUBSTITUTE(SUBSTITUTE(SUBSTITUTE(SUBSTITUTE(SUBSTITUTE(SUBSTITUTE(LOWER(IF(LEFT(TEXT('Invullen groen'!E91,"0"),1)="6",'Invullen groen'!O91,IF('Invullen groen'!N91&gt;0,'Invullen groen'!G91,'Invullen groen'!O91))),"2024",""),"2025",""),"2026",""),"2027",""),"2028",""),"2029",""),"taakveld ",""),"installaties","inst"),"ruwbouw","ruwb"),"afbouw","afb"),"bijstelling","bijst"),"investeringen","invest")),""),"")</f>
        <v/>
      </c>
      <c r="K76" s="508" t="n"/>
    </row>
    <row r="77" ht="15" customHeight="1">
      <c r="A77" s="522">
        <f>IFERROR(IF('Invullen groen'!E92&gt;0,'Invullen groen'!E92,""),"")</f>
        <v/>
      </c>
      <c r="B77" s="522">
        <f>IFERROR(IF('Invullen groen'!L92&gt;0,'Invullen groen'!L92,""),"")</f>
        <v/>
      </c>
      <c r="C77" s="522">
        <f>IFERROR(IF('Invullen groen'!N92&gt;0,'Invullen groen'!N92,""),"")</f>
        <v/>
      </c>
      <c r="D77" s="526" t="n"/>
      <c r="E77" s="522">
        <f>IFERROR(IF(LEN(J77)&lt;=36,J77,IFERROR(LEFT(J77,FIND(CHAR(1),SUBSTITUTE(LEFT(J77,36)," ",CHAR(1),LEN(LEFT(J77,36))-LEN(SUBSTITUTE(LEFT(J77,36)," ",""))))-1),LEFT(J77,36))),"")</f>
        <v/>
      </c>
      <c r="F77" s="523">
        <f>IFERROR(IF('Invullen groen'!H92=0,"",INT('Invullen groen'!H92)),"")</f>
        <v/>
      </c>
      <c r="G77" s="523">
        <f>IFERROR(IF('Invullen groen'!I92=0,"",INT('Invullen groen'!I92)),"")</f>
        <v/>
      </c>
      <c r="H77" s="523">
        <f>IFERROR(IF('Invullen groen'!J92=0,"",INT('Invullen groen'!J92)),"")</f>
        <v/>
      </c>
      <c r="I77" s="523">
        <f>IFERROR(IF('Invullen groen'!K92=0,"",INT('Invullen groen'!K92)),"")</f>
        <v/>
      </c>
      <c r="J77" s="522">
        <f>IF('Invullen groen'!E92&gt;0,IFERROR($K$1&amp;" "&amp;TRIM(SUBSTITUTE(SUBSTITUTE(SUBSTITUTE(SUBSTITUTE(SUBSTITUTE(SUBSTITUTE(SUBSTITUTE(SUBSTITUTE(SUBSTITUTE(SUBSTITUTE(SUBSTITUTE(SUBSTITUTE(LOWER(IF(LEFT(TEXT('Invullen groen'!E92,"0"),1)="6",'Invullen groen'!O92,IF('Invullen groen'!N92&gt;0,'Invullen groen'!G92,'Invullen groen'!O92))),"2024",""),"2025",""),"2026",""),"2027",""),"2028",""),"2029",""),"taakveld ",""),"installaties","inst"),"ruwbouw","ruwb"),"afbouw","afb"),"bijstelling","bijst"),"investeringen","invest")),""),"")</f>
        <v/>
      </c>
      <c r="K77" s="526" t="n"/>
    </row>
    <row r="78" ht="15" customHeight="1">
      <c r="A78" s="524">
        <f>IFERROR(IF('Invullen groen'!E93&gt;0,'Invullen groen'!E93,""),"")</f>
        <v/>
      </c>
      <c r="B78" s="524">
        <f>IFERROR(IF('Invullen groen'!L93&gt;0,'Invullen groen'!L93,""),"")</f>
        <v/>
      </c>
      <c r="C78" s="524">
        <f>IFERROR(IF('Invullen groen'!N93&gt;0,'Invullen groen'!N93,""),"")</f>
        <v/>
      </c>
      <c r="D78" s="508" t="n"/>
      <c r="E78" s="524">
        <f>IFERROR(IF(LEN(J78)&lt;=36,J78,IFERROR(LEFT(J78,FIND(CHAR(1),SUBSTITUTE(LEFT(J78,36)," ",CHAR(1),LEN(LEFT(J78,36))-LEN(SUBSTITUTE(LEFT(J78,36)," ",""))))-1),LEFT(J78,36))),"")</f>
        <v/>
      </c>
      <c r="F78" s="525">
        <f>IFERROR(IF('Invullen groen'!H93=0,"",INT('Invullen groen'!H93)),"")</f>
        <v/>
      </c>
      <c r="G78" s="525">
        <f>IFERROR(IF('Invullen groen'!I93=0,"",INT('Invullen groen'!I93)),"")</f>
        <v/>
      </c>
      <c r="H78" s="525">
        <f>IFERROR(IF('Invullen groen'!J93=0,"",INT('Invullen groen'!J93)),"")</f>
        <v/>
      </c>
      <c r="I78" s="525">
        <f>IFERROR(IF('Invullen groen'!K93=0,"",INT('Invullen groen'!K93)),"")</f>
        <v/>
      </c>
      <c r="J78" s="524">
        <f>IF('Invullen groen'!E93&gt;0,IFERROR($K$1&amp;" "&amp;TRIM(SUBSTITUTE(SUBSTITUTE(SUBSTITUTE(SUBSTITUTE(SUBSTITUTE(SUBSTITUTE(SUBSTITUTE(SUBSTITUTE(SUBSTITUTE(SUBSTITUTE(SUBSTITUTE(SUBSTITUTE(LOWER(IF(LEFT(TEXT('Invullen groen'!E93,"0"),1)="6",'Invullen groen'!O93,IF('Invullen groen'!N93&gt;0,'Invullen groen'!G93,'Invullen groen'!O93))),"2024",""),"2025",""),"2026",""),"2027",""),"2028",""),"2029",""),"taakveld ",""),"installaties","inst"),"ruwbouw","ruwb"),"afbouw","afb"),"bijstelling","bijst"),"investeringen","invest")),""),"")</f>
        <v/>
      </c>
      <c r="K78" s="508" t="n"/>
    </row>
    <row r="79" ht="15" customHeight="1">
      <c r="A79" s="522">
        <f>IFERROR(IF('Invullen groen'!E94&gt;0,'Invullen groen'!E94,""),"")</f>
        <v/>
      </c>
      <c r="B79" s="522">
        <f>IFERROR(IF('Invullen groen'!L94&gt;0,'Invullen groen'!L94,""),"")</f>
        <v/>
      </c>
      <c r="C79" s="522">
        <f>IFERROR(IF('Invullen groen'!N94&gt;0,'Invullen groen'!N94,""),"")</f>
        <v/>
      </c>
      <c r="D79" s="526" t="n"/>
      <c r="E79" s="522">
        <f>IFERROR(IF(LEN(J79)&lt;=36,J79,IFERROR(LEFT(J79,FIND(CHAR(1),SUBSTITUTE(LEFT(J79,36)," ",CHAR(1),LEN(LEFT(J79,36))-LEN(SUBSTITUTE(LEFT(J79,36)," ",""))))-1),LEFT(J79,36))),"")</f>
        <v/>
      </c>
      <c r="F79" s="523">
        <f>IFERROR(IF('Invullen groen'!H94=0,"",INT('Invullen groen'!H94)),"")</f>
        <v/>
      </c>
      <c r="G79" s="523">
        <f>IFERROR(IF('Invullen groen'!I94=0,"",INT('Invullen groen'!I94)),"")</f>
        <v/>
      </c>
      <c r="H79" s="523">
        <f>IFERROR(IF('Invullen groen'!J94=0,"",INT('Invullen groen'!J94)),"")</f>
        <v/>
      </c>
      <c r="I79" s="523">
        <f>IFERROR(IF('Invullen groen'!K94=0,"",INT('Invullen groen'!K94)),"")</f>
        <v/>
      </c>
      <c r="J79" s="522">
        <f>IF('Invullen groen'!E94&gt;0,IFERROR($K$1&amp;" "&amp;TRIM(SUBSTITUTE(SUBSTITUTE(SUBSTITUTE(SUBSTITUTE(SUBSTITUTE(SUBSTITUTE(SUBSTITUTE(SUBSTITUTE(SUBSTITUTE(SUBSTITUTE(SUBSTITUTE(SUBSTITUTE(LOWER(IF(LEFT(TEXT('Invullen groen'!E94,"0"),1)="6",'Invullen groen'!O94,IF('Invullen groen'!N94&gt;0,'Invullen groen'!G94,'Invullen groen'!O94))),"2024",""),"2025",""),"2026",""),"2027",""),"2028",""),"2029",""),"taakveld ",""),"installaties","inst"),"ruwbouw","ruwb"),"afbouw","afb"),"bijstelling","bijst"),"investeringen","invest")),""),"")</f>
        <v/>
      </c>
      <c r="K79" s="526" t="n"/>
    </row>
    <row r="80" ht="15" customHeight="1">
      <c r="A80" s="524">
        <f>IFERROR(IF('Invullen groen'!E95&gt;0,'Invullen groen'!E95,""),"")</f>
        <v/>
      </c>
      <c r="B80" s="524">
        <f>IFERROR(IF('Invullen groen'!L95&gt;0,'Invullen groen'!L95,""),"")</f>
        <v/>
      </c>
      <c r="C80" s="524">
        <f>IFERROR(IF('Invullen groen'!N95&gt;0,'Invullen groen'!N95,""),"")</f>
        <v/>
      </c>
      <c r="D80" s="508" t="n"/>
      <c r="E80" s="524">
        <f>IFERROR(IF(LEN(J80)&lt;=36,J80,IFERROR(LEFT(J80,FIND(CHAR(1),SUBSTITUTE(LEFT(J80,36)," ",CHAR(1),LEN(LEFT(J80,36))-LEN(SUBSTITUTE(LEFT(J80,36)," ",""))))-1),LEFT(J80,36))),"")</f>
        <v/>
      </c>
      <c r="F80" s="525">
        <f>IFERROR(IF('Invullen groen'!H95=0,"",INT('Invullen groen'!H95)),"")</f>
        <v/>
      </c>
      <c r="G80" s="525">
        <f>IFERROR(IF('Invullen groen'!I95=0,"",INT('Invullen groen'!I95)),"")</f>
        <v/>
      </c>
      <c r="H80" s="525">
        <f>IFERROR(IF('Invullen groen'!J95=0,"",INT('Invullen groen'!J95)),"")</f>
        <v/>
      </c>
      <c r="I80" s="525">
        <f>IFERROR(IF('Invullen groen'!K95=0,"",INT('Invullen groen'!K95)),"")</f>
        <v/>
      </c>
      <c r="J80" s="524">
        <f>IF('Invullen groen'!E95&gt;0,IFERROR($K$1&amp;" "&amp;TRIM(SUBSTITUTE(SUBSTITUTE(SUBSTITUTE(SUBSTITUTE(SUBSTITUTE(SUBSTITUTE(SUBSTITUTE(SUBSTITUTE(SUBSTITUTE(SUBSTITUTE(SUBSTITUTE(SUBSTITUTE(LOWER(IF(LEFT(TEXT('Invullen groen'!E95,"0"),1)="6",'Invullen groen'!O95,IF('Invullen groen'!N95&gt;0,'Invullen groen'!G95,'Invullen groen'!O95))),"2024",""),"2025",""),"2026",""),"2027",""),"2028",""),"2029",""),"taakveld ",""),"installaties","inst"),"ruwbouw","ruwb"),"afbouw","afb"),"bijstelling","bijst"),"investeringen","invest")),""),"")</f>
        <v/>
      </c>
      <c r="K80" s="508" t="n"/>
    </row>
    <row r="81" ht="15" customHeight="1">
      <c r="A81" s="522">
        <f>IFERROR(IF('Invullen groen'!E96&gt;0,'Invullen groen'!E96,""),"")</f>
        <v/>
      </c>
      <c r="B81" s="522">
        <f>IFERROR(IF('Invullen groen'!L96&gt;0,'Invullen groen'!L96,""),"")</f>
        <v/>
      </c>
      <c r="C81" s="522">
        <f>IFERROR(IF('Invullen groen'!N96&gt;0,'Invullen groen'!N96,""),"")</f>
        <v/>
      </c>
      <c r="D81" s="526" t="n"/>
      <c r="E81" s="522">
        <f>IFERROR(IF(LEN(J81)&lt;=36,J81,IFERROR(LEFT(J81,FIND(CHAR(1),SUBSTITUTE(LEFT(J81,36)," ",CHAR(1),LEN(LEFT(J81,36))-LEN(SUBSTITUTE(LEFT(J81,36)," ",""))))-1),LEFT(J81,36))),"")</f>
        <v/>
      </c>
      <c r="F81" s="523">
        <f>IFERROR(IF('Invullen groen'!H96=0,"",INT('Invullen groen'!H96)),"")</f>
        <v/>
      </c>
      <c r="G81" s="523">
        <f>IFERROR(IF('Invullen groen'!I96=0,"",INT('Invullen groen'!I96)),"")</f>
        <v/>
      </c>
      <c r="H81" s="523">
        <f>IFERROR(IF('Invullen groen'!J96=0,"",INT('Invullen groen'!J96)),"")</f>
        <v/>
      </c>
      <c r="I81" s="523">
        <f>IFERROR(IF('Invullen groen'!K96=0,"",INT('Invullen groen'!K96)),"")</f>
        <v/>
      </c>
      <c r="J81" s="522">
        <f>IF('Invullen groen'!E96&gt;0,IFERROR($K$1&amp;" "&amp;TRIM(SUBSTITUTE(SUBSTITUTE(SUBSTITUTE(SUBSTITUTE(SUBSTITUTE(SUBSTITUTE(SUBSTITUTE(SUBSTITUTE(SUBSTITUTE(SUBSTITUTE(SUBSTITUTE(SUBSTITUTE(LOWER(IF(LEFT(TEXT('Invullen groen'!E96,"0"),1)="6",'Invullen groen'!O96,IF('Invullen groen'!N96&gt;0,'Invullen groen'!G96,'Invullen groen'!O96))),"2024",""),"2025",""),"2026",""),"2027",""),"2028",""),"2029",""),"taakveld ",""),"installaties","inst"),"ruwbouw","ruwb"),"afbouw","afb"),"bijstelling","bijst"),"investeringen","invest")),""),"")</f>
        <v/>
      </c>
      <c r="K81" s="526" t="n"/>
    </row>
    <row r="82" ht="15" customHeight="1">
      <c r="A82" s="524">
        <f>IFERROR(IF('Invullen groen'!E97&gt;0,'Invullen groen'!E97,""),"")</f>
        <v/>
      </c>
      <c r="B82" s="524">
        <f>IFERROR(IF('Invullen groen'!L97&gt;0,'Invullen groen'!L97,""),"")</f>
        <v/>
      </c>
      <c r="C82" s="524">
        <f>IFERROR(IF('Invullen groen'!N97&gt;0,'Invullen groen'!N97,""),"")</f>
        <v/>
      </c>
      <c r="D82" s="508" t="n"/>
      <c r="E82" s="524">
        <f>IFERROR(IF(LEN(J82)&lt;=36,J82,IFERROR(LEFT(J82,FIND(CHAR(1),SUBSTITUTE(LEFT(J82,36)," ",CHAR(1),LEN(LEFT(J82,36))-LEN(SUBSTITUTE(LEFT(J82,36)," ",""))))-1),LEFT(J82,36))),"")</f>
        <v/>
      </c>
      <c r="F82" s="525">
        <f>IFERROR(IF('Invullen groen'!H97=0,"",INT('Invullen groen'!H97)),"")</f>
        <v/>
      </c>
      <c r="G82" s="525">
        <f>IFERROR(IF('Invullen groen'!I97=0,"",INT('Invullen groen'!I97)),"")</f>
        <v/>
      </c>
      <c r="H82" s="525">
        <f>IFERROR(IF('Invullen groen'!J97=0,"",INT('Invullen groen'!J97)),"")</f>
        <v/>
      </c>
      <c r="I82" s="525">
        <f>IFERROR(IF('Invullen groen'!K97=0,"",INT('Invullen groen'!K97)),"")</f>
        <v/>
      </c>
      <c r="J82" s="524">
        <f>IF('Invullen groen'!E97&gt;0,IFERROR($K$1&amp;" "&amp;TRIM(SUBSTITUTE(SUBSTITUTE(SUBSTITUTE(SUBSTITUTE(SUBSTITUTE(SUBSTITUTE(SUBSTITUTE(SUBSTITUTE(SUBSTITUTE(SUBSTITUTE(SUBSTITUTE(SUBSTITUTE(LOWER(IF(LEFT(TEXT('Invullen groen'!E97,"0"),1)="6",'Invullen groen'!O97,IF('Invullen groen'!N97&gt;0,'Invullen groen'!G97,'Invullen groen'!O97))),"2024",""),"2025",""),"2026",""),"2027",""),"2028",""),"2029",""),"taakveld ",""),"installaties","inst"),"ruwbouw","ruwb"),"afbouw","afb"),"bijstelling","bijst"),"investeringen","invest")),""),"")</f>
        <v/>
      </c>
      <c r="K82" s="508" t="n"/>
    </row>
    <row r="83" ht="15" customHeight="1">
      <c r="A83" s="522">
        <f>IFERROR(IF('Invullen groen'!E98&gt;0,'Invullen groen'!E98,""),"")</f>
        <v/>
      </c>
      <c r="B83" s="522">
        <f>IFERROR(IF('Invullen groen'!L98&gt;0,'Invullen groen'!L98,""),"")</f>
        <v/>
      </c>
      <c r="C83" s="522">
        <f>IFERROR(IF('Invullen groen'!N98&gt;0,'Invullen groen'!N98,""),"")</f>
        <v/>
      </c>
      <c r="D83" s="526" t="n"/>
      <c r="E83" s="522">
        <f>IFERROR(IF(LEN(J83)&lt;=36,J83,IFERROR(LEFT(J83,FIND(CHAR(1),SUBSTITUTE(LEFT(J83,36)," ",CHAR(1),LEN(LEFT(J83,36))-LEN(SUBSTITUTE(LEFT(J83,36)," ",""))))-1),LEFT(J83,36))),"")</f>
        <v/>
      </c>
      <c r="F83" s="523">
        <f>IFERROR(IF('Invullen groen'!H98=0,"",INT('Invullen groen'!H98)),"")</f>
        <v/>
      </c>
      <c r="G83" s="523">
        <f>IFERROR(IF('Invullen groen'!I98=0,"",INT('Invullen groen'!I98)),"")</f>
        <v/>
      </c>
      <c r="H83" s="523">
        <f>IFERROR(IF('Invullen groen'!J98=0,"",INT('Invullen groen'!J98)),"")</f>
        <v/>
      </c>
      <c r="I83" s="523">
        <f>IFERROR(IF('Invullen groen'!K98=0,"",INT('Invullen groen'!K98)),"")</f>
        <v/>
      </c>
      <c r="J83" s="522">
        <f>IF('Invullen groen'!E98&gt;0,IFERROR($K$1&amp;" "&amp;TRIM(SUBSTITUTE(SUBSTITUTE(SUBSTITUTE(SUBSTITUTE(SUBSTITUTE(SUBSTITUTE(SUBSTITUTE(SUBSTITUTE(SUBSTITUTE(SUBSTITUTE(SUBSTITUTE(SUBSTITUTE(LOWER(IF(LEFT(TEXT('Invullen groen'!E98,"0"),1)="6",'Invullen groen'!O98,IF('Invullen groen'!N98&gt;0,'Invullen groen'!G98,'Invullen groen'!O98))),"2024",""),"2025",""),"2026",""),"2027",""),"2028",""),"2029",""),"taakveld ",""),"installaties","inst"),"ruwbouw","ruwb"),"afbouw","afb"),"bijstelling","bijst"),"investeringen","invest")),""),"")</f>
        <v/>
      </c>
      <c r="K83" s="526" t="n"/>
    </row>
    <row r="84" ht="15" customHeight="1">
      <c r="A84" s="524">
        <f>IFERROR(IF('Invullen groen'!E99&gt;0,'Invullen groen'!E99,""),"")</f>
        <v/>
      </c>
      <c r="B84" s="524">
        <f>IFERROR(IF('Invullen groen'!L99&gt;0,'Invullen groen'!L99,""),"")</f>
        <v/>
      </c>
      <c r="C84" s="524">
        <f>IFERROR(IF('Invullen groen'!N99&gt;0,'Invullen groen'!N99,""),"")</f>
        <v/>
      </c>
      <c r="D84" s="508" t="n"/>
      <c r="E84" s="524">
        <f>IFERROR(IF(LEN(J84)&lt;=36,J84,IFERROR(LEFT(J84,FIND(CHAR(1),SUBSTITUTE(LEFT(J84,36)," ",CHAR(1),LEN(LEFT(J84,36))-LEN(SUBSTITUTE(LEFT(J84,36)," ",""))))-1),LEFT(J84,36))),"")</f>
        <v/>
      </c>
      <c r="F84" s="525">
        <f>IFERROR(IF('Invullen groen'!H99=0,"",INT('Invullen groen'!H99)),"")</f>
        <v/>
      </c>
      <c r="G84" s="525">
        <f>IFERROR(IF('Invullen groen'!I99=0,"",INT('Invullen groen'!I99)),"")</f>
        <v/>
      </c>
      <c r="H84" s="525">
        <f>IFERROR(IF('Invullen groen'!J99=0,"",INT('Invullen groen'!J99)),"")</f>
        <v/>
      </c>
      <c r="I84" s="525">
        <f>IFERROR(IF('Invullen groen'!K99=0,"",INT('Invullen groen'!K99)),"")</f>
        <v/>
      </c>
      <c r="J84" s="524">
        <f>IF('Invullen groen'!E99&gt;0,IFERROR($K$1&amp;" "&amp;TRIM(SUBSTITUTE(SUBSTITUTE(SUBSTITUTE(SUBSTITUTE(SUBSTITUTE(SUBSTITUTE(SUBSTITUTE(SUBSTITUTE(SUBSTITUTE(SUBSTITUTE(SUBSTITUTE(SUBSTITUTE(LOWER(IF(LEFT(TEXT('Invullen groen'!E99,"0"),1)="6",'Invullen groen'!O99,IF('Invullen groen'!N99&gt;0,'Invullen groen'!G99,'Invullen groen'!O99))),"2024",""),"2025",""),"2026",""),"2027",""),"2028",""),"2029",""),"taakveld ",""),"installaties","inst"),"ruwbouw","ruwb"),"afbouw","afb"),"bijstelling","bijst"),"investeringen","invest")),""),"")</f>
        <v/>
      </c>
      <c r="K84" s="508" t="n"/>
    </row>
    <row r="85" ht="15" customHeight="1">
      <c r="A85" s="522">
        <f>IFERROR(IF('Invullen groen'!E100&gt;0,'Invullen groen'!E100,""),"")</f>
        <v/>
      </c>
      <c r="B85" s="522">
        <f>IFERROR(IF('Invullen groen'!L100&gt;0,'Invullen groen'!L100,""),"")</f>
        <v/>
      </c>
      <c r="C85" s="522">
        <f>IFERROR(IF('Invullen groen'!N100&gt;0,'Invullen groen'!N100,""),"")</f>
        <v/>
      </c>
      <c r="D85" s="526" t="n"/>
      <c r="E85" s="522">
        <f>IFERROR(IF(LEN(J85)&lt;=36,J85,IFERROR(LEFT(J85,FIND(CHAR(1),SUBSTITUTE(LEFT(J85,36)," ",CHAR(1),LEN(LEFT(J85,36))-LEN(SUBSTITUTE(LEFT(J85,36)," ",""))))-1),LEFT(J85,36))),"")</f>
        <v/>
      </c>
      <c r="F85" s="523">
        <f>IFERROR(IF('Invullen groen'!H100=0,"",INT('Invullen groen'!H100)),"")</f>
        <v/>
      </c>
      <c r="G85" s="523">
        <f>IFERROR(IF('Invullen groen'!I100=0,"",INT('Invullen groen'!I100)),"")</f>
        <v/>
      </c>
      <c r="H85" s="523">
        <f>IFERROR(IF('Invullen groen'!J100=0,"",INT('Invullen groen'!J100)),"")</f>
        <v/>
      </c>
      <c r="I85" s="523">
        <f>IFERROR(IF('Invullen groen'!K100=0,"",INT('Invullen groen'!K100)),"")</f>
        <v/>
      </c>
      <c r="J85" s="522">
        <f>IF('Invullen groen'!E100&gt;0,IFERROR($K$1&amp;" "&amp;TRIM(SUBSTITUTE(SUBSTITUTE(SUBSTITUTE(SUBSTITUTE(SUBSTITUTE(SUBSTITUTE(SUBSTITUTE(SUBSTITUTE(SUBSTITUTE(SUBSTITUTE(SUBSTITUTE(SUBSTITUTE(LOWER(IF(LEFT(TEXT('Invullen groen'!E100,"0"),1)="6",'Invullen groen'!O100,IF('Invullen groen'!N100&gt;0,'Invullen groen'!G100,'Invullen groen'!O100))),"2024",""),"2025",""),"2026",""),"2027",""),"2028",""),"2029",""),"taakveld ",""),"installaties","inst"),"ruwbouw","ruwb"),"afbouw","afb"),"bijstelling","bijst"),"investeringen","invest")),""),"")</f>
        <v/>
      </c>
      <c r="K85" s="526" t="n"/>
    </row>
    <row r="86" ht="15" customHeight="1">
      <c r="A86" s="524">
        <f>IFERROR(IF('Invullen groen'!E101&gt;0,'Invullen groen'!E101,""),"")</f>
        <v/>
      </c>
      <c r="B86" s="524">
        <f>IFERROR(IF('Invullen groen'!L101&gt;0,'Invullen groen'!L101,""),"")</f>
        <v/>
      </c>
      <c r="C86" s="524">
        <f>IFERROR(IF('Invullen groen'!N101&gt;0,'Invullen groen'!N101,""),"")</f>
        <v/>
      </c>
      <c r="D86" s="508" t="n"/>
      <c r="E86" s="524">
        <f>IFERROR(IF(LEN(J86)&lt;=36,J86,IFERROR(LEFT(J86,FIND(CHAR(1),SUBSTITUTE(LEFT(J86,36)," ",CHAR(1),LEN(LEFT(J86,36))-LEN(SUBSTITUTE(LEFT(J86,36)," ",""))))-1),LEFT(J86,36))),"")</f>
        <v/>
      </c>
      <c r="F86" s="525">
        <f>IFERROR(IF('Invullen groen'!H101=0,"",INT('Invullen groen'!H101)),"")</f>
        <v/>
      </c>
      <c r="G86" s="525">
        <f>IFERROR(IF('Invullen groen'!I101=0,"",INT('Invullen groen'!I101)),"")</f>
        <v/>
      </c>
      <c r="H86" s="525">
        <f>IFERROR(IF('Invullen groen'!J101=0,"",INT('Invullen groen'!J101)),"")</f>
        <v/>
      </c>
      <c r="I86" s="525">
        <f>IFERROR(IF('Invullen groen'!K101=0,"",INT('Invullen groen'!K101)),"")</f>
        <v/>
      </c>
      <c r="J86" s="524">
        <f>IF('Invullen groen'!E101&gt;0,IFERROR($K$1&amp;" "&amp;TRIM(SUBSTITUTE(SUBSTITUTE(SUBSTITUTE(SUBSTITUTE(SUBSTITUTE(SUBSTITUTE(SUBSTITUTE(SUBSTITUTE(SUBSTITUTE(SUBSTITUTE(SUBSTITUTE(SUBSTITUTE(LOWER(IF(LEFT(TEXT('Invullen groen'!E101,"0"),1)="6",'Invullen groen'!O101,IF('Invullen groen'!N101&gt;0,'Invullen groen'!G101,'Invullen groen'!O101))),"2024",""),"2025",""),"2026",""),"2027",""),"2028",""),"2029",""),"taakveld ",""),"installaties","inst"),"ruwbouw","ruwb"),"afbouw","afb"),"bijstelling","bijst"),"investeringen","invest")),""),"")</f>
        <v/>
      </c>
      <c r="K86" s="508" t="n"/>
    </row>
    <row r="87" ht="15" customHeight="1">
      <c r="A87" s="522">
        <f>IFERROR(IF('Invullen groen'!E102&gt;0,'Invullen groen'!E102,""),"")</f>
        <v/>
      </c>
      <c r="B87" s="522">
        <f>IFERROR(IF('Invullen groen'!L102&gt;0,'Invullen groen'!L102,""),"")</f>
        <v/>
      </c>
      <c r="C87" s="522">
        <f>IFERROR(IF('Invullen groen'!N102&gt;0,'Invullen groen'!N102,""),"")</f>
        <v/>
      </c>
      <c r="D87" s="526" t="n"/>
      <c r="E87" s="522">
        <f>IFERROR(IF(LEN(J87)&lt;=36,J87,IFERROR(LEFT(J87,FIND(CHAR(1),SUBSTITUTE(LEFT(J87,36)," ",CHAR(1),LEN(LEFT(J87,36))-LEN(SUBSTITUTE(LEFT(J87,36)," ",""))))-1),LEFT(J87,36))),"")</f>
        <v/>
      </c>
      <c r="F87" s="523">
        <f>IFERROR(IF('Invullen groen'!H102=0,"",INT('Invullen groen'!H102)),"")</f>
        <v/>
      </c>
      <c r="G87" s="523">
        <f>IFERROR(IF('Invullen groen'!I102=0,"",INT('Invullen groen'!I102)),"")</f>
        <v/>
      </c>
      <c r="H87" s="523">
        <f>IFERROR(IF('Invullen groen'!J102=0,"",INT('Invullen groen'!J102)),"")</f>
        <v/>
      </c>
      <c r="I87" s="523">
        <f>IFERROR(IF('Invullen groen'!K102=0,"",INT('Invullen groen'!K102)),"")</f>
        <v/>
      </c>
      <c r="J87" s="522">
        <f>IF('Invullen groen'!E102&gt;0,IFERROR($K$1&amp;" "&amp;TRIM(SUBSTITUTE(SUBSTITUTE(SUBSTITUTE(SUBSTITUTE(SUBSTITUTE(SUBSTITUTE(SUBSTITUTE(SUBSTITUTE(SUBSTITUTE(SUBSTITUTE(SUBSTITUTE(SUBSTITUTE(LOWER(IF(LEFT(TEXT('Invullen groen'!E102,"0"),1)="6",'Invullen groen'!O102,IF('Invullen groen'!N102&gt;0,'Invullen groen'!G102,'Invullen groen'!O102))),"2024",""),"2025",""),"2026",""),"2027",""),"2028",""),"2029",""),"taakveld ",""),"installaties","inst"),"ruwbouw","ruwb"),"afbouw","afb"),"bijstelling","bijst"),"investeringen","invest")),""),"")</f>
        <v/>
      </c>
      <c r="K87" s="526" t="n"/>
    </row>
    <row r="88" ht="15" customHeight="1">
      <c r="A88" s="524">
        <f>IFERROR(IF('Invullen groen'!E103&gt;0,'Invullen groen'!E103,""),"")</f>
        <v/>
      </c>
      <c r="B88" s="524">
        <f>IFERROR(IF('Invullen groen'!L103&gt;0,'Invullen groen'!L103,""),"")</f>
        <v/>
      </c>
      <c r="C88" s="524">
        <f>IFERROR(IF('Invullen groen'!N103&gt;0,'Invullen groen'!N103,""),"")</f>
        <v/>
      </c>
      <c r="D88" s="508" t="n"/>
      <c r="E88" s="524">
        <f>IFERROR(IF(LEN(J88)&lt;=36,J88,IFERROR(LEFT(J88,FIND(CHAR(1),SUBSTITUTE(LEFT(J88,36)," ",CHAR(1),LEN(LEFT(J88,36))-LEN(SUBSTITUTE(LEFT(J88,36)," ",""))))-1),LEFT(J88,36))),"")</f>
        <v/>
      </c>
      <c r="F88" s="525">
        <f>IFERROR(IF('Invullen groen'!H103=0,"",INT('Invullen groen'!H103)),"")</f>
        <v/>
      </c>
      <c r="G88" s="525">
        <f>IFERROR(IF('Invullen groen'!I103=0,"",INT('Invullen groen'!I103)),"")</f>
        <v/>
      </c>
      <c r="H88" s="525">
        <f>IFERROR(IF('Invullen groen'!J103=0,"",INT('Invullen groen'!J103)),"")</f>
        <v/>
      </c>
      <c r="I88" s="525">
        <f>IFERROR(IF('Invullen groen'!K103=0,"",INT('Invullen groen'!K103)),"")</f>
        <v/>
      </c>
      <c r="J88" s="524">
        <f>IF('Invullen groen'!E103&gt;0,IFERROR($K$1&amp;" "&amp;TRIM(SUBSTITUTE(SUBSTITUTE(SUBSTITUTE(SUBSTITUTE(SUBSTITUTE(SUBSTITUTE(SUBSTITUTE(SUBSTITUTE(SUBSTITUTE(SUBSTITUTE(SUBSTITUTE(SUBSTITUTE(LOWER(IF(LEFT(TEXT('Invullen groen'!E103,"0"),1)="6",'Invullen groen'!O103,IF('Invullen groen'!N103&gt;0,'Invullen groen'!G103,'Invullen groen'!O103))),"2024",""),"2025",""),"2026",""),"2027",""),"2028",""),"2029",""),"taakveld ",""),"installaties","inst"),"ruwbouw","ruwb"),"afbouw","afb"),"bijstelling","bijst"),"investeringen","invest")),""),"")</f>
        <v/>
      </c>
      <c r="K88" s="508" t="n"/>
    </row>
    <row r="89" ht="15" customHeight="1">
      <c r="A89" s="522">
        <f>IFERROR(IF('Invullen groen'!E104&gt;0,'Invullen groen'!E104,""),"")</f>
        <v/>
      </c>
      <c r="B89" s="522">
        <f>IFERROR(IF('Invullen groen'!L104&gt;0,'Invullen groen'!L104,""),"")</f>
        <v/>
      </c>
      <c r="C89" s="522">
        <f>IFERROR(IF('Invullen groen'!N104&gt;0,'Invullen groen'!N104,""),"")</f>
        <v/>
      </c>
      <c r="D89" s="526" t="n"/>
      <c r="E89" s="522">
        <f>IFERROR(IF(LEN(J89)&lt;=36,J89,IFERROR(LEFT(J89,FIND(CHAR(1),SUBSTITUTE(LEFT(J89,36)," ",CHAR(1),LEN(LEFT(J89,36))-LEN(SUBSTITUTE(LEFT(J89,36)," ",""))))-1),LEFT(J89,36))),"")</f>
        <v/>
      </c>
      <c r="F89" s="523">
        <f>IFERROR(IF('Invullen groen'!H104=0,"",INT('Invullen groen'!H104)),"")</f>
        <v/>
      </c>
      <c r="G89" s="523">
        <f>IFERROR(IF('Invullen groen'!I104=0,"",INT('Invullen groen'!I104)),"")</f>
        <v/>
      </c>
      <c r="H89" s="523">
        <f>IFERROR(IF('Invullen groen'!J104=0,"",INT('Invullen groen'!J104)),"")</f>
        <v/>
      </c>
      <c r="I89" s="523">
        <f>IFERROR(IF('Invullen groen'!K104=0,"",INT('Invullen groen'!K104)),"")</f>
        <v/>
      </c>
      <c r="J89" s="522">
        <f>IF('Invullen groen'!E104&gt;0,IFERROR($K$1&amp;" "&amp;TRIM(SUBSTITUTE(SUBSTITUTE(SUBSTITUTE(SUBSTITUTE(SUBSTITUTE(SUBSTITUTE(SUBSTITUTE(SUBSTITUTE(SUBSTITUTE(SUBSTITUTE(SUBSTITUTE(SUBSTITUTE(LOWER(IF(LEFT(TEXT('Invullen groen'!E104,"0"),1)="6",'Invullen groen'!O104,IF('Invullen groen'!N104&gt;0,'Invullen groen'!G104,'Invullen groen'!O104))),"2024",""),"2025",""),"2026",""),"2027",""),"2028",""),"2029",""),"taakveld ",""),"installaties","inst"),"ruwbouw","ruwb"),"afbouw","afb"),"bijstelling","bijst"),"investeringen","invest")),""),"")</f>
        <v/>
      </c>
      <c r="K89" s="526" t="n"/>
    </row>
    <row r="90" ht="15" customHeight="1">
      <c r="A90" s="524">
        <f>IFERROR(IF('Invullen groen'!E105&gt;0,'Invullen groen'!E105,""),"")</f>
        <v/>
      </c>
      <c r="B90" s="524">
        <f>IFERROR(IF('Invullen groen'!L105&gt;0,'Invullen groen'!L105,""),"")</f>
        <v/>
      </c>
      <c r="C90" s="524">
        <f>IFERROR(IF('Invullen groen'!N105&gt;0,'Invullen groen'!N105,""),"")</f>
        <v/>
      </c>
      <c r="D90" s="508" t="n"/>
      <c r="E90" s="524">
        <f>IFERROR(IF(LEN(J90)&lt;=36,J90,IFERROR(LEFT(J90,FIND(CHAR(1),SUBSTITUTE(LEFT(J90,36)," ",CHAR(1),LEN(LEFT(J90,36))-LEN(SUBSTITUTE(LEFT(J90,36)," ",""))))-1),LEFT(J90,36))),"")</f>
        <v/>
      </c>
      <c r="F90" s="525">
        <f>IFERROR(IF('Invullen groen'!H105=0,"",INT('Invullen groen'!H105)),"")</f>
        <v/>
      </c>
      <c r="G90" s="525">
        <f>IFERROR(IF('Invullen groen'!I105=0,"",INT('Invullen groen'!I105)),"")</f>
        <v/>
      </c>
      <c r="H90" s="525">
        <f>IFERROR(IF('Invullen groen'!J105=0,"",INT('Invullen groen'!J105)),"")</f>
        <v/>
      </c>
      <c r="I90" s="525">
        <f>IFERROR(IF('Invullen groen'!K105=0,"",INT('Invullen groen'!K105)),"")</f>
        <v/>
      </c>
      <c r="J90" s="524">
        <f>IF('Invullen groen'!E105&gt;0,IFERROR($K$1&amp;" "&amp;TRIM(SUBSTITUTE(SUBSTITUTE(SUBSTITUTE(SUBSTITUTE(SUBSTITUTE(SUBSTITUTE(SUBSTITUTE(SUBSTITUTE(SUBSTITUTE(SUBSTITUTE(SUBSTITUTE(SUBSTITUTE(LOWER(IF(LEFT(TEXT('Invullen groen'!E105,"0"),1)="6",'Invullen groen'!O105,IF('Invullen groen'!N105&gt;0,'Invullen groen'!G105,'Invullen groen'!O105))),"2024",""),"2025",""),"2026",""),"2027",""),"2028",""),"2029",""),"taakveld ",""),"installaties","inst"),"ruwbouw","ruwb"),"afbouw","afb"),"bijstelling","bijst"),"investeringen","invest")),""),"")</f>
        <v/>
      </c>
      <c r="K90" s="508" t="n"/>
    </row>
    <row r="91" ht="15" customHeight="1">
      <c r="A91" s="522">
        <f>IFERROR(IF('Invullen groen'!E106&gt;0,'Invullen groen'!E106,""),"")</f>
        <v/>
      </c>
      <c r="B91" s="522">
        <f>IFERROR(IF('Invullen groen'!L106&gt;0,'Invullen groen'!L106,""),"")</f>
        <v/>
      </c>
      <c r="C91" s="522">
        <f>IFERROR(IF('Invullen groen'!N106&gt;0,'Invullen groen'!N106,""),"")</f>
        <v/>
      </c>
      <c r="D91" s="526" t="n"/>
      <c r="E91" s="522">
        <f>IFERROR(IF(LEN(J91)&lt;=36,J91,IFERROR(LEFT(J91,FIND(CHAR(1),SUBSTITUTE(LEFT(J91,36)," ",CHAR(1),LEN(LEFT(J91,36))-LEN(SUBSTITUTE(LEFT(J91,36)," ",""))))-1),LEFT(J91,36))),"")</f>
        <v/>
      </c>
      <c r="F91" s="523">
        <f>IFERROR(IF('Invullen groen'!H106=0,"",INT('Invullen groen'!H106)),"")</f>
        <v/>
      </c>
      <c r="G91" s="523">
        <f>IFERROR(IF('Invullen groen'!I106=0,"",INT('Invullen groen'!I106)),"")</f>
        <v/>
      </c>
      <c r="H91" s="523">
        <f>IFERROR(IF('Invullen groen'!J106=0,"",INT('Invullen groen'!J106)),"")</f>
        <v/>
      </c>
      <c r="I91" s="523">
        <f>IFERROR(IF('Invullen groen'!K106=0,"",INT('Invullen groen'!K106)),"")</f>
        <v/>
      </c>
      <c r="J91" s="522">
        <f>IF('Invullen groen'!E106&gt;0,IFERROR($K$1&amp;" "&amp;TRIM(SUBSTITUTE(SUBSTITUTE(SUBSTITUTE(SUBSTITUTE(SUBSTITUTE(SUBSTITUTE(SUBSTITUTE(SUBSTITUTE(SUBSTITUTE(SUBSTITUTE(SUBSTITUTE(SUBSTITUTE(LOWER(IF(LEFT(TEXT('Invullen groen'!E106,"0"),1)="6",'Invullen groen'!O106,IF('Invullen groen'!N106&gt;0,'Invullen groen'!G106,'Invullen groen'!O106))),"2024",""),"2025",""),"2026",""),"2027",""),"2028",""),"2029",""),"taakveld ",""),"installaties","inst"),"ruwbouw","ruwb"),"afbouw","afb"),"bijstelling","bijst"),"investeringen","invest")),""),"")</f>
        <v/>
      </c>
      <c r="K91" s="526" t="n"/>
    </row>
    <row r="92" ht="15" customHeight="1">
      <c r="A92" s="524">
        <f>IFERROR(IF('Invullen groen'!E107&gt;0,'Invullen groen'!E107,""),"")</f>
        <v/>
      </c>
      <c r="B92" s="524">
        <f>IFERROR(IF('Invullen groen'!L107&gt;0,'Invullen groen'!L107,""),"")</f>
        <v/>
      </c>
      <c r="C92" s="524">
        <f>IFERROR(IF('Invullen groen'!N107&gt;0,'Invullen groen'!N107,""),"")</f>
        <v/>
      </c>
      <c r="D92" s="508" t="n"/>
      <c r="E92" s="524">
        <f>IFERROR(IF(LEN(J92)&lt;=36,J92,IFERROR(LEFT(J92,FIND(CHAR(1),SUBSTITUTE(LEFT(J92,36)," ",CHAR(1),LEN(LEFT(J92,36))-LEN(SUBSTITUTE(LEFT(J92,36)," ",""))))-1),LEFT(J92,36))),"")</f>
        <v/>
      </c>
      <c r="F92" s="525">
        <f>IFERROR(IF('Invullen groen'!H107=0,"",INT('Invullen groen'!H107)),"")</f>
        <v/>
      </c>
      <c r="G92" s="525">
        <f>IFERROR(IF('Invullen groen'!I107=0,"",INT('Invullen groen'!I107)),"")</f>
        <v/>
      </c>
      <c r="H92" s="525">
        <f>IFERROR(IF('Invullen groen'!J107=0,"",INT('Invullen groen'!J107)),"")</f>
        <v/>
      </c>
      <c r="I92" s="525">
        <f>IFERROR(IF('Invullen groen'!K107=0,"",INT('Invullen groen'!K107)),"")</f>
        <v/>
      </c>
      <c r="J92" s="524">
        <f>IF('Invullen groen'!E107&gt;0,IFERROR($K$1&amp;" "&amp;TRIM(SUBSTITUTE(SUBSTITUTE(SUBSTITUTE(SUBSTITUTE(SUBSTITUTE(SUBSTITUTE(SUBSTITUTE(SUBSTITUTE(SUBSTITUTE(SUBSTITUTE(SUBSTITUTE(SUBSTITUTE(LOWER(IF(LEFT(TEXT('Invullen groen'!E107,"0"),1)="6",'Invullen groen'!O107,IF('Invullen groen'!N107&gt;0,'Invullen groen'!G107,'Invullen groen'!O107))),"2024",""),"2025",""),"2026",""),"2027",""),"2028",""),"2029",""),"taakveld ",""),"installaties","inst"),"ruwbouw","ruwb"),"afbouw","afb"),"bijstelling","bijst"),"investeringen","invest")),""),"")</f>
        <v/>
      </c>
      <c r="K92" s="508" t="n"/>
    </row>
    <row r="93" ht="15" customHeight="1">
      <c r="A93" s="522">
        <f>IFERROR(IF('Invullen groen'!E108&gt;0,'Invullen groen'!E108,""),"")</f>
        <v/>
      </c>
      <c r="B93" s="522">
        <f>IFERROR(IF('Invullen groen'!L108&gt;0,'Invullen groen'!L108,""),"")</f>
        <v/>
      </c>
      <c r="C93" s="522">
        <f>IFERROR(IF('Invullen groen'!N108&gt;0,'Invullen groen'!N108,""),"")</f>
        <v/>
      </c>
      <c r="D93" s="526" t="n"/>
      <c r="E93" s="522">
        <f>IFERROR(IF(LEN(J93)&lt;=36,J93,IFERROR(LEFT(J93,FIND(CHAR(1),SUBSTITUTE(LEFT(J93,36)," ",CHAR(1),LEN(LEFT(J93,36))-LEN(SUBSTITUTE(LEFT(J93,36)," ",""))))-1),LEFT(J93,36))),"")</f>
        <v/>
      </c>
      <c r="F93" s="523">
        <f>IFERROR(IF('Invullen groen'!H108=0,"",INT('Invullen groen'!H108)),"")</f>
        <v/>
      </c>
      <c r="G93" s="523">
        <f>IFERROR(IF('Invullen groen'!I108=0,"",INT('Invullen groen'!I108)),"")</f>
        <v/>
      </c>
      <c r="H93" s="523">
        <f>IFERROR(IF('Invullen groen'!J108=0,"",INT('Invullen groen'!J108)),"")</f>
        <v/>
      </c>
      <c r="I93" s="523">
        <f>IFERROR(IF('Invullen groen'!K108=0,"",INT('Invullen groen'!K108)),"")</f>
        <v/>
      </c>
      <c r="J93" s="522">
        <f>IF('Invullen groen'!E108&gt;0,IFERROR($K$1&amp;" "&amp;TRIM(SUBSTITUTE(SUBSTITUTE(SUBSTITUTE(SUBSTITUTE(SUBSTITUTE(SUBSTITUTE(SUBSTITUTE(SUBSTITUTE(SUBSTITUTE(SUBSTITUTE(SUBSTITUTE(SUBSTITUTE(LOWER(IF(LEFT(TEXT('Invullen groen'!E108,"0"),1)="6",'Invullen groen'!O108,IF('Invullen groen'!N108&gt;0,'Invullen groen'!G108,'Invullen groen'!O108))),"2024",""),"2025",""),"2026",""),"2027",""),"2028",""),"2029",""),"taakveld ",""),"installaties","inst"),"ruwbouw","ruwb"),"afbouw","afb"),"bijstelling","bijst"),"investeringen","invest")),""),"")</f>
        <v/>
      </c>
      <c r="K93" s="526" t="n"/>
    </row>
    <row r="94" ht="15" customHeight="1">
      <c r="A94" s="524">
        <f>IFERROR(IF('Invullen groen'!E109&gt;0,'Invullen groen'!E109,""),"")</f>
        <v/>
      </c>
      <c r="B94" s="524">
        <f>IFERROR(IF('Invullen groen'!L109&gt;0,'Invullen groen'!L109,""),"")</f>
        <v/>
      </c>
      <c r="C94" s="524">
        <f>IFERROR(IF('Invullen groen'!N109&gt;0,'Invullen groen'!N109,""),"")</f>
        <v/>
      </c>
      <c r="D94" s="508" t="n"/>
      <c r="E94" s="524">
        <f>IFERROR(IF(LEN(J94)&lt;=36,J94,IFERROR(LEFT(J94,FIND(CHAR(1),SUBSTITUTE(LEFT(J94,36)," ",CHAR(1),LEN(LEFT(J94,36))-LEN(SUBSTITUTE(LEFT(J94,36)," ",""))))-1),LEFT(J94,36))),"")</f>
        <v/>
      </c>
      <c r="F94" s="525">
        <f>IFERROR(IF('Invullen groen'!H109=0,"",INT('Invullen groen'!H109)),"")</f>
        <v/>
      </c>
      <c r="G94" s="525">
        <f>IFERROR(IF('Invullen groen'!I109=0,"",INT('Invullen groen'!I109)),"")</f>
        <v/>
      </c>
      <c r="H94" s="525">
        <f>IFERROR(IF('Invullen groen'!J109=0,"",INT('Invullen groen'!J109)),"")</f>
        <v/>
      </c>
      <c r="I94" s="525">
        <f>IFERROR(IF('Invullen groen'!K109=0,"",INT('Invullen groen'!K109)),"")</f>
        <v/>
      </c>
      <c r="J94" s="524">
        <f>IF('Invullen groen'!E109&gt;0,IFERROR($K$1&amp;" "&amp;TRIM(SUBSTITUTE(SUBSTITUTE(SUBSTITUTE(SUBSTITUTE(SUBSTITUTE(SUBSTITUTE(SUBSTITUTE(SUBSTITUTE(SUBSTITUTE(SUBSTITUTE(SUBSTITUTE(SUBSTITUTE(LOWER(IF(LEFT(TEXT('Invullen groen'!E109,"0"),1)="6",'Invullen groen'!O109,IF('Invullen groen'!N109&gt;0,'Invullen groen'!G109,'Invullen groen'!O109))),"2024",""),"2025",""),"2026",""),"2027",""),"2028",""),"2029",""),"taakveld ",""),"installaties","inst"),"ruwbouw","ruwb"),"afbouw","afb"),"bijstelling","bijst"),"investeringen","invest")),""),"")</f>
        <v/>
      </c>
      <c r="K94" s="508" t="n"/>
    </row>
    <row r="95" ht="15" customHeight="1">
      <c r="A95" s="526" t="n"/>
      <c r="B95" s="526" t="n"/>
      <c r="C95" s="526" t="n"/>
      <c r="D95" s="526" t="n"/>
      <c r="E95" s="526" t="n"/>
      <c r="F95" s="527" t="n"/>
      <c r="G95" s="527" t="n"/>
      <c r="H95" s="527" t="n"/>
      <c r="I95" s="527" t="n"/>
      <c r="J95" s="526" t="n"/>
      <c r="K95" s="526" t="n"/>
    </row>
    <row r="96">
      <c r="A96" s="237" t="n"/>
      <c r="F96" s="236" t="n"/>
      <c r="G96" s="236" t="n"/>
      <c r="H96" s="236" t="n"/>
      <c r="I96" s="236" t="n"/>
    </row>
    <row r="97">
      <c r="A97" s="237" t="n"/>
      <c r="F97" s="236" t="n"/>
      <c r="G97" s="236" t="n"/>
      <c r="H97" s="236" t="n"/>
      <c r="I97" s="236" t="n"/>
    </row>
    <row r="98">
      <c r="A98" s="237" t="n"/>
      <c r="F98" s="236" t="n"/>
      <c r="G98" s="236" t="n"/>
      <c r="H98" s="236" t="n"/>
      <c r="I98" s="236" t="n"/>
    </row>
    <row r="99">
      <c r="A99" s="237" t="n"/>
      <c r="F99" s="236" t="n"/>
      <c r="G99" s="236" t="n"/>
      <c r="H99" s="236" t="n"/>
      <c r="I99" s="236" t="n"/>
    </row>
    <row r="100">
      <c r="A100" s="237" t="n"/>
      <c r="F100" s="236" t="n"/>
      <c r="G100" s="236" t="n"/>
      <c r="H100" s="236" t="n"/>
      <c r="I100" s="236" t="n"/>
    </row>
    <row r="101">
      <c r="A101" s="237" t="n"/>
      <c r="F101" s="236" t="n"/>
      <c r="G101" s="236" t="n"/>
      <c r="H101" s="236" t="n"/>
      <c r="I101" s="236" t="n"/>
    </row>
    <row r="102">
      <c r="A102" s="237" t="n"/>
      <c r="F102" s="236" t="n"/>
      <c r="G102" s="236" t="n"/>
      <c r="H102" s="236" t="n"/>
      <c r="I102" s="236" t="n"/>
    </row>
    <row r="103">
      <c r="A103" s="237" t="n"/>
      <c r="F103" s="236" t="n"/>
      <c r="G103" s="236" t="n"/>
      <c r="H103" s="236" t="n"/>
      <c r="I103" s="236" t="n"/>
    </row>
    <row r="104">
      <c r="A104" s="237" t="n"/>
      <c r="F104" s="236" t="n"/>
      <c r="G104" s="236" t="n"/>
      <c r="H104" s="236" t="n"/>
      <c r="I104" s="236" t="n"/>
    </row>
    <row r="105">
      <c r="A105" s="237" t="n"/>
      <c r="F105" s="236" t="n"/>
      <c r="G105" s="236" t="n"/>
      <c r="H105" s="236" t="n"/>
      <c r="I105" s="236" t="n"/>
    </row>
    <row r="106">
      <c r="A106" s="237" t="n"/>
      <c r="F106" s="236" t="n"/>
      <c r="G106" s="236" t="n"/>
      <c r="H106" s="236" t="n"/>
      <c r="I106" s="236" t="n"/>
    </row>
    <row r="107">
      <c r="A107" s="237" t="n"/>
      <c r="F107" s="236" t="n"/>
      <c r="G107" s="236" t="n"/>
      <c r="H107" s="236" t="n"/>
      <c r="I107" s="236" t="n"/>
    </row>
    <row r="108">
      <c r="A108" s="237" t="n"/>
      <c r="F108" s="236" t="n"/>
      <c r="G108" s="236" t="n"/>
      <c r="H108" s="236" t="n"/>
      <c r="I108" s="236" t="n"/>
    </row>
    <row r="109">
      <c r="A109" s="237" t="n"/>
      <c r="F109" s="236" t="n"/>
      <c r="G109" s="236" t="n"/>
      <c r="H109" s="236" t="n"/>
      <c r="I109" s="236" t="n"/>
    </row>
    <row r="110">
      <c r="A110" s="237" t="n"/>
      <c r="F110" s="236" t="n"/>
      <c r="G110" s="236" t="n"/>
      <c r="H110" s="236" t="n"/>
      <c r="I110" s="236" t="n"/>
    </row>
    <row r="111">
      <c r="A111" s="237" t="n"/>
      <c r="F111" s="236" t="n"/>
      <c r="G111" s="236" t="n"/>
      <c r="H111" s="236" t="n"/>
      <c r="I111" s="236" t="n"/>
    </row>
    <row r="112">
      <c r="A112" s="237" t="n"/>
      <c r="F112" s="236" t="n"/>
      <c r="G112" s="236" t="n"/>
      <c r="H112" s="236" t="n"/>
      <c r="I112" s="236" t="n"/>
    </row>
    <row r="113">
      <c r="A113" s="237" t="n"/>
      <c r="F113" s="236" t="n"/>
      <c r="G113" s="236" t="n"/>
      <c r="H113" s="236" t="n"/>
      <c r="I113" s="236" t="n"/>
    </row>
    <row r="114">
      <c r="A114" s="237" t="n"/>
      <c r="F114" s="236" t="n"/>
      <c r="G114" s="236" t="n"/>
      <c r="H114" s="236" t="n"/>
      <c r="I114" s="236" t="n"/>
    </row>
    <row r="115">
      <c r="A115" s="237" t="n"/>
      <c r="F115" s="236" t="n"/>
      <c r="G115" s="236" t="n"/>
      <c r="H115" s="236" t="n"/>
      <c r="I115" s="236" t="n"/>
    </row>
    <row r="116">
      <c r="A116" s="237" t="n"/>
      <c r="F116" s="236" t="n"/>
      <c r="G116" s="236" t="n"/>
      <c r="H116" s="236" t="n"/>
      <c r="I116" s="236" t="n"/>
    </row>
    <row r="117">
      <c r="A117" s="237" t="n"/>
      <c r="F117" s="236" t="n"/>
      <c r="G117" s="236" t="n"/>
      <c r="H117" s="236" t="n"/>
      <c r="I117" s="236" t="n"/>
    </row>
    <row r="118">
      <c r="A118" s="237" t="n"/>
      <c r="F118" s="236" t="n"/>
      <c r="G118" s="236" t="n"/>
      <c r="H118" s="236" t="n"/>
      <c r="I118" s="236" t="n"/>
    </row>
    <row r="119">
      <c r="A119" s="237" t="n"/>
      <c r="F119" s="236" t="n"/>
      <c r="G119" s="236" t="n"/>
      <c r="H119" s="236" t="n"/>
      <c r="I119" s="236" t="n"/>
    </row>
    <row r="120">
      <c r="A120" s="237" t="n"/>
      <c r="F120" s="236" t="n"/>
      <c r="G120" s="236" t="n"/>
      <c r="H120" s="236" t="n"/>
      <c r="I120" s="236" t="n"/>
    </row>
    <row r="121">
      <c r="A121" s="237" t="n"/>
      <c r="F121" s="236" t="n"/>
      <c r="G121" s="236" t="n"/>
      <c r="H121" s="236" t="n"/>
      <c r="I121" s="236" t="n"/>
    </row>
    <row r="122">
      <c r="A122" s="237" t="n"/>
      <c r="F122" s="236" t="n"/>
      <c r="G122" s="236" t="n"/>
      <c r="H122" s="236" t="n"/>
      <c r="I122" s="236" t="n"/>
    </row>
    <row r="123">
      <c r="A123" s="237" t="n"/>
      <c r="F123" s="236" t="n"/>
      <c r="G123" s="236" t="n"/>
      <c r="H123" s="236" t="n"/>
      <c r="I123" s="236" t="n"/>
    </row>
    <row r="124">
      <c r="A124" s="237" t="n"/>
      <c r="F124" s="236" t="n"/>
      <c r="G124" s="236" t="n"/>
      <c r="H124" s="236" t="n"/>
      <c r="I124" s="236" t="n"/>
    </row>
    <row r="125">
      <c r="A125" s="237" t="n"/>
      <c r="F125" s="236" t="n"/>
      <c r="G125" s="236" t="n"/>
      <c r="H125" s="236" t="n"/>
      <c r="I125" s="236" t="n"/>
    </row>
    <row r="126">
      <c r="A126" s="237" t="n"/>
      <c r="F126" s="236" t="n"/>
      <c r="G126" s="236" t="n"/>
      <c r="H126" s="236" t="n"/>
      <c r="I126" s="236" t="n"/>
    </row>
    <row r="127">
      <c r="A127" s="237" t="n"/>
      <c r="F127" s="236" t="n"/>
      <c r="G127" s="236" t="n"/>
      <c r="H127" s="236" t="n"/>
      <c r="I127" s="236" t="n"/>
    </row>
    <row r="128">
      <c r="A128" s="237" t="n"/>
      <c r="F128" s="236" t="n"/>
      <c r="G128" s="236" t="n"/>
      <c r="H128" s="236" t="n"/>
      <c r="I128" s="236" t="n"/>
    </row>
    <row r="129">
      <c r="A129" s="237" t="n"/>
      <c r="F129" s="236" t="n"/>
      <c r="G129" s="236" t="n"/>
      <c r="H129" s="236" t="n"/>
      <c r="I129" s="236" t="n"/>
    </row>
    <row r="130">
      <c r="A130" s="237" t="n"/>
      <c r="F130" s="236" t="n"/>
      <c r="G130" s="236" t="n"/>
      <c r="H130" s="236" t="n"/>
      <c r="I130" s="236" t="n"/>
    </row>
    <row r="131">
      <c r="A131" s="237" t="n"/>
      <c r="F131" s="236" t="n"/>
      <c r="G131" s="236" t="n"/>
      <c r="H131" s="236" t="n"/>
      <c r="I131" s="236" t="n"/>
    </row>
    <row r="132">
      <c r="A132" s="237" t="n"/>
      <c r="F132" s="236" t="n"/>
      <c r="G132" s="236" t="n"/>
      <c r="H132" s="236" t="n"/>
      <c r="I132" s="236" t="n"/>
    </row>
    <row r="133">
      <c r="A133" s="237" t="n"/>
      <c r="F133" s="236" t="n"/>
      <c r="G133" s="236" t="n"/>
      <c r="H133" s="236" t="n"/>
      <c r="I133" s="236" t="n"/>
    </row>
    <row r="134">
      <c r="A134" s="237" t="n"/>
      <c r="F134" s="236" t="n"/>
      <c r="G134" s="236" t="n"/>
      <c r="H134" s="236" t="n"/>
      <c r="I134" s="236" t="n"/>
    </row>
    <row r="135">
      <c r="A135" s="237" t="n"/>
      <c r="F135" s="236" t="n"/>
      <c r="G135" s="236" t="n"/>
      <c r="H135" s="236" t="n"/>
      <c r="I135" s="236" t="n"/>
    </row>
    <row r="136">
      <c r="A136" s="237" t="n"/>
      <c r="F136" s="236" t="n"/>
      <c r="G136" s="236" t="n"/>
      <c r="H136" s="236" t="n"/>
      <c r="I136" s="236" t="n"/>
    </row>
    <row r="137">
      <c r="A137" s="237" t="n"/>
      <c r="F137" s="236" t="n"/>
      <c r="G137" s="236" t="n"/>
      <c r="H137" s="236" t="n"/>
      <c r="I137" s="236" t="n"/>
    </row>
    <row r="138">
      <c r="A138" s="237" t="n"/>
      <c r="F138" s="236" t="n"/>
      <c r="G138" s="236" t="n"/>
      <c r="H138" s="236" t="n"/>
      <c r="I138" s="236" t="n"/>
    </row>
    <row r="139">
      <c r="A139" s="237" t="n"/>
      <c r="F139" s="236" t="n"/>
      <c r="G139" s="236" t="n"/>
      <c r="H139" s="236" t="n"/>
      <c r="I139" s="236" t="n"/>
    </row>
    <row r="140">
      <c r="A140" s="237" t="n"/>
      <c r="F140" s="236" t="n"/>
      <c r="G140" s="236" t="n"/>
      <c r="H140" s="236" t="n"/>
      <c r="I140" s="236" t="n"/>
    </row>
    <row r="141">
      <c r="A141" s="237" t="n"/>
      <c r="F141" s="236" t="n"/>
      <c r="G141" s="236" t="n"/>
      <c r="H141" s="236" t="n"/>
      <c r="I141" s="236" t="n"/>
    </row>
    <row r="142">
      <c r="A142" s="237" t="n"/>
      <c r="F142" s="236" t="n"/>
      <c r="G142" s="236" t="n"/>
      <c r="H142" s="236" t="n"/>
      <c r="I142" s="236" t="n"/>
    </row>
    <row r="143">
      <c r="A143" s="237" t="n"/>
      <c r="F143" s="236" t="n"/>
      <c r="G143" s="236" t="n"/>
      <c r="H143" s="236" t="n"/>
      <c r="I143" s="236" t="n"/>
    </row>
    <row r="144">
      <c r="A144" s="237" t="n"/>
      <c r="F144" s="236" t="n"/>
      <c r="G144" s="236" t="n"/>
      <c r="H144" s="236" t="n"/>
      <c r="I144" s="236" t="n"/>
    </row>
    <row r="145">
      <c r="A145" s="237" t="n"/>
      <c r="F145" s="236" t="n"/>
      <c r="G145" s="236" t="n"/>
      <c r="H145" s="236" t="n"/>
      <c r="I145" s="236" t="n"/>
    </row>
    <row r="146">
      <c r="A146" s="237" t="n"/>
      <c r="F146" s="236" t="n"/>
      <c r="G146" s="236" t="n"/>
      <c r="H146" s="236" t="n"/>
      <c r="I146" s="236" t="n"/>
    </row>
    <row r="147">
      <c r="A147" s="237" t="n"/>
      <c r="F147" s="236" t="n"/>
      <c r="G147" s="236" t="n"/>
      <c r="H147" s="236" t="n"/>
      <c r="I147" s="236" t="n"/>
    </row>
    <row r="148">
      <c r="A148" s="237" t="n"/>
      <c r="F148" s="236" t="n"/>
      <c r="G148" s="236" t="n"/>
      <c r="H148" s="236" t="n"/>
      <c r="I148" s="236" t="n"/>
    </row>
    <row r="149">
      <c r="A149" s="237" t="n"/>
      <c r="F149" s="236" t="n"/>
      <c r="G149" s="236" t="n"/>
      <c r="H149" s="236" t="n"/>
      <c r="I149" s="236" t="n"/>
    </row>
    <row r="150">
      <c r="A150" s="237" t="n"/>
      <c r="F150" s="236" t="n"/>
      <c r="G150" s="236" t="n"/>
      <c r="H150" s="236" t="n"/>
      <c r="I150" s="236" t="n"/>
    </row>
    <row r="151">
      <c r="A151" s="237" t="n"/>
      <c r="F151" s="236" t="n"/>
      <c r="G151" s="236" t="n"/>
      <c r="H151" s="236" t="n"/>
      <c r="I151" s="236" t="n"/>
    </row>
    <row r="152">
      <c r="A152" s="237" t="n"/>
      <c r="F152" s="236" t="n"/>
      <c r="G152" s="236" t="n"/>
      <c r="H152" s="236" t="n"/>
      <c r="I152" s="236" t="n"/>
    </row>
    <row r="153">
      <c r="A153" s="237" t="n"/>
      <c r="F153" s="236" t="n"/>
      <c r="G153" s="236" t="n"/>
      <c r="H153" s="236" t="n"/>
      <c r="I153" s="236" t="n"/>
    </row>
    <row r="154">
      <c r="A154" s="237" t="n"/>
      <c r="F154" s="236" t="n"/>
      <c r="G154" s="236" t="n"/>
      <c r="H154" s="236" t="n"/>
      <c r="I154" s="236" t="n"/>
    </row>
    <row r="155">
      <c r="A155" s="237" t="n"/>
      <c r="F155" s="236" t="n"/>
      <c r="G155" s="236" t="n"/>
      <c r="H155" s="236" t="n"/>
      <c r="I155" s="236" t="n"/>
    </row>
    <row r="156">
      <c r="A156" s="237" t="n"/>
      <c r="F156" s="236" t="n"/>
      <c r="G156" s="236" t="n"/>
      <c r="H156" s="236" t="n"/>
      <c r="I156" s="236" t="n"/>
    </row>
    <row r="157">
      <c r="A157" s="237" t="n"/>
      <c r="F157" s="236" t="n"/>
      <c r="G157" s="236" t="n"/>
      <c r="H157" s="236" t="n"/>
      <c r="I157" s="236" t="n"/>
    </row>
    <row r="158">
      <c r="A158" s="237" t="n"/>
      <c r="F158" s="236" t="n"/>
      <c r="G158" s="236" t="n"/>
      <c r="H158" s="236" t="n"/>
      <c r="I158" s="236" t="n"/>
    </row>
    <row r="159">
      <c r="A159" s="237" t="n"/>
      <c r="F159" s="236" t="n"/>
      <c r="G159" s="236" t="n"/>
      <c r="H159" s="236" t="n"/>
      <c r="I159" s="236" t="n"/>
    </row>
    <row r="160">
      <c r="A160" s="237" t="n"/>
      <c r="F160" s="236" t="n"/>
      <c r="G160" s="236" t="n"/>
      <c r="H160" s="236" t="n"/>
      <c r="I160" s="236" t="n"/>
    </row>
    <row r="161">
      <c r="A161" s="237" t="n"/>
      <c r="F161" s="236" t="n"/>
      <c r="G161" s="236" t="n"/>
      <c r="H161" s="236" t="n"/>
      <c r="I161" s="236" t="n"/>
    </row>
    <row r="162">
      <c r="A162" s="237" t="n"/>
      <c r="F162" s="236" t="n"/>
      <c r="G162" s="236" t="n"/>
      <c r="H162" s="236" t="n"/>
      <c r="I162" s="236" t="n"/>
    </row>
    <row r="163">
      <c r="A163" s="237" t="n"/>
      <c r="F163" s="236" t="n"/>
      <c r="G163" s="236" t="n"/>
      <c r="H163" s="236" t="n"/>
      <c r="I163" s="236" t="n"/>
    </row>
    <row r="164">
      <c r="A164" s="237" t="n"/>
      <c r="F164" s="236" t="n"/>
      <c r="G164" s="236" t="n"/>
      <c r="H164" s="236" t="n"/>
      <c r="I164" s="236" t="n"/>
    </row>
    <row r="165">
      <c r="A165" s="237" t="n"/>
      <c r="F165" s="236" t="n"/>
      <c r="G165" s="236" t="n"/>
      <c r="H165" s="236" t="n"/>
      <c r="I165" s="236" t="n"/>
    </row>
    <row r="166">
      <c r="A166" s="237" t="n"/>
      <c r="F166" s="236" t="n"/>
      <c r="G166" s="236" t="n"/>
      <c r="H166" s="236" t="n"/>
      <c r="I166" s="236" t="n"/>
    </row>
    <row r="167">
      <c r="A167" s="237" t="n"/>
      <c r="F167" s="236" t="n"/>
      <c r="G167" s="236" t="n"/>
      <c r="H167" s="236" t="n"/>
      <c r="I167" s="236" t="n"/>
    </row>
    <row r="168">
      <c r="A168" s="237" t="n"/>
      <c r="F168" s="236" t="n"/>
      <c r="G168" s="236" t="n"/>
      <c r="H168" s="236" t="n"/>
      <c r="I168" s="236" t="n"/>
    </row>
    <row r="169">
      <c r="A169" s="237" t="n"/>
      <c r="F169" s="236" t="n"/>
      <c r="G169" s="236" t="n"/>
      <c r="H169" s="236" t="n"/>
      <c r="I169" s="236" t="n"/>
    </row>
    <row r="170">
      <c r="A170" s="237" t="n"/>
      <c r="F170" s="236" t="n"/>
      <c r="G170" s="236" t="n"/>
      <c r="H170" s="236" t="n"/>
      <c r="I170" s="236" t="n"/>
    </row>
    <row r="171">
      <c r="A171" s="237" t="n"/>
      <c r="F171" s="236" t="n"/>
      <c r="G171" s="236" t="n"/>
      <c r="H171" s="236" t="n"/>
      <c r="I171" s="236" t="n"/>
    </row>
    <row r="172">
      <c r="A172" s="237" t="n"/>
      <c r="F172" s="236" t="n"/>
      <c r="G172" s="236" t="n"/>
      <c r="H172" s="236" t="n"/>
      <c r="I172" s="236" t="n"/>
    </row>
    <row r="173">
      <c r="A173" s="237" t="n"/>
      <c r="F173" s="236" t="n"/>
      <c r="G173" s="236" t="n"/>
      <c r="H173" s="236" t="n"/>
      <c r="I173" s="236" t="n"/>
    </row>
    <row r="174">
      <c r="A174" s="237" t="n"/>
      <c r="F174" s="236" t="n"/>
      <c r="G174" s="236" t="n"/>
      <c r="H174" s="236" t="n"/>
      <c r="I174" s="236" t="n"/>
    </row>
    <row r="175">
      <c r="A175" s="237" t="n"/>
      <c r="F175" s="236" t="n"/>
      <c r="G175" s="236" t="n"/>
      <c r="H175" s="236" t="n"/>
      <c r="I175" s="236" t="n"/>
    </row>
    <row r="176">
      <c r="A176" s="237" t="n"/>
      <c r="F176" s="236" t="n"/>
      <c r="G176" s="236" t="n"/>
      <c r="H176" s="236" t="n"/>
      <c r="I176" s="236" t="n"/>
    </row>
    <row r="177">
      <c r="A177" s="237" t="n"/>
      <c r="F177" s="236" t="n"/>
      <c r="G177" s="236" t="n"/>
      <c r="H177" s="236" t="n"/>
      <c r="I177" s="236" t="n"/>
    </row>
    <row r="178">
      <c r="A178" s="237" t="n"/>
      <c r="F178" s="236" t="n"/>
      <c r="G178" s="236" t="n"/>
      <c r="H178" s="236" t="n"/>
      <c r="I178" s="236" t="n"/>
    </row>
    <row r="179">
      <c r="A179" s="237" t="n"/>
      <c r="F179" s="236" t="n"/>
      <c r="G179" s="236" t="n"/>
      <c r="H179" s="236" t="n"/>
      <c r="I179" s="236" t="n"/>
    </row>
    <row r="180">
      <c r="A180" s="237" t="n"/>
      <c r="F180" s="236" t="n"/>
      <c r="G180" s="236" t="n"/>
      <c r="H180" s="236" t="n"/>
      <c r="I180" s="236" t="n"/>
    </row>
    <row r="181">
      <c r="A181" s="237" t="n"/>
      <c r="F181" s="236" t="n"/>
      <c r="G181" s="236" t="n"/>
      <c r="H181" s="236" t="n"/>
      <c r="I181" s="236" t="n"/>
    </row>
    <row r="182">
      <c r="A182" s="237" t="n"/>
      <c r="F182" s="236" t="n"/>
      <c r="G182" s="236" t="n"/>
      <c r="H182" s="236" t="n"/>
      <c r="I182" s="236" t="n"/>
    </row>
    <row r="183">
      <c r="A183" s="237" t="n"/>
      <c r="F183" s="236" t="n"/>
      <c r="G183" s="236" t="n"/>
      <c r="H183" s="236" t="n"/>
      <c r="I183" s="236" t="n"/>
    </row>
    <row r="184">
      <c r="A184" s="237" t="n"/>
      <c r="F184" s="236" t="n"/>
      <c r="G184" s="236" t="n"/>
      <c r="H184" s="236" t="n"/>
      <c r="I184" s="236" t="n"/>
    </row>
    <row r="185">
      <c r="A185" s="237" t="n"/>
      <c r="F185" s="236" t="n"/>
      <c r="G185" s="236" t="n"/>
      <c r="H185" s="236" t="n"/>
      <c r="I185" s="236" t="n"/>
    </row>
    <row r="186">
      <c r="A186" s="237" t="n"/>
      <c r="F186" s="236" t="n"/>
      <c r="G186" s="236" t="n"/>
      <c r="H186" s="236" t="n"/>
      <c r="I186" s="236" t="n"/>
    </row>
    <row r="187">
      <c r="A187" s="237" t="n"/>
      <c r="F187" s="236" t="n"/>
      <c r="G187" s="236" t="n"/>
      <c r="H187" s="236" t="n"/>
      <c r="I187" s="236" t="n"/>
    </row>
    <row r="188">
      <c r="A188" s="237" t="n"/>
      <c r="F188" s="236" t="n"/>
      <c r="G188" s="236" t="n"/>
      <c r="H188" s="236" t="n"/>
      <c r="I188" s="236" t="n"/>
    </row>
    <row r="189">
      <c r="A189" s="237" t="n"/>
      <c r="F189" s="236" t="n"/>
      <c r="G189" s="236" t="n"/>
      <c r="H189" s="236" t="n"/>
      <c r="I189" s="236" t="n"/>
    </row>
    <row r="190">
      <c r="A190" s="237" t="n"/>
      <c r="F190" s="236" t="n"/>
      <c r="G190" s="236" t="n"/>
      <c r="H190" s="236" t="n"/>
      <c r="I190" s="236" t="n"/>
    </row>
    <row r="191">
      <c r="A191" s="237" t="n"/>
      <c r="F191" s="236" t="n"/>
      <c r="G191" s="236" t="n"/>
      <c r="H191" s="236" t="n"/>
      <c r="I191" s="236" t="n"/>
    </row>
    <row r="192">
      <c r="A192" s="237" t="n"/>
      <c r="F192" s="236" t="n"/>
      <c r="G192" s="236" t="n"/>
      <c r="H192" s="236" t="n"/>
      <c r="I192" s="236" t="n"/>
    </row>
    <row r="193">
      <c r="A193" s="237" t="n"/>
      <c r="F193" s="236" t="n"/>
      <c r="G193" s="236" t="n"/>
      <c r="H193" s="236" t="n"/>
      <c r="I193" s="236" t="n"/>
    </row>
    <row r="194">
      <c r="A194" s="237" t="n"/>
      <c r="F194" s="236" t="n"/>
      <c r="G194" s="236" t="n"/>
      <c r="H194" s="236" t="n"/>
      <c r="I194" s="236" t="n"/>
    </row>
    <row r="195">
      <c r="A195" s="237" t="n"/>
      <c r="F195" s="236" t="n"/>
      <c r="G195" s="236" t="n"/>
      <c r="H195" s="236" t="n"/>
      <c r="I195" s="236" t="n"/>
    </row>
    <row r="196">
      <c r="A196" s="237" t="n"/>
      <c r="F196" s="236" t="n"/>
      <c r="G196" s="236" t="n"/>
      <c r="H196" s="236" t="n"/>
      <c r="I196" s="236" t="n"/>
    </row>
    <row r="197">
      <c r="A197" s="237" t="n"/>
      <c r="F197" s="236" t="n"/>
      <c r="G197" s="236" t="n"/>
      <c r="H197" s="236" t="n"/>
      <c r="I197" s="236" t="n"/>
    </row>
    <row r="198">
      <c r="A198" s="237" t="n"/>
      <c r="F198" s="236" t="n"/>
      <c r="G198" s="236" t="n"/>
      <c r="H198" s="236" t="n"/>
      <c r="I198" s="236" t="n"/>
    </row>
    <row r="199">
      <c r="A199" s="237" t="n"/>
      <c r="F199" s="236" t="n"/>
      <c r="G199" s="236" t="n"/>
      <c r="H199" s="236" t="n"/>
      <c r="I199" s="236" t="n"/>
    </row>
    <row r="200">
      <c r="A200" s="237" t="n"/>
      <c r="F200" s="236" t="n"/>
      <c r="G200" s="236" t="n"/>
      <c r="H200" s="236" t="n"/>
      <c r="I200" s="236" t="n"/>
    </row>
    <row r="201">
      <c r="A201" s="237" t="n"/>
      <c r="F201" s="236" t="n"/>
      <c r="G201" s="236" t="n"/>
      <c r="H201" s="236" t="n"/>
      <c r="I201" s="236" t="n"/>
    </row>
    <row r="202">
      <c r="A202" s="237" t="n"/>
      <c r="F202" s="236" t="n"/>
      <c r="G202" s="236" t="n"/>
      <c r="H202" s="236" t="n"/>
      <c r="I202" s="236" t="n"/>
    </row>
    <row r="203">
      <c r="A203" s="237" t="n"/>
      <c r="F203" s="236" t="n"/>
      <c r="G203" s="236" t="n"/>
      <c r="H203" s="236" t="n"/>
      <c r="I203" s="236" t="n"/>
    </row>
    <row r="204">
      <c r="A204" s="237" t="n"/>
      <c r="F204" s="236" t="n"/>
      <c r="G204" s="236" t="n"/>
      <c r="H204" s="236" t="n"/>
      <c r="I204" s="236" t="n"/>
    </row>
    <row r="205">
      <c r="A205" s="237" t="n"/>
      <c r="F205" s="236" t="n"/>
      <c r="G205" s="236" t="n"/>
      <c r="H205" s="236" t="n"/>
      <c r="I205" s="236" t="n"/>
    </row>
    <row r="206">
      <c r="A206" s="237" t="n"/>
      <c r="F206" s="236" t="n"/>
      <c r="G206" s="236" t="n"/>
      <c r="H206" s="236" t="n"/>
      <c r="I206" s="236" t="n"/>
    </row>
    <row r="207">
      <c r="A207" s="237" t="n"/>
      <c r="F207" s="236" t="n"/>
      <c r="G207" s="236" t="n"/>
      <c r="H207" s="236" t="n"/>
      <c r="I207" s="236" t="n"/>
    </row>
    <row r="208">
      <c r="A208" s="237" t="n"/>
      <c r="F208" s="236" t="n"/>
      <c r="G208" s="236" t="n"/>
      <c r="H208" s="236" t="n"/>
      <c r="I208" s="236" t="n"/>
    </row>
    <row r="209">
      <c r="A209" s="237" t="n"/>
      <c r="F209" s="236" t="n"/>
      <c r="G209" s="236" t="n"/>
      <c r="H209" s="236" t="n"/>
      <c r="I209" s="236" t="n"/>
    </row>
    <row r="210">
      <c r="A210" s="237" t="n"/>
      <c r="F210" s="236" t="n"/>
      <c r="G210" s="236" t="n"/>
      <c r="H210" s="236" t="n"/>
      <c r="I210" s="236" t="n"/>
    </row>
    <row r="211">
      <c r="A211" s="237" t="n"/>
      <c r="F211" s="236" t="n"/>
      <c r="G211" s="236" t="n"/>
      <c r="H211" s="236" t="n"/>
      <c r="I211" s="236" t="n"/>
    </row>
    <row r="212">
      <c r="A212" s="237" t="n"/>
      <c r="F212" s="236" t="n"/>
      <c r="G212" s="236" t="n"/>
      <c r="H212" s="236" t="n"/>
      <c r="I212" s="236" t="n"/>
    </row>
    <row r="213">
      <c r="A213" s="237" t="n"/>
      <c r="F213" s="236" t="n"/>
      <c r="G213" s="236" t="n"/>
      <c r="H213" s="236" t="n"/>
      <c r="I213" s="236" t="n"/>
    </row>
    <row r="214">
      <c r="A214" s="237" t="n"/>
      <c r="F214" s="236" t="n"/>
      <c r="G214" s="236" t="n"/>
      <c r="H214" s="236" t="n"/>
      <c r="I214" s="236" t="n"/>
    </row>
    <row r="215">
      <c r="A215" s="237" t="n"/>
      <c r="F215" s="236" t="n"/>
      <c r="G215" s="236" t="n"/>
      <c r="H215" s="236" t="n"/>
      <c r="I215" s="236" t="n"/>
    </row>
    <row r="216">
      <c r="A216" s="237" t="n"/>
      <c r="F216" s="236" t="n"/>
      <c r="G216" s="236" t="n"/>
      <c r="H216" s="236" t="n"/>
      <c r="I216" s="236" t="n"/>
    </row>
    <row r="217">
      <c r="A217" s="237" t="n"/>
      <c r="F217" s="236" t="n"/>
      <c r="G217" s="236" t="n"/>
      <c r="H217" s="236" t="n"/>
      <c r="I217" s="236" t="n"/>
    </row>
    <row r="218">
      <c r="A218" s="237" t="n"/>
      <c r="F218" s="236" t="n"/>
      <c r="G218" s="236" t="n"/>
      <c r="H218" s="236" t="n"/>
      <c r="I218" s="236" t="n"/>
    </row>
    <row r="219">
      <c r="A219" s="237" t="n"/>
      <c r="F219" s="236" t="n"/>
      <c r="G219" s="236" t="n"/>
      <c r="H219" s="236" t="n"/>
      <c r="I219" s="236" t="n"/>
    </row>
    <row r="220">
      <c r="A220" s="237" t="n"/>
      <c r="F220" s="236" t="n"/>
      <c r="G220" s="236" t="n"/>
      <c r="H220" s="236" t="n"/>
      <c r="I220" s="236" t="n"/>
    </row>
    <row r="221">
      <c r="A221" s="237" t="n"/>
      <c r="F221" s="236" t="n"/>
      <c r="G221" s="236" t="n"/>
      <c r="H221" s="236" t="n"/>
      <c r="I221" s="236" t="n"/>
    </row>
    <row r="222">
      <c r="A222" s="237" t="n"/>
      <c r="F222" s="236" t="n"/>
      <c r="G222" s="236" t="n"/>
      <c r="H222" s="236" t="n"/>
      <c r="I222" s="236" t="n"/>
    </row>
    <row r="223">
      <c r="A223" s="237" t="n"/>
      <c r="F223" s="236" t="n"/>
      <c r="G223" s="236" t="n"/>
      <c r="H223" s="236" t="n"/>
      <c r="I223" s="236" t="n"/>
    </row>
    <row r="224">
      <c r="A224" s="237" t="n"/>
      <c r="F224" s="236" t="n"/>
      <c r="G224" s="236" t="n"/>
      <c r="H224" s="236" t="n"/>
      <c r="I224" s="236" t="n"/>
    </row>
    <row r="225">
      <c r="A225" s="237" t="n"/>
      <c r="F225" s="236" t="n"/>
      <c r="G225" s="236" t="n"/>
      <c r="H225" s="236" t="n"/>
      <c r="I225" s="236" t="n"/>
    </row>
    <row r="226">
      <c r="A226" s="237" t="n"/>
      <c r="F226" s="236" t="n"/>
      <c r="G226" s="236" t="n"/>
      <c r="H226" s="236" t="n"/>
      <c r="I226" s="236" t="n"/>
    </row>
    <row r="227">
      <c r="A227" s="237" t="n"/>
      <c r="F227" s="236" t="n"/>
      <c r="G227" s="236" t="n"/>
      <c r="H227" s="236" t="n"/>
      <c r="I227" s="236" t="n"/>
    </row>
    <row r="228">
      <c r="A228" s="237" t="n"/>
      <c r="F228" s="236" t="n"/>
      <c r="G228" s="236" t="n"/>
      <c r="H228" s="236" t="n"/>
      <c r="I228" s="236" t="n"/>
    </row>
    <row r="229">
      <c r="A229" s="237" t="n"/>
      <c r="F229" s="236" t="n"/>
      <c r="G229" s="236" t="n"/>
      <c r="H229" s="236" t="n"/>
      <c r="I229" s="236" t="n"/>
    </row>
    <row r="230">
      <c r="A230" s="237" t="n"/>
      <c r="F230" s="236" t="n"/>
      <c r="G230" s="236" t="n"/>
      <c r="H230" s="236" t="n"/>
      <c r="I230" s="236" t="n"/>
    </row>
    <row r="231">
      <c r="A231" s="237" t="n"/>
      <c r="F231" s="236" t="n"/>
      <c r="G231" s="236" t="n"/>
      <c r="H231" s="236" t="n"/>
      <c r="I231" s="236" t="n"/>
    </row>
    <row r="232">
      <c r="A232" s="237" t="n"/>
      <c r="F232" s="236" t="n"/>
      <c r="G232" s="236" t="n"/>
      <c r="H232" s="236" t="n"/>
      <c r="I232" s="236" t="n"/>
    </row>
    <row r="233">
      <c r="A233" s="237" t="n"/>
      <c r="F233" s="236" t="n"/>
      <c r="G233" s="236" t="n"/>
      <c r="H233" s="236" t="n"/>
      <c r="I233" s="236" t="n"/>
    </row>
    <row r="234">
      <c r="A234" s="237" t="n"/>
      <c r="F234" s="236" t="n"/>
      <c r="G234" s="236" t="n"/>
      <c r="H234" s="236" t="n"/>
      <c r="I234" s="236" t="n"/>
    </row>
    <row r="235">
      <c r="A235" s="237" t="n"/>
      <c r="F235" s="236" t="n"/>
      <c r="G235" s="236" t="n"/>
      <c r="H235" s="236" t="n"/>
      <c r="I235" s="236" t="n"/>
    </row>
    <row r="236">
      <c r="A236" s="237" t="n"/>
      <c r="F236" s="236" t="n"/>
      <c r="G236" s="236" t="n"/>
      <c r="H236" s="236" t="n"/>
      <c r="I236" s="236" t="n"/>
    </row>
    <row r="237">
      <c r="A237" s="237" t="n"/>
      <c r="F237" s="236" t="n"/>
      <c r="G237" s="236" t="n"/>
      <c r="H237" s="236" t="n"/>
      <c r="I237" s="236" t="n"/>
    </row>
    <row r="238">
      <c r="A238" s="237" t="n"/>
      <c r="F238" s="236" t="n"/>
      <c r="G238" s="236" t="n"/>
      <c r="H238" s="236" t="n"/>
      <c r="I238" s="236" t="n"/>
    </row>
    <row r="239">
      <c r="A239" s="237" t="n"/>
      <c r="F239" s="236" t="n"/>
      <c r="G239" s="236" t="n"/>
      <c r="H239" s="236" t="n"/>
      <c r="I239" s="236" t="n"/>
    </row>
    <row r="240">
      <c r="A240" s="237" t="n"/>
      <c r="F240" s="236" t="n"/>
      <c r="G240" s="236" t="n"/>
      <c r="H240" s="236" t="n"/>
      <c r="I240" s="236" t="n"/>
    </row>
    <row r="241">
      <c r="F241" s="236" t="n"/>
      <c r="G241" s="236" t="n"/>
      <c r="H241" s="236" t="n"/>
      <c r="I241" s="23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rgb="002E7D3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hidden="1" width="12" customWidth="1" style="76" min="2" max="2"/>
    <col hidden="1" width="10" customWidth="1" style="76" min="3" max="3"/>
    <col width="28" customWidth="1" style="77" min="4" max="4"/>
    <col width="12" customWidth="1" style="77" min="5" max="5"/>
    <col hidden="1" width="10" customWidth="1" style="76" min="6" max="6"/>
    <col width="35" customWidth="1" style="77" min="7" max="7"/>
    <col width="14" customWidth="1" style="61" min="8" max="8"/>
    <col width="12" customWidth="1" style="78" min="9" max="9"/>
    <col width="12" customWidth="1" style="76" min="10" max="10"/>
    <col width="12" customWidth="1" style="77" min="11" max="11"/>
    <col hidden="1" width="12" customWidth="1" style="79" min="12" max="15"/>
    <col hidden="1" width="30" customWidth="1" min="13" max="13"/>
    <col hidden="1" width="16" customWidth="1" min="14" max="14"/>
    <col hidden="1" width="32" customWidth="1" min="15" max="15"/>
    <col hidden="1" width="9" customWidth="1" style="60" min="16" max="16"/>
    <col hidden="1" width="35" customWidth="1" style="60" min="17" max="17"/>
    <col hidden="1" width="40" customWidth="1" style="60" min="18" max="18"/>
    <col width="9.140625" customWidth="1" style="60" min="19" max="16384"/>
  </cols>
  <sheetData>
    <row r="1" ht="24" customHeight="1">
      <c r="A1" s="552" t="inlineStr">
        <is>
          <t>Invullen groen — Begrotingswijziging</t>
        </is>
      </c>
      <c r="B1" s="484" t="n"/>
      <c r="C1" s="484" t="n"/>
      <c r="D1" s="484" t="n"/>
      <c r="E1" s="484" t="n"/>
      <c r="F1" s="484" t="n"/>
      <c r="G1" s="484" t="n"/>
      <c r="H1" s="484" t="n"/>
      <c r="I1" s="484" t="n"/>
      <c r="J1" s="484" t="n"/>
      <c r="K1" s="484" t="n"/>
      <c r="L1" s="484" t="n"/>
      <c r="M1" s="484" t="n"/>
      <c r="N1" s="484" t="n"/>
      <c r="O1" s="484" t="n"/>
      <c r="P1" s="484" t="n"/>
    </row>
    <row r="2" ht="18" customHeight="1">
      <c r="A2" s="553">
        <f>A4</f>
        <v/>
      </c>
      <c r="B2" s="554" t="n"/>
      <c r="C2" s="485" t="n"/>
      <c r="D2" s="485" t="n"/>
      <c r="E2" s="485" t="n"/>
      <c r="F2" s="485" t="n"/>
      <c r="G2" s="485" t="n"/>
      <c r="H2" s="485" t="n"/>
      <c r="I2" s="485" t="n"/>
      <c r="J2" s="485" t="n"/>
      <c r="K2" s="485" t="n"/>
      <c r="L2" s="485">
        <f>IFERROR('Invullen groen'!L4,"")</f>
        <v/>
      </c>
      <c r="M2" s="485" t="n"/>
      <c r="N2" s="485" t="n"/>
      <c r="O2" s="485" t="n"/>
      <c r="P2" s="485" t="n"/>
    </row>
    <row r="3" ht="14" customHeight="1">
      <c r="A3" s="555" t="n"/>
      <c r="B3" s="556" t="n"/>
      <c r="C3" s="555" t="n"/>
      <c r="D3" s="555" t="n"/>
      <c r="E3" s="555" t="n"/>
      <c r="F3" s="555" t="n"/>
      <c r="G3" s="555" t="n"/>
      <c r="H3" s="555" t="n"/>
      <c r="I3" s="555" t="n"/>
      <c r="J3" s="555" t="n"/>
      <c r="K3" s="555" t="n"/>
      <c r="L3" s="557" t="n"/>
      <c r="M3" s="558" t="n"/>
      <c r="N3" s="555" t="n"/>
      <c r="O3" s="555" t="n"/>
      <c r="P3" s="557" t="n"/>
    </row>
    <row r="4" ht="22" customHeight="1">
      <c r="A4" s="559" t="inlineStr">
        <is>
          <t>Begrotingswijziging 2026</t>
        </is>
      </c>
      <c r="B4" s="559" t="n"/>
      <c r="C4" s="559" t="n"/>
      <c r="D4" s="559" t="n"/>
      <c r="E4" s="559" t="n"/>
      <c r="F4" s="559" t="n"/>
      <c r="G4" s="644" t="inlineStr">
        <is>
          <t>Nummer wijziging:</t>
        </is>
      </c>
      <c r="H4" s="645" t="n"/>
      <c r="I4" s="559" t="n"/>
      <c r="J4" s="559" t="n"/>
      <c r="K4" s="559" t="n"/>
      <c r="L4" s="460" t="n"/>
      <c r="M4" s="560" t="n"/>
      <c r="N4" s="559" t="n"/>
      <c r="O4" s="559" t="n"/>
      <c r="P4" s="460" t="n"/>
    </row>
    <row r="5" ht="16" customHeight="1">
      <c r="A5" s="561" t="inlineStr">
        <is>
          <t>Omschrijving wijziging:</t>
        </is>
      </c>
      <c r="B5" s="562" t="n"/>
      <c r="C5" s="562" t="n"/>
      <c r="D5" s="562" t="n"/>
      <c r="E5" s="562" t="n"/>
      <c r="F5" s="562" t="n"/>
      <c r="G5" s="562" t="n"/>
      <c r="H5" s="564" t="n"/>
      <c r="I5" s="562" t="n"/>
      <c r="J5" s="562" t="n"/>
      <c r="K5" s="562" t="n"/>
      <c r="L5" s="508" t="n"/>
      <c r="M5" s="563" t="n"/>
      <c r="N5" s="562" t="n"/>
      <c r="O5" s="562" t="n"/>
      <c r="P5" s="508" t="n"/>
    </row>
    <row r="6" ht="16" customHeight="1">
      <c r="A6" s="561" t="inlineStr">
        <is>
          <t>Programma / afdeling:</t>
        </is>
      </c>
      <c r="B6" s="564" t="n"/>
      <c r="C6" s="565" t="n"/>
      <c r="D6" s="565" t="n"/>
      <c r="E6" s="561" t="n"/>
      <c r="F6" s="562" t="n"/>
      <c r="G6" s="561" t="inlineStr">
        <is>
          <t>Corsanummer wijziging:</t>
        </is>
      </c>
      <c r="H6" s="565" t="n"/>
      <c r="I6" s="562" t="n"/>
      <c r="J6" s="562" t="n"/>
      <c r="K6" s="562" t="n"/>
      <c r="L6" s="508" t="n"/>
      <c r="M6" s="567" t="n"/>
      <c r="N6" s="561" t="n"/>
      <c r="O6" s="561" t="n"/>
      <c r="P6" s="508" t="n"/>
      <c r="Q6" s="96" t="inlineStr">
        <is>
          <t>Controle budgettair neutrale categorieen</t>
        </is>
      </c>
      <c r="R6" s="96" t="n"/>
      <c r="S6" s="96" t="n"/>
      <c r="T6" s="97" t="n"/>
    </row>
    <row r="7" ht="16" customHeight="1">
      <c r="A7" s="561" t="inlineStr">
        <is>
          <t>Corsanummer wijziging:</t>
        </is>
      </c>
      <c r="B7" s="564" t="n"/>
      <c r="C7" s="564" t="n"/>
      <c r="D7" s="564" t="n"/>
      <c r="E7" s="562" t="n"/>
      <c r="F7" s="562" t="n"/>
      <c r="G7" s="561" t="inlineStr">
        <is>
          <t>Corsanummer raadsvoorstel:</t>
        </is>
      </c>
      <c r="H7" s="565" t="n"/>
      <c r="I7" s="562" t="n"/>
      <c r="J7" s="562" t="n"/>
      <c r="K7" s="562" t="n"/>
      <c r="L7" s="508" t="n"/>
      <c r="M7" s="563" t="n"/>
      <c r="N7" s="562" t="n"/>
      <c r="O7" s="562" t="n"/>
      <c r="P7" s="508" t="n"/>
    </row>
    <row r="8" ht="16" customHeight="1">
      <c r="A8" s="561" t="inlineStr">
        <is>
          <t>Corsanummer raadsvoorstel:</t>
        </is>
      </c>
      <c r="B8" s="564" t="n"/>
      <c r="C8" s="564" t="n"/>
      <c r="D8" s="564" t="n"/>
      <c r="E8" s="562" t="n"/>
      <c r="F8" s="562" t="n"/>
      <c r="G8" s="562" t="n"/>
      <c r="H8" s="562" t="n"/>
      <c r="I8" s="562" t="n"/>
      <c r="J8" s="562" t="n"/>
      <c r="K8" s="562" t="n"/>
      <c r="L8" s="508" t="n"/>
      <c r="M8" s="563" t="n"/>
      <c r="N8" s="562" t="n"/>
      <c r="O8" s="562" t="n"/>
      <c r="P8" s="508" t="n"/>
      <c r="Q8" s="89" t="inlineStr">
        <is>
          <t>Nummer wijziging:</t>
        </is>
      </c>
      <c r="R8" s="98" t="n"/>
      <c r="S8" s="83" t="n"/>
      <c r="T8" s="99" t="n"/>
    </row>
    <row r="9" ht="16" customHeight="1">
      <c r="A9" s="561" t="inlineStr">
        <is>
          <t>Nummer wijziging:</t>
        </is>
      </c>
      <c r="B9" s="564" t="n"/>
      <c r="C9" s="562" t="n"/>
      <c r="D9" s="562" t="n"/>
      <c r="E9" s="562" t="n"/>
      <c r="F9" s="562" t="n"/>
      <c r="G9" s="562" t="n"/>
      <c r="H9" s="562" t="n"/>
      <c r="I9" s="562" t="n"/>
      <c r="J9" s="562" t="n"/>
      <c r="K9" s="562" t="n"/>
      <c r="L9" s="508" t="n"/>
      <c r="M9" s="563" t="n"/>
      <c r="N9" s="562" t="n"/>
      <c r="O9" s="562" t="n"/>
      <c r="P9" s="508" t="n"/>
    </row>
    <row r="10" ht="16" customHeight="1">
      <c r="A10" s="562" t="n"/>
      <c r="B10" s="562" t="n"/>
      <c r="C10" s="562" t="n"/>
      <c r="D10" s="562" t="n"/>
      <c r="E10" s="562" t="n"/>
      <c r="F10" s="562" t="n"/>
      <c r="G10" s="562" t="n"/>
      <c r="H10" s="562" t="n"/>
      <c r="I10" s="562" t="n"/>
      <c r="J10" s="562" t="n"/>
      <c r="K10" s="562" t="n"/>
      <c r="L10" s="508" t="n"/>
      <c r="M10" s="563" t="n"/>
      <c r="N10" s="562" t="n"/>
      <c r="O10" s="562" t="n"/>
      <c r="P10" s="508" t="n"/>
    </row>
    <row r="11" ht="18" customHeight="1">
      <c r="A11" s="561" t="inlineStr">
        <is>
          <t>Mutaties in de inkomsten en uitgaven (raming van baten en lasten)</t>
        </is>
      </c>
      <c r="B11" s="561" t="n"/>
      <c r="C11" s="561" t="n"/>
      <c r="D11" s="561" t="n"/>
      <c r="E11" s="561" t="n"/>
      <c r="F11" s="561" t="n"/>
      <c r="G11" s="561" t="n"/>
      <c r="H11" s="569" t="inlineStr">
        <is>
          <t>-/- = baten</t>
        </is>
      </c>
      <c r="I11" s="561" t="n"/>
      <c r="J11" s="561" t="n"/>
      <c r="K11" s="561" t="n"/>
      <c r="L11" s="568" t="n"/>
      <c r="M11" s="567" t="n"/>
      <c r="N11" s="561" t="n"/>
      <c r="O11" s="561" t="n"/>
      <c r="P11" s="568" t="n"/>
    </row>
    <row r="12" ht="6" customHeight="1">
      <c r="A12" s="570" t="n"/>
      <c r="B12" s="571" t="n"/>
      <c r="C12" s="571" t="n"/>
      <c r="D12" s="570" t="n"/>
      <c r="E12" s="570" t="n"/>
      <c r="F12" s="571" t="n"/>
      <c r="G12" s="570" t="n"/>
      <c r="H12" s="573" t="n"/>
      <c r="I12" s="573" t="n"/>
      <c r="J12" s="573" t="n"/>
      <c r="K12" s="574" t="n"/>
      <c r="L12" s="464" t="n"/>
      <c r="M12" s="572" t="n"/>
      <c r="N12" s="571" t="n"/>
      <c r="O12" s="570" t="n"/>
      <c r="P12" s="464" t="n"/>
    </row>
    <row r="13" ht="20" customFormat="1" customHeight="1" s="98">
      <c r="A13" s="575" t="inlineStr">
        <is>
          <t>Programma</t>
        </is>
      </c>
      <c r="B13" s="576" t="inlineStr">
        <is>
          <t>Nr.hoofd-
taakveld</t>
        </is>
      </c>
      <c r="C13" s="576" t="inlineStr">
        <is>
          <t>Nr.
taakveld</t>
        </is>
      </c>
      <c r="D13" s="576" t="inlineStr">
        <is>
          <t>Omschrijving taakveld</t>
        </is>
      </c>
      <c r="E13" s="577" t="inlineStr">
        <is>
          <t>Nr grootboek</t>
        </is>
      </c>
      <c r="F13" s="576" t="inlineStr">
        <is>
          <t>Bgr w</t>
        </is>
      </c>
      <c r="G13" s="576" t="inlineStr">
        <is>
          <t>Omschrijving grootboek</t>
        </is>
      </c>
      <c r="H13" s="576" t="inlineStr">
        <is>
          <t>Bgr 2026</t>
        </is>
      </c>
      <c r="I13" s="576" t="inlineStr">
        <is>
          <t>MJR 2027</t>
        </is>
      </c>
      <c r="J13" s="576" t="inlineStr">
        <is>
          <t>MJR 2028</t>
        </is>
      </c>
      <c r="K13" s="576" t="inlineStr">
        <is>
          <t>MJR 2029</t>
        </is>
      </c>
      <c r="L13" s="578" t="inlineStr">
        <is>
          <t>Nr kosten-
cat</t>
        </is>
      </c>
      <c r="M13" s="579" t="inlineStr">
        <is>
          <t>Omschr.
kostencat.</t>
        </is>
      </c>
      <c r="N13" s="576" t="inlineStr">
        <is>
          <t>Nr verbijz.</t>
        </is>
      </c>
      <c r="O13" s="576" t="inlineStr">
        <is>
          <t>Omschr.
verbijz.</t>
        </is>
      </c>
      <c r="P13" s="580" t="n"/>
      <c r="Q13" s="106" t="inlineStr">
        <is>
          <t>Lasten</t>
        </is>
      </c>
      <c r="R13" s="106" t="inlineStr">
        <is>
          <t>Baten</t>
        </is>
      </c>
    </row>
    <row r="14" ht="20" customFormat="1" customHeight="1" s="98">
      <c r="A14" s="576" t="n"/>
      <c r="B14" s="576" t="n"/>
      <c r="C14" s="576" t="n"/>
      <c r="D14" s="576" t="n"/>
      <c r="E14" s="577" t="n"/>
      <c r="F14" s="581" t="n"/>
      <c r="G14" s="582" t="n"/>
      <c r="H14" s="576" t="inlineStr">
        <is>
          <t>jaar 2026</t>
        </is>
      </c>
      <c r="I14" s="576" t="inlineStr">
        <is>
          <t>jaar 2027</t>
        </is>
      </c>
      <c r="J14" s="576" t="inlineStr">
        <is>
          <t>jaar 2028</t>
        </is>
      </c>
      <c r="K14" s="576" t="inlineStr">
        <is>
          <t>jaar 2029</t>
        </is>
      </c>
      <c r="L14" s="578" t="inlineStr">
        <is>
          <t>Cat</t>
        </is>
      </c>
      <c r="M14" s="579" t="n"/>
      <c r="N14" s="581" t="inlineStr">
        <is>
          <t>bijzondering</t>
        </is>
      </c>
      <c r="O14" s="581" t="inlineStr">
        <is>
          <t>verbijzondering</t>
        </is>
      </c>
      <c r="P14" s="580" t="n"/>
      <c r="Q14" s="106" t="inlineStr">
        <is>
          <t>47100 / 47200</t>
        </is>
      </c>
      <c r="R14" s="106" t="inlineStr">
        <is>
          <t>87100 / 87201</t>
        </is>
      </c>
    </row>
    <row r="15" ht="20" customHeight="1">
      <c r="A15" s="575" t="n"/>
      <c r="B15" s="576" t="n"/>
      <c r="C15" s="576" t="n"/>
      <c r="D15" s="576" t="n"/>
      <c r="E15" s="576" t="n"/>
      <c r="F15" s="581" t="n"/>
      <c r="G15" s="582" t="n"/>
      <c r="H15" s="576" t="n"/>
      <c r="I15" s="576" t="n"/>
      <c r="J15" s="576" t="n"/>
      <c r="K15" s="576" t="n"/>
      <c r="L15" s="583" t="n"/>
      <c r="M15" s="579" t="n"/>
      <c r="N15" s="581" t="n"/>
      <c r="O15" s="581" t="n"/>
      <c r="P15" s="580" t="n"/>
      <c r="Q15" s="117" t="inlineStr">
        <is>
          <t>47201 / 47500</t>
        </is>
      </c>
      <c r="R15" s="117" t="inlineStr">
        <is>
          <t>87201 / 87500</t>
        </is>
      </c>
    </row>
    <row r="16" ht="18" customHeight="1">
      <c r="A16" s="646" t="inlineStr">
        <is>
          <t>A. Uitgaven en inkomsten</t>
        </is>
      </c>
      <c r="B16" s="646" t="n"/>
      <c r="C16" s="646" t="n"/>
      <c r="D16" s="646" t="n"/>
      <c r="E16" s="646" t="n"/>
      <c r="F16" s="647" t="n"/>
      <c r="G16" s="648" t="n"/>
      <c r="H16" s="646" t="n"/>
      <c r="I16" s="646" t="n"/>
      <c r="J16" s="646" t="n"/>
      <c r="K16" s="646" t="n"/>
      <c r="L16" s="649" t="n"/>
      <c r="M16" s="650" t="n"/>
      <c r="N16" s="647" t="n"/>
      <c r="O16" s="647" t="n"/>
      <c r="P16" s="592" t="n"/>
      <c r="Q16" s="448" t="inlineStr">
        <is>
          <t>→ alleen directe lasten en baten; reserves/voorzieningen in sectie B</t>
        </is>
      </c>
      <c r="R16" s="448" t="n"/>
      <c r="S16" s="338" t="n"/>
      <c r="T16" s="338" t="n"/>
    </row>
    <row r="17" ht="15" customHeight="1">
      <c r="A17" s="651">
        <f>IFERROR(VLOOKUP(E17,Tabellen!A:F,4),0)</f>
        <v/>
      </c>
      <c r="B17" s="651" t="n"/>
      <c r="C17" s="651">
        <f>IFERROR(VLOOKUP(E17,Tabellen!A:F,5),0)</f>
        <v/>
      </c>
      <c r="D17" s="651">
        <f>IFERROR(VLOOKUP(E17,Tabellen!A:F,6),0)</f>
        <v/>
      </c>
      <c r="E17" s="652" t="n"/>
      <c r="F17" s="653" t="n"/>
      <c r="G17" s="654">
        <f>IFERROR(VLOOKUP(E17,Tabellen!A:F,2),0)</f>
        <v/>
      </c>
      <c r="H17" s="599" t="n"/>
      <c r="I17" s="599" t="n"/>
      <c r="J17" s="599" t="n"/>
      <c r="K17" s="599" t="n"/>
      <c r="L17" s="655">
        <f>IFERROR(VLOOKUP(E17,Tabellen!A:H,8),0)</f>
        <v/>
      </c>
      <c r="M17" s="656" t="n"/>
      <c r="N17" s="653" t="n"/>
      <c r="O17" s="653" t="n"/>
      <c r="P17" s="526" t="n"/>
      <c r="Q17" s="119" t="n"/>
      <c r="R17" s="119" t="n"/>
    </row>
    <row r="18" ht="15" customHeight="1">
      <c r="A18" s="657">
        <f>IFERROR(VLOOKUP(E18,Tabellen!A:F,4),0)</f>
        <v/>
      </c>
      <c r="B18" s="657" t="n"/>
      <c r="C18" s="657">
        <f>IFERROR(VLOOKUP(E18,Tabellen!A:F,5),0)</f>
        <v/>
      </c>
      <c r="D18" s="657">
        <f>IFERROR(VLOOKUP(E18,Tabellen!A:F,6),0)</f>
        <v/>
      </c>
      <c r="E18" s="652" t="n"/>
      <c r="F18" s="658">
        <f>IF(E18&gt;0,$H$4,0)</f>
        <v/>
      </c>
      <c r="G18" s="657">
        <f>IFERROR(VLOOKUP(E18,Tabellen!A:F,2),0)</f>
        <v/>
      </c>
      <c r="H18" s="599" t="n"/>
      <c r="I18" s="599" t="n"/>
      <c r="J18" s="599" t="n"/>
      <c r="K18" s="599" t="n"/>
      <c r="L18" s="659">
        <f>IFERROR(VLOOKUP(E18,Tabellen!A:H,8),0)</f>
        <v/>
      </c>
      <c r="M18" s="660">
        <f>IFERROR(VLOOKUP(L18,Tabellen!H:I,2),0)</f>
        <v/>
      </c>
      <c r="N18" s="661" t="n"/>
      <c r="O18" s="661" t="n"/>
      <c r="P18" s="508" t="n"/>
      <c r="Q18" s="119">
        <f>IF(OR(L18=47201,L18=47100,L18=47200,L18=47500),H18,0)</f>
        <v/>
      </c>
      <c r="R18" s="119">
        <f>IF(OR(L18=87201,L18=87100,L18=87200,L18=87500),H18,0)</f>
        <v/>
      </c>
    </row>
    <row r="19" ht="15" customHeight="1">
      <c r="A19" s="662">
        <f>IFERROR(VLOOKUP(E19,Tabellen!A:F,4),0)</f>
        <v/>
      </c>
      <c r="B19" s="662" t="n"/>
      <c r="C19" s="662">
        <f>IFERROR(VLOOKUP(E19,Tabellen!A:F,5),0)</f>
        <v/>
      </c>
      <c r="D19" s="662">
        <f>IFERROR(VLOOKUP(E19,Tabellen!A:F,6),0)</f>
        <v/>
      </c>
      <c r="E19" s="652" t="n"/>
      <c r="F19" s="663">
        <f>IF(E19&gt;0,$H$4,0)</f>
        <v/>
      </c>
      <c r="G19" s="662">
        <f>IFERROR(VLOOKUP(E19,Tabellen!A:F,2),0)</f>
        <v/>
      </c>
      <c r="H19" s="599" t="n"/>
      <c r="I19" s="599" t="n"/>
      <c r="J19" s="599" t="n"/>
      <c r="K19" s="599" t="n"/>
      <c r="L19" s="655">
        <f>IFERROR(VLOOKUP(E19,Tabellen!A:H,8),0)</f>
        <v/>
      </c>
      <c r="M19" s="664">
        <f>IFERROR(VLOOKUP(L19,Tabellen!H:I,2),0)</f>
        <v/>
      </c>
      <c r="N19" s="653" t="n"/>
      <c r="O19" s="653" t="n"/>
      <c r="P19" s="526" t="n"/>
      <c r="Q19" s="119">
        <f>IF(OR(L19=47201,L19=47100,L19=47200,L19=47500),H19,0)</f>
        <v/>
      </c>
      <c r="R19" s="119">
        <f>IF(OR(L19=87201,L19=87100,L19=87200,L19=87500),H19,0)</f>
        <v/>
      </c>
    </row>
    <row r="20" ht="15" customHeight="1">
      <c r="A20" s="657">
        <f>IFERROR(VLOOKUP(E20,Tabellen!A:F,4),0)</f>
        <v/>
      </c>
      <c r="B20" s="657" t="n"/>
      <c r="C20" s="657">
        <f>IFERROR(VLOOKUP(E20,Tabellen!A:F,5),0)</f>
        <v/>
      </c>
      <c r="D20" s="657">
        <f>IFERROR(VLOOKUP(E20,Tabellen!A:F,6),0)</f>
        <v/>
      </c>
      <c r="E20" s="652" t="n"/>
      <c r="F20" s="658">
        <f>IF(E20&gt;0,$H$4,0)</f>
        <v/>
      </c>
      <c r="G20" s="657">
        <f>IFERROR(VLOOKUP(E20,Tabellen!A:F,2),0)</f>
        <v/>
      </c>
      <c r="H20" s="599" t="n"/>
      <c r="I20" s="599" t="n"/>
      <c r="J20" s="599" t="n"/>
      <c r="K20" s="599" t="n"/>
      <c r="L20" s="659">
        <f>IFERROR(VLOOKUP(E20,Tabellen!A:H,8),0)</f>
        <v/>
      </c>
      <c r="M20" s="660">
        <f>IFERROR(VLOOKUP(L20,Tabellen!H:I,2),0)</f>
        <v/>
      </c>
      <c r="N20" s="661" t="n"/>
      <c r="O20" s="661" t="n"/>
      <c r="P20" s="508" t="n"/>
      <c r="Q20" s="119">
        <f>IF(OR(L20=47201,L20=47100,L20=47200,L20=47500),H20,0)</f>
        <v/>
      </c>
      <c r="R20" s="119">
        <f>IF(OR(L20=87201,L20=87100,L20=87200,L20=87500),H20,0)</f>
        <v/>
      </c>
    </row>
    <row r="21" ht="15" customHeight="1">
      <c r="A21" s="662">
        <f>IFERROR(VLOOKUP(E21,Tabellen!A:F,4),0)</f>
        <v/>
      </c>
      <c r="B21" s="662" t="n"/>
      <c r="C21" s="662">
        <f>IFERROR(VLOOKUP(E21,Tabellen!A:F,5),0)</f>
        <v/>
      </c>
      <c r="D21" s="662">
        <f>IFERROR(VLOOKUP(E21,Tabellen!A:F,6),0)</f>
        <v/>
      </c>
      <c r="E21" s="652" t="n"/>
      <c r="F21" s="663">
        <f>IF(E21&gt;0,$H$4,0)</f>
        <v/>
      </c>
      <c r="G21" s="662">
        <f>IFERROR(VLOOKUP(E21,Tabellen!A:F,2),0)</f>
        <v/>
      </c>
      <c r="H21" s="599" t="n"/>
      <c r="I21" s="599" t="n"/>
      <c r="J21" s="599" t="n"/>
      <c r="K21" s="599" t="n"/>
      <c r="L21" s="655">
        <f>IFERROR(VLOOKUP(E21,Tabellen!A:H,8),0)</f>
        <v/>
      </c>
      <c r="M21" s="664">
        <f>IFERROR(VLOOKUP(L21,Tabellen!H:I,2),0)</f>
        <v/>
      </c>
      <c r="N21" s="653" t="n"/>
      <c r="O21" s="653" t="n"/>
      <c r="P21" s="526" t="n"/>
      <c r="Q21" s="119">
        <f>IF(OR(L21=47201,L21=47100,L21=47200,L21=47500),H21,0)</f>
        <v/>
      </c>
      <c r="R21" s="119">
        <f>IF(OR(L21=87201,L21=87100,L21=87200,L21=87500),H21,0)</f>
        <v/>
      </c>
    </row>
    <row r="22" ht="15" customHeight="1">
      <c r="A22" s="657">
        <f>IFERROR(VLOOKUP(E22,Tabellen!A:F,4),0)</f>
        <v/>
      </c>
      <c r="B22" s="657" t="n"/>
      <c r="C22" s="657">
        <f>IFERROR(VLOOKUP(E22,Tabellen!A:F,5),0)</f>
        <v/>
      </c>
      <c r="D22" s="657">
        <f>IFERROR(VLOOKUP(E22,Tabellen!A:F,6),0)</f>
        <v/>
      </c>
      <c r="E22" s="652" t="n"/>
      <c r="F22" s="658">
        <f>IF(E22&gt;0,$H$4,0)</f>
        <v/>
      </c>
      <c r="G22" s="657">
        <f>IFERROR(VLOOKUP(E22,Tabellen!A:F,2),0)</f>
        <v/>
      </c>
      <c r="H22" s="599" t="n"/>
      <c r="I22" s="599" t="n"/>
      <c r="J22" s="599" t="n"/>
      <c r="K22" s="599" t="n"/>
      <c r="L22" s="659">
        <f>IFERROR(VLOOKUP(E22,Tabellen!A:H,8),0)</f>
        <v/>
      </c>
      <c r="M22" s="660">
        <f>IFERROR(VLOOKUP(L22,Tabellen!H:I,2),0)</f>
        <v/>
      </c>
      <c r="N22" s="661" t="n"/>
      <c r="O22" s="661" t="n"/>
      <c r="P22" s="508" t="n"/>
      <c r="Q22" s="119">
        <f>IF(OR(L22=47201,L22=47100,L22=47200,L22=47500),H22,0)</f>
        <v/>
      </c>
      <c r="R22" s="119">
        <f>IF(OR(L22=87201,L22=87100,L22=87200,L22=87500),H22,0)</f>
        <v/>
      </c>
    </row>
    <row r="23" ht="15" customHeight="1">
      <c r="A23" s="662">
        <f>IFERROR(VLOOKUP(E23,Tabellen!A:F,4),0)</f>
        <v/>
      </c>
      <c r="B23" s="662" t="n"/>
      <c r="C23" s="662">
        <f>IFERROR(VLOOKUP(E23,Tabellen!A:F,5),0)</f>
        <v/>
      </c>
      <c r="D23" s="662">
        <f>IFERROR(VLOOKUP(E23,Tabellen!A:F,6),0)</f>
        <v/>
      </c>
      <c r="E23" s="652" t="n"/>
      <c r="F23" s="663">
        <f>IF(E23&gt;0,$H$4,0)</f>
        <v/>
      </c>
      <c r="G23" s="662">
        <f>IFERROR(VLOOKUP(E23,Tabellen!A:F,2),0)</f>
        <v/>
      </c>
      <c r="H23" s="599" t="n"/>
      <c r="I23" s="599" t="n"/>
      <c r="J23" s="599" t="n"/>
      <c r="K23" s="599" t="n"/>
      <c r="L23" s="655">
        <f>IFERROR(VLOOKUP(E23,Tabellen!A:H,8),0)</f>
        <v/>
      </c>
      <c r="M23" s="664">
        <f>IFERROR(VLOOKUP(L23,Tabellen!H:I,2),0)</f>
        <v/>
      </c>
      <c r="N23" s="653" t="n"/>
      <c r="O23" s="653" t="n"/>
      <c r="P23" s="526" t="n"/>
      <c r="Q23" s="119">
        <f>IF(OR(L23=47201,L23=47100,L23=47200,L23=47500),H23,0)</f>
        <v/>
      </c>
      <c r="R23" s="119">
        <f>IF(OR(L23=87201,L23=87100,L23=87200,L23=87500),H23,0)</f>
        <v/>
      </c>
    </row>
    <row r="24" ht="15" customHeight="1">
      <c r="A24" s="657">
        <f>IFERROR(VLOOKUP(E24,Tabellen!A:F,4),0)</f>
        <v/>
      </c>
      <c r="B24" s="657" t="n"/>
      <c r="C24" s="657">
        <f>IFERROR(VLOOKUP(E24,Tabellen!A:F,5),0)</f>
        <v/>
      </c>
      <c r="D24" s="657">
        <f>IFERROR(VLOOKUP(E24,Tabellen!A:F,6),0)</f>
        <v/>
      </c>
      <c r="E24" s="652" t="n"/>
      <c r="F24" s="658">
        <f>IF(E24&gt;0,$H$4,0)</f>
        <v/>
      </c>
      <c r="G24" s="657">
        <f>IFERROR(VLOOKUP(E24,Tabellen!A:F,2),0)</f>
        <v/>
      </c>
      <c r="H24" s="599" t="n"/>
      <c r="I24" s="599" t="n"/>
      <c r="J24" s="599" t="n"/>
      <c r="K24" s="599" t="n"/>
      <c r="L24" s="659">
        <f>IFERROR(VLOOKUP(E24,Tabellen!A:H,8),0)</f>
        <v/>
      </c>
      <c r="M24" s="660">
        <f>IFERROR(VLOOKUP(L24,Tabellen!H:I,2),0)</f>
        <v/>
      </c>
      <c r="N24" s="661" t="n"/>
      <c r="O24" s="661" t="n"/>
      <c r="P24" s="508" t="n"/>
      <c r="Q24" s="119">
        <f>IF(OR(L24=47201,L24=47100,L24=47200,L24=47500),H24,0)</f>
        <v/>
      </c>
      <c r="R24" s="119">
        <f>IF(OR(L24=87201,L24=87100,L24=87200,L24=87500),H24,0)</f>
        <v/>
      </c>
    </row>
    <row r="25" ht="15" customHeight="1">
      <c r="A25" s="662">
        <f>IFERROR(VLOOKUP(E25,Tabellen!A:F,4),0)</f>
        <v/>
      </c>
      <c r="B25" s="662" t="n"/>
      <c r="C25" s="662">
        <f>IFERROR(VLOOKUP(E25,Tabellen!A:F,5),0)</f>
        <v/>
      </c>
      <c r="D25" s="662">
        <f>IFERROR(VLOOKUP(E25,Tabellen!A:F,6),0)</f>
        <v/>
      </c>
      <c r="E25" s="652" t="n"/>
      <c r="F25" s="663">
        <f>IF(E25&gt;0,$H$4,0)</f>
        <v/>
      </c>
      <c r="G25" s="662">
        <f>IFERROR(VLOOKUP(E25,Tabellen!A:F,2),0)</f>
        <v/>
      </c>
      <c r="H25" s="599" t="n"/>
      <c r="I25" s="599" t="n"/>
      <c r="J25" s="599" t="n"/>
      <c r="K25" s="599" t="n"/>
      <c r="L25" s="655">
        <f>IFERROR(VLOOKUP(E25,Tabellen!A:H,8),0)</f>
        <v/>
      </c>
      <c r="M25" s="664">
        <f>IFERROR(VLOOKUP(L25,Tabellen!H:I,2),0)</f>
        <v/>
      </c>
      <c r="N25" s="653" t="n"/>
      <c r="O25" s="653" t="n"/>
      <c r="P25" s="526" t="n"/>
      <c r="Q25" s="119">
        <f>IF(OR(L25=47201,L25=47100,L25=47200,L25=47500),H25,0)</f>
        <v/>
      </c>
      <c r="R25" s="119">
        <f>IF(OR(L25=87201,L25=87100,L25=87200,L25=87500),H25,0)</f>
        <v/>
      </c>
    </row>
    <row r="26" ht="15" customHeight="1">
      <c r="A26" s="657">
        <f>IFERROR(VLOOKUP(E26,Tabellen!A:F,4),0)</f>
        <v/>
      </c>
      <c r="B26" s="657" t="n"/>
      <c r="C26" s="657">
        <f>IFERROR(VLOOKUP(E26,Tabellen!A:F,5),0)</f>
        <v/>
      </c>
      <c r="D26" s="657">
        <f>IFERROR(VLOOKUP(E26,Tabellen!A:F,6),0)</f>
        <v/>
      </c>
      <c r="E26" s="652" t="n"/>
      <c r="F26" s="658">
        <f>IF(E26&gt;0,$H$4,0)</f>
        <v/>
      </c>
      <c r="G26" s="657">
        <f>IFERROR(VLOOKUP(E26,Tabellen!A:F,2),0)</f>
        <v/>
      </c>
      <c r="H26" s="599" t="n"/>
      <c r="I26" s="599" t="n"/>
      <c r="J26" s="599" t="n"/>
      <c r="K26" s="599" t="n"/>
      <c r="L26" s="659">
        <f>IFERROR(VLOOKUP(E26,Tabellen!A:H,8),0)</f>
        <v/>
      </c>
      <c r="M26" s="660">
        <f>IFERROR(VLOOKUP(L26,Tabellen!H:I,2),0)</f>
        <v/>
      </c>
      <c r="N26" s="661" t="n"/>
      <c r="O26" s="661" t="n"/>
      <c r="P26" s="508" t="n"/>
      <c r="Q26" s="119">
        <f>IF(OR(L26=47201,L26=47100,L26=47200,L26=47500),H26,0)</f>
        <v/>
      </c>
      <c r="R26" s="119">
        <f>IF(OR(L26=87201,L26=87100,L26=87200,L26=87500),H26,0)</f>
        <v/>
      </c>
    </row>
    <row r="27" ht="15" customHeight="1">
      <c r="A27" s="662">
        <f>IFERROR(VLOOKUP(E27,Tabellen!A:F,4),0)</f>
        <v/>
      </c>
      <c r="B27" s="662" t="n"/>
      <c r="C27" s="662">
        <f>IFERROR(VLOOKUP(E27,Tabellen!A:F,5),0)</f>
        <v/>
      </c>
      <c r="D27" s="662">
        <f>IFERROR(VLOOKUP(E27,Tabellen!A:F,6),0)</f>
        <v/>
      </c>
      <c r="E27" s="652" t="n"/>
      <c r="F27" s="663">
        <f>IF(E27&gt;0,$H$4,0)</f>
        <v/>
      </c>
      <c r="G27" s="662">
        <f>IFERROR(VLOOKUP(E27,Tabellen!A:F,2),0)</f>
        <v/>
      </c>
      <c r="H27" s="599" t="n"/>
      <c r="I27" s="599" t="n"/>
      <c r="J27" s="599" t="n"/>
      <c r="K27" s="599" t="n"/>
      <c r="L27" s="655">
        <f>IFERROR(VLOOKUP(E27,Tabellen!A:H,8),0)</f>
        <v/>
      </c>
      <c r="M27" s="664">
        <f>IFERROR(VLOOKUP(L27,Tabellen!H:I,2),0)</f>
        <v/>
      </c>
      <c r="N27" s="653" t="n"/>
      <c r="O27" s="653" t="n"/>
      <c r="P27" s="526" t="n"/>
      <c r="Q27" s="119">
        <f>IF(OR(L27=47201,L27=47100,L27=47200,L27=47500),H27,0)</f>
        <v/>
      </c>
      <c r="R27" s="119">
        <f>IF(OR(L27=87201,L27=87100,L27=87200,L27=87500),H27,0)</f>
        <v/>
      </c>
    </row>
    <row r="28" ht="15" customHeight="1">
      <c r="A28" s="657">
        <f>IFERROR(VLOOKUP(E28,Tabellen!A:F,4),0)</f>
        <v/>
      </c>
      <c r="B28" s="657" t="n"/>
      <c r="C28" s="657">
        <f>IFERROR(VLOOKUP(E28,Tabellen!A:F,5),0)</f>
        <v/>
      </c>
      <c r="D28" s="657">
        <f>IFERROR(VLOOKUP(E28,Tabellen!A:F,6),0)</f>
        <v/>
      </c>
      <c r="E28" s="652" t="n"/>
      <c r="F28" s="658">
        <f>IF(E28&gt;0,$H$4,0)</f>
        <v/>
      </c>
      <c r="G28" s="657">
        <f>IFERROR(VLOOKUP(E28,Tabellen!A:F,2),0)</f>
        <v/>
      </c>
      <c r="H28" s="599" t="n"/>
      <c r="I28" s="599" t="n"/>
      <c r="J28" s="599" t="n"/>
      <c r="K28" s="599" t="n"/>
      <c r="L28" s="659">
        <f>IFERROR(VLOOKUP(E28,Tabellen!A:H,8),0)</f>
        <v/>
      </c>
      <c r="M28" s="660">
        <f>IFERROR(VLOOKUP(L28,Tabellen!H:I,2),0)</f>
        <v/>
      </c>
      <c r="N28" s="661" t="n"/>
      <c r="O28" s="661" t="n"/>
      <c r="P28" s="508" t="n"/>
      <c r="Q28" s="119">
        <f>IF(OR(L28=47201,L28=47100,L28=47200,L28=47500),H28,0)</f>
        <v/>
      </c>
      <c r="R28" s="119">
        <f>IF(OR(L28=87201,L28=87100,L28=87200,L28=87500),H28,0)</f>
        <v/>
      </c>
    </row>
    <row r="29" ht="15" customHeight="1">
      <c r="A29" s="662">
        <f>IFERROR(VLOOKUP(E29,Tabellen!A:F,4),0)</f>
        <v/>
      </c>
      <c r="B29" s="662" t="n"/>
      <c r="C29" s="662">
        <f>IFERROR(VLOOKUP(E29,Tabellen!A:F,5),0)</f>
        <v/>
      </c>
      <c r="D29" s="662">
        <f>IFERROR(VLOOKUP(E29,Tabellen!A:F,6),0)</f>
        <v/>
      </c>
      <c r="E29" s="652" t="n"/>
      <c r="F29" s="663">
        <f>IF(E29&gt;0,$H$4,0)</f>
        <v/>
      </c>
      <c r="G29" s="662">
        <f>IFERROR(VLOOKUP(E29,Tabellen!A:F,2),0)</f>
        <v/>
      </c>
      <c r="H29" s="599" t="n"/>
      <c r="I29" s="599" t="n"/>
      <c r="J29" s="599" t="n"/>
      <c r="K29" s="599" t="n"/>
      <c r="L29" s="655">
        <f>IFERROR(VLOOKUP(E29,Tabellen!A:H,8),0)</f>
        <v/>
      </c>
      <c r="M29" s="664">
        <f>IFERROR(VLOOKUP(L29,Tabellen!H:I,2),0)</f>
        <v/>
      </c>
      <c r="N29" s="653" t="n"/>
      <c r="O29" s="653" t="n"/>
      <c r="P29" s="526" t="n"/>
      <c r="Q29" s="119">
        <f>IF(OR(L29=47201,L29=47100,L29=47200,L29=47500),H29,0)</f>
        <v/>
      </c>
      <c r="R29" s="119">
        <f>IF(OR(L29=87201,L29=87100,L29=87200,L29=87500),H29,0)</f>
        <v/>
      </c>
    </row>
    <row r="30" ht="15" customHeight="1">
      <c r="A30" s="657">
        <f>IFERROR(VLOOKUP(E30,Tabellen!A:F,4),0)</f>
        <v/>
      </c>
      <c r="B30" s="657" t="n"/>
      <c r="C30" s="657">
        <f>IFERROR(VLOOKUP(E30,Tabellen!A:F,5),0)</f>
        <v/>
      </c>
      <c r="D30" s="657">
        <f>IFERROR(VLOOKUP(E30,Tabellen!A:F,6),0)</f>
        <v/>
      </c>
      <c r="E30" s="652" t="n"/>
      <c r="F30" s="658">
        <f>IF(E30&gt;0,$H$4,0)</f>
        <v/>
      </c>
      <c r="G30" s="657">
        <f>IFERROR(VLOOKUP(E30,Tabellen!A:F,2),0)</f>
        <v/>
      </c>
      <c r="H30" s="599" t="n"/>
      <c r="I30" s="599" t="n"/>
      <c r="J30" s="599" t="n"/>
      <c r="K30" s="599" t="n"/>
      <c r="L30" s="659">
        <f>IFERROR(VLOOKUP(E30,Tabellen!A:H,8),0)</f>
        <v/>
      </c>
      <c r="M30" s="660">
        <f>IFERROR(VLOOKUP(L30,Tabellen!H:I,2),0)</f>
        <v/>
      </c>
      <c r="N30" s="661" t="n"/>
      <c r="O30" s="661" t="n"/>
      <c r="P30" s="508" t="n"/>
      <c r="Q30" s="119">
        <f>IF(OR(L30=47201,L30=47100,L30=47200,L30=47500),H30,0)</f>
        <v/>
      </c>
      <c r="R30" s="119">
        <f>IF(OR(L30=87201,L30=87100,L30=87200,L30=87500),H30,0)</f>
        <v/>
      </c>
    </row>
    <row r="31" ht="15" customHeight="1">
      <c r="A31" s="662">
        <f>IFERROR(VLOOKUP(E31,Tabellen!A:F,4),0)</f>
        <v/>
      </c>
      <c r="B31" s="662" t="n"/>
      <c r="C31" s="662">
        <f>IFERROR(VLOOKUP(E31,Tabellen!A:F,5),0)</f>
        <v/>
      </c>
      <c r="D31" s="662">
        <f>IFERROR(VLOOKUP(E31,Tabellen!A:F,6),0)</f>
        <v/>
      </c>
      <c r="E31" s="652" t="n"/>
      <c r="F31" s="663">
        <f>IF(E31&gt;0,$H$4,0)</f>
        <v/>
      </c>
      <c r="G31" s="662">
        <f>IFERROR(VLOOKUP(E31,Tabellen!A:F,2),0)</f>
        <v/>
      </c>
      <c r="H31" s="599" t="n"/>
      <c r="I31" s="599" t="n"/>
      <c r="J31" s="599" t="n"/>
      <c r="K31" s="599" t="n"/>
      <c r="L31" s="655">
        <f>IFERROR(VLOOKUP(E31,Tabellen!A:H,8),0)</f>
        <v/>
      </c>
      <c r="M31" s="664">
        <f>IFERROR(VLOOKUP(L31,Tabellen!H:I,2),0)</f>
        <v/>
      </c>
      <c r="N31" s="653" t="n"/>
      <c r="O31" s="653" t="n"/>
      <c r="P31" s="526" t="n"/>
      <c r="Q31" s="119">
        <f>IF(OR(L31=47201,L31=47100,L31=47200,L31=47500),H31,0)</f>
        <v/>
      </c>
      <c r="R31" s="119">
        <f>IF(OR(L31=87201,L31=87100,L31=87200,L31=87500),H31,0)</f>
        <v/>
      </c>
    </row>
    <row r="32" ht="15" customHeight="1">
      <c r="A32" s="657">
        <f>IFERROR(VLOOKUP(E32,Tabellen!A:F,4),0)</f>
        <v/>
      </c>
      <c r="B32" s="657" t="n"/>
      <c r="C32" s="657">
        <f>IFERROR(VLOOKUP(E32,Tabellen!A:F,5),0)</f>
        <v/>
      </c>
      <c r="D32" s="657">
        <f>IFERROR(VLOOKUP(E32,Tabellen!A:F,6),0)</f>
        <v/>
      </c>
      <c r="E32" s="652" t="n"/>
      <c r="F32" s="658">
        <f>IF(E32&gt;0,$H$4,0)</f>
        <v/>
      </c>
      <c r="G32" s="657">
        <f>IFERROR(VLOOKUP(E32,Tabellen!A:F,2),0)</f>
        <v/>
      </c>
      <c r="H32" s="599" t="n"/>
      <c r="I32" s="599" t="n"/>
      <c r="J32" s="599" t="n"/>
      <c r="K32" s="599" t="n"/>
      <c r="L32" s="659">
        <f>IFERROR(VLOOKUP(E32,Tabellen!A:H,8),0)</f>
        <v/>
      </c>
      <c r="M32" s="660">
        <f>IFERROR(VLOOKUP(L32,Tabellen!H:I,2),0)</f>
        <v/>
      </c>
      <c r="N32" s="661" t="n"/>
      <c r="O32" s="661" t="n"/>
      <c r="P32" s="508" t="n"/>
      <c r="Q32" s="119">
        <f>IF(OR(L32=47201,L32=47100,L32=47200,L32=47500),H32,0)</f>
        <v/>
      </c>
      <c r="R32" s="119">
        <f>IF(OR(L32=87201,L32=87100,L32=87200,L32=87500),H32,0)</f>
        <v/>
      </c>
    </row>
    <row r="33" ht="15" customHeight="1">
      <c r="A33" s="662">
        <f>IFERROR(VLOOKUP(E33,Tabellen!A:F,4),0)</f>
        <v/>
      </c>
      <c r="B33" s="662" t="n"/>
      <c r="C33" s="662">
        <f>IFERROR(VLOOKUP(E33,Tabellen!A:F,5),0)</f>
        <v/>
      </c>
      <c r="D33" s="662">
        <f>IFERROR(VLOOKUP(E33,Tabellen!A:F,6),0)</f>
        <v/>
      </c>
      <c r="E33" s="652" t="n"/>
      <c r="F33" s="663">
        <f>IF(E33&gt;0,$H$4,0)</f>
        <v/>
      </c>
      <c r="G33" s="662">
        <f>IFERROR(VLOOKUP(E33,Tabellen!A:F,2),0)</f>
        <v/>
      </c>
      <c r="H33" s="599" t="n"/>
      <c r="I33" s="599" t="n"/>
      <c r="J33" s="599" t="n"/>
      <c r="K33" s="599" t="n"/>
      <c r="L33" s="655">
        <f>IFERROR(VLOOKUP(E33,Tabellen!A:H,8),0)</f>
        <v/>
      </c>
      <c r="M33" s="664">
        <f>IFERROR(VLOOKUP(L33,Tabellen!H:I,2),0)</f>
        <v/>
      </c>
      <c r="N33" s="653" t="n"/>
      <c r="O33" s="653" t="n"/>
      <c r="P33" s="526" t="n"/>
      <c r="Q33" s="119">
        <f>IF(OR(L33=47201,L33=47100,L33=47200,L33=47500),H33,0)</f>
        <v/>
      </c>
      <c r="R33" s="119">
        <f>IF(OR(L33=87201,L33=87100,L33=87200,L33=87500),H33,0)</f>
        <v/>
      </c>
    </row>
    <row r="34" ht="15" customHeight="1">
      <c r="A34" s="657">
        <f>IFERROR(VLOOKUP(E34,Tabellen!A:F,4),0)</f>
        <v/>
      </c>
      <c r="B34" s="657" t="n"/>
      <c r="C34" s="657">
        <f>IFERROR(VLOOKUP(E34,Tabellen!A:F,5),0)</f>
        <v/>
      </c>
      <c r="D34" s="657">
        <f>IFERROR(VLOOKUP(E34,Tabellen!A:F,6),0)</f>
        <v/>
      </c>
      <c r="E34" s="652" t="n"/>
      <c r="F34" s="658">
        <f>IF(E34&gt;0,$H$4,0)</f>
        <v/>
      </c>
      <c r="G34" s="657">
        <f>IFERROR(VLOOKUP(E34,Tabellen!A:F,2),0)</f>
        <v/>
      </c>
      <c r="H34" s="599" t="n"/>
      <c r="I34" s="599" t="n"/>
      <c r="J34" s="599" t="n"/>
      <c r="K34" s="599" t="n"/>
      <c r="L34" s="659">
        <f>IFERROR(VLOOKUP(E34,Tabellen!A:H,8),0)</f>
        <v/>
      </c>
      <c r="M34" s="660">
        <f>IFERROR(VLOOKUP(L34,Tabellen!H:I,2),0)</f>
        <v/>
      </c>
      <c r="N34" s="661" t="n"/>
      <c r="O34" s="661" t="n"/>
      <c r="P34" s="508" t="n"/>
      <c r="Q34" s="119">
        <f>IF(OR(L34=47201,L34=47100,L34=47200,L34=47500),H34,0)</f>
        <v/>
      </c>
      <c r="R34" s="119">
        <f>IF(OR(L34=87201,L34=87100,L34=87200,L34=87500),H34,0)</f>
        <v/>
      </c>
    </row>
    <row r="35" ht="15" customHeight="1">
      <c r="A35" s="662">
        <f>IFERROR(VLOOKUP(E35,Tabellen!A:F,4),0)</f>
        <v/>
      </c>
      <c r="B35" s="662" t="n"/>
      <c r="C35" s="662">
        <f>IFERROR(VLOOKUP(E35,Tabellen!A:F,5),0)</f>
        <v/>
      </c>
      <c r="D35" s="662">
        <f>IFERROR(VLOOKUP(E35,Tabellen!A:F,6),0)</f>
        <v/>
      </c>
      <c r="E35" s="652" t="n"/>
      <c r="F35" s="663">
        <f>IF(E35&gt;0,$H$4,0)</f>
        <v/>
      </c>
      <c r="G35" s="662">
        <f>IFERROR(VLOOKUP(E35,Tabellen!A:F,2),0)</f>
        <v/>
      </c>
      <c r="H35" s="599" t="n"/>
      <c r="I35" s="599" t="n"/>
      <c r="J35" s="599" t="n"/>
      <c r="K35" s="599" t="n"/>
      <c r="L35" s="655">
        <f>IFERROR(VLOOKUP(E35,Tabellen!A:H,8),0)</f>
        <v/>
      </c>
      <c r="M35" s="664">
        <f>IFERROR(VLOOKUP(L35,Tabellen!H:I,2),0)</f>
        <v/>
      </c>
      <c r="N35" s="653" t="n"/>
      <c r="O35" s="653" t="n"/>
      <c r="P35" s="526" t="n"/>
      <c r="Q35" s="119">
        <f>IF(OR(L35=47201,L35=47100,L35=47200,L35=47500),H35,0)</f>
        <v/>
      </c>
      <c r="R35" s="119">
        <f>IF(OR(L35=87201,L35=87100,L35=87200,L35=87500),H35,0)</f>
        <v/>
      </c>
    </row>
    <row r="36" ht="15" customHeight="1">
      <c r="A36" s="657">
        <f>IFERROR(VLOOKUP(E36,Tabellen!A:F,4),0)</f>
        <v/>
      </c>
      <c r="B36" s="657" t="n"/>
      <c r="C36" s="657">
        <f>IFERROR(VLOOKUP(E36,Tabellen!A:F,5),0)</f>
        <v/>
      </c>
      <c r="D36" s="657">
        <f>IFERROR(VLOOKUP(E36,Tabellen!A:F,6),0)</f>
        <v/>
      </c>
      <c r="E36" s="652" t="n"/>
      <c r="F36" s="658">
        <f>IF(E36&gt;0,$H$4,0)</f>
        <v/>
      </c>
      <c r="G36" s="657">
        <f>IFERROR(VLOOKUP(E36,Tabellen!A:F,2),0)</f>
        <v/>
      </c>
      <c r="H36" s="599" t="n"/>
      <c r="I36" s="599" t="n"/>
      <c r="J36" s="599" t="n"/>
      <c r="K36" s="599" t="n"/>
      <c r="L36" s="659">
        <f>IFERROR(VLOOKUP(E36,Tabellen!A:H,8),0)</f>
        <v/>
      </c>
      <c r="M36" s="660">
        <f>IFERROR(VLOOKUP(L36,Tabellen!H:I,2),0)</f>
        <v/>
      </c>
      <c r="N36" s="661" t="n"/>
      <c r="O36" s="661" t="n"/>
      <c r="P36" s="508" t="n"/>
      <c r="Q36" s="119">
        <f>IF(OR(L36=47201,L36=47100,L36=47200,L36=47500),H36,0)</f>
        <v/>
      </c>
      <c r="R36" s="119">
        <f>IF(OR(L36=87201,L36=87100,L36=87200,L36=87500),H36,0)</f>
        <v/>
      </c>
    </row>
    <row r="37" ht="15" customHeight="1">
      <c r="A37" s="662">
        <f>IFERROR(VLOOKUP(E37,Tabellen!A:F,4),0)</f>
        <v/>
      </c>
      <c r="B37" s="662" t="n"/>
      <c r="C37" s="662">
        <f>IFERROR(VLOOKUP(E37,Tabellen!A:F,5),0)</f>
        <v/>
      </c>
      <c r="D37" s="662">
        <f>IFERROR(VLOOKUP(E37,Tabellen!A:F,6),0)</f>
        <v/>
      </c>
      <c r="E37" s="652" t="n"/>
      <c r="F37" s="663">
        <f>IF(E37&gt;0,$H$4,0)</f>
        <v/>
      </c>
      <c r="G37" s="662">
        <f>IFERROR(VLOOKUP(E37,Tabellen!A:F,2),0)</f>
        <v/>
      </c>
      <c r="H37" s="599" t="n"/>
      <c r="I37" s="599" t="n"/>
      <c r="J37" s="599" t="n"/>
      <c r="K37" s="599" t="n"/>
      <c r="L37" s="655">
        <f>IFERROR(VLOOKUP(E37,Tabellen!A:H,8),0)</f>
        <v/>
      </c>
      <c r="M37" s="664">
        <f>IFERROR(VLOOKUP(L37,Tabellen!H:I,2),0)</f>
        <v/>
      </c>
      <c r="N37" s="653" t="n"/>
      <c r="O37" s="653" t="n"/>
      <c r="P37" s="526" t="n"/>
      <c r="Q37" s="119">
        <f>IF(OR(L37=47201,L37=47100,L37=47200,L37=47500),H37,0)</f>
        <v/>
      </c>
      <c r="R37" s="119">
        <f>IF(OR(L37=87201,L37=87100,L37=87200,L37=87500),H37,0)</f>
        <v/>
      </c>
    </row>
    <row r="38" ht="15" customHeight="1">
      <c r="A38" s="657">
        <f>IFERROR(VLOOKUP(E38,Tabellen!A:F,4),0)</f>
        <v/>
      </c>
      <c r="B38" s="657" t="n"/>
      <c r="C38" s="657">
        <f>IFERROR(VLOOKUP(E38,Tabellen!A:F,5),0)</f>
        <v/>
      </c>
      <c r="D38" s="657">
        <f>IFERROR(VLOOKUP(E38,Tabellen!A:F,6),0)</f>
        <v/>
      </c>
      <c r="E38" s="652" t="n"/>
      <c r="F38" s="658">
        <f>IF(E38&gt;0,$H$4,0)</f>
        <v/>
      </c>
      <c r="G38" s="657">
        <f>IFERROR(VLOOKUP(E38,Tabellen!A:F,2),0)</f>
        <v/>
      </c>
      <c r="H38" s="599" t="n"/>
      <c r="I38" s="599" t="n"/>
      <c r="J38" s="599" t="n"/>
      <c r="K38" s="599" t="n"/>
      <c r="L38" s="659">
        <f>IFERROR(VLOOKUP(E38,Tabellen!A:H,8),0)</f>
        <v/>
      </c>
      <c r="M38" s="660">
        <f>IFERROR(VLOOKUP(L38,Tabellen!H:I,2),0)</f>
        <v/>
      </c>
      <c r="N38" s="661" t="n"/>
      <c r="O38" s="661" t="n"/>
      <c r="P38" s="508" t="n"/>
      <c r="Q38" s="119">
        <f>IF(OR(L38=47201,L38=47100,L38=47200,L38=47500),H38,0)</f>
        <v/>
      </c>
      <c r="R38" s="119">
        <f>IF(OR(L38=87201,L38=87100,L38=87200,L38=87500),H38,0)</f>
        <v/>
      </c>
    </row>
    <row r="39" ht="15" customHeight="1">
      <c r="A39" s="662">
        <f>IFERROR(VLOOKUP(E39,Tabellen!A:F,4),0)</f>
        <v/>
      </c>
      <c r="B39" s="662" t="n"/>
      <c r="C39" s="662">
        <f>IFERROR(VLOOKUP(E39,Tabellen!A:F,5),0)</f>
        <v/>
      </c>
      <c r="D39" s="662">
        <f>IFERROR(VLOOKUP(E39,Tabellen!A:F,6),0)</f>
        <v/>
      </c>
      <c r="E39" s="652" t="n"/>
      <c r="F39" s="663">
        <f>IF(E39&gt;0,$H$4,0)</f>
        <v/>
      </c>
      <c r="G39" s="662">
        <f>IFERROR(VLOOKUP(E39,Tabellen!A:F,2),0)</f>
        <v/>
      </c>
      <c r="H39" s="599" t="n"/>
      <c r="I39" s="599" t="n"/>
      <c r="J39" s="599" t="n"/>
      <c r="K39" s="599" t="n"/>
      <c r="L39" s="655">
        <f>IFERROR(VLOOKUP(E39,Tabellen!A:H,8),0)</f>
        <v/>
      </c>
      <c r="M39" s="664">
        <f>IFERROR(VLOOKUP(L39,Tabellen!H:I,2),0)</f>
        <v/>
      </c>
      <c r="N39" s="653" t="n"/>
      <c r="O39" s="653" t="n"/>
      <c r="P39" s="526" t="n"/>
      <c r="Q39" s="119">
        <f>IF(OR(L39=47201,L39=47100,L39=47200,L39=47500),H39,0)</f>
        <v/>
      </c>
      <c r="R39" s="119">
        <f>IF(OR(L39=87201,L39=87100,L39=87200,L39=87500),H39,0)</f>
        <v/>
      </c>
    </row>
    <row r="40" ht="15" customHeight="1">
      <c r="A40" s="657">
        <f>IFERROR(VLOOKUP(E40,Tabellen!A:F,4),0)</f>
        <v/>
      </c>
      <c r="B40" s="657" t="n"/>
      <c r="C40" s="657">
        <f>IFERROR(VLOOKUP(E40,Tabellen!A:F,5),0)</f>
        <v/>
      </c>
      <c r="D40" s="657">
        <f>IFERROR(VLOOKUP(E40,Tabellen!A:F,6),0)</f>
        <v/>
      </c>
      <c r="E40" s="652" t="n"/>
      <c r="F40" s="658">
        <f>IF(E40&gt;0,$H$4,0)</f>
        <v/>
      </c>
      <c r="G40" s="657">
        <f>IFERROR(VLOOKUP(E40,Tabellen!A:F,2),0)</f>
        <v/>
      </c>
      <c r="H40" s="599" t="n"/>
      <c r="I40" s="599" t="n"/>
      <c r="J40" s="599" t="n"/>
      <c r="K40" s="599" t="n"/>
      <c r="L40" s="659">
        <f>IFERROR(VLOOKUP(E40,Tabellen!A:H,8),0)</f>
        <v/>
      </c>
      <c r="M40" s="660">
        <f>IFERROR(VLOOKUP(L40,Tabellen!H:I,2),0)</f>
        <v/>
      </c>
      <c r="N40" s="661" t="n"/>
      <c r="O40" s="661" t="n"/>
      <c r="P40" s="508" t="n"/>
      <c r="Q40" s="119">
        <f>IF(OR(L40=47201,L40=47100,L40=47200,L40=47500),H40,0)</f>
        <v/>
      </c>
      <c r="R40" s="119">
        <f>IF(OR(L40=87201,L40=87100,L40=87200,L40=87500),H40,0)</f>
        <v/>
      </c>
    </row>
    <row r="41" ht="15" customHeight="1">
      <c r="A41" s="662">
        <f>IFERROR(VLOOKUP(E41,Tabellen!A:F,4),0)</f>
        <v/>
      </c>
      <c r="B41" s="662" t="n"/>
      <c r="C41" s="662">
        <f>IFERROR(VLOOKUP(E41,Tabellen!A:F,5),0)</f>
        <v/>
      </c>
      <c r="D41" s="662">
        <f>IFERROR(VLOOKUP(E41,Tabellen!A:F,6),0)</f>
        <v/>
      </c>
      <c r="E41" s="652" t="n"/>
      <c r="F41" s="663">
        <f>IF(E41&gt;0,$H$4,0)</f>
        <v/>
      </c>
      <c r="G41" s="662">
        <f>IFERROR(VLOOKUP(E41,Tabellen!A:F,2),0)</f>
        <v/>
      </c>
      <c r="H41" s="599" t="n"/>
      <c r="I41" s="599" t="n"/>
      <c r="J41" s="599" t="n"/>
      <c r="K41" s="599" t="n"/>
      <c r="L41" s="655">
        <f>IFERROR(VLOOKUP(E41,Tabellen!A:H,8),0)</f>
        <v/>
      </c>
      <c r="M41" s="664">
        <f>IFERROR(VLOOKUP(L41,Tabellen!H:I,2),0)</f>
        <v/>
      </c>
      <c r="N41" s="653" t="n"/>
      <c r="O41" s="653" t="n"/>
      <c r="P41" s="526" t="n"/>
      <c r="Q41" s="119">
        <f>IF(OR(L41=47201,L41=47100,L41=47200,L41=47500),H41,0)</f>
        <v/>
      </c>
      <c r="R41" s="119">
        <f>IF(OR(L41=87201,L41=87100,L41=87200,L41=87500),H41,0)</f>
        <v/>
      </c>
    </row>
    <row r="42" ht="15" customHeight="1">
      <c r="A42" s="657">
        <f>IFERROR(VLOOKUP(E42,Tabellen!A:F,4),0)</f>
        <v/>
      </c>
      <c r="B42" s="657" t="n"/>
      <c r="C42" s="657">
        <f>IFERROR(VLOOKUP(E42,Tabellen!A:F,5),0)</f>
        <v/>
      </c>
      <c r="D42" s="657">
        <f>IFERROR(VLOOKUP(E42,Tabellen!A:F,6),0)</f>
        <v/>
      </c>
      <c r="E42" s="652" t="n"/>
      <c r="F42" s="658">
        <f>IF(E42&gt;0,$H$4,0)</f>
        <v/>
      </c>
      <c r="G42" s="657">
        <f>IFERROR(VLOOKUP(E42,Tabellen!A:F,2),0)</f>
        <v/>
      </c>
      <c r="H42" s="599" t="n"/>
      <c r="I42" s="599" t="n"/>
      <c r="J42" s="599" t="n"/>
      <c r="K42" s="599" t="n"/>
      <c r="L42" s="659">
        <f>IFERROR(VLOOKUP(E42,Tabellen!A:H,8),0)</f>
        <v/>
      </c>
      <c r="M42" s="660">
        <f>IFERROR(VLOOKUP(L42,Tabellen!H:I,2),0)</f>
        <v/>
      </c>
      <c r="N42" s="661" t="n"/>
      <c r="O42" s="661" t="n"/>
      <c r="P42" s="508" t="n"/>
      <c r="Q42" s="119">
        <f>IF(OR(L42=47201,L42=47100,L42=47200,L42=47500),H42,0)</f>
        <v/>
      </c>
      <c r="R42" s="119">
        <f>IF(OR(L42=87201,L42=87100,L42=87200,L42=87500),H42,0)</f>
        <v/>
      </c>
    </row>
    <row r="43" ht="15" customHeight="1">
      <c r="A43" s="662">
        <f>IFERROR(VLOOKUP(E43,Tabellen!A:F,4),0)</f>
        <v/>
      </c>
      <c r="B43" s="662" t="n"/>
      <c r="C43" s="662">
        <f>IFERROR(VLOOKUP(E43,Tabellen!A:F,5),0)</f>
        <v/>
      </c>
      <c r="D43" s="662">
        <f>IFERROR(VLOOKUP(E43,Tabellen!A:F,6),0)</f>
        <v/>
      </c>
      <c r="E43" s="652" t="n"/>
      <c r="F43" s="663">
        <f>IF(E43&gt;0,$H$4,0)</f>
        <v/>
      </c>
      <c r="G43" s="662">
        <f>IFERROR(VLOOKUP(E43,Tabellen!A:F,2),0)</f>
        <v/>
      </c>
      <c r="H43" s="599" t="n"/>
      <c r="I43" s="599" t="n"/>
      <c r="J43" s="599" t="n"/>
      <c r="K43" s="599" t="n"/>
      <c r="L43" s="655">
        <f>IFERROR(VLOOKUP(E43,Tabellen!A:H,8),0)</f>
        <v/>
      </c>
      <c r="M43" s="664">
        <f>IFERROR(VLOOKUP(L43,Tabellen!H:I,2),0)</f>
        <v/>
      </c>
      <c r="N43" s="653" t="n"/>
      <c r="O43" s="653" t="n"/>
      <c r="P43" s="526" t="n"/>
      <c r="Q43" s="119">
        <f>IF(OR(L43=47201,L43=47100,L43=47200,L43=47500),H43,0)</f>
        <v/>
      </c>
      <c r="R43" s="119">
        <f>IF(OR(L43=87201,L43=87100,L43=87200,L43=87500),H43,0)</f>
        <v/>
      </c>
    </row>
    <row r="44" ht="15" customHeight="1">
      <c r="A44" s="657">
        <f>IFERROR(VLOOKUP(E44,Tabellen!A:F,4),0)</f>
        <v/>
      </c>
      <c r="B44" s="657" t="n"/>
      <c r="C44" s="657">
        <f>IFERROR(VLOOKUP(E44,Tabellen!A:F,5),0)</f>
        <v/>
      </c>
      <c r="D44" s="657">
        <f>IFERROR(VLOOKUP(E44,Tabellen!A:F,6),0)</f>
        <v/>
      </c>
      <c r="E44" s="652" t="n"/>
      <c r="F44" s="658">
        <f>IF(E44&gt;0,$H$4,0)</f>
        <v/>
      </c>
      <c r="G44" s="657">
        <f>IFERROR(VLOOKUP(E44,Tabellen!A:F,2),0)</f>
        <v/>
      </c>
      <c r="H44" s="599" t="n"/>
      <c r="I44" s="599" t="n"/>
      <c r="J44" s="599" t="n"/>
      <c r="K44" s="599" t="n"/>
      <c r="L44" s="659">
        <f>IFERROR(VLOOKUP(E44,Tabellen!A:H,8),0)</f>
        <v/>
      </c>
      <c r="M44" s="660">
        <f>IFERROR(VLOOKUP(L44,Tabellen!H:I,2),0)</f>
        <v/>
      </c>
      <c r="N44" s="661" t="n"/>
      <c r="O44" s="661" t="n"/>
      <c r="P44" s="508" t="n"/>
      <c r="Q44" s="119">
        <f>IF(OR(L44=47201,L44=47100,L44=47200,L44=47500),H44,0)</f>
        <v/>
      </c>
      <c r="R44" s="119">
        <f>IF(OR(L44=87201,L44=87100,L44=87200,L44=87500),H44,0)</f>
        <v/>
      </c>
    </row>
    <row r="45" ht="15" customHeight="1">
      <c r="A45" s="662">
        <f>IFERROR(VLOOKUP(E45,Tabellen!A:F,4),0)</f>
        <v/>
      </c>
      <c r="B45" s="662" t="n"/>
      <c r="C45" s="662">
        <f>IFERROR(VLOOKUP(E45,Tabellen!A:F,5),0)</f>
        <v/>
      </c>
      <c r="D45" s="662">
        <f>IFERROR(VLOOKUP(E45,Tabellen!A:F,6),0)</f>
        <v/>
      </c>
      <c r="E45" s="652" t="n"/>
      <c r="F45" s="663">
        <f>IF(E45&gt;0,$H$4,0)</f>
        <v/>
      </c>
      <c r="G45" s="662">
        <f>IFERROR(VLOOKUP(E45,Tabellen!A:F,2),0)</f>
        <v/>
      </c>
      <c r="H45" s="599" t="n"/>
      <c r="I45" s="599" t="n"/>
      <c r="J45" s="599" t="n"/>
      <c r="K45" s="599" t="n"/>
      <c r="L45" s="655">
        <f>IFERROR(VLOOKUP(E45,Tabellen!A:H,8),0)</f>
        <v/>
      </c>
      <c r="M45" s="664">
        <f>IFERROR(VLOOKUP(L45,Tabellen!H:I,2),0)</f>
        <v/>
      </c>
      <c r="N45" s="653" t="n"/>
      <c r="O45" s="653" t="n"/>
      <c r="P45" s="526" t="n"/>
      <c r="Q45" s="119">
        <f>IF(OR(L45=47201,L45=47100,L45=47200,L45=47500),H45,0)</f>
        <v/>
      </c>
      <c r="R45" s="119">
        <f>IF(OR(L45=87201,L45=87100,L45=87200,L45=87500),H45,0)</f>
        <v/>
      </c>
    </row>
    <row r="46" ht="15" customHeight="1">
      <c r="A46" s="657">
        <f>IFERROR(VLOOKUP(E46,Tabellen!A:F,4),0)</f>
        <v/>
      </c>
      <c r="B46" s="657" t="n"/>
      <c r="C46" s="657">
        <f>IFERROR(VLOOKUP(E46,Tabellen!A:F,5),0)</f>
        <v/>
      </c>
      <c r="D46" s="657">
        <f>IFERROR(VLOOKUP(E46,Tabellen!A:F,6),0)</f>
        <v/>
      </c>
      <c r="E46" s="652" t="n"/>
      <c r="F46" s="658">
        <f>IF(E46&gt;0,$H$4,0)</f>
        <v/>
      </c>
      <c r="G46" s="657">
        <f>IFERROR(VLOOKUP(E46,Tabellen!A:F,2),0)</f>
        <v/>
      </c>
      <c r="H46" s="599" t="n"/>
      <c r="I46" s="599" t="n"/>
      <c r="J46" s="599" t="n"/>
      <c r="K46" s="599" t="n"/>
      <c r="L46" s="659">
        <f>IFERROR(VLOOKUP(E46,Tabellen!A:H,8),0)</f>
        <v/>
      </c>
      <c r="M46" s="660">
        <f>IFERROR(VLOOKUP(L46,Tabellen!H:I,2),0)</f>
        <v/>
      </c>
      <c r="N46" s="661" t="n"/>
      <c r="O46" s="661" t="n"/>
      <c r="P46" s="508" t="n"/>
      <c r="Q46" s="119">
        <f>IF(OR(L46=47201,L46=47100,L46=47200,L46=47500),H46,0)</f>
        <v/>
      </c>
      <c r="R46" s="119">
        <f>IF(OR(L46=87201,L46=87100,L46=87200,L46=87500),H46,0)</f>
        <v/>
      </c>
    </row>
    <row r="47" ht="15" customHeight="1">
      <c r="A47" s="662">
        <f>IFERROR(VLOOKUP(E47,Tabellen!A:F,4),0)</f>
        <v/>
      </c>
      <c r="B47" s="662" t="n"/>
      <c r="C47" s="662">
        <f>IFERROR(VLOOKUP(E47,Tabellen!A:F,5),0)</f>
        <v/>
      </c>
      <c r="D47" s="662">
        <f>IFERROR(VLOOKUP(E47,Tabellen!A:F,6),0)</f>
        <v/>
      </c>
      <c r="E47" s="652" t="n"/>
      <c r="F47" s="663">
        <f>IF(E47&gt;0,$H$4,0)</f>
        <v/>
      </c>
      <c r="G47" s="662">
        <f>IFERROR(VLOOKUP(E47,Tabellen!A:F,2),0)</f>
        <v/>
      </c>
      <c r="H47" s="599" t="n"/>
      <c r="I47" s="599" t="n"/>
      <c r="J47" s="599" t="n"/>
      <c r="K47" s="599" t="n"/>
      <c r="L47" s="655">
        <f>IFERROR(VLOOKUP(E47,Tabellen!A:H,8),0)</f>
        <v/>
      </c>
      <c r="M47" s="664">
        <f>IFERROR(VLOOKUP(L47,Tabellen!H:I,2),0)</f>
        <v/>
      </c>
      <c r="N47" s="653" t="n"/>
      <c r="O47" s="653" t="n"/>
      <c r="P47" s="526" t="n"/>
      <c r="Q47" s="119">
        <f>IF(OR(L47=47201,L47=47100,L47=47200,L47=47500),H47,0)</f>
        <v/>
      </c>
      <c r="R47" s="119">
        <f>IF(OR(L47=87201,L47=87100,L47=87200,L47=87500),H47,0)</f>
        <v/>
      </c>
    </row>
    <row r="48" ht="15" customHeight="1">
      <c r="A48" s="657">
        <f>IFERROR(VLOOKUP(E48,Tabellen!A:F,4),0)</f>
        <v/>
      </c>
      <c r="B48" s="657" t="n"/>
      <c r="C48" s="657">
        <f>IFERROR(VLOOKUP(E48,Tabellen!A:F,5),0)</f>
        <v/>
      </c>
      <c r="D48" s="657">
        <f>IFERROR(VLOOKUP(E48,Tabellen!A:F,6),0)</f>
        <v/>
      </c>
      <c r="E48" s="652" t="n"/>
      <c r="F48" s="658">
        <f>IF(E48&gt;0,$H$4,0)</f>
        <v/>
      </c>
      <c r="G48" s="657">
        <f>IFERROR(VLOOKUP(E48,Tabellen!A:F,2),0)</f>
        <v/>
      </c>
      <c r="H48" s="599" t="n"/>
      <c r="I48" s="599" t="n"/>
      <c r="J48" s="599" t="n"/>
      <c r="K48" s="599" t="n"/>
      <c r="L48" s="659">
        <f>IFERROR(VLOOKUP(E48,Tabellen!A:H,8),0)</f>
        <v/>
      </c>
      <c r="M48" s="660">
        <f>IFERROR(VLOOKUP(L48,Tabellen!H:I,2),0)</f>
        <v/>
      </c>
      <c r="N48" s="661" t="n"/>
      <c r="O48" s="661" t="n"/>
      <c r="P48" s="508" t="n"/>
      <c r="Q48" s="119">
        <f>IF(OR(L48=47201,L48=47100,L48=47200,L48=47500),H48,0)</f>
        <v/>
      </c>
      <c r="R48" s="119">
        <f>IF(OR(L48=87201,L48=87100,L48=87200,L48=87500),H48,0)</f>
        <v/>
      </c>
    </row>
    <row r="49" ht="15" customHeight="1">
      <c r="A49" s="662">
        <f>IFERROR(VLOOKUP(E49,Tabellen!A:F,4),0)</f>
        <v/>
      </c>
      <c r="B49" s="662" t="n"/>
      <c r="C49" s="662">
        <f>IFERROR(VLOOKUP(E49,Tabellen!A:F,5),0)</f>
        <v/>
      </c>
      <c r="D49" s="662">
        <f>IFERROR(VLOOKUP(E49,Tabellen!A:F,6),0)</f>
        <v/>
      </c>
      <c r="E49" s="652" t="n"/>
      <c r="F49" s="663">
        <f>IF(E49&gt;0,$H$4,0)</f>
        <v/>
      </c>
      <c r="G49" s="662">
        <f>IFERROR(VLOOKUP(E49,Tabellen!A:F,2),0)</f>
        <v/>
      </c>
      <c r="H49" s="599" t="n"/>
      <c r="I49" s="599" t="n"/>
      <c r="J49" s="599" t="n"/>
      <c r="K49" s="599" t="n"/>
      <c r="L49" s="655">
        <f>IFERROR(VLOOKUP(E49,Tabellen!A:H,8),0)</f>
        <v/>
      </c>
      <c r="M49" s="664">
        <f>IFERROR(VLOOKUP(L49,Tabellen!H:I,2),0)</f>
        <v/>
      </c>
      <c r="N49" s="653" t="n"/>
      <c r="O49" s="653" t="n"/>
      <c r="P49" s="526" t="n"/>
      <c r="Q49" s="119">
        <f>IF(OR(L49=47201,L49=47100,L49=47200,L49=47500),H49,0)</f>
        <v/>
      </c>
      <c r="R49" s="119">
        <f>IF(OR(L49=87201,L49=87100,L49=87200,L49=87500),H49,0)</f>
        <v/>
      </c>
    </row>
    <row r="50" ht="15" customHeight="1">
      <c r="A50" s="657">
        <f>IFERROR(VLOOKUP(E50,Tabellen!A:F,4),0)</f>
        <v/>
      </c>
      <c r="B50" s="657" t="n"/>
      <c r="C50" s="657">
        <f>IFERROR(VLOOKUP(E50,Tabellen!A:F,5),0)</f>
        <v/>
      </c>
      <c r="D50" s="657">
        <f>IFERROR(VLOOKUP(E50,Tabellen!A:F,6),0)</f>
        <v/>
      </c>
      <c r="E50" s="652" t="n"/>
      <c r="F50" s="658">
        <f>IF(E50&gt;0,$H$4,0)</f>
        <v/>
      </c>
      <c r="G50" s="657">
        <f>IFERROR(VLOOKUP(E50,Tabellen!A:F,2),0)</f>
        <v/>
      </c>
      <c r="H50" s="599" t="n"/>
      <c r="I50" s="599" t="n"/>
      <c r="J50" s="599" t="n"/>
      <c r="K50" s="599" t="n"/>
      <c r="L50" s="659">
        <f>IFERROR(VLOOKUP(E50,Tabellen!A:H,8),0)</f>
        <v/>
      </c>
      <c r="M50" s="660">
        <f>IFERROR(VLOOKUP(L50,Tabellen!H:I,2),0)</f>
        <v/>
      </c>
      <c r="N50" s="661" t="n"/>
      <c r="O50" s="661" t="n"/>
      <c r="P50" s="508" t="n"/>
      <c r="Q50" s="119">
        <f>IF(OR(L50=47201,L50=47100,L50=47200,L50=47500),H50,0)</f>
        <v/>
      </c>
      <c r="R50" s="119">
        <f>IF(OR(L50=87201,L50=87100,L50=87200,L50=87500),H50,0)</f>
        <v/>
      </c>
    </row>
    <row r="51" ht="15" customHeight="1">
      <c r="A51" s="662">
        <f>IFERROR(VLOOKUP(E51,Tabellen!A:F,4),0)</f>
        <v/>
      </c>
      <c r="B51" s="662" t="n"/>
      <c r="C51" s="662">
        <f>IFERROR(VLOOKUP(E51,Tabellen!A:F,5),0)</f>
        <v/>
      </c>
      <c r="D51" s="662">
        <f>IFERROR(VLOOKUP(E51,Tabellen!A:F,6),0)</f>
        <v/>
      </c>
      <c r="E51" s="652" t="n"/>
      <c r="F51" s="663">
        <f>IF(E51&gt;0,$H$4,0)</f>
        <v/>
      </c>
      <c r="G51" s="662">
        <f>IFERROR(VLOOKUP(E51,Tabellen!A:F,2),0)</f>
        <v/>
      </c>
      <c r="H51" s="599" t="n"/>
      <c r="I51" s="599" t="n"/>
      <c r="J51" s="599" t="n"/>
      <c r="K51" s="599" t="n"/>
      <c r="L51" s="655">
        <f>IFERROR(VLOOKUP(E51,Tabellen!A:H,8),0)</f>
        <v/>
      </c>
      <c r="M51" s="664">
        <f>IFERROR(VLOOKUP(L51,Tabellen!H:I,2),0)</f>
        <v/>
      </c>
      <c r="N51" s="653" t="n"/>
      <c r="O51" s="653" t="n"/>
      <c r="P51" s="526" t="n"/>
      <c r="Q51" s="119">
        <f>IF(OR(L51=47201,L51=47100,L51=47200,L51=47500),H51,0)</f>
        <v/>
      </c>
      <c r="R51" s="119">
        <f>IF(OR(L51=87201,L51=87100,L51=87200,L51=87500),H51,0)</f>
        <v/>
      </c>
    </row>
    <row r="52" ht="15" customHeight="1">
      <c r="A52" s="657">
        <f>IFERROR(VLOOKUP(E52,Tabellen!A:F,4),0)</f>
        <v/>
      </c>
      <c r="B52" s="657" t="n"/>
      <c r="C52" s="657">
        <f>IFERROR(VLOOKUP(E52,Tabellen!A:F,5),0)</f>
        <v/>
      </c>
      <c r="D52" s="657">
        <f>IFERROR(VLOOKUP(E52,Tabellen!A:F,6),0)</f>
        <v/>
      </c>
      <c r="E52" s="652" t="n"/>
      <c r="F52" s="658">
        <f>IF(E52&gt;0,$H$4,0)</f>
        <v/>
      </c>
      <c r="G52" s="657">
        <f>IFERROR(VLOOKUP(E52,Tabellen!A:F,2),0)</f>
        <v/>
      </c>
      <c r="H52" s="599" t="n"/>
      <c r="I52" s="599" t="n"/>
      <c r="J52" s="599" t="n"/>
      <c r="K52" s="599" t="n"/>
      <c r="L52" s="659">
        <f>IFERROR(VLOOKUP(E52,Tabellen!A:H,8),0)</f>
        <v/>
      </c>
      <c r="M52" s="660">
        <f>IFERROR(VLOOKUP(L52,Tabellen!H:I,2),0)</f>
        <v/>
      </c>
      <c r="N52" s="661" t="n"/>
      <c r="O52" s="661" t="n"/>
      <c r="P52" s="508" t="n"/>
      <c r="Q52" s="119">
        <f>IF(OR(L52=47201,L52=47100,L52=47200,L52=47500),H52,0)</f>
        <v/>
      </c>
      <c r="R52" s="119">
        <f>IF(OR(L52=87201,L52=87100,L52=87200,L52=87500),H52,0)</f>
        <v/>
      </c>
    </row>
    <row r="53" ht="15" customHeight="1">
      <c r="A53" s="662">
        <f>IFERROR(VLOOKUP(E53,Tabellen!A:F,4),0)</f>
        <v/>
      </c>
      <c r="B53" s="662" t="n"/>
      <c r="C53" s="662">
        <f>IFERROR(VLOOKUP(E53,Tabellen!A:F,5),0)</f>
        <v/>
      </c>
      <c r="D53" s="662">
        <f>IFERROR(VLOOKUP(E53,Tabellen!A:F,6),0)</f>
        <v/>
      </c>
      <c r="E53" s="652" t="n"/>
      <c r="F53" s="663">
        <f>IF(E53&gt;0,$H$4,0)</f>
        <v/>
      </c>
      <c r="G53" s="662">
        <f>IFERROR(VLOOKUP(E53,Tabellen!A:F,2),0)</f>
        <v/>
      </c>
      <c r="H53" s="599" t="n"/>
      <c r="I53" s="599" t="n"/>
      <c r="J53" s="599" t="n"/>
      <c r="K53" s="599" t="n"/>
      <c r="L53" s="655">
        <f>IFERROR(VLOOKUP(E53,Tabellen!A:H,8),0)</f>
        <v/>
      </c>
      <c r="M53" s="664">
        <f>IFERROR(VLOOKUP(L53,Tabellen!H:I,2),0)</f>
        <v/>
      </c>
      <c r="N53" s="653" t="n"/>
      <c r="O53" s="653" t="n"/>
      <c r="P53" s="526" t="n"/>
      <c r="Q53" s="119">
        <f>IF(OR(L53=47201,L53=47100,L53=47200,L53=47500),H53,0)</f>
        <v/>
      </c>
      <c r="R53" s="119">
        <f>IF(OR(L53=87201,L53=87100,L53=87200,L53=87500),H53,0)</f>
        <v/>
      </c>
    </row>
    <row r="54" ht="15" customHeight="1">
      <c r="A54" s="657">
        <f>IFERROR(VLOOKUP(E54,Tabellen!A:F,4),0)</f>
        <v/>
      </c>
      <c r="B54" s="657" t="n"/>
      <c r="C54" s="657">
        <f>IFERROR(VLOOKUP(E54,Tabellen!A:F,5),0)</f>
        <v/>
      </c>
      <c r="D54" s="657">
        <f>IFERROR(VLOOKUP(E54,Tabellen!A:F,6),0)</f>
        <v/>
      </c>
      <c r="E54" s="652" t="n"/>
      <c r="F54" s="658">
        <f>IF(E54&gt;0,$H$4,0)</f>
        <v/>
      </c>
      <c r="G54" s="657">
        <f>IFERROR(VLOOKUP(E54,Tabellen!A:F,2),0)</f>
        <v/>
      </c>
      <c r="H54" s="599" t="n"/>
      <c r="I54" s="599" t="n"/>
      <c r="J54" s="599" t="n"/>
      <c r="K54" s="599" t="n"/>
      <c r="L54" s="659">
        <f>IFERROR(VLOOKUP(E54,Tabellen!A:H,8),0)</f>
        <v/>
      </c>
      <c r="M54" s="660">
        <f>IFERROR(VLOOKUP(L54,Tabellen!H:I,2),0)</f>
        <v/>
      </c>
      <c r="N54" s="661" t="n"/>
      <c r="O54" s="661" t="n"/>
      <c r="P54" s="508" t="n"/>
      <c r="Q54" s="119">
        <f>IF(OR(L54=47201,L54=47100,L54=47200,L54=47500),H54,0)</f>
        <v/>
      </c>
      <c r="R54" s="119">
        <f>IF(OR(L54=87201,L54=87100,L54=87200,L54=87500),H54,0)</f>
        <v/>
      </c>
    </row>
    <row r="55" ht="15" customHeight="1">
      <c r="A55" s="662">
        <f>IFERROR(VLOOKUP(E55,Tabellen!A:F,4),0)</f>
        <v/>
      </c>
      <c r="B55" s="662" t="n"/>
      <c r="C55" s="662">
        <f>IFERROR(VLOOKUP(E55,Tabellen!A:F,5),0)</f>
        <v/>
      </c>
      <c r="D55" s="662">
        <f>IFERROR(VLOOKUP(E55,Tabellen!A:F,6),0)</f>
        <v/>
      </c>
      <c r="E55" s="652" t="n"/>
      <c r="F55" s="663">
        <f>IF(E55&gt;0,$H$4,0)</f>
        <v/>
      </c>
      <c r="G55" s="662">
        <f>IFERROR(VLOOKUP(E55,Tabellen!A:F,2),0)</f>
        <v/>
      </c>
      <c r="H55" s="599" t="n"/>
      <c r="I55" s="599" t="n"/>
      <c r="J55" s="599" t="n"/>
      <c r="K55" s="599" t="n"/>
      <c r="L55" s="655">
        <f>IFERROR(VLOOKUP(E55,Tabellen!A:H,8),0)</f>
        <v/>
      </c>
      <c r="M55" s="664">
        <f>IFERROR(VLOOKUP(L55,Tabellen!H:I,2),0)</f>
        <v/>
      </c>
      <c r="N55" s="653" t="n"/>
      <c r="O55" s="653" t="n"/>
      <c r="P55" s="526" t="n"/>
      <c r="Q55" s="119">
        <f>IF(OR(L55=47201,L55=47100,L55=47200,L55=47500),H55,0)</f>
        <v/>
      </c>
      <c r="R55" s="119">
        <f>IF(OR(L55=87201,L55=87100,L55=87200,L55=87500),H55,0)</f>
        <v/>
      </c>
    </row>
    <row r="56" ht="15" customHeight="1">
      <c r="A56" s="657">
        <f>IFERROR(VLOOKUP(E56,Tabellen!A:F,4),0)</f>
        <v/>
      </c>
      <c r="B56" s="657" t="n"/>
      <c r="C56" s="657">
        <f>IFERROR(VLOOKUP(E56,Tabellen!A:F,5),0)</f>
        <v/>
      </c>
      <c r="D56" s="657">
        <f>IFERROR(VLOOKUP(E56,Tabellen!A:F,6),0)</f>
        <v/>
      </c>
      <c r="E56" s="652" t="n"/>
      <c r="F56" s="658">
        <f>IF(E56&gt;0,$H$4,0)</f>
        <v/>
      </c>
      <c r="G56" s="657">
        <f>IFERROR(VLOOKUP(E56,Tabellen!A:F,2),0)</f>
        <v/>
      </c>
      <c r="H56" s="599" t="n"/>
      <c r="I56" s="599" t="n"/>
      <c r="J56" s="599" t="n"/>
      <c r="K56" s="599" t="n"/>
      <c r="L56" s="659">
        <f>IFERROR(VLOOKUP(E56,Tabellen!A:H,8),0)</f>
        <v/>
      </c>
      <c r="M56" s="660">
        <f>IFERROR(VLOOKUP(L56,Tabellen!H:I,2),0)</f>
        <v/>
      </c>
      <c r="N56" s="661" t="n"/>
      <c r="O56" s="661" t="n"/>
      <c r="P56" s="508" t="n"/>
      <c r="Q56" s="119">
        <f>IF(OR(L56=47201,L56=47100,L56=47200,L56=47500),H56,0)</f>
        <v/>
      </c>
      <c r="R56" s="119">
        <f>IF(OR(L56=87201,L56=87100,L56=87200,L56=87500),H56,0)</f>
        <v/>
      </c>
    </row>
    <row r="57" ht="15" customHeight="1">
      <c r="A57" s="662">
        <f>IFERROR(VLOOKUP(E57,Tabellen!A:F,4),0)</f>
        <v/>
      </c>
      <c r="B57" s="662" t="n"/>
      <c r="C57" s="662">
        <f>IFERROR(VLOOKUP(E57,Tabellen!A:F,5),0)</f>
        <v/>
      </c>
      <c r="D57" s="662">
        <f>IFERROR(VLOOKUP(E57,Tabellen!A:F,6),0)</f>
        <v/>
      </c>
      <c r="E57" s="652" t="n"/>
      <c r="F57" s="663">
        <f>IF(E57&gt;0,$H$4,0)</f>
        <v/>
      </c>
      <c r="G57" s="662">
        <f>IFERROR(VLOOKUP(E57,Tabellen!A:F,2),0)</f>
        <v/>
      </c>
      <c r="H57" s="599" t="n"/>
      <c r="I57" s="599" t="n"/>
      <c r="J57" s="599" t="n"/>
      <c r="K57" s="599" t="n"/>
      <c r="L57" s="655">
        <f>IFERROR(VLOOKUP(E57,Tabellen!A:H,8),0)</f>
        <v/>
      </c>
      <c r="M57" s="664">
        <f>IFERROR(VLOOKUP(L57,Tabellen!H:I,2),0)</f>
        <v/>
      </c>
      <c r="N57" s="653" t="n"/>
      <c r="O57" s="653" t="n"/>
      <c r="P57" s="526" t="n"/>
      <c r="Q57" s="119">
        <f>IF(OR(L57=47201,L57=47100,L57=47200,L57=47500),H57,0)</f>
        <v/>
      </c>
      <c r="R57" s="119">
        <f>IF(OR(L57=87201,L57=87100,L57=87200,L57=87500),H57,0)</f>
        <v/>
      </c>
    </row>
    <row r="58" ht="15" customHeight="1">
      <c r="A58" s="657">
        <f>IFERROR(VLOOKUP(E58,Tabellen!A:F,4),0)</f>
        <v/>
      </c>
      <c r="B58" s="657" t="n"/>
      <c r="C58" s="657">
        <f>IFERROR(VLOOKUP(E58,Tabellen!A:F,5),0)</f>
        <v/>
      </c>
      <c r="D58" s="657">
        <f>IFERROR(VLOOKUP(E58,Tabellen!A:F,6),0)</f>
        <v/>
      </c>
      <c r="E58" s="652" t="n"/>
      <c r="F58" s="658">
        <f>IF(E58&gt;0,$H$4,0)</f>
        <v/>
      </c>
      <c r="G58" s="657">
        <f>IFERROR(VLOOKUP(E58,Tabellen!A:F,2),0)</f>
        <v/>
      </c>
      <c r="H58" s="599" t="n"/>
      <c r="I58" s="599" t="n"/>
      <c r="J58" s="599" t="n"/>
      <c r="K58" s="599" t="n"/>
      <c r="L58" s="659">
        <f>IFERROR(VLOOKUP(E58,Tabellen!A:H,8),0)</f>
        <v/>
      </c>
      <c r="M58" s="660">
        <f>IFERROR(VLOOKUP(L58,Tabellen!H:I,2),0)</f>
        <v/>
      </c>
      <c r="N58" s="661" t="n"/>
      <c r="O58" s="661" t="n"/>
      <c r="P58" s="508" t="n"/>
      <c r="Q58" s="119">
        <f>IF(OR(L58=47201,L58=47100,L58=47200,L58=47500),H58,0)</f>
        <v/>
      </c>
      <c r="R58" s="119">
        <f>IF(OR(L58=87201,L58=87100,L58=87200,L58=87500),H58,0)</f>
        <v/>
      </c>
    </row>
    <row r="59" ht="15" customHeight="1">
      <c r="A59" s="662">
        <f>IFERROR(VLOOKUP(E59,Tabellen!A:F,4),0)</f>
        <v/>
      </c>
      <c r="B59" s="662" t="n"/>
      <c r="C59" s="662">
        <f>IFERROR(VLOOKUP(E59,Tabellen!A:F,5),0)</f>
        <v/>
      </c>
      <c r="D59" s="662">
        <f>IFERROR(VLOOKUP(E59,Tabellen!A:F,6),0)</f>
        <v/>
      </c>
      <c r="E59" s="652" t="n"/>
      <c r="F59" s="663">
        <f>IF(E59&gt;0,$H$4,0)</f>
        <v/>
      </c>
      <c r="G59" s="662">
        <f>IFERROR(VLOOKUP(E59,Tabellen!A:F,2),0)</f>
        <v/>
      </c>
      <c r="H59" s="599" t="n"/>
      <c r="I59" s="599" t="n"/>
      <c r="J59" s="599" t="n"/>
      <c r="K59" s="599" t="n"/>
      <c r="L59" s="655">
        <f>IFERROR(VLOOKUP(E59,Tabellen!A:H,8),0)</f>
        <v/>
      </c>
      <c r="M59" s="664">
        <f>IFERROR(VLOOKUP(L59,Tabellen!H:I,2),0)</f>
        <v/>
      </c>
      <c r="N59" s="653" t="n"/>
      <c r="O59" s="653" t="n"/>
      <c r="P59" s="526" t="n"/>
      <c r="Q59" s="119">
        <f>IF(OR(L59=47201,L59=47100,L59=47200,L59=47500),H59,0)</f>
        <v/>
      </c>
      <c r="R59" s="119">
        <f>IF(OR(L59=87201,L59=87100,L59=87200,L59=87500),H59,0)</f>
        <v/>
      </c>
    </row>
    <row r="60" ht="15" customHeight="1">
      <c r="A60" s="657">
        <f>IFERROR(VLOOKUP(E60,Tabellen!A:F,4),0)</f>
        <v/>
      </c>
      <c r="B60" s="657" t="n"/>
      <c r="C60" s="657">
        <f>IFERROR(VLOOKUP(E60,Tabellen!A:F,5),0)</f>
        <v/>
      </c>
      <c r="D60" s="657">
        <f>IFERROR(VLOOKUP(E60,Tabellen!A:F,6),0)</f>
        <v/>
      </c>
      <c r="E60" s="652" t="n"/>
      <c r="F60" s="658">
        <f>IF(E60&gt;0,$H$4,0)</f>
        <v/>
      </c>
      <c r="G60" s="657">
        <f>IFERROR(VLOOKUP(E60,Tabellen!A:F,2),0)</f>
        <v/>
      </c>
      <c r="H60" s="599" t="n"/>
      <c r="I60" s="599" t="n"/>
      <c r="J60" s="599" t="n"/>
      <c r="K60" s="599" t="n"/>
      <c r="L60" s="659">
        <f>IFERROR(VLOOKUP(E60,Tabellen!A:H,8),0)</f>
        <v/>
      </c>
      <c r="M60" s="660">
        <f>IFERROR(VLOOKUP(L60,Tabellen!H:I,2),0)</f>
        <v/>
      </c>
      <c r="N60" s="661" t="n"/>
      <c r="O60" s="661" t="n"/>
      <c r="P60" s="508" t="n"/>
      <c r="Q60" s="119">
        <f>IF(OR(L60=47201,L60=47100,L60=47200,L60=47500),H60,0)</f>
        <v/>
      </c>
      <c r="R60" s="119">
        <f>IF(OR(L60=87201,L60=87100,L60=87200,L60=87500),H60,0)</f>
        <v/>
      </c>
    </row>
    <row r="61" ht="15" customHeight="1">
      <c r="A61" s="662">
        <f>IFERROR(VLOOKUP(E61,Tabellen!A:F,4),0)</f>
        <v/>
      </c>
      <c r="B61" s="662" t="n"/>
      <c r="C61" s="662">
        <f>IFERROR(VLOOKUP(E61,Tabellen!A:F,5),0)</f>
        <v/>
      </c>
      <c r="D61" s="662">
        <f>IFERROR(VLOOKUP(E61,Tabellen!A:F,6),0)</f>
        <v/>
      </c>
      <c r="E61" s="652" t="n"/>
      <c r="F61" s="663">
        <f>IF(E61&gt;0,$H$4,0)</f>
        <v/>
      </c>
      <c r="G61" s="662">
        <f>IFERROR(VLOOKUP(E61,Tabellen!A:F,2),0)</f>
        <v/>
      </c>
      <c r="H61" s="599" t="n"/>
      <c r="I61" s="599" t="n"/>
      <c r="J61" s="599" t="n"/>
      <c r="K61" s="599" t="n"/>
      <c r="L61" s="655">
        <f>IFERROR(VLOOKUP(E61,Tabellen!A:H,8),0)</f>
        <v/>
      </c>
      <c r="M61" s="664">
        <f>IFERROR(VLOOKUP(L61,Tabellen!H:I,2),0)</f>
        <v/>
      </c>
      <c r="N61" s="653" t="n"/>
      <c r="O61" s="653" t="n"/>
      <c r="P61" s="526" t="n"/>
      <c r="Q61" s="119">
        <f>IF(OR(L61=47201,L61=47100,L61=47200,L61=47500),H61,0)</f>
        <v/>
      </c>
      <c r="R61" s="119">
        <f>IF(OR(L61=87201,L61=87100,L61=87200,L61=87500),H61,0)</f>
        <v/>
      </c>
    </row>
    <row r="62" ht="15" customHeight="1">
      <c r="A62" s="657">
        <f>IFERROR(VLOOKUP(E62,Tabellen!A:F,4),0)</f>
        <v/>
      </c>
      <c r="B62" s="657" t="n"/>
      <c r="C62" s="657">
        <f>IFERROR(VLOOKUP(E62,Tabellen!A:F,5),0)</f>
        <v/>
      </c>
      <c r="D62" s="657">
        <f>IFERROR(VLOOKUP(E62,Tabellen!A:F,6),0)</f>
        <v/>
      </c>
      <c r="E62" s="652" t="n"/>
      <c r="F62" s="658">
        <f>IF(E62&gt;0,$H$4,0)</f>
        <v/>
      </c>
      <c r="G62" s="657">
        <f>IFERROR(VLOOKUP(E62,Tabellen!A:F,2),0)</f>
        <v/>
      </c>
      <c r="H62" s="599" t="n"/>
      <c r="I62" s="599" t="n"/>
      <c r="J62" s="599" t="n"/>
      <c r="K62" s="599" t="n"/>
      <c r="L62" s="659">
        <f>IFERROR(VLOOKUP(E62,Tabellen!A:H,8),0)</f>
        <v/>
      </c>
      <c r="M62" s="660">
        <f>IFERROR(VLOOKUP(L62,Tabellen!H:I,2),0)</f>
        <v/>
      </c>
      <c r="N62" s="661" t="n"/>
      <c r="O62" s="661" t="n"/>
      <c r="P62" s="508" t="n"/>
      <c r="Q62" s="119">
        <f>IF(OR(L62=47201,L62=47100,L62=47200,L62=47500),H62,0)</f>
        <v/>
      </c>
      <c r="R62" s="119">
        <f>IF(OR(L62=87201,L62=87100,L62=87200,L62=87500),H62,0)</f>
        <v/>
      </c>
    </row>
    <row r="63" ht="15" customHeight="1">
      <c r="A63" s="662">
        <f>IFERROR(VLOOKUP(E63,Tabellen!A:F,4),0)</f>
        <v/>
      </c>
      <c r="B63" s="662" t="n"/>
      <c r="C63" s="662">
        <f>IFERROR(VLOOKUP(E63,Tabellen!A:F,5),0)</f>
        <v/>
      </c>
      <c r="D63" s="662">
        <f>IFERROR(VLOOKUP(E63,Tabellen!A:F,6),0)</f>
        <v/>
      </c>
      <c r="E63" s="652" t="n"/>
      <c r="F63" s="663">
        <f>IF(E63&gt;0,$H$4,0)</f>
        <v/>
      </c>
      <c r="G63" s="662">
        <f>IFERROR(VLOOKUP(E63,Tabellen!A:F,2),0)</f>
        <v/>
      </c>
      <c r="H63" s="599" t="n"/>
      <c r="I63" s="599" t="n"/>
      <c r="J63" s="599" t="n"/>
      <c r="K63" s="599" t="n"/>
      <c r="L63" s="655">
        <f>IFERROR(VLOOKUP(E63,Tabellen!A:H,8),0)</f>
        <v/>
      </c>
      <c r="M63" s="664">
        <f>IFERROR(VLOOKUP(L63,Tabellen!H:I,2),0)</f>
        <v/>
      </c>
      <c r="N63" s="653" t="n"/>
      <c r="O63" s="653" t="n"/>
      <c r="P63" s="526" t="n"/>
      <c r="Q63" s="119">
        <f>IF(OR(L63=47201,L63=47100,L63=47200,L63=47500),H63,0)</f>
        <v/>
      </c>
      <c r="R63" s="119">
        <f>IF(OR(L63=87201,L63=87100,L63=87200,L63=87500),H63,0)</f>
        <v/>
      </c>
    </row>
    <row r="64" ht="15" customHeight="1">
      <c r="A64" s="657">
        <f>IFERROR(VLOOKUP(E64,Tabellen!A:F,4),0)</f>
        <v/>
      </c>
      <c r="B64" s="657" t="n"/>
      <c r="C64" s="657">
        <f>IFERROR(VLOOKUP(E64,Tabellen!A:F,5),0)</f>
        <v/>
      </c>
      <c r="D64" s="657">
        <f>IFERROR(VLOOKUP(E64,Tabellen!A:F,6),0)</f>
        <v/>
      </c>
      <c r="E64" s="652" t="n"/>
      <c r="F64" s="658">
        <f>IF(E64&gt;0,$H$4,0)</f>
        <v/>
      </c>
      <c r="G64" s="657">
        <f>IFERROR(VLOOKUP(E64,Tabellen!A:F,2),0)</f>
        <v/>
      </c>
      <c r="H64" s="599" t="n"/>
      <c r="I64" s="599" t="n"/>
      <c r="J64" s="599" t="n"/>
      <c r="K64" s="599" t="n"/>
      <c r="L64" s="659">
        <f>IFERROR(VLOOKUP(E64,Tabellen!A:H,8),0)</f>
        <v/>
      </c>
      <c r="M64" s="660">
        <f>IFERROR(VLOOKUP(L64,Tabellen!H:I,2),0)</f>
        <v/>
      </c>
      <c r="N64" s="661" t="n"/>
      <c r="O64" s="661" t="n"/>
      <c r="P64" s="508" t="n"/>
      <c r="Q64" s="119">
        <f>IF(OR(L64=47201,L64=47100,L64=47200,L64=47500),H64,0)</f>
        <v/>
      </c>
      <c r="R64" s="119">
        <f>IF(OR(L64=87201,L64=87100,L64=87200,L64=87500),H64,0)</f>
        <v/>
      </c>
    </row>
    <row r="65" ht="15" customHeight="1">
      <c r="A65" s="662">
        <f>IFERROR(VLOOKUP(E65,Tabellen!A:F,4),0)</f>
        <v/>
      </c>
      <c r="B65" s="662" t="n"/>
      <c r="C65" s="662">
        <f>IFERROR(VLOOKUP(E65,Tabellen!A:F,5),0)</f>
        <v/>
      </c>
      <c r="D65" s="662">
        <f>IFERROR(VLOOKUP(E65,Tabellen!A:F,6),0)</f>
        <v/>
      </c>
      <c r="E65" s="652" t="n"/>
      <c r="F65" s="663">
        <f>IF(E65&gt;0,$H$4,0)</f>
        <v/>
      </c>
      <c r="G65" s="662">
        <f>IFERROR(VLOOKUP(E65,Tabellen!A:F,2),0)</f>
        <v/>
      </c>
      <c r="H65" s="599" t="n"/>
      <c r="I65" s="599" t="n"/>
      <c r="J65" s="599" t="n"/>
      <c r="K65" s="599" t="n"/>
      <c r="L65" s="655">
        <f>IFERROR(VLOOKUP(E65,Tabellen!A:H,8),0)</f>
        <v/>
      </c>
      <c r="M65" s="664">
        <f>IFERROR(VLOOKUP(L65,Tabellen!H:I,2),0)</f>
        <v/>
      </c>
      <c r="N65" s="653" t="n"/>
      <c r="O65" s="653" t="n"/>
      <c r="P65" s="526" t="n"/>
      <c r="Q65" s="119">
        <f>IF(OR(L65=47201,L65=47100,L65=47200,L65=47500),H65,0)</f>
        <v/>
      </c>
      <c r="R65" s="119">
        <f>IF(OR(L65=87201,L65=87100,L65=87200,L65=87500),H65,0)</f>
        <v/>
      </c>
    </row>
    <row r="66" ht="15" customHeight="1">
      <c r="A66" s="657">
        <f>IFERROR(VLOOKUP(E66,Tabellen!A:F,4),0)</f>
        <v/>
      </c>
      <c r="B66" s="657" t="n"/>
      <c r="C66" s="657">
        <f>IFERROR(VLOOKUP(E66,Tabellen!A:F,5),0)</f>
        <v/>
      </c>
      <c r="D66" s="657">
        <f>IFERROR(VLOOKUP(E66,Tabellen!A:F,6),0)</f>
        <v/>
      </c>
      <c r="E66" s="652" t="n"/>
      <c r="F66" s="658">
        <f>IF(E66&gt;0,$H$4,0)</f>
        <v/>
      </c>
      <c r="G66" s="657">
        <f>IFERROR(VLOOKUP(E66,Tabellen!A:F,2),0)</f>
        <v/>
      </c>
      <c r="H66" s="599" t="n"/>
      <c r="I66" s="599" t="n"/>
      <c r="J66" s="599" t="n"/>
      <c r="K66" s="599" t="n"/>
      <c r="L66" s="659">
        <f>IFERROR(VLOOKUP(E66,Tabellen!A:H,8),0)</f>
        <v/>
      </c>
      <c r="M66" s="660">
        <f>IFERROR(VLOOKUP(L66,Tabellen!H:I,2),0)</f>
        <v/>
      </c>
      <c r="N66" s="661" t="n"/>
      <c r="O66" s="661" t="n"/>
      <c r="P66" s="508" t="n"/>
      <c r="Q66" s="119">
        <f>IF(OR(L66=47201,L66=47100,L66=47200,L66=47500),H66,0)</f>
        <v/>
      </c>
      <c r="R66" s="119">
        <f>IF(OR(L66=87201,L66=87100,L66=87200,L66=87500),H66,0)</f>
        <v/>
      </c>
    </row>
    <row r="67" ht="15" customHeight="1">
      <c r="A67" s="662">
        <f>IFERROR(VLOOKUP(E67,Tabellen!A:F,4),0)</f>
        <v/>
      </c>
      <c r="B67" s="662" t="n"/>
      <c r="C67" s="662">
        <f>IFERROR(VLOOKUP(E67,Tabellen!A:F,5),0)</f>
        <v/>
      </c>
      <c r="D67" s="662">
        <f>IFERROR(VLOOKUP(E67,Tabellen!A:F,6),0)</f>
        <v/>
      </c>
      <c r="E67" s="652" t="n"/>
      <c r="F67" s="663">
        <f>IF(E67&gt;0,$H$4,0)</f>
        <v/>
      </c>
      <c r="G67" s="662">
        <f>IFERROR(VLOOKUP(E67,Tabellen!A:F,2),0)</f>
        <v/>
      </c>
      <c r="H67" s="599" t="n"/>
      <c r="I67" s="599" t="n"/>
      <c r="J67" s="599" t="n"/>
      <c r="K67" s="599" t="n"/>
      <c r="L67" s="655">
        <f>IFERROR(VLOOKUP(E67,Tabellen!A:H,8),0)</f>
        <v/>
      </c>
      <c r="M67" s="664">
        <f>IFERROR(VLOOKUP(L67,Tabellen!H:I,2),0)</f>
        <v/>
      </c>
      <c r="N67" s="653" t="n"/>
      <c r="O67" s="653" t="n"/>
      <c r="P67" s="526" t="n"/>
      <c r="Q67" s="119">
        <f>IF(OR(L67=47201,L67=47100,L67=47200,L67=47500),H67,0)</f>
        <v/>
      </c>
      <c r="R67" s="119">
        <f>IF(OR(L67=87201,L67=87100,L67=87200,L67=87500),H67,0)</f>
        <v/>
      </c>
    </row>
    <row r="68" ht="15" customHeight="1">
      <c r="A68" s="657">
        <f>IFERROR(VLOOKUP(E68,Tabellen!A:F,4),0)</f>
        <v/>
      </c>
      <c r="B68" s="657" t="n"/>
      <c r="C68" s="657">
        <f>IFERROR(VLOOKUP(E68,Tabellen!A:F,5),0)</f>
        <v/>
      </c>
      <c r="D68" s="657">
        <f>IFERROR(VLOOKUP(E68,Tabellen!A:F,6),0)</f>
        <v/>
      </c>
      <c r="E68" s="652" t="n"/>
      <c r="F68" s="658">
        <f>IF(E68&gt;0,$H$4,0)</f>
        <v/>
      </c>
      <c r="G68" s="657">
        <f>IFERROR(VLOOKUP(E68,Tabellen!A:F,2),0)</f>
        <v/>
      </c>
      <c r="H68" s="599" t="n"/>
      <c r="I68" s="599" t="n"/>
      <c r="J68" s="599" t="n"/>
      <c r="K68" s="599" t="n"/>
      <c r="L68" s="659">
        <f>IFERROR(VLOOKUP(E68,Tabellen!A:H,8),0)</f>
        <v/>
      </c>
      <c r="M68" s="660">
        <f>IFERROR(VLOOKUP(L68,Tabellen!H:I,2),0)</f>
        <v/>
      </c>
      <c r="N68" s="661" t="n"/>
      <c r="O68" s="661" t="n"/>
      <c r="P68" s="508" t="n"/>
      <c r="Q68" s="119">
        <f>IF(OR(L68=47201,L68=47100,L68=47200,L68=47500),H68,0)</f>
        <v/>
      </c>
      <c r="R68" s="119">
        <f>IF(OR(L68=87201,L68=87100,L68=87200,L68=87500),H68,0)</f>
        <v/>
      </c>
    </row>
    <row r="69" ht="15" customHeight="1">
      <c r="A69" s="662">
        <f>IFERROR(VLOOKUP(E69,Tabellen!A:F,4),0)</f>
        <v/>
      </c>
      <c r="B69" s="662" t="n"/>
      <c r="C69" s="662">
        <f>IFERROR(VLOOKUP(E69,Tabellen!A:F,5),0)</f>
        <v/>
      </c>
      <c r="D69" s="662">
        <f>IFERROR(VLOOKUP(E69,Tabellen!A:F,6),0)</f>
        <v/>
      </c>
      <c r="E69" s="652" t="n"/>
      <c r="F69" s="663">
        <f>IF(E69&gt;0,$H$4,0)</f>
        <v/>
      </c>
      <c r="G69" s="662">
        <f>IFERROR(VLOOKUP(E69,Tabellen!A:F,2),0)</f>
        <v/>
      </c>
      <c r="H69" s="599" t="n"/>
      <c r="I69" s="599" t="n"/>
      <c r="J69" s="599" t="n"/>
      <c r="K69" s="599" t="n"/>
      <c r="L69" s="655">
        <f>IFERROR(VLOOKUP(E69,Tabellen!A:H,8),0)</f>
        <v/>
      </c>
      <c r="M69" s="664">
        <f>IFERROR(VLOOKUP(L69,Tabellen!H:I,2),0)</f>
        <v/>
      </c>
      <c r="N69" s="653" t="n"/>
      <c r="O69" s="653" t="n"/>
      <c r="P69" s="526" t="n"/>
      <c r="Q69" s="119">
        <f>IF(OR(L69=47201,L69=47100,L69=47200,L69=47500),H69,0)</f>
        <v/>
      </c>
      <c r="R69" s="119">
        <f>IF(OR(L69=87201,L69=87100,L69=87200,L69=87500),H69,0)</f>
        <v/>
      </c>
    </row>
    <row r="70" ht="15" customHeight="1">
      <c r="A70" s="657">
        <f>IFERROR(VLOOKUP(E70,Tabellen!A:F,4),0)</f>
        <v/>
      </c>
      <c r="B70" s="657" t="n"/>
      <c r="C70" s="657">
        <f>IFERROR(VLOOKUP(E70,Tabellen!A:F,5),0)</f>
        <v/>
      </c>
      <c r="D70" s="657">
        <f>IFERROR(VLOOKUP(E70,Tabellen!A:F,6),0)</f>
        <v/>
      </c>
      <c r="E70" s="652" t="n"/>
      <c r="F70" s="658">
        <f>IF(E70&gt;0,$H$4,0)</f>
        <v/>
      </c>
      <c r="G70" s="657">
        <f>IFERROR(VLOOKUP(E70,Tabellen!A:F,2),0)</f>
        <v/>
      </c>
      <c r="H70" s="599" t="n"/>
      <c r="I70" s="599" t="n"/>
      <c r="J70" s="599" t="n"/>
      <c r="K70" s="599" t="n"/>
      <c r="L70" s="659">
        <f>IFERROR(VLOOKUP(E70,Tabellen!A:H,8),0)</f>
        <v/>
      </c>
      <c r="M70" s="660">
        <f>IFERROR(VLOOKUP(L70,Tabellen!H:I,2),0)</f>
        <v/>
      </c>
      <c r="N70" s="661" t="n"/>
      <c r="O70" s="661" t="n"/>
      <c r="P70" s="508" t="n"/>
      <c r="Q70" s="119">
        <f>IF(OR(L70=47201,L70=47100,L70=47200,L70=47500),H70,0)</f>
        <v/>
      </c>
      <c r="R70" s="119">
        <f>IF(OR(L70=87201,L70=87100,L70=87200,L70=87500),H70,0)</f>
        <v/>
      </c>
    </row>
    <row r="71" ht="15" customHeight="1">
      <c r="A71" s="662">
        <f>IFERROR(VLOOKUP(E71,Tabellen!A:F,4),0)</f>
        <v/>
      </c>
      <c r="B71" s="662" t="n"/>
      <c r="C71" s="662">
        <f>IFERROR(VLOOKUP(E71,Tabellen!A:F,5),0)</f>
        <v/>
      </c>
      <c r="D71" s="662">
        <f>IFERROR(VLOOKUP(E71,Tabellen!A:F,6),0)</f>
        <v/>
      </c>
      <c r="E71" s="652" t="n"/>
      <c r="F71" s="663">
        <f>IF(E71&gt;0,$H$4,0)</f>
        <v/>
      </c>
      <c r="G71" s="662">
        <f>IFERROR(VLOOKUP(E71,Tabellen!A:F,2),0)</f>
        <v/>
      </c>
      <c r="H71" s="599" t="n"/>
      <c r="I71" s="599" t="n"/>
      <c r="J71" s="599" t="n"/>
      <c r="K71" s="599" t="n"/>
      <c r="L71" s="655">
        <f>IFERROR(VLOOKUP(E71,Tabellen!A:H,8),0)</f>
        <v/>
      </c>
      <c r="M71" s="664">
        <f>IFERROR(VLOOKUP(L71,Tabellen!H:I,2),0)</f>
        <v/>
      </c>
      <c r="N71" s="653" t="n"/>
      <c r="O71" s="653" t="n"/>
      <c r="P71" s="526" t="n"/>
      <c r="Q71" s="119">
        <f>IF(OR(L71=47201,L71=47100,L71=47200,L71=47500),H71,0)</f>
        <v/>
      </c>
      <c r="R71" s="119">
        <f>IF(OR(L71=87201,L71=87100,L71=87200,L71=87500),H71,0)</f>
        <v/>
      </c>
    </row>
    <row r="72" ht="15" customHeight="1">
      <c r="A72" s="657">
        <f>IFERROR(VLOOKUP(E72,Tabellen!A:F,4),0)</f>
        <v/>
      </c>
      <c r="B72" s="657" t="n"/>
      <c r="C72" s="657">
        <f>IFERROR(VLOOKUP(E72,Tabellen!A:F,5),0)</f>
        <v/>
      </c>
      <c r="D72" s="657">
        <f>IFERROR(VLOOKUP(E72,Tabellen!A:F,6),0)</f>
        <v/>
      </c>
      <c r="E72" s="652" t="n"/>
      <c r="F72" s="658">
        <f>IF(E72&gt;0,$H$4,0)</f>
        <v/>
      </c>
      <c r="G72" s="657">
        <f>IFERROR(VLOOKUP(E72,Tabellen!A:F,2),0)</f>
        <v/>
      </c>
      <c r="H72" s="599" t="n"/>
      <c r="I72" s="599" t="n"/>
      <c r="J72" s="599" t="n"/>
      <c r="K72" s="599" t="n"/>
      <c r="L72" s="659">
        <f>IFERROR(VLOOKUP(E72,Tabellen!A:H,8),0)</f>
        <v/>
      </c>
      <c r="M72" s="660">
        <f>IFERROR(VLOOKUP(L72,Tabellen!H:I,2),0)</f>
        <v/>
      </c>
      <c r="N72" s="661" t="n"/>
      <c r="O72" s="661" t="n"/>
      <c r="P72" s="508" t="n"/>
      <c r="Q72" s="119">
        <f>IF(OR(L72=47201,L72=47100,L72=47200,L72=47500),H72,0)</f>
        <v/>
      </c>
      <c r="R72" s="119">
        <f>IF(OR(L72=87201,L72=87100,L72=87200,L72=87500),H72,0)</f>
        <v/>
      </c>
    </row>
    <row r="73" ht="15" customHeight="1">
      <c r="A73" s="662">
        <f>IFERROR(VLOOKUP(E73,Tabellen!A:F,4),0)</f>
        <v/>
      </c>
      <c r="B73" s="662" t="n"/>
      <c r="C73" s="662">
        <f>IFERROR(VLOOKUP(E73,Tabellen!A:F,5),0)</f>
        <v/>
      </c>
      <c r="D73" s="662">
        <f>IFERROR(VLOOKUP(E73,Tabellen!A:F,6),0)</f>
        <v/>
      </c>
      <c r="E73" s="652" t="n"/>
      <c r="F73" s="663">
        <f>IF(E73&gt;0,$H$4,0)</f>
        <v/>
      </c>
      <c r="G73" s="662">
        <f>IFERROR(VLOOKUP(E73,Tabellen!A:F,2),0)</f>
        <v/>
      </c>
      <c r="H73" s="599" t="n"/>
      <c r="I73" s="599" t="n"/>
      <c r="J73" s="599" t="n"/>
      <c r="K73" s="599" t="n"/>
      <c r="L73" s="655">
        <f>IFERROR(VLOOKUP(E73,Tabellen!A:H,8),0)</f>
        <v/>
      </c>
      <c r="M73" s="664">
        <f>IFERROR(VLOOKUP(L73,Tabellen!H:I,2),0)</f>
        <v/>
      </c>
      <c r="N73" s="653" t="n"/>
      <c r="O73" s="653" t="n"/>
      <c r="P73" s="526" t="n"/>
      <c r="Q73" s="119">
        <f>IF(OR(L73=47201,L73=47100,L73=47200,L73=47500),H73,0)</f>
        <v/>
      </c>
      <c r="R73" s="119">
        <f>IF(OR(L73=87201,L73=87100,L73=87200,L73=87500),H73,0)</f>
        <v/>
      </c>
    </row>
    <row r="74" ht="15" customHeight="1">
      <c r="A74" s="657">
        <f>IFERROR(VLOOKUP(E74,Tabellen!A:F,4),0)</f>
        <v/>
      </c>
      <c r="B74" s="657" t="n"/>
      <c r="C74" s="657">
        <f>IFERROR(VLOOKUP(E74,Tabellen!A:F,5),0)</f>
        <v/>
      </c>
      <c r="D74" s="657">
        <f>IFERROR(VLOOKUP(E74,Tabellen!A:F,6),0)</f>
        <v/>
      </c>
      <c r="E74" s="652" t="n"/>
      <c r="F74" s="658">
        <f>IF(E74&gt;0,$H$4,0)</f>
        <v/>
      </c>
      <c r="G74" s="657">
        <f>IFERROR(VLOOKUP(E74,Tabellen!A:F,2),0)</f>
        <v/>
      </c>
      <c r="H74" s="606" t="n"/>
      <c r="I74" s="606" t="n"/>
      <c r="J74" s="606" t="n"/>
      <c r="K74" s="606" t="n"/>
      <c r="L74" s="659">
        <f>IFERROR(VLOOKUP(E74,Tabellen!A:H,8),0)</f>
        <v/>
      </c>
      <c r="M74" s="660">
        <f>IFERROR(VLOOKUP(L74,Tabellen!H:I,2),0)</f>
        <v/>
      </c>
      <c r="N74" s="661" t="n"/>
      <c r="O74" s="661" t="n"/>
      <c r="P74" s="508" t="n"/>
      <c r="Q74" s="119">
        <f>IF(OR(L74=47201,L74=47100,L74=47200,L74=47500),H74,0)</f>
        <v/>
      </c>
      <c r="R74" s="119">
        <f>IF(OR(L74=87201,L74=87100,L74=87200,L74=87500),H74,0)</f>
        <v/>
      </c>
    </row>
    <row r="75" ht="16" customFormat="1" customHeight="1" s="132">
      <c r="A75" s="607" t="inlineStr">
        <is>
          <t>Saldo inkomsten en uitgaven</t>
        </is>
      </c>
      <c r="B75" s="607" t="n"/>
      <c r="C75" s="607" t="n"/>
      <c r="D75" s="607" t="n"/>
      <c r="E75" s="607" t="n"/>
      <c r="F75" s="608" t="n"/>
      <c r="G75" s="609" t="n"/>
      <c r="H75" s="612">
        <f>SUM(H18:H74)</f>
        <v/>
      </c>
      <c r="I75" s="612">
        <f>SUM(I18:I74)</f>
        <v/>
      </c>
      <c r="J75" s="612">
        <f>SUM(J18:J74)</f>
        <v/>
      </c>
      <c r="K75" s="612">
        <f>SUM(K18:K74)</f>
        <v/>
      </c>
      <c r="L75" s="610" t="n"/>
      <c r="M75" s="611" t="n"/>
      <c r="N75" s="608" t="n"/>
      <c r="O75" s="608" t="n"/>
      <c r="P75" s="461" t="n"/>
      <c r="Q75" s="349">
        <f>IF(OR(L75=47201,L75=47100,L75=47200,L75=47500),H75,0)</f>
        <v/>
      </c>
      <c r="R75" s="349">
        <f>IF(OR(L75=87201,L75=87100,L75=87200,L75=87500),H75,0)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116" t="n"/>
      <c r="I76" s="116" t="n"/>
      <c r="J76" s="116" t="n"/>
      <c r="K76" s="116" t="n"/>
      <c r="L76" s="63" t="n"/>
      <c r="M76" s="246" t="n"/>
      <c r="N76" s="73" t="n"/>
      <c r="O76" s="247" t="n"/>
      <c r="Q76" s="119">
        <f>IF(OR(L76=47201,L76=47100,L76=47200,L76=47500),H76,0)</f>
        <v/>
      </c>
      <c r="R76" s="119">
        <f>IF(OR(L76=87201,L76=87100,L76=87200,L76=87500),H76,0)</f>
        <v/>
      </c>
    </row>
    <row r="77" ht="18" customHeight="1">
      <c r="A77" s="665" t="inlineStr">
        <is>
          <t>B. Dekking uitgaven en inkomsten</t>
        </is>
      </c>
      <c r="B77" s="665" t="n"/>
      <c r="C77" s="665" t="n"/>
      <c r="D77" s="665" t="n"/>
      <c r="E77" s="665" t="n"/>
      <c r="F77" s="665" t="n"/>
      <c r="G77" s="665" t="n"/>
      <c r="H77" s="665" t="n"/>
      <c r="I77" s="665" t="n"/>
      <c r="J77" s="665" t="n"/>
      <c r="K77" s="665" t="n"/>
      <c r="L77" s="666" t="n"/>
      <c r="M77" s="667" t="n"/>
      <c r="N77" s="665" t="n"/>
      <c r="O77" s="665" t="n"/>
      <c r="P77" s="458" t="n"/>
      <c r="Q77" s="459" t="inlineStr">
        <is>
          <t>→ reserves, voorzieningen en overige dekkingsbronnen HIER invullen</t>
        </is>
      </c>
      <c r="R77" s="459">
        <f>IF(OR(L77=87201,L77=87100,L77=87200,L77=87500),H77,0)</f>
        <v/>
      </c>
      <c r="S77" s="357" t="n"/>
      <c r="T77" s="357" t="n"/>
    </row>
    <row r="78" ht="15" customHeight="1">
      <c r="A78" s="657">
        <f>IFERROR(VLOOKUP(E78,Tabellen!A:F,4),0)</f>
        <v/>
      </c>
      <c r="B78" s="668" t="n"/>
      <c r="C78" s="669">
        <f>IFERROR(VLOOKUP(E78,Tabellen!A:F,5),0)</f>
        <v/>
      </c>
      <c r="D78" s="657">
        <f>IFERROR(VLOOKUP(E78,Tabellen!A:F,6),0)</f>
        <v/>
      </c>
      <c r="E78" s="652" t="n"/>
      <c r="F78" s="658">
        <f>IF(E78&gt;0,$H$4,0)</f>
        <v/>
      </c>
      <c r="G78" s="670">
        <f>IFERROR(VLOOKUP(E78,Tabellen!A:F,2),0)</f>
        <v/>
      </c>
      <c r="H78" s="599" t="n"/>
      <c r="I78" s="599" t="n"/>
      <c r="J78" s="599" t="n"/>
      <c r="K78" s="599" t="n"/>
      <c r="L78" s="671">
        <f>IFERROR(VLOOKUP(E78,Tabellen!A:H,8),0)</f>
        <v/>
      </c>
      <c r="M78" s="660">
        <f>IFERROR(VLOOKUP(L78,Tabellen!H:I,2),0)</f>
        <v/>
      </c>
      <c r="N78" s="661" t="n"/>
      <c r="O78" s="661" t="n"/>
      <c r="P78" s="508" t="n"/>
      <c r="Q78" s="119">
        <f>IF(OR(L78=47201,L78=47100,L78=47200,L78=47500),H78,0)</f>
        <v/>
      </c>
      <c r="R78" s="119">
        <f>IF(OR(L78=87201,L78=87100,L78=87200,L78=87500),H78,0)</f>
        <v/>
      </c>
    </row>
    <row r="79" ht="15" customHeight="1">
      <c r="A79" s="662">
        <f>IFERROR(VLOOKUP(E79,Tabellen!A:F,4),0)</f>
        <v/>
      </c>
      <c r="B79" s="672" t="n"/>
      <c r="C79" s="651">
        <f>IFERROR(VLOOKUP(E79,Tabellen!A:F,5),0)</f>
        <v/>
      </c>
      <c r="D79" s="662">
        <f>IFERROR(VLOOKUP(E79,Tabellen!A:F,6),0)</f>
        <v/>
      </c>
      <c r="E79" s="652" t="n"/>
      <c r="F79" s="663">
        <f>IF(E79&gt;0,$H$4,0)</f>
        <v/>
      </c>
      <c r="G79" s="654">
        <f>IFERROR(VLOOKUP(E79,Tabellen!A:F,2),0)</f>
        <v/>
      </c>
      <c r="H79" s="599" t="n"/>
      <c r="I79" s="599" t="n"/>
      <c r="J79" s="599" t="n"/>
      <c r="K79" s="599" t="n"/>
      <c r="L79" s="673">
        <f>IFERROR(VLOOKUP(E79,Tabellen!A:H,8),0)</f>
        <v/>
      </c>
      <c r="M79" s="664">
        <f>IFERROR(VLOOKUP(L79,Tabellen!H:I,2),0)</f>
        <v/>
      </c>
      <c r="N79" s="653" t="n"/>
      <c r="O79" s="653" t="n"/>
      <c r="P79" s="526" t="n"/>
      <c r="Q79" s="119">
        <f>IF(OR(L79=47201,L79=47100,L79=47200,L79=47500),H79,0)</f>
        <v/>
      </c>
      <c r="R79" s="119">
        <f>IF(OR(L79=87201,L79=87100,L79=87200,L79=87500),H79,0)</f>
        <v/>
      </c>
    </row>
    <row r="80" ht="15" customHeight="1">
      <c r="A80" s="657">
        <f>IFERROR(VLOOKUP(E80,Tabellen!A:F,4),0)</f>
        <v/>
      </c>
      <c r="B80" s="668" t="n"/>
      <c r="C80" s="669">
        <f>IFERROR(VLOOKUP(E80,Tabellen!A:F,5),0)</f>
        <v/>
      </c>
      <c r="D80" s="657">
        <f>IFERROR(VLOOKUP(E80,Tabellen!A:F,6),0)</f>
        <v/>
      </c>
      <c r="E80" s="652" t="n"/>
      <c r="F80" s="658">
        <f>IF(E80&gt;0,$H$4,0)</f>
        <v/>
      </c>
      <c r="G80" s="670">
        <f>IFERROR(VLOOKUP(E80,Tabellen!A:F,2),0)</f>
        <v/>
      </c>
      <c r="H80" s="599" t="n"/>
      <c r="I80" s="599" t="n"/>
      <c r="J80" s="599" t="n"/>
      <c r="K80" s="599" t="n"/>
      <c r="L80" s="671">
        <f>IFERROR(VLOOKUP(E80,Tabellen!A:H,8),0)</f>
        <v/>
      </c>
      <c r="M80" s="660">
        <f>IFERROR(VLOOKUP(L80,Tabellen!H:I,2),0)</f>
        <v/>
      </c>
      <c r="N80" s="661" t="n"/>
      <c r="O80" s="661" t="n"/>
      <c r="P80" s="508" t="n"/>
      <c r="Q80" s="119">
        <f>IF(OR(L80=47201,L80=47100,L80=47200,L80=47500),H80,0)</f>
        <v/>
      </c>
      <c r="R80" s="119">
        <f>IF(OR(L80=87201,L80=87100,L80=87200,L80=87500),H80,0)</f>
        <v/>
      </c>
    </row>
    <row r="81" ht="15" customHeight="1">
      <c r="A81" s="662">
        <f>IFERROR(VLOOKUP(E81,Tabellen!A:F,4),0)</f>
        <v/>
      </c>
      <c r="B81" s="672" t="n"/>
      <c r="C81" s="651">
        <f>IFERROR(VLOOKUP(E81,Tabellen!A:F,5),0)</f>
        <v/>
      </c>
      <c r="D81" s="662">
        <f>IFERROR(VLOOKUP(E81,Tabellen!A:F,6),0)</f>
        <v/>
      </c>
      <c r="E81" s="652" t="n"/>
      <c r="F81" s="663">
        <f>IF(E81&gt;0,$H$4,0)</f>
        <v/>
      </c>
      <c r="G81" s="654">
        <f>IFERROR(VLOOKUP(E81,Tabellen!A:F,2),0)</f>
        <v/>
      </c>
      <c r="H81" s="599" t="n"/>
      <c r="I81" s="599" t="n"/>
      <c r="J81" s="599" t="n"/>
      <c r="K81" s="599" t="n"/>
      <c r="L81" s="673">
        <f>IFERROR(VLOOKUP(E81,Tabellen!A:H,8),0)</f>
        <v/>
      </c>
      <c r="M81" s="664">
        <f>IFERROR(VLOOKUP(L81,Tabellen!H:I,2),0)</f>
        <v/>
      </c>
      <c r="N81" s="653" t="n"/>
      <c r="O81" s="653" t="n"/>
      <c r="P81" s="526" t="n"/>
      <c r="Q81" s="119">
        <f>IF(OR(L81=47201,L81=47100,L81=47200,L81=47500),H81,0)</f>
        <v/>
      </c>
      <c r="R81" s="119">
        <f>IF(OR(L81=87201,L81=87100,L81=87200,L81=87500),H81,0)</f>
        <v/>
      </c>
    </row>
    <row r="82" ht="15" customHeight="1">
      <c r="A82" s="657">
        <f>IFERROR(VLOOKUP(E82,Tabellen!A:F,4),0)</f>
        <v/>
      </c>
      <c r="B82" s="668" t="n"/>
      <c r="C82" s="669">
        <f>IFERROR(VLOOKUP(E82,Tabellen!A:F,5),0)</f>
        <v/>
      </c>
      <c r="D82" s="657">
        <f>IFERROR(VLOOKUP(E82,Tabellen!A:F,6),0)</f>
        <v/>
      </c>
      <c r="E82" s="652" t="n"/>
      <c r="F82" s="658">
        <f>IF(E82&gt;0,$H$4,0)</f>
        <v/>
      </c>
      <c r="G82" s="670">
        <f>IFERROR(VLOOKUP(E82,Tabellen!A:F,2),0)</f>
        <v/>
      </c>
      <c r="H82" s="599" t="n"/>
      <c r="I82" s="599" t="n"/>
      <c r="J82" s="599" t="n"/>
      <c r="K82" s="599" t="n"/>
      <c r="L82" s="671">
        <f>IFERROR(VLOOKUP(E82,Tabellen!A:H,8),0)</f>
        <v/>
      </c>
      <c r="M82" s="660">
        <f>IFERROR(VLOOKUP(L82,Tabellen!H:I,2),0)</f>
        <v/>
      </c>
      <c r="N82" s="661" t="n"/>
      <c r="O82" s="661" t="n"/>
      <c r="P82" s="508" t="n"/>
      <c r="Q82" s="119">
        <f>IF(OR(L82=47201,L82=47100,L82=47200,L82=47500),H82,0)</f>
        <v/>
      </c>
      <c r="R82" s="119">
        <f>IF(OR(L82=87201,L82=87100,L82=87200,L82=87500),H82,0)</f>
        <v/>
      </c>
    </row>
    <row r="83" ht="15" customHeight="1">
      <c r="A83" s="662">
        <f>IFERROR(VLOOKUP(E83,Tabellen!A:F,4),0)</f>
        <v/>
      </c>
      <c r="B83" s="662" t="n"/>
      <c r="C83" s="651">
        <f>IFERROR(VLOOKUP(E83,Tabellen!A:F,5),0)</f>
        <v/>
      </c>
      <c r="D83" s="662">
        <f>IFERROR(VLOOKUP(E83,Tabellen!A:F,6),0)</f>
        <v/>
      </c>
      <c r="E83" s="652" t="n"/>
      <c r="F83" s="663">
        <f>IF(E83&gt;0,$H$4,0)</f>
        <v/>
      </c>
      <c r="G83" s="654">
        <f>IFERROR(VLOOKUP(E83,Tabellen!A:F,2),0)</f>
        <v/>
      </c>
      <c r="H83" s="599" t="n"/>
      <c r="I83" s="599" t="n"/>
      <c r="J83" s="599" t="n"/>
      <c r="K83" s="599" t="n"/>
      <c r="L83" s="673">
        <f>IFERROR(VLOOKUP(E83,Tabellen!A:H,8),0)</f>
        <v/>
      </c>
      <c r="M83" s="664">
        <f>IFERROR(VLOOKUP(L83,Tabellen!H:I,2),0)</f>
        <v/>
      </c>
      <c r="N83" s="653" t="n"/>
      <c r="O83" s="653" t="n"/>
      <c r="P83" s="526" t="n"/>
      <c r="Q83" s="119">
        <f>IF(OR(L83=47201,L83=47100,L83=47200,L83=47500),H83,0)</f>
        <v/>
      </c>
      <c r="R83" s="119">
        <f>IF(OR(L83=87201,L83=87100,L83=87200,L83=87500),H83,0)</f>
        <v/>
      </c>
    </row>
    <row r="84" ht="15" customHeight="1">
      <c r="A84" s="657">
        <f>IFERROR(VLOOKUP(E84,Tabellen!A:F,4),0)</f>
        <v/>
      </c>
      <c r="B84" s="668" t="n"/>
      <c r="C84" s="669">
        <f>IFERROR(VLOOKUP(E84,Tabellen!A:F,5),0)</f>
        <v/>
      </c>
      <c r="D84" s="657">
        <f>IFERROR(VLOOKUP(E84,Tabellen!A:F,6),0)</f>
        <v/>
      </c>
      <c r="E84" s="652" t="n"/>
      <c r="F84" s="658">
        <f>IF(E84&gt;0,$H$4,0)</f>
        <v/>
      </c>
      <c r="G84" s="670">
        <f>IFERROR(VLOOKUP(E84,Tabellen!A:F,2),0)</f>
        <v/>
      </c>
      <c r="H84" s="599" t="n"/>
      <c r="I84" s="599" t="n"/>
      <c r="J84" s="599" t="n"/>
      <c r="K84" s="599" t="n"/>
      <c r="L84" s="671">
        <f>IFERROR(VLOOKUP(E84,Tabellen!A:H,8),0)</f>
        <v/>
      </c>
      <c r="M84" s="660">
        <f>IFERROR(VLOOKUP(L84,Tabellen!H:I,2),0)</f>
        <v/>
      </c>
      <c r="N84" s="661" t="n"/>
      <c r="O84" s="661" t="n"/>
      <c r="P84" s="508" t="n"/>
      <c r="Q84" s="119">
        <f>IF(OR(L84=47201,L84=47100,L84=47200,L84=47500),H84,0)</f>
        <v/>
      </c>
      <c r="R84" s="119">
        <f>IF(OR(L84=87201,L84=87100,L84=87200,L84=87500),H84,0)</f>
        <v/>
      </c>
    </row>
    <row r="85" ht="15" customHeight="1">
      <c r="A85" s="662">
        <f>IFERROR(VLOOKUP(E85,Tabellen!A:F,4),0)</f>
        <v/>
      </c>
      <c r="B85" s="662" t="n"/>
      <c r="C85" s="651">
        <f>IFERROR(VLOOKUP(E85,Tabellen!A:F,5),0)</f>
        <v/>
      </c>
      <c r="D85" s="662">
        <f>IFERROR(VLOOKUP(E85,Tabellen!A:F,6),0)</f>
        <v/>
      </c>
      <c r="E85" s="652" t="n"/>
      <c r="F85" s="663">
        <f>IF(E85&gt;0,$H$4,0)</f>
        <v/>
      </c>
      <c r="G85" s="654">
        <f>IFERROR(VLOOKUP(E85,Tabellen!A:F,2),0)</f>
        <v/>
      </c>
      <c r="H85" s="599" t="n"/>
      <c r="I85" s="599" t="n"/>
      <c r="J85" s="599" t="n"/>
      <c r="K85" s="599" t="n"/>
      <c r="L85" s="673">
        <f>IFERROR(VLOOKUP(E85,Tabellen!A:H,8),0)</f>
        <v/>
      </c>
      <c r="M85" s="664">
        <f>IFERROR(VLOOKUP(L85,Tabellen!H:I,2),0)</f>
        <v/>
      </c>
      <c r="N85" s="653" t="n"/>
      <c r="O85" s="653" t="n"/>
      <c r="P85" s="526" t="n"/>
      <c r="Q85" s="119">
        <f>IF(OR(L85=47201,L85=47100,L85=47200,L85=47500),H85,0)</f>
        <v/>
      </c>
      <c r="R85" s="119">
        <f>IF(OR(L85=87201,L85=87100,L85=87200,L85=87500),H85,0)</f>
        <v/>
      </c>
    </row>
    <row r="86" ht="15" customHeight="1">
      <c r="A86" s="657">
        <f>IFERROR(VLOOKUP(E86,Tabellen!A:F,4),0)</f>
        <v/>
      </c>
      <c r="B86" s="657" t="n"/>
      <c r="C86" s="669">
        <f>IFERROR(VLOOKUP(E86,Tabellen!A:F,5),0)</f>
        <v/>
      </c>
      <c r="D86" s="657">
        <f>IFERROR(VLOOKUP(E86,Tabellen!A:F,6),0)</f>
        <v/>
      </c>
      <c r="E86" s="652" t="n"/>
      <c r="F86" s="658">
        <f>IF(E86&gt;0,$H$4,0)</f>
        <v/>
      </c>
      <c r="G86" s="670">
        <f>IFERROR(VLOOKUP(E86,Tabellen!A:F,2),0)</f>
        <v/>
      </c>
      <c r="H86" s="599" t="n"/>
      <c r="I86" s="599" t="n"/>
      <c r="J86" s="599" t="n"/>
      <c r="K86" s="599" t="n"/>
      <c r="L86" s="671">
        <f>IFERROR(VLOOKUP(E86,Tabellen!A:H,8),0)</f>
        <v/>
      </c>
      <c r="M86" s="660">
        <f>IFERROR(VLOOKUP(L86,Tabellen!H:I,2),0)</f>
        <v/>
      </c>
      <c r="N86" s="661" t="n"/>
      <c r="O86" s="661" t="n"/>
      <c r="P86" s="508" t="n"/>
      <c r="Q86" s="119">
        <f>IF(OR(L86=47201,L86=47100,L86=47200,L86=47500),H86,0)</f>
        <v/>
      </c>
      <c r="R86" s="119">
        <f>IF(OR(L86=87201,L86=87100,L86=87200,L86=87500),H86,0)</f>
        <v/>
      </c>
    </row>
    <row r="87" ht="15" customHeight="1">
      <c r="A87" s="662">
        <f>IFERROR(VLOOKUP(E87,Tabellen!A:F,4),0)</f>
        <v/>
      </c>
      <c r="B87" s="662" t="n"/>
      <c r="C87" s="651">
        <f>IFERROR(VLOOKUP(E87,Tabellen!A:F,5),0)</f>
        <v/>
      </c>
      <c r="D87" s="662">
        <f>IFERROR(VLOOKUP(E87,Tabellen!A:F,6),0)</f>
        <v/>
      </c>
      <c r="E87" s="652" t="n"/>
      <c r="F87" s="663">
        <f>IF(E87&gt;0,$H$4,0)</f>
        <v/>
      </c>
      <c r="G87" s="654">
        <f>IFERROR(VLOOKUP(E87,Tabellen!A:F,2),0)</f>
        <v/>
      </c>
      <c r="H87" s="599" t="n"/>
      <c r="I87" s="599" t="n"/>
      <c r="J87" s="599" t="n"/>
      <c r="K87" s="599" t="n"/>
      <c r="L87" s="673">
        <f>IFERROR(VLOOKUP(E87,Tabellen!A:H,8),0)</f>
        <v/>
      </c>
      <c r="M87" s="664">
        <f>IFERROR(VLOOKUP(L87,Tabellen!H:I,2),0)</f>
        <v/>
      </c>
      <c r="N87" s="653" t="n"/>
      <c r="O87" s="653" t="n"/>
      <c r="P87" s="526" t="n"/>
      <c r="Q87" s="119">
        <f>IF(OR(L87=47201,L87=47100,L87=47200,L87=47500),H87,0)</f>
        <v/>
      </c>
      <c r="R87" s="119">
        <f>IF(OR(L87=87201,L87=87100,L87=87200,L87=87500),H87,0)</f>
        <v/>
      </c>
    </row>
    <row r="88" ht="15" customHeight="1">
      <c r="A88" s="657">
        <f>IFERROR(VLOOKUP(E88,Tabellen!A:F,4),0)</f>
        <v/>
      </c>
      <c r="B88" s="657" t="n"/>
      <c r="C88" s="669">
        <f>IFERROR(VLOOKUP(E88,Tabellen!A:F,5),0)</f>
        <v/>
      </c>
      <c r="D88" s="657">
        <f>IFERROR(VLOOKUP(E88,Tabellen!A:F,6),0)</f>
        <v/>
      </c>
      <c r="E88" s="652" t="n"/>
      <c r="F88" s="658">
        <f>IF(E88&gt;0,$H$4,0)</f>
        <v/>
      </c>
      <c r="G88" s="670">
        <f>IFERROR(VLOOKUP(E88,Tabellen!A:F,2),0)</f>
        <v/>
      </c>
      <c r="H88" s="599" t="n"/>
      <c r="I88" s="599" t="n"/>
      <c r="J88" s="599" t="n"/>
      <c r="K88" s="599" t="n"/>
      <c r="L88" s="671">
        <f>IFERROR(VLOOKUP(E88,Tabellen!A:H,8),0)</f>
        <v/>
      </c>
      <c r="M88" s="660">
        <f>IFERROR(VLOOKUP(L88,Tabellen!H:I,2),0)</f>
        <v/>
      </c>
      <c r="N88" s="661" t="n"/>
      <c r="O88" s="661" t="n"/>
      <c r="P88" s="508" t="n"/>
      <c r="Q88" s="119">
        <f>IF(OR(L88=47201,L88=47100,L88=47200,L88=47500),H88,0)</f>
        <v/>
      </c>
      <c r="R88" s="119">
        <f>IF(OR(L88=87201,L88=87100,L88=87200,L88=87500),H88,0)</f>
        <v/>
      </c>
    </row>
    <row r="89" ht="15" customHeight="1">
      <c r="A89" s="662">
        <f>IFERROR(VLOOKUP(E89,Tabellen!A:F,4),0)</f>
        <v/>
      </c>
      <c r="B89" s="662" t="n"/>
      <c r="C89" s="651">
        <f>IFERROR(VLOOKUP(E89,Tabellen!A:F,5),0)</f>
        <v/>
      </c>
      <c r="D89" s="662">
        <f>IFERROR(VLOOKUP(E89,Tabellen!A:F,6),0)</f>
        <v/>
      </c>
      <c r="E89" s="652" t="n"/>
      <c r="F89" s="663">
        <f>IF(E89&gt;0,$H$4,0)</f>
        <v/>
      </c>
      <c r="G89" s="654">
        <f>IFERROR(VLOOKUP(E89,Tabellen!A:F,2),0)</f>
        <v/>
      </c>
      <c r="H89" s="599" t="n"/>
      <c r="I89" s="599" t="n"/>
      <c r="J89" s="599" t="n"/>
      <c r="K89" s="599" t="n"/>
      <c r="L89" s="673">
        <f>IFERROR(VLOOKUP(E89,Tabellen!A:H,8),0)</f>
        <v/>
      </c>
      <c r="M89" s="664">
        <f>IFERROR(VLOOKUP(L89,Tabellen!H:I,2),0)</f>
        <v/>
      </c>
      <c r="N89" s="653" t="n"/>
      <c r="O89" s="653" t="n"/>
      <c r="P89" s="526" t="n"/>
      <c r="Q89" s="119">
        <f>IF(OR(L89=47201,L89=47100,L89=47200,L89=47500),H89,0)</f>
        <v/>
      </c>
      <c r="R89" s="119">
        <f>IF(OR(L89=87201,L89=87100,L89=87200,L89=87500),H89,0)</f>
        <v/>
      </c>
    </row>
    <row r="90" ht="15" customHeight="1">
      <c r="A90" s="657">
        <f>IFERROR(VLOOKUP(E90,Tabellen!A:F,4),0)</f>
        <v/>
      </c>
      <c r="B90" s="657" t="n"/>
      <c r="C90" s="669">
        <f>IFERROR(VLOOKUP(E90,Tabellen!A:F,5),0)</f>
        <v/>
      </c>
      <c r="D90" s="657">
        <f>IFERROR(VLOOKUP(E90,Tabellen!A:F,6),0)</f>
        <v/>
      </c>
      <c r="E90" s="652" t="n"/>
      <c r="F90" s="658">
        <f>IF(E90&gt;0,$H$4,0)</f>
        <v/>
      </c>
      <c r="G90" s="670">
        <f>IFERROR(VLOOKUP(E90,Tabellen!A:F,2),0)</f>
        <v/>
      </c>
      <c r="H90" s="599" t="n"/>
      <c r="I90" s="599" t="n"/>
      <c r="J90" s="599" t="n"/>
      <c r="K90" s="599" t="n"/>
      <c r="L90" s="671">
        <f>IFERROR(VLOOKUP(E90,Tabellen!A:H,8),0)</f>
        <v/>
      </c>
      <c r="M90" s="660">
        <f>IFERROR(VLOOKUP(L90,Tabellen!H:I,2),0)</f>
        <v/>
      </c>
      <c r="N90" s="661" t="n"/>
      <c r="O90" s="661" t="n"/>
      <c r="P90" s="508" t="n"/>
      <c r="Q90" s="119">
        <f>IF(OR(L90=47201,L90=47100,L90=47200,L90=47500),H90,0)</f>
        <v/>
      </c>
      <c r="R90" s="119">
        <f>IF(OR(L90=87201,L90=87100,L90=87200,L90=87500),H90,0)</f>
        <v/>
      </c>
    </row>
    <row r="91" ht="15" customHeight="1">
      <c r="A91" s="662">
        <f>IFERROR(VLOOKUP(E91,Tabellen!A:F,4),0)</f>
        <v/>
      </c>
      <c r="B91" s="662" t="n"/>
      <c r="C91" s="651">
        <f>IFERROR(VLOOKUP(E91,Tabellen!A:F,5),0)</f>
        <v/>
      </c>
      <c r="D91" s="662">
        <f>IFERROR(VLOOKUP(E91,Tabellen!A:F,6),0)</f>
        <v/>
      </c>
      <c r="E91" s="652" t="n"/>
      <c r="F91" s="663">
        <f>IF(E91&gt;0,$H$4,0)</f>
        <v/>
      </c>
      <c r="G91" s="654">
        <f>IFERROR(VLOOKUP(E91,Tabellen!A:F,2),0)</f>
        <v/>
      </c>
      <c r="H91" s="599" t="n"/>
      <c r="I91" s="599" t="n"/>
      <c r="J91" s="599" t="n"/>
      <c r="K91" s="599" t="n"/>
      <c r="L91" s="673">
        <f>IFERROR(VLOOKUP(E91,Tabellen!A:H,8),0)</f>
        <v/>
      </c>
      <c r="M91" s="664">
        <f>IFERROR(VLOOKUP(L91,Tabellen!H:I,2),0)</f>
        <v/>
      </c>
      <c r="N91" s="653" t="n"/>
      <c r="O91" s="653" t="n"/>
      <c r="P91" s="526" t="n"/>
      <c r="Q91" s="119">
        <f>IF(OR(L91=47201,L91=47100,L91=47200,L91=47500),H91,0)</f>
        <v/>
      </c>
      <c r="R91" s="119">
        <f>IF(OR(L91=87201,L91=87100,L91=87200,L91=87500),H91,0)</f>
        <v/>
      </c>
    </row>
    <row r="92" ht="15" customHeight="1">
      <c r="A92" s="657">
        <f>IFERROR(VLOOKUP(E92,Tabellen!A:F,4),0)</f>
        <v/>
      </c>
      <c r="B92" s="657" t="n"/>
      <c r="C92" s="669">
        <f>IFERROR(VLOOKUP(E92,Tabellen!A:F,5),0)</f>
        <v/>
      </c>
      <c r="D92" s="657">
        <f>IFERROR(VLOOKUP(E92,Tabellen!A:F,6),0)</f>
        <v/>
      </c>
      <c r="E92" s="652" t="n"/>
      <c r="F92" s="658">
        <f>IF(E92&gt;0,$H$4,0)</f>
        <v/>
      </c>
      <c r="G92" s="670">
        <f>IFERROR(VLOOKUP(E92,Tabellen!A:F,2),0)</f>
        <v/>
      </c>
      <c r="H92" s="599" t="n"/>
      <c r="I92" s="599" t="n"/>
      <c r="J92" s="599" t="n"/>
      <c r="K92" s="599" t="n"/>
      <c r="L92" s="671">
        <f>IFERROR(VLOOKUP(E92,Tabellen!A:H,8),0)</f>
        <v/>
      </c>
      <c r="M92" s="660">
        <f>IFERROR(VLOOKUP(L92,Tabellen!H:I,2),0)</f>
        <v/>
      </c>
      <c r="N92" s="661" t="n"/>
      <c r="O92" s="661" t="n"/>
      <c r="P92" s="508" t="n"/>
      <c r="Q92" s="119">
        <f>IF(OR(L92=47201,L92=47100,L92=47200,L92=47500),H92,0)</f>
        <v/>
      </c>
      <c r="R92" s="119">
        <f>IF(OR(L92=87201,L92=87100,L92=87200,L92=87500),H92,0)</f>
        <v/>
      </c>
    </row>
    <row r="93" ht="15" customHeight="1">
      <c r="A93" s="662">
        <f>IFERROR(VLOOKUP(E93,Tabellen!A:F,4),0)</f>
        <v/>
      </c>
      <c r="B93" s="662" t="n"/>
      <c r="C93" s="651">
        <f>IFERROR(VLOOKUP(E93,Tabellen!A:F,5),0)</f>
        <v/>
      </c>
      <c r="D93" s="662">
        <f>IFERROR(VLOOKUP(E93,Tabellen!A:F,6),0)</f>
        <v/>
      </c>
      <c r="E93" s="652" t="n"/>
      <c r="F93" s="663">
        <f>IF(E93&gt;0,$H$4,0)</f>
        <v/>
      </c>
      <c r="G93" s="654">
        <f>IFERROR(VLOOKUP(E93,Tabellen!A:F,2),0)</f>
        <v/>
      </c>
      <c r="H93" s="599" t="n"/>
      <c r="I93" s="599" t="n"/>
      <c r="J93" s="599" t="n"/>
      <c r="K93" s="599" t="n"/>
      <c r="L93" s="673">
        <f>IFERROR(VLOOKUP(E93,Tabellen!A:H,8),0)</f>
        <v/>
      </c>
      <c r="M93" s="664">
        <f>IFERROR(VLOOKUP(L93,Tabellen!H:I,2),0)</f>
        <v/>
      </c>
      <c r="N93" s="653" t="n"/>
      <c r="O93" s="653" t="n"/>
      <c r="P93" s="526" t="n"/>
      <c r="Q93" s="119">
        <f>IF(OR(L93=47201,L93=47100,L93=47200,L93=47500),H93,0)</f>
        <v/>
      </c>
      <c r="R93" s="119">
        <f>IF(OR(L93=87201,L93=87100,L93=87200,L93=87500),H93,0)</f>
        <v/>
      </c>
    </row>
    <row r="94" ht="15" customHeight="1">
      <c r="A94" s="657">
        <f>IFERROR(VLOOKUP(E94,Tabellen!A:F,4),0)</f>
        <v/>
      </c>
      <c r="B94" s="657" t="n"/>
      <c r="C94" s="669">
        <f>IFERROR(VLOOKUP(E94,Tabellen!A:F,5),0)</f>
        <v/>
      </c>
      <c r="D94" s="657">
        <f>IFERROR(VLOOKUP(E94,Tabellen!A:F,6),0)</f>
        <v/>
      </c>
      <c r="E94" s="652" t="n"/>
      <c r="F94" s="658">
        <f>IF(E94&gt;0,$H$4,0)</f>
        <v/>
      </c>
      <c r="G94" s="670">
        <f>IFERROR(VLOOKUP(E94,Tabellen!A:F,2),0)</f>
        <v/>
      </c>
      <c r="H94" s="599" t="n"/>
      <c r="I94" s="599" t="n"/>
      <c r="J94" s="599" t="n"/>
      <c r="K94" s="599" t="n"/>
      <c r="L94" s="671">
        <f>IFERROR(VLOOKUP(E94,Tabellen!A:H,8),0)</f>
        <v/>
      </c>
      <c r="M94" s="660">
        <f>IFERROR(VLOOKUP(L94,Tabellen!H:I,2),0)</f>
        <v/>
      </c>
      <c r="N94" s="661" t="n"/>
      <c r="O94" s="661" t="n"/>
      <c r="P94" s="508" t="n"/>
      <c r="Q94" s="119">
        <f>IF(OR(L94=47201,L94=47100,L94=47200,L94=47500),H94,0)</f>
        <v/>
      </c>
      <c r="R94" s="119">
        <f>IF(OR(L94=87201,L94=87100,L94=87200,L94=87500),H94,0)</f>
        <v/>
      </c>
    </row>
    <row r="95" ht="15" customHeight="1">
      <c r="A95" s="662">
        <f>IFERROR(VLOOKUP(E95,Tabellen!A:F,4),0)</f>
        <v/>
      </c>
      <c r="B95" s="662" t="n"/>
      <c r="C95" s="651">
        <f>IFERROR(VLOOKUP(E95,Tabellen!A:F,5),0)</f>
        <v/>
      </c>
      <c r="D95" s="662">
        <f>IFERROR(VLOOKUP(E95,Tabellen!A:F,6),0)</f>
        <v/>
      </c>
      <c r="E95" s="652" t="n"/>
      <c r="F95" s="663">
        <f>IF(E95&gt;0,$H$4,0)</f>
        <v/>
      </c>
      <c r="G95" s="654">
        <f>IFERROR(VLOOKUP(E95,Tabellen!A:F,2),0)</f>
        <v/>
      </c>
      <c r="H95" s="599" t="n"/>
      <c r="I95" s="599" t="n"/>
      <c r="J95" s="599" t="n"/>
      <c r="K95" s="599" t="n"/>
      <c r="L95" s="673">
        <f>IFERROR(VLOOKUP(E95,Tabellen!A:H,8),0)</f>
        <v/>
      </c>
      <c r="M95" s="664">
        <f>IFERROR(VLOOKUP(L95,Tabellen!H:I,2),0)</f>
        <v/>
      </c>
      <c r="N95" s="653" t="n"/>
      <c r="O95" s="653" t="n"/>
      <c r="P95" s="526" t="n"/>
      <c r="Q95" s="119">
        <f>IF(OR(L95=47201,L95=47100,L95=47200,L95=47500),H95,0)</f>
        <v/>
      </c>
      <c r="R95" s="119">
        <f>IF(OR(L95=87201,L95=87100,L95=87200,L95=87500),H95,0)</f>
        <v/>
      </c>
    </row>
    <row r="96" ht="15" customHeight="1">
      <c r="A96" s="657">
        <f>IFERROR(VLOOKUP(E96,Tabellen!A:F,4),0)</f>
        <v/>
      </c>
      <c r="B96" s="657" t="n"/>
      <c r="C96" s="669">
        <f>IFERROR(VLOOKUP(E96,Tabellen!A:F,5),0)</f>
        <v/>
      </c>
      <c r="D96" s="657">
        <f>IFERROR(VLOOKUP(E96,Tabellen!A:F,6),0)</f>
        <v/>
      </c>
      <c r="E96" s="652" t="n"/>
      <c r="F96" s="658">
        <f>IF(E96&gt;0,$H$4,0)</f>
        <v/>
      </c>
      <c r="G96" s="670">
        <f>IFERROR(VLOOKUP(E96,Tabellen!A:F,2),0)</f>
        <v/>
      </c>
      <c r="H96" s="599" t="n"/>
      <c r="I96" s="599" t="n"/>
      <c r="J96" s="599" t="n"/>
      <c r="K96" s="599" t="n"/>
      <c r="L96" s="671">
        <f>IFERROR(VLOOKUP(E96,Tabellen!A:H,8),0)</f>
        <v/>
      </c>
      <c r="M96" s="660">
        <f>IFERROR(VLOOKUP(L96,Tabellen!H:I,2),0)</f>
        <v/>
      </c>
      <c r="N96" s="661" t="n"/>
      <c r="O96" s="661" t="n"/>
      <c r="P96" s="508" t="n"/>
      <c r="Q96" s="119">
        <f>IF(OR(L96=47201,L96=47100,L96=47200,L96=47500),H96,0)</f>
        <v/>
      </c>
      <c r="R96" s="119">
        <f>IF(OR(L96=87201,L96=87100,L96=87200,L96=87500),H96,0)</f>
        <v/>
      </c>
    </row>
    <row r="97" ht="15" customHeight="1">
      <c r="A97" s="662">
        <f>IFERROR(VLOOKUP(E97,Tabellen!A:F,4),0)</f>
        <v/>
      </c>
      <c r="B97" s="662" t="n"/>
      <c r="C97" s="651">
        <f>IFERROR(VLOOKUP(E97,Tabellen!A:F,5),0)</f>
        <v/>
      </c>
      <c r="D97" s="662">
        <f>IFERROR(VLOOKUP(E97,Tabellen!A:F,6),0)</f>
        <v/>
      </c>
      <c r="E97" s="652" t="n"/>
      <c r="F97" s="663">
        <f>IF(E97&gt;0,$H$4,0)</f>
        <v/>
      </c>
      <c r="G97" s="654">
        <f>IFERROR(VLOOKUP(E97,Tabellen!A:F,2),0)</f>
        <v/>
      </c>
      <c r="H97" s="599" t="n"/>
      <c r="I97" s="599" t="n"/>
      <c r="J97" s="599" t="n"/>
      <c r="K97" s="599" t="n"/>
      <c r="L97" s="673">
        <f>IFERROR(VLOOKUP(E97,Tabellen!A:H,8),0)</f>
        <v/>
      </c>
      <c r="M97" s="664">
        <f>IFERROR(VLOOKUP(L97,Tabellen!H:I,2),0)</f>
        <v/>
      </c>
      <c r="N97" s="653" t="n"/>
      <c r="O97" s="653" t="n"/>
      <c r="P97" s="526" t="n"/>
      <c r="Q97" s="119">
        <f>IF(OR(L97=47201,L97=47100,L97=47200,L97=47500),H97,0)</f>
        <v/>
      </c>
      <c r="R97" s="119">
        <f>IF(OR(L97=87201,L97=87100,L97=87200,L97=87500),H97,0)</f>
        <v/>
      </c>
    </row>
    <row r="98" ht="15" customHeight="1">
      <c r="A98" s="657">
        <f>IFERROR(VLOOKUP(E98,Tabellen!A:F,4),0)</f>
        <v/>
      </c>
      <c r="B98" s="657" t="n"/>
      <c r="C98" s="669">
        <f>IFERROR(VLOOKUP(E98,Tabellen!A:F,5),0)</f>
        <v/>
      </c>
      <c r="D98" s="657">
        <f>IFERROR(VLOOKUP(E98,Tabellen!A:F,6),0)</f>
        <v/>
      </c>
      <c r="E98" s="652" t="n"/>
      <c r="F98" s="658">
        <f>IF(E98&gt;0,$H$4,0)</f>
        <v/>
      </c>
      <c r="G98" s="670">
        <f>IFERROR(VLOOKUP(E98,Tabellen!A:F,2),0)</f>
        <v/>
      </c>
      <c r="H98" s="599" t="n"/>
      <c r="I98" s="599" t="n"/>
      <c r="J98" s="599" t="n"/>
      <c r="K98" s="599" t="n"/>
      <c r="L98" s="671">
        <f>IFERROR(VLOOKUP(E98,Tabellen!A:H,8),0)</f>
        <v/>
      </c>
      <c r="M98" s="660">
        <f>IFERROR(VLOOKUP(L98,Tabellen!H:I,2),0)</f>
        <v/>
      </c>
      <c r="N98" s="661" t="n"/>
      <c r="O98" s="661" t="n"/>
      <c r="P98" s="508" t="n"/>
      <c r="Q98" s="119">
        <f>IF(OR(L98=47201,L98=47100,L98=47200,L98=47500),H98,0)</f>
        <v/>
      </c>
      <c r="R98" s="119">
        <f>IF(OR(L98=87201,L98=87100,L98=87200,L98=87500),H98,0)</f>
        <v/>
      </c>
    </row>
    <row r="99" ht="15" customHeight="1">
      <c r="A99" s="662">
        <f>IFERROR(VLOOKUP(E99,Tabellen!A:F,4),0)</f>
        <v/>
      </c>
      <c r="B99" s="662" t="n"/>
      <c r="C99" s="651">
        <f>IFERROR(VLOOKUP(E99,Tabellen!A:F,5),0)</f>
        <v/>
      </c>
      <c r="D99" s="662">
        <f>IFERROR(VLOOKUP(E99,Tabellen!A:F,6),0)</f>
        <v/>
      </c>
      <c r="E99" s="652" t="n"/>
      <c r="F99" s="663">
        <f>IF(E99&gt;0,$H$4,0)</f>
        <v/>
      </c>
      <c r="G99" s="654">
        <f>IFERROR(VLOOKUP(E99,Tabellen!A:F,2),0)</f>
        <v/>
      </c>
      <c r="H99" s="599" t="n"/>
      <c r="I99" s="599" t="n"/>
      <c r="J99" s="599" t="n"/>
      <c r="K99" s="599" t="n"/>
      <c r="L99" s="673">
        <f>IFERROR(VLOOKUP(E99,Tabellen!A:H,8),0)</f>
        <v/>
      </c>
      <c r="M99" s="664">
        <f>IFERROR(VLOOKUP(L99,Tabellen!H:I,2),0)</f>
        <v/>
      </c>
      <c r="N99" s="653" t="n"/>
      <c r="O99" s="653" t="n"/>
      <c r="P99" s="526" t="n"/>
      <c r="Q99" s="119">
        <f>IF(OR(L99=47201,L99=47100,L99=47200,L99=47500),H99,0)</f>
        <v/>
      </c>
      <c r="R99" s="119">
        <f>IF(OR(L99=87201,L99=87100,L99=87200,L99=87500),H99,0)</f>
        <v/>
      </c>
    </row>
    <row r="100" ht="15" customHeight="1">
      <c r="A100" s="657">
        <f>IFERROR(VLOOKUP(E100,Tabellen!A:F,4),0)</f>
        <v/>
      </c>
      <c r="B100" s="657" t="n"/>
      <c r="C100" s="669">
        <f>IFERROR(VLOOKUP(E100,Tabellen!A:F,5),0)</f>
        <v/>
      </c>
      <c r="D100" s="657">
        <f>IFERROR(VLOOKUP(E100,Tabellen!A:F,6),0)</f>
        <v/>
      </c>
      <c r="E100" s="652" t="n"/>
      <c r="F100" s="658">
        <f>IF(E100&gt;0,$H$4,0)</f>
        <v/>
      </c>
      <c r="G100" s="670">
        <f>IFERROR(VLOOKUP(E100,Tabellen!A:F,2),0)</f>
        <v/>
      </c>
      <c r="H100" s="599" t="n"/>
      <c r="I100" s="599" t="n"/>
      <c r="J100" s="599" t="n"/>
      <c r="K100" s="599" t="n"/>
      <c r="L100" s="671">
        <f>IFERROR(VLOOKUP(E100,Tabellen!A:H,8),0)</f>
        <v/>
      </c>
      <c r="M100" s="660">
        <f>IFERROR(VLOOKUP(L100,Tabellen!H:I,2),0)</f>
        <v/>
      </c>
      <c r="N100" s="661" t="n"/>
      <c r="O100" s="661" t="n"/>
      <c r="P100" s="508" t="n"/>
      <c r="Q100" s="119">
        <f>IF(OR(L100=47201,L100=47100,L100=47200,L100=47500),H100,0)</f>
        <v/>
      </c>
      <c r="R100" s="119">
        <f>IF(OR(L100=87201,L100=87100,L100=87200,L100=87500),H100,0)</f>
        <v/>
      </c>
    </row>
    <row r="101" ht="15" customHeight="1">
      <c r="A101" s="662">
        <f>IFERROR(VLOOKUP(E101,Tabellen!A:F,4),0)</f>
        <v/>
      </c>
      <c r="B101" s="662" t="n"/>
      <c r="C101" s="651">
        <f>IFERROR(VLOOKUP(E101,Tabellen!A:F,5),0)</f>
        <v/>
      </c>
      <c r="D101" s="662">
        <f>IFERROR(VLOOKUP(E101,Tabellen!A:F,6),0)</f>
        <v/>
      </c>
      <c r="E101" s="652" t="n"/>
      <c r="F101" s="663">
        <f>IF(E101&gt;0,$H$4,0)</f>
        <v/>
      </c>
      <c r="G101" s="654">
        <f>IFERROR(VLOOKUP(E101,Tabellen!A:F,2),0)</f>
        <v/>
      </c>
      <c r="H101" s="599" t="n"/>
      <c r="I101" s="599" t="n"/>
      <c r="J101" s="599" t="n"/>
      <c r="K101" s="599" t="n"/>
      <c r="L101" s="673">
        <f>IFERROR(VLOOKUP(E101,Tabellen!A:H,8),0)</f>
        <v/>
      </c>
      <c r="M101" s="664">
        <f>IFERROR(VLOOKUP(L101,Tabellen!H:I,2),0)</f>
        <v/>
      </c>
      <c r="N101" s="653" t="n"/>
      <c r="O101" s="653" t="n"/>
      <c r="P101" s="526" t="n"/>
      <c r="Q101" s="119">
        <f>IF(OR(L101=47201,L101=47100,L101=47200,L101=47500),H101,0)</f>
        <v/>
      </c>
      <c r="R101" s="119">
        <f>IF(OR(L101=87201,L101=87100,L101=87200,L101=87500),H101,0)</f>
        <v/>
      </c>
    </row>
    <row r="102" ht="15" customHeight="1">
      <c r="A102" s="657">
        <f>IFERROR(VLOOKUP(E102,Tabellen!A:F,4),0)</f>
        <v/>
      </c>
      <c r="B102" s="657" t="n"/>
      <c r="C102" s="669">
        <f>IFERROR(VLOOKUP(E102,Tabellen!A:F,5),0)</f>
        <v/>
      </c>
      <c r="D102" s="657">
        <f>IFERROR(VLOOKUP(E102,Tabellen!A:F,6),0)</f>
        <v/>
      </c>
      <c r="E102" s="652" t="n"/>
      <c r="F102" s="658">
        <f>IF(E102&gt;0,$H$4,0)</f>
        <v/>
      </c>
      <c r="G102" s="670">
        <f>IFERROR(VLOOKUP(E102,Tabellen!A:F,2),0)</f>
        <v/>
      </c>
      <c r="H102" s="599" t="n"/>
      <c r="I102" s="599" t="n"/>
      <c r="J102" s="599" t="n"/>
      <c r="K102" s="599" t="n"/>
      <c r="L102" s="671">
        <f>IFERROR(VLOOKUP(E102,Tabellen!A:H,8),0)</f>
        <v/>
      </c>
      <c r="M102" s="660">
        <f>IFERROR(VLOOKUP(L102,Tabellen!H:I,2),0)</f>
        <v/>
      </c>
      <c r="N102" s="661" t="n"/>
      <c r="O102" s="661" t="n"/>
      <c r="P102" s="508" t="n"/>
      <c r="Q102" s="119">
        <f>IF(OR(L102=47201,L102=47100,L102=47200,L102=47500),H102,0)</f>
        <v/>
      </c>
      <c r="R102" s="119">
        <f>IF(OR(L102=87201,L102=87100,L102=87200,L102=87500),H102,0)</f>
        <v/>
      </c>
    </row>
    <row r="103" ht="15" customHeight="1">
      <c r="A103" s="662">
        <f>IFERROR(VLOOKUP(E103,Tabellen!A:F,4),0)</f>
        <v/>
      </c>
      <c r="B103" s="662" t="n"/>
      <c r="C103" s="651">
        <f>IFERROR(VLOOKUP(E103,Tabellen!A:F,5),0)</f>
        <v/>
      </c>
      <c r="D103" s="662">
        <f>IFERROR(VLOOKUP(E103,Tabellen!A:F,6),0)</f>
        <v/>
      </c>
      <c r="E103" s="652" t="n"/>
      <c r="F103" s="663">
        <f>IF(E103&gt;0,$H$4,0)</f>
        <v/>
      </c>
      <c r="G103" s="654">
        <f>IFERROR(VLOOKUP(E103,Tabellen!A:F,2),0)</f>
        <v/>
      </c>
      <c r="H103" s="599" t="n"/>
      <c r="I103" s="599" t="n"/>
      <c r="J103" s="599" t="n"/>
      <c r="K103" s="599" t="n"/>
      <c r="L103" s="673">
        <f>IFERROR(VLOOKUP(E103,Tabellen!A:H,8),0)</f>
        <v/>
      </c>
      <c r="M103" s="664">
        <f>IFERROR(VLOOKUP(L103,Tabellen!H:I,2),0)</f>
        <v/>
      </c>
      <c r="N103" s="653" t="n"/>
      <c r="O103" s="653" t="n"/>
      <c r="P103" s="526" t="n"/>
      <c r="Q103" s="119">
        <f>IF(OR(L103=47201,L103=47100,L103=47200,L103=47500),H103,0)</f>
        <v/>
      </c>
      <c r="R103" s="119">
        <f>IF(OR(L103=87201,L103=87100,L103=87200,L103=87500),H103,0)</f>
        <v/>
      </c>
    </row>
    <row r="104" ht="15" customHeight="1">
      <c r="A104" s="657">
        <f>IFERROR(VLOOKUP(E104,Tabellen!A:F,4),0)</f>
        <v/>
      </c>
      <c r="B104" s="657" t="n"/>
      <c r="C104" s="669">
        <f>IFERROR(VLOOKUP(E104,Tabellen!A:F,5),0)</f>
        <v/>
      </c>
      <c r="D104" s="657">
        <f>IFERROR(VLOOKUP(E104,Tabellen!A:F,6),0)</f>
        <v/>
      </c>
      <c r="E104" s="652" t="n"/>
      <c r="F104" s="658">
        <f>IF(E104&gt;0,$H$4,0)</f>
        <v/>
      </c>
      <c r="G104" s="670">
        <f>IFERROR(VLOOKUP(E104,Tabellen!A:F,2),0)</f>
        <v/>
      </c>
      <c r="H104" s="599" t="n"/>
      <c r="I104" s="599" t="n"/>
      <c r="J104" s="599" t="n"/>
      <c r="K104" s="599" t="n"/>
      <c r="L104" s="671">
        <f>IFERROR(VLOOKUP(E104,Tabellen!A:H,8),0)</f>
        <v/>
      </c>
      <c r="M104" s="660">
        <f>IFERROR(VLOOKUP(L104,Tabellen!H:I,2),0)</f>
        <v/>
      </c>
      <c r="N104" s="661" t="n"/>
      <c r="O104" s="661" t="n"/>
      <c r="P104" s="508" t="n"/>
      <c r="Q104" s="119">
        <f>IF(OR(L104=47201,L104=47100,L104=47200,L104=47500),H104,0)</f>
        <v/>
      </c>
      <c r="R104" s="119">
        <f>IF(OR(L104=87201,L104=87100,L104=87200,L104=87500),H104,0)</f>
        <v/>
      </c>
    </row>
    <row r="105" ht="15" customHeight="1">
      <c r="A105" s="662">
        <f>IFERROR(VLOOKUP(E105,Tabellen!A:F,4),0)</f>
        <v/>
      </c>
      <c r="B105" s="662" t="n"/>
      <c r="C105" s="651">
        <f>IFERROR(VLOOKUP(E105,Tabellen!A:F,5),0)</f>
        <v/>
      </c>
      <c r="D105" s="662">
        <f>IFERROR(VLOOKUP(E105,Tabellen!A:F,6),0)</f>
        <v/>
      </c>
      <c r="E105" s="652" t="n"/>
      <c r="F105" s="663">
        <f>IF(E105&gt;0,$H$4,0)</f>
        <v/>
      </c>
      <c r="G105" s="654">
        <f>IFERROR(VLOOKUP(E105,Tabellen!A:F,2),0)</f>
        <v/>
      </c>
      <c r="H105" s="599" t="n"/>
      <c r="I105" s="599" t="n"/>
      <c r="J105" s="599" t="n"/>
      <c r="K105" s="599" t="n"/>
      <c r="L105" s="673">
        <f>IFERROR(VLOOKUP(E105,Tabellen!A:H,8),0)</f>
        <v/>
      </c>
      <c r="M105" s="664">
        <f>IFERROR(VLOOKUP(L105,Tabellen!H:I,2),0)</f>
        <v/>
      </c>
      <c r="N105" s="653" t="n"/>
      <c r="O105" s="653" t="n"/>
      <c r="P105" s="526" t="n"/>
      <c r="Q105" s="119">
        <f>IF(OR(L105=47201,L105=47100,L105=47200,L105=47500),H105,0)</f>
        <v/>
      </c>
      <c r="R105" s="119">
        <f>IF(OR(L105=87201,L105=87100,L105=87200,L105=87500),H105,0)</f>
        <v/>
      </c>
    </row>
    <row r="106" ht="15" customHeight="1">
      <c r="A106" s="657">
        <f>IFERROR(VLOOKUP(E106,Tabellen!A:F,4),0)</f>
        <v/>
      </c>
      <c r="B106" s="657" t="n"/>
      <c r="C106" s="669">
        <f>IFERROR(VLOOKUP(E106,Tabellen!A:F,5),0)</f>
        <v/>
      </c>
      <c r="D106" s="657">
        <f>IFERROR(VLOOKUP(E106,Tabellen!A:F,6),0)</f>
        <v/>
      </c>
      <c r="E106" s="652" t="n"/>
      <c r="F106" s="658">
        <f>IF(E106&gt;0,$H$4,0)</f>
        <v/>
      </c>
      <c r="G106" s="670">
        <f>IFERROR(VLOOKUP(E106,Tabellen!A:F,2),0)</f>
        <v/>
      </c>
      <c r="H106" s="599" t="n"/>
      <c r="I106" s="599" t="n"/>
      <c r="J106" s="599" t="n"/>
      <c r="K106" s="599" t="n"/>
      <c r="L106" s="671">
        <f>IFERROR(VLOOKUP(E106,Tabellen!A:H,8),0)</f>
        <v/>
      </c>
      <c r="M106" s="660">
        <f>IFERROR(VLOOKUP(L106,Tabellen!H:I,2),0)</f>
        <v/>
      </c>
      <c r="N106" s="661" t="n"/>
      <c r="O106" s="661" t="n"/>
      <c r="P106" s="508" t="n"/>
      <c r="Q106" s="119">
        <f>IF(OR(L106=47201,L106=47100,L106=47200,L106=47500),H106,0)</f>
        <v/>
      </c>
      <c r="R106" s="119">
        <f>IF(OR(L106=87201,L106=87100,L106=87200,L106=87500),H106,0)</f>
        <v/>
      </c>
    </row>
    <row r="107" ht="15" customHeight="1">
      <c r="A107" s="662">
        <f>IFERROR(VLOOKUP(E107,Tabellen!A:F,4),0)</f>
        <v/>
      </c>
      <c r="B107" s="662" t="n"/>
      <c r="C107" s="651">
        <f>IFERROR(VLOOKUP(E107,Tabellen!A:F,5),0)</f>
        <v/>
      </c>
      <c r="D107" s="662">
        <f>IFERROR(VLOOKUP(E107,Tabellen!A:F,6),0)</f>
        <v/>
      </c>
      <c r="E107" s="652" t="n"/>
      <c r="F107" s="663">
        <f>IF(E107&gt;0,$H$4,0)</f>
        <v/>
      </c>
      <c r="G107" s="654">
        <f>IFERROR(VLOOKUP(E107,Tabellen!A:F,2),0)</f>
        <v/>
      </c>
      <c r="H107" s="599" t="n"/>
      <c r="I107" s="599" t="n"/>
      <c r="J107" s="599" t="n"/>
      <c r="K107" s="599" t="n"/>
      <c r="L107" s="673">
        <f>IFERROR(VLOOKUP(E107,Tabellen!A:H,8),0)</f>
        <v/>
      </c>
      <c r="M107" s="664">
        <f>IFERROR(VLOOKUP(L107,Tabellen!H:I,2),0)</f>
        <v/>
      </c>
      <c r="N107" s="653" t="n"/>
      <c r="O107" s="653" t="n"/>
      <c r="P107" s="526" t="n"/>
      <c r="Q107" s="119">
        <f>IF(OR(L107=47201,L107=47100,L107=47200,L107=47500),H107,0)</f>
        <v/>
      </c>
      <c r="R107" s="119">
        <f>IF(OR(L107=87201,L107=87100,L107=87200,L107=87500),H107,0)</f>
        <v/>
      </c>
    </row>
    <row r="108" ht="15" customHeight="1">
      <c r="A108" s="657">
        <f>IFERROR(VLOOKUP(E108,Tabellen!A:F,4),0)</f>
        <v/>
      </c>
      <c r="B108" s="657" t="n"/>
      <c r="C108" s="669">
        <f>IFERROR(VLOOKUP(E108,Tabellen!A:F,5),0)</f>
        <v/>
      </c>
      <c r="D108" s="657">
        <f>IFERROR(VLOOKUP(E108,Tabellen!A:F,6),0)</f>
        <v/>
      </c>
      <c r="E108" s="652" t="n"/>
      <c r="F108" s="658">
        <f>IF(E108&gt;0,$H$4,0)</f>
        <v/>
      </c>
      <c r="G108" s="670">
        <f>IFERROR(VLOOKUP(E108,Tabellen!A:F,2),0)</f>
        <v/>
      </c>
      <c r="H108" s="599" t="n"/>
      <c r="I108" s="599" t="n"/>
      <c r="J108" s="599" t="n"/>
      <c r="K108" s="599" t="n"/>
      <c r="L108" s="671">
        <f>IFERROR(VLOOKUP(E108,Tabellen!A:H,8),0)</f>
        <v/>
      </c>
      <c r="M108" s="660">
        <f>IFERROR(VLOOKUP(L108,Tabellen!H:I,2),0)</f>
        <v/>
      </c>
      <c r="N108" s="661" t="n"/>
      <c r="O108" s="661" t="n"/>
      <c r="P108" s="508" t="n"/>
      <c r="Q108" s="119">
        <f>IF(OR(L108=47201,L108=47100,L108=47200,L108=47500),H108,0)</f>
        <v/>
      </c>
      <c r="R108" s="119">
        <f>IF(OR(L108=87201,L108=87100,L108=87200,L108=87500),H108,0)</f>
        <v/>
      </c>
    </row>
    <row r="109" ht="15" customHeight="1">
      <c r="A109" s="662">
        <f>IFERROR(VLOOKUP(E109,Tabellen!A:F,4),0)</f>
        <v/>
      </c>
      <c r="B109" s="662" t="n"/>
      <c r="C109" s="651">
        <f>IFERROR(VLOOKUP(E109,Tabellen!A:F,5),0)</f>
        <v/>
      </c>
      <c r="D109" s="662">
        <f>IFERROR(VLOOKUP(E109,Tabellen!A:F,6),0)</f>
        <v/>
      </c>
      <c r="E109" s="652" t="n"/>
      <c r="F109" s="663">
        <f>IF(E109&gt;0,$H$4,0)</f>
        <v/>
      </c>
      <c r="G109" s="654">
        <f>IFERROR(VLOOKUP(E109,Tabellen!A:F,2),0)</f>
        <v/>
      </c>
      <c r="H109" s="606" t="n"/>
      <c r="I109" s="606" t="n"/>
      <c r="J109" s="606" t="n"/>
      <c r="K109" s="606" t="n"/>
      <c r="L109" s="655">
        <f>IFERROR(VLOOKUP(E109,Tabellen!A:H,8),0)</f>
        <v/>
      </c>
      <c r="M109" s="664">
        <f>IFERROR(VLOOKUP(L109,Tabellen!H:I,2),0)</f>
        <v/>
      </c>
      <c r="N109" s="653" t="n"/>
      <c r="O109" s="653" t="n"/>
      <c r="P109" s="526" t="n"/>
      <c r="Q109" s="119">
        <f>IF(OR(L109=47201,L109=47100,L109=47200,L109=47500),H109,0)</f>
        <v/>
      </c>
      <c r="R109" s="119">
        <f>IF(OR(L109=87201,L109=87100,L109=87200,L109=87500),H109,0)</f>
        <v/>
      </c>
    </row>
    <row r="110" ht="16" customFormat="1" customHeight="1" s="132">
      <c r="A110" s="607" t="inlineStr">
        <is>
          <t>Saldo inkomsten en uitgavenmutaties, dekking</t>
        </is>
      </c>
      <c r="B110" s="607" t="n"/>
      <c r="C110" s="607" t="n"/>
      <c r="D110" s="607" t="n"/>
      <c r="E110" s="607" t="n"/>
      <c r="F110" s="608" t="n"/>
      <c r="G110" s="609" t="n"/>
      <c r="H110" s="612">
        <f>SUM(H78:H109)</f>
        <v/>
      </c>
      <c r="I110" s="612">
        <f>SUM(I78:I109)</f>
        <v/>
      </c>
      <c r="J110" s="612">
        <f>SUM(J78:J109)</f>
        <v/>
      </c>
      <c r="K110" s="612">
        <f>SUM(K78:K109)</f>
        <v/>
      </c>
      <c r="L110" s="610" t="n"/>
      <c r="M110" s="611" t="n"/>
      <c r="N110" s="608" t="n"/>
      <c r="O110" s="608" t="n"/>
      <c r="P110" s="461" t="n"/>
      <c r="Q110" s="119">
        <f>IF(OR(L110=47201,L110=47100,L110=47200,L110=47500),H110,0)</f>
        <v/>
      </c>
      <c r="R110" s="119">
        <f>IF(OR(L110=87201,L110=87100,L110=87200,L110=87500),H110,0)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116" t="n"/>
      <c r="I111" s="116" t="n"/>
      <c r="J111" s="116" t="n"/>
      <c r="K111" s="116" t="n"/>
      <c r="L111" s="63" t="n"/>
      <c r="M111" s="246" t="n"/>
      <c r="N111" s="73" t="n"/>
      <c r="O111" s="247" t="n"/>
      <c r="Q111" s="119">
        <f>IF(OR(L111=47201,L111=47100,L111=47200,L111=47500),H111,0)</f>
        <v/>
      </c>
      <c r="R111" s="119">
        <f>IF(OR(L111=87201,L111=87100,L111=87200,L111=87500),H111,0)</f>
        <v/>
      </c>
    </row>
    <row r="112" ht="18" customFormat="1" customHeight="1" s="119">
      <c r="A112" s="619" t="inlineStr">
        <is>
          <t>Controle mutatie inkomsten en uitgaven (exploitatiemutaties -/- dekking = leeg)</t>
        </is>
      </c>
      <c r="B112" s="619" t="n"/>
      <c r="C112" s="619" t="n"/>
      <c r="D112" s="619" t="n"/>
      <c r="E112" s="619" t="n"/>
      <c r="F112" s="619" t="n"/>
      <c r="G112" s="619" t="n"/>
      <c r="H112" s="623">
        <f>IF(H75+H110=0,"✓  Saldo = 0",H75+H110)</f>
        <v/>
      </c>
      <c r="I112" s="623">
        <f>I75+I110</f>
        <v/>
      </c>
      <c r="J112" s="623">
        <f>J75+J110</f>
        <v/>
      </c>
      <c r="K112" s="623">
        <f>K75+K110</f>
        <v/>
      </c>
      <c r="L112" s="674" t="n"/>
      <c r="M112" s="675" t="n"/>
      <c r="N112" s="619" t="n"/>
      <c r="O112" s="619" t="n"/>
      <c r="P112" s="624" t="n"/>
      <c r="Q112" s="119">
        <f>IF(OR(L112=47201,L112=47100,L112=47200,L112=47500),H112,0)</f>
        <v/>
      </c>
      <c r="R112" s="119">
        <f>IF(OR(L112=87201,L112=87100,L112=87200,L112=87500),H112,0)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87" t="n"/>
      <c r="I113" s="87" t="n"/>
      <c r="J113" s="87" t="n"/>
      <c r="K113" s="87" t="n"/>
      <c r="L113" s="68" t="n"/>
      <c r="M113" s="261" t="n"/>
      <c r="N113" s="139" t="n"/>
      <c r="O113" s="262" t="n"/>
      <c r="Q113" s="119">
        <f>IF(OR(L113=47201,L113=47100,L113=47200,L113=47500),H113,0)</f>
        <v/>
      </c>
      <c r="R113" s="119">
        <f>IF(OR(L113=87201,L113=87100,L113=87200,L113=87500),H113,0)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87" t="n"/>
      <c r="I114" s="87" t="n"/>
      <c r="J114" s="87" t="n"/>
      <c r="K114" s="87" t="n"/>
      <c r="L114" s="68" t="n"/>
      <c r="M114" s="261" t="n"/>
      <c r="N114" s="139" t="n"/>
      <c r="O114" s="262" t="n"/>
      <c r="Q114" s="119">
        <f>IF(OR(L114=47201,L114=47100,L114=47200,L114=47500),H114,0)</f>
        <v/>
      </c>
      <c r="R114" s="119">
        <f>IF(OR(L114=87201,L114=87100,L114=87200,L114=87500),H114,0)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87" t="n"/>
      <c r="I115" s="87" t="n"/>
      <c r="J115" s="87" t="n"/>
      <c r="K115" s="85" t="n"/>
      <c r="L115" s="68" t="n"/>
      <c r="M115" s="264" t="n"/>
      <c r="N115" s="83" t="n"/>
      <c r="O115" s="265" t="n"/>
      <c r="Q115" s="119">
        <f>IF(OR(L115=47201,L115=47100,L115=47200,L115=47500),H115,0)</f>
        <v/>
      </c>
      <c r="R115" s="119">
        <f>IF(OR(L115=87201,L115=87100,L115=87200,L115=87500),H115,0)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87" t="n"/>
      <c r="I116" s="87" t="n"/>
      <c r="J116" s="87" t="n"/>
      <c r="K116" s="85" t="n"/>
      <c r="L116" s="68" t="n"/>
      <c r="M116" s="261" t="n"/>
      <c r="N116" s="139" t="n"/>
      <c r="O116" s="262" t="n"/>
      <c r="Q116" s="119">
        <f>IF(OR(L116=47201,L116=47100,L116=47200,L116=47500),H116,0)</f>
        <v/>
      </c>
      <c r="R116" s="119">
        <f>IF(OR(L116=87201,L116=87100,L116=87200,L116=87500),H116,0)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105" t="inlineStr">
        <is>
          <t>Begrotings-</t>
        </is>
      </c>
      <c r="I117" s="105" t="inlineStr">
        <is>
          <t>Mjb</t>
        </is>
      </c>
      <c r="J117" s="105" t="inlineStr">
        <is>
          <t>Mjb</t>
        </is>
      </c>
      <c r="K117" s="105" t="inlineStr">
        <is>
          <t>Mjb</t>
        </is>
      </c>
      <c r="L117" s="62" t="inlineStr">
        <is>
          <t>Kosten</t>
        </is>
      </c>
      <c r="M117" s="239" t="inlineStr">
        <is>
          <t>Omschrijving kostencategorie</t>
        </is>
      </c>
      <c r="N117" s="101" t="inlineStr">
        <is>
          <t>Nr ver-</t>
        </is>
      </c>
      <c r="O117" s="240" t="inlineStr">
        <is>
          <t xml:space="preserve">Omschrijving </t>
        </is>
      </c>
      <c r="Q117" s="119">
        <f>IF(OR(L117=47201,L117=47100,L117=47200,L117=47500),H117,0)</f>
        <v/>
      </c>
      <c r="R117" s="119">
        <f>IF(OR(L117=87201,L117=87100,L117=87200,L117=87500),H117,0)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105" t="inlineStr">
        <is>
          <t>jaar 2026</t>
        </is>
      </c>
      <c r="I118" s="105" t="inlineStr">
        <is>
          <t>jaar 2027</t>
        </is>
      </c>
      <c r="J118" s="105" t="inlineStr">
        <is>
          <t>jaar 2028</t>
        </is>
      </c>
      <c r="K118" s="105" t="inlineStr">
        <is>
          <t>jaar 2029</t>
        </is>
      </c>
      <c r="L118" s="62" t="inlineStr">
        <is>
          <t>Cat</t>
        </is>
      </c>
      <c r="M118" s="239" t="n"/>
      <c r="N118" s="111" t="inlineStr">
        <is>
          <t>bijzondering</t>
        </is>
      </c>
      <c r="O118" s="243" t="inlineStr">
        <is>
          <t>verbijzondering</t>
        </is>
      </c>
      <c r="Q118" s="119">
        <f>IF(OR(L118=47201,L118=47100,L118=47200,L118=47500),H118,0)</f>
        <v/>
      </c>
      <c r="R118" s="119">
        <f>IF(OR(L118=87201,L118=87100,L118=87200,L118=87500),H118,0)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116" t="n"/>
      <c r="I119" s="116" t="n"/>
      <c r="J119" s="116" t="n"/>
      <c r="K119" s="116" t="n"/>
      <c r="L119" s="63" t="n"/>
      <c r="M119" s="246" t="n"/>
      <c r="N119" s="73" t="n"/>
      <c r="O119" s="247" t="n"/>
      <c r="Q119" s="119">
        <f>IF(OR(L119=47201,L119=47100,L119=47200,L119=47500),H119,0)</f>
        <v/>
      </c>
      <c r="R119" s="119">
        <f>IF(OR(L119=87201,L119=87100,L119=87200,L119=87500),H119,0)</f>
        <v/>
      </c>
    </row>
    <row r="120" ht="18" customHeight="1">
      <c r="A120" s="676" t="inlineStr">
        <is>
          <t>C. Investeringen</t>
        </is>
      </c>
      <c r="B120" s="676" t="n"/>
      <c r="C120" s="676" t="n"/>
      <c r="D120" s="676" t="n"/>
      <c r="E120" s="676" t="n"/>
      <c r="F120" s="677" t="n"/>
      <c r="G120" s="678" t="n"/>
      <c r="H120" s="676" t="n"/>
      <c r="I120" s="676" t="n"/>
      <c r="J120" s="676" t="n"/>
      <c r="K120" s="676" t="n"/>
      <c r="L120" s="679" t="n"/>
      <c r="M120" s="680" t="n"/>
      <c r="N120" s="677" t="n"/>
      <c r="O120" s="677" t="n"/>
      <c r="P120" s="634" t="n"/>
      <c r="Q120" s="418">
        <f>IF(OR(L120=47201,L120=47100,L120=47200,L120=47500),H120,0)</f>
        <v/>
      </c>
      <c r="R120" s="418">
        <f>IF(OR(L120=87201,L120=87100,L120=87200,L120=87500),H120,0)</f>
        <v/>
      </c>
    </row>
    <row r="121" ht="15" customHeight="1">
      <c r="A121" s="651" t="n"/>
      <c r="B121" s="651" t="n"/>
      <c r="C121" s="651" t="n"/>
      <c r="D121" s="651" t="n"/>
      <c r="E121" s="652" t="n"/>
      <c r="F121" s="653" t="n"/>
      <c r="G121" s="654" t="n"/>
      <c r="H121" s="599" t="n"/>
      <c r="I121" s="599" t="n"/>
      <c r="J121" s="599" t="n"/>
      <c r="K121" s="599" t="n"/>
      <c r="L121" s="655" t="n"/>
      <c r="M121" s="656" t="n"/>
      <c r="N121" s="653" t="n"/>
      <c r="O121" s="653" t="n"/>
      <c r="Q121" s="119">
        <f>IF(OR(L121=47201,L121=47100,L121=47200,L121=47500),H121,0)</f>
        <v/>
      </c>
      <c r="R121" s="119">
        <f>IF(OR(L121=87201,L121=87100,L121=87200,L121=87500),H121,0)</f>
        <v/>
      </c>
    </row>
    <row r="122" ht="15" customHeight="1">
      <c r="A122" s="669" t="inlineStr">
        <is>
          <t>Activa</t>
        </is>
      </c>
      <c r="B122" s="657" t="n"/>
      <c r="C122" s="657" t="n"/>
      <c r="D122" s="657" t="n"/>
      <c r="E122" s="681">
        <f>IF(N122&gt;1,"+",0)</f>
        <v/>
      </c>
      <c r="F122" s="661">
        <f>IF(E122&gt;0,$H$4,0)</f>
        <v/>
      </c>
      <c r="G122" s="670" t="n"/>
      <c r="H122" s="599" t="n"/>
      <c r="I122" s="599" t="n"/>
      <c r="J122" s="599" t="n"/>
      <c r="K122" s="599" t="n"/>
      <c r="L122" s="659" t="n"/>
      <c r="M122" s="660">
        <f>IFERROR(VLOOKUP(L122,Tabellen!H:I,2),0)</f>
        <v/>
      </c>
      <c r="N122" s="661" t="n"/>
      <c r="O122" s="661" t="n"/>
      <c r="Q122" s="119">
        <f>IF(OR(L122=47201,L122=47100,L122=47200,L122=47500),H122,0)</f>
        <v/>
      </c>
      <c r="R122" s="119">
        <f>IF(OR(L122=87201,L122=87100,L122=87200,L122=87500),H122,0)</f>
        <v/>
      </c>
    </row>
    <row r="123" ht="15" customHeight="1">
      <c r="A123" s="651" t="n"/>
      <c r="B123" s="662" t="n"/>
      <c r="C123" s="662" t="n"/>
      <c r="D123" s="662" t="n"/>
      <c r="E123" s="681">
        <f>IF(N123&gt;1,"+",0)</f>
        <v/>
      </c>
      <c r="F123" s="653">
        <f>IF(E123&gt;0,$H$4,0)</f>
        <v/>
      </c>
      <c r="G123" s="654" t="n"/>
      <c r="H123" s="599" t="n"/>
      <c r="I123" s="599" t="n"/>
      <c r="J123" s="599" t="n"/>
      <c r="K123" s="599" t="n"/>
      <c r="L123" s="655" t="n"/>
      <c r="M123" s="664">
        <f>IFERROR(VLOOKUP(L123,Tabellen!H:I,2),0)</f>
        <v/>
      </c>
      <c r="N123" s="653" t="n"/>
      <c r="O123" s="653" t="n"/>
      <c r="Q123" s="119">
        <f>IF(OR(L123=47201,L123=47100,L123=47200,L123=47500),H123,0)</f>
        <v/>
      </c>
      <c r="R123" s="119">
        <f>IF(OR(L123=87201,L123=87100,L123=87200,L123=87500),H123,0)</f>
        <v/>
      </c>
    </row>
    <row r="124" ht="15" customHeight="1">
      <c r="A124" s="669" t="n"/>
      <c r="B124" s="657" t="n"/>
      <c r="C124" s="657" t="n"/>
      <c r="D124" s="657" t="n"/>
      <c r="E124" s="681">
        <f>IF(N124&gt;1,"+",0)</f>
        <v/>
      </c>
      <c r="F124" s="661">
        <f>IF(E124&gt;0,$H$4,0)</f>
        <v/>
      </c>
      <c r="G124" s="670" t="n"/>
      <c r="H124" s="599" t="n"/>
      <c r="I124" s="599" t="n"/>
      <c r="J124" s="599" t="n"/>
      <c r="K124" s="599" t="n"/>
      <c r="L124" s="659" t="n"/>
      <c r="M124" s="660">
        <f>IFERROR(VLOOKUP(L124,Tabellen!H:I,2),0)</f>
        <v/>
      </c>
      <c r="N124" s="661" t="n"/>
      <c r="O124" s="661" t="n"/>
      <c r="Q124" s="119">
        <f>IF(OR(L124=47201,L124=47100,L124=47200,L124=47500),H124,0)</f>
        <v/>
      </c>
      <c r="R124" s="119">
        <f>IF(OR(L124=87201,L124=87100,L124=87200,L124=87500),H124,0)</f>
        <v/>
      </c>
    </row>
    <row r="125" ht="15" customHeight="1">
      <c r="A125" s="651" t="n"/>
      <c r="B125" s="662" t="n"/>
      <c r="C125" s="662" t="n"/>
      <c r="D125" s="662" t="n"/>
      <c r="E125" s="681">
        <f>IF(N125&gt;1,"+",0)</f>
        <v/>
      </c>
      <c r="F125" s="653">
        <f>IF(E125&gt;0,$H$4,0)</f>
        <v/>
      </c>
      <c r="G125" s="654" t="n"/>
      <c r="H125" s="599" t="n"/>
      <c r="I125" s="599" t="n"/>
      <c r="J125" s="599" t="n"/>
      <c r="K125" s="599" t="n"/>
      <c r="L125" s="655" t="n"/>
      <c r="M125" s="664">
        <f>IFERROR(VLOOKUP(L125,Tabellen!H:I,2),0)</f>
        <v/>
      </c>
      <c r="N125" s="653" t="n"/>
      <c r="O125" s="653" t="n"/>
      <c r="Q125" s="119">
        <f>IF(OR(L125=47201,L125=47100,L125=47200,L125=47500),H125,0)</f>
        <v/>
      </c>
      <c r="R125" s="119">
        <f>IF(OR(L125=87201,L125=87100,L125=87200,L125=87500),H125,0)</f>
        <v/>
      </c>
    </row>
    <row r="126" ht="15" customHeight="1">
      <c r="A126" s="669" t="n"/>
      <c r="B126" s="657" t="n"/>
      <c r="C126" s="657" t="n"/>
      <c r="D126" s="657" t="n"/>
      <c r="E126" s="681">
        <f>IF(N126&gt;1,"+",0)</f>
        <v/>
      </c>
      <c r="F126" s="661">
        <f>IF(E126&gt;0,$H$4,0)</f>
        <v/>
      </c>
      <c r="G126" s="670" t="n"/>
      <c r="H126" s="599" t="n"/>
      <c r="I126" s="599" t="n"/>
      <c r="J126" s="599" t="n"/>
      <c r="K126" s="599" t="n"/>
      <c r="L126" s="659" t="n"/>
      <c r="M126" s="660">
        <f>IFERROR(VLOOKUP(L126,Tabellen!H:I,2),0)</f>
        <v/>
      </c>
      <c r="N126" s="661" t="n"/>
      <c r="O126" s="661" t="n"/>
      <c r="Q126" s="119">
        <f>IF(OR(L126=47201,L126=47100,L126=47200,L126=47500),H126,0)</f>
        <v/>
      </c>
      <c r="R126" s="119">
        <f>IF(OR(L126=87201,L126=87100,L126=87200,L126=87500),H126,0)</f>
        <v/>
      </c>
    </row>
    <row r="127" ht="15" customHeight="1">
      <c r="A127" s="651" t="n"/>
      <c r="B127" s="662" t="n"/>
      <c r="C127" s="662" t="n"/>
      <c r="D127" s="662" t="n"/>
      <c r="E127" s="681">
        <f>IF(N127&gt;1,"+",0)</f>
        <v/>
      </c>
      <c r="F127" s="653">
        <f>IF(E127&gt;0,$H$4,0)</f>
        <v/>
      </c>
      <c r="G127" s="654" t="n"/>
      <c r="H127" s="599" t="n"/>
      <c r="I127" s="599" t="n"/>
      <c r="J127" s="599" t="n"/>
      <c r="K127" s="599" t="n"/>
      <c r="L127" s="655" t="n"/>
      <c r="M127" s="664">
        <f>IFERROR(VLOOKUP(L127,Tabellen!H:I,2),0)</f>
        <v/>
      </c>
      <c r="N127" s="653" t="n"/>
      <c r="O127" s="653" t="n"/>
      <c r="Q127" s="119">
        <f>IF(OR(L127=47201,L127=47100,L127=47200,L127=47500),H127,0)</f>
        <v/>
      </c>
      <c r="R127" s="119">
        <f>IF(OR(L127=87201,L127=87100,L127=87200,L127=87500),H127,0)</f>
        <v/>
      </c>
    </row>
    <row r="128" ht="15" customHeight="1">
      <c r="A128" s="669" t="n"/>
      <c r="B128" s="657" t="n"/>
      <c r="C128" s="657" t="n"/>
      <c r="D128" s="657" t="n"/>
      <c r="E128" s="681">
        <f>IF(N128&gt;1,"+",0)</f>
        <v/>
      </c>
      <c r="F128" s="661">
        <f>IF(E128&gt;0,$H$4,0)</f>
        <v/>
      </c>
      <c r="G128" s="670" t="n"/>
      <c r="H128" s="599" t="n"/>
      <c r="I128" s="599" t="n"/>
      <c r="J128" s="599" t="n"/>
      <c r="K128" s="599" t="n"/>
      <c r="L128" s="659" t="n"/>
      <c r="M128" s="660">
        <f>IFERROR(VLOOKUP(L128,Tabellen!H:I,2),0)</f>
        <v/>
      </c>
      <c r="N128" s="661" t="n"/>
      <c r="O128" s="661" t="n"/>
      <c r="Q128" s="119">
        <f>IF(OR(L128=47201,L128=47100,L128=47200,L128=47500),H128,0)</f>
        <v/>
      </c>
      <c r="R128" s="119">
        <f>IF(OR(L128=87201,L128=87100,L128=87200,L128=87500),H128,0)</f>
        <v/>
      </c>
    </row>
    <row r="129" ht="15" customHeight="1">
      <c r="A129" s="651" t="n"/>
      <c r="B129" s="662" t="n"/>
      <c r="C129" s="662" t="n"/>
      <c r="D129" s="662" t="n"/>
      <c r="E129" s="681">
        <f>IF(N129&gt;1,"+",0)</f>
        <v/>
      </c>
      <c r="F129" s="653">
        <f>IF(E129&gt;0,$H$4,0)</f>
        <v/>
      </c>
      <c r="G129" s="654" t="n"/>
      <c r="H129" s="599" t="n"/>
      <c r="I129" s="599" t="n"/>
      <c r="J129" s="599" t="n"/>
      <c r="K129" s="599" t="n"/>
      <c r="L129" s="655" t="n"/>
      <c r="M129" s="664">
        <f>IFERROR(VLOOKUP(L129,Tabellen!H:I,2),0)</f>
        <v/>
      </c>
      <c r="N129" s="653" t="n"/>
      <c r="O129" s="653" t="n"/>
      <c r="Q129" s="119">
        <f>IF(OR(L129=47201,L129=47100,L129=47200,L129=47500),H129,0)</f>
        <v/>
      </c>
      <c r="R129" s="119">
        <f>IF(OR(L129=87201,L129=87100,L129=87200,L129=87500),H129,0)</f>
        <v/>
      </c>
    </row>
    <row r="130" ht="15" customHeight="1">
      <c r="A130" s="669" t="n"/>
      <c r="B130" s="657" t="n"/>
      <c r="C130" s="657" t="n"/>
      <c r="D130" s="657" t="n"/>
      <c r="E130" s="681">
        <f>IF(N130&gt;1,"+",0)</f>
        <v/>
      </c>
      <c r="F130" s="661">
        <f>IF(E130&gt;0,$H$4,0)</f>
        <v/>
      </c>
      <c r="G130" s="670" t="n"/>
      <c r="H130" s="599" t="n"/>
      <c r="I130" s="599" t="n"/>
      <c r="J130" s="599" t="n"/>
      <c r="K130" s="599" t="n"/>
      <c r="L130" s="659" t="n"/>
      <c r="M130" s="660">
        <f>IFERROR(VLOOKUP(L130,Tabellen!H:I,2),0)</f>
        <v/>
      </c>
      <c r="N130" s="661" t="n"/>
      <c r="O130" s="661" t="n"/>
      <c r="Q130" s="119">
        <f>IF(OR(L130=47201,L130=47100,L130=47200,L130=47500),H130,0)</f>
        <v/>
      </c>
      <c r="R130" s="119">
        <f>IF(OR(L130=87201,L130=87100,L130=87200,L130=87500),H130,0)</f>
        <v/>
      </c>
    </row>
    <row r="131" ht="15" customHeight="1">
      <c r="A131" s="651" t="n"/>
      <c r="B131" s="662" t="n"/>
      <c r="C131" s="662" t="n"/>
      <c r="D131" s="662" t="n"/>
      <c r="E131" s="681">
        <f>IF(N131&gt;1,"+",0)</f>
        <v/>
      </c>
      <c r="F131" s="653">
        <f>IF(E131&gt;0,$H$4,0)</f>
        <v/>
      </c>
      <c r="G131" s="654" t="n"/>
      <c r="H131" s="599" t="n"/>
      <c r="I131" s="599" t="n"/>
      <c r="J131" s="599" t="n"/>
      <c r="K131" s="599" t="n"/>
      <c r="L131" s="655" t="n"/>
      <c r="M131" s="664">
        <f>IFERROR(VLOOKUP(L131,Tabellen!H:I,2),0)</f>
        <v/>
      </c>
      <c r="N131" s="653" t="n"/>
      <c r="O131" s="653" t="n"/>
      <c r="Q131" s="119">
        <f>IF(OR(L131=47201,L131=47100,L131=47200,L131=47500),H131,0)</f>
        <v/>
      </c>
      <c r="R131" s="119">
        <f>IF(OR(L131=87201,L131=87100,L131=87200,L131=87500),H131,0)</f>
        <v/>
      </c>
    </row>
    <row r="132" ht="15" customHeight="1">
      <c r="A132" s="669" t="n"/>
      <c r="B132" s="657" t="n"/>
      <c r="C132" s="657" t="n"/>
      <c r="D132" s="657" t="n"/>
      <c r="E132" s="681">
        <f>IF(N132&gt;1,"+",0)</f>
        <v/>
      </c>
      <c r="F132" s="661">
        <f>IF(E132&gt;0,$H$4,0)</f>
        <v/>
      </c>
      <c r="G132" s="670" t="n"/>
      <c r="H132" s="599" t="n"/>
      <c r="I132" s="599" t="n"/>
      <c r="J132" s="599" t="n"/>
      <c r="K132" s="599" t="n"/>
      <c r="L132" s="659" t="n"/>
      <c r="M132" s="660">
        <f>IFERROR(VLOOKUP(L132,Tabellen!H:I,2),0)</f>
        <v/>
      </c>
      <c r="N132" s="661" t="n"/>
      <c r="O132" s="661" t="n"/>
      <c r="Q132" s="119">
        <f>IF(OR(L132=47201,L132=47100,L132=47200,L132=47500),H132,0)</f>
        <v/>
      </c>
      <c r="R132" s="119">
        <f>IF(OR(L132=87201,L132=87100,L132=87200,L132=87500),H132,0)</f>
        <v/>
      </c>
    </row>
    <row r="133" ht="15" customHeight="1">
      <c r="A133" s="651" t="n"/>
      <c r="B133" s="662" t="n"/>
      <c r="C133" s="662" t="n"/>
      <c r="D133" s="662" t="n"/>
      <c r="E133" s="681">
        <f>IF(N133&gt;1,"+",0)</f>
        <v/>
      </c>
      <c r="F133" s="653">
        <f>IF(E133&gt;0,$H$4,0)</f>
        <v/>
      </c>
      <c r="G133" s="654" t="n"/>
      <c r="H133" s="599" t="n"/>
      <c r="I133" s="599" t="n"/>
      <c r="J133" s="599" t="n"/>
      <c r="K133" s="599" t="n"/>
      <c r="L133" s="655" t="n"/>
      <c r="M133" s="664">
        <f>IFERROR(VLOOKUP(L133,Tabellen!H:I,2),0)</f>
        <v/>
      </c>
      <c r="N133" s="653" t="n"/>
      <c r="O133" s="653" t="n"/>
      <c r="Q133" s="119">
        <f>IF(OR(L133=47201,L133=47100,L133=47200,L133=47500),H133,0)</f>
        <v/>
      </c>
      <c r="R133" s="119">
        <f>IF(OR(L133=87201,L133=87100,L133=87200,L133=87500),H133,0)</f>
        <v/>
      </c>
    </row>
    <row r="134" ht="15" customHeight="1">
      <c r="A134" s="669" t="n"/>
      <c r="B134" s="657" t="n"/>
      <c r="C134" s="657" t="n"/>
      <c r="D134" s="657" t="n"/>
      <c r="E134" s="681">
        <f>IF(N134&gt;1,"+",0)</f>
        <v/>
      </c>
      <c r="F134" s="661">
        <f>IF(E134&gt;0,$H$4,0)</f>
        <v/>
      </c>
      <c r="G134" s="670" t="n"/>
      <c r="H134" s="599" t="n"/>
      <c r="I134" s="599" t="n"/>
      <c r="J134" s="599" t="n"/>
      <c r="K134" s="599" t="n"/>
      <c r="L134" s="659" t="n"/>
      <c r="M134" s="660">
        <f>IFERROR(VLOOKUP(L134,Tabellen!H:I,2),0)</f>
        <v/>
      </c>
      <c r="N134" s="661" t="n"/>
      <c r="O134" s="661" t="n"/>
      <c r="Q134" s="119">
        <f>IF(OR(L134=47201,L134=47100,L134=47200,L134=47500),H134,0)</f>
        <v/>
      </c>
      <c r="R134" s="119">
        <f>IF(OR(L134=87201,L134=87100,L134=87200,L134=87500),H134,0)</f>
        <v/>
      </c>
    </row>
    <row r="135" ht="15" customHeight="1">
      <c r="A135" s="651" t="n"/>
      <c r="B135" s="662" t="n"/>
      <c r="C135" s="662" t="n"/>
      <c r="D135" s="662" t="n"/>
      <c r="E135" s="681">
        <f>IF(N135&gt;1,"+",0)</f>
        <v/>
      </c>
      <c r="F135" s="653">
        <f>IF(E135&gt;0,$H$4,0)</f>
        <v/>
      </c>
      <c r="G135" s="654" t="n"/>
      <c r="H135" s="599" t="n"/>
      <c r="I135" s="599" t="n"/>
      <c r="J135" s="599" t="n"/>
      <c r="K135" s="599" t="n"/>
      <c r="L135" s="655" t="n"/>
      <c r="M135" s="664">
        <f>IFERROR(VLOOKUP(L135,Tabellen!H:I,2),0)</f>
        <v/>
      </c>
      <c r="N135" s="653" t="n"/>
      <c r="O135" s="653" t="n"/>
      <c r="Q135" s="119">
        <f>IF(OR(L135=47201,L135=47100,L135=47200,L135=47500),H135,0)</f>
        <v/>
      </c>
      <c r="R135" s="119">
        <f>IF(OR(L135=87201,L135=87100,L135=87200,L135=87500),H135,0)</f>
        <v/>
      </c>
    </row>
    <row r="136" ht="15" customHeight="1">
      <c r="A136" s="669" t="n"/>
      <c r="B136" s="657" t="n"/>
      <c r="C136" s="657" t="n"/>
      <c r="D136" s="657" t="n"/>
      <c r="E136" s="681">
        <f>IF(N136&gt;1,"+",0)</f>
        <v/>
      </c>
      <c r="F136" s="661">
        <f>IF(E136&gt;0,$H$4,0)</f>
        <v/>
      </c>
      <c r="G136" s="670" t="n"/>
      <c r="H136" s="599" t="n"/>
      <c r="I136" s="599" t="n"/>
      <c r="J136" s="599" t="n"/>
      <c r="K136" s="599" t="n"/>
      <c r="L136" s="659" t="n"/>
      <c r="M136" s="660">
        <f>IFERROR(VLOOKUP(L136,Tabellen!H:I,2),0)</f>
        <v/>
      </c>
      <c r="N136" s="661" t="n"/>
      <c r="O136" s="661" t="n"/>
      <c r="Q136" s="119">
        <f>IF(OR(L136=47201,L136=47100,L136=47200,L136=47500),H136,0)</f>
        <v/>
      </c>
      <c r="R136" s="119">
        <f>IF(OR(L136=87201,L136=87100,L136=87200,L136=87500),H136,0)</f>
        <v/>
      </c>
    </row>
    <row r="137" ht="15" customHeight="1">
      <c r="A137" s="651" t="n"/>
      <c r="B137" s="662" t="n"/>
      <c r="C137" s="662" t="n"/>
      <c r="D137" s="662" t="n"/>
      <c r="E137" s="681">
        <f>IF(N137&gt;1,"+",0)</f>
        <v/>
      </c>
      <c r="F137" s="653">
        <f>IF(E137&gt;0,$H$4,0)</f>
        <v/>
      </c>
      <c r="G137" s="654" t="n"/>
      <c r="H137" s="599" t="n"/>
      <c r="I137" s="599" t="n"/>
      <c r="J137" s="599" t="n"/>
      <c r="K137" s="599" t="n"/>
      <c r="L137" s="655" t="n"/>
      <c r="M137" s="664">
        <f>IFERROR(VLOOKUP(L137,Tabellen!H:I,2),0)</f>
        <v/>
      </c>
      <c r="N137" s="653" t="n"/>
      <c r="O137" s="653" t="n"/>
      <c r="Q137" s="119">
        <f>IF(OR(L137=47201,L137=47100,L137=47200,L137=47500),H137,0)</f>
        <v/>
      </c>
      <c r="R137" s="119">
        <f>IF(OR(L137=87201,L137=87100,L137=87200,L137=87500),H137,0)</f>
        <v/>
      </c>
    </row>
    <row r="138" ht="15" customHeight="1">
      <c r="A138" s="669" t="n"/>
      <c r="B138" s="657" t="n"/>
      <c r="C138" s="657" t="n"/>
      <c r="D138" s="657" t="n"/>
      <c r="E138" s="681">
        <f>IF(N138&gt;1,"+",0)</f>
        <v/>
      </c>
      <c r="F138" s="661">
        <f>IF(E138&gt;0,$H$4,0)</f>
        <v/>
      </c>
      <c r="G138" s="670" t="n"/>
      <c r="H138" s="599" t="n"/>
      <c r="I138" s="599" t="n"/>
      <c r="J138" s="599" t="n"/>
      <c r="K138" s="599" t="n"/>
      <c r="L138" s="659" t="n"/>
      <c r="M138" s="660">
        <f>IFERROR(VLOOKUP(L138,Tabellen!H:I,2),0)</f>
        <v/>
      </c>
      <c r="N138" s="661" t="n"/>
      <c r="O138" s="661" t="n"/>
      <c r="Q138" s="119">
        <f>IF(OR(L138=47201,L138=47100,L138=47200,L138=47500),H138,0)</f>
        <v/>
      </c>
      <c r="R138" s="119">
        <f>IF(OR(L138=87201,L138=87100,L138=87200,L138=87500),H138,0)</f>
        <v/>
      </c>
    </row>
    <row r="139" ht="15" customHeight="1">
      <c r="A139" s="651" t="n"/>
      <c r="B139" s="662" t="n"/>
      <c r="C139" s="662" t="n"/>
      <c r="D139" s="662" t="n"/>
      <c r="E139" s="681">
        <f>IF(N139&gt;1,"+",0)</f>
        <v/>
      </c>
      <c r="F139" s="653">
        <f>IF(E139&gt;0,$H$4,0)</f>
        <v/>
      </c>
      <c r="G139" s="654" t="n"/>
      <c r="H139" s="599" t="n"/>
      <c r="I139" s="599" t="n"/>
      <c r="J139" s="599" t="n"/>
      <c r="K139" s="599" t="n"/>
      <c r="L139" s="655" t="n"/>
      <c r="M139" s="664">
        <f>IFERROR(VLOOKUP(L139,Tabellen!H:I,2),0)</f>
        <v/>
      </c>
      <c r="N139" s="653" t="n"/>
      <c r="O139" s="653" t="n"/>
      <c r="Q139" s="119">
        <f>IF(OR(L139=47201,L139=47100,L139=47200,L139=47500),H139,0)</f>
        <v/>
      </c>
      <c r="R139" s="119">
        <f>IF(OR(L139=87201,L139=87100,L139=87200,L139=87500),H139,0)</f>
        <v/>
      </c>
    </row>
    <row r="140" ht="15" customHeight="1">
      <c r="A140" s="669" t="n"/>
      <c r="B140" s="657" t="n"/>
      <c r="C140" s="657" t="n"/>
      <c r="D140" s="657" t="n"/>
      <c r="E140" s="681">
        <f>IF(N140&gt;1,"+",0)</f>
        <v/>
      </c>
      <c r="F140" s="661">
        <f>IF(E140&gt;0,$H$4,0)</f>
        <v/>
      </c>
      <c r="G140" s="670" t="n"/>
      <c r="H140" s="599" t="n"/>
      <c r="I140" s="599" t="n"/>
      <c r="J140" s="599" t="n"/>
      <c r="K140" s="599" t="n"/>
      <c r="L140" s="659" t="n"/>
      <c r="M140" s="660">
        <f>IFERROR(VLOOKUP(L140,Tabellen!H:I,2),0)</f>
        <v/>
      </c>
      <c r="N140" s="661" t="n"/>
      <c r="O140" s="661" t="n"/>
      <c r="Q140" s="119">
        <f>IF(OR(L140=47201,L140=47100,L140=47200,L140=47500),H140,0)</f>
        <v/>
      </c>
      <c r="R140" s="119">
        <f>IF(OR(L140=87201,L140=87100,L140=87200,L140=87500),H140,0)</f>
        <v/>
      </c>
    </row>
    <row r="141" ht="15" customHeight="1">
      <c r="A141" s="651" t="n"/>
      <c r="B141" s="662" t="n"/>
      <c r="C141" s="662" t="n"/>
      <c r="D141" s="662" t="n"/>
      <c r="E141" s="681">
        <f>IF(N141&gt;1,"+",0)</f>
        <v/>
      </c>
      <c r="F141" s="653">
        <f>IF(E141&gt;0,$H$4,0)</f>
        <v/>
      </c>
      <c r="G141" s="654" t="n"/>
      <c r="H141" s="599" t="n"/>
      <c r="I141" s="599" t="n"/>
      <c r="J141" s="599" t="n"/>
      <c r="K141" s="599" t="n"/>
      <c r="L141" s="655" t="n"/>
      <c r="M141" s="664">
        <f>IFERROR(VLOOKUP(L141,Tabellen!H:I,2),0)</f>
        <v/>
      </c>
      <c r="N141" s="653" t="n"/>
      <c r="O141" s="653" t="n"/>
      <c r="Q141" s="119">
        <f>IF(OR(L141=47201,L141=47100,L141=47200,L141=47500),H141,0)</f>
        <v/>
      </c>
      <c r="R141" s="119">
        <f>IF(OR(L141=87201,L141=87100,L141=87200,L141=87500),H141,0)</f>
        <v/>
      </c>
    </row>
    <row r="142" ht="15" customHeight="1">
      <c r="A142" s="669" t="n"/>
      <c r="B142" s="657" t="n"/>
      <c r="C142" s="657" t="n"/>
      <c r="D142" s="657" t="n"/>
      <c r="E142" s="681">
        <f>IF(N142&gt;1,"+",0)</f>
        <v/>
      </c>
      <c r="F142" s="661">
        <f>IF(E142&gt;0,$H$4,0)</f>
        <v/>
      </c>
      <c r="G142" s="670" t="n"/>
      <c r="H142" s="599" t="n"/>
      <c r="I142" s="599" t="n"/>
      <c r="J142" s="599" t="n"/>
      <c r="K142" s="599" t="n"/>
      <c r="L142" s="659" t="n"/>
      <c r="M142" s="660">
        <f>IFERROR(VLOOKUP(L142,Tabellen!H:I,2),0)</f>
        <v/>
      </c>
      <c r="N142" s="661" t="n"/>
      <c r="O142" s="661" t="n"/>
      <c r="Q142" s="119">
        <f>IF(OR(L142=47201,L142=47100,L142=47200,L142=47500),H142,0)</f>
        <v/>
      </c>
      <c r="R142" s="119">
        <f>IF(OR(L142=87201,L142=87100,L142=87200,L142=87500),H142,0)</f>
        <v/>
      </c>
    </row>
    <row r="143" ht="15" customHeight="1">
      <c r="A143" s="651" t="n"/>
      <c r="B143" s="662" t="n"/>
      <c r="C143" s="662" t="n"/>
      <c r="D143" s="662" t="n"/>
      <c r="E143" s="681">
        <f>IF(N143&gt;1,"+",0)</f>
        <v/>
      </c>
      <c r="F143" s="653">
        <f>IF(E143&gt;0,$H$4,0)</f>
        <v/>
      </c>
      <c r="G143" s="654" t="n"/>
      <c r="H143" s="599" t="n"/>
      <c r="I143" s="599" t="n"/>
      <c r="J143" s="599" t="n"/>
      <c r="K143" s="599" t="n"/>
      <c r="L143" s="655" t="n"/>
      <c r="M143" s="664">
        <f>IFERROR(VLOOKUP(L143,Tabellen!H:I,2),0)</f>
        <v/>
      </c>
      <c r="N143" s="653" t="n"/>
      <c r="O143" s="653" t="n"/>
      <c r="Q143" s="119">
        <f>IF(OR(L143=47201,L143=47100,L143=47200,L143=47500),H143,0)</f>
        <v/>
      </c>
      <c r="R143" s="119">
        <f>IF(OR(L143=87201,L143=87100,L143=87200,L143=87500),H143,0)</f>
        <v/>
      </c>
    </row>
    <row r="144" ht="15" customHeight="1">
      <c r="A144" s="669" t="n"/>
      <c r="B144" s="657" t="n"/>
      <c r="C144" s="657" t="n"/>
      <c r="D144" s="657" t="n"/>
      <c r="E144" s="681">
        <f>IF(N144&gt;1,"+",0)</f>
        <v/>
      </c>
      <c r="F144" s="661">
        <f>IF(E144&gt;0,$H$4,0)</f>
        <v/>
      </c>
      <c r="G144" s="670" t="n"/>
      <c r="H144" s="599" t="n"/>
      <c r="I144" s="599" t="n"/>
      <c r="J144" s="599" t="n"/>
      <c r="K144" s="599" t="n"/>
      <c r="L144" s="659" t="n"/>
      <c r="M144" s="660">
        <f>IFERROR(VLOOKUP(L144,Tabellen!H:I,2),0)</f>
        <v/>
      </c>
      <c r="N144" s="661" t="n"/>
      <c r="O144" s="661" t="n"/>
      <c r="Q144" s="119">
        <f>IF(OR(L144=47201,L144=47100,L144=47200,L144=47500),H144,0)</f>
        <v/>
      </c>
      <c r="R144" s="119">
        <f>IF(OR(L144=87201,L144=87100,L144=87200,L144=87500),H144,0)</f>
        <v/>
      </c>
    </row>
    <row r="145" ht="15" customHeight="1">
      <c r="A145" s="651" t="n"/>
      <c r="B145" s="662" t="n"/>
      <c r="C145" s="662" t="n"/>
      <c r="D145" s="662" t="n"/>
      <c r="E145" s="681">
        <f>IF(N145&gt;1,"+",0)</f>
        <v/>
      </c>
      <c r="F145" s="653">
        <f>IF(E145&gt;0,$H$4,0)</f>
        <v/>
      </c>
      <c r="G145" s="654" t="n"/>
      <c r="H145" s="599" t="n"/>
      <c r="I145" s="599" t="n"/>
      <c r="J145" s="599" t="n"/>
      <c r="K145" s="599" t="n"/>
      <c r="L145" s="655" t="n"/>
      <c r="M145" s="664">
        <f>IFERROR(VLOOKUP(L145,Tabellen!H:I,2),0)</f>
        <v/>
      </c>
      <c r="N145" s="653" t="n"/>
      <c r="O145" s="653" t="n"/>
      <c r="Q145" s="119">
        <f>IF(OR(L145=47201,L145=47100,L145=47200,L145=47500),H145,0)</f>
        <v/>
      </c>
      <c r="R145" s="119">
        <f>IF(OR(L145=87201,L145=87100,L145=87200,L145=87500),H145,0)</f>
        <v/>
      </c>
    </row>
    <row r="146" ht="15" customHeight="1">
      <c r="A146" s="669" t="n"/>
      <c r="B146" s="657" t="n"/>
      <c r="C146" s="657" t="n"/>
      <c r="D146" s="657" t="n"/>
      <c r="E146" s="681">
        <f>IF(N146&gt;1,"+",0)</f>
        <v/>
      </c>
      <c r="F146" s="661">
        <f>IF(E146&gt;0,$H$4,0)</f>
        <v/>
      </c>
      <c r="G146" s="670" t="n"/>
      <c r="H146" s="599" t="n"/>
      <c r="I146" s="599" t="n"/>
      <c r="J146" s="599" t="n"/>
      <c r="K146" s="599" t="n"/>
      <c r="L146" s="659" t="n"/>
      <c r="M146" s="660">
        <f>IFERROR(VLOOKUP(L146,Tabellen!H:I,2),0)</f>
        <v/>
      </c>
      <c r="N146" s="661" t="n"/>
      <c r="O146" s="661" t="n"/>
      <c r="Q146" s="119">
        <f>IF(OR(L146=47201,L146=47100,L146=47200,L146=47500),H146,0)</f>
        <v/>
      </c>
      <c r="R146" s="119">
        <f>IF(OR(L146=87201,L146=87100,L146=87200,L146=87500),H146,0)</f>
        <v/>
      </c>
    </row>
    <row r="147" ht="15" customHeight="1">
      <c r="A147" s="651" t="n"/>
      <c r="B147" s="662" t="n"/>
      <c r="C147" s="662" t="n"/>
      <c r="D147" s="662" t="n"/>
      <c r="E147" s="681">
        <f>IF(N147&gt;1,"+",0)</f>
        <v/>
      </c>
      <c r="F147" s="653">
        <f>IF(E147&gt;0,$H$4,0)</f>
        <v/>
      </c>
      <c r="G147" s="654" t="n"/>
      <c r="H147" s="599" t="n"/>
      <c r="I147" s="599" t="n"/>
      <c r="J147" s="599" t="n"/>
      <c r="K147" s="599" t="n"/>
      <c r="L147" s="655" t="n"/>
      <c r="M147" s="664">
        <f>IFERROR(VLOOKUP(L147,Tabellen!H:I,2),0)</f>
        <v/>
      </c>
      <c r="N147" s="653" t="n"/>
      <c r="O147" s="653" t="n"/>
      <c r="Q147" s="119">
        <f>IF(OR(L147=47201,L147=47100,L147=47200,L147=47500),H147,0)</f>
        <v/>
      </c>
      <c r="R147" s="119">
        <f>IF(OR(L147=87201,L147=87100,L147=87200,L147=87500),H147,0)</f>
        <v/>
      </c>
    </row>
    <row r="148" ht="15" customHeight="1">
      <c r="A148" s="669" t="n"/>
      <c r="B148" s="657" t="n"/>
      <c r="C148" s="657" t="n"/>
      <c r="D148" s="657" t="n"/>
      <c r="E148" s="681">
        <f>IF(N148&gt;1,"+",0)</f>
        <v/>
      </c>
      <c r="F148" s="661">
        <f>IF(E148&gt;0,$H$4,0)</f>
        <v/>
      </c>
      <c r="G148" s="670" t="n"/>
      <c r="H148" s="599" t="n"/>
      <c r="I148" s="599" t="n"/>
      <c r="J148" s="599" t="n"/>
      <c r="K148" s="599" t="n"/>
      <c r="L148" s="659" t="n"/>
      <c r="M148" s="660">
        <f>IFERROR(VLOOKUP(L148,Tabellen!H:I,2),0)</f>
        <v/>
      </c>
      <c r="N148" s="661" t="n"/>
      <c r="O148" s="661" t="n"/>
      <c r="Q148" s="119">
        <f>IF(OR(L148=47201,L148=47100,L148=47200,L148=47500),H148,0)</f>
        <v/>
      </c>
      <c r="R148" s="119">
        <f>IF(OR(L148=87201,L148=87100,L148=87200,L148=87500),H148,0)</f>
        <v/>
      </c>
    </row>
    <row r="149" ht="15" customHeight="1">
      <c r="A149" s="651" t="n"/>
      <c r="B149" s="662" t="n"/>
      <c r="C149" s="662" t="n"/>
      <c r="D149" s="662" t="n"/>
      <c r="E149" s="681">
        <f>IF(N149&gt;1,"+",0)</f>
        <v/>
      </c>
      <c r="F149" s="653">
        <f>IF(E149&gt;0,$H$4,0)</f>
        <v/>
      </c>
      <c r="G149" s="654" t="n"/>
      <c r="H149" s="599" t="n"/>
      <c r="I149" s="599" t="n"/>
      <c r="J149" s="599" t="n"/>
      <c r="K149" s="599" t="n"/>
      <c r="L149" s="655" t="n"/>
      <c r="M149" s="664">
        <f>IFERROR(VLOOKUP(L149,Tabellen!H:I,2),0)</f>
        <v/>
      </c>
      <c r="N149" s="653" t="n"/>
      <c r="O149" s="653" t="n"/>
      <c r="Q149" s="119">
        <f>IF(OR(L149=47201,L149=47100,L149=47200,L149=47500),H149,0)</f>
        <v/>
      </c>
      <c r="R149" s="119">
        <f>IF(OR(L149=87201,L149=87100,L149=87200,L149=87500),H149,0)</f>
        <v/>
      </c>
    </row>
    <row r="150" ht="15" customHeight="1">
      <c r="A150" s="669" t="n"/>
      <c r="B150" s="657" t="n"/>
      <c r="C150" s="657" t="n"/>
      <c r="D150" s="657" t="n"/>
      <c r="E150" s="681">
        <f>IF(N150&gt;1,"+",0)</f>
        <v/>
      </c>
      <c r="F150" s="661">
        <f>IF(E150&gt;0,$H$4,0)</f>
        <v/>
      </c>
      <c r="G150" s="670" t="n"/>
      <c r="H150" s="599" t="n"/>
      <c r="I150" s="599" t="n"/>
      <c r="J150" s="599" t="n"/>
      <c r="K150" s="599" t="n"/>
      <c r="L150" s="659" t="n"/>
      <c r="M150" s="660">
        <f>IFERROR(VLOOKUP(L150,Tabellen!H:I,2),0)</f>
        <v/>
      </c>
      <c r="N150" s="661" t="n"/>
      <c r="O150" s="661" t="n"/>
      <c r="Q150" s="119">
        <f>IF(OR(L150=47201,L150=47100,L150=47200,L150=47500),H150,0)</f>
        <v/>
      </c>
      <c r="R150" s="119">
        <f>IF(OR(L150=87201,L150=87100,L150=87200,L150=87500),H150,0)</f>
        <v/>
      </c>
    </row>
    <row r="151" ht="15" customHeight="1">
      <c r="A151" s="651" t="n"/>
      <c r="B151" s="662" t="n"/>
      <c r="C151" s="662" t="n"/>
      <c r="D151" s="662" t="n"/>
      <c r="E151" s="681">
        <f>IF(N151&gt;1,"+",0)</f>
        <v/>
      </c>
      <c r="F151" s="653">
        <f>IF(E151&gt;0,$H$4,0)</f>
        <v/>
      </c>
      <c r="G151" s="654" t="n"/>
      <c r="H151" s="599" t="n"/>
      <c r="I151" s="599" t="n"/>
      <c r="J151" s="599" t="n"/>
      <c r="K151" s="599" t="n"/>
      <c r="L151" s="655" t="n"/>
      <c r="M151" s="664">
        <f>IFERROR(VLOOKUP(L151,Tabellen!H:I,2),0)</f>
        <v/>
      </c>
      <c r="N151" s="653" t="n"/>
      <c r="O151" s="653" t="n"/>
      <c r="Q151" s="119">
        <f>IF(OR(L151=47201,L151=47100,L151=47200,L151=47500),H151,0)</f>
        <v/>
      </c>
      <c r="R151" s="119">
        <f>IF(OR(L151=87201,L151=87100,L151=87200,L151=87500),H151,0)</f>
        <v/>
      </c>
    </row>
    <row r="152" ht="15" customHeight="1">
      <c r="A152" s="669" t="n"/>
      <c r="B152" s="657" t="n"/>
      <c r="C152" s="657" t="n"/>
      <c r="D152" s="657" t="n"/>
      <c r="E152" s="681">
        <f>IF(N152&gt;1,"+",0)</f>
        <v/>
      </c>
      <c r="F152" s="661">
        <f>IF(E152&gt;0,$H$4,0)</f>
        <v/>
      </c>
      <c r="G152" s="670" t="n"/>
      <c r="H152" s="599" t="n"/>
      <c r="I152" s="599" t="n"/>
      <c r="J152" s="599" t="n"/>
      <c r="K152" s="599" t="n"/>
      <c r="L152" s="659" t="n"/>
      <c r="M152" s="660">
        <f>IFERROR(VLOOKUP(L152,Tabellen!H:I,2),0)</f>
        <v/>
      </c>
      <c r="N152" s="661" t="n"/>
      <c r="O152" s="661" t="n"/>
      <c r="Q152" s="119">
        <f>IF(OR(L152=47201,L152=47100,L152=47200,L152=47500),H152,0)</f>
        <v/>
      </c>
      <c r="R152" s="119">
        <f>IF(OR(L152=87201,L152=87100,L152=87200,L152=87500),H152,0)</f>
        <v/>
      </c>
    </row>
    <row r="153" ht="15" customHeight="1">
      <c r="A153" s="651" t="n"/>
      <c r="B153" s="662" t="n"/>
      <c r="C153" s="662" t="n"/>
      <c r="D153" s="662" t="n"/>
      <c r="E153" s="681">
        <f>IF(N153&gt;1,"+",0)</f>
        <v/>
      </c>
      <c r="F153" s="653">
        <f>IF(E153&gt;0,$H$4,0)</f>
        <v/>
      </c>
      <c r="G153" s="654" t="n"/>
      <c r="H153" s="599" t="n"/>
      <c r="I153" s="599" t="n"/>
      <c r="J153" s="599" t="n"/>
      <c r="K153" s="599" t="n"/>
      <c r="L153" s="655" t="n"/>
      <c r="M153" s="664">
        <f>IFERROR(VLOOKUP(L153,Tabellen!H:I,2),0)</f>
        <v/>
      </c>
      <c r="N153" s="653" t="n"/>
      <c r="O153" s="653" t="n"/>
      <c r="Q153" s="119">
        <f>IF(OR(L153=47201,L153=47100,L153=47200,L153=47500),H153,0)</f>
        <v/>
      </c>
      <c r="R153" s="119">
        <f>IF(OR(L153=87201,L153=87100,L153=87200,L153=87500),H153,0)</f>
        <v/>
      </c>
    </row>
    <row r="154" ht="15" customHeight="1">
      <c r="A154" s="669" t="n"/>
      <c r="B154" s="657" t="n"/>
      <c r="C154" s="657" t="n"/>
      <c r="D154" s="657" t="n"/>
      <c r="E154" s="681">
        <f>IF(N154&gt;1,"+",0)</f>
        <v/>
      </c>
      <c r="F154" s="661">
        <f>IF(E154&gt;0,$H$4,0)</f>
        <v/>
      </c>
      <c r="G154" s="670" t="n"/>
      <c r="H154" s="599" t="n"/>
      <c r="I154" s="599" t="n"/>
      <c r="J154" s="599" t="n"/>
      <c r="K154" s="599" t="n"/>
      <c r="L154" s="659" t="n"/>
      <c r="M154" s="660">
        <f>IFERROR(VLOOKUP(L154,Tabellen!H:I,2),0)</f>
        <v/>
      </c>
      <c r="N154" s="661" t="n"/>
      <c r="O154" s="661" t="n"/>
      <c r="Q154" s="119">
        <f>IF(OR(L154=47201,L154=47100,L154=47200,L154=47500),H154,0)</f>
        <v/>
      </c>
      <c r="R154" s="119">
        <f>IF(OR(L154=87201,L154=87100,L154=87200,L154=87500),H154,0)</f>
        <v/>
      </c>
    </row>
    <row r="155" ht="15" customHeight="1">
      <c r="A155" s="651" t="n"/>
      <c r="B155" s="662" t="n"/>
      <c r="C155" s="662" t="n"/>
      <c r="D155" s="662" t="n"/>
      <c r="E155" s="681">
        <f>IF(N155&gt;1,"+",0)</f>
        <v/>
      </c>
      <c r="F155" s="653">
        <f>IF(E155&gt;0,$H$4,0)</f>
        <v/>
      </c>
      <c r="G155" s="654" t="n"/>
      <c r="H155" s="599" t="n"/>
      <c r="I155" s="599" t="n"/>
      <c r="J155" s="599" t="n"/>
      <c r="K155" s="599" t="n"/>
      <c r="L155" s="655" t="n"/>
      <c r="M155" s="664">
        <f>IFERROR(VLOOKUP(L155,Tabellen!H:I,2),0)</f>
        <v/>
      </c>
      <c r="N155" s="653" t="n"/>
      <c r="O155" s="653" t="n"/>
      <c r="Q155" s="119">
        <f>IF(OR(L155=47201,L155=47100,L155=47200,L155=47500),H155,0)</f>
        <v/>
      </c>
      <c r="R155" s="119">
        <f>IF(OR(L155=87201,L155=87100,L155=87200,L155=87500),H155,0)</f>
        <v/>
      </c>
    </row>
    <row r="156" ht="15" customHeight="1">
      <c r="A156" s="669" t="n"/>
      <c r="B156" s="657" t="n"/>
      <c r="C156" s="657" t="n"/>
      <c r="D156" s="657" t="n"/>
      <c r="E156" s="681">
        <f>IF(N156&gt;1,"+",0)</f>
        <v/>
      </c>
      <c r="F156" s="661">
        <f>IF(E156&gt;0,$H$4,0)</f>
        <v/>
      </c>
      <c r="G156" s="670" t="n"/>
      <c r="H156" s="599" t="n"/>
      <c r="I156" s="599" t="n"/>
      <c r="J156" s="599" t="n"/>
      <c r="K156" s="599" t="n"/>
      <c r="L156" s="659" t="n"/>
      <c r="M156" s="660">
        <f>IFERROR(VLOOKUP(L156,Tabellen!H:I,2),0)</f>
        <v/>
      </c>
      <c r="N156" s="661" t="n"/>
      <c r="O156" s="661" t="n"/>
      <c r="Q156" s="119">
        <f>IF(OR(L156=47201,L156=47100,L156=47200,L156=47500),H156,0)</f>
        <v/>
      </c>
      <c r="R156" s="119">
        <f>IF(OR(L156=87201,L156=87100,L156=87200,L156=87500),H156,0)</f>
        <v/>
      </c>
    </row>
    <row r="157" ht="15" customHeight="1">
      <c r="A157" s="651" t="n"/>
      <c r="B157" s="662" t="n"/>
      <c r="C157" s="662" t="n"/>
      <c r="D157" s="662" t="n"/>
      <c r="E157" s="681">
        <f>IF(N157&gt;1,"+",0)</f>
        <v/>
      </c>
      <c r="F157" s="653">
        <f>IF(E157&gt;0,$H$4,0)</f>
        <v/>
      </c>
      <c r="G157" s="654" t="n"/>
      <c r="H157" s="599" t="n"/>
      <c r="I157" s="599" t="n"/>
      <c r="J157" s="599" t="n"/>
      <c r="K157" s="599" t="n"/>
      <c r="L157" s="655" t="n"/>
      <c r="M157" s="664">
        <f>IFERROR(VLOOKUP(L157,Tabellen!H:I,2),0)</f>
        <v/>
      </c>
      <c r="N157" s="653" t="n"/>
      <c r="O157" s="653" t="n"/>
      <c r="Q157" s="119">
        <f>IF(OR(L157=47201,L157=47100,L157=47200,L157=47500),H157,0)</f>
        <v/>
      </c>
      <c r="R157" s="119">
        <f>IF(OR(L157=87201,L157=87100,L157=87200,L157=87500),H157,0)</f>
        <v/>
      </c>
    </row>
    <row r="158" ht="15" customHeight="1">
      <c r="A158" s="669" t="n"/>
      <c r="B158" s="657" t="n"/>
      <c r="C158" s="657" t="n"/>
      <c r="D158" s="657" t="n"/>
      <c r="E158" s="681">
        <f>IF(N158&gt;1,"+",0)</f>
        <v/>
      </c>
      <c r="F158" s="661">
        <f>IF(E158&gt;0,$H$4,0)</f>
        <v/>
      </c>
      <c r="G158" s="670" t="n"/>
      <c r="H158" s="599" t="n"/>
      <c r="I158" s="599" t="n"/>
      <c r="J158" s="599" t="n"/>
      <c r="K158" s="599" t="n"/>
      <c r="L158" s="659" t="n"/>
      <c r="M158" s="660">
        <f>IFERROR(VLOOKUP(L158,Tabellen!H:I,2),0)</f>
        <v/>
      </c>
      <c r="N158" s="661" t="n"/>
      <c r="O158" s="661" t="n"/>
      <c r="Q158" s="119">
        <f>IF(OR(L158=47201,L158=47100,L158=47200,L158=47500),H158,0)</f>
        <v/>
      </c>
      <c r="R158" s="119">
        <f>IF(OR(L158=87201,L158=87100,L158=87200,L158=87500),H158,0)</f>
        <v/>
      </c>
    </row>
    <row r="159" ht="15" customHeight="1">
      <c r="A159" s="651" t="n"/>
      <c r="B159" s="662" t="n"/>
      <c r="C159" s="662" t="n"/>
      <c r="D159" s="662" t="n"/>
      <c r="E159" s="681">
        <f>IF(N159&gt;1,"+",0)</f>
        <v/>
      </c>
      <c r="F159" s="653">
        <f>IF(E159&gt;0,$H$4,0)</f>
        <v/>
      </c>
      <c r="G159" s="654" t="n"/>
      <c r="H159" s="599" t="n"/>
      <c r="I159" s="599" t="n"/>
      <c r="J159" s="599" t="n"/>
      <c r="K159" s="599" t="n"/>
      <c r="L159" s="655" t="n"/>
      <c r="M159" s="664">
        <f>IFERROR(VLOOKUP(L159,Tabellen!H:I,2),0)</f>
        <v/>
      </c>
      <c r="N159" s="653" t="n"/>
      <c r="O159" s="653" t="n"/>
      <c r="Q159" s="119">
        <f>IF(OR(L159=47201,L159=47100,L159=47200,L159=47500),H159,0)</f>
        <v/>
      </c>
      <c r="R159" s="119">
        <f>IF(OR(L159=87201,L159=87100,L159=87200,L159=87500),H159,0)</f>
        <v/>
      </c>
    </row>
    <row r="160" ht="15" customHeight="1">
      <c r="A160" s="669" t="n"/>
      <c r="B160" s="657" t="n"/>
      <c r="C160" s="657" t="n"/>
      <c r="D160" s="657" t="n"/>
      <c r="E160" s="681">
        <f>IF(N160&gt;1,"+",0)</f>
        <v/>
      </c>
      <c r="F160" s="661">
        <f>IF(E160&gt;0,$H$4,0)</f>
        <v/>
      </c>
      <c r="G160" s="670" t="n"/>
      <c r="H160" s="599" t="n"/>
      <c r="I160" s="599" t="n"/>
      <c r="J160" s="599" t="n"/>
      <c r="K160" s="599" t="n"/>
      <c r="L160" s="659" t="n"/>
      <c r="M160" s="660">
        <f>IFERROR(VLOOKUP(L160,Tabellen!H:I,2),0)</f>
        <v/>
      </c>
      <c r="N160" s="661" t="n"/>
      <c r="O160" s="661" t="n"/>
      <c r="Q160" s="119">
        <f>IF(OR(L160=47201,L160=47100,L160=47200,L160=47500),H160,0)</f>
        <v/>
      </c>
      <c r="R160" s="119">
        <f>IF(OR(L160=87201,L160=87100,L160=87200,L160=87500),H160,0)</f>
        <v/>
      </c>
    </row>
    <row r="161" ht="15" customHeight="1">
      <c r="A161" s="651" t="n"/>
      <c r="B161" s="662" t="n"/>
      <c r="C161" s="662" t="n"/>
      <c r="D161" s="662" t="n"/>
      <c r="E161" s="681">
        <f>IF(N161&gt;1,"+",0)</f>
        <v/>
      </c>
      <c r="F161" s="653">
        <f>IF(E161&gt;0,$H$4,0)</f>
        <v/>
      </c>
      <c r="G161" s="654" t="n"/>
      <c r="H161" s="599" t="n"/>
      <c r="I161" s="599" t="n"/>
      <c r="J161" s="599" t="n"/>
      <c r="K161" s="599" t="n"/>
      <c r="L161" s="655" t="n"/>
      <c r="M161" s="664">
        <f>IFERROR(VLOOKUP(L161,Tabellen!H:I,2),0)</f>
        <v/>
      </c>
      <c r="N161" s="653" t="n"/>
      <c r="O161" s="653" t="n"/>
      <c r="Q161" s="119">
        <f>IF(OR(L161=47201,L161=47100,L161=47200,L161=47500),H161,0)</f>
        <v/>
      </c>
      <c r="R161" s="119">
        <f>IF(OR(L161=87201,L161=87100,L161=87200,L161=87500),H161,0)</f>
        <v/>
      </c>
    </row>
    <row r="162" ht="15" customHeight="1">
      <c r="A162" s="669" t="n"/>
      <c r="B162" s="657" t="n"/>
      <c r="C162" s="657" t="n"/>
      <c r="D162" s="657" t="n"/>
      <c r="E162" s="681">
        <f>IF(N162&gt;1,"+",0)</f>
        <v/>
      </c>
      <c r="F162" s="661">
        <f>IF(E162&gt;0,$H$4,0)</f>
        <v/>
      </c>
      <c r="G162" s="670" t="n"/>
      <c r="H162" s="599" t="n"/>
      <c r="I162" s="599" t="n"/>
      <c r="J162" s="599" t="n"/>
      <c r="K162" s="599" t="n"/>
      <c r="L162" s="659" t="n"/>
      <c r="M162" s="660">
        <f>IFERROR(VLOOKUP(L162,Tabellen!H:I,2),0)</f>
        <v/>
      </c>
      <c r="N162" s="661" t="n"/>
      <c r="O162" s="661" t="n"/>
      <c r="Q162" s="119">
        <f>IF(OR(L162=47201,L162=47100,L162=47200,L162=47500),H162,0)</f>
        <v/>
      </c>
      <c r="R162" s="119">
        <f>IF(OR(L162=87201,L162=87100,L162=87200,L162=87500),H162,0)</f>
        <v/>
      </c>
    </row>
    <row r="163" ht="15" customHeight="1">
      <c r="A163" s="651" t="n"/>
      <c r="B163" s="662" t="n"/>
      <c r="C163" s="662" t="n"/>
      <c r="D163" s="662" t="n"/>
      <c r="E163" s="681">
        <f>IF(N163&gt;1,"+",0)</f>
        <v/>
      </c>
      <c r="F163" s="653">
        <f>IF(E163&gt;0,$H$4,0)</f>
        <v/>
      </c>
      <c r="G163" s="654" t="n"/>
      <c r="H163" s="599" t="n"/>
      <c r="I163" s="599" t="n"/>
      <c r="J163" s="599" t="n"/>
      <c r="K163" s="599" t="n"/>
      <c r="L163" s="655" t="n"/>
      <c r="M163" s="664">
        <f>IFERROR(VLOOKUP(L163,Tabellen!H:I,2),0)</f>
        <v/>
      </c>
      <c r="N163" s="653" t="n"/>
      <c r="O163" s="653" t="n"/>
      <c r="Q163" s="119">
        <f>IF(OR(L163=47201,L163=47100,L163=47200,L163=47500),H163,0)</f>
        <v/>
      </c>
      <c r="R163" s="119">
        <f>IF(OR(L163=87201,L163=87100,L163=87200,L163=87500),H163,0)</f>
        <v/>
      </c>
    </row>
    <row r="164" ht="15" customHeight="1">
      <c r="A164" s="669" t="n"/>
      <c r="B164" s="657" t="n"/>
      <c r="C164" s="657" t="n"/>
      <c r="D164" s="657" t="n"/>
      <c r="E164" s="681">
        <f>IF(N164&gt;1,"+",0)</f>
        <v/>
      </c>
      <c r="F164" s="661">
        <f>IF(E164&gt;0,$H$4,0)</f>
        <v/>
      </c>
      <c r="G164" s="670" t="n"/>
      <c r="H164" s="599" t="n"/>
      <c r="I164" s="599" t="n"/>
      <c r="J164" s="599" t="n"/>
      <c r="K164" s="599" t="n"/>
      <c r="L164" s="659" t="n"/>
      <c r="M164" s="660">
        <f>IFERROR(VLOOKUP(L164,Tabellen!H:I,2),0)</f>
        <v/>
      </c>
      <c r="N164" s="661" t="n"/>
      <c r="O164" s="661" t="n"/>
      <c r="Q164" s="119">
        <f>IF(OR(L164=47201,L164=47100,L164=47200,L164=47500),H164,0)</f>
        <v/>
      </c>
      <c r="R164" s="119">
        <f>IF(OR(L164=87201,L164=87100,L164=87200,L164=87500),H164,0)</f>
        <v/>
      </c>
    </row>
    <row r="165" ht="15" customHeight="1">
      <c r="A165" s="651" t="n"/>
      <c r="B165" s="662" t="n"/>
      <c r="C165" s="662" t="n"/>
      <c r="D165" s="662" t="n"/>
      <c r="E165" s="681">
        <f>IF(N165&gt;1,"+",0)</f>
        <v/>
      </c>
      <c r="F165" s="653">
        <f>IF(E165&gt;0,$H$4,0)</f>
        <v/>
      </c>
      <c r="G165" s="654" t="n"/>
      <c r="H165" s="599" t="n"/>
      <c r="I165" s="599" t="n"/>
      <c r="J165" s="599" t="n"/>
      <c r="K165" s="599" t="n"/>
      <c r="L165" s="655" t="n"/>
      <c r="M165" s="664">
        <f>IFERROR(VLOOKUP(L165,Tabellen!H:I,2),0)</f>
        <v/>
      </c>
      <c r="N165" s="653" t="n"/>
      <c r="O165" s="653" t="n"/>
      <c r="Q165" s="119">
        <f>IF(OR(L165=47201,L165=47100,L165=47200,L165=47500),H165,0)</f>
        <v/>
      </c>
      <c r="R165" s="119">
        <f>IF(OR(L165=87201,L165=87100,L165=87200,L165=87500),H165,0)</f>
        <v/>
      </c>
    </row>
    <row r="166" ht="15" customHeight="1">
      <c r="A166" s="669" t="n"/>
      <c r="B166" s="657" t="n"/>
      <c r="C166" s="657" t="n"/>
      <c r="D166" s="657" t="n"/>
      <c r="E166" s="681">
        <f>IF(N166&gt;1,"+",0)</f>
        <v/>
      </c>
      <c r="F166" s="661">
        <f>IF(E166&gt;0,$H$4,0)</f>
        <v/>
      </c>
      <c r="G166" s="670" t="n"/>
      <c r="H166" s="599" t="n"/>
      <c r="I166" s="599" t="n"/>
      <c r="J166" s="599" t="n"/>
      <c r="K166" s="599" t="n"/>
      <c r="L166" s="659" t="n"/>
      <c r="M166" s="660">
        <f>IFERROR(VLOOKUP(L166,Tabellen!H:I,2),0)</f>
        <v/>
      </c>
      <c r="N166" s="661" t="n"/>
      <c r="O166" s="661" t="n"/>
      <c r="Q166" s="119">
        <f>IF(OR(L166=47201,L166=47100,L166=47200,L166=47500),H166,0)</f>
        <v/>
      </c>
      <c r="R166" s="119">
        <f>IF(OR(L166=87201,L166=87100,L166=87200,L166=87500),H166,0)</f>
        <v/>
      </c>
    </row>
    <row r="167" ht="15" customHeight="1">
      <c r="A167" s="651" t="n"/>
      <c r="B167" s="662" t="n"/>
      <c r="C167" s="662" t="n"/>
      <c r="D167" s="662" t="n"/>
      <c r="E167" s="681">
        <f>IF(N167&gt;1,"+",0)</f>
        <v/>
      </c>
      <c r="F167" s="653">
        <f>IF(E167&gt;0,$H$4,0)</f>
        <v/>
      </c>
      <c r="G167" s="654" t="n"/>
      <c r="H167" s="606" t="n"/>
      <c r="I167" s="606" t="n"/>
      <c r="J167" s="606" t="n"/>
      <c r="K167" s="606" t="n"/>
      <c r="L167" s="655" t="n"/>
      <c r="M167" s="664">
        <f>IFERROR(VLOOKUP(L167,Tabellen!H:I,2),0)</f>
        <v/>
      </c>
      <c r="N167" s="653" t="n"/>
      <c r="O167" s="653" t="n"/>
      <c r="Q167" s="119">
        <f>IF(OR(L167=47201,L167=47100,L167=47200,L167=47500),H167,0)</f>
        <v/>
      </c>
      <c r="R167" s="119">
        <f>IF(OR(L167=87201,L167=87100,L167=87200,L167=87500),H167,0)</f>
        <v/>
      </c>
    </row>
    <row r="168" ht="16" customFormat="1" customHeight="1" s="132">
      <c r="A168" s="607" t="inlineStr">
        <is>
          <t>Saldo mutaties investeringen</t>
        </is>
      </c>
      <c r="B168" s="607" t="n"/>
      <c r="C168" s="607" t="n"/>
      <c r="D168" s="607" t="n"/>
      <c r="E168" s="607">
        <f>IF(N168&gt;1,"+",0)</f>
        <v/>
      </c>
      <c r="F168" s="608" t="n"/>
      <c r="G168" s="609" t="n"/>
      <c r="H168" s="612">
        <f>SUM(H122:H167)</f>
        <v/>
      </c>
      <c r="I168" s="612">
        <f>SUM(I122:I167)</f>
        <v/>
      </c>
      <c r="J168" s="612">
        <f>SUM(J122:J167)</f>
        <v/>
      </c>
      <c r="K168" s="612">
        <f>SUM(K122:K167)</f>
        <v/>
      </c>
      <c r="L168" s="610" t="n"/>
      <c r="M168" s="611" t="n"/>
      <c r="N168" s="608" t="n"/>
      <c r="O168" s="608" t="n"/>
      <c r="Q168" s="119">
        <f>IF(OR(L168=47201,L168=47100,L168=47200,L168=47500),H168,0)</f>
        <v/>
      </c>
      <c r="R168" s="119">
        <f>IF(OR(L168=87201,L168=87100,L168=87200,L168=87500),H168,0)</f>
        <v/>
      </c>
    </row>
    <row r="169" ht="15" customHeight="1">
      <c r="A169" s="244" t="n"/>
      <c r="B169" s="71" t="n"/>
      <c r="C169" s="71" t="n"/>
      <c r="D169" s="244" t="n"/>
      <c r="E169" s="71">
        <f>IF(N169&gt;1,"+",0)</f>
        <v/>
      </c>
      <c r="F169" s="113" t="n"/>
      <c r="G169" s="245" t="n"/>
      <c r="H169" s="116" t="n"/>
      <c r="I169" s="116" t="n"/>
      <c r="J169" s="116" t="n"/>
      <c r="K169" s="116" t="n"/>
      <c r="L169" s="63" t="n"/>
      <c r="M169" s="246" t="n"/>
      <c r="N169" s="73" t="n"/>
      <c r="O169" s="247" t="n"/>
      <c r="Q169" s="119">
        <f>IF(OR(L169=47201,L169=47100,L169=47200,L169=47500),H169,0)</f>
        <v/>
      </c>
      <c r="R169" s="119">
        <f>IF(OR(L169=87201,L169=87100,L169=87200,L169=87500),H169,0)</f>
        <v/>
      </c>
    </row>
    <row r="170" ht="18" customHeight="1">
      <c r="A170" s="682" t="inlineStr">
        <is>
          <t>D. Reserves</t>
        </is>
      </c>
      <c r="B170" s="682" t="n"/>
      <c r="C170" s="682" t="n"/>
      <c r="D170" s="682" t="n"/>
      <c r="E170" s="682">
        <f>IF(N170&gt;1,"+",0)</f>
        <v/>
      </c>
      <c r="F170" s="683" t="n"/>
      <c r="G170" s="684" t="n"/>
      <c r="H170" s="682" t="n"/>
      <c r="I170" s="682" t="n"/>
      <c r="J170" s="682" t="n"/>
      <c r="K170" s="682" t="n"/>
      <c r="L170" s="685" t="n"/>
      <c r="M170" s="686" t="n"/>
      <c r="N170" s="683" t="n"/>
      <c r="O170" s="683" t="n"/>
      <c r="P170" s="643" t="n"/>
      <c r="Q170" s="427">
        <f>IF(OR(L170=47201,L170=47100,L170=47200,L170=47500),H170,0)</f>
        <v/>
      </c>
      <c r="R170" s="427">
        <f>IF(OR(L170=87201,L170=87100,L170=87200,L170=87500),H170,0)</f>
        <v/>
      </c>
    </row>
    <row r="171" ht="15" customHeight="1">
      <c r="A171" s="244" t="n"/>
      <c r="B171" s="71" t="n"/>
      <c r="C171" s="71" t="n"/>
      <c r="D171" s="244" t="n"/>
      <c r="E171" s="71">
        <f>IF(N171&gt;1,"+",0)</f>
        <v/>
      </c>
      <c r="F171" s="113" t="n"/>
      <c r="G171" s="245" t="n"/>
      <c r="H171" s="116" t="n"/>
      <c r="I171" s="116" t="n"/>
      <c r="J171" s="116" t="n"/>
      <c r="K171" s="116" t="n"/>
      <c r="L171" s="63" t="n"/>
      <c r="M171" s="246" t="n"/>
      <c r="N171" s="73" t="n"/>
      <c r="O171" s="247" t="n"/>
      <c r="Q171" s="119">
        <f>IF(OR(L171=47201,L171=47100,L171=47200,L171=47500),H171,0)</f>
        <v/>
      </c>
      <c r="R171" s="119">
        <f>IF(OR(L171=87201,L171=87100,L171=87200,L171=87500),H171,0)</f>
        <v/>
      </c>
    </row>
    <row r="172" ht="15" customHeight="1">
      <c r="A172" s="669" t="n"/>
      <c r="B172" s="657" t="n"/>
      <c r="C172" s="657" t="n"/>
      <c r="D172" s="657" t="n"/>
      <c r="E172" s="681">
        <f>IF(N172&gt;1,"+",0)</f>
        <v/>
      </c>
      <c r="F172" s="658" t="n"/>
      <c r="G172" s="670" t="n"/>
      <c r="H172" s="599" t="n"/>
      <c r="I172" s="599" t="n"/>
      <c r="J172" s="599" t="n"/>
      <c r="K172" s="599" t="n"/>
      <c r="L172" s="659" t="n"/>
      <c r="M172" s="660">
        <f>IFERROR(VLOOKUP(L172,Tabellen!H:I,2),0)</f>
        <v/>
      </c>
      <c r="N172" s="661" t="n"/>
      <c r="O172" s="661" t="n"/>
      <c r="Q172" s="119">
        <f>IF(OR(L172=47201,L172=47100,L172=47200,L172=47500),H172,0)</f>
        <v/>
      </c>
      <c r="R172" s="119">
        <f>IF(OR(L172=87201,L172=87100,L172=87200,L172=87500),H172,0)</f>
        <v/>
      </c>
    </row>
    <row r="173" ht="15" customHeight="1">
      <c r="A173" s="651">
        <f>A78</f>
        <v/>
      </c>
      <c r="B173" s="662" t="n"/>
      <c r="C173" s="662">
        <f>C78</f>
        <v/>
      </c>
      <c r="D173" s="662">
        <f>D78</f>
        <v/>
      </c>
      <c r="E173" s="681">
        <f>E78</f>
        <v/>
      </c>
      <c r="F173" s="663">
        <f>IF(E173&gt;0,$H$4,0)</f>
        <v/>
      </c>
      <c r="G173" s="654">
        <f>G78</f>
        <v/>
      </c>
      <c r="H173" s="599">
        <f>H78</f>
        <v/>
      </c>
      <c r="I173" s="599">
        <f>I78</f>
        <v/>
      </c>
      <c r="J173" s="599">
        <f>J78</f>
        <v/>
      </c>
      <c r="K173" s="599">
        <f>K78</f>
        <v/>
      </c>
      <c r="L173" s="655">
        <f>L78</f>
        <v/>
      </c>
      <c r="M173" s="664">
        <f>M78</f>
        <v/>
      </c>
      <c r="N173" s="653" t="n"/>
      <c r="O173" s="653" t="n"/>
      <c r="Q173" s="119">
        <f>IF(OR(L173=47201,L173=47100,L173=47200,L173=47500),H173,0)</f>
        <v/>
      </c>
      <c r="R173" s="119">
        <f>IF(OR(L173=87201,L173=87100,L173=87200,L173=87500),H173,0)</f>
        <v/>
      </c>
    </row>
    <row r="174" ht="15" customHeight="1">
      <c r="A174" s="669">
        <f>A79</f>
        <v/>
      </c>
      <c r="B174" s="657" t="n"/>
      <c r="C174" s="657">
        <f>C79</f>
        <v/>
      </c>
      <c r="D174" s="657">
        <f>D79</f>
        <v/>
      </c>
      <c r="E174" s="681">
        <f>E79</f>
        <v/>
      </c>
      <c r="F174" s="658">
        <f>IF(E174&gt;0,$H$4,0)</f>
        <v/>
      </c>
      <c r="G174" s="670">
        <f>G79</f>
        <v/>
      </c>
      <c r="H174" s="599">
        <f>H79</f>
        <v/>
      </c>
      <c r="I174" s="599">
        <f>I79</f>
        <v/>
      </c>
      <c r="J174" s="599">
        <f>J79</f>
        <v/>
      </c>
      <c r="K174" s="599">
        <f>K79</f>
        <v/>
      </c>
      <c r="L174" s="659">
        <f>L79</f>
        <v/>
      </c>
      <c r="M174" s="660">
        <f>M79</f>
        <v/>
      </c>
      <c r="N174" s="661" t="n"/>
      <c r="O174" s="661" t="n"/>
      <c r="Q174" s="119">
        <f>IF(OR(L174=47201,L174=47100,L174=47200,L174=47500),H174,0)</f>
        <v/>
      </c>
      <c r="R174" s="119">
        <f>IF(OR(L174=87201,L174=87100,L174=87200,L174=87500),H174,0)</f>
        <v/>
      </c>
    </row>
    <row r="175" ht="15" customHeight="1">
      <c r="A175" s="651">
        <f>A80</f>
        <v/>
      </c>
      <c r="B175" s="662" t="n"/>
      <c r="C175" s="662">
        <f>C80</f>
        <v/>
      </c>
      <c r="D175" s="662">
        <f>D80</f>
        <v/>
      </c>
      <c r="E175" s="681">
        <f>E80</f>
        <v/>
      </c>
      <c r="F175" s="663">
        <f>IF(E175&gt;0,$H$4,0)</f>
        <v/>
      </c>
      <c r="G175" s="654">
        <f>G80</f>
        <v/>
      </c>
      <c r="H175" s="599">
        <f>H80</f>
        <v/>
      </c>
      <c r="I175" s="599">
        <f>I80</f>
        <v/>
      </c>
      <c r="J175" s="599">
        <f>J80</f>
        <v/>
      </c>
      <c r="K175" s="599">
        <f>K80</f>
        <v/>
      </c>
      <c r="L175" s="655">
        <f>L80</f>
        <v/>
      </c>
      <c r="M175" s="664">
        <f>M80</f>
        <v/>
      </c>
      <c r="N175" s="653" t="n"/>
      <c r="O175" s="653" t="n"/>
      <c r="Q175" s="119">
        <f>IF(OR(L175=47201,L175=47100,L175=47200,L175=47500),H175,0)</f>
        <v/>
      </c>
      <c r="R175" s="119">
        <f>IF(OR(L175=87201,L175=87100,L175=87200,L175=87500),H175,0)</f>
        <v/>
      </c>
    </row>
    <row r="176" ht="15" customHeight="1">
      <c r="A176" s="669">
        <f>A81</f>
        <v/>
      </c>
      <c r="B176" s="657" t="n"/>
      <c r="C176" s="657">
        <f>C81</f>
        <v/>
      </c>
      <c r="D176" s="657">
        <f>D81</f>
        <v/>
      </c>
      <c r="E176" s="681">
        <f>E81</f>
        <v/>
      </c>
      <c r="F176" s="658">
        <f>IF(E176&gt;0,$H$4,0)</f>
        <v/>
      </c>
      <c r="G176" s="670">
        <f>G81</f>
        <v/>
      </c>
      <c r="H176" s="599">
        <f>H81</f>
        <v/>
      </c>
      <c r="I176" s="599">
        <f>I81</f>
        <v/>
      </c>
      <c r="J176" s="599">
        <f>J81</f>
        <v/>
      </c>
      <c r="K176" s="599">
        <f>K81</f>
        <v/>
      </c>
      <c r="L176" s="659">
        <f>L81</f>
        <v/>
      </c>
      <c r="M176" s="660">
        <f>M81</f>
        <v/>
      </c>
      <c r="N176" s="661" t="n"/>
      <c r="O176" s="661" t="n"/>
      <c r="Q176" s="119">
        <f>IF(OR(L176=47201,L176=47100,L176=47200,L176=47500),H176,0)</f>
        <v/>
      </c>
      <c r="R176" s="119">
        <f>IF(OR(L176=87201,L176=87100,L176=87200,L176=87500),H176,0)</f>
        <v/>
      </c>
    </row>
    <row r="177" ht="15" customHeight="1">
      <c r="A177" s="651">
        <f>A82</f>
        <v/>
      </c>
      <c r="B177" s="662" t="n"/>
      <c r="C177" s="662">
        <f>C82</f>
        <v/>
      </c>
      <c r="D177" s="662">
        <f>D82</f>
        <v/>
      </c>
      <c r="E177" s="681">
        <f>E82</f>
        <v/>
      </c>
      <c r="F177" s="663">
        <f>IF(E177&gt;0,$H$4,0)</f>
        <v/>
      </c>
      <c r="G177" s="654">
        <f>G82</f>
        <v/>
      </c>
      <c r="H177" s="599">
        <f>H82</f>
        <v/>
      </c>
      <c r="I177" s="599">
        <f>I82</f>
        <v/>
      </c>
      <c r="J177" s="599">
        <f>J82</f>
        <v/>
      </c>
      <c r="K177" s="599">
        <f>K82</f>
        <v/>
      </c>
      <c r="L177" s="655">
        <f>L82</f>
        <v/>
      </c>
      <c r="M177" s="664">
        <f>M82</f>
        <v/>
      </c>
      <c r="N177" s="653" t="n"/>
      <c r="O177" s="653" t="n"/>
      <c r="Q177" s="119">
        <f>IF(OR(L177=47201,L177=47100,L177=47200,L177=47500),H177,0)</f>
        <v/>
      </c>
      <c r="R177" s="119">
        <f>IF(OR(L177=87201,L177=87100,L177=87200,L177=87500),H177,0)</f>
        <v/>
      </c>
    </row>
    <row r="178" ht="15" customHeight="1">
      <c r="A178" s="669">
        <f>A83</f>
        <v/>
      </c>
      <c r="B178" s="657" t="n"/>
      <c r="C178" s="657">
        <f>C83</f>
        <v/>
      </c>
      <c r="D178" s="657">
        <f>D83</f>
        <v/>
      </c>
      <c r="E178" s="681">
        <f>E83</f>
        <v/>
      </c>
      <c r="F178" s="658">
        <f>IF(E178&gt;0,$H$4,0)</f>
        <v/>
      </c>
      <c r="G178" s="670">
        <f>G83</f>
        <v/>
      </c>
      <c r="H178" s="599">
        <f>H83</f>
        <v/>
      </c>
      <c r="I178" s="599">
        <f>I83</f>
        <v/>
      </c>
      <c r="J178" s="599">
        <f>J83</f>
        <v/>
      </c>
      <c r="K178" s="599">
        <f>K83</f>
        <v/>
      </c>
      <c r="L178" s="659">
        <f>L83</f>
        <v/>
      </c>
      <c r="M178" s="660">
        <f>M83</f>
        <v/>
      </c>
      <c r="N178" s="661" t="n"/>
      <c r="O178" s="661" t="n"/>
      <c r="Q178" s="119">
        <f>IF(OR(L178=47201,L178=47100,L178=47200,L178=47500),H178,0)</f>
        <v/>
      </c>
      <c r="R178" s="119">
        <f>IF(OR(L178=87201,L178=87100,L178=87200,L178=87500),H178,0)</f>
        <v/>
      </c>
    </row>
    <row r="179" ht="15" customHeight="1">
      <c r="A179" s="651">
        <f>A84</f>
        <v/>
      </c>
      <c r="B179" s="662" t="n"/>
      <c r="C179" s="662">
        <f>C84</f>
        <v/>
      </c>
      <c r="D179" s="662">
        <f>D84</f>
        <v/>
      </c>
      <c r="E179" s="681">
        <f>E84</f>
        <v/>
      </c>
      <c r="F179" s="663">
        <f>IF(E179&gt;0,$H$4,0)</f>
        <v/>
      </c>
      <c r="G179" s="654">
        <f>G84</f>
        <v/>
      </c>
      <c r="H179" s="599">
        <f>H84</f>
        <v/>
      </c>
      <c r="I179" s="599">
        <f>I84</f>
        <v/>
      </c>
      <c r="J179" s="599">
        <f>J84</f>
        <v/>
      </c>
      <c r="K179" s="599">
        <f>K84</f>
        <v/>
      </c>
      <c r="L179" s="655">
        <f>L84</f>
        <v/>
      </c>
      <c r="M179" s="664">
        <f>M84</f>
        <v/>
      </c>
      <c r="N179" s="653" t="n"/>
      <c r="O179" s="653" t="n"/>
      <c r="Q179" s="119">
        <f>IF(OR(L179=47201,L179=47100,L179=47200,L179=47500),H179,0)</f>
        <v/>
      </c>
      <c r="R179" s="119">
        <f>IF(OR(L179=87201,L179=87100,L179=87200,L179=87500),H179,0)</f>
        <v/>
      </c>
    </row>
    <row r="180" ht="15" customHeight="1">
      <c r="A180" s="669">
        <f>A85</f>
        <v/>
      </c>
      <c r="B180" s="657" t="n"/>
      <c r="C180" s="657">
        <f>C85</f>
        <v/>
      </c>
      <c r="D180" s="657">
        <f>D85</f>
        <v/>
      </c>
      <c r="E180" s="681">
        <f>E85</f>
        <v/>
      </c>
      <c r="F180" s="658">
        <f>IF(E180&gt;0,$H$4,0)</f>
        <v/>
      </c>
      <c r="G180" s="670">
        <f>G85</f>
        <v/>
      </c>
      <c r="H180" s="599">
        <f>H85</f>
        <v/>
      </c>
      <c r="I180" s="599">
        <f>I85</f>
        <v/>
      </c>
      <c r="J180" s="599">
        <f>J85</f>
        <v/>
      </c>
      <c r="K180" s="599">
        <f>K85</f>
        <v/>
      </c>
      <c r="L180" s="659">
        <f>L85</f>
        <v/>
      </c>
      <c r="M180" s="660">
        <f>M85</f>
        <v/>
      </c>
      <c r="N180" s="661" t="n"/>
      <c r="O180" s="661" t="n"/>
      <c r="Q180" s="119">
        <f>IF(OR(L180=47201,L180=47100,L180=47200,L180=47500),H180,0)</f>
        <v/>
      </c>
      <c r="R180" s="119">
        <f>IF(OR(L180=87201,L180=87100,L180=87200,L180=87500),H180,0)</f>
        <v/>
      </c>
    </row>
    <row r="181" ht="15" customHeight="1">
      <c r="A181" s="651">
        <f>A86</f>
        <v/>
      </c>
      <c r="B181" s="662" t="n"/>
      <c r="C181" s="662">
        <f>C86</f>
        <v/>
      </c>
      <c r="D181" s="662">
        <f>D86</f>
        <v/>
      </c>
      <c r="E181" s="681">
        <f>E86</f>
        <v/>
      </c>
      <c r="F181" s="663">
        <f>IF(E181&gt;0,$H$4,0)</f>
        <v/>
      </c>
      <c r="G181" s="654">
        <f>G86</f>
        <v/>
      </c>
      <c r="H181" s="599">
        <f>H86</f>
        <v/>
      </c>
      <c r="I181" s="599">
        <f>I86</f>
        <v/>
      </c>
      <c r="J181" s="599">
        <f>J86</f>
        <v/>
      </c>
      <c r="K181" s="599">
        <f>K86</f>
        <v/>
      </c>
      <c r="L181" s="655">
        <f>L86</f>
        <v/>
      </c>
      <c r="M181" s="664">
        <f>M86</f>
        <v/>
      </c>
      <c r="N181" s="653" t="n"/>
      <c r="O181" s="653" t="n"/>
      <c r="Q181" s="119">
        <f>IF(OR(L181=47201,L181=47100,L181=47200,L181=47500),H181,0)</f>
        <v/>
      </c>
      <c r="R181" s="119">
        <f>IF(OR(L181=87201,L181=87100,L181=87200,L181=87500),H181,0)</f>
        <v/>
      </c>
    </row>
    <row r="182" ht="15" customHeight="1">
      <c r="A182" s="669">
        <f>A87</f>
        <v/>
      </c>
      <c r="B182" s="657" t="n"/>
      <c r="C182" s="657">
        <f>C87</f>
        <v/>
      </c>
      <c r="D182" s="657">
        <f>D87</f>
        <v/>
      </c>
      <c r="E182" s="681">
        <f>E87</f>
        <v/>
      </c>
      <c r="F182" s="658">
        <f>IF(E182&gt;0,$H$4,0)</f>
        <v/>
      </c>
      <c r="G182" s="670">
        <f>G87</f>
        <v/>
      </c>
      <c r="H182" s="599">
        <f>H87</f>
        <v/>
      </c>
      <c r="I182" s="599">
        <f>I87</f>
        <v/>
      </c>
      <c r="J182" s="599">
        <f>J87</f>
        <v/>
      </c>
      <c r="K182" s="599">
        <f>K87</f>
        <v/>
      </c>
      <c r="L182" s="659">
        <f>L87</f>
        <v/>
      </c>
      <c r="M182" s="660">
        <f>M87</f>
        <v/>
      </c>
      <c r="N182" s="661" t="n"/>
      <c r="O182" s="661" t="n"/>
      <c r="Q182" s="119">
        <f>IF(OR(L182=47201,L182=47100,L182=47200,L182=47500),H182,0)</f>
        <v/>
      </c>
      <c r="R182" s="119">
        <f>IF(OR(L182=87201,L182=87100,L182=87200,L182=87500),H182,0)</f>
        <v/>
      </c>
    </row>
    <row r="183" ht="15" customHeight="1">
      <c r="A183" s="651">
        <f>A88</f>
        <v/>
      </c>
      <c r="B183" s="662" t="n"/>
      <c r="C183" s="662">
        <f>C88</f>
        <v/>
      </c>
      <c r="D183" s="662">
        <f>D88</f>
        <v/>
      </c>
      <c r="E183" s="681">
        <f>E88</f>
        <v/>
      </c>
      <c r="F183" s="663">
        <f>IF(E183&gt;0,$H$4,0)</f>
        <v/>
      </c>
      <c r="G183" s="654">
        <f>G88</f>
        <v/>
      </c>
      <c r="H183" s="599">
        <f>H88</f>
        <v/>
      </c>
      <c r="I183" s="599">
        <f>I88</f>
        <v/>
      </c>
      <c r="J183" s="599">
        <f>J88</f>
        <v/>
      </c>
      <c r="K183" s="599">
        <f>K88</f>
        <v/>
      </c>
      <c r="L183" s="655">
        <f>L88</f>
        <v/>
      </c>
      <c r="M183" s="664">
        <f>M88</f>
        <v/>
      </c>
      <c r="N183" s="653" t="n"/>
      <c r="O183" s="653" t="n"/>
      <c r="Q183" s="119">
        <f>IF(OR(L183=47201,L183=47100,L183=47200,L183=47500),H183,0)</f>
        <v/>
      </c>
      <c r="R183" s="119">
        <f>IF(OR(L183=87201,L183=87100,L183=87200,L183=87500),H183,0)</f>
        <v/>
      </c>
    </row>
    <row r="184" ht="15" customHeight="1">
      <c r="A184" s="669">
        <f>A89</f>
        <v/>
      </c>
      <c r="B184" s="657" t="n"/>
      <c r="C184" s="657">
        <f>C89</f>
        <v/>
      </c>
      <c r="D184" s="657">
        <f>D89</f>
        <v/>
      </c>
      <c r="E184" s="681">
        <f>E89</f>
        <v/>
      </c>
      <c r="F184" s="658">
        <f>IF(E184&gt;0,$H$4,0)</f>
        <v/>
      </c>
      <c r="G184" s="670">
        <f>G89</f>
        <v/>
      </c>
      <c r="H184" s="599">
        <f>H89</f>
        <v/>
      </c>
      <c r="I184" s="599">
        <f>I89</f>
        <v/>
      </c>
      <c r="J184" s="599">
        <f>J89</f>
        <v/>
      </c>
      <c r="K184" s="599">
        <f>K89</f>
        <v/>
      </c>
      <c r="L184" s="659">
        <f>L89</f>
        <v/>
      </c>
      <c r="M184" s="660">
        <f>M89</f>
        <v/>
      </c>
      <c r="N184" s="661" t="n"/>
      <c r="O184" s="661" t="n"/>
      <c r="Q184" s="119">
        <f>IF(OR(L184=47201,L184=47100,L184=47200,L184=47500),H184,0)</f>
        <v/>
      </c>
      <c r="R184" s="119">
        <f>IF(OR(L184=87201,L184=87100,L184=87200,L184=87500),H184,0)</f>
        <v/>
      </c>
    </row>
    <row r="185" ht="15" customHeight="1">
      <c r="A185" s="651">
        <f>A90</f>
        <v/>
      </c>
      <c r="B185" s="662" t="n"/>
      <c r="C185" s="662">
        <f>C90</f>
        <v/>
      </c>
      <c r="D185" s="662">
        <f>D90</f>
        <v/>
      </c>
      <c r="E185" s="681">
        <f>E90</f>
        <v/>
      </c>
      <c r="F185" s="663">
        <f>IF(E185&gt;0,$H$4,0)</f>
        <v/>
      </c>
      <c r="G185" s="654">
        <f>G90</f>
        <v/>
      </c>
      <c r="H185" s="599">
        <f>H90</f>
        <v/>
      </c>
      <c r="I185" s="599">
        <f>I90</f>
        <v/>
      </c>
      <c r="J185" s="599">
        <f>J90</f>
        <v/>
      </c>
      <c r="K185" s="599">
        <f>K90</f>
        <v/>
      </c>
      <c r="L185" s="655">
        <f>L90</f>
        <v/>
      </c>
      <c r="M185" s="664">
        <f>M90</f>
        <v/>
      </c>
      <c r="N185" s="653" t="n"/>
      <c r="O185" s="653" t="n"/>
      <c r="Q185" s="119">
        <f>IF(OR(L185=47201,L185=47100,L185=47200,L185=47500),H185,0)</f>
        <v/>
      </c>
      <c r="R185" s="119">
        <f>IF(OR(L185=87201,L185=87100,L185=87200,L185=87500),H185,0)</f>
        <v/>
      </c>
    </row>
    <row r="186" ht="15" customHeight="1">
      <c r="A186" s="669">
        <f>A91</f>
        <v/>
      </c>
      <c r="B186" s="657" t="n"/>
      <c r="C186" s="657">
        <f>C91</f>
        <v/>
      </c>
      <c r="D186" s="657">
        <f>D91</f>
        <v/>
      </c>
      <c r="E186" s="681">
        <f>E91</f>
        <v/>
      </c>
      <c r="F186" s="658">
        <f>IF(E186&gt;0,$H$4,0)</f>
        <v/>
      </c>
      <c r="G186" s="670">
        <f>G91</f>
        <v/>
      </c>
      <c r="H186" s="599">
        <f>H91</f>
        <v/>
      </c>
      <c r="I186" s="599">
        <f>I91</f>
        <v/>
      </c>
      <c r="J186" s="599">
        <f>J91</f>
        <v/>
      </c>
      <c r="K186" s="599">
        <f>K91</f>
        <v/>
      </c>
      <c r="L186" s="659">
        <f>L91</f>
        <v/>
      </c>
      <c r="M186" s="660">
        <f>M91</f>
        <v/>
      </c>
      <c r="N186" s="661" t="n"/>
      <c r="O186" s="661" t="n"/>
      <c r="Q186" s="119">
        <f>IF(OR(L186=47201,L186=47100,L186=47200,L186=47500),H186,0)</f>
        <v/>
      </c>
      <c r="R186" s="119">
        <f>IF(OR(L186=87201,L186=87100,L186=87200,L186=87500),H186,0)</f>
        <v/>
      </c>
    </row>
    <row r="187" ht="15" customHeight="1">
      <c r="A187" s="651">
        <f>A92</f>
        <v/>
      </c>
      <c r="B187" s="662" t="n"/>
      <c r="C187" s="662">
        <f>C92</f>
        <v/>
      </c>
      <c r="D187" s="662">
        <f>D92</f>
        <v/>
      </c>
      <c r="E187" s="681">
        <f>E92</f>
        <v/>
      </c>
      <c r="F187" s="663">
        <f>IF(E187&gt;0,$H$4,0)</f>
        <v/>
      </c>
      <c r="G187" s="654">
        <f>G92</f>
        <v/>
      </c>
      <c r="H187" s="599">
        <f>H92</f>
        <v/>
      </c>
      <c r="I187" s="599">
        <f>I92</f>
        <v/>
      </c>
      <c r="J187" s="599">
        <f>J92</f>
        <v/>
      </c>
      <c r="K187" s="599">
        <f>K92</f>
        <v/>
      </c>
      <c r="L187" s="655">
        <f>L92</f>
        <v/>
      </c>
      <c r="M187" s="664">
        <f>M92</f>
        <v/>
      </c>
      <c r="N187" s="653" t="n"/>
      <c r="O187" s="653" t="n"/>
      <c r="Q187" s="119">
        <f>IF(OR(L187=47201,L187=47100,L187=47200,L187=47500),H187,0)</f>
        <v/>
      </c>
      <c r="R187" s="119">
        <f>IF(OR(L187=87201,L187=87100,L187=87200,L187=87500),H187,0)</f>
        <v/>
      </c>
    </row>
    <row r="188" ht="15" customHeight="1">
      <c r="A188" s="669">
        <f>A93</f>
        <v/>
      </c>
      <c r="B188" s="657" t="n"/>
      <c r="C188" s="657">
        <f>C93</f>
        <v/>
      </c>
      <c r="D188" s="657">
        <f>D93</f>
        <v/>
      </c>
      <c r="E188" s="681">
        <f>E93</f>
        <v/>
      </c>
      <c r="F188" s="658">
        <f>IF(E188&gt;0,$H$4,0)</f>
        <v/>
      </c>
      <c r="G188" s="670">
        <f>G93</f>
        <v/>
      </c>
      <c r="H188" s="599">
        <f>H93</f>
        <v/>
      </c>
      <c r="I188" s="599">
        <f>I93</f>
        <v/>
      </c>
      <c r="J188" s="599">
        <f>J93</f>
        <v/>
      </c>
      <c r="K188" s="599">
        <f>K93</f>
        <v/>
      </c>
      <c r="L188" s="659">
        <f>L93</f>
        <v/>
      </c>
      <c r="M188" s="660">
        <f>M93</f>
        <v/>
      </c>
      <c r="N188" s="661" t="n"/>
      <c r="O188" s="661" t="n"/>
      <c r="Q188" s="119">
        <f>IF(OR(L188=47201,L188=47100,L188=47200,L188=47500),H188,0)</f>
        <v/>
      </c>
      <c r="R188" s="119">
        <f>IF(OR(L188=87201,L188=87100,L188=87200,L188=87500),H188,0)</f>
        <v/>
      </c>
    </row>
    <row r="189" ht="15" customHeight="1">
      <c r="A189" s="651">
        <f>A94</f>
        <v/>
      </c>
      <c r="B189" s="662" t="n"/>
      <c r="C189" s="662">
        <f>C94</f>
        <v/>
      </c>
      <c r="D189" s="662">
        <f>D94</f>
        <v/>
      </c>
      <c r="E189" s="681">
        <f>E94</f>
        <v/>
      </c>
      <c r="F189" s="663">
        <f>IF(E189&gt;0,$H$4,0)</f>
        <v/>
      </c>
      <c r="G189" s="654">
        <f>G94</f>
        <v/>
      </c>
      <c r="H189" s="599">
        <f>H94</f>
        <v/>
      </c>
      <c r="I189" s="599">
        <f>I94</f>
        <v/>
      </c>
      <c r="J189" s="599">
        <f>J94</f>
        <v/>
      </c>
      <c r="K189" s="599">
        <f>K94</f>
        <v/>
      </c>
      <c r="L189" s="655">
        <f>L94</f>
        <v/>
      </c>
      <c r="M189" s="664">
        <f>M94</f>
        <v/>
      </c>
      <c r="N189" s="653" t="n"/>
      <c r="O189" s="653" t="n"/>
      <c r="Q189" s="119">
        <f>IF(OR(L189=47201,L189=47100,L189=47200,L189=47500),H189,0)</f>
        <v/>
      </c>
      <c r="R189" s="119">
        <f>IF(OR(L189=87201,L189=87100,L189=87200,L189=87500),H189,0)</f>
        <v/>
      </c>
    </row>
    <row r="190" ht="15" customHeight="1">
      <c r="A190" s="669">
        <f>A95</f>
        <v/>
      </c>
      <c r="B190" s="657" t="n"/>
      <c r="C190" s="657">
        <f>C95</f>
        <v/>
      </c>
      <c r="D190" s="657">
        <f>D95</f>
        <v/>
      </c>
      <c r="E190" s="681">
        <f>E95</f>
        <v/>
      </c>
      <c r="F190" s="658">
        <f>IF(E190&gt;0,$H$4,0)</f>
        <v/>
      </c>
      <c r="G190" s="670">
        <f>G95</f>
        <v/>
      </c>
      <c r="H190" s="599">
        <f>H95</f>
        <v/>
      </c>
      <c r="I190" s="599">
        <f>I95</f>
        <v/>
      </c>
      <c r="J190" s="599">
        <f>J95</f>
        <v/>
      </c>
      <c r="K190" s="599">
        <f>K95</f>
        <v/>
      </c>
      <c r="L190" s="659">
        <f>L95</f>
        <v/>
      </c>
      <c r="M190" s="660">
        <f>M95</f>
        <v/>
      </c>
      <c r="N190" s="661" t="n"/>
      <c r="O190" s="661" t="n"/>
      <c r="Q190" s="119">
        <f>IF(OR(L190=47201,L190=47100,L190=47200,L190=47500),H190,0)</f>
        <v/>
      </c>
      <c r="R190" s="119">
        <f>IF(OR(L190=87201,L190=87100,L190=87200,L190=87500),H190,0)</f>
        <v/>
      </c>
    </row>
    <row r="191" ht="15" customHeight="1">
      <c r="A191" s="651">
        <f>A96</f>
        <v/>
      </c>
      <c r="B191" s="662" t="n"/>
      <c r="C191" s="662">
        <f>C96</f>
        <v/>
      </c>
      <c r="D191" s="662">
        <f>D96</f>
        <v/>
      </c>
      <c r="E191" s="681">
        <f>E96</f>
        <v/>
      </c>
      <c r="F191" s="663">
        <f>IF(E191&gt;0,$H$4,0)</f>
        <v/>
      </c>
      <c r="G191" s="654">
        <f>G96</f>
        <v/>
      </c>
      <c r="H191" s="599">
        <f>H96</f>
        <v/>
      </c>
      <c r="I191" s="599">
        <f>I96</f>
        <v/>
      </c>
      <c r="J191" s="599">
        <f>J96</f>
        <v/>
      </c>
      <c r="K191" s="599">
        <f>K96</f>
        <v/>
      </c>
      <c r="L191" s="655">
        <f>L96</f>
        <v/>
      </c>
      <c r="M191" s="664">
        <f>M96</f>
        <v/>
      </c>
      <c r="N191" s="653" t="n"/>
      <c r="O191" s="653" t="n"/>
      <c r="Q191" s="119">
        <f>IF(OR(L191=47201,L191=47100,L191=47200,L191=47500),H191,0)</f>
        <v/>
      </c>
      <c r="R191" s="119">
        <f>IF(OR(L191=87201,L191=87100,L191=87200,L191=87500),H191,0)</f>
        <v/>
      </c>
    </row>
    <row r="192" ht="15" customHeight="1">
      <c r="A192" s="669">
        <f>A97</f>
        <v/>
      </c>
      <c r="B192" s="657" t="n"/>
      <c r="C192" s="657">
        <f>C97</f>
        <v/>
      </c>
      <c r="D192" s="657">
        <f>D97</f>
        <v/>
      </c>
      <c r="E192" s="681">
        <f>E97</f>
        <v/>
      </c>
      <c r="F192" s="658">
        <f>IF(E192&gt;0,$H$4,0)</f>
        <v/>
      </c>
      <c r="G192" s="670">
        <f>G97</f>
        <v/>
      </c>
      <c r="H192" s="599">
        <f>H97</f>
        <v/>
      </c>
      <c r="I192" s="599">
        <f>I97</f>
        <v/>
      </c>
      <c r="J192" s="599">
        <f>J97</f>
        <v/>
      </c>
      <c r="K192" s="599">
        <f>K97</f>
        <v/>
      </c>
      <c r="L192" s="659">
        <f>L97</f>
        <v/>
      </c>
      <c r="M192" s="660">
        <f>M97</f>
        <v/>
      </c>
      <c r="N192" s="661" t="n"/>
      <c r="O192" s="661" t="n"/>
      <c r="Q192" s="119">
        <f>IF(OR(L192=47201,L192=47100,L192=47200,L192=47500),H192,0)</f>
        <v/>
      </c>
      <c r="R192" s="119">
        <f>IF(OR(L192=87201,L192=87100,L192=87200,L192=87500),H192,0)</f>
        <v/>
      </c>
    </row>
    <row r="193" ht="15" customHeight="1">
      <c r="A193" s="651">
        <f>A98</f>
        <v/>
      </c>
      <c r="B193" s="662" t="n"/>
      <c r="C193" s="662">
        <f>C98</f>
        <v/>
      </c>
      <c r="D193" s="662">
        <f>D98</f>
        <v/>
      </c>
      <c r="E193" s="681">
        <f>E98</f>
        <v/>
      </c>
      <c r="F193" s="663">
        <f>IF(E193&gt;0,$H$4,0)</f>
        <v/>
      </c>
      <c r="G193" s="654">
        <f>G98</f>
        <v/>
      </c>
      <c r="H193" s="599">
        <f>H98</f>
        <v/>
      </c>
      <c r="I193" s="599">
        <f>I98</f>
        <v/>
      </c>
      <c r="J193" s="599">
        <f>J98</f>
        <v/>
      </c>
      <c r="K193" s="599">
        <f>K98</f>
        <v/>
      </c>
      <c r="L193" s="655">
        <f>L98</f>
        <v/>
      </c>
      <c r="M193" s="664">
        <f>M98</f>
        <v/>
      </c>
      <c r="N193" s="653" t="n"/>
      <c r="O193" s="653" t="n"/>
      <c r="Q193" s="119">
        <f>IF(OR(L193=47201,L193=47100,L193=47200,L193=47500),H193,0)</f>
        <v/>
      </c>
      <c r="R193" s="119">
        <f>IF(OR(L193=87201,L193=87100,L193=87200,L193=87500),H193,0)</f>
        <v/>
      </c>
    </row>
    <row r="194" ht="15" customHeight="1">
      <c r="A194" s="669">
        <f>A99</f>
        <v/>
      </c>
      <c r="B194" s="657" t="n"/>
      <c r="C194" s="657">
        <f>C99</f>
        <v/>
      </c>
      <c r="D194" s="657">
        <f>D99</f>
        <v/>
      </c>
      <c r="E194" s="681">
        <f>E99</f>
        <v/>
      </c>
      <c r="F194" s="658">
        <f>IF(E194&gt;0,$H$4,0)</f>
        <v/>
      </c>
      <c r="G194" s="670">
        <f>G99</f>
        <v/>
      </c>
      <c r="H194" s="599">
        <f>H99</f>
        <v/>
      </c>
      <c r="I194" s="599">
        <f>I99</f>
        <v/>
      </c>
      <c r="J194" s="599">
        <f>J99</f>
        <v/>
      </c>
      <c r="K194" s="599">
        <f>K99</f>
        <v/>
      </c>
      <c r="L194" s="659">
        <f>L99</f>
        <v/>
      </c>
      <c r="M194" s="660">
        <f>M99</f>
        <v/>
      </c>
      <c r="N194" s="661" t="n"/>
      <c r="O194" s="661" t="n"/>
      <c r="Q194" s="119">
        <f>IF(OR(L194=47201,L194=47100,L194=47200,L194=47500),H194,0)</f>
        <v/>
      </c>
      <c r="R194" s="119">
        <f>IF(OR(L194=87201,L194=87100,L194=87200,L194=87500),H194,0)</f>
        <v/>
      </c>
    </row>
    <row r="195" ht="15" customHeight="1">
      <c r="A195" s="651">
        <f>A100</f>
        <v/>
      </c>
      <c r="B195" s="662" t="n"/>
      <c r="C195" s="662">
        <f>C100</f>
        <v/>
      </c>
      <c r="D195" s="662">
        <f>D100</f>
        <v/>
      </c>
      <c r="E195" s="681">
        <f>E100</f>
        <v/>
      </c>
      <c r="F195" s="663">
        <f>IF(E195&gt;0,$H$4,0)</f>
        <v/>
      </c>
      <c r="G195" s="654">
        <f>G100</f>
        <v/>
      </c>
      <c r="H195" s="599">
        <f>H100</f>
        <v/>
      </c>
      <c r="I195" s="599">
        <f>I100</f>
        <v/>
      </c>
      <c r="J195" s="599">
        <f>J100</f>
        <v/>
      </c>
      <c r="K195" s="599">
        <f>K100</f>
        <v/>
      </c>
      <c r="L195" s="655">
        <f>L100</f>
        <v/>
      </c>
      <c r="M195" s="664">
        <f>M100</f>
        <v/>
      </c>
      <c r="N195" s="653" t="n"/>
      <c r="O195" s="653" t="n"/>
      <c r="Q195" s="119">
        <f>IF(OR(L195=47201,L195=47100,L195=47200,L195=47500),H195,0)</f>
        <v/>
      </c>
      <c r="R195" s="119">
        <f>IF(OR(L195=87201,L195=87100,L195=87200,L195=87500),H195,0)</f>
        <v/>
      </c>
    </row>
    <row r="196" ht="15" customHeight="1">
      <c r="A196" s="669">
        <f>A101</f>
        <v/>
      </c>
      <c r="B196" s="657" t="n"/>
      <c r="C196" s="657">
        <f>C101</f>
        <v/>
      </c>
      <c r="D196" s="657">
        <f>D101</f>
        <v/>
      </c>
      <c r="E196" s="681">
        <f>E101</f>
        <v/>
      </c>
      <c r="F196" s="658">
        <f>IF(E196&gt;0,$H$4,0)</f>
        <v/>
      </c>
      <c r="G196" s="670">
        <f>G101</f>
        <v/>
      </c>
      <c r="H196" s="599">
        <f>H101</f>
        <v/>
      </c>
      <c r="I196" s="599">
        <f>I101</f>
        <v/>
      </c>
      <c r="J196" s="599">
        <f>J101</f>
        <v/>
      </c>
      <c r="K196" s="599">
        <f>K101</f>
        <v/>
      </c>
      <c r="L196" s="659">
        <f>L101</f>
        <v/>
      </c>
      <c r="M196" s="660">
        <f>M101</f>
        <v/>
      </c>
      <c r="N196" s="661" t="n"/>
      <c r="O196" s="661" t="n"/>
      <c r="Q196" s="119">
        <f>IF(OR(L196=47201,L196=47100,L196=47200,L196=47500),H196,0)</f>
        <v/>
      </c>
      <c r="R196" s="119">
        <f>IF(OR(L196=87201,L196=87100,L196=87200,L196=87500),H196,0)</f>
        <v/>
      </c>
    </row>
    <row r="197" ht="15" customHeight="1">
      <c r="A197" s="651">
        <f>A102</f>
        <v/>
      </c>
      <c r="B197" s="662" t="n"/>
      <c r="C197" s="662">
        <f>C102</f>
        <v/>
      </c>
      <c r="D197" s="662">
        <f>D102</f>
        <v/>
      </c>
      <c r="E197" s="681">
        <f>E102</f>
        <v/>
      </c>
      <c r="F197" s="663">
        <f>IF(E197&gt;0,$H$4,0)</f>
        <v/>
      </c>
      <c r="G197" s="654">
        <f>G102</f>
        <v/>
      </c>
      <c r="H197" s="599">
        <f>H102</f>
        <v/>
      </c>
      <c r="I197" s="599">
        <f>I102</f>
        <v/>
      </c>
      <c r="J197" s="599">
        <f>J102</f>
        <v/>
      </c>
      <c r="K197" s="599">
        <f>K102</f>
        <v/>
      </c>
      <c r="L197" s="655">
        <f>L102</f>
        <v/>
      </c>
      <c r="M197" s="664">
        <f>M102</f>
        <v/>
      </c>
      <c r="N197" s="653" t="n"/>
      <c r="O197" s="653" t="n"/>
      <c r="Q197" s="119">
        <f>IF(OR(L197=47201,L197=47100,L197=47200,L197=47500),H197,0)</f>
        <v/>
      </c>
      <c r="R197" s="119">
        <f>IF(OR(L197=87201,L197=87100,L197=87200,L197=87500),H197,0)</f>
        <v/>
      </c>
    </row>
    <row r="198" ht="15" customHeight="1">
      <c r="A198" s="669">
        <f>A103</f>
        <v/>
      </c>
      <c r="B198" s="657" t="n"/>
      <c r="C198" s="657">
        <f>C103</f>
        <v/>
      </c>
      <c r="D198" s="657">
        <f>D103</f>
        <v/>
      </c>
      <c r="E198" s="681">
        <f>E103</f>
        <v/>
      </c>
      <c r="F198" s="658">
        <f>IF(E198&gt;0,$H$4,0)</f>
        <v/>
      </c>
      <c r="G198" s="670">
        <f>G103</f>
        <v/>
      </c>
      <c r="H198" s="599">
        <f>H103</f>
        <v/>
      </c>
      <c r="I198" s="599">
        <f>I103</f>
        <v/>
      </c>
      <c r="J198" s="599">
        <f>J103</f>
        <v/>
      </c>
      <c r="K198" s="599">
        <f>K103</f>
        <v/>
      </c>
      <c r="L198" s="659">
        <f>L103</f>
        <v/>
      </c>
      <c r="M198" s="660">
        <f>M103</f>
        <v/>
      </c>
      <c r="N198" s="661" t="n"/>
      <c r="O198" s="661" t="n"/>
      <c r="Q198" s="119">
        <f>IF(OR(L198=47201,L198=47100,L198=47200,L198=47500),H198,0)</f>
        <v/>
      </c>
      <c r="R198" s="119">
        <f>IF(OR(L198=87201,L198=87100,L198=87200,L198=87500),H198,0)</f>
        <v/>
      </c>
    </row>
    <row r="199" ht="15" customHeight="1">
      <c r="A199" s="651">
        <f>A104</f>
        <v/>
      </c>
      <c r="B199" s="662" t="n"/>
      <c r="C199" s="662">
        <f>C104</f>
        <v/>
      </c>
      <c r="D199" s="662">
        <f>D104</f>
        <v/>
      </c>
      <c r="E199" s="681">
        <f>E104</f>
        <v/>
      </c>
      <c r="F199" s="663">
        <f>IF(E199&gt;0,$H$4,0)</f>
        <v/>
      </c>
      <c r="G199" s="654">
        <f>G104</f>
        <v/>
      </c>
      <c r="H199" s="599">
        <f>H104</f>
        <v/>
      </c>
      <c r="I199" s="599">
        <f>I104</f>
        <v/>
      </c>
      <c r="J199" s="599">
        <f>J104</f>
        <v/>
      </c>
      <c r="K199" s="599">
        <f>K104</f>
        <v/>
      </c>
      <c r="L199" s="655">
        <f>L104</f>
        <v/>
      </c>
      <c r="M199" s="664">
        <f>M104</f>
        <v/>
      </c>
      <c r="N199" s="653" t="n"/>
      <c r="O199" s="653" t="n"/>
      <c r="Q199" s="119">
        <f>IF(OR(L199=47201,L199=47100,L199=47200,L199=47500),H199,0)</f>
        <v/>
      </c>
      <c r="R199" s="119">
        <f>IF(OR(L199=87201,L199=87100,L199=87200,L199=87500),H199,0)</f>
        <v/>
      </c>
    </row>
    <row r="200" ht="15" customHeight="1">
      <c r="A200" s="669">
        <f>A105</f>
        <v/>
      </c>
      <c r="B200" s="657" t="n"/>
      <c r="C200" s="657">
        <f>C105</f>
        <v/>
      </c>
      <c r="D200" s="657">
        <f>D105</f>
        <v/>
      </c>
      <c r="E200" s="681">
        <f>E105</f>
        <v/>
      </c>
      <c r="F200" s="658">
        <f>IF(E200&gt;0,$H$4,0)</f>
        <v/>
      </c>
      <c r="G200" s="670">
        <f>G105</f>
        <v/>
      </c>
      <c r="H200" s="599">
        <f>H105</f>
        <v/>
      </c>
      <c r="I200" s="599">
        <f>I105</f>
        <v/>
      </c>
      <c r="J200" s="599">
        <f>J105</f>
        <v/>
      </c>
      <c r="K200" s="599">
        <f>K105</f>
        <v/>
      </c>
      <c r="L200" s="659">
        <f>L105</f>
        <v/>
      </c>
      <c r="M200" s="660">
        <f>M105</f>
        <v/>
      </c>
      <c r="N200" s="661" t="n"/>
      <c r="O200" s="661" t="n"/>
      <c r="Q200" s="119">
        <f>IF(OR(L200=47201,L200=47100,L200=47200,L200=47500),H200,0)</f>
        <v/>
      </c>
      <c r="R200" s="119">
        <f>IF(OR(L200=87201,L200=87100,L200=87200,L200=87500),H200,0)</f>
        <v/>
      </c>
    </row>
    <row r="201" ht="15" customHeight="1">
      <c r="A201" s="651">
        <f>A106</f>
        <v/>
      </c>
      <c r="B201" s="662" t="n"/>
      <c r="C201" s="662">
        <f>C106</f>
        <v/>
      </c>
      <c r="D201" s="662">
        <f>D106</f>
        <v/>
      </c>
      <c r="E201" s="681">
        <f>E106</f>
        <v/>
      </c>
      <c r="F201" s="663">
        <f>IF(E201&gt;0,$H$4,0)</f>
        <v/>
      </c>
      <c r="G201" s="654">
        <f>G106</f>
        <v/>
      </c>
      <c r="H201" s="599">
        <f>H106</f>
        <v/>
      </c>
      <c r="I201" s="599">
        <f>I106</f>
        <v/>
      </c>
      <c r="J201" s="599">
        <f>J106</f>
        <v/>
      </c>
      <c r="K201" s="599">
        <f>K106</f>
        <v/>
      </c>
      <c r="L201" s="655">
        <f>L106</f>
        <v/>
      </c>
      <c r="M201" s="664">
        <f>M106</f>
        <v/>
      </c>
      <c r="N201" s="653" t="n"/>
      <c r="O201" s="653" t="n"/>
      <c r="Q201" s="119">
        <f>IF(OR(L201=47201,L201=47100,L201=47200,L201=47500),H201,0)</f>
        <v/>
      </c>
      <c r="R201" s="119">
        <f>IF(OR(L201=87201,L201=87100,L201=87200,L201=87500),H201,0)</f>
        <v/>
      </c>
    </row>
    <row r="202" ht="15" customHeight="1">
      <c r="A202" s="669">
        <f>A107</f>
        <v/>
      </c>
      <c r="B202" s="657" t="n"/>
      <c r="C202" s="657">
        <f>C107</f>
        <v/>
      </c>
      <c r="D202" s="657">
        <f>D107</f>
        <v/>
      </c>
      <c r="E202" s="681">
        <f>E107</f>
        <v/>
      </c>
      <c r="F202" s="658">
        <f>IF(E202&gt;0,$H$4,0)</f>
        <v/>
      </c>
      <c r="G202" s="670">
        <f>G107</f>
        <v/>
      </c>
      <c r="H202" s="599">
        <f>H107</f>
        <v/>
      </c>
      <c r="I202" s="599">
        <f>I107</f>
        <v/>
      </c>
      <c r="J202" s="599">
        <f>J107</f>
        <v/>
      </c>
      <c r="K202" s="599">
        <f>K107</f>
        <v/>
      </c>
      <c r="L202" s="659">
        <f>L107</f>
        <v/>
      </c>
      <c r="M202" s="660">
        <f>M107</f>
        <v/>
      </c>
      <c r="N202" s="661" t="n"/>
      <c r="O202" s="661" t="n"/>
      <c r="Q202" s="119">
        <f>IF(OR(L202=47201,L202=47100,L202=47200,L202=47500),H202,0)</f>
        <v/>
      </c>
      <c r="R202" s="119">
        <f>IF(OR(L202=87201,L202=87100,L202=87200,L202=87500),H202,0)</f>
        <v/>
      </c>
    </row>
    <row r="203" ht="15" customHeight="1">
      <c r="A203" s="651">
        <f>A108</f>
        <v/>
      </c>
      <c r="B203" s="662" t="n"/>
      <c r="C203" s="662">
        <f>C108</f>
        <v/>
      </c>
      <c r="D203" s="662">
        <f>D108</f>
        <v/>
      </c>
      <c r="E203" s="681">
        <f>E108</f>
        <v/>
      </c>
      <c r="F203" s="663">
        <f>IF(E203&gt;0,$H$4,0)</f>
        <v/>
      </c>
      <c r="G203" s="654">
        <f>G108</f>
        <v/>
      </c>
      <c r="H203" s="599">
        <f>H108</f>
        <v/>
      </c>
      <c r="I203" s="599">
        <f>I108</f>
        <v/>
      </c>
      <c r="J203" s="599">
        <f>J108</f>
        <v/>
      </c>
      <c r="K203" s="599">
        <f>K108</f>
        <v/>
      </c>
      <c r="L203" s="655">
        <f>L108</f>
        <v/>
      </c>
      <c r="M203" s="664">
        <f>M108</f>
        <v/>
      </c>
      <c r="N203" s="653" t="n"/>
      <c r="O203" s="653" t="n"/>
      <c r="Q203" s="119">
        <f>IF(OR(L203=47201,L203=47100,L203=47200,L203=47500),H203,0)</f>
        <v/>
      </c>
      <c r="R203" s="119">
        <f>IF(OR(L203=87201,L203=87100,L203=87200,L203=87500),H203,0)</f>
        <v/>
      </c>
    </row>
    <row r="204" ht="15" customHeight="1">
      <c r="A204" s="669">
        <f>A109</f>
        <v/>
      </c>
      <c r="B204" s="657" t="n"/>
      <c r="C204" s="657">
        <f>C109</f>
        <v/>
      </c>
      <c r="D204" s="657">
        <f>D109</f>
        <v/>
      </c>
      <c r="E204" s="681">
        <f>E109</f>
        <v/>
      </c>
      <c r="F204" s="658">
        <f>IF(E204&gt;0,$H$4,0)</f>
        <v/>
      </c>
      <c r="G204" s="670">
        <f>G109</f>
        <v/>
      </c>
      <c r="H204" s="599">
        <f>H109</f>
        <v/>
      </c>
      <c r="I204" s="599">
        <f>I109</f>
        <v/>
      </c>
      <c r="J204" s="599">
        <f>J109</f>
        <v/>
      </c>
      <c r="K204" s="599">
        <f>K109</f>
        <v/>
      </c>
      <c r="L204" s="659">
        <f>L109</f>
        <v/>
      </c>
      <c r="M204" s="660">
        <f>M109</f>
        <v/>
      </c>
      <c r="N204" s="661" t="n"/>
      <c r="O204" s="661" t="n"/>
      <c r="Q204" s="119">
        <f>IF(OR(L204=47201,L204=47100,L204=47200,L204=47500),H204,0)</f>
        <v/>
      </c>
      <c r="R204" s="119">
        <f>IF(OR(L204=87201,L204=87100,L204=87200,L204=87500),H204,0)</f>
        <v/>
      </c>
    </row>
    <row r="205" ht="15" customHeight="1">
      <c r="A205" s="651" t="n"/>
      <c r="B205" s="662" t="n"/>
      <c r="C205" s="662" t="n"/>
      <c r="D205" s="662" t="n"/>
      <c r="E205" s="681">
        <f>IF(N205&gt;1,"+",0)</f>
        <v/>
      </c>
      <c r="F205" s="663">
        <f>IF(E205&gt;0,$H$4,0)</f>
        <v/>
      </c>
      <c r="G205" s="654" t="n"/>
      <c r="H205" s="599" t="n"/>
      <c r="I205" s="599" t="n"/>
      <c r="J205" s="599" t="n"/>
      <c r="K205" s="599" t="n"/>
      <c r="L205" s="655" t="n"/>
      <c r="M205" s="664">
        <f>IFERROR(VLOOKUP(L205,Tabellen!H:I,2),0)</f>
        <v/>
      </c>
      <c r="N205" s="653" t="n"/>
      <c r="O205" s="653" t="n"/>
      <c r="Q205" s="119">
        <f>IF(OR(L205=47201,L205=47100,L205=47200,L205=47500),H205,0)</f>
        <v/>
      </c>
      <c r="R205" s="119">
        <f>IF(OR(L205=87201,L205=87100,L205=87200,L205=87500),H205,0)</f>
        <v/>
      </c>
    </row>
    <row r="206" ht="15" customHeight="1">
      <c r="A206" s="669" t="n"/>
      <c r="B206" s="657" t="n"/>
      <c r="C206" s="657" t="n"/>
      <c r="D206" s="657" t="n"/>
      <c r="E206" s="681">
        <f>IF(N206&gt;1,"+",0)</f>
        <v/>
      </c>
      <c r="F206" s="658">
        <f>IF(E206&gt;0,$H$4,0)</f>
        <v/>
      </c>
      <c r="G206" s="670" t="n"/>
      <c r="H206" s="599" t="n"/>
      <c r="I206" s="599" t="n"/>
      <c r="J206" s="599" t="n"/>
      <c r="K206" s="599" t="n"/>
      <c r="L206" s="659" t="n"/>
      <c r="M206" s="660">
        <f>IFERROR(VLOOKUP(L206,Tabellen!H:I,2),0)</f>
        <v/>
      </c>
      <c r="N206" s="661" t="n"/>
      <c r="O206" s="661" t="n"/>
      <c r="Q206" s="119">
        <f>IF(OR(L206=47201,L206=47100,L206=47200,L206=47500),H206,0)</f>
        <v/>
      </c>
      <c r="R206" s="119">
        <f>IF(OR(L206=87201,L206=87100,L206=87200,L206=87500),H206,0)</f>
        <v/>
      </c>
    </row>
    <row r="207" ht="15" customHeight="1">
      <c r="A207" s="651" t="n"/>
      <c r="B207" s="662" t="n"/>
      <c r="C207" s="662" t="n"/>
      <c r="D207" s="662" t="n"/>
      <c r="E207" s="681">
        <f>IF(N207&gt;1,"+",0)</f>
        <v/>
      </c>
      <c r="F207" s="663">
        <f>IF(E207&gt;0,$H$4,0)</f>
        <v/>
      </c>
      <c r="G207" s="654" t="n"/>
      <c r="H207" s="599" t="n"/>
      <c r="I207" s="599" t="n"/>
      <c r="J207" s="599" t="n"/>
      <c r="K207" s="599" t="n"/>
      <c r="L207" s="655" t="n"/>
      <c r="M207" s="664">
        <f>IFERROR(VLOOKUP(L207,Tabellen!H:I,2),0)</f>
        <v/>
      </c>
      <c r="N207" s="653" t="n"/>
      <c r="O207" s="653" t="n"/>
      <c r="Q207" s="119">
        <f>IF(OR(L207=47201,L207=47100,L207=47200,L207=47500),H207,0)</f>
        <v/>
      </c>
      <c r="R207" s="119">
        <f>IF(OR(L207=87201,L207=87100,L207=87200,L207=87500),H207,0)</f>
        <v/>
      </c>
    </row>
    <row r="208" ht="15" customHeight="1">
      <c r="A208" s="669" t="n"/>
      <c r="B208" s="657" t="n"/>
      <c r="C208" s="657" t="n"/>
      <c r="D208" s="657" t="n"/>
      <c r="E208" s="681">
        <f>IF(N208&gt;1,"+",0)</f>
        <v/>
      </c>
      <c r="F208" s="658">
        <f>IF(E208&gt;0,$H$4,0)</f>
        <v/>
      </c>
      <c r="G208" s="670" t="n"/>
      <c r="H208" s="599" t="n"/>
      <c r="I208" s="599" t="n"/>
      <c r="J208" s="599" t="n"/>
      <c r="K208" s="599" t="n"/>
      <c r="L208" s="659" t="n"/>
      <c r="M208" s="660">
        <f>IFERROR(VLOOKUP(L208,Tabellen!H:I,2),0)</f>
        <v/>
      </c>
      <c r="N208" s="661" t="n"/>
      <c r="O208" s="661" t="n"/>
      <c r="Q208" s="119">
        <f>IF(OR(L208=47201,L208=47100,L208=47200,L208=47500),H208,0)</f>
        <v/>
      </c>
      <c r="R208" s="119">
        <f>IF(OR(L208=87201,L208=87100,L208=87200,L208=87500),H208,0)</f>
        <v/>
      </c>
    </row>
    <row r="209" ht="15" customHeight="1">
      <c r="A209" s="651" t="n"/>
      <c r="B209" s="662" t="n"/>
      <c r="C209" s="662" t="n"/>
      <c r="D209" s="662" t="n"/>
      <c r="E209" s="681">
        <f>IF(N209&gt;1,"+",0)</f>
        <v/>
      </c>
      <c r="F209" s="663">
        <f>IF(E209&gt;0,$H$4,0)</f>
        <v/>
      </c>
      <c r="G209" s="654" t="n"/>
      <c r="H209" s="599" t="n"/>
      <c r="I209" s="599" t="n"/>
      <c r="J209" s="599" t="n"/>
      <c r="K209" s="599" t="n"/>
      <c r="L209" s="655" t="n"/>
      <c r="M209" s="664">
        <f>IFERROR(VLOOKUP(L209,Tabellen!H:I,2),0)</f>
        <v/>
      </c>
      <c r="N209" s="653" t="n"/>
      <c r="O209" s="653" t="n"/>
      <c r="Q209" s="119">
        <f>IF(OR(L209=47201,L209=47100,L209=47200,L209=47500),H209,0)</f>
        <v/>
      </c>
      <c r="R209" s="119">
        <f>IF(OR(L209=87201,L209=87100,L209=87200,L209=87500),H209,0)</f>
        <v/>
      </c>
    </row>
    <row r="210" ht="15" customHeight="1">
      <c r="A210" s="669" t="n"/>
      <c r="B210" s="657" t="n"/>
      <c r="C210" s="657" t="n"/>
      <c r="D210" s="657" t="n"/>
      <c r="E210" s="681">
        <f>IF(N210&gt;1,"+",0)</f>
        <v/>
      </c>
      <c r="F210" s="658">
        <f>IF(E210&gt;0,$H$4,0)</f>
        <v/>
      </c>
      <c r="G210" s="670" t="n"/>
      <c r="H210" s="599" t="n"/>
      <c r="I210" s="599" t="n"/>
      <c r="J210" s="599" t="n"/>
      <c r="K210" s="599" t="n"/>
      <c r="L210" s="659" t="n"/>
      <c r="M210" s="660">
        <f>IFERROR(VLOOKUP(L210,Tabellen!H:I,2),0)</f>
        <v/>
      </c>
      <c r="N210" s="661" t="n"/>
      <c r="O210" s="661" t="n"/>
      <c r="Q210" s="119">
        <f>IF(OR(L210=47201,L210=47100,L210=47200,L210=47500),H210,0)</f>
        <v/>
      </c>
      <c r="R210" s="119">
        <f>IF(OR(L210=87201,L210=87100,L210=87200,L210=87500),H210,0)</f>
        <v/>
      </c>
    </row>
    <row r="211" ht="15" customHeight="1">
      <c r="A211" s="651" t="n"/>
      <c r="B211" s="662" t="n"/>
      <c r="C211" s="662" t="n"/>
      <c r="D211" s="662" t="n"/>
      <c r="E211" s="681">
        <f>IF(N211&gt;1,"+",0)</f>
        <v/>
      </c>
      <c r="F211" s="663">
        <f>IF(E211&gt;0,$H$4,0)</f>
        <v/>
      </c>
      <c r="G211" s="654" t="n"/>
      <c r="H211" s="599" t="n"/>
      <c r="I211" s="599" t="n"/>
      <c r="J211" s="599" t="n"/>
      <c r="K211" s="599" t="n"/>
      <c r="L211" s="655" t="n"/>
      <c r="M211" s="664">
        <f>IFERROR(VLOOKUP(L211,Tabellen!H:I,2),0)</f>
        <v/>
      </c>
      <c r="N211" s="653" t="n"/>
      <c r="O211" s="653" t="n"/>
      <c r="Q211" s="119">
        <f>IF(OR(L211=47201,L211=47100,L211=47200,L211=47500),H211,0)</f>
        <v/>
      </c>
      <c r="R211" s="119">
        <f>IF(OR(L211=87201,L211=87100,L211=87200,L211=87500),H211,0)</f>
        <v/>
      </c>
    </row>
    <row r="212" ht="15" customHeight="1">
      <c r="A212" s="669" t="n"/>
      <c r="B212" s="657" t="n"/>
      <c r="C212" s="657" t="n"/>
      <c r="D212" s="657" t="n"/>
      <c r="E212" s="681">
        <f>IF(N212&gt;1,"+",0)</f>
        <v/>
      </c>
      <c r="F212" s="658">
        <f>IF(E212&gt;0,$H$4,0)</f>
        <v/>
      </c>
      <c r="G212" s="670" t="n"/>
      <c r="H212" s="599" t="n"/>
      <c r="I212" s="599" t="n"/>
      <c r="J212" s="599" t="n"/>
      <c r="K212" s="599" t="n"/>
      <c r="L212" s="659" t="n"/>
      <c r="M212" s="660">
        <f>IFERROR(VLOOKUP(L212,Tabellen!H:I,2),0)</f>
        <v/>
      </c>
      <c r="N212" s="661" t="n"/>
      <c r="O212" s="661" t="n"/>
      <c r="Q212" s="119">
        <f>IF(OR(L212=47201,L212=47100,L212=47200,L212=47500),H212,0)</f>
        <v/>
      </c>
      <c r="R212" s="119">
        <f>IF(OR(L212=87201,L212=87100,L212=87200,L212=87500),H212,0)</f>
        <v/>
      </c>
    </row>
    <row r="213" ht="15" customHeight="1">
      <c r="A213" s="651" t="n"/>
      <c r="B213" s="662" t="n"/>
      <c r="C213" s="662" t="n"/>
      <c r="D213" s="662" t="n"/>
      <c r="E213" s="681">
        <f>IF(N213&gt;1,"+",0)</f>
        <v/>
      </c>
      <c r="F213" s="663">
        <f>IF(E213&gt;0,$H$4,0)</f>
        <v/>
      </c>
      <c r="G213" s="654" t="n"/>
      <c r="H213" s="599" t="n"/>
      <c r="I213" s="599" t="n"/>
      <c r="J213" s="599" t="n"/>
      <c r="K213" s="599" t="n"/>
      <c r="L213" s="655" t="n"/>
      <c r="M213" s="664">
        <f>IFERROR(VLOOKUP(L213,Tabellen!H:I,2),0)</f>
        <v/>
      </c>
      <c r="N213" s="653" t="n"/>
      <c r="O213" s="653" t="n"/>
      <c r="Q213" s="119">
        <f>IF(OR(L213=47201,L213=47100,L213=47200,L213=47500),H213,0)</f>
        <v/>
      </c>
      <c r="R213" s="119">
        <f>IF(OR(L213=87201,L213=87100,L213=87200,L213=87500),H213,0)</f>
        <v/>
      </c>
    </row>
    <row r="214" ht="15" customHeight="1">
      <c r="A214" s="669" t="n"/>
      <c r="B214" s="657" t="n"/>
      <c r="C214" s="657" t="n"/>
      <c r="D214" s="657" t="n"/>
      <c r="E214" s="681">
        <f>IF(N214&gt;1,"+",0)</f>
        <v/>
      </c>
      <c r="F214" s="658">
        <f>IF(E214&gt;0,$H$4,0)</f>
        <v/>
      </c>
      <c r="G214" s="670" t="n"/>
      <c r="H214" s="599" t="n"/>
      <c r="I214" s="599" t="n"/>
      <c r="J214" s="599" t="n"/>
      <c r="K214" s="599" t="n"/>
      <c r="L214" s="659" t="n"/>
      <c r="M214" s="660">
        <f>IFERROR(VLOOKUP(L214,Tabellen!H:I,2),0)</f>
        <v/>
      </c>
      <c r="N214" s="661" t="n"/>
      <c r="O214" s="661" t="n"/>
      <c r="Q214" s="119">
        <f>IF(OR(L214=47201,L214=47100,L214=47200,L214=47500),H214,0)</f>
        <v/>
      </c>
      <c r="R214" s="119">
        <f>IF(OR(L214=87201,L214=87100,L214=87200,L214=87500),H214,0)</f>
        <v/>
      </c>
    </row>
    <row r="215" ht="15" customHeight="1">
      <c r="A215" s="651" t="n"/>
      <c r="B215" s="662" t="n"/>
      <c r="C215" s="662" t="n"/>
      <c r="D215" s="662" t="n"/>
      <c r="E215" s="681">
        <f>IF(N215&gt;1,"+",0)</f>
        <v/>
      </c>
      <c r="F215" s="663">
        <f>IF(E215&gt;0,$H$4,0)</f>
        <v/>
      </c>
      <c r="G215" s="654" t="n"/>
      <c r="H215" s="599" t="n"/>
      <c r="I215" s="599" t="n"/>
      <c r="J215" s="599" t="n"/>
      <c r="K215" s="599" t="n"/>
      <c r="L215" s="655" t="n"/>
      <c r="M215" s="664">
        <f>IFERROR(VLOOKUP(L215,Tabellen!H:I,2),0)</f>
        <v/>
      </c>
      <c r="N215" s="653" t="n"/>
      <c r="O215" s="653" t="n"/>
      <c r="Q215" s="119">
        <f>IF(OR(L215=47201,L215=47100,L215=47200,L215=47500),H215,0)</f>
        <v/>
      </c>
      <c r="R215" s="119">
        <f>IF(OR(L215=87201,L215=87100,L215=87200,L215=87500),H215,0)</f>
        <v/>
      </c>
    </row>
    <row r="216" ht="15" customHeight="1">
      <c r="A216" s="669" t="n"/>
      <c r="B216" s="657" t="n"/>
      <c r="C216" s="657" t="n"/>
      <c r="D216" s="657" t="n"/>
      <c r="E216" s="681">
        <f>IF(N216&gt;1,"+",0)</f>
        <v/>
      </c>
      <c r="F216" s="658">
        <f>IF(E216&gt;0,$H$4,0)</f>
        <v/>
      </c>
      <c r="G216" s="670" t="n"/>
      <c r="H216" s="606" t="n"/>
      <c r="I216" s="606" t="n"/>
      <c r="J216" s="606" t="n"/>
      <c r="K216" s="606" t="n"/>
      <c r="L216" s="659" t="n"/>
      <c r="M216" s="660">
        <f>IFERROR(VLOOKUP(L216,Tabellen!H:I,2),0)</f>
        <v/>
      </c>
      <c r="N216" s="661" t="n"/>
      <c r="O216" s="661" t="n"/>
      <c r="Q216" s="119">
        <f>IF(OR(L216=47201,L216=47100,L216=47200,L216=47500),H216,0)</f>
        <v/>
      </c>
      <c r="R216" s="119">
        <f>IF(OR(L216=87201,L216=87100,L216=87200,L216=87500),H216,0)</f>
        <v/>
      </c>
    </row>
    <row r="217" ht="16" customFormat="1" customHeight="1" s="132">
      <c r="A217" s="607" t="inlineStr">
        <is>
          <t>Saldo mutaties reserves</t>
        </is>
      </c>
      <c r="B217" s="607" t="n"/>
      <c r="C217" s="607" t="n"/>
      <c r="D217" s="607" t="n"/>
      <c r="E217" s="607">
        <f>IF(N217&gt;1,"+",0)</f>
        <v/>
      </c>
      <c r="F217" s="608" t="n"/>
      <c r="G217" s="609" t="n"/>
      <c r="H217" s="612">
        <f>SUM(H172:H216)</f>
        <v/>
      </c>
      <c r="I217" s="612">
        <f>SUM(I172:I216)</f>
        <v/>
      </c>
      <c r="J217" s="612">
        <f>SUM(J172:J216)</f>
        <v/>
      </c>
      <c r="K217" s="612">
        <f>SUM(K172:K216)</f>
        <v/>
      </c>
      <c r="L217" s="610" t="n"/>
      <c r="M217" s="611" t="n"/>
      <c r="N217" s="608" t="n"/>
      <c r="O217" s="608" t="n"/>
      <c r="Q217" s="119">
        <f>IF(OR(L217=47201,L217=47100,L217=47200,L217=47500),H217,0)</f>
        <v/>
      </c>
      <c r="R217" s="119">
        <f>IF(OR(L217=87201,L217=87100,L217=87200,L217=87500),H217,0)</f>
        <v/>
      </c>
    </row>
    <row r="218" ht="15" customHeight="1">
      <c r="A218" s="244" t="n"/>
      <c r="B218" s="71" t="n"/>
      <c r="C218" s="71" t="n"/>
      <c r="D218" s="244" t="n"/>
      <c r="E218" s="71">
        <f>IF(N218&gt;1,"+",0)</f>
        <v/>
      </c>
      <c r="F218" s="113" t="n"/>
      <c r="G218" s="245" t="n"/>
      <c r="H218" s="116" t="n"/>
      <c r="I218" s="116" t="n"/>
      <c r="J218" s="116" t="n"/>
      <c r="K218" s="116" t="n"/>
      <c r="L218" s="63" t="n"/>
      <c r="M218" s="246" t="n"/>
      <c r="N218" s="73" t="n"/>
      <c r="O218" s="247" t="n"/>
      <c r="Q218" s="119">
        <f>IF(OR(L218=47201,L218=47100,L218=47200,L218=47500),H218,0)</f>
        <v/>
      </c>
      <c r="R218" s="119">
        <f>IF(OR(L218=87201,L218=87100,L218=87200,L218=87500),H218,0)</f>
        <v/>
      </c>
    </row>
    <row r="219" ht="18" customHeight="1">
      <c r="A219" s="687" t="inlineStr">
        <is>
          <t>Controle mutaties balans (investeringen + reserves)</t>
        </is>
      </c>
      <c r="B219" s="687" t="n"/>
      <c r="C219" s="687" t="n"/>
      <c r="D219" s="687" t="n"/>
      <c r="E219" s="687">
        <f>IF(N219&gt;1,"+",0)</f>
        <v/>
      </c>
      <c r="F219" s="688" t="n"/>
      <c r="G219" s="689" t="n"/>
      <c r="H219" s="690">
        <f>IF(H168+H217=0,"✓  Balans = 0",H168+H217)</f>
        <v/>
      </c>
      <c r="I219" s="690">
        <f>I168+I217</f>
        <v/>
      </c>
      <c r="J219" s="690">
        <f>J168+J217</f>
        <v/>
      </c>
      <c r="K219" s="690">
        <f>K168+K217</f>
        <v/>
      </c>
      <c r="L219" s="691" t="n"/>
      <c r="M219" s="692" t="n"/>
      <c r="N219" s="688" t="n"/>
      <c r="O219" s="688" t="n"/>
      <c r="Q219" s="119">
        <f>IF(OR(L219=47201,L219=47100,L219=47200,L219=47500),H219,0)</f>
        <v/>
      </c>
      <c r="R219" s="119">
        <f>IF(OR(L219=87201,L219=87100,L219=87200,L219=87500),H219,0)</f>
        <v/>
      </c>
    </row>
    <row r="220" ht="15" customHeight="1">
      <c r="A220" s="267" t="inlineStr">
        <is>
          <t>Voorzieningen</t>
        </is>
      </c>
      <c r="B220" s="74" t="n"/>
      <c r="C220" s="74" t="n"/>
      <c r="D220" s="249" t="n"/>
      <c r="E220" s="74">
        <f>IF(N220&gt;1,"+",0)</f>
        <v/>
      </c>
      <c r="F220" s="75">
        <f>IF(E220&gt;0,$H$4,0)</f>
        <v/>
      </c>
      <c r="G220" s="256" t="n"/>
      <c r="H220" s="123" t="n"/>
      <c r="I220" s="123" t="n"/>
      <c r="J220" s="123" t="n"/>
      <c r="K220" s="123" t="n"/>
      <c r="L220" s="64" t="n"/>
      <c r="M220" s="250">
        <f>IFERROR(VLOOKUP(L220,Tabellen!H:I,2),0)</f>
        <v/>
      </c>
      <c r="N220" s="121" t="n"/>
      <c r="O220" s="251" t="n"/>
      <c r="Q220" s="119">
        <f>IF(OR(L220=47201,L220=47100,L220=47200,L220=47500),H220,0)</f>
        <v/>
      </c>
      <c r="R220" s="119">
        <f>IF(OR(L220=87201,L220=87100,L220=87200,L220=87500),H220,0)</f>
        <v/>
      </c>
    </row>
    <row r="221" ht="15" customHeight="1">
      <c r="A221" s="267" t="n"/>
      <c r="B221" s="74" t="n"/>
      <c r="C221" s="74" t="n"/>
      <c r="D221" s="249" t="n"/>
      <c r="E221" s="74">
        <f>IF(N221&gt;1,"+",0)</f>
        <v/>
      </c>
      <c r="F221" s="75">
        <f>IF(E221&gt;0,$H$4,0)</f>
        <v/>
      </c>
      <c r="G221" s="256" t="n"/>
      <c r="H221" s="123" t="n"/>
      <c r="I221" s="123" t="n"/>
      <c r="J221" s="123" t="n"/>
      <c r="K221" s="123" t="n"/>
      <c r="L221" s="64" t="n"/>
      <c r="M221" s="250">
        <f>IFERROR(VLOOKUP(L221,Tabellen!H:I,2),0)</f>
        <v/>
      </c>
      <c r="N221" s="121" t="n"/>
      <c r="O221" s="251" t="n"/>
      <c r="Q221" s="119">
        <f>IF(OR(L221=47201,L221=47100,L221=47200,L221=47500),H221,0)</f>
        <v/>
      </c>
      <c r="R221" s="119">
        <f>IF(OR(L221=87201,L221=87100,L221=87200,L221=87500),H221,0)</f>
        <v/>
      </c>
    </row>
    <row r="222" ht="15" customHeight="1">
      <c r="A222" s="267" t="n"/>
      <c r="B222" s="74" t="n"/>
      <c r="C222" s="74" t="n"/>
      <c r="D222" s="249" t="n"/>
      <c r="E222" s="74">
        <f>IF(N222&gt;1,"+",0)</f>
        <v/>
      </c>
      <c r="F222" s="75">
        <f>IF(E222&gt;0,$H$4,0)</f>
        <v/>
      </c>
      <c r="G222" s="256" t="n"/>
      <c r="H222" s="123" t="n"/>
      <c r="I222" s="123" t="n"/>
      <c r="J222" s="123" t="n"/>
      <c r="K222" s="123" t="n"/>
      <c r="L222" s="64" t="n"/>
      <c r="M222" s="250">
        <f>IFERROR(VLOOKUP(L222,Tabellen!H:I,2),0)</f>
        <v/>
      </c>
      <c r="N222" s="121" t="n"/>
      <c r="O222" s="251" t="n"/>
      <c r="Q222" s="119">
        <f>IF(OR(L222=47201,L222=47100,L222=47200,L222=47500),H222,0)</f>
        <v/>
      </c>
      <c r="R222" s="119">
        <f>IF(OR(L222=87201,L222=87100,L222=87200,L222=87500),H222,0)</f>
        <v/>
      </c>
    </row>
    <row r="223" ht="15" customHeight="1">
      <c r="A223" s="267" t="n"/>
      <c r="B223" s="74" t="n"/>
      <c r="C223" s="74" t="n"/>
      <c r="D223" s="249" t="n"/>
      <c r="E223" s="74">
        <f>IF(N223&gt;1,"+",0)</f>
        <v/>
      </c>
      <c r="F223" s="75">
        <f>IF(E223&gt;0,$H$4,0)</f>
        <v/>
      </c>
      <c r="G223" s="256" t="n"/>
      <c r="H223" s="123" t="n"/>
      <c r="I223" s="123" t="n"/>
      <c r="J223" s="123" t="n"/>
      <c r="K223" s="123" t="n"/>
      <c r="L223" s="64" t="n"/>
      <c r="M223" s="250">
        <f>IFERROR(VLOOKUP(L223,Tabellen!H:I,2),0)</f>
        <v/>
      </c>
      <c r="N223" s="121" t="n"/>
      <c r="O223" s="251" t="n"/>
      <c r="Q223" s="119">
        <f>IF(OR(L223=47201,L223=47100,L223=47200,L223=47500),H223,0)</f>
        <v/>
      </c>
      <c r="R223" s="119">
        <f>IF(OR(L223=87201,L223=87100,L223=87200,L223=87500),H223,0)</f>
        <v/>
      </c>
    </row>
    <row r="224" ht="15" customHeight="1">
      <c r="A224" s="267" t="n"/>
      <c r="B224" s="74" t="n"/>
      <c r="C224" s="74" t="n"/>
      <c r="D224" s="249" t="n"/>
      <c r="E224" s="74">
        <f>IF(N224&gt;1,"+",0)</f>
        <v/>
      </c>
      <c r="F224" s="75">
        <f>IF(E224&gt;0,$H$4,0)</f>
        <v/>
      </c>
      <c r="G224" s="256" t="n"/>
      <c r="H224" s="123" t="n"/>
      <c r="I224" s="123" t="n"/>
      <c r="J224" s="123" t="n"/>
      <c r="K224" s="123" t="n"/>
      <c r="L224" s="64" t="n"/>
      <c r="M224" s="250">
        <f>IFERROR(VLOOKUP(L224,Tabellen!H:I,2),0)</f>
        <v/>
      </c>
      <c r="N224" s="121" t="n"/>
      <c r="O224" s="251" t="n"/>
      <c r="Q224" s="119">
        <f>IF(OR(L224=47201,L224=47100,L224=47200,L224=47500),H224,0)</f>
        <v/>
      </c>
      <c r="R224" s="119">
        <f>IF(OR(L224=87201,L224=87100,L224=87200,L224=87500),H224,0)</f>
        <v/>
      </c>
    </row>
    <row r="225" ht="15" customHeight="1">
      <c r="A225" s="267" t="n"/>
      <c r="B225" s="74" t="n"/>
      <c r="C225" s="74" t="n"/>
      <c r="D225" s="249" t="n"/>
      <c r="E225" s="74">
        <f>IF(N225&gt;1,"+",0)</f>
        <v/>
      </c>
      <c r="F225" s="75">
        <f>IF(E225&gt;0,$H$4,0)</f>
        <v/>
      </c>
      <c r="G225" s="256" t="n"/>
      <c r="H225" s="123" t="n"/>
      <c r="I225" s="123" t="n"/>
      <c r="J225" s="123" t="n"/>
      <c r="K225" s="123" t="n"/>
      <c r="L225" s="64" t="n"/>
      <c r="M225" s="250">
        <f>IFERROR(VLOOKUP(L225,Tabellen!H:I,2),0)</f>
        <v/>
      </c>
      <c r="N225" s="121" t="n"/>
      <c r="O225" s="251" t="n"/>
      <c r="Q225" s="119">
        <f>IF(OR(L225=47201,L225=47100,L225=47200,L225=47500),H225,0)</f>
        <v/>
      </c>
      <c r="R225" s="119">
        <f>IF(OR(L225=87201,L225=87100,L225=87200,L225=87500),H225,0)</f>
        <v/>
      </c>
    </row>
    <row r="226" ht="15" customHeight="1">
      <c r="A226" s="267" t="n"/>
      <c r="B226" s="74" t="n"/>
      <c r="C226" s="74" t="n"/>
      <c r="D226" s="249" t="n"/>
      <c r="E226" s="74">
        <f>IF(N226&gt;1,"+",0)</f>
        <v/>
      </c>
      <c r="F226" s="75">
        <f>IF(E226&gt;0,$H$4,0)</f>
        <v/>
      </c>
      <c r="G226" s="256" t="n"/>
      <c r="H226" s="123" t="n"/>
      <c r="I226" s="123" t="n"/>
      <c r="J226" s="123" t="n"/>
      <c r="K226" s="123" t="n"/>
      <c r="L226" s="64" t="n"/>
      <c r="M226" s="250">
        <f>IFERROR(VLOOKUP(L226,Tabellen!H:I,2),0)</f>
        <v/>
      </c>
      <c r="N226" s="121" t="n"/>
      <c r="O226" s="251" t="n"/>
      <c r="Q226" s="119">
        <f>IF(OR(L226=47201,L226=47100,L226=47200,L226=47500),H226,0)</f>
        <v/>
      </c>
      <c r="R226" s="119">
        <f>IF(OR(L226=87201,L226=87100,L226=87200,L226=87500),H226,0)</f>
        <v/>
      </c>
    </row>
    <row r="227" ht="15" customHeight="1">
      <c r="A227" s="267" t="n"/>
      <c r="B227" s="74" t="n"/>
      <c r="C227" s="74" t="n"/>
      <c r="D227" s="249" t="n"/>
      <c r="E227" s="74">
        <f>IF(N227&gt;1,"+",0)</f>
        <v/>
      </c>
      <c r="F227" s="75">
        <f>IF(E227&gt;0,$H$4,0)</f>
        <v/>
      </c>
      <c r="G227" s="256" t="n"/>
      <c r="H227" s="123" t="n"/>
      <c r="I227" s="123" t="n"/>
      <c r="J227" s="123" t="n"/>
      <c r="K227" s="123" t="n"/>
      <c r="L227" s="64" t="n"/>
      <c r="M227" s="250">
        <f>IFERROR(VLOOKUP(L227,Tabellen!H:I,2),0)</f>
        <v/>
      </c>
      <c r="N227" s="121" t="n"/>
      <c r="O227" s="251" t="n"/>
      <c r="Q227" s="119">
        <f>IF(OR(L227=47201,L227=47100,L227=47200,L227=47500),H227,0)</f>
        <v/>
      </c>
      <c r="R227" s="119">
        <f>IF(OR(L227=87201,L227=87100,L227=87200,L227=87500),H227,0)</f>
        <v/>
      </c>
    </row>
    <row r="228" ht="15" customHeight="1">
      <c r="A228" s="267" t="n"/>
      <c r="B228" s="74" t="n"/>
      <c r="C228" s="74" t="n"/>
      <c r="D228" s="249" t="n"/>
      <c r="E228" s="74">
        <f>IF(N228&gt;1,"+",0)</f>
        <v/>
      </c>
      <c r="F228" s="75">
        <f>IF(E228&gt;0,$H$4,0)</f>
        <v/>
      </c>
      <c r="G228" s="256" t="n"/>
      <c r="H228" s="123" t="n"/>
      <c r="I228" s="123" t="n"/>
      <c r="J228" s="123" t="n"/>
      <c r="K228" s="123" t="n"/>
      <c r="L228" s="64" t="n"/>
      <c r="M228" s="250">
        <f>IFERROR(VLOOKUP(L228,Tabellen!H:I,2),0)</f>
        <v/>
      </c>
      <c r="N228" s="121" t="n"/>
      <c r="O228" s="251" t="n"/>
      <c r="Q228" s="119">
        <f>IF(OR(L228=47201,L228=47100,L228=47200,L228=47500),H228,0)</f>
        <v/>
      </c>
      <c r="R228" s="119">
        <f>IF(OR(L228=87201,L228=87100,L228=87200,L228=87500),H228,0)</f>
        <v/>
      </c>
    </row>
    <row r="229" ht="15" customHeight="1">
      <c r="A229" s="267" t="n"/>
      <c r="B229" s="74" t="n"/>
      <c r="C229" s="74" t="n"/>
      <c r="D229" s="249" t="n"/>
      <c r="E229" s="74">
        <f>IF(N229&gt;1,"+",0)</f>
        <v/>
      </c>
      <c r="F229" s="75">
        <f>IF(E229&gt;0,$H$4,0)</f>
        <v/>
      </c>
      <c r="G229" s="256" t="n"/>
      <c r="H229" s="123" t="n"/>
      <c r="I229" s="123" t="n"/>
      <c r="J229" s="123" t="n"/>
      <c r="K229" s="123" t="n"/>
      <c r="L229" s="64" t="n"/>
      <c r="M229" s="250">
        <f>IFERROR(VLOOKUP(L229,Tabellen!H:I,2),0)</f>
        <v/>
      </c>
      <c r="N229" s="121" t="n"/>
      <c r="O229" s="251" t="n"/>
      <c r="Q229" s="119">
        <f>IF(OR(L229=47201,L229=47100,L229=47200,L229=47500),H229,0)</f>
        <v/>
      </c>
      <c r="R229" s="119">
        <f>IF(OR(L229=87201,L229=87100,L229=87200,L229=87500),H229,0)</f>
        <v/>
      </c>
    </row>
    <row r="230" ht="15" customHeight="1">
      <c r="A230" s="267" t="n"/>
      <c r="B230" s="74" t="n"/>
      <c r="C230" s="74" t="n"/>
      <c r="D230" s="249" t="n"/>
      <c r="E230" s="74">
        <f>IF(N230&gt;1,"+",0)</f>
        <v/>
      </c>
      <c r="F230" s="75">
        <f>IF(E230&gt;0,$H$4,0)</f>
        <v/>
      </c>
      <c r="G230" s="256" t="n"/>
      <c r="H230" s="123" t="n"/>
      <c r="I230" s="123" t="n"/>
      <c r="J230" s="123" t="n"/>
      <c r="K230" s="123" t="n"/>
      <c r="L230" s="64" t="n"/>
      <c r="M230" s="250">
        <f>IFERROR(VLOOKUP(L230,Tabellen!H:I,2),0)</f>
        <v/>
      </c>
      <c r="N230" s="121" t="n"/>
      <c r="O230" s="251" t="n"/>
      <c r="Q230" s="119">
        <f>IF(OR(L230=47201,L230=47100,L230=47200,L230=47500),H230,0)</f>
        <v/>
      </c>
      <c r="R230" s="119">
        <f>IF(OR(L230=87201,L230=87100,L230=87200,L230=87500),H230,0)</f>
        <v/>
      </c>
    </row>
    <row r="231" ht="15" customHeight="1">
      <c r="A231" s="267" t="n"/>
      <c r="B231" s="74" t="n"/>
      <c r="C231" s="74" t="n"/>
      <c r="D231" s="249" t="n"/>
      <c r="E231" s="74">
        <f>IF(N231&gt;1,"+",0)</f>
        <v/>
      </c>
      <c r="F231" s="75">
        <f>IF(E231&gt;0,$H$4,0)</f>
        <v/>
      </c>
      <c r="G231" s="256" t="n"/>
      <c r="H231" s="123" t="n"/>
      <c r="I231" s="123" t="n"/>
      <c r="J231" s="123" t="n"/>
      <c r="K231" s="123" t="n"/>
      <c r="L231" s="64" t="n"/>
      <c r="M231" s="250">
        <f>IFERROR(VLOOKUP(L231,Tabellen!H:I,2),0)</f>
        <v/>
      </c>
      <c r="N231" s="121" t="n"/>
      <c r="O231" s="251" t="n"/>
      <c r="Q231" s="119">
        <f>IF(OR(L231=47201,L231=47100,L231=47200,L231=47500),H231,0)</f>
        <v/>
      </c>
      <c r="R231" s="119">
        <f>IF(OR(L231=87201,L231=87100,L231=87200,L231=87500),H231,0)</f>
        <v/>
      </c>
    </row>
    <row r="232" ht="15" customHeight="1">
      <c r="A232" s="267" t="n"/>
      <c r="B232" s="74" t="n"/>
      <c r="C232" s="74" t="n"/>
      <c r="D232" s="249" t="n"/>
      <c r="E232" s="74">
        <f>IF(N232&gt;1,"+",0)</f>
        <v/>
      </c>
      <c r="F232" s="75">
        <f>IF(E232&gt;0,$H$4,0)</f>
        <v/>
      </c>
      <c r="G232" s="256" t="n"/>
      <c r="H232" s="123" t="n"/>
      <c r="I232" s="123" t="n"/>
      <c r="J232" s="123" t="n"/>
      <c r="K232" s="123" t="n"/>
      <c r="L232" s="64" t="n"/>
      <c r="M232" s="250">
        <f>IFERROR(VLOOKUP(L232,Tabellen!H:I,2),0)</f>
        <v/>
      </c>
      <c r="N232" s="121" t="n"/>
      <c r="O232" s="251" t="n"/>
      <c r="Q232" s="119">
        <f>IF(OR(L232=47201,L232=47100,L232=47200,L232=47500),H232,0)</f>
        <v/>
      </c>
      <c r="R232" s="119">
        <f>IF(OR(L232=87201,L232=87100,L232=87200,L232=87500),H232,0)</f>
        <v/>
      </c>
    </row>
    <row r="233" ht="15" customHeight="1">
      <c r="A233" s="267" t="n"/>
      <c r="B233" s="74" t="n"/>
      <c r="C233" s="74" t="n"/>
      <c r="D233" s="249" t="n"/>
      <c r="E233" s="74">
        <f>IF(N233&gt;1,"+",0)</f>
        <v/>
      </c>
      <c r="F233" s="75">
        <f>IF(E233&gt;0,$H$4,0)</f>
        <v/>
      </c>
      <c r="G233" s="256" t="n"/>
      <c r="H233" s="123" t="n"/>
      <c r="I233" s="123" t="n"/>
      <c r="J233" s="123" t="n"/>
      <c r="K233" s="123" t="n"/>
      <c r="L233" s="64" t="n"/>
      <c r="M233" s="250">
        <f>IFERROR(VLOOKUP(L233,Tabellen!H:I,2),0)</f>
        <v/>
      </c>
      <c r="N233" s="121" t="n"/>
      <c r="O233" s="251" t="n"/>
      <c r="Q233" s="119">
        <f>IF(OR(L233=47201,L233=47100,L233=47200,L233=47500),H233,0)</f>
        <v/>
      </c>
      <c r="R233" s="119">
        <f>IF(OR(L233=87201,L233=87100,L233=87200,L233=87500),H233,0)</f>
        <v/>
      </c>
    </row>
    <row r="234" ht="15" customHeight="1">
      <c r="A234" s="267" t="n"/>
      <c r="B234" s="74" t="n"/>
      <c r="C234" s="74" t="n"/>
      <c r="D234" s="249" t="n"/>
      <c r="E234" s="74">
        <f>IF(N234&gt;1,"+",0)</f>
        <v/>
      </c>
      <c r="F234" s="75">
        <f>IF(E234&gt;0,$H$4,0)</f>
        <v/>
      </c>
      <c r="G234" s="256" t="n"/>
      <c r="H234" s="123" t="n"/>
      <c r="I234" s="123" t="n"/>
      <c r="J234" s="123" t="n"/>
      <c r="K234" s="123" t="n"/>
      <c r="L234" s="64" t="n"/>
      <c r="M234" s="250">
        <f>IFERROR(VLOOKUP(L234,Tabellen!H:I,2),0)</f>
        <v/>
      </c>
      <c r="N234" s="121" t="n"/>
      <c r="O234" s="251" t="n"/>
      <c r="Q234" s="119">
        <f>IF(OR(L234=47201,L234=47100,L234=47200,L234=47500),H234,0)</f>
        <v/>
      </c>
      <c r="R234" s="119">
        <f>IF(OR(L234=87201,L234=87100,L234=87200,L234=87500),H234,0)</f>
        <v/>
      </c>
    </row>
    <row r="235" ht="15" customHeight="1">
      <c r="A235" s="267" t="n"/>
      <c r="B235" s="74" t="n"/>
      <c r="C235" s="74" t="n"/>
      <c r="D235" s="249" t="n"/>
      <c r="E235" s="74">
        <f>IF(N235&gt;1,"+",0)</f>
        <v/>
      </c>
      <c r="F235" s="75">
        <f>IF(E235&gt;0,$H$4,0)</f>
        <v/>
      </c>
      <c r="G235" s="256" t="n"/>
      <c r="H235" s="123" t="n"/>
      <c r="I235" s="123" t="n"/>
      <c r="J235" s="123" t="n"/>
      <c r="K235" s="123" t="n"/>
      <c r="L235" s="64" t="n"/>
      <c r="M235" s="250">
        <f>IFERROR(VLOOKUP(L235,Tabellen!H:I,2),0)</f>
        <v/>
      </c>
      <c r="N235" s="121" t="n"/>
      <c r="O235" s="251" t="n"/>
      <c r="Q235" s="119">
        <f>IF(OR(L235=47201,L235=47100,L235=47200,L235=47500),H235,0)</f>
        <v/>
      </c>
      <c r="R235" s="119">
        <f>IF(OR(L235=87201,L235=87100,L235=87200,L235=87500),H235,0)</f>
        <v/>
      </c>
    </row>
    <row r="236" ht="15" customHeight="1">
      <c r="A236" s="267" t="n"/>
      <c r="B236" s="74" t="n"/>
      <c r="C236" s="74" t="n"/>
      <c r="D236" s="249" t="n"/>
      <c r="E236" s="74">
        <f>IF(N236&gt;1,"+",0)</f>
        <v/>
      </c>
      <c r="F236" s="75">
        <f>IF(E236&gt;0,$H$4,0)</f>
        <v/>
      </c>
      <c r="G236" s="256" t="n"/>
      <c r="H236" s="123" t="n"/>
      <c r="I236" s="123" t="n"/>
      <c r="J236" s="123" t="n"/>
      <c r="K236" s="123" t="n"/>
      <c r="L236" s="64" t="n"/>
      <c r="M236" s="250">
        <f>IFERROR(VLOOKUP(L236,Tabellen!H:I,2),0)</f>
        <v/>
      </c>
      <c r="N236" s="121" t="n"/>
      <c r="O236" s="251" t="n"/>
      <c r="Q236" s="119">
        <f>IF(OR(L236=47201,L236=47100,L236=47200,L236=47500),H236,0)</f>
        <v/>
      </c>
      <c r="R236" s="119">
        <f>IF(OR(L236=87201,L236=87100,L236=87200,L236=87500),H236,0)</f>
        <v/>
      </c>
    </row>
    <row r="237" ht="15" customHeight="1">
      <c r="A237" s="267" t="n"/>
      <c r="B237" s="74" t="n"/>
      <c r="C237" s="74" t="n"/>
      <c r="D237" s="249" t="n"/>
      <c r="E237" s="74">
        <f>IF(N237&gt;1,"+",0)</f>
        <v/>
      </c>
      <c r="F237" s="75">
        <f>IF(E237&gt;0,$H$4,0)</f>
        <v/>
      </c>
      <c r="G237" s="256" t="n"/>
      <c r="H237" s="123" t="n"/>
      <c r="I237" s="123" t="n"/>
      <c r="J237" s="123" t="n"/>
      <c r="K237" s="123" t="n"/>
      <c r="L237" s="64" t="n"/>
      <c r="M237" s="250">
        <f>IFERROR(VLOOKUP(L237,Tabellen!H:I,2),0)</f>
        <v/>
      </c>
      <c r="N237" s="121" t="n"/>
      <c r="O237" s="251" t="n"/>
      <c r="Q237" s="119">
        <f>IF(OR(L237=47201,L237=47100,L237=47200,L237=47500),H237,0)</f>
        <v/>
      </c>
      <c r="R237" s="119">
        <f>IF(OR(L237=87201,L237=87100,L237=87200,L237=87500),H237,0)</f>
        <v/>
      </c>
    </row>
    <row r="238" ht="15" customHeight="1">
      <c r="A238" s="267" t="n"/>
      <c r="B238" s="74" t="n"/>
      <c r="C238" s="74" t="n"/>
      <c r="D238" s="249" t="n"/>
      <c r="E238" s="74">
        <f>IF(N238&gt;1,"+",0)</f>
        <v/>
      </c>
      <c r="F238" s="75">
        <f>IF(E238&gt;0,$H$4,0)</f>
        <v/>
      </c>
      <c r="G238" s="256" t="n"/>
      <c r="H238" s="123" t="n"/>
      <c r="I238" s="123" t="n"/>
      <c r="J238" s="123" t="n"/>
      <c r="K238" s="123" t="n"/>
      <c r="L238" s="64" t="n"/>
      <c r="M238" s="250">
        <f>IFERROR(VLOOKUP(L238,Tabellen!H:I,2),0)</f>
        <v/>
      </c>
      <c r="N238" s="121" t="n"/>
      <c r="O238" s="251" t="n"/>
      <c r="Q238" s="119">
        <f>IF(OR(L238=47201,L238=47100,L238=47200,L238=47500),H238,0)</f>
        <v/>
      </c>
      <c r="R238" s="119">
        <f>IF(OR(L238=87201,L238=87100,L238=87200,L238=87500),H238,0)</f>
        <v/>
      </c>
    </row>
    <row r="239" ht="15" customHeight="1">
      <c r="A239" s="267" t="n"/>
      <c r="B239" s="74" t="n"/>
      <c r="C239" s="74" t="n"/>
      <c r="D239" s="249" t="n"/>
      <c r="E239" s="74">
        <f>IF(N239&gt;1,"+",0)</f>
        <v/>
      </c>
      <c r="F239" s="75">
        <f>IF(E239&gt;0,$H$4,0)</f>
        <v/>
      </c>
      <c r="G239" s="256" t="n"/>
      <c r="H239" s="123" t="n"/>
      <c r="I239" s="123" t="n"/>
      <c r="J239" s="123" t="n"/>
      <c r="K239" s="123" t="n"/>
      <c r="L239" s="64" t="n"/>
      <c r="M239" s="250">
        <f>IFERROR(VLOOKUP(L239,Tabellen!H:I,2),0)</f>
        <v/>
      </c>
      <c r="N239" s="121" t="n"/>
      <c r="O239" s="251" t="n"/>
      <c r="Q239" s="119">
        <f>IF(OR(L239=47201,L239=47100,L239=47200,L239=47500),H239,0)</f>
        <v/>
      </c>
      <c r="R239" s="119">
        <f>IF(OR(L239=87201,L239=87100,L239=87200,L239=87500),H239,0)</f>
        <v/>
      </c>
    </row>
    <row r="240" ht="15" customHeight="1">
      <c r="A240" s="267" t="n"/>
      <c r="B240" s="74" t="n"/>
      <c r="C240" s="74" t="n"/>
      <c r="D240" s="249" t="n"/>
      <c r="E240" s="74">
        <f>IF(N240&gt;1,"+",0)</f>
        <v/>
      </c>
      <c r="F240" s="75">
        <f>IF(E240&gt;0,$H$4,0)</f>
        <v/>
      </c>
      <c r="G240" s="256" t="n"/>
      <c r="H240" s="123" t="n"/>
      <c r="I240" s="123" t="n"/>
      <c r="J240" s="123" t="n"/>
      <c r="K240" s="123" t="n"/>
      <c r="L240" s="64" t="n"/>
      <c r="M240" s="250">
        <f>IFERROR(VLOOKUP(L240,Tabellen!H:I,2),0)</f>
        <v/>
      </c>
      <c r="N240" s="121" t="n"/>
      <c r="O240" s="251" t="n"/>
      <c r="Q240" s="119">
        <f>IF(OR(L240=47201,L240=47100,L240=47200,L240=47500),H240,0)</f>
        <v/>
      </c>
      <c r="R240" s="119">
        <f>IF(OR(L240=87201,L240=87100,L240=87200,L240=87500),H240,0)</f>
        <v/>
      </c>
    </row>
    <row r="241" ht="15" customHeight="1">
      <c r="A241" s="267" t="n"/>
      <c r="B241" s="74" t="n"/>
      <c r="C241" s="74" t="n"/>
      <c r="D241" s="249" t="n"/>
      <c r="E241" s="74">
        <f>IF(N241&gt;1,"+",0)</f>
        <v/>
      </c>
      <c r="F241" s="75">
        <f>IF(E241&gt;0,$H$4,0)</f>
        <v/>
      </c>
      <c r="G241" s="256" t="n"/>
      <c r="H241" s="123" t="n"/>
      <c r="I241" s="123" t="n"/>
      <c r="J241" s="123" t="n"/>
      <c r="K241" s="123" t="n"/>
      <c r="L241" s="64" t="n"/>
      <c r="M241" s="250">
        <f>IFERROR(VLOOKUP(L241,Tabellen!H:I,2),0)</f>
        <v/>
      </c>
      <c r="N241" s="121" t="n"/>
      <c r="O241" s="251" t="n"/>
      <c r="Q241" s="119">
        <f>IF(OR(L241=47201,L241=47100,L241=47200,L241=47500),H241,0)</f>
        <v/>
      </c>
      <c r="R241" s="119">
        <f>IF(OR(L241=87201,L241=87100,L241=87200,L241=87500),H241,0)</f>
        <v/>
      </c>
    </row>
    <row r="242" ht="15" customHeight="1">
      <c r="A242" s="267" t="n"/>
      <c r="B242" s="74" t="n"/>
      <c r="C242" s="74" t="n"/>
      <c r="D242" s="249" t="n"/>
      <c r="E242" s="74">
        <f>IF(N242&gt;1,"+",0)</f>
        <v/>
      </c>
      <c r="F242" s="75">
        <f>IF(E242&gt;0,$H$4,0)</f>
        <v/>
      </c>
      <c r="G242" s="256" t="n"/>
      <c r="H242" s="123" t="n"/>
      <c r="I242" s="123" t="n"/>
      <c r="J242" s="123" t="n"/>
      <c r="K242" s="123" t="n"/>
      <c r="L242" s="64" t="n"/>
      <c r="M242" s="250">
        <f>IFERROR(VLOOKUP(L242,Tabellen!H:I,2),0)</f>
        <v/>
      </c>
      <c r="N242" s="121" t="n"/>
      <c r="O242" s="251" t="n"/>
      <c r="Q242" s="119">
        <f>IF(OR(L242=47201,L242=47100,L242=47200,L242=47500),H242,0)</f>
        <v/>
      </c>
      <c r="R242" s="119">
        <f>IF(OR(L242=87201,L242=87100,L242=87200,L242=87500),H242,0)</f>
        <v/>
      </c>
    </row>
    <row r="243" ht="15" customHeight="1">
      <c r="A243" s="267" t="n"/>
      <c r="B243" s="74" t="n"/>
      <c r="C243" s="74" t="n"/>
      <c r="D243" s="249" t="n"/>
      <c r="E243" s="74">
        <f>IF(N243&gt;1,"+",0)</f>
        <v/>
      </c>
      <c r="F243" s="75">
        <f>IF(E243&gt;0,$H$4,0)</f>
        <v/>
      </c>
      <c r="G243" s="256" t="n"/>
      <c r="H243" s="123" t="n"/>
      <c r="I243" s="123" t="n"/>
      <c r="J243" s="123" t="n"/>
      <c r="K243" s="123" t="n"/>
      <c r="L243" s="64" t="n"/>
      <c r="M243" s="250">
        <f>IFERROR(VLOOKUP(L243,Tabellen!H:I,2),0)</f>
        <v/>
      </c>
      <c r="N243" s="121" t="n"/>
      <c r="O243" s="251" t="n"/>
      <c r="Q243" s="119">
        <f>IF(OR(L243=47201,L243=47100,L243=47200,L243=47500),H243,0)</f>
        <v/>
      </c>
      <c r="R243" s="119">
        <f>IF(OR(L243=87201,L243=87100,L243=87200,L243=87500),H243,0)</f>
        <v/>
      </c>
    </row>
    <row r="244" ht="15" customHeight="1">
      <c r="A244" s="267" t="n"/>
      <c r="B244" s="74" t="n"/>
      <c r="C244" s="74" t="n"/>
      <c r="D244" s="249" t="n"/>
      <c r="E244" s="74">
        <f>IF(N244&gt;1,"+",0)</f>
        <v/>
      </c>
      <c r="F244" s="75">
        <f>IF(E244&gt;0,$H$4,0)</f>
        <v/>
      </c>
      <c r="G244" s="256" t="n"/>
      <c r="H244" s="123" t="n"/>
      <c r="I244" s="123" t="n"/>
      <c r="J244" s="123" t="n"/>
      <c r="K244" s="123" t="n"/>
      <c r="L244" s="64" t="n"/>
      <c r="M244" s="250">
        <f>IFERROR(VLOOKUP(L244,Tabellen!H:I,2),0)</f>
        <v/>
      </c>
      <c r="N244" s="121" t="n"/>
      <c r="O244" s="251" t="n"/>
      <c r="Q244" s="119">
        <f>IF(OR(L244=47201,L244=47100,L244=47200,L244=47500),H244,0)</f>
        <v/>
      </c>
      <c r="R244" s="119">
        <f>IF(OR(L244=87201,L244=87100,L244=87200,L244=87500),H244,0)</f>
        <v/>
      </c>
    </row>
    <row r="245" ht="15" customHeight="1">
      <c r="A245" s="267" t="n"/>
      <c r="B245" s="74" t="n"/>
      <c r="C245" s="74" t="n"/>
      <c r="D245" s="249" t="n"/>
      <c r="E245" s="74">
        <f>IF(N245&gt;1,"+",0)</f>
        <v/>
      </c>
      <c r="F245" s="75">
        <f>IF(E245&gt;0,$H$4,0)</f>
        <v/>
      </c>
      <c r="G245" s="256" t="n"/>
      <c r="H245" s="123" t="n"/>
      <c r="I245" s="123" t="n"/>
      <c r="J245" s="123" t="n"/>
      <c r="K245" s="123" t="n"/>
      <c r="L245" s="64" t="n"/>
      <c r="M245" s="250">
        <f>IFERROR(VLOOKUP(L245,Tabellen!H:I,2),0)</f>
        <v/>
      </c>
      <c r="N245" s="121" t="n"/>
      <c r="O245" s="251" t="n"/>
      <c r="Q245" s="119">
        <f>IF(OR(L245=47201,L245=47100,L245=47200,L245=47500),H245,0)</f>
        <v/>
      </c>
      <c r="R245" s="119">
        <f>IF(OR(L245=87201,L245=87100,L245=87200,L245=87500),H245,0)</f>
        <v/>
      </c>
    </row>
    <row r="246" ht="15" customHeight="1">
      <c r="A246" s="267" t="n"/>
      <c r="B246" s="74" t="n"/>
      <c r="C246" s="74" t="n"/>
      <c r="D246" s="249" t="n"/>
      <c r="E246" s="74">
        <f>IF(N246&gt;1,"+",0)</f>
        <v/>
      </c>
      <c r="F246" s="75">
        <f>IF(E246&gt;0,$H$4,0)</f>
        <v/>
      </c>
      <c r="G246" s="256" t="n"/>
      <c r="H246" s="123" t="n"/>
      <c r="I246" s="123" t="n"/>
      <c r="J246" s="123" t="n"/>
      <c r="K246" s="123" t="n"/>
      <c r="L246" s="64" t="n"/>
      <c r="M246" s="250">
        <f>IFERROR(VLOOKUP(L246,Tabellen!H:I,2),0)</f>
        <v/>
      </c>
      <c r="N246" s="121" t="n"/>
      <c r="O246" s="251" t="n"/>
      <c r="Q246" s="119">
        <f>IF(OR(L246=47201,L246=47100,L246=47200,L246=47500),H246,0)</f>
        <v/>
      </c>
      <c r="R246" s="119">
        <f>IF(OR(L246=87201,L246=87100,L246=87200,L246=87500),H246,0)</f>
        <v/>
      </c>
    </row>
    <row r="247" ht="15" customHeight="1">
      <c r="A247" s="267" t="n"/>
      <c r="B247" s="74" t="n"/>
      <c r="C247" s="74" t="n"/>
      <c r="D247" s="249" t="n"/>
      <c r="E247" s="74">
        <f>IF(N247&gt;1,"+",0)</f>
        <v/>
      </c>
      <c r="F247" s="75">
        <f>IF(E247&gt;0,$H$4,0)</f>
        <v/>
      </c>
      <c r="G247" s="256" t="n"/>
      <c r="H247" s="123" t="n"/>
      <c r="I247" s="123" t="n"/>
      <c r="J247" s="123" t="n"/>
      <c r="K247" s="123" t="n"/>
      <c r="L247" s="64" t="n"/>
      <c r="M247" s="250">
        <f>IFERROR(VLOOKUP(L247,Tabellen!H:I,2),0)</f>
        <v/>
      </c>
      <c r="N247" s="121" t="n"/>
      <c r="O247" s="251" t="n"/>
      <c r="Q247" s="119">
        <f>IF(OR(L247=47201,L247=47100,L247=47200,L247=47500),H247,0)</f>
        <v/>
      </c>
      <c r="R247" s="119">
        <f>IF(OR(L247=87201,L247=87100,L247=87200,L247=87500),H247,0)</f>
        <v/>
      </c>
    </row>
    <row r="248" ht="15" customHeight="1">
      <c r="A248" s="267" t="n"/>
      <c r="B248" s="74" t="n"/>
      <c r="C248" s="74" t="n"/>
      <c r="D248" s="249" t="n"/>
      <c r="E248" s="74">
        <f>IF(N248&gt;1,"+",0)</f>
        <v/>
      </c>
      <c r="F248" s="75">
        <f>IF(E248&gt;0,$H$4,0)</f>
        <v/>
      </c>
      <c r="G248" s="256" t="n"/>
      <c r="H248" s="123" t="n"/>
      <c r="I248" s="123" t="n"/>
      <c r="J248" s="123" t="n"/>
      <c r="K248" s="123" t="n"/>
      <c r="L248" s="64" t="n"/>
      <c r="M248" s="250">
        <f>IFERROR(VLOOKUP(L248,Tabellen!H:I,2),0)</f>
        <v/>
      </c>
      <c r="N248" s="121" t="n"/>
      <c r="O248" s="251" t="n"/>
      <c r="Q248" s="119">
        <f>IF(OR(L248=47201,L248=47100,L248=47200,L248=47500),H248,0)</f>
        <v/>
      </c>
      <c r="R248" s="119">
        <f>IF(OR(L248=87201,L248=87100,L248=87200,L248=87500),H248,0)</f>
        <v/>
      </c>
    </row>
    <row r="249" ht="15" customHeight="1">
      <c r="A249" s="267" t="n"/>
      <c r="B249" s="74" t="n"/>
      <c r="C249" s="74" t="n"/>
      <c r="D249" s="249" t="n"/>
      <c r="E249" s="74">
        <f>IF(N249&gt;1,"+",0)</f>
        <v/>
      </c>
      <c r="F249" s="75">
        <f>IF(E249&gt;0,$H$4,0)</f>
        <v/>
      </c>
      <c r="G249" s="256" t="n"/>
      <c r="H249" s="123" t="n"/>
      <c r="I249" s="123" t="n"/>
      <c r="J249" s="123" t="n"/>
      <c r="K249" s="123" t="n"/>
      <c r="L249" s="64" t="n"/>
      <c r="M249" s="250">
        <f>IFERROR(VLOOKUP(L249,Tabellen!H:I,2),0)</f>
        <v/>
      </c>
      <c r="N249" s="121" t="n"/>
      <c r="O249" s="251" t="n"/>
      <c r="Q249" s="119">
        <f>IF(OR(L249=47201,L249=47100,L249=47200,L249=47500),H249,0)</f>
        <v/>
      </c>
      <c r="R249" s="119">
        <f>IF(OR(L249=87201,L249=87100,L249=87200,L249=87500),H249,0)</f>
        <v/>
      </c>
    </row>
    <row r="250" ht="15" customHeight="1">
      <c r="A250" s="267" t="n"/>
      <c r="B250" s="74" t="n"/>
      <c r="C250" s="74" t="n"/>
      <c r="D250" s="249" t="n"/>
      <c r="E250" s="74">
        <f>IF(N250&gt;1,"+",0)</f>
        <v/>
      </c>
      <c r="F250" s="75">
        <f>IF(E250&gt;0,$H$4,0)</f>
        <v/>
      </c>
      <c r="G250" s="256" t="n"/>
      <c r="H250" s="123" t="n"/>
      <c r="I250" s="123" t="n"/>
      <c r="J250" s="123" t="n"/>
      <c r="K250" s="123" t="n"/>
      <c r="L250" s="64" t="n"/>
      <c r="M250" s="250">
        <f>IFERROR(VLOOKUP(L250,Tabellen!H:I,2),0)</f>
        <v/>
      </c>
      <c r="N250" s="121" t="n"/>
      <c r="O250" s="251" t="n"/>
      <c r="Q250" s="119">
        <f>IF(OR(L250=47201,L250=47100,L250=47200,L250=47500),H250,0)</f>
        <v/>
      </c>
      <c r="R250" s="119">
        <f>IF(OR(L250=87201,L250=87100,L250=87200,L250=87500),H250,0)</f>
        <v/>
      </c>
    </row>
    <row r="251" ht="15" customHeight="1">
      <c r="A251" s="267" t="n"/>
      <c r="B251" s="74" t="n"/>
      <c r="C251" s="74" t="n"/>
      <c r="D251" s="249" t="n"/>
      <c r="E251" s="74">
        <f>IF(N251&gt;1,"+",0)</f>
        <v/>
      </c>
      <c r="F251" s="75">
        <f>IF(E251&gt;0,$H$4,0)</f>
        <v/>
      </c>
      <c r="G251" s="256" t="n"/>
      <c r="H251" s="123" t="n"/>
      <c r="I251" s="123" t="n"/>
      <c r="J251" s="123" t="n"/>
      <c r="K251" s="123" t="n"/>
      <c r="L251" s="64" t="n"/>
      <c r="M251" s="250">
        <f>IFERROR(VLOOKUP(L251,Tabellen!H:I,2),0)</f>
        <v/>
      </c>
      <c r="N251" s="121" t="n"/>
      <c r="O251" s="251" t="n"/>
      <c r="Q251" s="119">
        <f>IF(OR(L251=47201,L251=47100,L251=47200,L251=47500),H251,0)</f>
        <v/>
      </c>
      <c r="R251" s="119">
        <f>IF(OR(L251=87201,L251=87100,L251=87200,L251=87500),H251,0)</f>
        <v/>
      </c>
    </row>
    <row r="252" ht="15" customHeight="1">
      <c r="A252" s="267" t="n"/>
      <c r="B252" s="74" t="n"/>
      <c r="C252" s="74" t="n"/>
      <c r="D252" s="249" t="n"/>
      <c r="E252" s="74">
        <f>IF(N252&gt;1,"+",0)</f>
        <v/>
      </c>
      <c r="F252" s="75">
        <f>IF(E252&gt;0,$H$4,0)</f>
        <v/>
      </c>
      <c r="G252" s="256" t="n"/>
      <c r="H252" s="123" t="n"/>
      <c r="I252" s="123" t="n"/>
      <c r="J252" s="123" t="n"/>
      <c r="K252" s="123" t="n"/>
      <c r="L252" s="64" t="n"/>
      <c r="M252" s="250">
        <f>IFERROR(VLOOKUP(L252,Tabellen!H:I,2),0)</f>
        <v/>
      </c>
      <c r="N252" s="121" t="n"/>
      <c r="O252" s="251" t="n"/>
      <c r="Q252" s="119">
        <f>IF(OR(L252=47201,L252=47100,L252=47200,L252=47500),H252,0)</f>
        <v/>
      </c>
      <c r="R252" s="119">
        <f>IF(OR(L252=87201,L252=87100,L252=87200,L252=87500),H252,0)</f>
        <v/>
      </c>
    </row>
    <row r="253" ht="15" customHeight="1">
      <c r="A253" s="267" t="n"/>
      <c r="B253" s="74" t="n"/>
      <c r="C253" s="74" t="n"/>
      <c r="D253" s="249" t="n"/>
      <c r="E253" s="74">
        <f>IF(N253&gt;1,"+",0)</f>
        <v/>
      </c>
      <c r="F253" s="75">
        <f>IF(E253&gt;0,$H$4,0)</f>
        <v/>
      </c>
      <c r="G253" s="256" t="n"/>
      <c r="H253" s="123" t="n"/>
      <c r="I253" s="123" t="n"/>
      <c r="J253" s="123" t="n"/>
      <c r="K253" s="123" t="n"/>
      <c r="L253" s="64" t="n"/>
      <c r="M253" s="250">
        <f>IFERROR(VLOOKUP(L253,Tabellen!H:I,2),0)</f>
        <v/>
      </c>
      <c r="N253" s="121" t="n"/>
      <c r="O253" s="251" t="n"/>
      <c r="Q253" s="119">
        <f>IF(OR(L253=47201,L253=47100,L253=47200,L253=47500),H253,0)</f>
        <v/>
      </c>
      <c r="R253" s="119">
        <f>IF(OR(L253=87201,L253=87100,L253=87200,L253=87500),H253,0)</f>
        <v/>
      </c>
    </row>
    <row r="254" ht="15" customHeight="1">
      <c r="A254" s="267" t="n"/>
      <c r="B254" s="74" t="n"/>
      <c r="C254" s="74" t="n"/>
      <c r="D254" s="249" t="n"/>
      <c r="E254" s="74">
        <f>IF(N254&gt;1,"+",0)</f>
        <v/>
      </c>
      <c r="F254" s="75">
        <f>IF(E254&gt;0,$H$4,0)</f>
        <v/>
      </c>
      <c r="G254" s="256" t="n"/>
      <c r="H254" s="123" t="n"/>
      <c r="I254" s="123" t="n"/>
      <c r="J254" s="123" t="n"/>
      <c r="K254" s="123" t="n"/>
      <c r="L254" s="64" t="n"/>
      <c r="M254" s="250">
        <f>IFERROR(VLOOKUP(L254,Tabellen!H:I,2),0)</f>
        <v/>
      </c>
      <c r="N254" s="121" t="n"/>
      <c r="O254" s="251" t="n"/>
      <c r="Q254" s="119">
        <f>IF(OR(L254=47201,L254=47100,L254=47200,L254=47500),H254,0)</f>
        <v/>
      </c>
      <c r="R254" s="119">
        <f>IF(OR(L254=87201,L254=87100,L254=87200,L254=87500),H254,0)</f>
        <v/>
      </c>
    </row>
    <row r="255" ht="15" customHeight="1">
      <c r="A255" s="267" t="n"/>
      <c r="B255" s="74" t="n"/>
      <c r="C255" s="74" t="n"/>
      <c r="D255" s="249" t="n"/>
      <c r="E255" s="74">
        <f>IF(N255&gt;1,"+",0)</f>
        <v/>
      </c>
      <c r="F255" s="75">
        <f>IF(E255&gt;0,$H$4,0)</f>
        <v/>
      </c>
      <c r="G255" s="256" t="n"/>
      <c r="H255" s="123" t="n"/>
      <c r="I255" s="123" t="n"/>
      <c r="J255" s="123" t="n"/>
      <c r="K255" s="123" t="n"/>
      <c r="L255" s="64" t="n"/>
      <c r="M255" s="250">
        <f>IFERROR(VLOOKUP(L255,Tabellen!H:I,2),0)</f>
        <v/>
      </c>
      <c r="N255" s="121" t="n"/>
      <c r="O255" s="251" t="n"/>
      <c r="Q255" s="119">
        <f>IF(OR(L255=47201,L255=47100,L255=47200,L255=47500),H255,0)</f>
        <v/>
      </c>
      <c r="R255" s="119">
        <f>IF(OR(L255=87201,L255=87100,L255=87200,L255=87500),H255,0)</f>
        <v/>
      </c>
    </row>
    <row r="256" ht="15" customHeight="1">
      <c r="A256" s="267" t="n"/>
      <c r="B256" s="74" t="n"/>
      <c r="C256" s="74" t="n"/>
      <c r="D256" s="249" t="n"/>
      <c r="E256" s="74">
        <f>IF(N256&gt;1,"+",0)</f>
        <v/>
      </c>
      <c r="F256" s="75">
        <f>IF(E256&gt;0,$H$4,0)</f>
        <v/>
      </c>
      <c r="G256" s="256" t="n"/>
      <c r="H256" s="123" t="n"/>
      <c r="I256" s="123" t="n"/>
      <c r="J256" s="123" t="n"/>
      <c r="K256" s="123" t="n"/>
      <c r="L256" s="64" t="n"/>
      <c r="M256" s="250">
        <f>IFERROR(VLOOKUP(L256,Tabellen!H:I,2),0)</f>
        <v/>
      </c>
      <c r="N256" s="121" t="n"/>
      <c r="O256" s="251" t="n"/>
      <c r="Q256" s="119">
        <f>IF(OR(L256=47201,L256=47100,L256=47200,L256=47500),H256,0)</f>
        <v/>
      </c>
      <c r="R256" s="119">
        <f>IF(OR(L256=87201,L256=87100,L256=87200,L256=87500),H256,0)</f>
        <v/>
      </c>
    </row>
    <row r="257" ht="15" customHeight="1">
      <c r="A257" s="267" t="n"/>
      <c r="B257" s="74" t="n"/>
      <c r="C257" s="74" t="n"/>
      <c r="D257" s="249" t="n"/>
      <c r="E257" s="74">
        <f>IF(N257&gt;1,"+",0)</f>
        <v/>
      </c>
      <c r="F257" s="75">
        <f>IF(E257&gt;0,$H$4,0)</f>
        <v/>
      </c>
      <c r="G257" s="256" t="n"/>
      <c r="H257" s="123" t="n"/>
      <c r="I257" s="123" t="n"/>
      <c r="J257" s="123" t="n"/>
      <c r="K257" s="123" t="n"/>
      <c r="L257" s="64" t="n"/>
      <c r="M257" s="250">
        <f>IFERROR(VLOOKUP(L257,Tabellen!H:I,2),0)</f>
        <v/>
      </c>
      <c r="N257" s="121" t="n"/>
      <c r="O257" s="251" t="n"/>
      <c r="Q257" s="119">
        <f>IF(OR(L257=47201,L257=47100,L257=47200,L257=47500),H257,0)</f>
        <v/>
      </c>
      <c r="R257" s="119">
        <f>IF(OR(L257=87201,L257=87100,L257=87200,L257=87500),H257,0)</f>
        <v/>
      </c>
    </row>
    <row r="258" ht="15" customHeight="1">
      <c r="A258" s="267" t="n"/>
      <c r="B258" s="74" t="n"/>
      <c r="C258" s="74" t="n"/>
      <c r="D258" s="249" t="n"/>
      <c r="E258" s="74">
        <f>IF(N258&gt;1,"+",0)</f>
        <v/>
      </c>
      <c r="F258" s="75">
        <f>IF(E258&gt;0,$H$4,0)</f>
        <v/>
      </c>
      <c r="G258" s="256" t="n"/>
      <c r="H258" s="123" t="n"/>
      <c r="I258" s="123" t="n"/>
      <c r="J258" s="123" t="n"/>
      <c r="K258" s="123" t="n"/>
      <c r="L258" s="64" t="n"/>
      <c r="M258" s="250">
        <f>IFERROR(VLOOKUP(L258,Tabellen!H:I,2),0)</f>
        <v/>
      </c>
      <c r="N258" s="121" t="n"/>
      <c r="O258" s="251" t="n"/>
      <c r="Q258" s="119">
        <f>IF(OR(L258=47201,L258=47100,L258=47200,L258=47500),H258,0)</f>
        <v/>
      </c>
      <c r="R258" s="119">
        <f>IF(OR(L258=87201,L258=87100,L258=87200,L258=87500),H258,0)</f>
        <v/>
      </c>
    </row>
    <row r="259" ht="15" customHeight="1">
      <c r="A259" s="267" t="n"/>
      <c r="B259" s="74" t="n"/>
      <c r="C259" s="74" t="n"/>
      <c r="D259" s="249" t="n"/>
      <c r="E259" s="74">
        <f>IF(N259&gt;1,"+",0)</f>
        <v/>
      </c>
      <c r="F259" s="75">
        <f>IF(E259&gt;0,$H$4,0)</f>
        <v/>
      </c>
      <c r="G259" s="256" t="n"/>
      <c r="H259" s="123" t="n"/>
      <c r="I259" s="123" t="n"/>
      <c r="J259" s="123" t="n"/>
      <c r="K259" s="123" t="n"/>
      <c r="L259" s="64" t="n"/>
      <c r="M259" s="250">
        <f>IFERROR(VLOOKUP(L259,Tabellen!H:I,2),0)</f>
        <v/>
      </c>
      <c r="N259" s="121" t="n"/>
      <c r="O259" s="251" t="n"/>
      <c r="Q259" s="119">
        <f>IF(OR(L259=47201,L259=47100,L259=47200,L259=47500),H259,0)</f>
        <v/>
      </c>
      <c r="R259" s="119">
        <f>IF(OR(L259=87201,L259=87100,L259=87200,L259=87500),H259,0)</f>
        <v/>
      </c>
    </row>
    <row r="260" ht="15" customHeight="1">
      <c r="A260" s="267" t="n"/>
      <c r="B260" s="74" t="n"/>
      <c r="C260" s="74" t="n"/>
      <c r="D260" s="249" t="n"/>
      <c r="E260" s="74">
        <f>IF(N260&gt;1,"+",0)</f>
        <v/>
      </c>
      <c r="F260" s="75">
        <f>IF(E260&gt;0,$H$4,0)</f>
        <v/>
      </c>
      <c r="G260" s="256" t="n"/>
      <c r="H260" s="123" t="n"/>
      <c r="I260" s="123" t="n"/>
      <c r="J260" s="123" t="n"/>
      <c r="K260" s="123" t="n"/>
      <c r="L260" s="64" t="n"/>
      <c r="M260" s="250">
        <f>IFERROR(VLOOKUP(L260,Tabellen!H:I,2),0)</f>
        <v/>
      </c>
      <c r="N260" s="121" t="n"/>
      <c r="O260" s="251" t="n"/>
      <c r="Q260" s="119">
        <f>IF(OR(L260=47201,L260=47100,L260=47200,L260=47500),H260,0)</f>
        <v/>
      </c>
      <c r="R260" s="119">
        <f>IF(OR(L260=87201,L260=87100,L260=87200,L260=87500),H260,0)</f>
        <v/>
      </c>
    </row>
    <row r="261" ht="15" customHeight="1">
      <c r="A261" s="267" t="n"/>
      <c r="B261" s="74" t="n"/>
      <c r="C261" s="74" t="n"/>
      <c r="D261" s="249" t="n"/>
      <c r="E261" s="74">
        <f>IF(N261&gt;1,"+",0)</f>
        <v/>
      </c>
      <c r="F261" s="75">
        <f>IF(E261&gt;0,$H$4,0)</f>
        <v/>
      </c>
      <c r="G261" s="256" t="n"/>
      <c r="H261" s="123" t="n"/>
      <c r="I261" s="123" t="n"/>
      <c r="J261" s="123" t="n"/>
      <c r="K261" s="123" t="n"/>
      <c r="L261" s="64" t="n"/>
      <c r="M261" s="250">
        <f>IFERROR(VLOOKUP(L261,Tabellen!H:I,2),0)</f>
        <v/>
      </c>
      <c r="N261" s="121" t="n"/>
      <c r="O261" s="251" t="n"/>
      <c r="Q261" s="119">
        <f>IF(OR(L261=47201,L261=47100,L261=47200,L261=47500),H261,0)</f>
        <v/>
      </c>
      <c r="R261" s="119">
        <f>IF(OR(L261=87201,L261=87100,L261=87200,L261=87500),H261,0)</f>
        <v/>
      </c>
    </row>
    <row r="262" ht="15" customHeight="1">
      <c r="A262" s="267" t="n"/>
      <c r="B262" s="74" t="n"/>
      <c r="C262" s="74" t="n"/>
      <c r="D262" s="249" t="n"/>
      <c r="E262" s="74">
        <f>IF(N262&gt;1,"+",0)</f>
        <v/>
      </c>
      <c r="F262" s="75">
        <f>IF(E262&gt;0,$H$4,0)</f>
        <v/>
      </c>
      <c r="G262" s="256" t="n"/>
      <c r="H262" s="123" t="n"/>
      <c r="I262" s="123" t="n"/>
      <c r="J262" s="123" t="n"/>
      <c r="K262" s="123" t="n"/>
      <c r="L262" s="64" t="n"/>
      <c r="M262" s="250">
        <f>IFERROR(VLOOKUP(L262,Tabellen!H:I,2),0)</f>
        <v/>
      </c>
      <c r="N262" s="121" t="n"/>
      <c r="O262" s="251" t="n"/>
      <c r="Q262" s="119">
        <f>IF(OR(L262=47201,L262=47100,L262=47200,L262=47500),H262,0)</f>
        <v/>
      </c>
      <c r="R262" s="119">
        <f>IF(OR(L262=87201,L262=87100,L262=87200,L262=87500),H262,0)</f>
        <v/>
      </c>
    </row>
    <row r="263" ht="15" customHeight="1">
      <c r="A263" s="267" t="n"/>
      <c r="B263" s="74" t="n"/>
      <c r="C263" s="74" t="n"/>
      <c r="D263" s="249" t="n"/>
      <c r="E263" s="74">
        <f>IF(N263&gt;1,"+",0)</f>
        <v/>
      </c>
      <c r="F263" s="75">
        <f>IF(E263&gt;0,$H$4,0)</f>
        <v/>
      </c>
      <c r="G263" s="256" t="n"/>
      <c r="H263" s="123" t="n"/>
      <c r="I263" s="123" t="n"/>
      <c r="J263" s="123" t="n"/>
      <c r="K263" s="123" t="n"/>
      <c r="L263" s="64" t="n"/>
      <c r="M263" s="250">
        <f>IFERROR(VLOOKUP(L263,Tabellen!H:I,2),0)</f>
        <v/>
      </c>
      <c r="N263" s="121" t="n"/>
      <c r="O263" s="251" t="n"/>
      <c r="Q263" s="119">
        <f>IF(OR(L263=47201,L263=47100,L263=47200,L263=47500),H263,0)</f>
        <v/>
      </c>
      <c r="R263" s="119">
        <f>IF(OR(L263=87201,L263=87100,L263=87200,L263=87500),H263,0)</f>
        <v/>
      </c>
    </row>
    <row r="264" ht="15" customHeight="1">
      <c r="A264" s="267" t="n"/>
      <c r="B264" s="74" t="n"/>
      <c r="C264" s="74" t="n"/>
      <c r="D264" s="249" t="n"/>
      <c r="E264" s="74">
        <f>IF(N264&gt;1,"+",0)</f>
        <v/>
      </c>
      <c r="F264" s="75">
        <f>IF(E264&gt;0,$H$4,0)</f>
        <v/>
      </c>
      <c r="G264" s="256" t="n"/>
      <c r="H264" s="123" t="n"/>
      <c r="I264" s="123" t="n"/>
      <c r="J264" s="123" t="n"/>
      <c r="K264" s="123" t="n"/>
      <c r="L264" s="64" t="n"/>
      <c r="M264" s="250">
        <f>IFERROR(VLOOKUP(L264,Tabellen!H:I,2),0)</f>
        <v/>
      </c>
      <c r="N264" s="121" t="n"/>
      <c r="O264" s="251" t="n"/>
      <c r="Q264" s="119">
        <f>IF(OR(L264=47201,L264=47100,L264=47200,L264=47500),H264,0)</f>
        <v/>
      </c>
      <c r="R264" s="119">
        <f>IF(OR(L264=87201,L264=87100,L264=87200,L264=87500),H264,0)</f>
        <v/>
      </c>
    </row>
    <row r="265" ht="15" customHeight="1">
      <c r="A265" s="267" t="n"/>
      <c r="B265" s="74" t="n"/>
      <c r="C265" s="74" t="n"/>
      <c r="D265" s="249" t="n"/>
      <c r="E265" s="74">
        <f>IF(N265&gt;1,"+",0)</f>
        <v/>
      </c>
      <c r="F265" s="75">
        <f>IF(E265&gt;0,$H$4,0)</f>
        <v/>
      </c>
      <c r="G265" s="256" t="n"/>
      <c r="H265" s="123" t="n"/>
      <c r="I265" s="123" t="n"/>
      <c r="J265" s="123" t="n"/>
      <c r="K265" s="123" t="n"/>
      <c r="L265" s="64" t="n"/>
      <c r="M265" s="250">
        <f>IFERROR(VLOOKUP(L265,Tabellen!H:I,2),0)</f>
        <v/>
      </c>
      <c r="N265" s="121" t="n"/>
      <c r="O265" s="251" t="n"/>
      <c r="Q265" s="119">
        <f>IF(OR(L265=47201,L265=47100,L265=47200,L265=47500),H265,0)</f>
        <v/>
      </c>
      <c r="R265" s="119">
        <f>IF(OR(L265=87201,L265=87100,L265=87200,L265=87500),H265,0)</f>
        <v/>
      </c>
    </row>
    <row r="266" ht="15" customHeight="1">
      <c r="A266" s="267" t="n"/>
      <c r="B266" s="74" t="n"/>
      <c r="C266" s="74" t="n"/>
      <c r="D266" s="249" t="n"/>
      <c r="E266" s="74">
        <f>IF(N266&gt;1,"+",0)</f>
        <v/>
      </c>
      <c r="F266" s="75">
        <f>IF(E266&gt;0,$H$4,0)</f>
        <v/>
      </c>
      <c r="G266" s="256" t="n"/>
      <c r="H266" s="123" t="n"/>
      <c r="I266" s="123" t="n"/>
      <c r="J266" s="123" t="n"/>
      <c r="K266" s="123" t="n"/>
      <c r="L266" s="64" t="n"/>
      <c r="M266" s="250">
        <f>IFERROR(VLOOKUP(L266,Tabellen!H:I,2),0)</f>
        <v/>
      </c>
      <c r="N266" s="121" t="n"/>
      <c r="O266" s="251" t="n"/>
      <c r="Q266" s="119">
        <f>IF(OR(L266=47201,L266=47100,L266=47200,L266=47500),H266,0)</f>
        <v/>
      </c>
      <c r="R266" s="119">
        <f>IF(OR(L266=87201,L266=87100,L266=87200,L266=87500),H266,0)</f>
        <v/>
      </c>
    </row>
    <row r="267" ht="15" customHeight="1">
      <c r="A267" s="267" t="n"/>
      <c r="B267" s="74" t="n"/>
      <c r="C267" s="74" t="n"/>
      <c r="D267" s="249" t="n"/>
      <c r="E267" s="74">
        <f>IF(N267&gt;1,"+",0)</f>
        <v/>
      </c>
      <c r="F267" s="75">
        <f>IF(E267&gt;0,$H$4,0)</f>
        <v/>
      </c>
      <c r="G267" s="256" t="n"/>
      <c r="H267" s="123" t="n"/>
      <c r="I267" s="123" t="n"/>
      <c r="J267" s="123" t="n"/>
      <c r="K267" s="123" t="n"/>
      <c r="L267" s="64" t="n"/>
      <c r="M267" s="250">
        <f>IFERROR(VLOOKUP(L267,Tabellen!H:I,2),0)</f>
        <v/>
      </c>
      <c r="N267" s="121" t="n"/>
      <c r="O267" s="251" t="n"/>
      <c r="Q267" s="119">
        <f>IF(OR(L267=47201,L267=47100,L267=47200,L267=47500),H267,0)</f>
        <v/>
      </c>
      <c r="R267" s="119">
        <f>IF(OR(L267=87201,L267=87100,L267=87200,L267=87500),H267,0)</f>
        <v/>
      </c>
    </row>
    <row r="268" ht="15" customHeight="1">
      <c r="A268" s="267" t="n"/>
      <c r="B268" s="74" t="n"/>
      <c r="C268" s="74" t="n"/>
      <c r="D268" s="249" t="n"/>
      <c r="E268" s="74">
        <f>IF(N268&gt;1,"+",0)</f>
        <v/>
      </c>
      <c r="F268" s="75">
        <f>IF(E268&gt;0,$H$4,0)</f>
        <v/>
      </c>
      <c r="G268" s="256" t="n"/>
      <c r="H268" s="123" t="n"/>
      <c r="I268" s="123" t="n"/>
      <c r="J268" s="123" t="n"/>
      <c r="K268" s="123" t="n"/>
      <c r="L268" s="64" t="n"/>
      <c r="M268" s="250">
        <f>IFERROR(VLOOKUP(L268,Tabellen!H:I,2),0)</f>
        <v/>
      </c>
      <c r="N268" s="121" t="n"/>
      <c r="O268" s="251" t="n"/>
      <c r="Q268" s="119">
        <f>IF(OR(L268=47201,L268=47100,L268=47200,L268=47500),H268,0)</f>
        <v/>
      </c>
      <c r="R268" s="119">
        <f>IF(OR(L268=87201,L268=87100,L268=87200,L268=87500),H268,0)</f>
        <v/>
      </c>
    </row>
    <row r="269" ht="15" customHeight="1">
      <c r="A269" s="267" t="n"/>
      <c r="B269" s="74" t="n"/>
      <c r="C269" s="74" t="n"/>
      <c r="D269" s="249" t="n"/>
      <c r="E269" s="74">
        <f>IF(N269&gt;1,"+",0)</f>
        <v/>
      </c>
      <c r="F269" s="75">
        <f>IF(E269&gt;0,$H$4,0)</f>
        <v/>
      </c>
      <c r="G269" s="256" t="n"/>
      <c r="H269" s="123" t="n"/>
      <c r="I269" s="123" t="n"/>
      <c r="J269" s="123" t="n"/>
      <c r="K269" s="123" t="n"/>
      <c r="L269" s="64" t="n"/>
      <c r="M269" s="250">
        <f>IFERROR(VLOOKUP(L269,Tabellen!H:I,2),0)</f>
        <v/>
      </c>
      <c r="N269" s="121" t="n"/>
      <c r="O269" s="251" t="n"/>
      <c r="Q269" s="119">
        <f>IF(OR(L269=47201,L269=47100,L269=47200,L269=47500),H269,0)</f>
        <v/>
      </c>
      <c r="R269" s="119">
        <f>IF(OR(L269=87201,L269=87100,L269=87200,L269=87500),H269,0)</f>
        <v/>
      </c>
    </row>
    <row r="270" ht="15" customHeight="1">
      <c r="A270" s="267" t="n"/>
      <c r="B270" s="74" t="n"/>
      <c r="C270" s="74" t="n"/>
      <c r="D270" s="249" t="n"/>
      <c r="E270" s="74">
        <f>IF(N270&gt;1,"+",0)</f>
        <v/>
      </c>
      <c r="F270" s="75">
        <f>IF(E270&gt;0,$H$4,0)</f>
        <v/>
      </c>
      <c r="G270" s="256" t="n"/>
      <c r="H270" s="123" t="n"/>
      <c r="I270" s="123" t="n"/>
      <c r="J270" s="123" t="n"/>
      <c r="K270" s="123" t="n"/>
      <c r="L270" s="64" t="n"/>
      <c r="M270" s="250">
        <f>IFERROR(VLOOKUP(L270,Tabellen!H:I,2),0)</f>
        <v/>
      </c>
      <c r="N270" s="121" t="n"/>
      <c r="O270" s="251" t="n"/>
      <c r="Q270" s="119">
        <f>IF(OR(L270=47201,L270=47100,L270=47200,L270=47500),H270,0)</f>
        <v/>
      </c>
      <c r="R270" s="119">
        <f>IF(OR(L270=87201,L270=87100,L270=87200,L270=87500),H270,0)</f>
        <v/>
      </c>
    </row>
    <row r="271" ht="15" customHeight="1">
      <c r="A271" s="267" t="n"/>
      <c r="B271" s="74" t="n"/>
      <c r="C271" s="74" t="n"/>
      <c r="D271" s="249" t="n"/>
      <c r="E271" s="74">
        <f>IF(N271&gt;1,"+",0)</f>
        <v/>
      </c>
      <c r="F271" s="75">
        <f>IF(E271&gt;0,$H$4,0)</f>
        <v/>
      </c>
      <c r="G271" s="256" t="n"/>
      <c r="H271" s="123" t="n"/>
      <c r="I271" s="123" t="n"/>
      <c r="J271" s="123" t="n"/>
      <c r="K271" s="123" t="n"/>
      <c r="L271" s="64" t="n"/>
      <c r="M271" s="250">
        <f>IFERROR(VLOOKUP(L271,Tabellen!H:I,2),0)</f>
        <v/>
      </c>
      <c r="N271" s="121" t="n"/>
      <c r="O271" s="251" t="n"/>
      <c r="Q271" s="119">
        <f>IF(OR(L271=47201,L271=47100,L271=47200,L271=47500),H271,0)</f>
        <v/>
      </c>
      <c r="R271" s="119">
        <f>IF(OR(L271=87201,L271=87100,L271=87200,L271=87500),H271,0)</f>
        <v/>
      </c>
    </row>
    <row r="272" ht="15" customHeight="1">
      <c r="A272" s="267" t="n"/>
      <c r="B272" s="74" t="n"/>
      <c r="C272" s="74" t="n"/>
      <c r="D272" s="249" t="n"/>
      <c r="E272" s="74">
        <f>IF(N272&gt;1,"+",0)</f>
        <v/>
      </c>
      <c r="F272" s="75">
        <f>IF(E272&gt;0,$H$4,0)</f>
        <v/>
      </c>
      <c r="G272" s="256" t="n"/>
      <c r="H272" s="124" t="n"/>
      <c r="I272" s="124" t="n"/>
      <c r="J272" s="124" t="n"/>
      <c r="K272" s="124" t="n"/>
      <c r="L272" s="64" t="n"/>
      <c r="M272" s="250">
        <f>IFERROR(VLOOKUP(L272,Tabellen!H:I,2),0)</f>
        <v/>
      </c>
      <c r="N272" s="121" t="n"/>
      <c r="O272" s="251" t="n"/>
      <c r="Q272" s="119">
        <f>IF(OR(L272=47201,L272=47100,L272=47200,L272=47500),H272,0)</f>
        <v/>
      </c>
      <c r="R272" s="119">
        <f>IF(OR(L272=87201,L272=87100,L272=87200,L272=87500),H272,0)</f>
        <v/>
      </c>
    </row>
    <row r="273" ht="15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IF(N273&gt;1,"+",0)</f>
        <v/>
      </c>
      <c r="F273" s="127" t="n"/>
      <c r="G273" s="253" t="n"/>
      <c r="H273" s="131">
        <f>SUM(H220:H272)</f>
        <v/>
      </c>
      <c r="I273" s="131">
        <f>SUM(I220:I272)</f>
        <v/>
      </c>
      <c r="J273" s="131">
        <f>SUM(J220:J272)</f>
        <v/>
      </c>
      <c r="K273" s="131">
        <f>SUM(K220:K272)</f>
        <v/>
      </c>
      <c r="L273" s="65" t="n"/>
      <c r="M273" s="254" t="n"/>
      <c r="N273" s="129" t="n"/>
      <c r="O273" s="255" t="n"/>
      <c r="Q273" s="119">
        <f>IF(OR(L273=47201,L273=47100,L273=47200,L273=47500),H273,0)</f>
        <v/>
      </c>
      <c r="R273" s="119">
        <f>IF(OR(L273=87201,L273=87100,L273=87200,L273=87500),H273,0)</f>
        <v/>
      </c>
    </row>
    <row r="274" ht="15" customHeight="1">
      <c r="A274" s="244" t="n"/>
      <c r="B274" s="71" t="n"/>
      <c r="C274" s="71" t="n"/>
      <c r="D274" s="244" t="n"/>
      <c r="E274" s="71">
        <f>IF(N274&gt;1,"+",0)</f>
        <v/>
      </c>
      <c r="F274" s="113" t="n"/>
      <c r="G274" s="245" t="n"/>
      <c r="H274" s="116" t="n"/>
      <c r="I274" s="116" t="n"/>
      <c r="J274" s="116" t="n"/>
      <c r="K274" s="116" t="n"/>
      <c r="L274" s="63" t="n"/>
      <c r="M274" s="246" t="n"/>
      <c r="N274" s="73" t="n"/>
      <c r="O274" s="247" t="n"/>
      <c r="Q274" s="119">
        <f>IF(OR(L274=47201,L274=47100,L274=47200,L274=47500),H274,0)</f>
        <v/>
      </c>
      <c r="R274" s="119">
        <f>IF(OR(L274=87201,L274=87100,L274=87200,L274=87500),H274,0)</f>
        <v/>
      </c>
    </row>
    <row r="275" ht="15" customHeight="1">
      <c r="A275" s="244" t="n"/>
      <c r="B275" s="71" t="n"/>
      <c r="C275" s="71" t="n"/>
      <c r="D275" s="244" t="n"/>
      <c r="E275" s="71">
        <f>IF(N275&gt;1,"+",0)</f>
        <v/>
      </c>
      <c r="F275" s="113" t="n"/>
      <c r="G275" s="245" t="n"/>
      <c r="H275" s="116" t="n"/>
      <c r="I275" s="116" t="n"/>
      <c r="J275" s="116" t="n"/>
      <c r="K275" s="116" t="n"/>
      <c r="L275" s="63" t="n"/>
      <c r="M275" s="246" t="n"/>
      <c r="N275" s="73" t="n"/>
      <c r="O275" s="247" t="n"/>
      <c r="Q275" s="119">
        <f>IF(OR(L275=47201,L275=47100,L275=47200,L275=47500),H275,0)</f>
        <v/>
      </c>
      <c r="R275" s="119">
        <f>IF(OR(L275=87201,L275=87100,L275=87200,L275=87500),H275,0)</f>
        <v/>
      </c>
    </row>
    <row r="276" ht="15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IF(N276&gt;1,"+",0)</f>
        <v/>
      </c>
      <c r="F276" s="75">
        <f>IF(E276&gt;0,$H$4,0)</f>
        <v/>
      </c>
      <c r="G276" s="269" t="inlineStr">
        <is>
          <t>Sluitrekening balans</t>
        </is>
      </c>
      <c r="H276" s="116" t="n"/>
      <c r="I276" s="116" t="n">
        <v>0</v>
      </c>
      <c r="J276" s="116" t="n">
        <v>0</v>
      </c>
      <c r="K276" s="116" t="n">
        <v>0</v>
      </c>
      <c r="L276" s="161" t="n">
        <v>86100</v>
      </c>
      <c r="M276" s="250">
        <f>IFERROR(VLOOKUP(L276,Tabellen!H:I,2),0)</f>
        <v/>
      </c>
      <c r="N276" s="42" t="n">
        <v>2999999</v>
      </c>
      <c r="O276" s="247" t="n"/>
      <c r="Q276" s="119">
        <f>IF(OR(L276=47201,L276=47100,L276=47200,L276=47500),H276,0)</f>
        <v/>
      </c>
      <c r="R276" s="119">
        <f>IF(OR(L276=87201,L276=87100,L276=87200,L276=87500),H276,0)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116" t="n"/>
      <c r="I277" s="116" t="n"/>
      <c r="J277" s="116" t="n"/>
      <c r="K277" s="116" t="n"/>
      <c r="L277" s="63" t="n"/>
      <c r="M277" s="246" t="n"/>
      <c r="N277" s="73" t="n"/>
      <c r="O277" s="247" t="n"/>
      <c r="Q277" s="119">
        <f>IF(OR(L277=47201,L277=47100,L277=47200,L277=47500),H277,0)</f>
        <v/>
      </c>
      <c r="R277" s="119">
        <f>IF(OR(L277=87201,L277=87100,L277=87200,L277=87500),H277,0)</f>
        <v/>
      </c>
    </row>
    <row r="278" ht="15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151">
        <f>H168+H217+H273+H276</f>
        <v/>
      </c>
      <c r="I278" s="151">
        <f>I168+I217+I273+I276</f>
        <v/>
      </c>
      <c r="J278" s="151">
        <f>J168+J217+J273+J276</f>
        <v/>
      </c>
      <c r="K278" s="151">
        <f>K168+K217+K273+K276</f>
        <v/>
      </c>
      <c r="L278" s="69" t="n"/>
      <c r="M278" s="272" t="n"/>
      <c r="N278" s="149" t="n"/>
      <c r="O278" s="273" t="n"/>
      <c r="Q278" s="119" t="inlineStr">
        <is>
          <t>Controle bugettair neutraal (=leeg)</t>
        </is>
      </c>
      <c r="R278" s="119">
        <f>SUM(Q18:R276)</f>
        <v/>
      </c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H279" s="87" t="n"/>
      <c r="I279" s="87" t="n"/>
      <c r="J279" s="87" t="n"/>
      <c r="K279" s="87" t="n"/>
      <c r="L279" s="87" t="n"/>
      <c r="M279" s="274" t="n"/>
      <c r="N279" s="83" t="n"/>
      <c r="O279" s="260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H280" s="87" t="n"/>
      <c r="I280" s="87" t="n"/>
      <c r="J280" s="87" t="n"/>
      <c r="K280" s="87" t="n"/>
      <c r="L280" s="87" t="n"/>
      <c r="M280" s="274" t="n"/>
      <c r="N280" s="83" t="n"/>
      <c r="O280" s="260" t="n"/>
    </row>
    <row r="281" ht="15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  <c r="M281" s="209" t="n"/>
      <c r="O281" s="209" t="n"/>
    </row>
    <row r="282" ht="15" customHeight="1">
      <c r="A282" s="275" t="n"/>
      <c r="B282" s="152" t="n"/>
      <c r="C282" s="157" t="n"/>
      <c r="D282" s="277" t="n"/>
      <c r="G282" s="209" t="n"/>
      <c r="H282" s="79" t="n">
        <v>0</v>
      </c>
      <c r="I282" s="209" t="n"/>
      <c r="K282" s="209" t="n"/>
      <c r="L282" s="79" t="n"/>
      <c r="M282" s="209" t="n"/>
      <c r="O282" s="209" t="n"/>
    </row>
    <row r="283" ht="15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  <c r="M283" s="209" t="n"/>
      <c r="O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  <c r="M284" s="209" t="n"/>
      <c r="O284" s="209" t="n"/>
    </row>
    <row r="285" ht="15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  <c r="M285" s="209" t="n"/>
      <c r="O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  <c r="M286" s="209" t="n"/>
      <c r="O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  <c r="M287" s="209" t="n"/>
      <c r="O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  <c r="M288" s="209" t="n"/>
      <c r="O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  <c r="M289" s="209" t="n"/>
      <c r="O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  <c r="M290" s="209" t="n"/>
      <c r="O290" s="209" t="n"/>
    </row>
    <row r="291" ht="15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  <c r="M291" s="209" t="n"/>
      <c r="O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D1E35"/>
    <outlinePr summaryBelow="1" summaryRight="1"/>
    <pageSetUpPr/>
  </sheetPr>
  <dimension ref="A1:I23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4" customHeight="1">
      <c r="A1" s="483" t="inlineStr">
        <is>
          <t>Totaaloverzicht begrotingswijziging</t>
        </is>
      </c>
    </row>
    <row r="2" ht="18" customHeight="1">
      <c r="A2" s="528">
        <f>'Invullen groen'!A4</f>
        <v/>
      </c>
      <c r="G2" s="529" t="inlineStr">
        <is>
          <t>Corsanr.:</t>
        </is>
      </c>
      <c r="H2" s="529" t="n"/>
      <c r="I2" s="529" t="n"/>
    </row>
    <row r="3" ht="6" customHeight="1">
      <c r="A3" s="464" t="n"/>
      <c r="B3" s="464" t="n"/>
      <c r="C3" s="464" t="n"/>
      <c r="D3" s="464" t="n"/>
      <c r="E3" s="464" t="n"/>
      <c r="F3" s="530" t="n"/>
      <c r="G3" s="530" t="n"/>
      <c r="H3" s="530" t="n"/>
      <c r="I3" s="530" t="n"/>
    </row>
    <row r="4" ht="18" customHeight="1">
      <c r="A4" s="531" t="inlineStr">
        <is>
          <t>Nr.</t>
        </is>
      </c>
      <c r="B4" s="532" t="inlineStr">
        <is>
          <t>Programma</t>
        </is>
      </c>
      <c r="C4" s="532" t="inlineStr">
        <is>
          <t>Taakveld</t>
        </is>
      </c>
      <c r="D4" s="532" t="inlineStr">
        <is>
          <t>Omschrijving taakveld</t>
        </is>
      </c>
      <c r="E4" s="532" t="inlineStr">
        <is>
          <t>Omschrijving grootboek</t>
        </is>
      </c>
      <c r="F4" s="533" t="inlineStr">
        <is>
          <t>Bgr.jaar 2026</t>
        </is>
      </c>
      <c r="G4" s="533" t="inlineStr">
        <is>
          <t>MJR 2027</t>
        </is>
      </c>
      <c r="H4" s="533" t="inlineStr">
        <is>
          <t>MJR 2028</t>
        </is>
      </c>
      <c r="I4" s="533" t="inlineStr">
        <is>
          <t>MJR 2029</t>
        </is>
      </c>
    </row>
    <row r="5" ht="15" customHeight="1">
      <c r="A5" s="534">
        <f>IFERROR(IF('Invullen groen'!E18&gt;0,18-17,""),"")</f>
        <v/>
      </c>
      <c r="B5" s="534">
        <f>IFERROR(IF('Invullen groen'!E18&gt;0,'Invullen groen'!A18,""),"")</f>
        <v/>
      </c>
      <c r="C5" s="534">
        <f>IFERROR(IF('Invullen groen'!E18&gt;0,'Invullen groen'!C18,""),"")</f>
        <v/>
      </c>
      <c r="D5" s="534">
        <f>IFERROR(IF('Invullen groen'!E18&gt;0,'Invullen groen'!D18,""),"")</f>
        <v/>
      </c>
      <c r="E5" s="534">
        <f>IFERROR(IF('Invullen groen'!E18&gt;0,'Invullen groen'!G18,""),"")</f>
        <v/>
      </c>
      <c r="F5" s="535">
        <f>IFERROR(IF('Invullen groen'!H18&lt;&gt;0,'Invullen groen'!H18,""),"")</f>
        <v/>
      </c>
      <c r="G5" s="535">
        <f>IFERROR(IF('Invullen groen'!I18&lt;&gt;0,'Invullen groen'!I18,""),"")</f>
        <v/>
      </c>
      <c r="H5" s="535">
        <f>IFERROR(IF('Invullen groen'!J18&lt;&gt;0,'Invullen groen'!J18,""),"")</f>
        <v/>
      </c>
      <c r="I5" s="535">
        <f>IFERROR(IF('Invullen groen'!K18&lt;&gt;0,'Invullen groen'!K18,""),"")</f>
        <v/>
      </c>
    </row>
    <row r="6" ht="15" customHeight="1">
      <c r="A6" s="536">
        <f>IFERROR(IF('Invullen groen'!E19&gt;0,19-17,""),"")</f>
        <v/>
      </c>
      <c r="B6" s="536">
        <f>IFERROR(IF('Invullen groen'!E19&gt;0,'Invullen groen'!A19,""),"")</f>
        <v/>
      </c>
      <c r="C6" s="536">
        <f>IFERROR(IF('Invullen groen'!E19&gt;0,'Invullen groen'!C19,""),"")</f>
        <v/>
      </c>
      <c r="D6" s="536">
        <f>IFERROR(IF('Invullen groen'!E19&gt;0,'Invullen groen'!D19,""),"")</f>
        <v/>
      </c>
      <c r="E6" s="536">
        <f>IFERROR(IF('Invullen groen'!E19&gt;0,'Invullen groen'!G19,""),"")</f>
        <v/>
      </c>
      <c r="F6" s="537">
        <f>IFERROR(IF('Invullen groen'!H19&lt;&gt;0,'Invullen groen'!H19,""),"")</f>
        <v/>
      </c>
      <c r="G6" s="537">
        <f>IFERROR(IF('Invullen groen'!I19&lt;&gt;0,'Invullen groen'!I19,""),"")</f>
        <v/>
      </c>
      <c r="H6" s="537">
        <f>IFERROR(IF('Invullen groen'!J19&lt;&gt;0,'Invullen groen'!J19,""),"")</f>
        <v/>
      </c>
      <c r="I6" s="537">
        <f>IFERROR(IF('Invullen groen'!K19&lt;&gt;0,'Invullen groen'!K19,""),"")</f>
        <v/>
      </c>
    </row>
    <row r="7" ht="15" customHeight="1">
      <c r="A7" s="534">
        <f>IFERROR(IF('Invullen groen'!E20&gt;0,20-17,""),"")</f>
        <v/>
      </c>
      <c r="B7" s="534">
        <f>IFERROR(IF('Invullen groen'!E20&gt;0,'Invullen groen'!A20,""),"")</f>
        <v/>
      </c>
      <c r="C7" s="534">
        <f>IFERROR(IF('Invullen groen'!E20&gt;0,'Invullen groen'!C20,""),"")</f>
        <v/>
      </c>
      <c r="D7" s="534">
        <f>IFERROR(IF('Invullen groen'!E20&gt;0,'Invullen groen'!D20,""),"")</f>
        <v/>
      </c>
      <c r="E7" s="534">
        <f>IFERROR(IF('Invullen groen'!E20&gt;0,'Invullen groen'!G20,""),"")</f>
        <v/>
      </c>
      <c r="F7" s="535">
        <f>IFERROR(IF('Invullen groen'!H20&lt;&gt;0,'Invullen groen'!H20,""),"")</f>
        <v/>
      </c>
      <c r="G7" s="535">
        <f>IFERROR(IF('Invullen groen'!I20&lt;&gt;0,'Invullen groen'!I20,""),"")</f>
        <v/>
      </c>
      <c r="H7" s="535">
        <f>IFERROR(IF('Invullen groen'!J20&lt;&gt;0,'Invullen groen'!J20,""),"")</f>
        <v/>
      </c>
      <c r="I7" s="535">
        <f>IFERROR(IF('Invullen groen'!K20&lt;&gt;0,'Invullen groen'!K20,""),"")</f>
        <v/>
      </c>
    </row>
    <row r="8" ht="15" customHeight="1">
      <c r="A8" s="536">
        <f>IFERROR(IF('Invullen groen'!E21&gt;0,21-17,""),"")</f>
        <v/>
      </c>
      <c r="B8" s="536">
        <f>IFERROR(IF('Invullen groen'!E21&gt;0,'Invullen groen'!A21,""),"")</f>
        <v/>
      </c>
      <c r="C8" s="536">
        <f>IFERROR(IF('Invullen groen'!E21&gt;0,'Invullen groen'!C21,""),"")</f>
        <v/>
      </c>
      <c r="D8" s="536">
        <f>IFERROR(IF('Invullen groen'!E21&gt;0,'Invullen groen'!D21,""),"")</f>
        <v/>
      </c>
      <c r="E8" s="536">
        <f>IFERROR(IF('Invullen groen'!E21&gt;0,'Invullen groen'!G21,""),"")</f>
        <v/>
      </c>
      <c r="F8" s="537">
        <f>IFERROR(IF('Invullen groen'!H21&lt;&gt;0,'Invullen groen'!H21,""),"")</f>
        <v/>
      </c>
      <c r="G8" s="537">
        <f>IFERROR(IF('Invullen groen'!I21&lt;&gt;0,'Invullen groen'!I21,""),"")</f>
        <v/>
      </c>
      <c r="H8" s="537">
        <f>IFERROR(IF('Invullen groen'!J21&lt;&gt;0,'Invullen groen'!J21,""),"")</f>
        <v/>
      </c>
      <c r="I8" s="537">
        <f>IFERROR(IF('Invullen groen'!K21&lt;&gt;0,'Invullen groen'!K21,""),"")</f>
        <v/>
      </c>
    </row>
    <row r="9" ht="15" customHeight="1">
      <c r="A9" s="534">
        <f>IFERROR(IF('Invullen groen'!E22&gt;0,22-17,""),"")</f>
        <v/>
      </c>
      <c r="B9" s="534">
        <f>IFERROR(IF('Invullen groen'!E22&gt;0,'Invullen groen'!A22,""),"")</f>
        <v/>
      </c>
      <c r="C9" s="534">
        <f>IFERROR(IF('Invullen groen'!E22&gt;0,'Invullen groen'!C22,""),"")</f>
        <v/>
      </c>
      <c r="D9" s="534">
        <f>IFERROR(IF('Invullen groen'!E22&gt;0,'Invullen groen'!D22,""),"")</f>
        <v/>
      </c>
      <c r="E9" s="534">
        <f>IFERROR(IF('Invullen groen'!E22&gt;0,'Invullen groen'!G22,""),"")</f>
        <v/>
      </c>
      <c r="F9" s="535">
        <f>IFERROR(IF('Invullen groen'!H22&lt;&gt;0,'Invullen groen'!H22,""),"")</f>
        <v/>
      </c>
      <c r="G9" s="535">
        <f>IFERROR(IF('Invullen groen'!I22&lt;&gt;0,'Invullen groen'!I22,""),"")</f>
        <v/>
      </c>
      <c r="H9" s="535">
        <f>IFERROR(IF('Invullen groen'!J22&lt;&gt;0,'Invullen groen'!J22,""),"")</f>
        <v/>
      </c>
      <c r="I9" s="535">
        <f>IFERROR(IF('Invullen groen'!K22&lt;&gt;0,'Invullen groen'!K22,""),"")</f>
        <v/>
      </c>
    </row>
    <row r="10" ht="15" customHeight="1">
      <c r="A10" s="536">
        <f>IFERROR(IF('Invullen groen'!E23&gt;0,23-17,""),"")</f>
        <v/>
      </c>
      <c r="B10" s="536">
        <f>IFERROR(IF('Invullen groen'!E23&gt;0,'Invullen groen'!A23,""),"")</f>
        <v/>
      </c>
      <c r="C10" s="536">
        <f>IFERROR(IF('Invullen groen'!E23&gt;0,'Invullen groen'!C23,""),"")</f>
        <v/>
      </c>
      <c r="D10" s="536">
        <f>IFERROR(IF('Invullen groen'!E23&gt;0,'Invullen groen'!D23,""),"")</f>
        <v/>
      </c>
      <c r="E10" s="536">
        <f>IFERROR(IF('Invullen groen'!E23&gt;0,'Invullen groen'!G23,""),"")</f>
        <v/>
      </c>
      <c r="F10" s="537">
        <f>IFERROR(IF('Invullen groen'!H23&lt;&gt;0,'Invullen groen'!H23,""),"")</f>
        <v/>
      </c>
      <c r="G10" s="537">
        <f>IFERROR(IF('Invullen groen'!I23&lt;&gt;0,'Invullen groen'!I23,""),"")</f>
        <v/>
      </c>
      <c r="H10" s="537">
        <f>IFERROR(IF('Invullen groen'!J23&lt;&gt;0,'Invullen groen'!J23,""),"")</f>
        <v/>
      </c>
      <c r="I10" s="537">
        <f>IFERROR(IF('Invullen groen'!K23&lt;&gt;0,'Invullen groen'!K23,""),"")</f>
        <v/>
      </c>
    </row>
    <row r="11" ht="15" customHeight="1">
      <c r="A11" s="534">
        <f>IFERROR(IF('Invullen groen'!E24&gt;0,24-17,""),"")</f>
        <v/>
      </c>
      <c r="B11" s="534">
        <f>IFERROR(IF('Invullen groen'!E24&gt;0,'Invullen groen'!A24,""),"")</f>
        <v/>
      </c>
      <c r="C11" s="534">
        <f>IFERROR(IF('Invullen groen'!E24&gt;0,'Invullen groen'!C24,""),"")</f>
        <v/>
      </c>
      <c r="D11" s="534">
        <f>IFERROR(IF('Invullen groen'!E24&gt;0,'Invullen groen'!D24,""),"")</f>
        <v/>
      </c>
      <c r="E11" s="534">
        <f>IFERROR(IF('Invullen groen'!E24&gt;0,'Invullen groen'!G24,""),"")</f>
        <v/>
      </c>
      <c r="F11" s="535">
        <f>IFERROR(IF('Invullen groen'!H24&lt;&gt;0,'Invullen groen'!H24,""),"")</f>
        <v/>
      </c>
      <c r="G11" s="535">
        <f>IFERROR(IF('Invullen groen'!I24&lt;&gt;0,'Invullen groen'!I24,""),"")</f>
        <v/>
      </c>
      <c r="H11" s="535">
        <f>IFERROR(IF('Invullen groen'!J24&lt;&gt;0,'Invullen groen'!J24,""),"")</f>
        <v/>
      </c>
      <c r="I11" s="535">
        <f>IFERROR(IF('Invullen groen'!K24&lt;&gt;0,'Invullen groen'!K24,""),"")</f>
        <v/>
      </c>
    </row>
    <row r="12" ht="15" customHeight="1">
      <c r="A12" s="536">
        <f>IFERROR(IF('Invullen groen'!E25&gt;0,25-17,""),"")</f>
        <v/>
      </c>
      <c r="B12" s="536">
        <f>IFERROR(IF('Invullen groen'!E25&gt;0,'Invullen groen'!A25,""),"")</f>
        <v/>
      </c>
      <c r="C12" s="536">
        <f>IFERROR(IF('Invullen groen'!E25&gt;0,'Invullen groen'!C25,""),"")</f>
        <v/>
      </c>
      <c r="D12" s="536">
        <f>IFERROR(IF('Invullen groen'!E25&gt;0,'Invullen groen'!D25,""),"")</f>
        <v/>
      </c>
      <c r="E12" s="536">
        <f>IFERROR(IF('Invullen groen'!E25&gt;0,'Invullen groen'!G25,""),"")</f>
        <v/>
      </c>
      <c r="F12" s="537">
        <f>IFERROR(IF('Invullen groen'!H25&lt;&gt;0,'Invullen groen'!H25,""),"")</f>
        <v/>
      </c>
      <c r="G12" s="537">
        <f>IFERROR(IF('Invullen groen'!I25&lt;&gt;0,'Invullen groen'!I25,""),"")</f>
        <v/>
      </c>
      <c r="H12" s="537">
        <f>IFERROR(IF('Invullen groen'!J25&lt;&gt;0,'Invullen groen'!J25,""),"")</f>
        <v/>
      </c>
      <c r="I12" s="537">
        <f>IFERROR(IF('Invullen groen'!K25&lt;&gt;0,'Invullen groen'!K25,""),"")</f>
        <v/>
      </c>
    </row>
    <row r="13" ht="15" customHeight="1">
      <c r="A13" s="534">
        <f>IFERROR(IF('Invullen groen'!E26&gt;0,26-17,""),"")</f>
        <v/>
      </c>
      <c r="B13" s="534">
        <f>IFERROR(IF('Invullen groen'!E26&gt;0,'Invullen groen'!A26,""),"")</f>
        <v/>
      </c>
      <c r="C13" s="534">
        <f>IFERROR(IF('Invullen groen'!E26&gt;0,'Invullen groen'!C26,""),"")</f>
        <v/>
      </c>
      <c r="D13" s="534">
        <f>IFERROR(IF('Invullen groen'!E26&gt;0,'Invullen groen'!D26,""),"")</f>
        <v/>
      </c>
      <c r="E13" s="534">
        <f>IFERROR(IF('Invullen groen'!E26&gt;0,'Invullen groen'!G26,""),"")</f>
        <v/>
      </c>
      <c r="F13" s="535">
        <f>IFERROR(IF('Invullen groen'!H26&lt;&gt;0,'Invullen groen'!H26,""),"")</f>
        <v/>
      </c>
      <c r="G13" s="535">
        <f>IFERROR(IF('Invullen groen'!I26&lt;&gt;0,'Invullen groen'!I26,""),"")</f>
        <v/>
      </c>
      <c r="H13" s="535">
        <f>IFERROR(IF('Invullen groen'!J26&lt;&gt;0,'Invullen groen'!J26,""),"")</f>
        <v/>
      </c>
      <c r="I13" s="535">
        <f>IFERROR(IF('Invullen groen'!K26&lt;&gt;0,'Invullen groen'!K26,""),"")</f>
        <v/>
      </c>
    </row>
    <row r="14" ht="15" customHeight="1">
      <c r="A14" s="536">
        <f>IFERROR(IF('Invullen groen'!E27&gt;0,27-17,""),"")</f>
        <v/>
      </c>
      <c r="B14" s="536">
        <f>IFERROR(IF('Invullen groen'!E27&gt;0,'Invullen groen'!A27,""),"")</f>
        <v/>
      </c>
      <c r="C14" s="536">
        <f>IFERROR(IF('Invullen groen'!E27&gt;0,'Invullen groen'!C27,""),"")</f>
        <v/>
      </c>
      <c r="D14" s="536">
        <f>IFERROR(IF('Invullen groen'!E27&gt;0,'Invullen groen'!D27,""),"")</f>
        <v/>
      </c>
      <c r="E14" s="536">
        <f>IFERROR(IF('Invullen groen'!E27&gt;0,'Invullen groen'!G27,""),"")</f>
        <v/>
      </c>
      <c r="F14" s="537">
        <f>IFERROR(IF('Invullen groen'!H27&lt;&gt;0,'Invullen groen'!H27,""),"")</f>
        <v/>
      </c>
      <c r="G14" s="537">
        <f>IFERROR(IF('Invullen groen'!I27&lt;&gt;0,'Invullen groen'!I27,""),"")</f>
        <v/>
      </c>
      <c r="H14" s="537">
        <f>IFERROR(IF('Invullen groen'!J27&lt;&gt;0,'Invullen groen'!J27,""),"")</f>
        <v/>
      </c>
      <c r="I14" s="537">
        <f>IFERROR(IF('Invullen groen'!K27&lt;&gt;0,'Invullen groen'!K27,""),"")</f>
        <v/>
      </c>
    </row>
    <row r="15" ht="15" customHeight="1">
      <c r="A15" s="534">
        <f>IFERROR(IF('Invullen groen'!E28&gt;0,28-17,""),"")</f>
        <v/>
      </c>
      <c r="B15" s="534">
        <f>IFERROR(IF('Invullen groen'!E28&gt;0,'Invullen groen'!A28,""),"")</f>
        <v/>
      </c>
      <c r="C15" s="534">
        <f>IFERROR(IF('Invullen groen'!E28&gt;0,'Invullen groen'!C28,""),"")</f>
        <v/>
      </c>
      <c r="D15" s="534">
        <f>IFERROR(IF('Invullen groen'!E28&gt;0,'Invullen groen'!D28,""),"")</f>
        <v/>
      </c>
      <c r="E15" s="534">
        <f>IFERROR(IF('Invullen groen'!E28&gt;0,'Invullen groen'!G28,""),"")</f>
        <v/>
      </c>
      <c r="F15" s="535">
        <f>IFERROR(IF('Invullen groen'!H28&lt;&gt;0,'Invullen groen'!H28,""),"")</f>
        <v/>
      </c>
      <c r="G15" s="535">
        <f>IFERROR(IF('Invullen groen'!I28&lt;&gt;0,'Invullen groen'!I28,""),"")</f>
        <v/>
      </c>
      <c r="H15" s="535">
        <f>IFERROR(IF('Invullen groen'!J28&lt;&gt;0,'Invullen groen'!J28,""),"")</f>
        <v/>
      </c>
      <c r="I15" s="535">
        <f>IFERROR(IF('Invullen groen'!K28&lt;&gt;0,'Invullen groen'!K28,""),"")</f>
        <v/>
      </c>
    </row>
    <row r="16" ht="15" customHeight="1">
      <c r="A16" s="536">
        <f>IFERROR(IF('Invullen groen'!E29&gt;0,29-17,""),"")</f>
        <v/>
      </c>
      <c r="B16" s="536">
        <f>IFERROR(IF('Invullen groen'!E29&gt;0,'Invullen groen'!A29,""),"")</f>
        <v/>
      </c>
      <c r="C16" s="536">
        <f>IFERROR(IF('Invullen groen'!E29&gt;0,'Invullen groen'!C29,""),"")</f>
        <v/>
      </c>
      <c r="D16" s="536">
        <f>IFERROR(IF('Invullen groen'!E29&gt;0,'Invullen groen'!D29,""),"")</f>
        <v/>
      </c>
      <c r="E16" s="536">
        <f>IFERROR(IF('Invullen groen'!E29&gt;0,'Invullen groen'!G29,""),"")</f>
        <v/>
      </c>
      <c r="F16" s="537">
        <f>IFERROR(IF('Invullen groen'!H29&lt;&gt;0,'Invullen groen'!H29,""),"")</f>
        <v/>
      </c>
      <c r="G16" s="537">
        <f>IFERROR(IF('Invullen groen'!I29&lt;&gt;0,'Invullen groen'!I29,""),"")</f>
        <v/>
      </c>
      <c r="H16" s="537">
        <f>IFERROR(IF('Invullen groen'!J29&lt;&gt;0,'Invullen groen'!J29,""),"")</f>
        <v/>
      </c>
      <c r="I16" s="537">
        <f>IFERROR(IF('Invullen groen'!K29&lt;&gt;0,'Invullen groen'!K29,""),"")</f>
        <v/>
      </c>
    </row>
    <row r="17" ht="15" customHeight="1">
      <c r="A17" s="534">
        <f>IFERROR(IF('Invullen groen'!E30&gt;0,30-17,""),"")</f>
        <v/>
      </c>
      <c r="B17" s="534">
        <f>IFERROR(IF('Invullen groen'!E30&gt;0,'Invullen groen'!A30,""),"")</f>
        <v/>
      </c>
      <c r="C17" s="534">
        <f>IFERROR(IF('Invullen groen'!E30&gt;0,'Invullen groen'!C30,""),"")</f>
        <v/>
      </c>
      <c r="D17" s="534">
        <f>IFERROR(IF('Invullen groen'!E30&gt;0,'Invullen groen'!D30,""),"")</f>
        <v/>
      </c>
      <c r="E17" s="534">
        <f>IFERROR(IF('Invullen groen'!E30&gt;0,'Invullen groen'!G30,""),"")</f>
        <v/>
      </c>
      <c r="F17" s="535">
        <f>IFERROR(IF('Invullen groen'!H30&lt;&gt;0,'Invullen groen'!H30,""),"")</f>
        <v/>
      </c>
      <c r="G17" s="535">
        <f>IFERROR(IF('Invullen groen'!I30&lt;&gt;0,'Invullen groen'!I30,""),"")</f>
        <v/>
      </c>
      <c r="H17" s="535">
        <f>IFERROR(IF('Invullen groen'!J30&lt;&gt;0,'Invullen groen'!J30,""),"")</f>
        <v/>
      </c>
      <c r="I17" s="535">
        <f>IFERROR(IF('Invullen groen'!K30&lt;&gt;0,'Invullen groen'!K30,""),"")</f>
        <v/>
      </c>
    </row>
    <row r="18" ht="15" customHeight="1">
      <c r="A18" s="536">
        <f>IFERROR(IF('Invullen groen'!E31&gt;0,31-17,""),"")</f>
        <v/>
      </c>
      <c r="B18" s="536">
        <f>IFERROR(IF('Invullen groen'!E31&gt;0,'Invullen groen'!A31,""),"")</f>
        <v/>
      </c>
      <c r="C18" s="536">
        <f>IFERROR(IF('Invullen groen'!E31&gt;0,'Invullen groen'!C31,""),"")</f>
        <v/>
      </c>
      <c r="D18" s="536">
        <f>IFERROR(IF('Invullen groen'!E31&gt;0,'Invullen groen'!D31,""),"")</f>
        <v/>
      </c>
      <c r="E18" s="536">
        <f>IFERROR(IF('Invullen groen'!E31&gt;0,'Invullen groen'!G31,""),"")</f>
        <v/>
      </c>
      <c r="F18" s="537">
        <f>IFERROR(IF('Invullen groen'!H31&lt;&gt;0,'Invullen groen'!H31,""),"")</f>
        <v/>
      </c>
      <c r="G18" s="537">
        <f>IFERROR(IF('Invullen groen'!I31&lt;&gt;0,'Invullen groen'!I31,""),"")</f>
        <v/>
      </c>
      <c r="H18" s="537">
        <f>IFERROR(IF('Invullen groen'!J31&lt;&gt;0,'Invullen groen'!J31,""),"")</f>
        <v/>
      </c>
      <c r="I18" s="537">
        <f>IFERROR(IF('Invullen groen'!K31&lt;&gt;0,'Invullen groen'!K31,""),"")</f>
        <v/>
      </c>
    </row>
    <row r="19" ht="15" customHeight="1">
      <c r="A19" s="534">
        <f>IFERROR(IF('Invullen groen'!E32&gt;0,32-17,""),"")</f>
        <v/>
      </c>
      <c r="B19" s="534">
        <f>IFERROR(IF('Invullen groen'!E32&gt;0,'Invullen groen'!A32,""),"")</f>
        <v/>
      </c>
      <c r="C19" s="534">
        <f>IFERROR(IF('Invullen groen'!E32&gt;0,'Invullen groen'!C32,""),"")</f>
        <v/>
      </c>
      <c r="D19" s="534">
        <f>IFERROR(IF('Invullen groen'!E32&gt;0,'Invullen groen'!D32,""),"")</f>
        <v/>
      </c>
      <c r="E19" s="534">
        <f>IFERROR(IF('Invullen groen'!E32&gt;0,'Invullen groen'!G32,""),"")</f>
        <v/>
      </c>
      <c r="F19" s="535">
        <f>IFERROR(IF('Invullen groen'!H32&lt;&gt;0,'Invullen groen'!H32,""),"")</f>
        <v/>
      </c>
      <c r="G19" s="535">
        <f>IFERROR(IF('Invullen groen'!I32&lt;&gt;0,'Invullen groen'!I32,""),"")</f>
        <v/>
      </c>
      <c r="H19" s="535">
        <f>IFERROR(IF('Invullen groen'!J32&lt;&gt;0,'Invullen groen'!J32,""),"")</f>
        <v/>
      </c>
      <c r="I19" s="535">
        <f>IFERROR(IF('Invullen groen'!K32&lt;&gt;0,'Invullen groen'!K32,""),"")</f>
        <v/>
      </c>
    </row>
    <row r="20" ht="15" customHeight="1">
      <c r="A20" s="536">
        <f>IFERROR(IF('Invullen groen'!E33&gt;0,33-17,""),"")</f>
        <v/>
      </c>
      <c r="B20" s="536">
        <f>IFERROR(IF('Invullen groen'!E33&gt;0,'Invullen groen'!A33,""),"")</f>
        <v/>
      </c>
      <c r="C20" s="536">
        <f>IFERROR(IF('Invullen groen'!E33&gt;0,'Invullen groen'!C33,""),"")</f>
        <v/>
      </c>
      <c r="D20" s="536">
        <f>IFERROR(IF('Invullen groen'!E33&gt;0,'Invullen groen'!D33,""),"")</f>
        <v/>
      </c>
      <c r="E20" s="536">
        <f>IFERROR(IF('Invullen groen'!E33&gt;0,'Invullen groen'!G33,""),"")</f>
        <v/>
      </c>
      <c r="F20" s="537">
        <f>IFERROR(IF('Invullen groen'!H33&lt;&gt;0,'Invullen groen'!H33,""),"")</f>
        <v/>
      </c>
      <c r="G20" s="537">
        <f>IFERROR(IF('Invullen groen'!I33&lt;&gt;0,'Invullen groen'!I33,""),"")</f>
        <v/>
      </c>
      <c r="H20" s="537">
        <f>IFERROR(IF('Invullen groen'!J33&lt;&gt;0,'Invullen groen'!J33,""),"")</f>
        <v/>
      </c>
      <c r="I20" s="537">
        <f>IFERROR(IF('Invullen groen'!K33&lt;&gt;0,'Invullen groen'!K33,""),"")</f>
        <v/>
      </c>
    </row>
    <row r="21" ht="15" customHeight="1">
      <c r="A21" s="534">
        <f>IFERROR(IF('Invullen groen'!E34&gt;0,34-17,""),"")</f>
        <v/>
      </c>
      <c r="B21" s="534">
        <f>IFERROR(IF('Invullen groen'!E34&gt;0,'Invullen groen'!A34,""),"")</f>
        <v/>
      </c>
      <c r="C21" s="534">
        <f>IFERROR(IF('Invullen groen'!E34&gt;0,'Invullen groen'!C34,""),"")</f>
        <v/>
      </c>
      <c r="D21" s="534">
        <f>IFERROR(IF('Invullen groen'!E34&gt;0,'Invullen groen'!D34,""),"")</f>
        <v/>
      </c>
      <c r="E21" s="534">
        <f>IFERROR(IF('Invullen groen'!E34&gt;0,'Invullen groen'!G34,""),"")</f>
        <v/>
      </c>
      <c r="F21" s="535">
        <f>IFERROR(IF('Invullen groen'!H34&lt;&gt;0,'Invullen groen'!H34,""),"")</f>
        <v/>
      </c>
      <c r="G21" s="535">
        <f>IFERROR(IF('Invullen groen'!I34&lt;&gt;0,'Invullen groen'!I34,""),"")</f>
        <v/>
      </c>
      <c r="H21" s="535">
        <f>IFERROR(IF('Invullen groen'!J34&lt;&gt;0,'Invullen groen'!J34,""),"")</f>
        <v/>
      </c>
      <c r="I21" s="535">
        <f>IFERROR(IF('Invullen groen'!K34&lt;&gt;0,'Invullen groen'!K34,""),"")</f>
        <v/>
      </c>
    </row>
    <row r="22" ht="15" customHeight="1">
      <c r="A22" s="536">
        <f>IFERROR(IF('Invullen groen'!E35&gt;0,35-17,""),"")</f>
        <v/>
      </c>
      <c r="B22" s="536">
        <f>IFERROR(IF('Invullen groen'!E35&gt;0,'Invullen groen'!A35,""),"")</f>
        <v/>
      </c>
      <c r="C22" s="536">
        <f>IFERROR(IF('Invullen groen'!E35&gt;0,'Invullen groen'!C35,""),"")</f>
        <v/>
      </c>
      <c r="D22" s="536">
        <f>IFERROR(IF('Invullen groen'!E35&gt;0,'Invullen groen'!D35,""),"")</f>
        <v/>
      </c>
      <c r="E22" s="536">
        <f>IFERROR(IF('Invullen groen'!E35&gt;0,'Invullen groen'!G35,""),"")</f>
        <v/>
      </c>
      <c r="F22" s="537">
        <f>IFERROR(IF('Invullen groen'!H35&lt;&gt;0,'Invullen groen'!H35,""),"")</f>
        <v/>
      </c>
      <c r="G22" s="537">
        <f>IFERROR(IF('Invullen groen'!I35&lt;&gt;0,'Invullen groen'!I35,""),"")</f>
        <v/>
      </c>
      <c r="H22" s="537">
        <f>IFERROR(IF('Invullen groen'!J35&lt;&gt;0,'Invullen groen'!J35,""),"")</f>
        <v/>
      </c>
      <c r="I22" s="537">
        <f>IFERROR(IF('Invullen groen'!K35&lt;&gt;0,'Invullen groen'!K35,""),"")</f>
        <v/>
      </c>
    </row>
    <row r="23" ht="15" customHeight="1">
      <c r="A23" s="534">
        <f>IFERROR(IF('Invullen groen'!E36&gt;0,36-17,""),"")</f>
        <v/>
      </c>
      <c r="B23" s="534">
        <f>IFERROR(IF('Invullen groen'!E36&gt;0,'Invullen groen'!A36,""),"")</f>
        <v/>
      </c>
      <c r="C23" s="534">
        <f>IFERROR(IF('Invullen groen'!E36&gt;0,'Invullen groen'!C36,""),"")</f>
        <v/>
      </c>
      <c r="D23" s="534">
        <f>IFERROR(IF('Invullen groen'!E36&gt;0,'Invullen groen'!D36,""),"")</f>
        <v/>
      </c>
      <c r="E23" s="534">
        <f>IFERROR(IF('Invullen groen'!E36&gt;0,'Invullen groen'!G36,""),"")</f>
        <v/>
      </c>
      <c r="F23" s="535">
        <f>IFERROR(IF('Invullen groen'!H36&lt;&gt;0,'Invullen groen'!H36,""),"")</f>
        <v/>
      </c>
      <c r="G23" s="535">
        <f>IFERROR(IF('Invullen groen'!I36&lt;&gt;0,'Invullen groen'!I36,""),"")</f>
        <v/>
      </c>
      <c r="H23" s="535">
        <f>IFERROR(IF('Invullen groen'!J36&lt;&gt;0,'Invullen groen'!J36,""),"")</f>
        <v/>
      </c>
      <c r="I23" s="535">
        <f>IFERROR(IF('Invullen groen'!K36&lt;&gt;0,'Invullen groen'!K36,""),"")</f>
        <v/>
      </c>
    </row>
    <row r="24" ht="15" customHeight="1">
      <c r="A24" s="536">
        <f>IFERROR(IF('Invullen groen'!E37&gt;0,37-17,""),"")</f>
        <v/>
      </c>
      <c r="B24" s="536">
        <f>IFERROR(IF('Invullen groen'!E37&gt;0,'Invullen groen'!A37,""),"")</f>
        <v/>
      </c>
      <c r="C24" s="536">
        <f>IFERROR(IF('Invullen groen'!E37&gt;0,'Invullen groen'!C37,""),"")</f>
        <v/>
      </c>
      <c r="D24" s="536">
        <f>IFERROR(IF('Invullen groen'!E37&gt;0,'Invullen groen'!D37,""),"")</f>
        <v/>
      </c>
      <c r="E24" s="536">
        <f>IFERROR(IF('Invullen groen'!E37&gt;0,'Invullen groen'!G37,""),"")</f>
        <v/>
      </c>
      <c r="F24" s="537">
        <f>IFERROR(IF('Invullen groen'!H37&lt;&gt;0,'Invullen groen'!H37,""),"")</f>
        <v/>
      </c>
      <c r="G24" s="537">
        <f>IFERROR(IF('Invullen groen'!I37&lt;&gt;0,'Invullen groen'!I37,""),"")</f>
        <v/>
      </c>
      <c r="H24" s="537">
        <f>IFERROR(IF('Invullen groen'!J37&lt;&gt;0,'Invullen groen'!J37,""),"")</f>
        <v/>
      </c>
      <c r="I24" s="537">
        <f>IFERROR(IF('Invullen groen'!K37&lt;&gt;0,'Invullen groen'!K37,""),"")</f>
        <v/>
      </c>
    </row>
    <row r="25" ht="15" customHeight="1">
      <c r="A25" s="534">
        <f>IFERROR(IF('Invullen groen'!E38&gt;0,38-17,""),"")</f>
        <v/>
      </c>
      <c r="B25" s="534">
        <f>IFERROR(IF('Invullen groen'!E38&gt;0,'Invullen groen'!A38,""),"")</f>
        <v/>
      </c>
      <c r="C25" s="534">
        <f>IFERROR(IF('Invullen groen'!E38&gt;0,'Invullen groen'!C38,""),"")</f>
        <v/>
      </c>
      <c r="D25" s="534">
        <f>IFERROR(IF('Invullen groen'!E38&gt;0,'Invullen groen'!D38,""),"")</f>
        <v/>
      </c>
      <c r="E25" s="534">
        <f>IFERROR(IF('Invullen groen'!E38&gt;0,'Invullen groen'!G38,""),"")</f>
        <v/>
      </c>
      <c r="F25" s="535">
        <f>IFERROR(IF('Invullen groen'!H38&lt;&gt;0,'Invullen groen'!H38,""),"")</f>
        <v/>
      </c>
      <c r="G25" s="535">
        <f>IFERROR(IF('Invullen groen'!I38&lt;&gt;0,'Invullen groen'!I38,""),"")</f>
        <v/>
      </c>
      <c r="H25" s="535">
        <f>IFERROR(IF('Invullen groen'!J38&lt;&gt;0,'Invullen groen'!J38,""),"")</f>
        <v/>
      </c>
      <c r="I25" s="535">
        <f>IFERROR(IF('Invullen groen'!K38&lt;&gt;0,'Invullen groen'!K38,""),"")</f>
        <v/>
      </c>
    </row>
    <row r="26" ht="15" customHeight="1">
      <c r="A26" s="536">
        <f>IFERROR(IF('Invullen groen'!E39&gt;0,39-17,""),"")</f>
        <v/>
      </c>
      <c r="B26" s="536">
        <f>IFERROR(IF('Invullen groen'!E39&gt;0,'Invullen groen'!A39,""),"")</f>
        <v/>
      </c>
      <c r="C26" s="536">
        <f>IFERROR(IF('Invullen groen'!E39&gt;0,'Invullen groen'!C39,""),"")</f>
        <v/>
      </c>
      <c r="D26" s="536">
        <f>IFERROR(IF('Invullen groen'!E39&gt;0,'Invullen groen'!D39,""),"")</f>
        <v/>
      </c>
      <c r="E26" s="536">
        <f>IFERROR(IF('Invullen groen'!E39&gt;0,'Invullen groen'!G39,""),"")</f>
        <v/>
      </c>
      <c r="F26" s="537">
        <f>IFERROR(IF('Invullen groen'!H39&lt;&gt;0,'Invullen groen'!H39,""),"")</f>
        <v/>
      </c>
      <c r="G26" s="537">
        <f>IFERROR(IF('Invullen groen'!I39&lt;&gt;0,'Invullen groen'!I39,""),"")</f>
        <v/>
      </c>
      <c r="H26" s="537">
        <f>IFERROR(IF('Invullen groen'!J39&lt;&gt;0,'Invullen groen'!J39,""),"")</f>
        <v/>
      </c>
      <c r="I26" s="537">
        <f>IFERROR(IF('Invullen groen'!K39&lt;&gt;0,'Invullen groen'!K39,""),"")</f>
        <v/>
      </c>
    </row>
    <row r="27" ht="15" customHeight="1">
      <c r="A27" s="534">
        <f>IFERROR(IF('Invullen groen'!E40&gt;0,40-17,""),"")</f>
        <v/>
      </c>
      <c r="B27" s="534">
        <f>IFERROR(IF('Invullen groen'!E40&gt;0,'Invullen groen'!A40,""),"")</f>
        <v/>
      </c>
      <c r="C27" s="534">
        <f>IFERROR(IF('Invullen groen'!E40&gt;0,'Invullen groen'!C40,""),"")</f>
        <v/>
      </c>
      <c r="D27" s="534">
        <f>IFERROR(IF('Invullen groen'!E40&gt;0,'Invullen groen'!D40,""),"")</f>
        <v/>
      </c>
      <c r="E27" s="534">
        <f>IFERROR(IF('Invullen groen'!E40&gt;0,'Invullen groen'!G40,""),"")</f>
        <v/>
      </c>
      <c r="F27" s="535">
        <f>IFERROR(IF('Invullen groen'!H40&lt;&gt;0,'Invullen groen'!H40,""),"")</f>
        <v/>
      </c>
      <c r="G27" s="535">
        <f>IFERROR(IF('Invullen groen'!I40&lt;&gt;0,'Invullen groen'!I40,""),"")</f>
        <v/>
      </c>
      <c r="H27" s="535">
        <f>IFERROR(IF('Invullen groen'!J40&lt;&gt;0,'Invullen groen'!J40,""),"")</f>
        <v/>
      </c>
      <c r="I27" s="535">
        <f>IFERROR(IF('Invullen groen'!K40&lt;&gt;0,'Invullen groen'!K40,""),"")</f>
        <v/>
      </c>
    </row>
    <row r="28" ht="15" customHeight="1">
      <c r="A28" s="536">
        <f>IFERROR(IF('Invullen groen'!E41&gt;0,41-17,""),"")</f>
        <v/>
      </c>
      <c r="B28" s="536">
        <f>IFERROR(IF('Invullen groen'!E41&gt;0,'Invullen groen'!A41,""),"")</f>
        <v/>
      </c>
      <c r="C28" s="536">
        <f>IFERROR(IF('Invullen groen'!E41&gt;0,'Invullen groen'!C41,""),"")</f>
        <v/>
      </c>
      <c r="D28" s="536">
        <f>IFERROR(IF('Invullen groen'!E41&gt;0,'Invullen groen'!D41,""),"")</f>
        <v/>
      </c>
      <c r="E28" s="536">
        <f>IFERROR(IF('Invullen groen'!E41&gt;0,'Invullen groen'!G41,""),"")</f>
        <v/>
      </c>
      <c r="F28" s="537">
        <f>IFERROR(IF('Invullen groen'!H41&lt;&gt;0,'Invullen groen'!H41,""),"")</f>
        <v/>
      </c>
      <c r="G28" s="537">
        <f>IFERROR(IF('Invullen groen'!I41&lt;&gt;0,'Invullen groen'!I41,""),"")</f>
        <v/>
      </c>
      <c r="H28" s="537">
        <f>IFERROR(IF('Invullen groen'!J41&lt;&gt;0,'Invullen groen'!J41,""),"")</f>
        <v/>
      </c>
      <c r="I28" s="537">
        <f>IFERROR(IF('Invullen groen'!K41&lt;&gt;0,'Invullen groen'!K41,""),"")</f>
        <v/>
      </c>
    </row>
    <row r="29" ht="15" customHeight="1">
      <c r="A29" s="534">
        <f>IFERROR(IF('Invullen groen'!E42&gt;0,42-17,""),"")</f>
        <v/>
      </c>
      <c r="B29" s="534">
        <f>IFERROR(IF('Invullen groen'!E42&gt;0,'Invullen groen'!A42,""),"")</f>
        <v/>
      </c>
      <c r="C29" s="534">
        <f>IFERROR(IF('Invullen groen'!E42&gt;0,'Invullen groen'!C42,""),"")</f>
        <v/>
      </c>
      <c r="D29" s="534">
        <f>IFERROR(IF('Invullen groen'!E42&gt;0,'Invullen groen'!D42,""),"")</f>
        <v/>
      </c>
      <c r="E29" s="534">
        <f>IFERROR(IF('Invullen groen'!E42&gt;0,'Invullen groen'!G42,""),"")</f>
        <v/>
      </c>
      <c r="F29" s="535">
        <f>IFERROR(IF('Invullen groen'!H42&lt;&gt;0,'Invullen groen'!H42,""),"")</f>
        <v/>
      </c>
      <c r="G29" s="535">
        <f>IFERROR(IF('Invullen groen'!I42&lt;&gt;0,'Invullen groen'!I42,""),"")</f>
        <v/>
      </c>
      <c r="H29" s="535">
        <f>IFERROR(IF('Invullen groen'!J42&lt;&gt;0,'Invullen groen'!J42,""),"")</f>
        <v/>
      </c>
      <c r="I29" s="535">
        <f>IFERROR(IF('Invullen groen'!K42&lt;&gt;0,'Invullen groen'!K42,""),"")</f>
        <v/>
      </c>
    </row>
    <row r="30" ht="15" customHeight="1">
      <c r="A30" s="536">
        <f>IFERROR(IF('Invullen groen'!E43&gt;0,43-17,""),"")</f>
        <v/>
      </c>
      <c r="B30" s="536">
        <f>IFERROR(IF('Invullen groen'!E43&gt;0,'Invullen groen'!A43,""),"")</f>
        <v/>
      </c>
      <c r="C30" s="536">
        <f>IFERROR(IF('Invullen groen'!E43&gt;0,'Invullen groen'!C43,""),"")</f>
        <v/>
      </c>
      <c r="D30" s="536">
        <f>IFERROR(IF('Invullen groen'!E43&gt;0,'Invullen groen'!D43,""),"")</f>
        <v/>
      </c>
      <c r="E30" s="536">
        <f>IFERROR(IF('Invullen groen'!E43&gt;0,'Invullen groen'!G43,""),"")</f>
        <v/>
      </c>
      <c r="F30" s="537">
        <f>IFERROR(IF('Invullen groen'!H43&lt;&gt;0,'Invullen groen'!H43,""),"")</f>
        <v/>
      </c>
      <c r="G30" s="537">
        <f>IFERROR(IF('Invullen groen'!I43&lt;&gt;0,'Invullen groen'!I43,""),"")</f>
        <v/>
      </c>
      <c r="H30" s="537">
        <f>IFERROR(IF('Invullen groen'!J43&lt;&gt;0,'Invullen groen'!J43,""),"")</f>
        <v/>
      </c>
      <c r="I30" s="537">
        <f>IFERROR(IF('Invullen groen'!K43&lt;&gt;0,'Invullen groen'!K43,""),"")</f>
        <v/>
      </c>
    </row>
    <row r="31" ht="15" customHeight="1">
      <c r="A31" s="534">
        <f>IFERROR(IF('Invullen groen'!E44&gt;0,44-17,""),"")</f>
        <v/>
      </c>
      <c r="B31" s="534">
        <f>IFERROR(IF('Invullen groen'!E44&gt;0,'Invullen groen'!A44,""),"")</f>
        <v/>
      </c>
      <c r="C31" s="534">
        <f>IFERROR(IF('Invullen groen'!E44&gt;0,'Invullen groen'!C44,""),"")</f>
        <v/>
      </c>
      <c r="D31" s="534">
        <f>IFERROR(IF('Invullen groen'!E44&gt;0,'Invullen groen'!D44,""),"")</f>
        <v/>
      </c>
      <c r="E31" s="534">
        <f>IFERROR(IF('Invullen groen'!E44&gt;0,'Invullen groen'!G44,""),"")</f>
        <v/>
      </c>
      <c r="F31" s="535">
        <f>IFERROR(IF('Invullen groen'!H44&lt;&gt;0,'Invullen groen'!H44,""),"")</f>
        <v/>
      </c>
      <c r="G31" s="535">
        <f>IFERROR(IF('Invullen groen'!I44&lt;&gt;0,'Invullen groen'!I44,""),"")</f>
        <v/>
      </c>
      <c r="H31" s="535">
        <f>IFERROR(IF('Invullen groen'!J44&lt;&gt;0,'Invullen groen'!J44,""),"")</f>
        <v/>
      </c>
      <c r="I31" s="535">
        <f>IFERROR(IF('Invullen groen'!K44&lt;&gt;0,'Invullen groen'!K44,""),"")</f>
        <v/>
      </c>
    </row>
    <row r="32" ht="15" customHeight="1">
      <c r="A32" s="536">
        <f>IFERROR(IF('Invullen groen'!E45&gt;0,45-17,""),"")</f>
        <v/>
      </c>
      <c r="B32" s="536">
        <f>IFERROR(IF('Invullen groen'!E45&gt;0,'Invullen groen'!A45,""),"")</f>
        <v/>
      </c>
      <c r="C32" s="536">
        <f>IFERROR(IF('Invullen groen'!E45&gt;0,'Invullen groen'!C45,""),"")</f>
        <v/>
      </c>
      <c r="D32" s="536">
        <f>IFERROR(IF('Invullen groen'!E45&gt;0,'Invullen groen'!D45,""),"")</f>
        <v/>
      </c>
      <c r="E32" s="536">
        <f>IFERROR(IF('Invullen groen'!E45&gt;0,'Invullen groen'!G45,""),"")</f>
        <v/>
      </c>
      <c r="F32" s="537">
        <f>IFERROR(IF('Invullen groen'!H45&lt;&gt;0,'Invullen groen'!H45,""),"")</f>
        <v/>
      </c>
      <c r="G32" s="537">
        <f>IFERROR(IF('Invullen groen'!I45&lt;&gt;0,'Invullen groen'!I45,""),"")</f>
        <v/>
      </c>
      <c r="H32" s="537">
        <f>IFERROR(IF('Invullen groen'!J45&lt;&gt;0,'Invullen groen'!J45,""),"")</f>
        <v/>
      </c>
      <c r="I32" s="537">
        <f>IFERROR(IF('Invullen groen'!K45&lt;&gt;0,'Invullen groen'!K45,""),"")</f>
        <v/>
      </c>
    </row>
    <row r="33" ht="15" customHeight="1">
      <c r="A33" s="534">
        <f>IFERROR(IF('Invullen groen'!E46&gt;0,46-17,""),"")</f>
        <v/>
      </c>
      <c r="B33" s="534">
        <f>IFERROR(IF('Invullen groen'!E46&gt;0,'Invullen groen'!A46,""),"")</f>
        <v/>
      </c>
      <c r="C33" s="534">
        <f>IFERROR(IF('Invullen groen'!E46&gt;0,'Invullen groen'!C46,""),"")</f>
        <v/>
      </c>
      <c r="D33" s="534">
        <f>IFERROR(IF('Invullen groen'!E46&gt;0,'Invullen groen'!D46,""),"")</f>
        <v/>
      </c>
      <c r="E33" s="534">
        <f>IFERROR(IF('Invullen groen'!E46&gt;0,'Invullen groen'!G46,""),"")</f>
        <v/>
      </c>
      <c r="F33" s="535">
        <f>IFERROR(IF('Invullen groen'!H46&lt;&gt;0,'Invullen groen'!H46,""),"")</f>
        <v/>
      </c>
      <c r="G33" s="535">
        <f>IFERROR(IF('Invullen groen'!I46&lt;&gt;0,'Invullen groen'!I46,""),"")</f>
        <v/>
      </c>
      <c r="H33" s="535">
        <f>IFERROR(IF('Invullen groen'!J46&lt;&gt;0,'Invullen groen'!J46,""),"")</f>
        <v/>
      </c>
      <c r="I33" s="535">
        <f>IFERROR(IF('Invullen groen'!K46&lt;&gt;0,'Invullen groen'!K46,""),"")</f>
        <v/>
      </c>
    </row>
    <row r="34" ht="15" customHeight="1">
      <c r="A34" s="536">
        <f>IFERROR(IF('Invullen groen'!E47&gt;0,47-17,""),"")</f>
        <v/>
      </c>
      <c r="B34" s="536">
        <f>IFERROR(IF('Invullen groen'!E47&gt;0,'Invullen groen'!A47,""),"")</f>
        <v/>
      </c>
      <c r="C34" s="536">
        <f>IFERROR(IF('Invullen groen'!E47&gt;0,'Invullen groen'!C47,""),"")</f>
        <v/>
      </c>
      <c r="D34" s="536">
        <f>IFERROR(IF('Invullen groen'!E47&gt;0,'Invullen groen'!D47,""),"")</f>
        <v/>
      </c>
      <c r="E34" s="536">
        <f>IFERROR(IF('Invullen groen'!E47&gt;0,'Invullen groen'!G47,""),"")</f>
        <v/>
      </c>
      <c r="F34" s="537">
        <f>IFERROR(IF('Invullen groen'!H47&lt;&gt;0,'Invullen groen'!H47,""),"")</f>
        <v/>
      </c>
      <c r="G34" s="537">
        <f>IFERROR(IF('Invullen groen'!I47&lt;&gt;0,'Invullen groen'!I47,""),"")</f>
        <v/>
      </c>
      <c r="H34" s="537">
        <f>IFERROR(IF('Invullen groen'!J47&lt;&gt;0,'Invullen groen'!J47,""),"")</f>
        <v/>
      </c>
      <c r="I34" s="537">
        <f>IFERROR(IF('Invullen groen'!K47&lt;&gt;0,'Invullen groen'!K47,""),"")</f>
        <v/>
      </c>
    </row>
    <row r="35" ht="15" customHeight="1">
      <c r="A35" s="534">
        <f>IFERROR(IF('Invullen groen'!E48&gt;0,48-17,""),"")</f>
        <v/>
      </c>
      <c r="B35" s="534">
        <f>IFERROR(IF('Invullen groen'!E48&gt;0,'Invullen groen'!A48,""),"")</f>
        <v/>
      </c>
      <c r="C35" s="534">
        <f>IFERROR(IF('Invullen groen'!E48&gt;0,'Invullen groen'!C48,""),"")</f>
        <v/>
      </c>
      <c r="D35" s="534">
        <f>IFERROR(IF('Invullen groen'!E48&gt;0,'Invullen groen'!D48,""),"")</f>
        <v/>
      </c>
      <c r="E35" s="534">
        <f>IFERROR(IF('Invullen groen'!E48&gt;0,'Invullen groen'!G48,""),"")</f>
        <v/>
      </c>
      <c r="F35" s="535">
        <f>IFERROR(IF('Invullen groen'!H48&lt;&gt;0,'Invullen groen'!H48,""),"")</f>
        <v/>
      </c>
      <c r="G35" s="535">
        <f>IFERROR(IF('Invullen groen'!I48&lt;&gt;0,'Invullen groen'!I48,""),"")</f>
        <v/>
      </c>
      <c r="H35" s="535">
        <f>IFERROR(IF('Invullen groen'!J48&lt;&gt;0,'Invullen groen'!J48,""),"")</f>
        <v/>
      </c>
      <c r="I35" s="535">
        <f>IFERROR(IF('Invullen groen'!K48&lt;&gt;0,'Invullen groen'!K48,""),"")</f>
        <v/>
      </c>
    </row>
    <row r="36" ht="15" customHeight="1">
      <c r="A36" s="536">
        <f>IFERROR(IF('Invullen groen'!E49&gt;0,49-17,""),"")</f>
        <v/>
      </c>
      <c r="B36" s="536">
        <f>IFERROR(IF('Invullen groen'!E49&gt;0,'Invullen groen'!A49,""),"")</f>
        <v/>
      </c>
      <c r="C36" s="536">
        <f>IFERROR(IF('Invullen groen'!E49&gt;0,'Invullen groen'!C49,""),"")</f>
        <v/>
      </c>
      <c r="D36" s="536">
        <f>IFERROR(IF('Invullen groen'!E49&gt;0,'Invullen groen'!D49,""),"")</f>
        <v/>
      </c>
      <c r="E36" s="536">
        <f>IFERROR(IF('Invullen groen'!E49&gt;0,'Invullen groen'!G49,""),"")</f>
        <v/>
      </c>
      <c r="F36" s="537">
        <f>IFERROR(IF('Invullen groen'!H49&lt;&gt;0,'Invullen groen'!H49,""),"")</f>
        <v/>
      </c>
      <c r="G36" s="537">
        <f>IFERROR(IF('Invullen groen'!I49&lt;&gt;0,'Invullen groen'!I49,""),"")</f>
        <v/>
      </c>
      <c r="H36" s="537">
        <f>IFERROR(IF('Invullen groen'!J49&lt;&gt;0,'Invullen groen'!J49,""),"")</f>
        <v/>
      </c>
      <c r="I36" s="537">
        <f>IFERROR(IF('Invullen groen'!K49&lt;&gt;0,'Invullen groen'!K49,""),"")</f>
        <v/>
      </c>
    </row>
    <row r="37" ht="15" customHeight="1">
      <c r="A37" s="534">
        <f>IFERROR(IF('Invullen groen'!E50&gt;0,50-17,""),"")</f>
        <v/>
      </c>
      <c r="B37" s="534">
        <f>IFERROR(IF('Invullen groen'!E50&gt;0,'Invullen groen'!A50,""),"")</f>
        <v/>
      </c>
      <c r="C37" s="534">
        <f>IFERROR(IF('Invullen groen'!E50&gt;0,'Invullen groen'!C50,""),"")</f>
        <v/>
      </c>
      <c r="D37" s="534">
        <f>IFERROR(IF('Invullen groen'!E50&gt;0,'Invullen groen'!D50,""),"")</f>
        <v/>
      </c>
      <c r="E37" s="534">
        <f>IFERROR(IF('Invullen groen'!E50&gt;0,'Invullen groen'!G50,""),"")</f>
        <v/>
      </c>
      <c r="F37" s="535">
        <f>IFERROR(IF('Invullen groen'!H50&lt;&gt;0,'Invullen groen'!H50,""),"")</f>
        <v/>
      </c>
      <c r="G37" s="535">
        <f>IFERROR(IF('Invullen groen'!I50&lt;&gt;0,'Invullen groen'!I50,""),"")</f>
        <v/>
      </c>
      <c r="H37" s="535">
        <f>IFERROR(IF('Invullen groen'!J50&lt;&gt;0,'Invullen groen'!J50,""),"")</f>
        <v/>
      </c>
      <c r="I37" s="535">
        <f>IFERROR(IF('Invullen groen'!K50&lt;&gt;0,'Invullen groen'!K50,""),"")</f>
        <v/>
      </c>
    </row>
    <row r="38" ht="15" customHeight="1">
      <c r="A38" s="536">
        <f>IFERROR(IF('Invullen groen'!E51&gt;0,51-17,""),"")</f>
        <v/>
      </c>
      <c r="B38" s="536">
        <f>IFERROR(IF('Invullen groen'!E51&gt;0,'Invullen groen'!A51,""),"")</f>
        <v/>
      </c>
      <c r="C38" s="536">
        <f>IFERROR(IF('Invullen groen'!E51&gt;0,'Invullen groen'!C51,""),"")</f>
        <v/>
      </c>
      <c r="D38" s="536">
        <f>IFERROR(IF('Invullen groen'!E51&gt;0,'Invullen groen'!D51,""),"")</f>
        <v/>
      </c>
      <c r="E38" s="536">
        <f>IFERROR(IF('Invullen groen'!E51&gt;0,'Invullen groen'!G51,""),"")</f>
        <v/>
      </c>
      <c r="F38" s="537">
        <f>IFERROR(IF('Invullen groen'!H51&lt;&gt;0,'Invullen groen'!H51,""),"")</f>
        <v/>
      </c>
      <c r="G38" s="537">
        <f>IFERROR(IF('Invullen groen'!I51&lt;&gt;0,'Invullen groen'!I51,""),"")</f>
        <v/>
      </c>
      <c r="H38" s="537">
        <f>IFERROR(IF('Invullen groen'!J51&lt;&gt;0,'Invullen groen'!J51,""),"")</f>
        <v/>
      </c>
      <c r="I38" s="537">
        <f>IFERROR(IF('Invullen groen'!K51&lt;&gt;0,'Invullen groen'!K51,""),"")</f>
        <v/>
      </c>
    </row>
    <row r="39" ht="15" customHeight="1">
      <c r="A39" s="534">
        <f>IFERROR(IF('Invullen groen'!E52&gt;0,52-17,""),"")</f>
        <v/>
      </c>
      <c r="B39" s="534">
        <f>IFERROR(IF('Invullen groen'!E52&gt;0,'Invullen groen'!A52,""),"")</f>
        <v/>
      </c>
      <c r="C39" s="534">
        <f>IFERROR(IF('Invullen groen'!E52&gt;0,'Invullen groen'!C52,""),"")</f>
        <v/>
      </c>
      <c r="D39" s="534">
        <f>IFERROR(IF('Invullen groen'!E52&gt;0,'Invullen groen'!D52,""),"")</f>
        <v/>
      </c>
      <c r="E39" s="534">
        <f>IFERROR(IF('Invullen groen'!E52&gt;0,'Invullen groen'!G52,""),"")</f>
        <v/>
      </c>
      <c r="F39" s="535">
        <f>IFERROR(IF('Invullen groen'!H52&lt;&gt;0,'Invullen groen'!H52,""),"")</f>
        <v/>
      </c>
      <c r="G39" s="535">
        <f>IFERROR(IF('Invullen groen'!I52&lt;&gt;0,'Invullen groen'!I52,""),"")</f>
        <v/>
      </c>
      <c r="H39" s="535">
        <f>IFERROR(IF('Invullen groen'!J52&lt;&gt;0,'Invullen groen'!J52,""),"")</f>
        <v/>
      </c>
      <c r="I39" s="535">
        <f>IFERROR(IF('Invullen groen'!K52&lt;&gt;0,'Invullen groen'!K52,""),"")</f>
        <v/>
      </c>
    </row>
    <row r="40" ht="15" customHeight="1">
      <c r="A40" s="536">
        <f>IFERROR(IF('Invullen groen'!E53&gt;0,53-17,""),"")</f>
        <v/>
      </c>
      <c r="B40" s="536">
        <f>IFERROR(IF('Invullen groen'!E53&gt;0,'Invullen groen'!A53,""),"")</f>
        <v/>
      </c>
      <c r="C40" s="536">
        <f>IFERROR(IF('Invullen groen'!E53&gt;0,'Invullen groen'!C53,""),"")</f>
        <v/>
      </c>
      <c r="D40" s="536">
        <f>IFERROR(IF('Invullen groen'!E53&gt;0,'Invullen groen'!D53,""),"")</f>
        <v/>
      </c>
      <c r="E40" s="536">
        <f>IFERROR(IF('Invullen groen'!E53&gt;0,'Invullen groen'!G53,""),"")</f>
        <v/>
      </c>
      <c r="F40" s="537">
        <f>IFERROR(IF('Invullen groen'!H53&lt;&gt;0,'Invullen groen'!H53,""),"")</f>
        <v/>
      </c>
      <c r="G40" s="537">
        <f>IFERROR(IF('Invullen groen'!I53&lt;&gt;0,'Invullen groen'!I53,""),"")</f>
        <v/>
      </c>
      <c r="H40" s="537">
        <f>IFERROR(IF('Invullen groen'!J53&lt;&gt;0,'Invullen groen'!J53,""),"")</f>
        <v/>
      </c>
      <c r="I40" s="537">
        <f>IFERROR(IF('Invullen groen'!K53&lt;&gt;0,'Invullen groen'!K53,""),"")</f>
        <v/>
      </c>
    </row>
    <row r="41" ht="15" customHeight="1">
      <c r="A41" s="534">
        <f>IFERROR(IF('Invullen groen'!E54&gt;0,54-17,""),"")</f>
        <v/>
      </c>
      <c r="B41" s="534">
        <f>IFERROR(IF('Invullen groen'!E54&gt;0,'Invullen groen'!A54,""),"")</f>
        <v/>
      </c>
      <c r="C41" s="534">
        <f>IFERROR(IF('Invullen groen'!E54&gt;0,'Invullen groen'!C54,""),"")</f>
        <v/>
      </c>
      <c r="D41" s="534">
        <f>IFERROR(IF('Invullen groen'!E54&gt;0,'Invullen groen'!D54,""),"")</f>
        <v/>
      </c>
      <c r="E41" s="534">
        <f>IFERROR(IF('Invullen groen'!E54&gt;0,'Invullen groen'!G54,""),"")</f>
        <v/>
      </c>
      <c r="F41" s="535">
        <f>IFERROR(IF('Invullen groen'!H54&lt;&gt;0,'Invullen groen'!H54,""),"")</f>
        <v/>
      </c>
      <c r="G41" s="535">
        <f>IFERROR(IF('Invullen groen'!I54&lt;&gt;0,'Invullen groen'!I54,""),"")</f>
        <v/>
      </c>
      <c r="H41" s="535">
        <f>IFERROR(IF('Invullen groen'!J54&lt;&gt;0,'Invullen groen'!J54,""),"")</f>
        <v/>
      </c>
      <c r="I41" s="535">
        <f>IFERROR(IF('Invullen groen'!K54&lt;&gt;0,'Invullen groen'!K54,""),"")</f>
        <v/>
      </c>
    </row>
    <row r="42" ht="15" customHeight="1">
      <c r="A42" s="536">
        <f>IFERROR(IF('Invullen groen'!E55&gt;0,55-17,""),"")</f>
        <v/>
      </c>
      <c r="B42" s="536">
        <f>IFERROR(IF('Invullen groen'!E55&gt;0,'Invullen groen'!A55,""),"")</f>
        <v/>
      </c>
      <c r="C42" s="536">
        <f>IFERROR(IF('Invullen groen'!E55&gt;0,'Invullen groen'!C55,""),"")</f>
        <v/>
      </c>
      <c r="D42" s="536">
        <f>IFERROR(IF('Invullen groen'!E55&gt;0,'Invullen groen'!D55,""),"")</f>
        <v/>
      </c>
      <c r="E42" s="536">
        <f>IFERROR(IF('Invullen groen'!E55&gt;0,'Invullen groen'!G55,""),"")</f>
        <v/>
      </c>
      <c r="F42" s="537">
        <f>IFERROR(IF('Invullen groen'!H55&lt;&gt;0,'Invullen groen'!H55,""),"")</f>
        <v/>
      </c>
      <c r="G42" s="537">
        <f>IFERROR(IF('Invullen groen'!I55&lt;&gt;0,'Invullen groen'!I55,""),"")</f>
        <v/>
      </c>
      <c r="H42" s="537">
        <f>IFERROR(IF('Invullen groen'!J55&lt;&gt;0,'Invullen groen'!J55,""),"")</f>
        <v/>
      </c>
      <c r="I42" s="537">
        <f>IFERROR(IF('Invullen groen'!K55&lt;&gt;0,'Invullen groen'!K55,""),"")</f>
        <v/>
      </c>
    </row>
    <row r="43" ht="15" customHeight="1">
      <c r="A43" s="534">
        <f>IFERROR(IF('Invullen groen'!E56&gt;0,56-17,""),"")</f>
        <v/>
      </c>
      <c r="B43" s="534">
        <f>IFERROR(IF('Invullen groen'!E56&gt;0,'Invullen groen'!A56,""),"")</f>
        <v/>
      </c>
      <c r="C43" s="534">
        <f>IFERROR(IF('Invullen groen'!E56&gt;0,'Invullen groen'!C56,""),"")</f>
        <v/>
      </c>
      <c r="D43" s="534">
        <f>IFERROR(IF('Invullen groen'!E56&gt;0,'Invullen groen'!D56,""),"")</f>
        <v/>
      </c>
      <c r="E43" s="534">
        <f>IFERROR(IF('Invullen groen'!E56&gt;0,'Invullen groen'!G56,""),"")</f>
        <v/>
      </c>
      <c r="F43" s="535">
        <f>IFERROR(IF('Invullen groen'!H56&lt;&gt;0,'Invullen groen'!H56,""),"")</f>
        <v/>
      </c>
      <c r="G43" s="535">
        <f>IFERROR(IF('Invullen groen'!I56&lt;&gt;0,'Invullen groen'!I56,""),"")</f>
        <v/>
      </c>
      <c r="H43" s="535">
        <f>IFERROR(IF('Invullen groen'!J56&lt;&gt;0,'Invullen groen'!J56,""),"")</f>
        <v/>
      </c>
      <c r="I43" s="535">
        <f>IFERROR(IF('Invullen groen'!K56&lt;&gt;0,'Invullen groen'!K56,""),"")</f>
        <v/>
      </c>
    </row>
    <row r="44" ht="15" customHeight="1">
      <c r="A44" s="536">
        <f>IFERROR(IF('Invullen groen'!E57&gt;0,57-17,""),"")</f>
        <v/>
      </c>
      <c r="B44" s="536">
        <f>IFERROR(IF('Invullen groen'!E57&gt;0,'Invullen groen'!A57,""),"")</f>
        <v/>
      </c>
      <c r="C44" s="536">
        <f>IFERROR(IF('Invullen groen'!E57&gt;0,'Invullen groen'!C57,""),"")</f>
        <v/>
      </c>
      <c r="D44" s="536">
        <f>IFERROR(IF('Invullen groen'!E57&gt;0,'Invullen groen'!D57,""),"")</f>
        <v/>
      </c>
      <c r="E44" s="536">
        <f>IFERROR(IF('Invullen groen'!E57&gt;0,'Invullen groen'!G57,""),"")</f>
        <v/>
      </c>
      <c r="F44" s="537">
        <f>IFERROR(IF('Invullen groen'!H57&lt;&gt;0,'Invullen groen'!H57,""),"")</f>
        <v/>
      </c>
      <c r="G44" s="537">
        <f>IFERROR(IF('Invullen groen'!I57&lt;&gt;0,'Invullen groen'!I57,""),"")</f>
        <v/>
      </c>
      <c r="H44" s="537">
        <f>IFERROR(IF('Invullen groen'!J57&lt;&gt;0,'Invullen groen'!J57,""),"")</f>
        <v/>
      </c>
      <c r="I44" s="537">
        <f>IFERROR(IF('Invullen groen'!K57&lt;&gt;0,'Invullen groen'!K57,""),"")</f>
        <v/>
      </c>
    </row>
    <row r="45" ht="15" customHeight="1">
      <c r="A45" s="534">
        <f>IFERROR(IF('Invullen groen'!E58&gt;0,58-17,""),"")</f>
        <v/>
      </c>
      <c r="B45" s="534">
        <f>IFERROR(IF('Invullen groen'!E58&gt;0,'Invullen groen'!A58,""),"")</f>
        <v/>
      </c>
      <c r="C45" s="534">
        <f>IFERROR(IF('Invullen groen'!E58&gt;0,'Invullen groen'!C58,""),"")</f>
        <v/>
      </c>
      <c r="D45" s="534">
        <f>IFERROR(IF('Invullen groen'!E58&gt;0,'Invullen groen'!D58,""),"")</f>
        <v/>
      </c>
      <c r="E45" s="534">
        <f>IFERROR(IF('Invullen groen'!E58&gt;0,'Invullen groen'!G58,""),"")</f>
        <v/>
      </c>
      <c r="F45" s="535">
        <f>IFERROR(IF('Invullen groen'!H58&lt;&gt;0,'Invullen groen'!H58,""),"")</f>
        <v/>
      </c>
      <c r="G45" s="535">
        <f>IFERROR(IF('Invullen groen'!I58&lt;&gt;0,'Invullen groen'!I58,""),"")</f>
        <v/>
      </c>
      <c r="H45" s="535">
        <f>IFERROR(IF('Invullen groen'!J58&lt;&gt;0,'Invullen groen'!J58,""),"")</f>
        <v/>
      </c>
      <c r="I45" s="535">
        <f>IFERROR(IF('Invullen groen'!K58&lt;&gt;0,'Invullen groen'!K58,""),"")</f>
        <v/>
      </c>
    </row>
    <row r="46" ht="15" customHeight="1">
      <c r="A46" s="536">
        <f>IFERROR(IF('Invullen groen'!E59&gt;0,59-17,""),"")</f>
        <v/>
      </c>
      <c r="B46" s="536">
        <f>IFERROR(IF('Invullen groen'!E59&gt;0,'Invullen groen'!A59,""),"")</f>
        <v/>
      </c>
      <c r="C46" s="536">
        <f>IFERROR(IF('Invullen groen'!E59&gt;0,'Invullen groen'!C59,""),"")</f>
        <v/>
      </c>
      <c r="D46" s="536">
        <f>IFERROR(IF('Invullen groen'!E59&gt;0,'Invullen groen'!D59,""),"")</f>
        <v/>
      </c>
      <c r="E46" s="536">
        <f>IFERROR(IF('Invullen groen'!E59&gt;0,'Invullen groen'!G59,""),"")</f>
        <v/>
      </c>
      <c r="F46" s="537">
        <f>IFERROR(IF('Invullen groen'!H59&lt;&gt;0,'Invullen groen'!H59,""),"")</f>
        <v/>
      </c>
      <c r="G46" s="537">
        <f>IFERROR(IF('Invullen groen'!I59&lt;&gt;0,'Invullen groen'!I59,""),"")</f>
        <v/>
      </c>
      <c r="H46" s="537">
        <f>IFERROR(IF('Invullen groen'!J59&lt;&gt;0,'Invullen groen'!J59,""),"")</f>
        <v/>
      </c>
      <c r="I46" s="537">
        <f>IFERROR(IF('Invullen groen'!K59&lt;&gt;0,'Invullen groen'!K59,""),"")</f>
        <v/>
      </c>
    </row>
    <row r="47" ht="15" customHeight="1">
      <c r="A47" s="534">
        <f>IFERROR(IF('Invullen groen'!E60&gt;0,60-17,""),"")</f>
        <v/>
      </c>
      <c r="B47" s="534">
        <f>IFERROR(IF('Invullen groen'!E60&gt;0,'Invullen groen'!A60,""),"")</f>
        <v/>
      </c>
      <c r="C47" s="534">
        <f>IFERROR(IF('Invullen groen'!E60&gt;0,'Invullen groen'!C60,""),"")</f>
        <v/>
      </c>
      <c r="D47" s="534">
        <f>IFERROR(IF('Invullen groen'!E60&gt;0,'Invullen groen'!D60,""),"")</f>
        <v/>
      </c>
      <c r="E47" s="534">
        <f>IFERROR(IF('Invullen groen'!E60&gt;0,'Invullen groen'!G60,""),"")</f>
        <v/>
      </c>
      <c r="F47" s="535">
        <f>IFERROR(IF('Invullen groen'!H60&lt;&gt;0,'Invullen groen'!H60,""),"")</f>
        <v/>
      </c>
      <c r="G47" s="535">
        <f>IFERROR(IF('Invullen groen'!I60&lt;&gt;0,'Invullen groen'!I60,""),"")</f>
        <v/>
      </c>
      <c r="H47" s="535">
        <f>IFERROR(IF('Invullen groen'!J60&lt;&gt;0,'Invullen groen'!J60,""),"")</f>
        <v/>
      </c>
      <c r="I47" s="535">
        <f>IFERROR(IF('Invullen groen'!K60&lt;&gt;0,'Invullen groen'!K60,""),"")</f>
        <v/>
      </c>
    </row>
    <row r="48" ht="15" customHeight="1">
      <c r="A48" s="536">
        <f>IFERROR(IF('Invullen groen'!E61&gt;0,61-17,""),"")</f>
        <v/>
      </c>
      <c r="B48" s="536">
        <f>IFERROR(IF('Invullen groen'!E61&gt;0,'Invullen groen'!A61,""),"")</f>
        <v/>
      </c>
      <c r="C48" s="536">
        <f>IFERROR(IF('Invullen groen'!E61&gt;0,'Invullen groen'!C61,""),"")</f>
        <v/>
      </c>
      <c r="D48" s="536">
        <f>IFERROR(IF('Invullen groen'!E61&gt;0,'Invullen groen'!D61,""),"")</f>
        <v/>
      </c>
      <c r="E48" s="536">
        <f>IFERROR(IF('Invullen groen'!E61&gt;0,'Invullen groen'!G61,""),"")</f>
        <v/>
      </c>
      <c r="F48" s="537">
        <f>IFERROR(IF('Invullen groen'!H61&lt;&gt;0,'Invullen groen'!H61,""),"")</f>
        <v/>
      </c>
      <c r="G48" s="537">
        <f>IFERROR(IF('Invullen groen'!I61&lt;&gt;0,'Invullen groen'!I61,""),"")</f>
        <v/>
      </c>
      <c r="H48" s="537">
        <f>IFERROR(IF('Invullen groen'!J61&lt;&gt;0,'Invullen groen'!J61,""),"")</f>
        <v/>
      </c>
      <c r="I48" s="537">
        <f>IFERROR(IF('Invullen groen'!K61&lt;&gt;0,'Invullen groen'!K61,""),"")</f>
        <v/>
      </c>
    </row>
    <row r="49" ht="15" customHeight="1">
      <c r="A49" s="534">
        <f>IFERROR(IF('Invullen groen'!E62&gt;0,62-17,""),"")</f>
        <v/>
      </c>
      <c r="B49" s="534">
        <f>IFERROR(IF('Invullen groen'!E62&gt;0,'Invullen groen'!A62,""),"")</f>
        <v/>
      </c>
      <c r="C49" s="534">
        <f>IFERROR(IF('Invullen groen'!E62&gt;0,'Invullen groen'!C62,""),"")</f>
        <v/>
      </c>
      <c r="D49" s="534">
        <f>IFERROR(IF('Invullen groen'!E62&gt;0,'Invullen groen'!D62,""),"")</f>
        <v/>
      </c>
      <c r="E49" s="534">
        <f>IFERROR(IF('Invullen groen'!E62&gt;0,'Invullen groen'!G62,""),"")</f>
        <v/>
      </c>
      <c r="F49" s="535">
        <f>IFERROR(IF('Invullen groen'!H62&lt;&gt;0,'Invullen groen'!H62,""),"")</f>
        <v/>
      </c>
      <c r="G49" s="535">
        <f>IFERROR(IF('Invullen groen'!I62&lt;&gt;0,'Invullen groen'!I62,""),"")</f>
        <v/>
      </c>
      <c r="H49" s="535">
        <f>IFERROR(IF('Invullen groen'!J62&lt;&gt;0,'Invullen groen'!J62,""),"")</f>
        <v/>
      </c>
      <c r="I49" s="535">
        <f>IFERROR(IF('Invullen groen'!K62&lt;&gt;0,'Invullen groen'!K62,""),"")</f>
        <v/>
      </c>
    </row>
    <row r="50" ht="15" customHeight="1">
      <c r="A50" s="536">
        <f>IFERROR(IF('Invullen groen'!E63&gt;0,63-17,""),"")</f>
        <v/>
      </c>
      <c r="B50" s="536">
        <f>IFERROR(IF('Invullen groen'!E63&gt;0,'Invullen groen'!A63,""),"")</f>
        <v/>
      </c>
      <c r="C50" s="536">
        <f>IFERROR(IF('Invullen groen'!E63&gt;0,'Invullen groen'!C63,""),"")</f>
        <v/>
      </c>
      <c r="D50" s="536">
        <f>IFERROR(IF('Invullen groen'!E63&gt;0,'Invullen groen'!D63,""),"")</f>
        <v/>
      </c>
      <c r="E50" s="536">
        <f>IFERROR(IF('Invullen groen'!E63&gt;0,'Invullen groen'!G63,""),"")</f>
        <v/>
      </c>
      <c r="F50" s="537">
        <f>IFERROR(IF('Invullen groen'!H63&lt;&gt;0,'Invullen groen'!H63,""),"")</f>
        <v/>
      </c>
      <c r="G50" s="537">
        <f>IFERROR(IF('Invullen groen'!I63&lt;&gt;0,'Invullen groen'!I63,""),"")</f>
        <v/>
      </c>
      <c r="H50" s="537">
        <f>IFERROR(IF('Invullen groen'!J63&lt;&gt;0,'Invullen groen'!J63,""),"")</f>
        <v/>
      </c>
      <c r="I50" s="537">
        <f>IFERROR(IF('Invullen groen'!K63&lt;&gt;0,'Invullen groen'!K63,""),"")</f>
        <v/>
      </c>
    </row>
    <row r="51" ht="15" customHeight="1">
      <c r="A51" s="534">
        <f>IFERROR(IF('Invullen groen'!E64&gt;0,64-17,""),"")</f>
        <v/>
      </c>
      <c r="B51" s="534">
        <f>IFERROR(IF('Invullen groen'!E64&gt;0,'Invullen groen'!A64,""),"")</f>
        <v/>
      </c>
      <c r="C51" s="534">
        <f>IFERROR(IF('Invullen groen'!E64&gt;0,'Invullen groen'!C64,""),"")</f>
        <v/>
      </c>
      <c r="D51" s="534">
        <f>IFERROR(IF('Invullen groen'!E64&gt;0,'Invullen groen'!D64,""),"")</f>
        <v/>
      </c>
      <c r="E51" s="534">
        <f>IFERROR(IF('Invullen groen'!E64&gt;0,'Invullen groen'!G64,""),"")</f>
        <v/>
      </c>
      <c r="F51" s="535">
        <f>IFERROR(IF('Invullen groen'!H64&lt;&gt;0,'Invullen groen'!H64,""),"")</f>
        <v/>
      </c>
      <c r="G51" s="535">
        <f>IFERROR(IF('Invullen groen'!I64&lt;&gt;0,'Invullen groen'!I64,""),"")</f>
        <v/>
      </c>
      <c r="H51" s="535">
        <f>IFERROR(IF('Invullen groen'!J64&lt;&gt;0,'Invullen groen'!J64,""),"")</f>
        <v/>
      </c>
      <c r="I51" s="535">
        <f>IFERROR(IF('Invullen groen'!K64&lt;&gt;0,'Invullen groen'!K64,""),"")</f>
        <v/>
      </c>
    </row>
    <row r="52" ht="15" customHeight="1">
      <c r="A52" s="536">
        <f>IFERROR(IF('Invullen groen'!E65&gt;0,65-17,""),"")</f>
        <v/>
      </c>
      <c r="B52" s="536">
        <f>IFERROR(IF('Invullen groen'!E65&gt;0,'Invullen groen'!A65,""),"")</f>
        <v/>
      </c>
      <c r="C52" s="536">
        <f>IFERROR(IF('Invullen groen'!E65&gt;0,'Invullen groen'!C65,""),"")</f>
        <v/>
      </c>
      <c r="D52" s="536">
        <f>IFERROR(IF('Invullen groen'!E65&gt;0,'Invullen groen'!D65,""),"")</f>
        <v/>
      </c>
      <c r="E52" s="536">
        <f>IFERROR(IF('Invullen groen'!E65&gt;0,'Invullen groen'!G65,""),"")</f>
        <v/>
      </c>
      <c r="F52" s="537">
        <f>IFERROR(IF('Invullen groen'!H65&lt;&gt;0,'Invullen groen'!H65,""),"")</f>
        <v/>
      </c>
      <c r="G52" s="537">
        <f>IFERROR(IF('Invullen groen'!I65&lt;&gt;0,'Invullen groen'!I65,""),"")</f>
        <v/>
      </c>
      <c r="H52" s="537">
        <f>IFERROR(IF('Invullen groen'!J65&lt;&gt;0,'Invullen groen'!J65,""),"")</f>
        <v/>
      </c>
      <c r="I52" s="537">
        <f>IFERROR(IF('Invullen groen'!K65&lt;&gt;0,'Invullen groen'!K65,""),"")</f>
        <v/>
      </c>
    </row>
    <row r="53" ht="15" customHeight="1">
      <c r="A53" s="534">
        <f>IFERROR(IF('Invullen groen'!E66&gt;0,66-17,""),"")</f>
        <v/>
      </c>
      <c r="B53" s="534">
        <f>IFERROR(IF('Invullen groen'!E66&gt;0,'Invullen groen'!A66,""),"")</f>
        <v/>
      </c>
      <c r="C53" s="534">
        <f>IFERROR(IF('Invullen groen'!E66&gt;0,'Invullen groen'!C66,""),"")</f>
        <v/>
      </c>
      <c r="D53" s="534">
        <f>IFERROR(IF('Invullen groen'!E66&gt;0,'Invullen groen'!D66,""),"")</f>
        <v/>
      </c>
      <c r="E53" s="534">
        <f>IFERROR(IF('Invullen groen'!E66&gt;0,'Invullen groen'!G66,""),"")</f>
        <v/>
      </c>
      <c r="F53" s="535">
        <f>IFERROR(IF('Invullen groen'!H66&lt;&gt;0,'Invullen groen'!H66,""),"")</f>
        <v/>
      </c>
      <c r="G53" s="535">
        <f>IFERROR(IF('Invullen groen'!I66&lt;&gt;0,'Invullen groen'!I66,""),"")</f>
        <v/>
      </c>
      <c r="H53" s="535">
        <f>IFERROR(IF('Invullen groen'!J66&lt;&gt;0,'Invullen groen'!J66,""),"")</f>
        <v/>
      </c>
      <c r="I53" s="535">
        <f>IFERROR(IF('Invullen groen'!K66&lt;&gt;0,'Invullen groen'!K66,""),"")</f>
        <v/>
      </c>
    </row>
    <row r="54" ht="15" customHeight="1">
      <c r="A54" s="536">
        <f>IFERROR(IF('Invullen groen'!E67&gt;0,67-17,""),"")</f>
        <v/>
      </c>
      <c r="B54" s="536">
        <f>IFERROR(IF('Invullen groen'!E67&gt;0,'Invullen groen'!A67,""),"")</f>
        <v/>
      </c>
      <c r="C54" s="536">
        <f>IFERROR(IF('Invullen groen'!E67&gt;0,'Invullen groen'!C67,""),"")</f>
        <v/>
      </c>
      <c r="D54" s="536">
        <f>IFERROR(IF('Invullen groen'!E67&gt;0,'Invullen groen'!D67,""),"")</f>
        <v/>
      </c>
      <c r="E54" s="536">
        <f>IFERROR(IF('Invullen groen'!E67&gt;0,'Invullen groen'!G67,""),"")</f>
        <v/>
      </c>
      <c r="F54" s="537">
        <f>IFERROR(IF('Invullen groen'!H67&lt;&gt;0,'Invullen groen'!H67,""),"")</f>
        <v/>
      </c>
      <c r="G54" s="537">
        <f>IFERROR(IF('Invullen groen'!I67&lt;&gt;0,'Invullen groen'!I67,""),"")</f>
        <v/>
      </c>
      <c r="H54" s="537">
        <f>IFERROR(IF('Invullen groen'!J67&lt;&gt;0,'Invullen groen'!J67,""),"")</f>
        <v/>
      </c>
      <c r="I54" s="537">
        <f>IFERROR(IF('Invullen groen'!K67&lt;&gt;0,'Invullen groen'!K67,""),"")</f>
        <v/>
      </c>
    </row>
    <row r="55" ht="15" customHeight="1">
      <c r="A55" s="534">
        <f>IFERROR(IF('Invullen groen'!E68&gt;0,68-17,""),"")</f>
        <v/>
      </c>
      <c r="B55" s="534">
        <f>IFERROR(IF('Invullen groen'!E68&gt;0,'Invullen groen'!A68,""),"")</f>
        <v/>
      </c>
      <c r="C55" s="534">
        <f>IFERROR(IF('Invullen groen'!E68&gt;0,'Invullen groen'!C68,""),"")</f>
        <v/>
      </c>
      <c r="D55" s="534">
        <f>IFERROR(IF('Invullen groen'!E68&gt;0,'Invullen groen'!D68,""),"")</f>
        <v/>
      </c>
      <c r="E55" s="534">
        <f>IFERROR(IF('Invullen groen'!E68&gt;0,'Invullen groen'!G68,""),"")</f>
        <v/>
      </c>
      <c r="F55" s="535">
        <f>IFERROR(IF('Invullen groen'!H68&lt;&gt;0,'Invullen groen'!H68,""),"")</f>
        <v/>
      </c>
      <c r="G55" s="535">
        <f>IFERROR(IF('Invullen groen'!I68&lt;&gt;0,'Invullen groen'!I68,""),"")</f>
        <v/>
      </c>
      <c r="H55" s="535">
        <f>IFERROR(IF('Invullen groen'!J68&lt;&gt;0,'Invullen groen'!J68,""),"")</f>
        <v/>
      </c>
      <c r="I55" s="535">
        <f>IFERROR(IF('Invullen groen'!K68&lt;&gt;0,'Invullen groen'!K68,""),"")</f>
        <v/>
      </c>
    </row>
    <row r="56" ht="15" customHeight="1">
      <c r="A56" s="536">
        <f>IFERROR(IF('Invullen groen'!E69&gt;0,69-17,""),"")</f>
        <v/>
      </c>
      <c r="B56" s="536">
        <f>IFERROR(IF('Invullen groen'!E69&gt;0,'Invullen groen'!A69,""),"")</f>
        <v/>
      </c>
      <c r="C56" s="536">
        <f>IFERROR(IF('Invullen groen'!E69&gt;0,'Invullen groen'!C69,""),"")</f>
        <v/>
      </c>
      <c r="D56" s="536">
        <f>IFERROR(IF('Invullen groen'!E69&gt;0,'Invullen groen'!D69,""),"")</f>
        <v/>
      </c>
      <c r="E56" s="536">
        <f>IFERROR(IF('Invullen groen'!E69&gt;0,'Invullen groen'!G69,""),"")</f>
        <v/>
      </c>
      <c r="F56" s="537">
        <f>IFERROR(IF('Invullen groen'!H69&lt;&gt;0,'Invullen groen'!H69,""),"")</f>
        <v/>
      </c>
      <c r="G56" s="537">
        <f>IFERROR(IF('Invullen groen'!I69&lt;&gt;0,'Invullen groen'!I69,""),"")</f>
        <v/>
      </c>
      <c r="H56" s="537">
        <f>IFERROR(IF('Invullen groen'!J69&lt;&gt;0,'Invullen groen'!J69,""),"")</f>
        <v/>
      </c>
      <c r="I56" s="537">
        <f>IFERROR(IF('Invullen groen'!K69&lt;&gt;0,'Invullen groen'!K69,""),"")</f>
        <v/>
      </c>
    </row>
    <row r="57" ht="15" customHeight="1">
      <c r="A57" s="534">
        <f>IFERROR(IF('Invullen groen'!E70&gt;0,70-17,""),"")</f>
        <v/>
      </c>
      <c r="B57" s="534">
        <f>IFERROR(IF('Invullen groen'!E70&gt;0,'Invullen groen'!A70,""),"")</f>
        <v/>
      </c>
      <c r="C57" s="534">
        <f>IFERROR(IF('Invullen groen'!E70&gt;0,'Invullen groen'!C70,""),"")</f>
        <v/>
      </c>
      <c r="D57" s="534">
        <f>IFERROR(IF('Invullen groen'!E70&gt;0,'Invullen groen'!D70,""),"")</f>
        <v/>
      </c>
      <c r="E57" s="534">
        <f>IFERROR(IF('Invullen groen'!E70&gt;0,'Invullen groen'!G70,""),"")</f>
        <v/>
      </c>
      <c r="F57" s="535">
        <f>IFERROR(IF('Invullen groen'!H70&lt;&gt;0,'Invullen groen'!H70,""),"")</f>
        <v/>
      </c>
      <c r="G57" s="535">
        <f>IFERROR(IF('Invullen groen'!I70&lt;&gt;0,'Invullen groen'!I70,""),"")</f>
        <v/>
      </c>
      <c r="H57" s="535">
        <f>IFERROR(IF('Invullen groen'!J70&lt;&gt;0,'Invullen groen'!J70,""),"")</f>
        <v/>
      </c>
      <c r="I57" s="535">
        <f>IFERROR(IF('Invullen groen'!K70&lt;&gt;0,'Invullen groen'!K70,""),"")</f>
        <v/>
      </c>
    </row>
    <row r="58" ht="15" customHeight="1">
      <c r="A58" s="536">
        <f>IFERROR(IF('Invullen groen'!E71&gt;0,71-17,""),"")</f>
        <v/>
      </c>
      <c r="B58" s="536">
        <f>IFERROR(IF('Invullen groen'!E71&gt;0,'Invullen groen'!A71,""),"")</f>
        <v/>
      </c>
      <c r="C58" s="536">
        <f>IFERROR(IF('Invullen groen'!E71&gt;0,'Invullen groen'!C71,""),"")</f>
        <v/>
      </c>
      <c r="D58" s="536">
        <f>IFERROR(IF('Invullen groen'!E71&gt;0,'Invullen groen'!D71,""),"")</f>
        <v/>
      </c>
      <c r="E58" s="536">
        <f>IFERROR(IF('Invullen groen'!E71&gt;0,'Invullen groen'!G71,""),"")</f>
        <v/>
      </c>
      <c r="F58" s="537">
        <f>IFERROR(IF('Invullen groen'!H71&lt;&gt;0,'Invullen groen'!H71,""),"")</f>
        <v/>
      </c>
      <c r="G58" s="537">
        <f>IFERROR(IF('Invullen groen'!I71&lt;&gt;0,'Invullen groen'!I71,""),"")</f>
        <v/>
      </c>
      <c r="H58" s="537">
        <f>IFERROR(IF('Invullen groen'!J71&lt;&gt;0,'Invullen groen'!J71,""),"")</f>
        <v/>
      </c>
      <c r="I58" s="537">
        <f>IFERROR(IF('Invullen groen'!K71&lt;&gt;0,'Invullen groen'!K71,""),"")</f>
        <v/>
      </c>
    </row>
    <row r="59" ht="15" customHeight="1">
      <c r="A59" s="534">
        <f>IFERROR(IF('Invullen groen'!E72&gt;0,72-17,""),"")</f>
        <v/>
      </c>
      <c r="B59" s="534">
        <f>IFERROR(IF('Invullen groen'!E72&gt;0,'Invullen groen'!A72,""),"")</f>
        <v/>
      </c>
      <c r="C59" s="534">
        <f>IFERROR(IF('Invullen groen'!E72&gt;0,'Invullen groen'!C72,""),"")</f>
        <v/>
      </c>
      <c r="D59" s="534">
        <f>IFERROR(IF('Invullen groen'!E72&gt;0,'Invullen groen'!D72,""),"")</f>
        <v/>
      </c>
      <c r="E59" s="534">
        <f>IFERROR(IF('Invullen groen'!E72&gt;0,'Invullen groen'!G72,""),"")</f>
        <v/>
      </c>
      <c r="F59" s="535">
        <f>IFERROR(IF('Invullen groen'!H72&lt;&gt;0,'Invullen groen'!H72,""),"")</f>
        <v/>
      </c>
      <c r="G59" s="535">
        <f>IFERROR(IF('Invullen groen'!I72&lt;&gt;0,'Invullen groen'!I72,""),"")</f>
        <v/>
      </c>
      <c r="H59" s="535">
        <f>IFERROR(IF('Invullen groen'!J72&lt;&gt;0,'Invullen groen'!J72,""),"")</f>
        <v/>
      </c>
      <c r="I59" s="535">
        <f>IFERROR(IF('Invullen groen'!K72&lt;&gt;0,'Invullen groen'!K72,""),"")</f>
        <v/>
      </c>
    </row>
    <row r="60" ht="15" customHeight="1">
      <c r="A60" s="536">
        <f>IFERROR(IF('Invullen groen'!E73&gt;0,73-17,""),"")</f>
        <v/>
      </c>
      <c r="B60" s="536">
        <f>IFERROR(IF('Invullen groen'!E73&gt;0,'Invullen groen'!A73,""),"")</f>
        <v/>
      </c>
      <c r="C60" s="536">
        <f>IFERROR(IF('Invullen groen'!E73&gt;0,'Invullen groen'!C73,""),"")</f>
        <v/>
      </c>
      <c r="D60" s="536">
        <f>IFERROR(IF('Invullen groen'!E73&gt;0,'Invullen groen'!D73,""),"")</f>
        <v/>
      </c>
      <c r="E60" s="536">
        <f>IFERROR(IF('Invullen groen'!E73&gt;0,'Invullen groen'!G73,""),"")</f>
        <v/>
      </c>
      <c r="F60" s="537">
        <f>IFERROR(IF('Invullen groen'!H73&lt;&gt;0,'Invullen groen'!H73,""),"")</f>
        <v/>
      </c>
      <c r="G60" s="537">
        <f>IFERROR(IF('Invullen groen'!I73&lt;&gt;0,'Invullen groen'!I73,""),"")</f>
        <v/>
      </c>
      <c r="H60" s="537">
        <f>IFERROR(IF('Invullen groen'!J73&lt;&gt;0,'Invullen groen'!J73,""),"")</f>
        <v/>
      </c>
      <c r="I60" s="537">
        <f>IFERROR(IF('Invullen groen'!K73&lt;&gt;0,'Invullen groen'!K73,""),"")</f>
        <v/>
      </c>
    </row>
    <row r="61" ht="15" customHeight="1">
      <c r="A61" s="534">
        <f>IFERROR(IF('Invullen groen'!E74&gt;0,74-17,""),"")</f>
        <v/>
      </c>
      <c r="B61" s="534">
        <f>IFERROR(IF('Invullen groen'!E74&gt;0,'Invullen groen'!A74,""),"")</f>
        <v/>
      </c>
      <c r="C61" s="534">
        <f>IFERROR(IF('Invullen groen'!E74&gt;0,'Invullen groen'!C74,""),"")</f>
        <v/>
      </c>
      <c r="D61" s="534">
        <f>IFERROR(IF('Invullen groen'!E74&gt;0,'Invullen groen'!D74,""),"")</f>
        <v/>
      </c>
      <c r="E61" s="534">
        <f>IFERROR(IF('Invullen groen'!E74&gt;0,'Invullen groen'!G74,""),"")</f>
        <v/>
      </c>
      <c r="F61" s="535">
        <f>IFERROR(IF('Invullen groen'!H74&lt;&gt;0,'Invullen groen'!H74,""),"")</f>
        <v/>
      </c>
      <c r="G61" s="535">
        <f>IFERROR(IF('Invullen groen'!I74&lt;&gt;0,'Invullen groen'!I74,""),"")</f>
        <v/>
      </c>
      <c r="H61" s="535">
        <f>IFERROR(IF('Invullen groen'!J74&lt;&gt;0,'Invullen groen'!J74,""),"")</f>
        <v/>
      </c>
      <c r="I61" s="535">
        <f>IFERROR(IF('Invullen groen'!K74&lt;&gt;0,'Invullen groen'!K74,""),"")</f>
        <v/>
      </c>
    </row>
    <row r="62" ht="15" customHeight="1">
      <c r="A62" s="536">
        <f>IFERROR(IF('Invullen groen'!E75&gt;0,75-17,""),"")</f>
        <v/>
      </c>
      <c r="B62" s="536">
        <f>IFERROR(IF('Invullen groen'!E75&gt;0,'Invullen groen'!A75,""),"")</f>
        <v/>
      </c>
      <c r="C62" s="536">
        <f>IFERROR(IF('Invullen groen'!E75&gt;0,'Invullen groen'!C75,""),"")</f>
        <v/>
      </c>
      <c r="D62" s="536">
        <f>IFERROR(IF('Invullen groen'!E75&gt;0,'Invullen groen'!D75,""),"")</f>
        <v/>
      </c>
      <c r="E62" s="536">
        <f>IFERROR(IF('Invullen groen'!E75&gt;0,'Invullen groen'!G75,""),"")</f>
        <v/>
      </c>
      <c r="F62" s="537">
        <f>IFERROR(IF('Invullen groen'!H75&lt;&gt;0,'Invullen groen'!H75,""),"")</f>
        <v/>
      </c>
      <c r="G62" s="537">
        <f>IFERROR(IF('Invullen groen'!I75&lt;&gt;0,'Invullen groen'!I75,""),"")</f>
        <v/>
      </c>
      <c r="H62" s="537">
        <f>IFERROR(IF('Invullen groen'!J75&lt;&gt;0,'Invullen groen'!J75,""),"")</f>
        <v/>
      </c>
      <c r="I62" s="537">
        <f>IFERROR(IF('Invullen groen'!K75&lt;&gt;0,'Invullen groen'!K75,""),"")</f>
        <v/>
      </c>
    </row>
    <row r="63" ht="15" customHeight="1">
      <c r="A63" s="534">
        <f>IFERROR(IF('Invullen groen'!E76&gt;0,76-17,""),"")</f>
        <v/>
      </c>
      <c r="B63" s="534">
        <f>IFERROR(IF('Invullen groen'!E76&gt;0,'Invullen groen'!A76,""),"")</f>
        <v/>
      </c>
      <c r="C63" s="534">
        <f>IFERROR(IF('Invullen groen'!E76&gt;0,'Invullen groen'!C76,""),"")</f>
        <v/>
      </c>
      <c r="D63" s="534">
        <f>IFERROR(IF('Invullen groen'!E76&gt;0,'Invullen groen'!D76,""),"")</f>
        <v/>
      </c>
      <c r="E63" s="534">
        <f>IFERROR(IF('Invullen groen'!E76&gt;0,'Invullen groen'!G76,""),"")</f>
        <v/>
      </c>
      <c r="F63" s="535">
        <f>IFERROR(IF('Invullen groen'!H76&lt;&gt;0,'Invullen groen'!H76,""),"")</f>
        <v/>
      </c>
      <c r="G63" s="535">
        <f>IFERROR(IF('Invullen groen'!I76&lt;&gt;0,'Invullen groen'!I76,""),"")</f>
        <v/>
      </c>
      <c r="H63" s="535">
        <f>IFERROR(IF('Invullen groen'!J76&lt;&gt;0,'Invullen groen'!J76,""),"")</f>
        <v/>
      </c>
      <c r="I63" s="535">
        <f>IFERROR(IF('Invullen groen'!K76&lt;&gt;0,'Invullen groen'!K76,""),"")</f>
        <v/>
      </c>
    </row>
    <row r="64" ht="15" customHeight="1">
      <c r="A64" s="536">
        <f>IFERROR(IF('Invullen groen'!E77&gt;0,77-17,""),"")</f>
        <v/>
      </c>
      <c r="B64" s="536">
        <f>IFERROR(IF('Invullen groen'!E77&gt;0,'Invullen groen'!A77,""),"")</f>
        <v/>
      </c>
      <c r="C64" s="536">
        <f>IFERROR(IF('Invullen groen'!E77&gt;0,'Invullen groen'!C77,""),"")</f>
        <v/>
      </c>
      <c r="D64" s="536">
        <f>IFERROR(IF('Invullen groen'!E77&gt;0,'Invullen groen'!D77,""),"")</f>
        <v/>
      </c>
      <c r="E64" s="536">
        <f>IFERROR(IF('Invullen groen'!E77&gt;0,'Invullen groen'!G77,""),"")</f>
        <v/>
      </c>
      <c r="F64" s="537">
        <f>IFERROR(IF('Invullen groen'!H77&lt;&gt;0,'Invullen groen'!H77,""),"")</f>
        <v/>
      </c>
      <c r="G64" s="537">
        <f>IFERROR(IF('Invullen groen'!I77&lt;&gt;0,'Invullen groen'!I77,""),"")</f>
        <v/>
      </c>
      <c r="H64" s="537">
        <f>IFERROR(IF('Invullen groen'!J77&lt;&gt;0,'Invullen groen'!J77,""),"")</f>
        <v/>
      </c>
      <c r="I64" s="537">
        <f>IFERROR(IF('Invullen groen'!K77&lt;&gt;0,'Invullen groen'!K77,""),"")</f>
        <v/>
      </c>
    </row>
    <row r="65" ht="15" customHeight="1">
      <c r="A65" s="534">
        <f>IFERROR(IF('Invullen groen'!E78&gt;0,78-17,""),"")</f>
        <v/>
      </c>
      <c r="B65" s="534">
        <f>IFERROR(IF('Invullen groen'!E78&gt;0,'Invullen groen'!A78,""),"")</f>
        <v/>
      </c>
      <c r="C65" s="534">
        <f>IFERROR(IF('Invullen groen'!E78&gt;0,'Invullen groen'!C78,""),"")</f>
        <v/>
      </c>
      <c r="D65" s="534">
        <f>IFERROR(IF('Invullen groen'!E78&gt;0,'Invullen groen'!D78,""),"")</f>
        <v/>
      </c>
      <c r="E65" s="534">
        <f>IFERROR(IF('Invullen groen'!E78&gt;0,'Invullen groen'!G78,""),"")</f>
        <v/>
      </c>
      <c r="F65" s="535">
        <f>IFERROR(IF('Invullen groen'!H78&lt;&gt;0,'Invullen groen'!H78,""),"")</f>
        <v/>
      </c>
      <c r="G65" s="535">
        <f>IFERROR(IF('Invullen groen'!I78&lt;&gt;0,'Invullen groen'!I78,""),"")</f>
        <v/>
      </c>
      <c r="H65" s="535">
        <f>IFERROR(IF('Invullen groen'!J78&lt;&gt;0,'Invullen groen'!J78,""),"")</f>
        <v/>
      </c>
      <c r="I65" s="535">
        <f>IFERROR(IF('Invullen groen'!K78&lt;&gt;0,'Invullen groen'!K78,""),"")</f>
        <v/>
      </c>
    </row>
    <row r="66" ht="15" customHeight="1">
      <c r="A66" s="536">
        <f>IFERROR(IF('Invullen groen'!E79&gt;0,79-17,""),"")</f>
        <v/>
      </c>
      <c r="B66" s="536">
        <f>IFERROR(IF('Invullen groen'!E79&gt;0,'Invullen groen'!A79,""),"")</f>
        <v/>
      </c>
      <c r="C66" s="536">
        <f>IFERROR(IF('Invullen groen'!E79&gt;0,'Invullen groen'!C79,""),"")</f>
        <v/>
      </c>
      <c r="D66" s="536">
        <f>IFERROR(IF('Invullen groen'!E79&gt;0,'Invullen groen'!D79,""),"")</f>
        <v/>
      </c>
      <c r="E66" s="536">
        <f>IFERROR(IF('Invullen groen'!E79&gt;0,'Invullen groen'!G79,""),"")</f>
        <v/>
      </c>
      <c r="F66" s="537">
        <f>IFERROR(IF('Invullen groen'!H79&lt;&gt;0,'Invullen groen'!H79,""),"")</f>
        <v/>
      </c>
      <c r="G66" s="537">
        <f>IFERROR(IF('Invullen groen'!I79&lt;&gt;0,'Invullen groen'!I79,""),"")</f>
        <v/>
      </c>
      <c r="H66" s="537">
        <f>IFERROR(IF('Invullen groen'!J79&lt;&gt;0,'Invullen groen'!J79,""),"")</f>
        <v/>
      </c>
      <c r="I66" s="537">
        <f>IFERROR(IF('Invullen groen'!K79&lt;&gt;0,'Invullen groen'!K79,""),"")</f>
        <v/>
      </c>
    </row>
    <row r="67" ht="15" customHeight="1">
      <c r="A67" s="534">
        <f>IFERROR(IF('Invullen groen'!E80&gt;0,80-17,""),"")</f>
        <v/>
      </c>
      <c r="B67" s="534">
        <f>IFERROR(IF('Invullen groen'!E80&gt;0,'Invullen groen'!A80,""),"")</f>
        <v/>
      </c>
      <c r="C67" s="534">
        <f>IFERROR(IF('Invullen groen'!E80&gt;0,'Invullen groen'!C80,""),"")</f>
        <v/>
      </c>
      <c r="D67" s="534">
        <f>IFERROR(IF('Invullen groen'!E80&gt;0,'Invullen groen'!D80,""),"")</f>
        <v/>
      </c>
      <c r="E67" s="534">
        <f>IFERROR(IF('Invullen groen'!E80&gt;0,'Invullen groen'!G80,""),"")</f>
        <v/>
      </c>
      <c r="F67" s="535">
        <f>IFERROR(IF('Invullen groen'!H80&lt;&gt;0,'Invullen groen'!H80,""),"")</f>
        <v/>
      </c>
      <c r="G67" s="535">
        <f>IFERROR(IF('Invullen groen'!I80&lt;&gt;0,'Invullen groen'!I80,""),"")</f>
        <v/>
      </c>
      <c r="H67" s="535">
        <f>IFERROR(IF('Invullen groen'!J80&lt;&gt;0,'Invullen groen'!J80,""),"")</f>
        <v/>
      </c>
      <c r="I67" s="535">
        <f>IFERROR(IF('Invullen groen'!K80&lt;&gt;0,'Invullen groen'!K80,""),"")</f>
        <v/>
      </c>
    </row>
    <row r="68" ht="15" customHeight="1">
      <c r="A68" s="536">
        <f>IFERROR(IF('Invullen groen'!E81&gt;0,81-17,""),"")</f>
        <v/>
      </c>
      <c r="B68" s="536">
        <f>IFERROR(IF('Invullen groen'!E81&gt;0,'Invullen groen'!A81,""),"")</f>
        <v/>
      </c>
      <c r="C68" s="536">
        <f>IFERROR(IF('Invullen groen'!E81&gt;0,'Invullen groen'!C81,""),"")</f>
        <v/>
      </c>
      <c r="D68" s="536">
        <f>IFERROR(IF('Invullen groen'!E81&gt;0,'Invullen groen'!D81,""),"")</f>
        <v/>
      </c>
      <c r="E68" s="536">
        <f>IFERROR(IF('Invullen groen'!E81&gt;0,'Invullen groen'!G81,""),"")</f>
        <v/>
      </c>
      <c r="F68" s="537">
        <f>IFERROR(IF('Invullen groen'!H81&lt;&gt;0,'Invullen groen'!H81,""),"")</f>
        <v/>
      </c>
      <c r="G68" s="537">
        <f>IFERROR(IF('Invullen groen'!I81&lt;&gt;0,'Invullen groen'!I81,""),"")</f>
        <v/>
      </c>
      <c r="H68" s="537">
        <f>IFERROR(IF('Invullen groen'!J81&lt;&gt;0,'Invullen groen'!J81,""),"")</f>
        <v/>
      </c>
      <c r="I68" s="537">
        <f>IFERROR(IF('Invullen groen'!K81&lt;&gt;0,'Invullen groen'!K81,""),"")</f>
        <v/>
      </c>
    </row>
    <row r="69" ht="15" customHeight="1">
      <c r="A69" s="534">
        <f>IFERROR(IF('Invullen groen'!E82&gt;0,82-17,""),"")</f>
        <v/>
      </c>
      <c r="B69" s="534">
        <f>IFERROR(IF('Invullen groen'!E82&gt;0,'Invullen groen'!A82,""),"")</f>
        <v/>
      </c>
      <c r="C69" s="534">
        <f>IFERROR(IF('Invullen groen'!E82&gt;0,'Invullen groen'!C82,""),"")</f>
        <v/>
      </c>
      <c r="D69" s="534">
        <f>IFERROR(IF('Invullen groen'!E82&gt;0,'Invullen groen'!D82,""),"")</f>
        <v/>
      </c>
      <c r="E69" s="534">
        <f>IFERROR(IF('Invullen groen'!E82&gt;0,'Invullen groen'!G82,""),"")</f>
        <v/>
      </c>
      <c r="F69" s="535">
        <f>IFERROR(IF('Invullen groen'!H82&lt;&gt;0,'Invullen groen'!H82,""),"")</f>
        <v/>
      </c>
      <c r="G69" s="535">
        <f>IFERROR(IF('Invullen groen'!I82&lt;&gt;0,'Invullen groen'!I82,""),"")</f>
        <v/>
      </c>
      <c r="H69" s="535">
        <f>IFERROR(IF('Invullen groen'!J82&lt;&gt;0,'Invullen groen'!J82,""),"")</f>
        <v/>
      </c>
      <c r="I69" s="535">
        <f>IFERROR(IF('Invullen groen'!K82&lt;&gt;0,'Invullen groen'!K82,""),"")</f>
        <v/>
      </c>
    </row>
    <row r="70" ht="15" customHeight="1">
      <c r="A70" s="536">
        <f>IFERROR(IF('Invullen groen'!E83&gt;0,83-17,""),"")</f>
        <v/>
      </c>
      <c r="B70" s="536">
        <f>IFERROR(IF('Invullen groen'!E83&gt;0,'Invullen groen'!A83,""),"")</f>
        <v/>
      </c>
      <c r="C70" s="536">
        <f>IFERROR(IF('Invullen groen'!E83&gt;0,'Invullen groen'!C83,""),"")</f>
        <v/>
      </c>
      <c r="D70" s="536">
        <f>IFERROR(IF('Invullen groen'!E83&gt;0,'Invullen groen'!D83,""),"")</f>
        <v/>
      </c>
      <c r="E70" s="536">
        <f>IFERROR(IF('Invullen groen'!E83&gt;0,'Invullen groen'!G83,""),"")</f>
        <v/>
      </c>
      <c r="F70" s="537">
        <f>IFERROR(IF('Invullen groen'!H83&lt;&gt;0,'Invullen groen'!H83,""),"")</f>
        <v/>
      </c>
      <c r="G70" s="537">
        <f>IFERROR(IF('Invullen groen'!I83&lt;&gt;0,'Invullen groen'!I83,""),"")</f>
        <v/>
      </c>
      <c r="H70" s="537">
        <f>IFERROR(IF('Invullen groen'!J83&lt;&gt;0,'Invullen groen'!J83,""),"")</f>
        <v/>
      </c>
      <c r="I70" s="537">
        <f>IFERROR(IF('Invullen groen'!K83&lt;&gt;0,'Invullen groen'!K83,""),"")</f>
        <v/>
      </c>
    </row>
    <row r="71" ht="15" customHeight="1">
      <c r="A71" s="534">
        <f>IFERROR(IF('Invullen groen'!E84&gt;0,84-17,""),"")</f>
        <v/>
      </c>
      <c r="B71" s="534">
        <f>IFERROR(IF('Invullen groen'!E84&gt;0,'Invullen groen'!A84,""),"")</f>
        <v/>
      </c>
      <c r="C71" s="534">
        <f>IFERROR(IF('Invullen groen'!E84&gt;0,'Invullen groen'!C84,""),"")</f>
        <v/>
      </c>
      <c r="D71" s="534">
        <f>IFERROR(IF('Invullen groen'!E84&gt;0,'Invullen groen'!D84,""),"")</f>
        <v/>
      </c>
      <c r="E71" s="534">
        <f>IFERROR(IF('Invullen groen'!E84&gt;0,'Invullen groen'!G84,""),"")</f>
        <v/>
      </c>
      <c r="F71" s="535">
        <f>IFERROR(IF('Invullen groen'!H84&lt;&gt;0,'Invullen groen'!H84,""),"")</f>
        <v/>
      </c>
      <c r="G71" s="535">
        <f>IFERROR(IF('Invullen groen'!I84&lt;&gt;0,'Invullen groen'!I84,""),"")</f>
        <v/>
      </c>
      <c r="H71" s="535">
        <f>IFERROR(IF('Invullen groen'!J84&lt;&gt;0,'Invullen groen'!J84,""),"")</f>
        <v/>
      </c>
      <c r="I71" s="535">
        <f>IFERROR(IF('Invullen groen'!K84&lt;&gt;0,'Invullen groen'!K84,""),"")</f>
        <v/>
      </c>
    </row>
    <row r="72" ht="15" customHeight="1">
      <c r="A72" s="536">
        <f>IFERROR(IF('Invullen groen'!E85&gt;0,85-17,""),"")</f>
        <v/>
      </c>
      <c r="B72" s="536">
        <f>IFERROR(IF('Invullen groen'!E85&gt;0,'Invullen groen'!A85,""),"")</f>
        <v/>
      </c>
      <c r="C72" s="536">
        <f>IFERROR(IF('Invullen groen'!E85&gt;0,'Invullen groen'!C85,""),"")</f>
        <v/>
      </c>
      <c r="D72" s="536">
        <f>IFERROR(IF('Invullen groen'!E85&gt;0,'Invullen groen'!D85,""),"")</f>
        <v/>
      </c>
      <c r="E72" s="536">
        <f>IFERROR(IF('Invullen groen'!E85&gt;0,'Invullen groen'!G85,""),"")</f>
        <v/>
      </c>
      <c r="F72" s="537">
        <f>IFERROR(IF('Invullen groen'!H85&lt;&gt;0,'Invullen groen'!H85,""),"")</f>
        <v/>
      </c>
      <c r="G72" s="537">
        <f>IFERROR(IF('Invullen groen'!I85&lt;&gt;0,'Invullen groen'!I85,""),"")</f>
        <v/>
      </c>
      <c r="H72" s="537">
        <f>IFERROR(IF('Invullen groen'!J85&lt;&gt;0,'Invullen groen'!J85,""),"")</f>
        <v/>
      </c>
      <c r="I72" s="537">
        <f>IFERROR(IF('Invullen groen'!K85&lt;&gt;0,'Invullen groen'!K85,""),"")</f>
        <v/>
      </c>
    </row>
    <row r="73" ht="15" customHeight="1">
      <c r="A73" s="534">
        <f>IFERROR(IF('Invullen groen'!E86&gt;0,86-17,""),"")</f>
        <v/>
      </c>
      <c r="B73" s="534">
        <f>IFERROR(IF('Invullen groen'!E86&gt;0,'Invullen groen'!A86,""),"")</f>
        <v/>
      </c>
      <c r="C73" s="534">
        <f>IFERROR(IF('Invullen groen'!E86&gt;0,'Invullen groen'!C86,""),"")</f>
        <v/>
      </c>
      <c r="D73" s="534">
        <f>IFERROR(IF('Invullen groen'!E86&gt;0,'Invullen groen'!D86,""),"")</f>
        <v/>
      </c>
      <c r="E73" s="534">
        <f>IFERROR(IF('Invullen groen'!E86&gt;0,'Invullen groen'!G86,""),"")</f>
        <v/>
      </c>
      <c r="F73" s="535">
        <f>IFERROR(IF('Invullen groen'!H86&lt;&gt;0,'Invullen groen'!H86,""),"")</f>
        <v/>
      </c>
      <c r="G73" s="535">
        <f>IFERROR(IF('Invullen groen'!I86&lt;&gt;0,'Invullen groen'!I86,""),"")</f>
        <v/>
      </c>
      <c r="H73" s="535">
        <f>IFERROR(IF('Invullen groen'!J86&lt;&gt;0,'Invullen groen'!J86,""),"")</f>
        <v/>
      </c>
      <c r="I73" s="535">
        <f>IFERROR(IF('Invullen groen'!K86&lt;&gt;0,'Invullen groen'!K86,""),"")</f>
        <v/>
      </c>
    </row>
    <row r="74" ht="15" customHeight="1">
      <c r="A74" s="536">
        <f>IFERROR(IF('Invullen groen'!E87&gt;0,87-17,""),"")</f>
        <v/>
      </c>
      <c r="B74" s="536">
        <f>IFERROR(IF('Invullen groen'!E87&gt;0,'Invullen groen'!A87,""),"")</f>
        <v/>
      </c>
      <c r="C74" s="536">
        <f>IFERROR(IF('Invullen groen'!E87&gt;0,'Invullen groen'!C87,""),"")</f>
        <v/>
      </c>
      <c r="D74" s="536">
        <f>IFERROR(IF('Invullen groen'!E87&gt;0,'Invullen groen'!D87,""),"")</f>
        <v/>
      </c>
      <c r="E74" s="536">
        <f>IFERROR(IF('Invullen groen'!E87&gt;0,'Invullen groen'!G87,""),"")</f>
        <v/>
      </c>
      <c r="F74" s="537">
        <f>IFERROR(IF('Invullen groen'!H87&lt;&gt;0,'Invullen groen'!H87,""),"")</f>
        <v/>
      </c>
      <c r="G74" s="537">
        <f>IFERROR(IF('Invullen groen'!I87&lt;&gt;0,'Invullen groen'!I87,""),"")</f>
        <v/>
      </c>
      <c r="H74" s="537">
        <f>IFERROR(IF('Invullen groen'!J87&lt;&gt;0,'Invullen groen'!J87,""),"")</f>
        <v/>
      </c>
      <c r="I74" s="537">
        <f>IFERROR(IF('Invullen groen'!K87&lt;&gt;0,'Invullen groen'!K87,""),"")</f>
        <v/>
      </c>
    </row>
    <row r="75" ht="15" customHeight="1">
      <c r="A75" s="534">
        <f>IFERROR(IF('Invullen groen'!E88&gt;0,88-17,""),"")</f>
        <v/>
      </c>
      <c r="B75" s="534">
        <f>IFERROR(IF('Invullen groen'!E88&gt;0,'Invullen groen'!A88,""),"")</f>
        <v/>
      </c>
      <c r="C75" s="534">
        <f>IFERROR(IF('Invullen groen'!E88&gt;0,'Invullen groen'!C88,""),"")</f>
        <v/>
      </c>
      <c r="D75" s="534">
        <f>IFERROR(IF('Invullen groen'!E88&gt;0,'Invullen groen'!D88,""),"")</f>
        <v/>
      </c>
      <c r="E75" s="534">
        <f>IFERROR(IF('Invullen groen'!E88&gt;0,'Invullen groen'!G88,""),"")</f>
        <v/>
      </c>
      <c r="F75" s="535">
        <f>IFERROR(IF('Invullen groen'!H88&lt;&gt;0,'Invullen groen'!H88,""),"")</f>
        <v/>
      </c>
      <c r="G75" s="535">
        <f>IFERROR(IF('Invullen groen'!I88&lt;&gt;0,'Invullen groen'!I88,""),"")</f>
        <v/>
      </c>
      <c r="H75" s="535">
        <f>IFERROR(IF('Invullen groen'!J88&lt;&gt;0,'Invullen groen'!J88,""),"")</f>
        <v/>
      </c>
      <c r="I75" s="535">
        <f>IFERROR(IF('Invullen groen'!K88&lt;&gt;0,'Invullen groen'!K88,""),"")</f>
        <v/>
      </c>
    </row>
    <row r="76" ht="15" customHeight="1">
      <c r="A76" s="536">
        <f>IFERROR(IF('Invullen groen'!E89&gt;0,89-17,""),"")</f>
        <v/>
      </c>
      <c r="B76" s="536">
        <f>IFERROR(IF('Invullen groen'!E89&gt;0,'Invullen groen'!A89,""),"")</f>
        <v/>
      </c>
      <c r="C76" s="536">
        <f>IFERROR(IF('Invullen groen'!E89&gt;0,'Invullen groen'!C89,""),"")</f>
        <v/>
      </c>
      <c r="D76" s="536">
        <f>IFERROR(IF('Invullen groen'!E89&gt;0,'Invullen groen'!D89,""),"")</f>
        <v/>
      </c>
      <c r="E76" s="536">
        <f>IFERROR(IF('Invullen groen'!E89&gt;0,'Invullen groen'!G89,""),"")</f>
        <v/>
      </c>
      <c r="F76" s="537">
        <f>IFERROR(IF('Invullen groen'!H89&lt;&gt;0,'Invullen groen'!H89,""),"")</f>
        <v/>
      </c>
      <c r="G76" s="537">
        <f>IFERROR(IF('Invullen groen'!I89&lt;&gt;0,'Invullen groen'!I89,""),"")</f>
        <v/>
      </c>
      <c r="H76" s="537">
        <f>IFERROR(IF('Invullen groen'!J89&lt;&gt;0,'Invullen groen'!J89,""),"")</f>
        <v/>
      </c>
      <c r="I76" s="537">
        <f>IFERROR(IF('Invullen groen'!K89&lt;&gt;0,'Invullen groen'!K89,""),"")</f>
        <v/>
      </c>
    </row>
    <row r="77" ht="15" customHeight="1">
      <c r="A77" s="534">
        <f>IFERROR(IF('Invullen groen'!E90&gt;0,90-17,""),"")</f>
        <v/>
      </c>
      <c r="B77" s="534">
        <f>IFERROR(IF('Invullen groen'!E90&gt;0,'Invullen groen'!A90,""),"")</f>
        <v/>
      </c>
      <c r="C77" s="534">
        <f>IFERROR(IF('Invullen groen'!E90&gt;0,'Invullen groen'!C90,""),"")</f>
        <v/>
      </c>
      <c r="D77" s="534">
        <f>IFERROR(IF('Invullen groen'!E90&gt;0,'Invullen groen'!D90,""),"")</f>
        <v/>
      </c>
      <c r="E77" s="534">
        <f>IFERROR(IF('Invullen groen'!E90&gt;0,'Invullen groen'!G90,""),"")</f>
        <v/>
      </c>
      <c r="F77" s="535">
        <f>IFERROR(IF('Invullen groen'!H90&lt;&gt;0,'Invullen groen'!H90,""),"")</f>
        <v/>
      </c>
      <c r="G77" s="535">
        <f>IFERROR(IF('Invullen groen'!I90&lt;&gt;0,'Invullen groen'!I90,""),"")</f>
        <v/>
      </c>
      <c r="H77" s="535">
        <f>IFERROR(IF('Invullen groen'!J90&lt;&gt;0,'Invullen groen'!J90,""),"")</f>
        <v/>
      </c>
      <c r="I77" s="535">
        <f>IFERROR(IF('Invullen groen'!K90&lt;&gt;0,'Invullen groen'!K90,""),"")</f>
        <v/>
      </c>
    </row>
    <row r="78" ht="15" customHeight="1">
      <c r="A78" s="536">
        <f>IFERROR(IF('Invullen groen'!E91&gt;0,91-17,""),"")</f>
        <v/>
      </c>
      <c r="B78" s="536">
        <f>IFERROR(IF('Invullen groen'!E91&gt;0,'Invullen groen'!A91,""),"")</f>
        <v/>
      </c>
      <c r="C78" s="536">
        <f>IFERROR(IF('Invullen groen'!E91&gt;0,'Invullen groen'!C91,""),"")</f>
        <v/>
      </c>
      <c r="D78" s="536">
        <f>IFERROR(IF('Invullen groen'!E91&gt;0,'Invullen groen'!D91,""),"")</f>
        <v/>
      </c>
      <c r="E78" s="536">
        <f>IFERROR(IF('Invullen groen'!E91&gt;0,'Invullen groen'!G91,""),"")</f>
        <v/>
      </c>
      <c r="F78" s="537">
        <f>IFERROR(IF('Invullen groen'!H91&lt;&gt;0,'Invullen groen'!H91,""),"")</f>
        <v/>
      </c>
      <c r="G78" s="537">
        <f>IFERROR(IF('Invullen groen'!I91&lt;&gt;0,'Invullen groen'!I91,""),"")</f>
        <v/>
      </c>
      <c r="H78" s="537">
        <f>IFERROR(IF('Invullen groen'!J91&lt;&gt;0,'Invullen groen'!J91,""),"")</f>
        <v/>
      </c>
      <c r="I78" s="537">
        <f>IFERROR(IF('Invullen groen'!K91&lt;&gt;0,'Invullen groen'!K91,""),"")</f>
        <v/>
      </c>
    </row>
    <row r="79" ht="15" customHeight="1">
      <c r="A79" s="534">
        <f>IFERROR(IF('Invullen groen'!E92&gt;0,92-17,""),"")</f>
        <v/>
      </c>
      <c r="B79" s="534">
        <f>IFERROR(IF('Invullen groen'!E92&gt;0,'Invullen groen'!A92,""),"")</f>
        <v/>
      </c>
      <c r="C79" s="534">
        <f>IFERROR(IF('Invullen groen'!E92&gt;0,'Invullen groen'!C92,""),"")</f>
        <v/>
      </c>
      <c r="D79" s="534">
        <f>IFERROR(IF('Invullen groen'!E92&gt;0,'Invullen groen'!D92,""),"")</f>
        <v/>
      </c>
      <c r="E79" s="534">
        <f>IFERROR(IF('Invullen groen'!E92&gt;0,'Invullen groen'!G92,""),"")</f>
        <v/>
      </c>
      <c r="F79" s="535">
        <f>IFERROR(IF('Invullen groen'!H92&lt;&gt;0,'Invullen groen'!H92,""),"")</f>
        <v/>
      </c>
      <c r="G79" s="535">
        <f>IFERROR(IF('Invullen groen'!I92&lt;&gt;0,'Invullen groen'!I92,""),"")</f>
        <v/>
      </c>
      <c r="H79" s="535">
        <f>IFERROR(IF('Invullen groen'!J92&lt;&gt;0,'Invullen groen'!J92,""),"")</f>
        <v/>
      </c>
      <c r="I79" s="535">
        <f>IFERROR(IF('Invullen groen'!K92&lt;&gt;0,'Invullen groen'!K92,""),"")</f>
        <v/>
      </c>
    </row>
    <row r="80" ht="15" customHeight="1">
      <c r="A80" s="536">
        <f>IFERROR(IF('Invullen groen'!E93&gt;0,93-17,""),"")</f>
        <v/>
      </c>
      <c r="B80" s="536">
        <f>IFERROR(IF('Invullen groen'!E93&gt;0,'Invullen groen'!A93,""),"")</f>
        <v/>
      </c>
      <c r="C80" s="536">
        <f>IFERROR(IF('Invullen groen'!E93&gt;0,'Invullen groen'!C93,""),"")</f>
        <v/>
      </c>
      <c r="D80" s="536">
        <f>IFERROR(IF('Invullen groen'!E93&gt;0,'Invullen groen'!D93,""),"")</f>
        <v/>
      </c>
      <c r="E80" s="536">
        <f>IFERROR(IF('Invullen groen'!E93&gt;0,'Invullen groen'!G93,""),"")</f>
        <v/>
      </c>
      <c r="F80" s="537">
        <f>IFERROR(IF('Invullen groen'!H93&lt;&gt;0,'Invullen groen'!H93,""),"")</f>
        <v/>
      </c>
      <c r="G80" s="537">
        <f>IFERROR(IF('Invullen groen'!I93&lt;&gt;0,'Invullen groen'!I93,""),"")</f>
        <v/>
      </c>
      <c r="H80" s="537">
        <f>IFERROR(IF('Invullen groen'!J93&lt;&gt;0,'Invullen groen'!J93,""),"")</f>
        <v/>
      </c>
      <c r="I80" s="537">
        <f>IFERROR(IF('Invullen groen'!K93&lt;&gt;0,'Invullen groen'!K93,""),"")</f>
        <v/>
      </c>
    </row>
    <row r="81" ht="15" customHeight="1">
      <c r="A81" s="534">
        <f>IFERROR(IF('Invullen groen'!E94&gt;0,94-17,""),"")</f>
        <v/>
      </c>
      <c r="B81" s="534">
        <f>IFERROR(IF('Invullen groen'!E94&gt;0,'Invullen groen'!A94,""),"")</f>
        <v/>
      </c>
      <c r="C81" s="534">
        <f>IFERROR(IF('Invullen groen'!E94&gt;0,'Invullen groen'!C94,""),"")</f>
        <v/>
      </c>
      <c r="D81" s="534">
        <f>IFERROR(IF('Invullen groen'!E94&gt;0,'Invullen groen'!D94,""),"")</f>
        <v/>
      </c>
      <c r="E81" s="534">
        <f>IFERROR(IF('Invullen groen'!E94&gt;0,'Invullen groen'!G94,""),"")</f>
        <v/>
      </c>
      <c r="F81" s="535">
        <f>IFERROR(IF('Invullen groen'!H94&lt;&gt;0,'Invullen groen'!H94,""),"")</f>
        <v/>
      </c>
      <c r="G81" s="535">
        <f>IFERROR(IF('Invullen groen'!I94&lt;&gt;0,'Invullen groen'!I94,""),"")</f>
        <v/>
      </c>
      <c r="H81" s="535">
        <f>IFERROR(IF('Invullen groen'!J94&lt;&gt;0,'Invullen groen'!J94,""),"")</f>
        <v/>
      </c>
      <c r="I81" s="535">
        <f>IFERROR(IF('Invullen groen'!K94&lt;&gt;0,'Invullen groen'!K94,""),"")</f>
        <v/>
      </c>
    </row>
    <row r="82" ht="15" customHeight="1">
      <c r="A82" s="536">
        <f>IFERROR(IF('Invullen groen'!E95&gt;0,95-17,""),"")</f>
        <v/>
      </c>
      <c r="B82" s="536">
        <f>IFERROR(IF('Invullen groen'!E95&gt;0,'Invullen groen'!A95,""),"")</f>
        <v/>
      </c>
      <c r="C82" s="536">
        <f>IFERROR(IF('Invullen groen'!E95&gt;0,'Invullen groen'!C95,""),"")</f>
        <v/>
      </c>
      <c r="D82" s="536">
        <f>IFERROR(IF('Invullen groen'!E95&gt;0,'Invullen groen'!D95,""),"")</f>
        <v/>
      </c>
      <c r="E82" s="536">
        <f>IFERROR(IF('Invullen groen'!E95&gt;0,'Invullen groen'!G95,""),"")</f>
        <v/>
      </c>
      <c r="F82" s="537">
        <f>IFERROR(IF('Invullen groen'!H95&lt;&gt;0,'Invullen groen'!H95,""),"")</f>
        <v/>
      </c>
      <c r="G82" s="537">
        <f>IFERROR(IF('Invullen groen'!I95&lt;&gt;0,'Invullen groen'!I95,""),"")</f>
        <v/>
      </c>
      <c r="H82" s="537">
        <f>IFERROR(IF('Invullen groen'!J95&lt;&gt;0,'Invullen groen'!J95,""),"")</f>
        <v/>
      </c>
      <c r="I82" s="537">
        <f>IFERROR(IF('Invullen groen'!K95&lt;&gt;0,'Invullen groen'!K95,""),"")</f>
        <v/>
      </c>
    </row>
    <row r="83" ht="15" customHeight="1">
      <c r="A83" s="534">
        <f>IFERROR(IF('Invullen groen'!E96&gt;0,96-17,""),"")</f>
        <v/>
      </c>
      <c r="B83" s="534">
        <f>IFERROR(IF('Invullen groen'!E96&gt;0,'Invullen groen'!A96,""),"")</f>
        <v/>
      </c>
      <c r="C83" s="534">
        <f>IFERROR(IF('Invullen groen'!E96&gt;0,'Invullen groen'!C96,""),"")</f>
        <v/>
      </c>
      <c r="D83" s="534">
        <f>IFERROR(IF('Invullen groen'!E96&gt;0,'Invullen groen'!D96,""),"")</f>
        <v/>
      </c>
      <c r="E83" s="534">
        <f>IFERROR(IF('Invullen groen'!E96&gt;0,'Invullen groen'!G96,""),"")</f>
        <v/>
      </c>
      <c r="F83" s="535">
        <f>IFERROR(IF('Invullen groen'!H96&lt;&gt;0,'Invullen groen'!H96,""),"")</f>
        <v/>
      </c>
      <c r="G83" s="535">
        <f>IFERROR(IF('Invullen groen'!I96&lt;&gt;0,'Invullen groen'!I96,""),"")</f>
        <v/>
      </c>
      <c r="H83" s="535">
        <f>IFERROR(IF('Invullen groen'!J96&lt;&gt;0,'Invullen groen'!J96,""),"")</f>
        <v/>
      </c>
      <c r="I83" s="535">
        <f>IFERROR(IF('Invullen groen'!K96&lt;&gt;0,'Invullen groen'!K96,""),"")</f>
        <v/>
      </c>
    </row>
    <row r="84" ht="15" customHeight="1">
      <c r="A84" s="536">
        <f>IFERROR(IF('Invullen groen'!E97&gt;0,97-17,""),"")</f>
        <v/>
      </c>
      <c r="B84" s="536">
        <f>IFERROR(IF('Invullen groen'!E97&gt;0,'Invullen groen'!A97,""),"")</f>
        <v/>
      </c>
      <c r="C84" s="536">
        <f>IFERROR(IF('Invullen groen'!E97&gt;0,'Invullen groen'!C97,""),"")</f>
        <v/>
      </c>
      <c r="D84" s="536">
        <f>IFERROR(IF('Invullen groen'!E97&gt;0,'Invullen groen'!D97,""),"")</f>
        <v/>
      </c>
      <c r="E84" s="536">
        <f>IFERROR(IF('Invullen groen'!E97&gt;0,'Invullen groen'!G97,""),"")</f>
        <v/>
      </c>
      <c r="F84" s="537">
        <f>IFERROR(IF('Invullen groen'!H97&lt;&gt;0,'Invullen groen'!H97,""),"")</f>
        <v/>
      </c>
      <c r="G84" s="537">
        <f>IFERROR(IF('Invullen groen'!I97&lt;&gt;0,'Invullen groen'!I97,""),"")</f>
        <v/>
      </c>
      <c r="H84" s="537">
        <f>IFERROR(IF('Invullen groen'!J97&lt;&gt;0,'Invullen groen'!J97,""),"")</f>
        <v/>
      </c>
      <c r="I84" s="537">
        <f>IFERROR(IF('Invullen groen'!K97&lt;&gt;0,'Invullen groen'!K97,""),"")</f>
        <v/>
      </c>
    </row>
    <row r="85" ht="15" customHeight="1">
      <c r="A85" s="534">
        <f>IFERROR(IF('Invullen groen'!E98&gt;0,98-17,""),"")</f>
        <v/>
      </c>
      <c r="B85" s="534">
        <f>IFERROR(IF('Invullen groen'!E98&gt;0,'Invullen groen'!A98,""),"")</f>
        <v/>
      </c>
      <c r="C85" s="534">
        <f>IFERROR(IF('Invullen groen'!E98&gt;0,'Invullen groen'!C98,""),"")</f>
        <v/>
      </c>
      <c r="D85" s="534">
        <f>IFERROR(IF('Invullen groen'!E98&gt;0,'Invullen groen'!D98,""),"")</f>
        <v/>
      </c>
      <c r="E85" s="534">
        <f>IFERROR(IF('Invullen groen'!E98&gt;0,'Invullen groen'!G98,""),"")</f>
        <v/>
      </c>
      <c r="F85" s="535">
        <f>IFERROR(IF('Invullen groen'!H98&lt;&gt;0,'Invullen groen'!H98,""),"")</f>
        <v/>
      </c>
      <c r="G85" s="535">
        <f>IFERROR(IF('Invullen groen'!I98&lt;&gt;0,'Invullen groen'!I98,""),"")</f>
        <v/>
      </c>
      <c r="H85" s="535">
        <f>IFERROR(IF('Invullen groen'!J98&lt;&gt;0,'Invullen groen'!J98,""),"")</f>
        <v/>
      </c>
      <c r="I85" s="535">
        <f>IFERROR(IF('Invullen groen'!K98&lt;&gt;0,'Invullen groen'!K98,""),"")</f>
        <v/>
      </c>
    </row>
    <row r="86" ht="15" customHeight="1">
      <c r="A86" s="536">
        <f>IFERROR(IF('Invullen groen'!E99&gt;0,99-17,""),"")</f>
        <v/>
      </c>
      <c r="B86" s="536">
        <f>IFERROR(IF('Invullen groen'!E99&gt;0,'Invullen groen'!A99,""),"")</f>
        <v/>
      </c>
      <c r="C86" s="536">
        <f>IFERROR(IF('Invullen groen'!E99&gt;0,'Invullen groen'!C99,""),"")</f>
        <v/>
      </c>
      <c r="D86" s="536">
        <f>IFERROR(IF('Invullen groen'!E99&gt;0,'Invullen groen'!D99,""),"")</f>
        <v/>
      </c>
      <c r="E86" s="536">
        <f>IFERROR(IF('Invullen groen'!E99&gt;0,'Invullen groen'!G99,""),"")</f>
        <v/>
      </c>
      <c r="F86" s="537">
        <f>IFERROR(IF('Invullen groen'!H99&lt;&gt;0,'Invullen groen'!H99,""),"")</f>
        <v/>
      </c>
      <c r="G86" s="537">
        <f>IFERROR(IF('Invullen groen'!I99&lt;&gt;0,'Invullen groen'!I99,""),"")</f>
        <v/>
      </c>
      <c r="H86" s="537">
        <f>IFERROR(IF('Invullen groen'!J99&lt;&gt;0,'Invullen groen'!J99,""),"")</f>
        <v/>
      </c>
      <c r="I86" s="537">
        <f>IFERROR(IF('Invullen groen'!K99&lt;&gt;0,'Invullen groen'!K99,""),"")</f>
        <v/>
      </c>
    </row>
    <row r="87" ht="15" customHeight="1">
      <c r="A87" s="534">
        <f>IFERROR(IF('Invullen groen'!E100&gt;0,100-17,""),"")</f>
        <v/>
      </c>
      <c r="B87" s="534">
        <f>IFERROR(IF('Invullen groen'!E100&gt;0,'Invullen groen'!A100,""),"")</f>
        <v/>
      </c>
      <c r="C87" s="534">
        <f>IFERROR(IF('Invullen groen'!E100&gt;0,'Invullen groen'!C100,""),"")</f>
        <v/>
      </c>
      <c r="D87" s="534">
        <f>IFERROR(IF('Invullen groen'!E100&gt;0,'Invullen groen'!D100,""),"")</f>
        <v/>
      </c>
      <c r="E87" s="534">
        <f>IFERROR(IF('Invullen groen'!E100&gt;0,'Invullen groen'!G100,""),"")</f>
        <v/>
      </c>
      <c r="F87" s="535">
        <f>IFERROR(IF('Invullen groen'!H100&lt;&gt;0,'Invullen groen'!H100,""),"")</f>
        <v/>
      </c>
      <c r="G87" s="535">
        <f>IFERROR(IF('Invullen groen'!I100&lt;&gt;0,'Invullen groen'!I100,""),"")</f>
        <v/>
      </c>
      <c r="H87" s="535">
        <f>IFERROR(IF('Invullen groen'!J100&lt;&gt;0,'Invullen groen'!J100,""),"")</f>
        <v/>
      </c>
      <c r="I87" s="535">
        <f>IFERROR(IF('Invullen groen'!K100&lt;&gt;0,'Invullen groen'!K100,""),"")</f>
        <v/>
      </c>
    </row>
    <row r="88" ht="15" customHeight="1">
      <c r="A88" s="536">
        <f>IFERROR(IF('Invullen groen'!E101&gt;0,101-17,""),"")</f>
        <v/>
      </c>
      <c r="B88" s="536">
        <f>IFERROR(IF('Invullen groen'!E101&gt;0,'Invullen groen'!A101,""),"")</f>
        <v/>
      </c>
      <c r="C88" s="536">
        <f>IFERROR(IF('Invullen groen'!E101&gt;0,'Invullen groen'!C101,""),"")</f>
        <v/>
      </c>
      <c r="D88" s="536">
        <f>IFERROR(IF('Invullen groen'!E101&gt;0,'Invullen groen'!D101,""),"")</f>
        <v/>
      </c>
      <c r="E88" s="536">
        <f>IFERROR(IF('Invullen groen'!E101&gt;0,'Invullen groen'!G101,""),"")</f>
        <v/>
      </c>
      <c r="F88" s="537">
        <f>IFERROR(IF('Invullen groen'!H101&lt;&gt;0,'Invullen groen'!H101,""),"")</f>
        <v/>
      </c>
      <c r="G88" s="537">
        <f>IFERROR(IF('Invullen groen'!I101&lt;&gt;0,'Invullen groen'!I101,""),"")</f>
        <v/>
      </c>
      <c r="H88" s="537">
        <f>IFERROR(IF('Invullen groen'!J101&lt;&gt;0,'Invullen groen'!J101,""),"")</f>
        <v/>
      </c>
      <c r="I88" s="537">
        <f>IFERROR(IF('Invullen groen'!K101&lt;&gt;0,'Invullen groen'!K101,""),"")</f>
        <v/>
      </c>
    </row>
    <row r="89" ht="15" customHeight="1">
      <c r="A89" s="534">
        <f>IFERROR(IF('Invullen groen'!E102&gt;0,102-17,""),"")</f>
        <v/>
      </c>
      <c r="B89" s="534">
        <f>IFERROR(IF('Invullen groen'!E102&gt;0,'Invullen groen'!A102,""),"")</f>
        <v/>
      </c>
      <c r="C89" s="534">
        <f>IFERROR(IF('Invullen groen'!E102&gt;0,'Invullen groen'!C102,""),"")</f>
        <v/>
      </c>
      <c r="D89" s="534">
        <f>IFERROR(IF('Invullen groen'!E102&gt;0,'Invullen groen'!D102,""),"")</f>
        <v/>
      </c>
      <c r="E89" s="534">
        <f>IFERROR(IF('Invullen groen'!E102&gt;0,'Invullen groen'!G102,""),"")</f>
        <v/>
      </c>
      <c r="F89" s="535">
        <f>IFERROR(IF('Invullen groen'!H102&lt;&gt;0,'Invullen groen'!H102,""),"")</f>
        <v/>
      </c>
      <c r="G89" s="535">
        <f>IFERROR(IF('Invullen groen'!I102&lt;&gt;0,'Invullen groen'!I102,""),"")</f>
        <v/>
      </c>
      <c r="H89" s="535">
        <f>IFERROR(IF('Invullen groen'!J102&lt;&gt;0,'Invullen groen'!J102,""),"")</f>
        <v/>
      </c>
      <c r="I89" s="535">
        <f>IFERROR(IF('Invullen groen'!K102&lt;&gt;0,'Invullen groen'!K102,""),"")</f>
        <v/>
      </c>
    </row>
    <row r="90" ht="15" customHeight="1">
      <c r="A90" s="536">
        <f>IFERROR(IF('Invullen groen'!E103&gt;0,103-17,""),"")</f>
        <v/>
      </c>
      <c r="B90" s="536">
        <f>IFERROR(IF('Invullen groen'!E103&gt;0,'Invullen groen'!A103,""),"")</f>
        <v/>
      </c>
      <c r="C90" s="536">
        <f>IFERROR(IF('Invullen groen'!E103&gt;0,'Invullen groen'!C103,""),"")</f>
        <v/>
      </c>
      <c r="D90" s="536">
        <f>IFERROR(IF('Invullen groen'!E103&gt;0,'Invullen groen'!D103,""),"")</f>
        <v/>
      </c>
      <c r="E90" s="536">
        <f>IFERROR(IF('Invullen groen'!E103&gt;0,'Invullen groen'!G103,""),"")</f>
        <v/>
      </c>
      <c r="F90" s="537">
        <f>IFERROR(IF('Invullen groen'!H103&lt;&gt;0,'Invullen groen'!H103,""),"")</f>
        <v/>
      </c>
      <c r="G90" s="537">
        <f>IFERROR(IF('Invullen groen'!I103&lt;&gt;0,'Invullen groen'!I103,""),"")</f>
        <v/>
      </c>
      <c r="H90" s="537">
        <f>IFERROR(IF('Invullen groen'!J103&lt;&gt;0,'Invullen groen'!J103,""),"")</f>
        <v/>
      </c>
      <c r="I90" s="537">
        <f>IFERROR(IF('Invullen groen'!K103&lt;&gt;0,'Invullen groen'!K103,""),"")</f>
        <v/>
      </c>
    </row>
    <row r="91" ht="15" customHeight="1">
      <c r="A91" s="534">
        <f>IFERROR(IF('Invullen groen'!E104&gt;0,104-17,""),"")</f>
        <v/>
      </c>
      <c r="B91" s="534">
        <f>IFERROR(IF('Invullen groen'!E104&gt;0,'Invullen groen'!A104,""),"")</f>
        <v/>
      </c>
      <c r="C91" s="534">
        <f>IFERROR(IF('Invullen groen'!E104&gt;0,'Invullen groen'!C104,""),"")</f>
        <v/>
      </c>
      <c r="D91" s="534">
        <f>IFERROR(IF('Invullen groen'!E104&gt;0,'Invullen groen'!D104,""),"")</f>
        <v/>
      </c>
      <c r="E91" s="534">
        <f>IFERROR(IF('Invullen groen'!E104&gt;0,'Invullen groen'!G104,""),"")</f>
        <v/>
      </c>
      <c r="F91" s="535">
        <f>IFERROR(IF('Invullen groen'!H104&lt;&gt;0,'Invullen groen'!H104,""),"")</f>
        <v/>
      </c>
      <c r="G91" s="535">
        <f>IFERROR(IF('Invullen groen'!I104&lt;&gt;0,'Invullen groen'!I104,""),"")</f>
        <v/>
      </c>
      <c r="H91" s="535">
        <f>IFERROR(IF('Invullen groen'!J104&lt;&gt;0,'Invullen groen'!J104,""),"")</f>
        <v/>
      </c>
      <c r="I91" s="535">
        <f>IFERROR(IF('Invullen groen'!K104&lt;&gt;0,'Invullen groen'!K104,""),"")</f>
        <v/>
      </c>
    </row>
    <row r="92" ht="15" customHeight="1">
      <c r="A92" s="536">
        <f>IFERROR(IF('Invullen groen'!E105&gt;0,105-17,""),"")</f>
        <v/>
      </c>
      <c r="B92" s="536">
        <f>IFERROR(IF('Invullen groen'!E105&gt;0,'Invullen groen'!A105,""),"")</f>
        <v/>
      </c>
      <c r="C92" s="536">
        <f>IFERROR(IF('Invullen groen'!E105&gt;0,'Invullen groen'!C105,""),"")</f>
        <v/>
      </c>
      <c r="D92" s="536">
        <f>IFERROR(IF('Invullen groen'!E105&gt;0,'Invullen groen'!D105,""),"")</f>
        <v/>
      </c>
      <c r="E92" s="536">
        <f>IFERROR(IF('Invullen groen'!E105&gt;0,'Invullen groen'!G105,""),"")</f>
        <v/>
      </c>
      <c r="F92" s="537">
        <f>IFERROR(IF('Invullen groen'!H105&lt;&gt;0,'Invullen groen'!H105,""),"")</f>
        <v/>
      </c>
      <c r="G92" s="537">
        <f>IFERROR(IF('Invullen groen'!I105&lt;&gt;0,'Invullen groen'!I105,""),"")</f>
        <v/>
      </c>
      <c r="H92" s="537">
        <f>IFERROR(IF('Invullen groen'!J105&lt;&gt;0,'Invullen groen'!J105,""),"")</f>
        <v/>
      </c>
      <c r="I92" s="537">
        <f>IFERROR(IF('Invullen groen'!K105&lt;&gt;0,'Invullen groen'!K105,""),"")</f>
        <v/>
      </c>
    </row>
    <row r="93" ht="15" customHeight="1">
      <c r="A93" s="534">
        <f>IFERROR(IF('Invullen groen'!E106&gt;0,106-17,""),"")</f>
        <v/>
      </c>
      <c r="B93" s="534">
        <f>IFERROR(IF('Invullen groen'!E106&gt;0,'Invullen groen'!A106,""),"")</f>
        <v/>
      </c>
      <c r="C93" s="534">
        <f>IFERROR(IF('Invullen groen'!E106&gt;0,'Invullen groen'!C106,""),"")</f>
        <v/>
      </c>
      <c r="D93" s="534">
        <f>IFERROR(IF('Invullen groen'!E106&gt;0,'Invullen groen'!D106,""),"")</f>
        <v/>
      </c>
      <c r="E93" s="534">
        <f>IFERROR(IF('Invullen groen'!E106&gt;0,'Invullen groen'!G106,""),"")</f>
        <v/>
      </c>
      <c r="F93" s="535">
        <f>IFERROR(IF('Invullen groen'!H106&lt;&gt;0,'Invullen groen'!H106,""),"")</f>
        <v/>
      </c>
      <c r="G93" s="535">
        <f>IFERROR(IF('Invullen groen'!I106&lt;&gt;0,'Invullen groen'!I106,""),"")</f>
        <v/>
      </c>
      <c r="H93" s="535">
        <f>IFERROR(IF('Invullen groen'!J106&lt;&gt;0,'Invullen groen'!J106,""),"")</f>
        <v/>
      </c>
      <c r="I93" s="535">
        <f>IFERROR(IF('Invullen groen'!K106&lt;&gt;0,'Invullen groen'!K106,""),"")</f>
        <v/>
      </c>
    </row>
    <row r="94" ht="15" customHeight="1">
      <c r="A94" s="536">
        <f>IFERROR(IF('Invullen groen'!E107&gt;0,107-17,""),"")</f>
        <v/>
      </c>
      <c r="B94" s="536">
        <f>IFERROR(IF('Invullen groen'!E107&gt;0,'Invullen groen'!A107,""),"")</f>
        <v/>
      </c>
      <c r="C94" s="536">
        <f>IFERROR(IF('Invullen groen'!E107&gt;0,'Invullen groen'!C107,""),"")</f>
        <v/>
      </c>
      <c r="D94" s="536">
        <f>IFERROR(IF('Invullen groen'!E107&gt;0,'Invullen groen'!D107,""),"")</f>
        <v/>
      </c>
      <c r="E94" s="536">
        <f>IFERROR(IF('Invullen groen'!E107&gt;0,'Invullen groen'!G107,""),"")</f>
        <v/>
      </c>
      <c r="F94" s="537">
        <f>IFERROR(IF('Invullen groen'!H107&lt;&gt;0,'Invullen groen'!H107,""),"")</f>
        <v/>
      </c>
      <c r="G94" s="537">
        <f>IFERROR(IF('Invullen groen'!I107&lt;&gt;0,'Invullen groen'!I107,""),"")</f>
        <v/>
      </c>
      <c r="H94" s="537">
        <f>IFERROR(IF('Invullen groen'!J107&lt;&gt;0,'Invullen groen'!J107,""),"")</f>
        <v/>
      </c>
      <c r="I94" s="537">
        <f>IFERROR(IF('Invullen groen'!K107&lt;&gt;0,'Invullen groen'!K107,""),"")</f>
        <v/>
      </c>
    </row>
    <row r="95" ht="15" customHeight="1">
      <c r="A95" s="534">
        <f>IFERROR(IF('Invullen groen'!E108&gt;0,108-17,""),"")</f>
        <v/>
      </c>
      <c r="B95" s="534">
        <f>IFERROR(IF('Invullen groen'!E108&gt;0,'Invullen groen'!A108,""),"")</f>
        <v/>
      </c>
      <c r="C95" s="534">
        <f>IFERROR(IF('Invullen groen'!E108&gt;0,'Invullen groen'!C108,""),"")</f>
        <v/>
      </c>
      <c r="D95" s="534">
        <f>IFERROR(IF('Invullen groen'!E108&gt;0,'Invullen groen'!D108,""),"")</f>
        <v/>
      </c>
      <c r="E95" s="534">
        <f>IFERROR(IF('Invullen groen'!E108&gt;0,'Invullen groen'!G108,""),"")</f>
        <v/>
      </c>
      <c r="F95" s="535">
        <f>IFERROR(IF('Invullen groen'!H108&lt;&gt;0,'Invullen groen'!H108,""),"")</f>
        <v/>
      </c>
      <c r="G95" s="535">
        <f>IFERROR(IF('Invullen groen'!I108&lt;&gt;0,'Invullen groen'!I108,""),"")</f>
        <v/>
      </c>
      <c r="H95" s="535">
        <f>IFERROR(IF('Invullen groen'!J108&lt;&gt;0,'Invullen groen'!J108,""),"")</f>
        <v/>
      </c>
      <c r="I95" s="535">
        <f>IFERROR(IF('Invullen groen'!K108&lt;&gt;0,'Invullen groen'!K108,""),"")</f>
        <v/>
      </c>
    </row>
    <row r="96" ht="15" customHeight="1">
      <c r="A96" s="536">
        <f>IFERROR(IF('Invullen groen'!E109&gt;0,109-17,""),"")</f>
        <v/>
      </c>
      <c r="B96" s="536">
        <f>IFERROR(IF('Invullen groen'!E109&gt;0,'Invullen groen'!A109,""),"")</f>
        <v/>
      </c>
      <c r="C96" s="536">
        <f>IFERROR(IF('Invullen groen'!E109&gt;0,'Invullen groen'!C109,""),"")</f>
        <v/>
      </c>
      <c r="D96" s="536">
        <f>IFERROR(IF('Invullen groen'!E109&gt;0,'Invullen groen'!D109,""),"")</f>
        <v/>
      </c>
      <c r="E96" s="536">
        <f>IFERROR(IF('Invullen groen'!E109&gt;0,'Invullen groen'!G109,""),"")</f>
        <v/>
      </c>
      <c r="F96" s="537">
        <f>IFERROR(IF('Invullen groen'!H109&lt;&gt;0,'Invullen groen'!H109,""),"")</f>
        <v/>
      </c>
      <c r="G96" s="537">
        <f>IFERROR(IF('Invullen groen'!I109&lt;&gt;0,'Invullen groen'!I109,""),"")</f>
        <v/>
      </c>
      <c r="H96" s="537">
        <f>IFERROR(IF('Invullen groen'!J109&lt;&gt;0,'Invullen groen'!J109,""),"")</f>
        <v/>
      </c>
      <c r="I96" s="537">
        <f>IFERROR(IF('Invullen groen'!K109&lt;&gt;0,'Invullen groen'!K109,""),"")</f>
        <v/>
      </c>
    </row>
    <row r="97" ht="15" customHeight="1">
      <c r="A97" s="534">
        <f>IFERROR(IF('Invullen groen'!E110&gt;0,110-17,""),"")</f>
        <v/>
      </c>
      <c r="B97" s="534">
        <f>IFERROR(IF('Invullen groen'!E110&gt;0,'Invullen groen'!A110,""),"")</f>
        <v/>
      </c>
      <c r="C97" s="534">
        <f>IFERROR(IF('Invullen groen'!E110&gt;0,'Invullen groen'!C110,""),"")</f>
        <v/>
      </c>
      <c r="D97" s="534">
        <f>IFERROR(IF('Invullen groen'!E110&gt;0,'Invullen groen'!D110,""),"")</f>
        <v/>
      </c>
      <c r="E97" s="534">
        <f>IFERROR(IF('Invullen groen'!E110&gt;0,'Invullen groen'!G110,""),"")</f>
        <v/>
      </c>
      <c r="F97" s="535">
        <f>IFERROR(IF('Invullen groen'!H110&lt;&gt;0,'Invullen groen'!H110,""),"")</f>
        <v/>
      </c>
      <c r="G97" s="535">
        <f>IFERROR(IF('Invullen groen'!I110&lt;&gt;0,'Invullen groen'!I110,""),"")</f>
        <v/>
      </c>
      <c r="H97" s="535">
        <f>IFERROR(IF('Invullen groen'!J110&lt;&gt;0,'Invullen groen'!J110,""),"")</f>
        <v/>
      </c>
      <c r="I97" s="535">
        <f>IFERROR(IF('Invullen groen'!K110&lt;&gt;0,'Invullen groen'!K110,""),"")</f>
        <v/>
      </c>
    </row>
    <row r="98" ht="15" customHeight="1">
      <c r="A98" s="536">
        <f>IFERROR(IF('Invullen groen'!E111&gt;0,111-17,""),"")</f>
        <v/>
      </c>
      <c r="B98" s="536">
        <f>IFERROR(IF('Invullen groen'!E111&gt;0,'Invullen groen'!A111,""),"")</f>
        <v/>
      </c>
      <c r="C98" s="536">
        <f>IFERROR(IF('Invullen groen'!E111&gt;0,'Invullen groen'!C111,""),"")</f>
        <v/>
      </c>
      <c r="D98" s="536">
        <f>IFERROR(IF('Invullen groen'!E111&gt;0,'Invullen groen'!D111,""),"")</f>
        <v/>
      </c>
      <c r="E98" s="536">
        <f>IFERROR(IF('Invullen groen'!E111&gt;0,'Invullen groen'!G111,""),"")</f>
        <v/>
      </c>
      <c r="F98" s="537">
        <f>IFERROR(IF('Invullen groen'!H111&lt;&gt;0,'Invullen groen'!H111,""),"")</f>
        <v/>
      </c>
      <c r="G98" s="537">
        <f>IFERROR(IF('Invullen groen'!I111&lt;&gt;0,'Invullen groen'!I111,""),"")</f>
        <v/>
      </c>
      <c r="H98" s="537">
        <f>IFERROR(IF('Invullen groen'!J111&lt;&gt;0,'Invullen groen'!J111,""),"")</f>
        <v/>
      </c>
      <c r="I98" s="537">
        <f>IFERROR(IF('Invullen groen'!K111&lt;&gt;0,'Invullen groen'!K111,""),"")</f>
        <v/>
      </c>
    </row>
    <row r="99" ht="15" customHeight="1">
      <c r="A99" s="534">
        <f>IFERROR(IF('Invullen groen'!E112&gt;0,112-17,""),"")</f>
        <v/>
      </c>
      <c r="B99" s="534">
        <f>IFERROR(IF('Invullen groen'!E112&gt;0,'Invullen groen'!A112,""),"")</f>
        <v/>
      </c>
      <c r="C99" s="534">
        <f>IFERROR(IF('Invullen groen'!E112&gt;0,'Invullen groen'!C112,""),"")</f>
        <v/>
      </c>
      <c r="D99" s="534">
        <f>IFERROR(IF('Invullen groen'!E112&gt;0,'Invullen groen'!D112,""),"")</f>
        <v/>
      </c>
      <c r="E99" s="534">
        <f>IFERROR(IF('Invullen groen'!E112&gt;0,'Invullen groen'!G112,""),"")</f>
        <v/>
      </c>
      <c r="F99" s="535">
        <f>IFERROR(IF('Invullen groen'!H112&lt;&gt;0,'Invullen groen'!H112,""),"")</f>
        <v/>
      </c>
      <c r="G99" s="535">
        <f>IFERROR(IF('Invullen groen'!I112&lt;&gt;0,'Invullen groen'!I112,""),"")</f>
        <v/>
      </c>
      <c r="H99" s="535">
        <f>IFERROR(IF('Invullen groen'!J112&lt;&gt;0,'Invullen groen'!J112,""),"")</f>
        <v/>
      </c>
      <c r="I99" s="535">
        <f>IFERROR(IF('Invullen groen'!K112&lt;&gt;0,'Invullen groen'!K112,""),"")</f>
        <v/>
      </c>
    </row>
    <row r="100" ht="15" customHeight="1">
      <c r="A100" s="536">
        <f>IFERROR(IF('Invullen groen'!E113&gt;0,113-17,""),"")</f>
        <v/>
      </c>
      <c r="B100" s="536">
        <f>IFERROR(IF('Invullen groen'!E113&gt;0,'Invullen groen'!A113,""),"")</f>
        <v/>
      </c>
      <c r="C100" s="536">
        <f>IFERROR(IF('Invullen groen'!E113&gt;0,'Invullen groen'!C113,""),"")</f>
        <v/>
      </c>
      <c r="D100" s="536">
        <f>IFERROR(IF('Invullen groen'!E113&gt;0,'Invullen groen'!D113,""),"")</f>
        <v/>
      </c>
      <c r="E100" s="536">
        <f>IFERROR(IF('Invullen groen'!E113&gt;0,'Invullen groen'!G113,""),"")</f>
        <v/>
      </c>
      <c r="F100" s="537">
        <f>IFERROR(IF('Invullen groen'!H113&lt;&gt;0,'Invullen groen'!H113,""),"")</f>
        <v/>
      </c>
      <c r="G100" s="537">
        <f>IFERROR(IF('Invullen groen'!I113&lt;&gt;0,'Invullen groen'!I113,""),"")</f>
        <v/>
      </c>
      <c r="H100" s="537">
        <f>IFERROR(IF('Invullen groen'!J113&lt;&gt;0,'Invullen groen'!J113,""),"")</f>
        <v/>
      </c>
      <c r="I100" s="537">
        <f>IFERROR(IF('Invullen groen'!K113&lt;&gt;0,'Invullen groen'!K113,""),"")</f>
        <v/>
      </c>
    </row>
    <row r="101" ht="15" customHeight="1">
      <c r="A101" s="534">
        <f>IFERROR(IF('Invullen groen'!E114&gt;0,114-17,""),"")</f>
        <v/>
      </c>
      <c r="B101" s="534">
        <f>IFERROR(IF('Invullen groen'!E114&gt;0,'Invullen groen'!A114,""),"")</f>
        <v/>
      </c>
      <c r="C101" s="534">
        <f>IFERROR(IF('Invullen groen'!E114&gt;0,'Invullen groen'!C114,""),"")</f>
        <v/>
      </c>
      <c r="D101" s="534">
        <f>IFERROR(IF('Invullen groen'!E114&gt;0,'Invullen groen'!D114,""),"")</f>
        <v/>
      </c>
      <c r="E101" s="534">
        <f>IFERROR(IF('Invullen groen'!E114&gt;0,'Invullen groen'!G114,""),"")</f>
        <v/>
      </c>
      <c r="F101" s="535">
        <f>IFERROR(IF('Invullen groen'!H114&lt;&gt;0,'Invullen groen'!H114,""),"")</f>
        <v/>
      </c>
      <c r="G101" s="535">
        <f>IFERROR(IF('Invullen groen'!I114&lt;&gt;0,'Invullen groen'!I114,""),"")</f>
        <v/>
      </c>
      <c r="H101" s="535">
        <f>IFERROR(IF('Invullen groen'!J114&lt;&gt;0,'Invullen groen'!J114,""),"")</f>
        <v/>
      </c>
      <c r="I101" s="535">
        <f>IFERROR(IF('Invullen groen'!K114&lt;&gt;0,'Invullen groen'!K114,""),"")</f>
        <v/>
      </c>
    </row>
    <row r="102" ht="15" customHeight="1">
      <c r="A102" s="536">
        <f>IFERROR(IF('Invullen groen'!E115&gt;0,115-17,""),"")</f>
        <v/>
      </c>
      <c r="B102" s="536">
        <f>IFERROR(IF('Invullen groen'!E115&gt;0,'Invullen groen'!A115,""),"")</f>
        <v/>
      </c>
      <c r="C102" s="536">
        <f>IFERROR(IF('Invullen groen'!E115&gt;0,'Invullen groen'!C115,""),"")</f>
        <v/>
      </c>
      <c r="D102" s="536">
        <f>IFERROR(IF('Invullen groen'!E115&gt;0,'Invullen groen'!D115,""),"")</f>
        <v/>
      </c>
      <c r="E102" s="536">
        <f>IFERROR(IF('Invullen groen'!E115&gt;0,'Invullen groen'!G115,""),"")</f>
        <v/>
      </c>
      <c r="F102" s="537">
        <f>IFERROR(IF('Invullen groen'!H115&lt;&gt;0,'Invullen groen'!H115,""),"")</f>
        <v/>
      </c>
      <c r="G102" s="537">
        <f>IFERROR(IF('Invullen groen'!I115&lt;&gt;0,'Invullen groen'!I115,""),"")</f>
        <v/>
      </c>
      <c r="H102" s="537">
        <f>IFERROR(IF('Invullen groen'!J115&lt;&gt;0,'Invullen groen'!J115,""),"")</f>
        <v/>
      </c>
      <c r="I102" s="537">
        <f>IFERROR(IF('Invullen groen'!K115&lt;&gt;0,'Invullen groen'!K115,""),"")</f>
        <v/>
      </c>
    </row>
    <row r="103" ht="15" customHeight="1">
      <c r="A103" s="534">
        <f>IFERROR(IF('Invullen groen'!E116&gt;0,116-17,""),"")</f>
        <v/>
      </c>
      <c r="B103" s="534">
        <f>IFERROR(IF('Invullen groen'!E116&gt;0,'Invullen groen'!A116,""),"")</f>
        <v/>
      </c>
      <c r="C103" s="534">
        <f>IFERROR(IF('Invullen groen'!E116&gt;0,'Invullen groen'!C116,""),"")</f>
        <v/>
      </c>
      <c r="D103" s="534">
        <f>IFERROR(IF('Invullen groen'!E116&gt;0,'Invullen groen'!D116,""),"")</f>
        <v/>
      </c>
      <c r="E103" s="534">
        <f>IFERROR(IF('Invullen groen'!E116&gt;0,'Invullen groen'!G116,""),"")</f>
        <v/>
      </c>
      <c r="F103" s="535">
        <f>IFERROR(IF('Invullen groen'!H116&lt;&gt;0,'Invullen groen'!H116,""),"")</f>
        <v/>
      </c>
      <c r="G103" s="535">
        <f>IFERROR(IF('Invullen groen'!I116&lt;&gt;0,'Invullen groen'!I116,""),"")</f>
        <v/>
      </c>
      <c r="H103" s="535">
        <f>IFERROR(IF('Invullen groen'!J116&lt;&gt;0,'Invullen groen'!J116,""),"")</f>
        <v/>
      </c>
      <c r="I103" s="535">
        <f>IFERROR(IF('Invullen groen'!K116&lt;&gt;0,'Invullen groen'!K116,""),"")</f>
        <v/>
      </c>
    </row>
    <row r="104" ht="15" customHeight="1">
      <c r="A104" s="536">
        <f>IFERROR(IF('Invullen groen'!E117&gt;0,117-17,""),"")</f>
        <v/>
      </c>
      <c r="B104" s="536">
        <f>IFERROR(IF('Invullen groen'!E117&gt;0,'Invullen groen'!A117,""),"")</f>
        <v/>
      </c>
      <c r="C104" s="536">
        <f>IFERROR(IF('Invullen groen'!E117&gt;0,'Invullen groen'!C117,""),"")</f>
        <v/>
      </c>
      <c r="D104" s="536">
        <f>IFERROR(IF('Invullen groen'!E117&gt;0,'Invullen groen'!D117,""),"")</f>
        <v/>
      </c>
      <c r="E104" s="536">
        <f>IFERROR(IF('Invullen groen'!E117&gt;0,'Invullen groen'!G117,""),"")</f>
        <v/>
      </c>
      <c r="F104" s="537">
        <f>IFERROR(IF('Invullen groen'!H117&lt;&gt;0,'Invullen groen'!H117,""),"")</f>
        <v/>
      </c>
      <c r="G104" s="537">
        <f>IFERROR(IF('Invullen groen'!I117&lt;&gt;0,'Invullen groen'!I117,""),"")</f>
        <v/>
      </c>
      <c r="H104" s="537">
        <f>IFERROR(IF('Invullen groen'!J117&lt;&gt;0,'Invullen groen'!J117,""),"")</f>
        <v/>
      </c>
      <c r="I104" s="537">
        <f>IFERROR(IF('Invullen groen'!K117&lt;&gt;0,'Invullen groen'!K117,""),"")</f>
        <v/>
      </c>
    </row>
    <row r="105" ht="15" customHeight="1">
      <c r="A105" s="534">
        <f>IFERROR(IF('Invullen groen'!E118&gt;0,118-17,""),"")</f>
        <v/>
      </c>
      <c r="B105" s="534">
        <f>IFERROR(IF('Invullen groen'!E118&gt;0,'Invullen groen'!A118,""),"")</f>
        <v/>
      </c>
      <c r="C105" s="534">
        <f>IFERROR(IF('Invullen groen'!E118&gt;0,'Invullen groen'!C118,""),"")</f>
        <v/>
      </c>
      <c r="D105" s="534">
        <f>IFERROR(IF('Invullen groen'!E118&gt;0,'Invullen groen'!D118,""),"")</f>
        <v/>
      </c>
      <c r="E105" s="534">
        <f>IFERROR(IF('Invullen groen'!E118&gt;0,'Invullen groen'!G118,""),"")</f>
        <v/>
      </c>
      <c r="F105" s="535">
        <f>IFERROR(IF('Invullen groen'!H118&lt;&gt;0,'Invullen groen'!H118,""),"")</f>
        <v/>
      </c>
      <c r="G105" s="535">
        <f>IFERROR(IF('Invullen groen'!I118&lt;&gt;0,'Invullen groen'!I118,""),"")</f>
        <v/>
      </c>
      <c r="H105" s="535">
        <f>IFERROR(IF('Invullen groen'!J118&lt;&gt;0,'Invullen groen'!J118,""),"")</f>
        <v/>
      </c>
      <c r="I105" s="535">
        <f>IFERROR(IF('Invullen groen'!K118&lt;&gt;0,'Invullen groen'!K118,""),"")</f>
        <v/>
      </c>
    </row>
    <row r="106" ht="15" customHeight="1">
      <c r="A106" s="536">
        <f>IFERROR(IF('Invullen groen'!E119&gt;0,119-17,""),"")</f>
        <v/>
      </c>
      <c r="B106" s="536">
        <f>IFERROR(IF('Invullen groen'!E119&gt;0,'Invullen groen'!A119,""),"")</f>
        <v/>
      </c>
      <c r="C106" s="536">
        <f>IFERROR(IF('Invullen groen'!E119&gt;0,'Invullen groen'!C119,""),"")</f>
        <v/>
      </c>
      <c r="D106" s="536">
        <f>IFERROR(IF('Invullen groen'!E119&gt;0,'Invullen groen'!D119,""),"")</f>
        <v/>
      </c>
      <c r="E106" s="536">
        <f>IFERROR(IF('Invullen groen'!E119&gt;0,'Invullen groen'!G119,""),"")</f>
        <v/>
      </c>
      <c r="F106" s="537">
        <f>IFERROR(IF('Invullen groen'!H119&lt;&gt;0,'Invullen groen'!H119,""),"")</f>
        <v/>
      </c>
      <c r="G106" s="537">
        <f>IFERROR(IF('Invullen groen'!I119&lt;&gt;0,'Invullen groen'!I119,""),"")</f>
        <v/>
      </c>
      <c r="H106" s="537">
        <f>IFERROR(IF('Invullen groen'!J119&lt;&gt;0,'Invullen groen'!J119,""),"")</f>
        <v/>
      </c>
      <c r="I106" s="537">
        <f>IFERROR(IF('Invullen groen'!K119&lt;&gt;0,'Invullen groen'!K119,""),"")</f>
        <v/>
      </c>
    </row>
    <row r="107" ht="15" customHeight="1">
      <c r="A107" s="534">
        <f>IFERROR(IF('Invullen groen'!E120&gt;0,120-17,""),"")</f>
        <v/>
      </c>
      <c r="B107" s="534">
        <f>IFERROR(IF('Invullen groen'!E120&gt;0,'Invullen groen'!A120,""),"")</f>
        <v/>
      </c>
      <c r="C107" s="534">
        <f>IFERROR(IF('Invullen groen'!E120&gt;0,'Invullen groen'!C120,""),"")</f>
        <v/>
      </c>
      <c r="D107" s="534">
        <f>IFERROR(IF('Invullen groen'!E120&gt;0,'Invullen groen'!D120,""),"")</f>
        <v/>
      </c>
      <c r="E107" s="534">
        <f>IFERROR(IF('Invullen groen'!E120&gt;0,'Invullen groen'!G120,""),"")</f>
        <v/>
      </c>
      <c r="F107" s="535">
        <f>IFERROR(IF('Invullen groen'!H120&lt;&gt;0,'Invullen groen'!H120,""),"")</f>
        <v/>
      </c>
      <c r="G107" s="535">
        <f>IFERROR(IF('Invullen groen'!I120&lt;&gt;0,'Invullen groen'!I120,""),"")</f>
        <v/>
      </c>
      <c r="H107" s="535">
        <f>IFERROR(IF('Invullen groen'!J120&lt;&gt;0,'Invullen groen'!J120,""),"")</f>
        <v/>
      </c>
      <c r="I107" s="535">
        <f>IFERROR(IF('Invullen groen'!K120&lt;&gt;0,'Invullen groen'!K120,""),"")</f>
        <v/>
      </c>
    </row>
    <row r="108" ht="15" customHeight="1">
      <c r="A108" s="536">
        <f>IFERROR(IF('Invullen groen'!E121&gt;0,121-17,""),"")</f>
        <v/>
      </c>
      <c r="B108" s="536">
        <f>IFERROR(IF('Invullen groen'!E121&gt;0,'Invullen groen'!A121,""),"")</f>
        <v/>
      </c>
      <c r="C108" s="536">
        <f>IFERROR(IF('Invullen groen'!E121&gt;0,'Invullen groen'!C121,""),"")</f>
        <v/>
      </c>
      <c r="D108" s="536">
        <f>IFERROR(IF('Invullen groen'!E121&gt;0,'Invullen groen'!D121,""),"")</f>
        <v/>
      </c>
      <c r="E108" s="536">
        <f>IFERROR(IF('Invullen groen'!E121&gt;0,'Invullen groen'!G121,""),"")</f>
        <v/>
      </c>
      <c r="F108" s="537">
        <f>IFERROR(IF('Invullen groen'!H121&lt;&gt;0,'Invullen groen'!H121,""),"")</f>
        <v/>
      </c>
      <c r="G108" s="537">
        <f>IFERROR(IF('Invullen groen'!I121&lt;&gt;0,'Invullen groen'!I121,""),"")</f>
        <v/>
      </c>
      <c r="H108" s="537">
        <f>IFERROR(IF('Invullen groen'!J121&lt;&gt;0,'Invullen groen'!J121,""),"")</f>
        <v/>
      </c>
      <c r="I108" s="537">
        <f>IFERROR(IF('Invullen groen'!K121&lt;&gt;0,'Invullen groen'!K121,""),"")</f>
        <v/>
      </c>
    </row>
    <row r="109" ht="15" customHeight="1">
      <c r="A109" s="534">
        <f>IFERROR(IF('Invullen groen'!E122&gt;0,122-17,""),"")</f>
        <v/>
      </c>
      <c r="B109" s="534">
        <f>IFERROR(IF('Invullen groen'!E122&gt;0,'Invullen groen'!A122,""),"")</f>
        <v/>
      </c>
      <c r="C109" s="534">
        <f>IFERROR(IF('Invullen groen'!E122&gt;0,'Invullen groen'!C122,""),"")</f>
        <v/>
      </c>
      <c r="D109" s="534">
        <f>IFERROR(IF('Invullen groen'!E122&gt;0,'Invullen groen'!D122,""),"")</f>
        <v/>
      </c>
      <c r="E109" s="534">
        <f>IFERROR(IF('Invullen groen'!E122&gt;0,'Invullen groen'!G122,""),"")</f>
        <v/>
      </c>
      <c r="F109" s="535">
        <f>IFERROR(IF('Invullen groen'!H122&lt;&gt;0,'Invullen groen'!H122,""),"")</f>
        <v/>
      </c>
      <c r="G109" s="535">
        <f>IFERROR(IF('Invullen groen'!I122&lt;&gt;0,'Invullen groen'!I122,""),"")</f>
        <v/>
      </c>
      <c r="H109" s="535">
        <f>IFERROR(IF('Invullen groen'!J122&lt;&gt;0,'Invullen groen'!J122,""),"")</f>
        <v/>
      </c>
      <c r="I109" s="535">
        <f>IFERROR(IF('Invullen groen'!K122&lt;&gt;0,'Invullen groen'!K122,""),"")</f>
        <v/>
      </c>
    </row>
    <row r="110" ht="15" customHeight="1">
      <c r="A110" s="536">
        <f>IFERROR(IF('Invullen groen'!E123&gt;0,123-17,""),"")</f>
        <v/>
      </c>
      <c r="B110" s="536">
        <f>IFERROR(IF('Invullen groen'!E123&gt;0,'Invullen groen'!A123,""),"")</f>
        <v/>
      </c>
      <c r="C110" s="536">
        <f>IFERROR(IF('Invullen groen'!E123&gt;0,'Invullen groen'!C123,""),"")</f>
        <v/>
      </c>
      <c r="D110" s="536">
        <f>IFERROR(IF('Invullen groen'!E123&gt;0,'Invullen groen'!D123,""),"")</f>
        <v/>
      </c>
      <c r="E110" s="536">
        <f>IFERROR(IF('Invullen groen'!E123&gt;0,'Invullen groen'!G123,""),"")</f>
        <v/>
      </c>
      <c r="F110" s="537">
        <f>IFERROR(IF('Invullen groen'!H123&lt;&gt;0,'Invullen groen'!H123,""),"")</f>
        <v/>
      </c>
      <c r="G110" s="537">
        <f>IFERROR(IF('Invullen groen'!I123&lt;&gt;0,'Invullen groen'!I123,""),"")</f>
        <v/>
      </c>
      <c r="H110" s="537">
        <f>IFERROR(IF('Invullen groen'!J123&lt;&gt;0,'Invullen groen'!J123,""),"")</f>
        <v/>
      </c>
      <c r="I110" s="537">
        <f>IFERROR(IF('Invullen groen'!K123&lt;&gt;0,'Invullen groen'!K123,""),"")</f>
        <v/>
      </c>
    </row>
    <row r="111" ht="15" customHeight="1">
      <c r="A111" s="534">
        <f>IFERROR(IF('Invullen groen'!E124&gt;0,124-17,""),"")</f>
        <v/>
      </c>
      <c r="B111" s="534">
        <f>IFERROR(IF('Invullen groen'!E124&gt;0,'Invullen groen'!A124,""),"")</f>
        <v/>
      </c>
      <c r="C111" s="534">
        <f>IFERROR(IF('Invullen groen'!E124&gt;0,'Invullen groen'!C124,""),"")</f>
        <v/>
      </c>
      <c r="D111" s="534">
        <f>IFERROR(IF('Invullen groen'!E124&gt;0,'Invullen groen'!D124,""),"")</f>
        <v/>
      </c>
      <c r="E111" s="534">
        <f>IFERROR(IF('Invullen groen'!E124&gt;0,'Invullen groen'!G124,""),"")</f>
        <v/>
      </c>
      <c r="F111" s="535">
        <f>IFERROR(IF('Invullen groen'!H124&lt;&gt;0,'Invullen groen'!H124,""),"")</f>
        <v/>
      </c>
      <c r="G111" s="535">
        <f>IFERROR(IF('Invullen groen'!I124&lt;&gt;0,'Invullen groen'!I124,""),"")</f>
        <v/>
      </c>
      <c r="H111" s="535">
        <f>IFERROR(IF('Invullen groen'!J124&lt;&gt;0,'Invullen groen'!J124,""),"")</f>
        <v/>
      </c>
      <c r="I111" s="535">
        <f>IFERROR(IF('Invullen groen'!K124&lt;&gt;0,'Invullen groen'!K124,""),"")</f>
        <v/>
      </c>
    </row>
    <row r="112" ht="15" customHeight="1">
      <c r="A112" s="536">
        <f>IFERROR(IF('Invullen groen'!E125&gt;0,125-17,""),"")</f>
        <v/>
      </c>
      <c r="B112" s="536">
        <f>IFERROR(IF('Invullen groen'!E125&gt;0,'Invullen groen'!A125,""),"")</f>
        <v/>
      </c>
      <c r="C112" s="536">
        <f>IFERROR(IF('Invullen groen'!E125&gt;0,'Invullen groen'!C125,""),"")</f>
        <v/>
      </c>
      <c r="D112" s="536">
        <f>IFERROR(IF('Invullen groen'!E125&gt;0,'Invullen groen'!D125,""),"")</f>
        <v/>
      </c>
      <c r="E112" s="536">
        <f>IFERROR(IF('Invullen groen'!E125&gt;0,'Invullen groen'!G125,""),"")</f>
        <v/>
      </c>
      <c r="F112" s="537">
        <f>IFERROR(IF('Invullen groen'!H125&lt;&gt;0,'Invullen groen'!H125,""),"")</f>
        <v/>
      </c>
      <c r="G112" s="537">
        <f>IFERROR(IF('Invullen groen'!I125&lt;&gt;0,'Invullen groen'!I125,""),"")</f>
        <v/>
      </c>
      <c r="H112" s="537">
        <f>IFERROR(IF('Invullen groen'!J125&lt;&gt;0,'Invullen groen'!J125,""),"")</f>
        <v/>
      </c>
      <c r="I112" s="537">
        <f>IFERROR(IF('Invullen groen'!K125&lt;&gt;0,'Invullen groen'!K125,""),"")</f>
        <v/>
      </c>
    </row>
    <row r="113" ht="15" customHeight="1">
      <c r="A113" s="534">
        <f>IFERROR(IF('Invullen groen'!E126&gt;0,126-17,""),"")</f>
        <v/>
      </c>
      <c r="B113" s="534">
        <f>IFERROR(IF('Invullen groen'!E126&gt;0,'Invullen groen'!A126,""),"")</f>
        <v/>
      </c>
      <c r="C113" s="534">
        <f>IFERROR(IF('Invullen groen'!E126&gt;0,'Invullen groen'!C126,""),"")</f>
        <v/>
      </c>
      <c r="D113" s="534">
        <f>IFERROR(IF('Invullen groen'!E126&gt;0,'Invullen groen'!D126,""),"")</f>
        <v/>
      </c>
      <c r="E113" s="534">
        <f>IFERROR(IF('Invullen groen'!E126&gt;0,'Invullen groen'!G126,""),"")</f>
        <v/>
      </c>
      <c r="F113" s="535">
        <f>IFERROR(IF('Invullen groen'!H126&lt;&gt;0,'Invullen groen'!H126,""),"")</f>
        <v/>
      </c>
      <c r="G113" s="535">
        <f>IFERROR(IF('Invullen groen'!I126&lt;&gt;0,'Invullen groen'!I126,""),"")</f>
        <v/>
      </c>
      <c r="H113" s="535">
        <f>IFERROR(IF('Invullen groen'!J126&lt;&gt;0,'Invullen groen'!J126,""),"")</f>
        <v/>
      </c>
      <c r="I113" s="535">
        <f>IFERROR(IF('Invullen groen'!K126&lt;&gt;0,'Invullen groen'!K126,""),"")</f>
        <v/>
      </c>
    </row>
    <row r="114" ht="15" customHeight="1">
      <c r="A114" s="536">
        <f>IFERROR(IF('Invullen groen'!E127&gt;0,127-17,""),"")</f>
        <v/>
      </c>
      <c r="B114" s="536">
        <f>IFERROR(IF('Invullen groen'!E127&gt;0,'Invullen groen'!A127,""),"")</f>
        <v/>
      </c>
      <c r="C114" s="536">
        <f>IFERROR(IF('Invullen groen'!E127&gt;0,'Invullen groen'!C127,""),"")</f>
        <v/>
      </c>
      <c r="D114" s="536">
        <f>IFERROR(IF('Invullen groen'!E127&gt;0,'Invullen groen'!D127,""),"")</f>
        <v/>
      </c>
      <c r="E114" s="536">
        <f>IFERROR(IF('Invullen groen'!E127&gt;0,'Invullen groen'!G127,""),"")</f>
        <v/>
      </c>
      <c r="F114" s="537">
        <f>IFERROR(IF('Invullen groen'!H127&lt;&gt;0,'Invullen groen'!H127,""),"")</f>
        <v/>
      </c>
      <c r="G114" s="537">
        <f>IFERROR(IF('Invullen groen'!I127&lt;&gt;0,'Invullen groen'!I127,""),"")</f>
        <v/>
      </c>
      <c r="H114" s="537">
        <f>IFERROR(IF('Invullen groen'!J127&lt;&gt;0,'Invullen groen'!J127,""),"")</f>
        <v/>
      </c>
      <c r="I114" s="537">
        <f>IFERROR(IF('Invullen groen'!K127&lt;&gt;0,'Invullen groen'!K127,""),"")</f>
        <v/>
      </c>
    </row>
    <row r="115" ht="15" customHeight="1">
      <c r="A115" s="534">
        <f>IFERROR(IF('Invullen groen'!E128&gt;0,128-17,""),"")</f>
        <v/>
      </c>
      <c r="B115" s="534">
        <f>IFERROR(IF('Invullen groen'!E128&gt;0,'Invullen groen'!A128,""),"")</f>
        <v/>
      </c>
      <c r="C115" s="534">
        <f>IFERROR(IF('Invullen groen'!E128&gt;0,'Invullen groen'!C128,""),"")</f>
        <v/>
      </c>
      <c r="D115" s="534">
        <f>IFERROR(IF('Invullen groen'!E128&gt;0,'Invullen groen'!D128,""),"")</f>
        <v/>
      </c>
      <c r="E115" s="534">
        <f>IFERROR(IF('Invullen groen'!E128&gt;0,'Invullen groen'!G128,""),"")</f>
        <v/>
      </c>
      <c r="F115" s="535">
        <f>IFERROR(IF('Invullen groen'!H128&lt;&gt;0,'Invullen groen'!H128,""),"")</f>
        <v/>
      </c>
      <c r="G115" s="535">
        <f>IFERROR(IF('Invullen groen'!I128&lt;&gt;0,'Invullen groen'!I128,""),"")</f>
        <v/>
      </c>
      <c r="H115" s="535">
        <f>IFERROR(IF('Invullen groen'!J128&lt;&gt;0,'Invullen groen'!J128,""),"")</f>
        <v/>
      </c>
      <c r="I115" s="535">
        <f>IFERROR(IF('Invullen groen'!K128&lt;&gt;0,'Invullen groen'!K128,""),"")</f>
        <v/>
      </c>
    </row>
    <row r="116" ht="15" customHeight="1">
      <c r="A116" s="536">
        <f>IFERROR(IF('Invullen groen'!E129&gt;0,129-17,""),"")</f>
        <v/>
      </c>
      <c r="B116" s="536">
        <f>IFERROR(IF('Invullen groen'!E129&gt;0,'Invullen groen'!A129,""),"")</f>
        <v/>
      </c>
      <c r="C116" s="536">
        <f>IFERROR(IF('Invullen groen'!E129&gt;0,'Invullen groen'!C129,""),"")</f>
        <v/>
      </c>
      <c r="D116" s="536">
        <f>IFERROR(IF('Invullen groen'!E129&gt;0,'Invullen groen'!D129,""),"")</f>
        <v/>
      </c>
      <c r="E116" s="536">
        <f>IFERROR(IF('Invullen groen'!E129&gt;0,'Invullen groen'!G129,""),"")</f>
        <v/>
      </c>
      <c r="F116" s="537">
        <f>IFERROR(IF('Invullen groen'!H129&lt;&gt;0,'Invullen groen'!H129,""),"")</f>
        <v/>
      </c>
      <c r="G116" s="537">
        <f>IFERROR(IF('Invullen groen'!I129&lt;&gt;0,'Invullen groen'!I129,""),"")</f>
        <v/>
      </c>
      <c r="H116" s="537">
        <f>IFERROR(IF('Invullen groen'!J129&lt;&gt;0,'Invullen groen'!J129,""),"")</f>
        <v/>
      </c>
      <c r="I116" s="537">
        <f>IFERROR(IF('Invullen groen'!K129&lt;&gt;0,'Invullen groen'!K129,""),"")</f>
        <v/>
      </c>
    </row>
    <row r="117" ht="15" customHeight="1">
      <c r="A117" s="534">
        <f>IFERROR(IF('Invullen groen'!E130&gt;0,130-17,""),"")</f>
        <v/>
      </c>
      <c r="B117" s="534">
        <f>IFERROR(IF('Invullen groen'!E130&gt;0,'Invullen groen'!A130,""),"")</f>
        <v/>
      </c>
      <c r="C117" s="534">
        <f>IFERROR(IF('Invullen groen'!E130&gt;0,'Invullen groen'!C130,""),"")</f>
        <v/>
      </c>
      <c r="D117" s="534">
        <f>IFERROR(IF('Invullen groen'!E130&gt;0,'Invullen groen'!D130,""),"")</f>
        <v/>
      </c>
      <c r="E117" s="534">
        <f>IFERROR(IF('Invullen groen'!E130&gt;0,'Invullen groen'!G130,""),"")</f>
        <v/>
      </c>
      <c r="F117" s="535">
        <f>IFERROR(IF('Invullen groen'!H130&lt;&gt;0,'Invullen groen'!H130,""),"")</f>
        <v/>
      </c>
      <c r="G117" s="535">
        <f>IFERROR(IF('Invullen groen'!I130&lt;&gt;0,'Invullen groen'!I130,""),"")</f>
        <v/>
      </c>
      <c r="H117" s="535">
        <f>IFERROR(IF('Invullen groen'!J130&lt;&gt;0,'Invullen groen'!J130,""),"")</f>
        <v/>
      </c>
      <c r="I117" s="535">
        <f>IFERROR(IF('Invullen groen'!K130&lt;&gt;0,'Invullen groen'!K130,""),"")</f>
        <v/>
      </c>
    </row>
    <row r="118" ht="15" customHeight="1">
      <c r="A118" s="536">
        <f>IFERROR(IF('Invullen groen'!E131&gt;0,131-17,""),"")</f>
        <v/>
      </c>
      <c r="B118" s="536">
        <f>IFERROR(IF('Invullen groen'!E131&gt;0,'Invullen groen'!A131,""),"")</f>
        <v/>
      </c>
      <c r="C118" s="536">
        <f>IFERROR(IF('Invullen groen'!E131&gt;0,'Invullen groen'!C131,""),"")</f>
        <v/>
      </c>
      <c r="D118" s="536">
        <f>IFERROR(IF('Invullen groen'!E131&gt;0,'Invullen groen'!D131,""),"")</f>
        <v/>
      </c>
      <c r="E118" s="536">
        <f>IFERROR(IF('Invullen groen'!E131&gt;0,'Invullen groen'!G131,""),"")</f>
        <v/>
      </c>
      <c r="F118" s="537">
        <f>IFERROR(IF('Invullen groen'!H131&lt;&gt;0,'Invullen groen'!H131,""),"")</f>
        <v/>
      </c>
      <c r="G118" s="537">
        <f>IFERROR(IF('Invullen groen'!I131&lt;&gt;0,'Invullen groen'!I131,""),"")</f>
        <v/>
      </c>
      <c r="H118" s="537">
        <f>IFERROR(IF('Invullen groen'!J131&lt;&gt;0,'Invullen groen'!J131,""),"")</f>
        <v/>
      </c>
      <c r="I118" s="537">
        <f>IFERROR(IF('Invullen groen'!K131&lt;&gt;0,'Invullen groen'!K131,""),"")</f>
        <v/>
      </c>
    </row>
    <row r="119" ht="15" customHeight="1">
      <c r="A119" s="534">
        <f>IFERROR(IF('Invullen groen'!E132&gt;0,132-17,""),"")</f>
        <v/>
      </c>
      <c r="B119" s="534">
        <f>IFERROR(IF('Invullen groen'!E132&gt;0,'Invullen groen'!A132,""),"")</f>
        <v/>
      </c>
      <c r="C119" s="534">
        <f>IFERROR(IF('Invullen groen'!E132&gt;0,'Invullen groen'!C132,""),"")</f>
        <v/>
      </c>
      <c r="D119" s="534">
        <f>IFERROR(IF('Invullen groen'!E132&gt;0,'Invullen groen'!D132,""),"")</f>
        <v/>
      </c>
      <c r="E119" s="534">
        <f>IFERROR(IF('Invullen groen'!E132&gt;0,'Invullen groen'!G132,""),"")</f>
        <v/>
      </c>
      <c r="F119" s="535">
        <f>IFERROR(IF('Invullen groen'!H132&lt;&gt;0,'Invullen groen'!H132,""),"")</f>
        <v/>
      </c>
      <c r="G119" s="535">
        <f>IFERROR(IF('Invullen groen'!I132&lt;&gt;0,'Invullen groen'!I132,""),"")</f>
        <v/>
      </c>
      <c r="H119" s="535">
        <f>IFERROR(IF('Invullen groen'!J132&lt;&gt;0,'Invullen groen'!J132,""),"")</f>
        <v/>
      </c>
      <c r="I119" s="535">
        <f>IFERROR(IF('Invullen groen'!K132&lt;&gt;0,'Invullen groen'!K132,""),"")</f>
        <v/>
      </c>
    </row>
    <row r="120" ht="15" customHeight="1">
      <c r="A120" s="536">
        <f>IFERROR(IF('Invullen groen'!E133&gt;0,133-17,""),"")</f>
        <v/>
      </c>
      <c r="B120" s="536">
        <f>IFERROR(IF('Invullen groen'!E133&gt;0,'Invullen groen'!A133,""),"")</f>
        <v/>
      </c>
      <c r="C120" s="536">
        <f>IFERROR(IF('Invullen groen'!E133&gt;0,'Invullen groen'!C133,""),"")</f>
        <v/>
      </c>
      <c r="D120" s="536">
        <f>IFERROR(IF('Invullen groen'!E133&gt;0,'Invullen groen'!D133,""),"")</f>
        <v/>
      </c>
      <c r="E120" s="536">
        <f>IFERROR(IF('Invullen groen'!E133&gt;0,'Invullen groen'!G133,""),"")</f>
        <v/>
      </c>
      <c r="F120" s="537">
        <f>IFERROR(IF('Invullen groen'!H133&lt;&gt;0,'Invullen groen'!H133,""),"")</f>
        <v/>
      </c>
      <c r="G120" s="537">
        <f>IFERROR(IF('Invullen groen'!I133&lt;&gt;0,'Invullen groen'!I133,""),"")</f>
        <v/>
      </c>
      <c r="H120" s="537">
        <f>IFERROR(IF('Invullen groen'!J133&lt;&gt;0,'Invullen groen'!J133,""),"")</f>
        <v/>
      </c>
      <c r="I120" s="537">
        <f>IFERROR(IF('Invullen groen'!K133&lt;&gt;0,'Invullen groen'!K133,""),"")</f>
        <v/>
      </c>
    </row>
    <row r="121" ht="15" customHeight="1">
      <c r="A121" s="534">
        <f>IFERROR(IF('Invullen groen'!E134&gt;0,134-17,""),"")</f>
        <v/>
      </c>
      <c r="B121" s="534">
        <f>IFERROR(IF('Invullen groen'!E134&gt;0,'Invullen groen'!A134,""),"")</f>
        <v/>
      </c>
      <c r="C121" s="534">
        <f>IFERROR(IF('Invullen groen'!E134&gt;0,'Invullen groen'!C134,""),"")</f>
        <v/>
      </c>
      <c r="D121" s="534">
        <f>IFERROR(IF('Invullen groen'!E134&gt;0,'Invullen groen'!D134,""),"")</f>
        <v/>
      </c>
      <c r="E121" s="534">
        <f>IFERROR(IF('Invullen groen'!E134&gt;0,'Invullen groen'!G134,""),"")</f>
        <v/>
      </c>
      <c r="F121" s="535">
        <f>IFERROR(IF('Invullen groen'!H134&lt;&gt;0,'Invullen groen'!H134,""),"")</f>
        <v/>
      </c>
      <c r="G121" s="535">
        <f>IFERROR(IF('Invullen groen'!I134&lt;&gt;0,'Invullen groen'!I134,""),"")</f>
        <v/>
      </c>
      <c r="H121" s="535">
        <f>IFERROR(IF('Invullen groen'!J134&lt;&gt;0,'Invullen groen'!J134,""),"")</f>
        <v/>
      </c>
      <c r="I121" s="535">
        <f>IFERROR(IF('Invullen groen'!K134&lt;&gt;0,'Invullen groen'!K134,""),"")</f>
        <v/>
      </c>
    </row>
    <row r="122" ht="15" customHeight="1">
      <c r="A122" s="536">
        <f>IFERROR(IF('Invullen groen'!E135&gt;0,135-17,""),"")</f>
        <v/>
      </c>
      <c r="B122" s="536">
        <f>IFERROR(IF('Invullen groen'!E135&gt;0,'Invullen groen'!A135,""),"")</f>
        <v/>
      </c>
      <c r="C122" s="536">
        <f>IFERROR(IF('Invullen groen'!E135&gt;0,'Invullen groen'!C135,""),"")</f>
        <v/>
      </c>
      <c r="D122" s="536">
        <f>IFERROR(IF('Invullen groen'!E135&gt;0,'Invullen groen'!D135,""),"")</f>
        <v/>
      </c>
      <c r="E122" s="536">
        <f>IFERROR(IF('Invullen groen'!E135&gt;0,'Invullen groen'!G135,""),"")</f>
        <v/>
      </c>
      <c r="F122" s="537">
        <f>IFERROR(IF('Invullen groen'!H135&lt;&gt;0,'Invullen groen'!H135,""),"")</f>
        <v/>
      </c>
      <c r="G122" s="537">
        <f>IFERROR(IF('Invullen groen'!I135&lt;&gt;0,'Invullen groen'!I135,""),"")</f>
        <v/>
      </c>
      <c r="H122" s="537">
        <f>IFERROR(IF('Invullen groen'!J135&lt;&gt;0,'Invullen groen'!J135,""),"")</f>
        <v/>
      </c>
      <c r="I122" s="537">
        <f>IFERROR(IF('Invullen groen'!K135&lt;&gt;0,'Invullen groen'!K135,""),"")</f>
        <v/>
      </c>
    </row>
    <row r="123" ht="15" customHeight="1">
      <c r="A123" s="534">
        <f>IFERROR(IF('Invullen groen'!E136&gt;0,136-17,""),"")</f>
        <v/>
      </c>
      <c r="B123" s="534">
        <f>IFERROR(IF('Invullen groen'!E136&gt;0,'Invullen groen'!A136,""),"")</f>
        <v/>
      </c>
      <c r="C123" s="534">
        <f>IFERROR(IF('Invullen groen'!E136&gt;0,'Invullen groen'!C136,""),"")</f>
        <v/>
      </c>
      <c r="D123" s="534">
        <f>IFERROR(IF('Invullen groen'!E136&gt;0,'Invullen groen'!D136,""),"")</f>
        <v/>
      </c>
      <c r="E123" s="534">
        <f>IFERROR(IF('Invullen groen'!E136&gt;0,'Invullen groen'!G136,""),"")</f>
        <v/>
      </c>
      <c r="F123" s="535">
        <f>IFERROR(IF('Invullen groen'!H136&lt;&gt;0,'Invullen groen'!H136,""),"")</f>
        <v/>
      </c>
      <c r="G123" s="535">
        <f>IFERROR(IF('Invullen groen'!I136&lt;&gt;0,'Invullen groen'!I136,""),"")</f>
        <v/>
      </c>
      <c r="H123" s="535">
        <f>IFERROR(IF('Invullen groen'!J136&lt;&gt;0,'Invullen groen'!J136,""),"")</f>
        <v/>
      </c>
      <c r="I123" s="535">
        <f>IFERROR(IF('Invullen groen'!K136&lt;&gt;0,'Invullen groen'!K136,""),"")</f>
        <v/>
      </c>
    </row>
    <row r="124" ht="15" customHeight="1">
      <c r="A124" s="536">
        <f>IFERROR(IF('Invullen groen'!E137&gt;0,137-17,""),"")</f>
        <v/>
      </c>
      <c r="B124" s="536">
        <f>IFERROR(IF('Invullen groen'!E137&gt;0,'Invullen groen'!A137,""),"")</f>
        <v/>
      </c>
      <c r="C124" s="536">
        <f>IFERROR(IF('Invullen groen'!E137&gt;0,'Invullen groen'!C137,""),"")</f>
        <v/>
      </c>
      <c r="D124" s="536">
        <f>IFERROR(IF('Invullen groen'!E137&gt;0,'Invullen groen'!D137,""),"")</f>
        <v/>
      </c>
      <c r="E124" s="536">
        <f>IFERROR(IF('Invullen groen'!E137&gt;0,'Invullen groen'!G137,""),"")</f>
        <v/>
      </c>
      <c r="F124" s="537">
        <f>IFERROR(IF('Invullen groen'!H137&lt;&gt;0,'Invullen groen'!H137,""),"")</f>
        <v/>
      </c>
      <c r="G124" s="537">
        <f>IFERROR(IF('Invullen groen'!I137&lt;&gt;0,'Invullen groen'!I137,""),"")</f>
        <v/>
      </c>
      <c r="H124" s="537">
        <f>IFERROR(IF('Invullen groen'!J137&lt;&gt;0,'Invullen groen'!J137,""),"")</f>
        <v/>
      </c>
      <c r="I124" s="537">
        <f>IFERROR(IF('Invullen groen'!K137&lt;&gt;0,'Invullen groen'!K137,""),"")</f>
        <v/>
      </c>
    </row>
    <row r="125" ht="15" customHeight="1">
      <c r="A125" s="534">
        <f>IFERROR(IF('Invullen groen'!E138&gt;0,138-17,""),"")</f>
        <v/>
      </c>
      <c r="B125" s="534">
        <f>IFERROR(IF('Invullen groen'!E138&gt;0,'Invullen groen'!A138,""),"")</f>
        <v/>
      </c>
      <c r="C125" s="534">
        <f>IFERROR(IF('Invullen groen'!E138&gt;0,'Invullen groen'!C138,""),"")</f>
        <v/>
      </c>
      <c r="D125" s="534">
        <f>IFERROR(IF('Invullen groen'!E138&gt;0,'Invullen groen'!D138,""),"")</f>
        <v/>
      </c>
      <c r="E125" s="534">
        <f>IFERROR(IF('Invullen groen'!E138&gt;0,'Invullen groen'!G138,""),"")</f>
        <v/>
      </c>
      <c r="F125" s="535">
        <f>IFERROR(IF('Invullen groen'!H138&lt;&gt;0,'Invullen groen'!H138,""),"")</f>
        <v/>
      </c>
      <c r="G125" s="535">
        <f>IFERROR(IF('Invullen groen'!I138&lt;&gt;0,'Invullen groen'!I138,""),"")</f>
        <v/>
      </c>
      <c r="H125" s="535">
        <f>IFERROR(IF('Invullen groen'!J138&lt;&gt;0,'Invullen groen'!J138,""),"")</f>
        <v/>
      </c>
      <c r="I125" s="535">
        <f>IFERROR(IF('Invullen groen'!K138&lt;&gt;0,'Invullen groen'!K138,""),"")</f>
        <v/>
      </c>
    </row>
    <row r="126" ht="15" customHeight="1">
      <c r="A126" s="536">
        <f>IFERROR(IF('Invullen groen'!E139&gt;0,139-17,""),"")</f>
        <v/>
      </c>
      <c r="B126" s="536">
        <f>IFERROR(IF('Invullen groen'!E139&gt;0,'Invullen groen'!A139,""),"")</f>
        <v/>
      </c>
      <c r="C126" s="536">
        <f>IFERROR(IF('Invullen groen'!E139&gt;0,'Invullen groen'!C139,""),"")</f>
        <v/>
      </c>
      <c r="D126" s="536">
        <f>IFERROR(IF('Invullen groen'!E139&gt;0,'Invullen groen'!D139,""),"")</f>
        <v/>
      </c>
      <c r="E126" s="536">
        <f>IFERROR(IF('Invullen groen'!E139&gt;0,'Invullen groen'!G139,""),"")</f>
        <v/>
      </c>
      <c r="F126" s="537">
        <f>IFERROR(IF('Invullen groen'!H139&lt;&gt;0,'Invullen groen'!H139,""),"")</f>
        <v/>
      </c>
      <c r="G126" s="537">
        <f>IFERROR(IF('Invullen groen'!I139&lt;&gt;0,'Invullen groen'!I139,""),"")</f>
        <v/>
      </c>
      <c r="H126" s="537">
        <f>IFERROR(IF('Invullen groen'!J139&lt;&gt;0,'Invullen groen'!J139,""),"")</f>
        <v/>
      </c>
      <c r="I126" s="537">
        <f>IFERROR(IF('Invullen groen'!K139&lt;&gt;0,'Invullen groen'!K139,""),"")</f>
        <v/>
      </c>
    </row>
    <row r="127" ht="15" customHeight="1">
      <c r="A127" s="534">
        <f>IFERROR(IF('Invullen groen'!E140&gt;0,140-17,""),"")</f>
        <v/>
      </c>
      <c r="B127" s="534">
        <f>IFERROR(IF('Invullen groen'!E140&gt;0,'Invullen groen'!A140,""),"")</f>
        <v/>
      </c>
      <c r="C127" s="534">
        <f>IFERROR(IF('Invullen groen'!E140&gt;0,'Invullen groen'!C140,""),"")</f>
        <v/>
      </c>
      <c r="D127" s="534">
        <f>IFERROR(IF('Invullen groen'!E140&gt;0,'Invullen groen'!D140,""),"")</f>
        <v/>
      </c>
      <c r="E127" s="534">
        <f>IFERROR(IF('Invullen groen'!E140&gt;0,'Invullen groen'!G140,""),"")</f>
        <v/>
      </c>
      <c r="F127" s="535">
        <f>IFERROR(IF('Invullen groen'!H140&lt;&gt;0,'Invullen groen'!H140,""),"")</f>
        <v/>
      </c>
      <c r="G127" s="535">
        <f>IFERROR(IF('Invullen groen'!I140&lt;&gt;0,'Invullen groen'!I140,""),"")</f>
        <v/>
      </c>
      <c r="H127" s="535">
        <f>IFERROR(IF('Invullen groen'!J140&lt;&gt;0,'Invullen groen'!J140,""),"")</f>
        <v/>
      </c>
      <c r="I127" s="535">
        <f>IFERROR(IF('Invullen groen'!K140&lt;&gt;0,'Invullen groen'!K140,""),"")</f>
        <v/>
      </c>
    </row>
    <row r="128" ht="15" customHeight="1">
      <c r="A128" s="536">
        <f>IFERROR(IF('Invullen groen'!E141&gt;0,141-17,""),"")</f>
        <v/>
      </c>
      <c r="B128" s="536">
        <f>IFERROR(IF('Invullen groen'!E141&gt;0,'Invullen groen'!A141,""),"")</f>
        <v/>
      </c>
      <c r="C128" s="536">
        <f>IFERROR(IF('Invullen groen'!E141&gt;0,'Invullen groen'!C141,""),"")</f>
        <v/>
      </c>
      <c r="D128" s="536">
        <f>IFERROR(IF('Invullen groen'!E141&gt;0,'Invullen groen'!D141,""),"")</f>
        <v/>
      </c>
      <c r="E128" s="536">
        <f>IFERROR(IF('Invullen groen'!E141&gt;0,'Invullen groen'!G141,""),"")</f>
        <v/>
      </c>
      <c r="F128" s="537">
        <f>IFERROR(IF('Invullen groen'!H141&lt;&gt;0,'Invullen groen'!H141,""),"")</f>
        <v/>
      </c>
      <c r="G128" s="537">
        <f>IFERROR(IF('Invullen groen'!I141&lt;&gt;0,'Invullen groen'!I141,""),"")</f>
        <v/>
      </c>
      <c r="H128" s="537">
        <f>IFERROR(IF('Invullen groen'!J141&lt;&gt;0,'Invullen groen'!J141,""),"")</f>
        <v/>
      </c>
      <c r="I128" s="537">
        <f>IFERROR(IF('Invullen groen'!K141&lt;&gt;0,'Invullen groen'!K141,""),"")</f>
        <v/>
      </c>
    </row>
    <row r="129" ht="15" customHeight="1">
      <c r="A129" s="534">
        <f>IFERROR(IF('Invullen groen'!E142&gt;0,142-17,""),"")</f>
        <v/>
      </c>
      <c r="B129" s="534">
        <f>IFERROR(IF('Invullen groen'!E142&gt;0,'Invullen groen'!A142,""),"")</f>
        <v/>
      </c>
      <c r="C129" s="534">
        <f>IFERROR(IF('Invullen groen'!E142&gt;0,'Invullen groen'!C142,""),"")</f>
        <v/>
      </c>
      <c r="D129" s="534">
        <f>IFERROR(IF('Invullen groen'!E142&gt;0,'Invullen groen'!D142,""),"")</f>
        <v/>
      </c>
      <c r="E129" s="534">
        <f>IFERROR(IF('Invullen groen'!E142&gt;0,'Invullen groen'!G142,""),"")</f>
        <v/>
      </c>
      <c r="F129" s="535">
        <f>IFERROR(IF('Invullen groen'!H142&lt;&gt;0,'Invullen groen'!H142,""),"")</f>
        <v/>
      </c>
      <c r="G129" s="535">
        <f>IFERROR(IF('Invullen groen'!I142&lt;&gt;0,'Invullen groen'!I142,""),"")</f>
        <v/>
      </c>
      <c r="H129" s="535">
        <f>IFERROR(IF('Invullen groen'!J142&lt;&gt;0,'Invullen groen'!J142,""),"")</f>
        <v/>
      </c>
      <c r="I129" s="535">
        <f>IFERROR(IF('Invullen groen'!K142&lt;&gt;0,'Invullen groen'!K142,""),"")</f>
        <v/>
      </c>
    </row>
    <row r="130" ht="15" customHeight="1">
      <c r="A130" s="536">
        <f>IFERROR(IF('Invullen groen'!E143&gt;0,143-17,""),"")</f>
        <v/>
      </c>
      <c r="B130" s="536">
        <f>IFERROR(IF('Invullen groen'!E143&gt;0,'Invullen groen'!A143,""),"")</f>
        <v/>
      </c>
      <c r="C130" s="536">
        <f>IFERROR(IF('Invullen groen'!E143&gt;0,'Invullen groen'!C143,""),"")</f>
        <v/>
      </c>
      <c r="D130" s="536">
        <f>IFERROR(IF('Invullen groen'!E143&gt;0,'Invullen groen'!D143,""),"")</f>
        <v/>
      </c>
      <c r="E130" s="536">
        <f>IFERROR(IF('Invullen groen'!E143&gt;0,'Invullen groen'!G143,""),"")</f>
        <v/>
      </c>
      <c r="F130" s="537">
        <f>IFERROR(IF('Invullen groen'!H143&lt;&gt;0,'Invullen groen'!H143,""),"")</f>
        <v/>
      </c>
      <c r="G130" s="537">
        <f>IFERROR(IF('Invullen groen'!I143&lt;&gt;0,'Invullen groen'!I143,""),"")</f>
        <v/>
      </c>
      <c r="H130" s="537">
        <f>IFERROR(IF('Invullen groen'!J143&lt;&gt;0,'Invullen groen'!J143,""),"")</f>
        <v/>
      </c>
      <c r="I130" s="537">
        <f>IFERROR(IF('Invullen groen'!K143&lt;&gt;0,'Invullen groen'!K143,""),"")</f>
        <v/>
      </c>
    </row>
    <row r="131" ht="15" customHeight="1">
      <c r="A131" s="534">
        <f>IFERROR(IF('Invullen groen'!E144&gt;0,144-17,""),"")</f>
        <v/>
      </c>
      <c r="B131" s="534">
        <f>IFERROR(IF('Invullen groen'!E144&gt;0,'Invullen groen'!A144,""),"")</f>
        <v/>
      </c>
      <c r="C131" s="534">
        <f>IFERROR(IF('Invullen groen'!E144&gt;0,'Invullen groen'!C144,""),"")</f>
        <v/>
      </c>
      <c r="D131" s="534">
        <f>IFERROR(IF('Invullen groen'!E144&gt;0,'Invullen groen'!D144,""),"")</f>
        <v/>
      </c>
      <c r="E131" s="534">
        <f>IFERROR(IF('Invullen groen'!E144&gt;0,'Invullen groen'!G144,""),"")</f>
        <v/>
      </c>
      <c r="F131" s="535">
        <f>IFERROR(IF('Invullen groen'!H144&lt;&gt;0,'Invullen groen'!H144,""),"")</f>
        <v/>
      </c>
      <c r="G131" s="535">
        <f>IFERROR(IF('Invullen groen'!I144&lt;&gt;0,'Invullen groen'!I144,""),"")</f>
        <v/>
      </c>
      <c r="H131" s="535">
        <f>IFERROR(IF('Invullen groen'!J144&lt;&gt;0,'Invullen groen'!J144,""),"")</f>
        <v/>
      </c>
      <c r="I131" s="535">
        <f>IFERROR(IF('Invullen groen'!K144&lt;&gt;0,'Invullen groen'!K144,""),"")</f>
        <v/>
      </c>
    </row>
    <row r="132" ht="15" customHeight="1">
      <c r="A132" s="536">
        <f>IFERROR(IF('Invullen groen'!E145&gt;0,145-17,""),"")</f>
        <v/>
      </c>
      <c r="B132" s="536">
        <f>IFERROR(IF('Invullen groen'!E145&gt;0,'Invullen groen'!A145,""),"")</f>
        <v/>
      </c>
      <c r="C132" s="536">
        <f>IFERROR(IF('Invullen groen'!E145&gt;0,'Invullen groen'!C145,""),"")</f>
        <v/>
      </c>
      <c r="D132" s="536">
        <f>IFERROR(IF('Invullen groen'!E145&gt;0,'Invullen groen'!D145,""),"")</f>
        <v/>
      </c>
      <c r="E132" s="536">
        <f>IFERROR(IF('Invullen groen'!E145&gt;0,'Invullen groen'!G145,""),"")</f>
        <v/>
      </c>
      <c r="F132" s="537">
        <f>IFERROR(IF('Invullen groen'!H145&lt;&gt;0,'Invullen groen'!H145,""),"")</f>
        <v/>
      </c>
      <c r="G132" s="537">
        <f>IFERROR(IF('Invullen groen'!I145&lt;&gt;0,'Invullen groen'!I145,""),"")</f>
        <v/>
      </c>
      <c r="H132" s="537">
        <f>IFERROR(IF('Invullen groen'!J145&lt;&gt;0,'Invullen groen'!J145,""),"")</f>
        <v/>
      </c>
      <c r="I132" s="537">
        <f>IFERROR(IF('Invullen groen'!K145&lt;&gt;0,'Invullen groen'!K145,""),"")</f>
        <v/>
      </c>
    </row>
    <row r="133" ht="15" customHeight="1">
      <c r="A133" s="534">
        <f>IFERROR(IF('Invullen groen'!E146&gt;0,146-17,""),"")</f>
        <v/>
      </c>
      <c r="B133" s="534">
        <f>IFERROR(IF('Invullen groen'!E146&gt;0,'Invullen groen'!A146,""),"")</f>
        <v/>
      </c>
      <c r="C133" s="534">
        <f>IFERROR(IF('Invullen groen'!E146&gt;0,'Invullen groen'!C146,""),"")</f>
        <v/>
      </c>
      <c r="D133" s="534">
        <f>IFERROR(IF('Invullen groen'!E146&gt;0,'Invullen groen'!D146,""),"")</f>
        <v/>
      </c>
      <c r="E133" s="534">
        <f>IFERROR(IF('Invullen groen'!E146&gt;0,'Invullen groen'!G146,""),"")</f>
        <v/>
      </c>
      <c r="F133" s="535">
        <f>IFERROR(IF('Invullen groen'!H146&lt;&gt;0,'Invullen groen'!H146,""),"")</f>
        <v/>
      </c>
      <c r="G133" s="535">
        <f>IFERROR(IF('Invullen groen'!I146&lt;&gt;0,'Invullen groen'!I146,""),"")</f>
        <v/>
      </c>
      <c r="H133" s="535">
        <f>IFERROR(IF('Invullen groen'!J146&lt;&gt;0,'Invullen groen'!J146,""),"")</f>
        <v/>
      </c>
      <c r="I133" s="535">
        <f>IFERROR(IF('Invullen groen'!K146&lt;&gt;0,'Invullen groen'!K146,""),"")</f>
        <v/>
      </c>
    </row>
    <row r="134" ht="15" customHeight="1">
      <c r="A134" s="536">
        <f>IFERROR(IF('Invullen groen'!E147&gt;0,147-17,""),"")</f>
        <v/>
      </c>
      <c r="B134" s="536">
        <f>IFERROR(IF('Invullen groen'!E147&gt;0,'Invullen groen'!A147,""),"")</f>
        <v/>
      </c>
      <c r="C134" s="536">
        <f>IFERROR(IF('Invullen groen'!E147&gt;0,'Invullen groen'!C147,""),"")</f>
        <v/>
      </c>
      <c r="D134" s="536">
        <f>IFERROR(IF('Invullen groen'!E147&gt;0,'Invullen groen'!D147,""),"")</f>
        <v/>
      </c>
      <c r="E134" s="536">
        <f>IFERROR(IF('Invullen groen'!E147&gt;0,'Invullen groen'!G147,""),"")</f>
        <v/>
      </c>
      <c r="F134" s="537">
        <f>IFERROR(IF('Invullen groen'!H147&lt;&gt;0,'Invullen groen'!H147,""),"")</f>
        <v/>
      </c>
      <c r="G134" s="537">
        <f>IFERROR(IF('Invullen groen'!I147&lt;&gt;0,'Invullen groen'!I147,""),"")</f>
        <v/>
      </c>
      <c r="H134" s="537">
        <f>IFERROR(IF('Invullen groen'!J147&lt;&gt;0,'Invullen groen'!J147,""),"")</f>
        <v/>
      </c>
      <c r="I134" s="537">
        <f>IFERROR(IF('Invullen groen'!K147&lt;&gt;0,'Invullen groen'!K147,""),"")</f>
        <v/>
      </c>
    </row>
    <row r="135" ht="15" customHeight="1">
      <c r="A135" s="534">
        <f>IFERROR(IF('Invullen groen'!E148&gt;0,148-17,""),"")</f>
        <v/>
      </c>
      <c r="B135" s="534">
        <f>IFERROR(IF('Invullen groen'!E148&gt;0,'Invullen groen'!A148,""),"")</f>
        <v/>
      </c>
      <c r="C135" s="534">
        <f>IFERROR(IF('Invullen groen'!E148&gt;0,'Invullen groen'!C148,""),"")</f>
        <v/>
      </c>
      <c r="D135" s="534">
        <f>IFERROR(IF('Invullen groen'!E148&gt;0,'Invullen groen'!D148,""),"")</f>
        <v/>
      </c>
      <c r="E135" s="534">
        <f>IFERROR(IF('Invullen groen'!E148&gt;0,'Invullen groen'!G148,""),"")</f>
        <v/>
      </c>
      <c r="F135" s="535">
        <f>IFERROR(IF('Invullen groen'!H148&lt;&gt;0,'Invullen groen'!H148,""),"")</f>
        <v/>
      </c>
      <c r="G135" s="535">
        <f>IFERROR(IF('Invullen groen'!I148&lt;&gt;0,'Invullen groen'!I148,""),"")</f>
        <v/>
      </c>
      <c r="H135" s="535">
        <f>IFERROR(IF('Invullen groen'!J148&lt;&gt;0,'Invullen groen'!J148,""),"")</f>
        <v/>
      </c>
      <c r="I135" s="535">
        <f>IFERROR(IF('Invullen groen'!K148&lt;&gt;0,'Invullen groen'!K148,""),"")</f>
        <v/>
      </c>
    </row>
    <row r="136" ht="15" customHeight="1">
      <c r="A136" s="536">
        <f>IFERROR(IF('Invullen groen'!E149&gt;0,149-17,""),"")</f>
        <v/>
      </c>
      <c r="B136" s="536">
        <f>IFERROR(IF('Invullen groen'!E149&gt;0,'Invullen groen'!A149,""),"")</f>
        <v/>
      </c>
      <c r="C136" s="536">
        <f>IFERROR(IF('Invullen groen'!E149&gt;0,'Invullen groen'!C149,""),"")</f>
        <v/>
      </c>
      <c r="D136" s="536">
        <f>IFERROR(IF('Invullen groen'!E149&gt;0,'Invullen groen'!D149,""),"")</f>
        <v/>
      </c>
      <c r="E136" s="536">
        <f>IFERROR(IF('Invullen groen'!E149&gt;0,'Invullen groen'!G149,""),"")</f>
        <v/>
      </c>
      <c r="F136" s="537">
        <f>IFERROR(IF('Invullen groen'!H149&lt;&gt;0,'Invullen groen'!H149,""),"")</f>
        <v/>
      </c>
      <c r="G136" s="537">
        <f>IFERROR(IF('Invullen groen'!I149&lt;&gt;0,'Invullen groen'!I149,""),"")</f>
        <v/>
      </c>
      <c r="H136" s="537">
        <f>IFERROR(IF('Invullen groen'!J149&lt;&gt;0,'Invullen groen'!J149,""),"")</f>
        <v/>
      </c>
      <c r="I136" s="537">
        <f>IFERROR(IF('Invullen groen'!K149&lt;&gt;0,'Invullen groen'!K149,""),"")</f>
        <v/>
      </c>
    </row>
    <row r="137" ht="15" customHeight="1">
      <c r="A137" s="534">
        <f>IFERROR(IF('Invullen groen'!E150&gt;0,150-17,""),"")</f>
        <v/>
      </c>
      <c r="B137" s="534">
        <f>IFERROR(IF('Invullen groen'!E150&gt;0,'Invullen groen'!A150,""),"")</f>
        <v/>
      </c>
      <c r="C137" s="534">
        <f>IFERROR(IF('Invullen groen'!E150&gt;0,'Invullen groen'!C150,""),"")</f>
        <v/>
      </c>
      <c r="D137" s="534">
        <f>IFERROR(IF('Invullen groen'!E150&gt;0,'Invullen groen'!D150,""),"")</f>
        <v/>
      </c>
      <c r="E137" s="534">
        <f>IFERROR(IF('Invullen groen'!E150&gt;0,'Invullen groen'!G150,""),"")</f>
        <v/>
      </c>
      <c r="F137" s="535">
        <f>IFERROR(IF('Invullen groen'!H150&lt;&gt;0,'Invullen groen'!H150,""),"")</f>
        <v/>
      </c>
      <c r="G137" s="535">
        <f>IFERROR(IF('Invullen groen'!I150&lt;&gt;0,'Invullen groen'!I150,""),"")</f>
        <v/>
      </c>
      <c r="H137" s="535">
        <f>IFERROR(IF('Invullen groen'!J150&lt;&gt;0,'Invullen groen'!J150,""),"")</f>
        <v/>
      </c>
      <c r="I137" s="535">
        <f>IFERROR(IF('Invullen groen'!K150&lt;&gt;0,'Invullen groen'!K150,""),"")</f>
        <v/>
      </c>
    </row>
    <row r="138" ht="15" customHeight="1">
      <c r="A138" s="536">
        <f>IFERROR(IF('Invullen groen'!E151&gt;0,151-17,""),"")</f>
        <v/>
      </c>
      <c r="B138" s="536">
        <f>IFERROR(IF('Invullen groen'!E151&gt;0,'Invullen groen'!A151,""),"")</f>
        <v/>
      </c>
      <c r="C138" s="536">
        <f>IFERROR(IF('Invullen groen'!E151&gt;0,'Invullen groen'!C151,""),"")</f>
        <v/>
      </c>
      <c r="D138" s="536">
        <f>IFERROR(IF('Invullen groen'!E151&gt;0,'Invullen groen'!D151,""),"")</f>
        <v/>
      </c>
      <c r="E138" s="536">
        <f>IFERROR(IF('Invullen groen'!E151&gt;0,'Invullen groen'!G151,""),"")</f>
        <v/>
      </c>
      <c r="F138" s="537">
        <f>IFERROR(IF('Invullen groen'!H151&lt;&gt;0,'Invullen groen'!H151,""),"")</f>
        <v/>
      </c>
      <c r="G138" s="537">
        <f>IFERROR(IF('Invullen groen'!I151&lt;&gt;0,'Invullen groen'!I151,""),"")</f>
        <v/>
      </c>
      <c r="H138" s="537">
        <f>IFERROR(IF('Invullen groen'!J151&lt;&gt;0,'Invullen groen'!J151,""),"")</f>
        <v/>
      </c>
      <c r="I138" s="537">
        <f>IFERROR(IF('Invullen groen'!K151&lt;&gt;0,'Invullen groen'!K151,""),"")</f>
        <v/>
      </c>
    </row>
    <row r="139" ht="15" customHeight="1">
      <c r="A139" s="534">
        <f>IFERROR(IF('Invullen groen'!E152&gt;0,152-17,""),"")</f>
        <v/>
      </c>
      <c r="B139" s="534">
        <f>IFERROR(IF('Invullen groen'!E152&gt;0,'Invullen groen'!A152,""),"")</f>
        <v/>
      </c>
      <c r="C139" s="534">
        <f>IFERROR(IF('Invullen groen'!E152&gt;0,'Invullen groen'!C152,""),"")</f>
        <v/>
      </c>
      <c r="D139" s="534">
        <f>IFERROR(IF('Invullen groen'!E152&gt;0,'Invullen groen'!D152,""),"")</f>
        <v/>
      </c>
      <c r="E139" s="534">
        <f>IFERROR(IF('Invullen groen'!E152&gt;0,'Invullen groen'!G152,""),"")</f>
        <v/>
      </c>
      <c r="F139" s="535">
        <f>IFERROR(IF('Invullen groen'!H152&lt;&gt;0,'Invullen groen'!H152,""),"")</f>
        <v/>
      </c>
      <c r="G139" s="535">
        <f>IFERROR(IF('Invullen groen'!I152&lt;&gt;0,'Invullen groen'!I152,""),"")</f>
        <v/>
      </c>
      <c r="H139" s="535">
        <f>IFERROR(IF('Invullen groen'!J152&lt;&gt;0,'Invullen groen'!J152,""),"")</f>
        <v/>
      </c>
      <c r="I139" s="535">
        <f>IFERROR(IF('Invullen groen'!K152&lt;&gt;0,'Invullen groen'!K152,""),"")</f>
        <v/>
      </c>
    </row>
    <row r="140" ht="15" customHeight="1">
      <c r="A140" s="536">
        <f>IFERROR(IF('Invullen groen'!E153&gt;0,153-17,""),"")</f>
        <v/>
      </c>
      <c r="B140" s="536">
        <f>IFERROR(IF('Invullen groen'!E153&gt;0,'Invullen groen'!A153,""),"")</f>
        <v/>
      </c>
      <c r="C140" s="536">
        <f>IFERROR(IF('Invullen groen'!E153&gt;0,'Invullen groen'!C153,""),"")</f>
        <v/>
      </c>
      <c r="D140" s="536">
        <f>IFERROR(IF('Invullen groen'!E153&gt;0,'Invullen groen'!D153,""),"")</f>
        <v/>
      </c>
      <c r="E140" s="536">
        <f>IFERROR(IF('Invullen groen'!E153&gt;0,'Invullen groen'!G153,""),"")</f>
        <v/>
      </c>
      <c r="F140" s="537">
        <f>IFERROR(IF('Invullen groen'!H153&lt;&gt;0,'Invullen groen'!H153,""),"")</f>
        <v/>
      </c>
      <c r="G140" s="537">
        <f>IFERROR(IF('Invullen groen'!I153&lt;&gt;0,'Invullen groen'!I153,""),"")</f>
        <v/>
      </c>
      <c r="H140" s="537">
        <f>IFERROR(IF('Invullen groen'!J153&lt;&gt;0,'Invullen groen'!J153,""),"")</f>
        <v/>
      </c>
      <c r="I140" s="537">
        <f>IFERROR(IF('Invullen groen'!K153&lt;&gt;0,'Invullen groen'!K153,""),"")</f>
        <v/>
      </c>
    </row>
    <row r="141" ht="15" customHeight="1">
      <c r="A141" s="534">
        <f>IFERROR(IF('Invullen groen'!E154&gt;0,154-17,""),"")</f>
        <v/>
      </c>
      <c r="B141" s="534">
        <f>IFERROR(IF('Invullen groen'!E154&gt;0,'Invullen groen'!A154,""),"")</f>
        <v/>
      </c>
      <c r="C141" s="534">
        <f>IFERROR(IF('Invullen groen'!E154&gt;0,'Invullen groen'!C154,""),"")</f>
        <v/>
      </c>
      <c r="D141" s="534">
        <f>IFERROR(IF('Invullen groen'!E154&gt;0,'Invullen groen'!D154,""),"")</f>
        <v/>
      </c>
      <c r="E141" s="534">
        <f>IFERROR(IF('Invullen groen'!E154&gt;0,'Invullen groen'!G154,""),"")</f>
        <v/>
      </c>
      <c r="F141" s="535">
        <f>IFERROR(IF('Invullen groen'!H154&lt;&gt;0,'Invullen groen'!H154,""),"")</f>
        <v/>
      </c>
      <c r="G141" s="535">
        <f>IFERROR(IF('Invullen groen'!I154&lt;&gt;0,'Invullen groen'!I154,""),"")</f>
        <v/>
      </c>
      <c r="H141" s="535">
        <f>IFERROR(IF('Invullen groen'!J154&lt;&gt;0,'Invullen groen'!J154,""),"")</f>
        <v/>
      </c>
      <c r="I141" s="535">
        <f>IFERROR(IF('Invullen groen'!K154&lt;&gt;0,'Invullen groen'!K154,""),"")</f>
        <v/>
      </c>
    </row>
    <row r="142" ht="15" customHeight="1">
      <c r="A142" s="536">
        <f>IFERROR(IF('Invullen groen'!E155&gt;0,155-17,""),"")</f>
        <v/>
      </c>
      <c r="B142" s="536">
        <f>IFERROR(IF('Invullen groen'!E155&gt;0,'Invullen groen'!A155,""),"")</f>
        <v/>
      </c>
      <c r="C142" s="536">
        <f>IFERROR(IF('Invullen groen'!E155&gt;0,'Invullen groen'!C155,""),"")</f>
        <v/>
      </c>
      <c r="D142" s="536">
        <f>IFERROR(IF('Invullen groen'!E155&gt;0,'Invullen groen'!D155,""),"")</f>
        <v/>
      </c>
      <c r="E142" s="536">
        <f>IFERROR(IF('Invullen groen'!E155&gt;0,'Invullen groen'!G155,""),"")</f>
        <v/>
      </c>
      <c r="F142" s="537">
        <f>IFERROR(IF('Invullen groen'!H155&lt;&gt;0,'Invullen groen'!H155,""),"")</f>
        <v/>
      </c>
      <c r="G142" s="537">
        <f>IFERROR(IF('Invullen groen'!I155&lt;&gt;0,'Invullen groen'!I155,""),"")</f>
        <v/>
      </c>
      <c r="H142" s="537">
        <f>IFERROR(IF('Invullen groen'!J155&lt;&gt;0,'Invullen groen'!J155,""),"")</f>
        <v/>
      </c>
      <c r="I142" s="537">
        <f>IFERROR(IF('Invullen groen'!K155&lt;&gt;0,'Invullen groen'!K155,""),"")</f>
        <v/>
      </c>
    </row>
    <row r="143" ht="15" customHeight="1">
      <c r="A143" s="534">
        <f>IFERROR(IF('Invullen groen'!E156&gt;0,156-17,""),"")</f>
        <v/>
      </c>
      <c r="B143" s="534">
        <f>IFERROR(IF('Invullen groen'!E156&gt;0,'Invullen groen'!A156,""),"")</f>
        <v/>
      </c>
      <c r="C143" s="534">
        <f>IFERROR(IF('Invullen groen'!E156&gt;0,'Invullen groen'!C156,""),"")</f>
        <v/>
      </c>
      <c r="D143" s="534">
        <f>IFERROR(IF('Invullen groen'!E156&gt;0,'Invullen groen'!D156,""),"")</f>
        <v/>
      </c>
      <c r="E143" s="534">
        <f>IFERROR(IF('Invullen groen'!E156&gt;0,'Invullen groen'!G156,""),"")</f>
        <v/>
      </c>
      <c r="F143" s="535">
        <f>IFERROR(IF('Invullen groen'!H156&lt;&gt;0,'Invullen groen'!H156,""),"")</f>
        <v/>
      </c>
      <c r="G143" s="535">
        <f>IFERROR(IF('Invullen groen'!I156&lt;&gt;0,'Invullen groen'!I156,""),"")</f>
        <v/>
      </c>
      <c r="H143" s="535">
        <f>IFERROR(IF('Invullen groen'!J156&lt;&gt;0,'Invullen groen'!J156,""),"")</f>
        <v/>
      </c>
      <c r="I143" s="535">
        <f>IFERROR(IF('Invullen groen'!K156&lt;&gt;0,'Invullen groen'!K156,""),"")</f>
        <v/>
      </c>
    </row>
    <row r="144" ht="15" customHeight="1">
      <c r="A144" s="536">
        <f>IFERROR(IF('Invullen groen'!E157&gt;0,157-17,""),"")</f>
        <v/>
      </c>
      <c r="B144" s="536">
        <f>IFERROR(IF('Invullen groen'!E157&gt;0,'Invullen groen'!A157,""),"")</f>
        <v/>
      </c>
      <c r="C144" s="536">
        <f>IFERROR(IF('Invullen groen'!E157&gt;0,'Invullen groen'!C157,""),"")</f>
        <v/>
      </c>
      <c r="D144" s="536">
        <f>IFERROR(IF('Invullen groen'!E157&gt;0,'Invullen groen'!D157,""),"")</f>
        <v/>
      </c>
      <c r="E144" s="536">
        <f>IFERROR(IF('Invullen groen'!E157&gt;0,'Invullen groen'!G157,""),"")</f>
        <v/>
      </c>
      <c r="F144" s="537">
        <f>IFERROR(IF('Invullen groen'!H157&lt;&gt;0,'Invullen groen'!H157,""),"")</f>
        <v/>
      </c>
      <c r="G144" s="537">
        <f>IFERROR(IF('Invullen groen'!I157&lt;&gt;0,'Invullen groen'!I157,""),"")</f>
        <v/>
      </c>
      <c r="H144" s="537">
        <f>IFERROR(IF('Invullen groen'!J157&lt;&gt;0,'Invullen groen'!J157,""),"")</f>
        <v/>
      </c>
      <c r="I144" s="537">
        <f>IFERROR(IF('Invullen groen'!K157&lt;&gt;0,'Invullen groen'!K157,""),"")</f>
        <v/>
      </c>
    </row>
    <row r="145" ht="15" customHeight="1">
      <c r="A145" s="534">
        <f>IFERROR(IF('Invullen groen'!E158&gt;0,158-17,""),"")</f>
        <v/>
      </c>
      <c r="B145" s="534">
        <f>IFERROR(IF('Invullen groen'!E158&gt;0,'Invullen groen'!A158,""),"")</f>
        <v/>
      </c>
      <c r="C145" s="534">
        <f>IFERROR(IF('Invullen groen'!E158&gt;0,'Invullen groen'!C158,""),"")</f>
        <v/>
      </c>
      <c r="D145" s="534">
        <f>IFERROR(IF('Invullen groen'!E158&gt;0,'Invullen groen'!D158,""),"")</f>
        <v/>
      </c>
      <c r="E145" s="534">
        <f>IFERROR(IF('Invullen groen'!E158&gt;0,'Invullen groen'!G158,""),"")</f>
        <v/>
      </c>
      <c r="F145" s="535">
        <f>IFERROR(IF('Invullen groen'!H158&lt;&gt;0,'Invullen groen'!H158,""),"")</f>
        <v/>
      </c>
      <c r="G145" s="535">
        <f>IFERROR(IF('Invullen groen'!I158&lt;&gt;0,'Invullen groen'!I158,""),"")</f>
        <v/>
      </c>
      <c r="H145" s="535">
        <f>IFERROR(IF('Invullen groen'!J158&lt;&gt;0,'Invullen groen'!J158,""),"")</f>
        <v/>
      </c>
      <c r="I145" s="535">
        <f>IFERROR(IF('Invullen groen'!K158&lt;&gt;0,'Invullen groen'!K158,""),"")</f>
        <v/>
      </c>
    </row>
    <row r="146" ht="15" customHeight="1">
      <c r="A146" s="536">
        <f>IFERROR(IF('Invullen groen'!E159&gt;0,159-17,""),"")</f>
        <v/>
      </c>
      <c r="B146" s="536">
        <f>IFERROR(IF('Invullen groen'!E159&gt;0,'Invullen groen'!A159,""),"")</f>
        <v/>
      </c>
      <c r="C146" s="536">
        <f>IFERROR(IF('Invullen groen'!E159&gt;0,'Invullen groen'!C159,""),"")</f>
        <v/>
      </c>
      <c r="D146" s="536">
        <f>IFERROR(IF('Invullen groen'!E159&gt;0,'Invullen groen'!D159,""),"")</f>
        <v/>
      </c>
      <c r="E146" s="536">
        <f>IFERROR(IF('Invullen groen'!E159&gt;0,'Invullen groen'!G159,""),"")</f>
        <v/>
      </c>
      <c r="F146" s="537">
        <f>IFERROR(IF('Invullen groen'!H159&lt;&gt;0,'Invullen groen'!H159,""),"")</f>
        <v/>
      </c>
      <c r="G146" s="537">
        <f>IFERROR(IF('Invullen groen'!I159&lt;&gt;0,'Invullen groen'!I159,""),"")</f>
        <v/>
      </c>
      <c r="H146" s="537">
        <f>IFERROR(IF('Invullen groen'!J159&lt;&gt;0,'Invullen groen'!J159,""),"")</f>
        <v/>
      </c>
      <c r="I146" s="537">
        <f>IFERROR(IF('Invullen groen'!K159&lt;&gt;0,'Invullen groen'!K159,""),"")</f>
        <v/>
      </c>
    </row>
    <row r="147" ht="15" customHeight="1">
      <c r="A147" s="534">
        <f>IFERROR(IF('Invullen groen'!E160&gt;0,160-17,""),"")</f>
        <v/>
      </c>
      <c r="B147" s="534">
        <f>IFERROR(IF('Invullen groen'!E160&gt;0,'Invullen groen'!A160,""),"")</f>
        <v/>
      </c>
      <c r="C147" s="534">
        <f>IFERROR(IF('Invullen groen'!E160&gt;0,'Invullen groen'!C160,""),"")</f>
        <v/>
      </c>
      <c r="D147" s="534">
        <f>IFERROR(IF('Invullen groen'!E160&gt;0,'Invullen groen'!D160,""),"")</f>
        <v/>
      </c>
      <c r="E147" s="534">
        <f>IFERROR(IF('Invullen groen'!E160&gt;0,'Invullen groen'!G160,""),"")</f>
        <v/>
      </c>
      <c r="F147" s="535">
        <f>IFERROR(IF('Invullen groen'!H160&lt;&gt;0,'Invullen groen'!H160,""),"")</f>
        <v/>
      </c>
      <c r="G147" s="535">
        <f>IFERROR(IF('Invullen groen'!I160&lt;&gt;0,'Invullen groen'!I160,""),"")</f>
        <v/>
      </c>
      <c r="H147" s="535">
        <f>IFERROR(IF('Invullen groen'!J160&lt;&gt;0,'Invullen groen'!J160,""),"")</f>
        <v/>
      </c>
      <c r="I147" s="535">
        <f>IFERROR(IF('Invullen groen'!K160&lt;&gt;0,'Invullen groen'!K160,""),"")</f>
        <v/>
      </c>
    </row>
    <row r="148" ht="15" customHeight="1">
      <c r="A148" s="536">
        <f>IFERROR(IF('Invullen groen'!E161&gt;0,161-17,""),"")</f>
        <v/>
      </c>
      <c r="B148" s="536">
        <f>IFERROR(IF('Invullen groen'!E161&gt;0,'Invullen groen'!A161,""),"")</f>
        <v/>
      </c>
      <c r="C148" s="536">
        <f>IFERROR(IF('Invullen groen'!E161&gt;0,'Invullen groen'!C161,""),"")</f>
        <v/>
      </c>
      <c r="D148" s="536">
        <f>IFERROR(IF('Invullen groen'!E161&gt;0,'Invullen groen'!D161,""),"")</f>
        <v/>
      </c>
      <c r="E148" s="536">
        <f>IFERROR(IF('Invullen groen'!E161&gt;0,'Invullen groen'!G161,""),"")</f>
        <v/>
      </c>
      <c r="F148" s="537">
        <f>IFERROR(IF('Invullen groen'!H161&lt;&gt;0,'Invullen groen'!H161,""),"")</f>
        <v/>
      </c>
      <c r="G148" s="537">
        <f>IFERROR(IF('Invullen groen'!I161&lt;&gt;0,'Invullen groen'!I161,""),"")</f>
        <v/>
      </c>
      <c r="H148" s="537">
        <f>IFERROR(IF('Invullen groen'!J161&lt;&gt;0,'Invullen groen'!J161,""),"")</f>
        <v/>
      </c>
      <c r="I148" s="537">
        <f>IFERROR(IF('Invullen groen'!K161&lt;&gt;0,'Invullen groen'!K161,""),"")</f>
        <v/>
      </c>
    </row>
    <row r="149" ht="15" customHeight="1">
      <c r="A149" s="534">
        <f>IFERROR(IF('Invullen groen'!E162&gt;0,162-17,""),"")</f>
        <v/>
      </c>
      <c r="B149" s="534">
        <f>IFERROR(IF('Invullen groen'!E162&gt;0,'Invullen groen'!A162,""),"")</f>
        <v/>
      </c>
      <c r="C149" s="534">
        <f>IFERROR(IF('Invullen groen'!E162&gt;0,'Invullen groen'!C162,""),"")</f>
        <v/>
      </c>
      <c r="D149" s="534">
        <f>IFERROR(IF('Invullen groen'!E162&gt;0,'Invullen groen'!D162,""),"")</f>
        <v/>
      </c>
      <c r="E149" s="534">
        <f>IFERROR(IF('Invullen groen'!E162&gt;0,'Invullen groen'!G162,""),"")</f>
        <v/>
      </c>
      <c r="F149" s="535">
        <f>IFERROR(IF('Invullen groen'!H162&lt;&gt;0,'Invullen groen'!H162,""),"")</f>
        <v/>
      </c>
      <c r="G149" s="535">
        <f>IFERROR(IF('Invullen groen'!I162&lt;&gt;0,'Invullen groen'!I162,""),"")</f>
        <v/>
      </c>
      <c r="H149" s="535">
        <f>IFERROR(IF('Invullen groen'!J162&lt;&gt;0,'Invullen groen'!J162,""),"")</f>
        <v/>
      </c>
      <c r="I149" s="535">
        <f>IFERROR(IF('Invullen groen'!K162&lt;&gt;0,'Invullen groen'!K162,""),"")</f>
        <v/>
      </c>
    </row>
    <row r="150" ht="15" customHeight="1">
      <c r="A150" s="536">
        <f>IFERROR(IF('Invullen groen'!E163&gt;0,163-17,""),"")</f>
        <v/>
      </c>
      <c r="B150" s="536">
        <f>IFERROR(IF('Invullen groen'!E163&gt;0,'Invullen groen'!A163,""),"")</f>
        <v/>
      </c>
      <c r="C150" s="536">
        <f>IFERROR(IF('Invullen groen'!E163&gt;0,'Invullen groen'!C163,""),"")</f>
        <v/>
      </c>
      <c r="D150" s="536">
        <f>IFERROR(IF('Invullen groen'!E163&gt;0,'Invullen groen'!D163,""),"")</f>
        <v/>
      </c>
      <c r="E150" s="536">
        <f>IFERROR(IF('Invullen groen'!E163&gt;0,'Invullen groen'!G163,""),"")</f>
        <v/>
      </c>
      <c r="F150" s="537">
        <f>IFERROR(IF('Invullen groen'!H163&lt;&gt;0,'Invullen groen'!H163,""),"")</f>
        <v/>
      </c>
      <c r="G150" s="537">
        <f>IFERROR(IF('Invullen groen'!I163&lt;&gt;0,'Invullen groen'!I163,""),"")</f>
        <v/>
      </c>
      <c r="H150" s="537">
        <f>IFERROR(IF('Invullen groen'!J163&lt;&gt;0,'Invullen groen'!J163,""),"")</f>
        <v/>
      </c>
      <c r="I150" s="537">
        <f>IFERROR(IF('Invullen groen'!K163&lt;&gt;0,'Invullen groen'!K163,""),"")</f>
        <v/>
      </c>
    </row>
    <row r="151" ht="15" customHeight="1">
      <c r="A151" s="534">
        <f>IFERROR(IF('Invullen groen'!E164&gt;0,164-17,""),"")</f>
        <v/>
      </c>
      <c r="B151" s="534">
        <f>IFERROR(IF('Invullen groen'!E164&gt;0,'Invullen groen'!A164,""),"")</f>
        <v/>
      </c>
      <c r="C151" s="534">
        <f>IFERROR(IF('Invullen groen'!E164&gt;0,'Invullen groen'!C164,""),"")</f>
        <v/>
      </c>
      <c r="D151" s="534">
        <f>IFERROR(IF('Invullen groen'!E164&gt;0,'Invullen groen'!D164,""),"")</f>
        <v/>
      </c>
      <c r="E151" s="534">
        <f>IFERROR(IF('Invullen groen'!E164&gt;0,'Invullen groen'!G164,""),"")</f>
        <v/>
      </c>
      <c r="F151" s="535">
        <f>IFERROR(IF('Invullen groen'!H164&lt;&gt;0,'Invullen groen'!H164,""),"")</f>
        <v/>
      </c>
      <c r="G151" s="535">
        <f>IFERROR(IF('Invullen groen'!I164&lt;&gt;0,'Invullen groen'!I164,""),"")</f>
        <v/>
      </c>
      <c r="H151" s="535">
        <f>IFERROR(IF('Invullen groen'!J164&lt;&gt;0,'Invullen groen'!J164,""),"")</f>
        <v/>
      </c>
      <c r="I151" s="535">
        <f>IFERROR(IF('Invullen groen'!K164&lt;&gt;0,'Invullen groen'!K164,""),"")</f>
        <v/>
      </c>
    </row>
    <row r="152" ht="15" customHeight="1">
      <c r="A152" s="536">
        <f>IFERROR(IF('Invullen groen'!E165&gt;0,165-17,""),"")</f>
        <v/>
      </c>
      <c r="B152" s="536">
        <f>IFERROR(IF('Invullen groen'!E165&gt;0,'Invullen groen'!A165,""),"")</f>
        <v/>
      </c>
      <c r="C152" s="536">
        <f>IFERROR(IF('Invullen groen'!E165&gt;0,'Invullen groen'!C165,""),"")</f>
        <v/>
      </c>
      <c r="D152" s="536">
        <f>IFERROR(IF('Invullen groen'!E165&gt;0,'Invullen groen'!D165,""),"")</f>
        <v/>
      </c>
      <c r="E152" s="536">
        <f>IFERROR(IF('Invullen groen'!E165&gt;0,'Invullen groen'!G165,""),"")</f>
        <v/>
      </c>
      <c r="F152" s="537">
        <f>IFERROR(IF('Invullen groen'!H165&lt;&gt;0,'Invullen groen'!H165,""),"")</f>
        <v/>
      </c>
      <c r="G152" s="537">
        <f>IFERROR(IF('Invullen groen'!I165&lt;&gt;0,'Invullen groen'!I165,""),"")</f>
        <v/>
      </c>
      <c r="H152" s="537">
        <f>IFERROR(IF('Invullen groen'!J165&lt;&gt;0,'Invullen groen'!J165,""),"")</f>
        <v/>
      </c>
      <c r="I152" s="537">
        <f>IFERROR(IF('Invullen groen'!K165&lt;&gt;0,'Invullen groen'!K165,""),"")</f>
        <v/>
      </c>
    </row>
    <row r="153" ht="15" customHeight="1">
      <c r="A153" s="534">
        <f>IFERROR(IF('Invullen groen'!E166&gt;0,166-17,""),"")</f>
        <v/>
      </c>
      <c r="B153" s="534">
        <f>IFERROR(IF('Invullen groen'!E166&gt;0,'Invullen groen'!A166,""),"")</f>
        <v/>
      </c>
      <c r="C153" s="534">
        <f>IFERROR(IF('Invullen groen'!E166&gt;0,'Invullen groen'!C166,""),"")</f>
        <v/>
      </c>
      <c r="D153" s="534">
        <f>IFERROR(IF('Invullen groen'!E166&gt;0,'Invullen groen'!D166,""),"")</f>
        <v/>
      </c>
      <c r="E153" s="534">
        <f>IFERROR(IF('Invullen groen'!E166&gt;0,'Invullen groen'!G166,""),"")</f>
        <v/>
      </c>
      <c r="F153" s="535">
        <f>IFERROR(IF('Invullen groen'!H166&lt;&gt;0,'Invullen groen'!H166,""),"")</f>
        <v/>
      </c>
      <c r="G153" s="535">
        <f>IFERROR(IF('Invullen groen'!I166&lt;&gt;0,'Invullen groen'!I166,""),"")</f>
        <v/>
      </c>
      <c r="H153" s="535">
        <f>IFERROR(IF('Invullen groen'!J166&lt;&gt;0,'Invullen groen'!J166,""),"")</f>
        <v/>
      </c>
      <c r="I153" s="535">
        <f>IFERROR(IF('Invullen groen'!K166&lt;&gt;0,'Invullen groen'!K166,""),"")</f>
        <v/>
      </c>
    </row>
    <row r="154" ht="15" customHeight="1">
      <c r="A154" s="536">
        <f>IFERROR(IF('Invullen groen'!E167&gt;0,167-17,""),"")</f>
        <v/>
      </c>
      <c r="B154" s="536">
        <f>IFERROR(IF('Invullen groen'!E167&gt;0,'Invullen groen'!A167,""),"")</f>
        <v/>
      </c>
      <c r="C154" s="536">
        <f>IFERROR(IF('Invullen groen'!E167&gt;0,'Invullen groen'!C167,""),"")</f>
        <v/>
      </c>
      <c r="D154" s="536">
        <f>IFERROR(IF('Invullen groen'!E167&gt;0,'Invullen groen'!D167,""),"")</f>
        <v/>
      </c>
      <c r="E154" s="536">
        <f>IFERROR(IF('Invullen groen'!E167&gt;0,'Invullen groen'!G167,""),"")</f>
        <v/>
      </c>
      <c r="F154" s="537">
        <f>IFERROR(IF('Invullen groen'!H167&lt;&gt;0,'Invullen groen'!H167,""),"")</f>
        <v/>
      </c>
      <c r="G154" s="537">
        <f>IFERROR(IF('Invullen groen'!I167&lt;&gt;0,'Invullen groen'!I167,""),"")</f>
        <v/>
      </c>
      <c r="H154" s="537">
        <f>IFERROR(IF('Invullen groen'!J167&lt;&gt;0,'Invullen groen'!J167,""),"")</f>
        <v/>
      </c>
      <c r="I154" s="537">
        <f>IFERROR(IF('Invullen groen'!K167&lt;&gt;0,'Invullen groen'!K167,""),"")</f>
        <v/>
      </c>
    </row>
    <row r="155" ht="15" customHeight="1">
      <c r="A155" s="534">
        <f>IFERROR(IF('Invullen groen'!E168&gt;0,168-17,""),"")</f>
        <v/>
      </c>
      <c r="B155" s="534">
        <f>IFERROR(IF('Invullen groen'!E168&gt;0,'Invullen groen'!A168,""),"")</f>
        <v/>
      </c>
      <c r="C155" s="534">
        <f>IFERROR(IF('Invullen groen'!E168&gt;0,'Invullen groen'!C168,""),"")</f>
        <v/>
      </c>
      <c r="D155" s="534">
        <f>IFERROR(IF('Invullen groen'!E168&gt;0,'Invullen groen'!D168,""),"")</f>
        <v/>
      </c>
      <c r="E155" s="534">
        <f>IFERROR(IF('Invullen groen'!E168&gt;0,'Invullen groen'!G168,""),"")</f>
        <v/>
      </c>
      <c r="F155" s="535">
        <f>IFERROR(IF('Invullen groen'!H168&lt;&gt;0,'Invullen groen'!H168,""),"")</f>
        <v/>
      </c>
      <c r="G155" s="535">
        <f>IFERROR(IF('Invullen groen'!I168&lt;&gt;0,'Invullen groen'!I168,""),"")</f>
        <v/>
      </c>
      <c r="H155" s="535">
        <f>IFERROR(IF('Invullen groen'!J168&lt;&gt;0,'Invullen groen'!J168,""),"")</f>
        <v/>
      </c>
      <c r="I155" s="535">
        <f>IFERROR(IF('Invullen groen'!K168&lt;&gt;0,'Invullen groen'!K168,""),"")</f>
        <v/>
      </c>
    </row>
    <row r="156" ht="15" customHeight="1">
      <c r="A156" s="536">
        <f>IFERROR(IF('Invullen groen'!E169&gt;0,169-17,""),"")</f>
        <v/>
      </c>
      <c r="B156" s="536">
        <f>IFERROR(IF('Invullen groen'!E169&gt;0,'Invullen groen'!A169,""),"")</f>
        <v/>
      </c>
      <c r="C156" s="536">
        <f>IFERROR(IF('Invullen groen'!E169&gt;0,'Invullen groen'!C169,""),"")</f>
        <v/>
      </c>
      <c r="D156" s="536">
        <f>IFERROR(IF('Invullen groen'!E169&gt;0,'Invullen groen'!D169,""),"")</f>
        <v/>
      </c>
      <c r="E156" s="536">
        <f>IFERROR(IF('Invullen groen'!E169&gt;0,'Invullen groen'!G169,""),"")</f>
        <v/>
      </c>
      <c r="F156" s="537">
        <f>IFERROR(IF('Invullen groen'!H169&lt;&gt;0,'Invullen groen'!H169,""),"")</f>
        <v/>
      </c>
      <c r="G156" s="537">
        <f>IFERROR(IF('Invullen groen'!I169&lt;&gt;0,'Invullen groen'!I169,""),"")</f>
        <v/>
      </c>
      <c r="H156" s="537">
        <f>IFERROR(IF('Invullen groen'!J169&lt;&gt;0,'Invullen groen'!J169,""),"")</f>
        <v/>
      </c>
      <c r="I156" s="537">
        <f>IFERROR(IF('Invullen groen'!K169&lt;&gt;0,'Invullen groen'!K169,""),"")</f>
        <v/>
      </c>
    </row>
    <row r="157" ht="15" customHeight="1">
      <c r="A157" s="534">
        <f>IFERROR(IF('Invullen groen'!E170&gt;0,170-17,""),"")</f>
        <v/>
      </c>
      <c r="B157" s="534">
        <f>IFERROR(IF('Invullen groen'!E170&gt;0,'Invullen groen'!A170,""),"")</f>
        <v/>
      </c>
      <c r="C157" s="534">
        <f>IFERROR(IF('Invullen groen'!E170&gt;0,'Invullen groen'!C170,""),"")</f>
        <v/>
      </c>
      <c r="D157" s="534">
        <f>IFERROR(IF('Invullen groen'!E170&gt;0,'Invullen groen'!D170,""),"")</f>
        <v/>
      </c>
      <c r="E157" s="534">
        <f>IFERROR(IF('Invullen groen'!E170&gt;0,'Invullen groen'!G170,""),"")</f>
        <v/>
      </c>
      <c r="F157" s="535">
        <f>IFERROR(IF('Invullen groen'!H170&lt;&gt;0,'Invullen groen'!H170,""),"")</f>
        <v/>
      </c>
      <c r="G157" s="535">
        <f>IFERROR(IF('Invullen groen'!I170&lt;&gt;0,'Invullen groen'!I170,""),"")</f>
        <v/>
      </c>
      <c r="H157" s="535">
        <f>IFERROR(IF('Invullen groen'!J170&lt;&gt;0,'Invullen groen'!J170,""),"")</f>
        <v/>
      </c>
      <c r="I157" s="535">
        <f>IFERROR(IF('Invullen groen'!K170&lt;&gt;0,'Invullen groen'!K170,""),"")</f>
        <v/>
      </c>
    </row>
    <row r="158" ht="15" customHeight="1">
      <c r="A158" s="536">
        <f>IFERROR(IF('Invullen groen'!E171&gt;0,171-17,""),"")</f>
        <v/>
      </c>
      <c r="B158" s="536">
        <f>IFERROR(IF('Invullen groen'!E171&gt;0,'Invullen groen'!A171,""),"")</f>
        <v/>
      </c>
      <c r="C158" s="536">
        <f>IFERROR(IF('Invullen groen'!E171&gt;0,'Invullen groen'!C171,""),"")</f>
        <v/>
      </c>
      <c r="D158" s="536">
        <f>IFERROR(IF('Invullen groen'!E171&gt;0,'Invullen groen'!D171,""),"")</f>
        <v/>
      </c>
      <c r="E158" s="536">
        <f>IFERROR(IF('Invullen groen'!E171&gt;0,'Invullen groen'!G171,""),"")</f>
        <v/>
      </c>
      <c r="F158" s="537">
        <f>IFERROR(IF('Invullen groen'!H171&lt;&gt;0,'Invullen groen'!H171,""),"")</f>
        <v/>
      </c>
      <c r="G158" s="537">
        <f>IFERROR(IF('Invullen groen'!I171&lt;&gt;0,'Invullen groen'!I171,""),"")</f>
        <v/>
      </c>
      <c r="H158" s="537">
        <f>IFERROR(IF('Invullen groen'!J171&lt;&gt;0,'Invullen groen'!J171,""),"")</f>
        <v/>
      </c>
      <c r="I158" s="537">
        <f>IFERROR(IF('Invullen groen'!K171&lt;&gt;0,'Invullen groen'!K171,""),"")</f>
        <v/>
      </c>
    </row>
    <row r="159" ht="15" customHeight="1">
      <c r="A159" s="534">
        <f>IFERROR(IF('Invullen groen'!E172&gt;0,172-17,""),"")</f>
        <v/>
      </c>
      <c r="B159" s="534">
        <f>IFERROR(IF('Invullen groen'!E172&gt;0,'Invullen groen'!A172,""),"")</f>
        <v/>
      </c>
      <c r="C159" s="534">
        <f>IFERROR(IF('Invullen groen'!E172&gt;0,'Invullen groen'!C172,""),"")</f>
        <v/>
      </c>
      <c r="D159" s="534">
        <f>IFERROR(IF('Invullen groen'!E172&gt;0,'Invullen groen'!D172,""),"")</f>
        <v/>
      </c>
      <c r="E159" s="534">
        <f>IFERROR(IF('Invullen groen'!E172&gt;0,'Invullen groen'!G172,""),"")</f>
        <v/>
      </c>
      <c r="F159" s="535">
        <f>IFERROR(IF('Invullen groen'!H172&lt;&gt;0,'Invullen groen'!H172,""),"")</f>
        <v/>
      </c>
      <c r="G159" s="535">
        <f>IFERROR(IF('Invullen groen'!I172&lt;&gt;0,'Invullen groen'!I172,""),"")</f>
        <v/>
      </c>
      <c r="H159" s="535">
        <f>IFERROR(IF('Invullen groen'!J172&lt;&gt;0,'Invullen groen'!J172,""),"")</f>
        <v/>
      </c>
      <c r="I159" s="535">
        <f>IFERROR(IF('Invullen groen'!K172&lt;&gt;0,'Invullen groen'!K172,""),"")</f>
        <v/>
      </c>
    </row>
    <row r="160" ht="15" customHeight="1">
      <c r="A160" s="536">
        <f>IFERROR(IF('Invullen groen'!E173&gt;0,173-17,""),"")</f>
        <v/>
      </c>
      <c r="B160" s="536">
        <f>IFERROR(IF('Invullen groen'!E173&gt;0,'Invullen groen'!A173,""),"")</f>
        <v/>
      </c>
      <c r="C160" s="536">
        <f>IFERROR(IF('Invullen groen'!E173&gt;0,'Invullen groen'!C173,""),"")</f>
        <v/>
      </c>
      <c r="D160" s="536">
        <f>IFERROR(IF('Invullen groen'!E173&gt;0,'Invullen groen'!D173,""),"")</f>
        <v/>
      </c>
      <c r="E160" s="536">
        <f>IFERROR(IF('Invullen groen'!E173&gt;0,'Invullen groen'!G173,""),"")</f>
        <v/>
      </c>
      <c r="F160" s="537">
        <f>IFERROR(IF('Invullen groen'!H173&lt;&gt;0,'Invullen groen'!H173,""),"")</f>
        <v/>
      </c>
      <c r="G160" s="537">
        <f>IFERROR(IF('Invullen groen'!I173&lt;&gt;0,'Invullen groen'!I173,""),"")</f>
        <v/>
      </c>
      <c r="H160" s="537">
        <f>IFERROR(IF('Invullen groen'!J173&lt;&gt;0,'Invullen groen'!J173,""),"")</f>
        <v/>
      </c>
      <c r="I160" s="537">
        <f>IFERROR(IF('Invullen groen'!K173&lt;&gt;0,'Invullen groen'!K173,""),"")</f>
        <v/>
      </c>
    </row>
    <row r="161" ht="15" customHeight="1">
      <c r="A161" s="534">
        <f>IFERROR(IF('Invullen groen'!E174&gt;0,174-17,""),"")</f>
        <v/>
      </c>
      <c r="B161" s="534">
        <f>IFERROR(IF('Invullen groen'!E174&gt;0,'Invullen groen'!A174,""),"")</f>
        <v/>
      </c>
      <c r="C161" s="534">
        <f>IFERROR(IF('Invullen groen'!E174&gt;0,'Invullen groen'!C174,""),"")</f>
        <v/>
      </c>
      <c r="D161" s="534">
        <f>IFERROR(IF('Invullen groen'!E174&gt;0,'Invullen groen'!D174,""),"")</f>
        <v/>
      </c>
      <c r="E161" s="534">
        <f>IFERROR(IF('Invullen groen'!E174&gt;0,'Invullen groen'!G174,""),"")</f>
        <v/>
      </c>
      <c r="F161" s="535">
        <f>IFERROR(IF('Invullen groen'!H174&lt;&gt;0,'Invullen groen'!H174,""),"")</f>
        <v/>
      </c>
      <c r="G161" s="535">
        <f>IFERROR(IF('Invullen groen'!I174&lt;&gt;0,'Invullen groen'!I174,""),"")</f>
        <v/>
      </c>
      <c r="H161" s="535">
        <f>IFERROR(IF('Invullen groen'!J174&lt;&gt;0,'Invullen groen'!J174,""),"")</f>
        <v/>
      </c>
      <c r="I161" s="535">
        <f>IFERROR(IF('Invullen groen'!K174&lt;&gt;0,'Invullen groen'!K174,""),"")</f>
        <v/>
      </c>
    </row>
    <row r="162" ht="15" customHeight="1">
      <c r="A162" s="536">
        <f>IFERROR(IF('Invullen groen'!E175&gt;0,175-17,""),"")</f>
        <v/>
      </c>
      <c r="B162" s="536">
        <f>IFERROR(IF('Invullen groen'!E175&gt;0,'Invullen groen'!A175,""),"")</f>
        <v/>
      </c>
      <c r="C162" s="536">
        <f>IFERROR(IF('Invullen groen'!E175&gt;0,'Invullen groen'!C175,""),"")</f>
        <v/>
      </c>
      <c r="D162" s="536">
        <f>IFERROR(IF('Invullen groen'!E175&gt;0,'Invullen groen'!D175,""),"")</f>
        <v/>
      </c>
      <c r="E162" s="536">
        <f>IFERROR(IF('Invullen groen'!E175&gt;0,'Invullen groen'!G175,""),"")</f>
        <v/>
      </c>
      <c r="F162" s="537">
        <f>IFERROR(IF('Invullen groen'!H175&lt;&gt;0,'Invullen groen'!H175,""),"")</f>
        <v/>
      </c>
      <c r="G162" s="537">
        <f>IFERROR(IF('Invullen groen'!I175&lt;&gt;0,'Invullen groen'!I175,""),"")</f>
        <v/>
      </c>
      <c r="H162" s="537">
        <f>IFERROR(IF('Invullen groen'!J175&lt;&gt;0,'Invullen groen'!J175,""),"")</f>
        <v/>
      </c>
      <c r="I162" s="537">
        <f>IFERROR(IF('Invullen groen'!K175&lt;&gt;0,'Invullen groen'!K175,""),"")</f>
        <v/>
      </c>
    </row>
    <row r="163" ht="15" customHeight="1">
      <c r="A163" s="534">
        <f>IFERROR(IF('Invullen groen'!E176&gt;0,176-17,""),"")</f>
        <v/>
      </c>
      <c r="B163" s="534">
        <f>IFERROR(IF('Invullen groen'!E176&gt;0,'Invullen groen'!A176,""),"")</f>
        <v/>
      </c>
      <c r="C163" s="534">
        <f>IFERROR(IF('Invullen groen'!E176&gt;0,'Invullen groen'!C176,""),"")</f>
        <v/>
      </c>
      <c r="D163" s="534">
        <f>IFERROR(IF('Invullen groen'!E176&gt;0,'Invullen groen'!D176,""),"")</f>
        <v/>
      </c>
      <c r="E163" s="534">
        <f>IFERROR(IF('Invullen groen'!E176&gt;0,'Invullen groen'!G176,""),"")</f>
        <v/>
      </c>
      <c r="F163" s="535">
        <f>IFERROR(IF('Invullen groen'!H176&lt;&gt;0,'Invullen groen'!H176,""),"")</f>
        <v/>
      </c>
      <c r="G163" s="535">
        <f>IFERROR(IF('Invullen groen'!I176&lt;&gt;0,'Invullen groen'!I176,""),"")</f>
        <v/>
      </c>
      <c r="H163" s="535">
        <f>IFERROR(IF('Invullen groen'!J176&lt;&gt;0,'Invullen groen'!J176,""),"")</f>
        <v/>
      </c>
      <c r="I163" s="535">
        <f>IFERROR(IF('Invullen groen'!K176&lt;&gt;0,'Invullen groen'!K176,""),"")</f>
        <v/>
      </c>
    </row>
    <row r="164" ht="15" customHeight="1">
      <c r="A164" s="536">
        <f>IFERROR(IF('Invullen groen'!E177&gt;0,177-17,""),"")</f>
        <v/>
      </c>
      <c r="B164" s="536">
        <f>IFERROR(IF('Invullen groen'!E177&gt;0,'Invullen groen'!A177,""),"")</f>
        <v/>
      </c>
      <c r="C164" s="536">
        <f>IFERROR(IF('Invullen groen'!E177&gt;0,'Invullen groen'!C177,""),"")</f>
        <v/>
      </c>
      <c r="D164" s="536">
        <f>IFERROR(IF('Invullen groen'!E177&gt;0,'Invullen groen'!D177,""),"")</f>
        <v/>
      </c>
      <c r="E164" s="536">
        <f>IFERROR(IF('Invullen groen'!E177&gt;0,'Invullen groen'!G177,""),"")</f>
        <v/>
      </c>
      <c r="F164" s="537">
        <f>IFERROR(IF('Invullen groen'!H177&lt;&gt;0,'Invullen groen'!H177,""),"")</f>
        <v/>
      </c>
      <c r="G164" s="537">
        <f>IFERROR(IF('Invullen groen'!I177&lt;&gt;0,'Invullen groen'!I177,""),"")</f>
        <v/>
      </c>
      <c r="H164" s="537">
        <f>IFERROR(IF('Invullen groen'!J177&lt;&gt;0,'Invullen groen'!J177,""),"")</f>
        <v/>
      </c>
      <c r="I164" s="537">
        <f>IFERROR(IF('Invullen groen'!K177&lt;&gt;0,'Invullen groen'!K177,""),"")</f>
        <v/>
      </c>
    </row>
    <row r="165" ht="15" customHeight="1">
      <c r="A165" s="534">
        <f>IFERROR(IF('Invullen groen'!E178&gt;0,178-17,""),"")</f>
        <v/>
      </c>
      <c r="B165" s="534">
        <f>IFERROR(IF('Invullen groen'!E178&gt;0,'Invullen groen'!A178,""),"")</f>
        <v/>
      </c>
      <c r="C165" s="534">
        <f>IFERROR(IF('Invullen groen'!E178&gt;0,'Invullen groen'!C178,""),"")</f>
        <v/>
      </c>
      <c r="D165" s="534">
        <f>IFERROR(IF('Invullen groen'!E178&gt;0,'Invullen groen'!D178,""),"")</f>
        <v/>
      </c>
      <c r="E165" s="534">
        <f>IFERROR(IF('Invullen groen'!E178&gt;0,'Invullen groen'!G178,""),"")</f>
        <v/>
      </c>
      <c r="F165" s="535">
        <f>IFERROR(IF('Invullen groen'!H178&lt;&gt;0,'Invullen groen'!H178,""),"")</f>
        <v/>
      </c>
      <c r="G165" s="535">
        <f>IFERROR(IF('Invullen groen'!I178&lt;&gt;0,'Invullen groen'!I178,""),"")</f>
        <v/>
      </c>
      <c r="H165" s="535">
        <f>IFERROR(IF('Invullen groen'!J178&lt;&gt;0,'Invullen groen'!J178,""),"")</f>
        <v/>
      </c>
      <c r="I165" s="535">
        <f>IFERROR(IF('Invullen groen'!K178&lt;&gt;0,'Invullen groen'!K178,""),"")</f>
        <v/>
      </c>
    </row>
    <row r="166" ht="15" customHeight="1">
      <c r="A166" s="536">
        <f>IFERROR(IF('Invullen groen'!E179&gt;0,179-17,""),"")</f>
        <v/>
      </c>
      <c r="B166" s="536">
        <f>IFERROR(IF('Invullen groen'!E179&gt;0,'Invullen groen'!A179,""),"")</f>
        <v/>
      </c>
      <c r="C166" s="536">
        <f>IFERROR(IF('Invullen groen'!E179&gt;0,'Invullen groen'!C179,""),"")</f>
        <v/>
      </c>
      <c r="D166" s="536">
        <f>IFERROR(IF('Invullen groen'!E179&gt;0,'Invullen groen'!D179,""),"")</f>
        <v/>
      </c>
      <c r="E166" s="536">
        <f>IFERROR(IF('Invullen groen'!E179&gt;0,'Invullen groen'!G179,""),"")</f>
        <v/>
      </c>
      <c r="F166" s="537">
        <f>IFERROR(IF('Invullen groen'!H179&lt;&gt;0,'Invullen groen'!H179,""),"")</f>
        <v/>
      </c>
      <c r="G166" s="537">
        <f>IFERROR(IF('Invullen groen'!I179&lt;&gt;0,'Invullen groen'!I179,""),"")</f>
        <v/>
      </c>
      <c r="H166" s="537">
        <f>IFERROR(IF('Invullen groen'!J179&lt;&gt;0,'Invullen groen'!J179,""),"")</f>
        <v/>
      </c>
      <c r="I166" s="537">
        <f>IFERROR(IF('Invullen groen'!K179&lt;&gt;0,'Invullen groen'!K179,""),"")</f>
        <v/>
      </c>
    </row>
    <row r="167" ht="15" customHeight="1">
      <c r="A167" s="534">
        <f>IFERROR(IF('Invullen groen'!E180&gt;0,180-17,""),"")</f>
        <v/>
      </c>
      <c r="B167" s="534">
        <f>IFERROR(IF('Invullen groen'!E180&gt;0,'Invullen groen'!A180,""),"")</f>
        <v/>
      </c>
      <c r="C167" s="534">
        <f>IFERROR(IF('Invullen groen'!E180&gt;0,'Invullen groen'!C180,""),"")</f>
        <v/>
      </c>
      <c r="D167" s="534">
        <f>IFERROR(IF('Invullen groen'!E180&gt;0,'Invullen groen'!D180,""),"")</f>
        <v/>
      </c>
      <c r="E167" s="534">
        <f>IFERROR(IF('Invullen groen'!E180&gt;0,'Invullen groen'!G180,""),"")</f>
        <v/>
      </c>
      <c r="F167" s="535">
        <f>IFERROR(IF('Invullen groen'!H180&lt;&gt;0,'Invullen groen'!H180,""),"")</f>
        <v/>
      </c>
      <c r="G167" s="535">
        <f>IFERROR(IF('Invullen groen'!I180&lt;&gt;0,'Invullen groen'!I180,""),"")</f>
        <v/>
      </c>
      <c r="H167" s="535">
        <f>IFERROR(IF('Invullen groen'!J180&lt;&gt;0,'Invullen groen'!J180,""),"")</f>
        <v/>
      </c>
      <c r="I167" s="535">
        <f>IFERROR(IF('Invullen groen'!K180&lt;&gt;0,'Invullen groen'!K180,""),"")</f>
        <v/>
      </c>
    </row>
    <row r="168" ht="15" customHeight="1">
      <c r="A168" s="536">
        <f>IFERROR(IF('Invullen groen'!E181&gt;0,181-17,""),"")</f>
        <v/>
      </c>
      <c r="B168" s="536">
        <f>IFERROR(IF('Invullen groen'!E181&gt;0,'Invullen groen'!A181,""),"")</f>
        <v/>
      </c>
      <c r="C168" s="536">
        <f>IFERROR(IF('Invullen groen'!E181&gt;0,'Invullen groen'!C181,""),"")</f>
        <v/>
      </c>
      <c r="D168" s="536">
        <f>IFERROR(IF('Invullen groen'!E181&gt;0,'Invullen groen'!D181,""),"")</f>
        <v/>
      </c>
      <c r="E168" s="536">
        <f>IFERROR(IF('Invullen groen'!E181&gt;0,'Invullen groen'!G181,""),"")</f>
        <v/>
      </c>
      <c r="F168" s="537">
        <f>IFERROR(IF('Invullen groen'!H181&lt;&gt;0,'Invullen groen'!H181,""),"")</f>
        <v/>
      </c>
      <c r="G168" s="537">
        <f>IFERROR(IF('Invullen groen'!I181&lt;&gt;0,'Invullen groen'!I181,""),"")</f>
        <v/>
      </c>
      <c r="H168" s="537">
        <f>IFERROR(IF('Invullen groen'!J181&lt;&gt;0,'Invullen groen'!J181,""),"")</f>
        <v/>
      </c>
      <c r="I168" s="537">
        <f>IFERROR(IF('Invullen groen'!K181&lt;&gt;0,'Invullen groen'!K181,""),"")</f>
        <v/>
      </c>
    </row>
    <row r="169" ht="15" customHeight="1">
      <c r="A169" s="534">
        <f>IFERROR(IF('Invullen groen'!E182&gt;0,182-17,""),"")</f>
        <v/>
      </c>
      <c r="B169" s="534">
        <f>IFERROR(IF('Invullen groen'!E182&gt;0,'Invullen groen'!A182,""),"")</f>
        <v/>
      </c>
      <c r="C169" s="534">
        <f>IFERROR(IF('Invullen groen'!E182&gt;0,'Invullen groen'!C182,""),"")</f>
        <v/>
      </c>
      <c r="D169" s="534">
        <f>IFERROR(IF('Invullen groen'!E182&gt;0,'Invullen groen'!D182,""),"")</f>
        <v/>
      </c>
      <c r="E169" s="534">
        <f>IFERROR(IF('Invullen groen'!E182&gt;0,'Invullen groen'!G182,""),"")</f>
        <v/>
      </c>
      <c r="F169" s="535">
        <f>IFERROR(IF('Invullen groen'!H182&lt;&gt;0,'Invullen groen'!H182,""),"")</f>
        <v/>
      </c>
      <c r="G169" s="535">
        <f>IFERROR(IF('Invullen groen'!I182&lt;&gt;0,'Invullen groen'!I182,""),"")</f>
        <v/>
      </c>
      <c r="H169" s="535">
        <f>IFERROR(IF('Invullen groen'!J182&lt;&gt;0,'Invullen groen'!J182,""),"")</f>
        <v/>
      </c>
      <c r="I169" s="535">
        <f>IFERROR(IF('Invullen groen'!K182&lt;&gt;0,'Invullen groen'!K182,""),"")</f>
        <v/>
      </c>
    </row>
    <row r="170" ht="15" customHeight="1">
      <c r="A170" s="536">
        <f>IFERROR(IF('Invullen groen'!E183&gt;0,183-17,""),"")</f>
        <v/>
      </c>
      <c r="B170" s="536">
        <f>IFERROR(IF('Invullen groen'!E183&gt;0,'Invullen groen'!A183,""),"")</f>
        <v/>
      </c>
      <c r="C170" s="536">
        <f>IFERROR(IF('Invullen groen'!E183&gt;0,'Invullen groen'!C183,""),"")</f>
        <v/>
      </c>
      <c r="D170" s="536">
        <f>IFERROR(IF('Invullen groen'!E183&gt;0,'Invullen groen'!D183,""),"")</f>
        <v/>
      </c>
      <c r="E170" s="536">
        <f>IFERROR(IF('Invullen groen'!E183&gt;0,'Invullen groen'!G183,""),"")</f>
        <v/>
      </c>
      <c r="F170" s="537">
        <f>IFERROR(IF('Invullen groen'!H183&lt;&gt;0,'Invullen groen'!H183,""),"")</f>
        <v/>
      </c>
      <c r="G170" s="537">
        <f>IFERROR(IF('Invullen groen'!I183&lt;&gt;0,'Invullen groen'!I183,""),"")</f>
        <v/>
      </c>
      <c r="H170" s="537">
        <f>IFERROR(IF('Invullen groen'!J183&lt;&gt;0,'Invullen groen'!J183,""),"")</f>
        <v/>
      </c>
      <c r="I170" s="537">
        <f>IFERROR(IF('Invullen groen'!K183&lt;&gt;0,'Invullen groen'!K183,""),"")</f>
        <v/>
      </c>
    </row>
    <row r="171" ht="15" customHeight="1">
      <c r="A171" s="534">
        <f>IFERROR(IF('Invullen groen'!E184&gt;0,184-17,""),"")</f>
        <v/>
      </c>
      <c r="B171" s="534">
        <f>IFERROR(IF('Invullen groen'!E184&gt;0,'Invullen groen'!A184,""),"")</f>
        <v/>
      </c>
      <c r="C171" s="534">
        <f>IFERROR(IF('Invullen groen'!E184&gt;0,'Invullen groen'!C184,""),"")</f>
        <v/>
      </c>
      <c r="D171" s="534">
        <f>IFERROR(IF('Invullen groen'!E184&gt;0,'Invullen groen'!D184,""),"")</f>
        <v/>
      </c>
      <c r="E171" s="534">
        <f>IFERROR(IF('Invullen groen'!E184&gt;0,'Invullen groen'!G184,""),"")</f>
        <v/>
      </c>
      <c r="F171" s="535">
        <f>IFERROR(IF('Invullen groen'!H184&lt;&gt;0,'Invullen groen'!H184,""),"")</f>
        <v/>
      </c>
      <c r="G171" s="535">
        <f>IFERROR(IF('Invullen groen'!I184&lt;&gt;0,'Invullen groen'!I184,""),"")</f>
        <v/>
      </c>
      <c r="H171" s="535">
        <f>IFERROR(IF('Invullen groen'!J184&lt;&gt;0,'Invullen groen'!J184,""),"")</f>
        <v/>
      </c>
      <c r="I171" s="535">
        <f>IFERROR(IF('Invullen groen'!K184&lt;&gt;0,'Invullen groen'!K184,""),"")</f>
        <v/>
      </c>
    </row>
    <row r="172" ht="15" customHeight="1">
      <c r="A172" s="536">
        <f>IFERROR(IF('Invullen groen'!E185&gt;0,185-17,""),"")</f>
        <v/>
      </c>
      <c r="B172" s="536">
        <f>IFERROR(IF('Invullen groen'!E185&gt;0,'Invullen groen'!A185,""),"")</f>
        <v/>
      </c>
      <c r="C172" s="536">
        <f>IFERROR(IF('Invullen groen'!E185&gt;0,'Invullen groen'!C185,""),"")</f>
        <v/>
      </c>
      <c r="D172" s="536">
        <f>IFERROR(IF('Invullen groen'!E185&gt;0,'Invullen groen'!D185,""),"")</f>
        <v/>
      </c>
      <c r="E172" s="536">
        <f>IFERROR(IF('Invullen groen'!E185&gt;0,'Invullen groen'!G185,""),"")</f>
        <v/>
      </c>
      <c r="F172" s="537">
        <f>IFERROR(IF('Invullen groen'!H185&lt;&gt;0,'Invullen groen'!H185,""),"")</f>
        <v/>
      </c>
      <c r="G172" s="537">
        <f>IFERROR(IF('Invullen groen'!I185&lt;&gt;0,'Invullen groen'!I185,""),"")</f>
        <v/>
      </c>
      <c r="H172" s="537">
        <f>IFERROR(IF('Invullen groen'!J185&lt;&gt;0,'Invullen groen'!J185,""),"")</f>
        <v/>
      </c>
      <c r="I172" s="537">
        <f>IFERROR(IF('Invullen groen'!K185&lt;&gt;0,'Invullen groen'!K185,""),"")</f>
        <v/>
      </c>
    </row>
    <row r="173" ht="15" customHeight="1">
      <c r="A173" s="534">
        <f>IFERROR(IF('Invullen groen'!E186&gt;0,186-17,""),"")</f>
        <v/>
      </c>
      <c r="B173" s="534">
        <f>IFERROR(IF('Invullen groen'!E186&gt;0,'Invullen groen'!A186,""),"")</f>
        <v/>
      </c>
      <c r="C173" s="534">
        <f>IFERROR(IF('Invullen groen'!E186&gt;0,'Invullen groen'!C186,""),"")</f>
        <v/>
      </c>
      <c r="D173" s="534">
        <f>IFERROR(IF('Invullen groen'!E186&gt;0,'Invullen groen'!D186,""),"")</f>
        <v/>
      </c>
      <c r="E173" s="534">
        <f>IFERROR(IF('Invullen groen'!E186&gt;0,'Invullen groen'!G186,""),"")</f>
        <v/>
      </c>
      <c r="F173" s="535">
        <f>IFERROR(IF('Invullen groen'!H186&lt;&gt;0,'Invullen groen'!H186,""),"")</f>
        <v/>
      </c>
      <c r="G173" s="535">
        <f>IFERROR(IF('Invullen groen'!I186&lt;&gt;0,'Invullen groen'!I186,""),"")</f>
        <v/>
      </c>
      <c r="H173" s="535">
        <f>IFERROR(IF('Invullen groen'!J186&lt;&gt;0,'Invullen groen'!J186,""),"")</f>
        <v/>
      </c>
      <c r="I173" s="535">
        <f>IFERROR(IF('Invullen groen'!K186&lt;&gt;0,'Invullen groen'!K186,""),"")</f>
        <v/>
      </c>
    </row>
    <row r="174" ht="15" customHeight="1">
      <c r="A174" s="536">
        <f>IFERROR(IF('Invullen groen'!E187&gt;0,187-17,""),"")</f>
        <v/>
      </c>
      <c r="B174" s="536">
        <f>IFERROR(IF('Invullen groen'!E187&gt;0,'Invullen groen'!A187,""),"")</f>
        <v/>
      </c>
      <c r="C174" s="536">
        <f>IFERROR(IF('Invullen groen'!E187&gt;0,'Invullen groen'!C187,""),"")</f>
        <v/>
      </c>
      <c r="D174" s="536">
        <f>IFERROR(IF('Invullen groen'!E187&gt;0,'Invullen groen'!D187,""),"")</f>
        <v/>
      </c>
      <c r="E174" s="536">
        <f>IFERROR(IF('Invullen groen'!E187&gt;0,'Invullen groen'!G187,""),"")</f>
        <v/>
      </c>
      <c r="F174" s="537">
        <f>IFERROR(IF('Invullen groen'!H187&lt;&gt;0,'Invullen groen'!H187,""),"")</f>
        <v/>
      </c>
      <c r="G174" s="537">
        <f>IFERROR(IF('Invullen groen'!I187&lt;&gt;0,'Invullen groen'!I187,""),"")</f>
        <v/>
      </c>
      <c r="H174" s="537">
        <f>IFERROR(IF('Invullen groen'!J187&lt;&gt;0,'Invullen groen'!J187,""),"")</f>
        <v/>
      </c>
      <c r="I174" s="537">
        <f>IFERROR(IF('Invullen groen'!K187&lt;&gt;0,'Invullen groen'!K187,""),"")</f>
        <v/>
      </c>
    </row>
    <row r="175" ht="15" customHeight="1">
      <c r="A175" s="534">
        <f>IFERROR(IF('Invullen groen'!E188&gt;0,188-17,""),"")</f>
        <v/>
      </c>
      <c r="B175" s="534">
        <f>IFERROR(IF('Invullen groen'!E188&gt;0,'Invullen groen'!A188,""),"")</f>
        <v/>
      </c>
      <c r="C175" s="534">
        <f>IFERROR(IF('Invullen groen'!E188&gt;0,'Invullen groen'!C188,""),"")</f>
        <v/>
      </c>
      <c r="D175" s="534">
        <f>IFERROR(IF('Invullen groen'!E188&gt;0,'Invullen groen'!D188,""),"")</f>
        <v/>
      </c>
      <c r="E175" s="534">
        <f>IFERROR(IF('Invullen groen'!E188&gt;0,'Invullen groen'!G188,""),"")</f>
        <v/>
      </c>
      <c r="F175" s="535">
        <f>IFERROR(IF('Invullen groen'!H188&lt;&gt;0,'Invullen groen'!H188,""),"")</f>
        <v/>
      </c>
      <c r="G175" s="535">
        <f>IFERROR(IF('Invullen groen'!I188&lt;&gt;0,'Invullen groen'!I188,""),"")</f>
        <v/>
      </c>
      <c r="H175" s="535">
        <f>IFERROR(IF('Invullen groen'!J188&lt;&gt;0,'Invullen groen'!J188,""),"")</f>
        <v/>
      </c>
      <c r="I175" s="535">
        <f>IFERROR(IF('Invullen groen'!K188&lt;&gt;0,'Invullen groen'!K188,""),"")</f>
        <v/>
      </c>
    </row>
    <row r="176" ht="15" customHeight="1">
      <c r="A176" s="536">
        <f>IFERROR(IF('Invullen groen'!E189&gt;0,189-17,""),"")</f>
        <v/>
      </c>
      <c r="B176" s="536">
        <f>IFERROR(IF('Invullen groen'!E189&gt;0,'Invullen groen'!A189,""),"")</f>
        <v/>
      </c>
      <c r="C176" s="536">
        <f>IFERROR(IF('Invullen groen'!E189&gt;0,'Invullen groen'!C189,""),"")</f>
        <v/>
      </c>
      <c r="D176" s="536">
        <f>IFERROR(IF('Invullen groen'!E189&gt;0,'Invullen groen'!D189,""),"")</f>
        <v/>
      </c>
      <c r="E176" s="536">
        <f>IFERROR(IF('Invullen groen'!E189&gt;0,'Invullen groen'!G189,""),"")</f>
        <v/>
      </c>
      <c r="F176" s="537">
        <f>IFERROR(IF('Invullen groen'!H189&lt;&gt;0,'Invullen groen'!H189,""),"")</f>
        <v/>
      </c>
      <c r="G176" s="537">
        <f>IFERROR(IF('Invullen groen'!I189&lt;&gt;0,'Invullen groen'!I189,""),"")</f>
        <v/>
      </c>
      <c r="H176" s="537">
        <f>IFERROR(IF('Invullen groen'!J189&lt;&gt;0,'Invullen groen'!J189,""),"")</f>
        <v/>
      </c>
      <c r="I176" s="537">
        <f>IFERROR(IF('Invullen groen'!K189&lt;&gt;0,'Invullen groen'!K189,""),"")</f>
        <v/>
      </c>
    </row>
    <row r="177" ht="15" customHeight="1">
      <c r="A177" s="534">
        <f>IFERROR(IF('Invullen groen'!E190&gt;0,190-17,""),"")</f>
        <v/>
      </c>
      <c r="B177" s="534">
        <f>IFERROR(IF('Invullen groen'!E190&gt;0,'Invullen groen'!A190,""),"")</f>
        <v/>
      </c>
      <c r="C177" s="534">
        <f>IFERROR(IF('Invullen groen'!E190&gt;0,'Invullen groen'!C190,""),"")</f>
        <v/>
      </c>
      <c r="D177" s="534">
        <f>IFERROR(IF('Invullen groen'!E190&gt;0,'Invullen groen'!D190,""),"")</f>
        <v/>
      </c>
      <c r="E177" s="534">
        <f>IFERROR(IF('Invullen groen'!E190&gt;0,'Invullen groen'!G190,""),"")</f>
        <v/>
      </c>
      <c r="F177" s="535">
        <f>IFERROR(IF('Invullen groen'!H190&lt;&gt;0,'Invullen groen'!H190,""),"")</f>
        <v/>
      </c>
      <c r="G177" s="535">
        <f>IFERROR(IF('Invullen groen'!I190&lt;&gt;0,'Invullen groen'!I190,""),"")</f>
        <v/>
      </c>
      <c r="H177" s="535">
        <f>IFERROR(IF('Invullen groen'!J190&lt;&gt;0,'Invullen groen'!J190,""),"")</f>
        <v/>
      </c>
      <c r="I177" s="535">
        <f>IFERROR(IF('Invullen groen'!K190&lt;&gt;0,'Invullen groen'!K190,""),"")</f>
        <v/>
      </c>
    </row>
    <row r="178" ht="15" customHeight="1">
      <c r="A178" s="536">
        <f>IFERROR(IF('Invullen groen'!E191&gt;0,191-17,""),"")</f>
        <v/>
      </c>
      <c r="B178" s="536">
        <f>IFERROR(IF('Invullen groen'!E191&gt;0,'Invullen groen'!A191,""),"")</f>
        <v/>
      </c>
      <c r="C178" s="536">
        <f>IFERROR(IF('Invullen groen'!E191&gt;0,'Invullen groen'!C191,""),"")</f>
        <v/>
      </c>
      <c r="D178" s="536">
        <f>IFERROR(IF('Invullen groen'!E191&gt;0,'Invullen groen'!D191,""),"")</f>
        <v/>
      </c>
      <c r="E178" s="536">
        <f>IFERROR(IF('Invullen groen'!E191&gt;0,'Invullen groen'!G191,""),"")</f>
        <v/>
      </c>
      <c r="F178" s="537">
        <f>IFERROR(IF('Invullen groen'!H191&lt;&gt;0,'Invullen groen'!H191,""),"")</f>
        <v/>
      </c>
      <c r="G178" s="537">
        <f>IFERROR(IF('Invullen groen'!I191&lt;&gt;0,'Invullen groen'!I191,""),"")</f>
        <v/>
      </c>
      <c r="H178" s="537">
        <f>IFERROR(IF('Invullen groen'!J191&lt;&gt;0,'Invullen groen'!J191,""),"")</f>
        <v/>
      </c>
      <c r="I178" s="537">
        <f>IFERROR(IF('Invullen groen'!K191&lt;&gt;0,'Invullen groen'!K191,""),"")</f>
        <v/>
      </c>
    </row>
    <row r="179" ht="15" customHeight="1">
      <c r="A179" s="534">
        <f>IFERROR(IF('Invullen groen'!E192&gt;0,192-17,""),"")</f>
        <v/>
      </c>
      <c r="B179" s="534">
        <f>IFERROR(IF('Invullen groen'!E192&gt;0,'Invullen groen'!A192,""),"")</f>
        <v/>
      </c>
      <c r="C179" s="534">
        <f>IFERROR(IF('Invullen groen'!E192&gt;0,'Invullen groen'!C192,""),"")</f>
        <v/>
      </c>
      <c r="D179" s="534">
        <f>IFERROR(IF('Invullen groen'!E192&gt;0,'Invullen groen'!D192,""),"")</f>
        <v/>
      </c>
      <c r="E179" s="534">
        <f>IFERROR(IF('Invullen groen'!E192&gt;0,'Invullen groen'!G192,""),"")</f>
        <v/>
      </c>
      <c r="F179" s="535">
        <f>IFERROR(IF('Invullen groen'!H192&lt;&gt;0,'Invullen groen'!H192,""),"")</f>
        <v/>
      </c>
      <c r="G179" s="535">
        <f>IFERROR(IF('Invullen groen'!I192&lt;&gt;0,'Invullen groen'!I192,""),"")</f>
        <v/>
      </c>
      <c r="H179" s="535">
        <f>IFERROR(IF('Invullen groen'!J192&lt;&gt;0,'Invullen groen'!J192,""),"")</f>
        <v/>
      </c>
      <c r="I179" s="535">
        <f>IFERROR(IF('Invullen groen'!K192&lt;&gt;0,'Invullen groen'!K192,""),"")</f>
        <v/>
      </c>
    </row>
    <row r="180" ht="15" customHeight="1">
      <c r="A180" s="536">
        <f>IFERROR(IF('Invullen groen'!E193&gt;0,193-17,""),"")</f>
        <v/>
      </c>
      <c r="B180" s="536">
        <f>IFERROR(IF('Invullen groen'!E193&gt;0,'Invullen groen'!A193,""),"")</f>
        <v/>
      </c>
      <c r="C180" s="536">
        <f>IFERROR(IF('Invullen groen'!E193&gt;0,'Invullen groen'!C193,""),"")</f>
        <v/>
      </c>
      <c r="D180" s="536">
        <f>IFERROR(IF('Invullen groen'!E193&gt;0,'Invullen groen'!D193,""),"")</f>
        <v/>
      </c>
      <c r="E180" s="536">
        <f>IFERROR(IF('Invullen groen'!E193&gt;0,'Invullen groen'!G193,""),"")</f>
        <v/>
      </c>
      <c r="F180" s="537">
        <f>IFERROR(IF('Invullen groen'!H193&lt;&gt;0,'Invullen groen'!H193,""),"")</f>
        <v/>
      </c>
      <c r="G180" s="537">
        <f>IFERROR(IF('Invullen groen'!I193&lt;&gt;0,'Invullen groen'!I193,""),"")</f>
        <v/>
      </c>
      <c r="H180" s="537">
        <f>IFERROR(IF('Invullen groen'!J193&lt;&gt;0,'Invullen groen'!J193,""),"")</f>
        <v/>
      </c>
      <c r="I180" s="537">
        <f>IFERROR(IF('Invullen groen'!K193&lt;&gt;0,'Invullen groen'!K193,""),"")</f>
        <v/>
      </c>
    </row>
    <row r="181" ht="15" customHeight="1">
      <c r="A181" s="534">
        <f>IFERROR(IF('Invullen groen'!E194&gt;0,194-17,""),"")</f>
        <v/>
      </c>
      <c r="B181" s="534">
        <f>IFERROR(IF('Invullen groen'!E194&gt;0,'Invullen groen'!A194,""),"")</f>
        <v/>
      </c>
      <c r="C181" s="534">
        <f>IFERROR(IF('Invullen groen'!E194&gt;0,'Invullen groen'!C194,""),"")</f>
        <v/>
      </c>
      <c r="D181" s="534">
        <f>IFERROR(IF('Invullen groen'!E194&gt;0,'Invullen groen'!D194,""),"")</f>
        <v/>
      </c>
      <c r="E181" s="534">
        <f>IFERROR(IF('Invullen groen'!E194&gt;0,'Invullen groen'!G194,""),"")</f>
        <v/>
      </c>
      <c r="F181" s="535">
        <f>IFERROR(IF('Invullen groen'!H194&lt;&gt;0,'Invullen groen'!H194,""),"")</f>
        <v/>
      </c>
      <c r="G181" s="535">
        <f>IFERROR(IF('Invullen groen'!I194&lt;&gt;0,'Invullen groen'!I194,""),"")</f>
        <v/>
      </c>
      <c r="H181" s="535">
        <f>IFERROR(IF('Invullen groen'!J194&lt;&gt;0,'Invullen groen'!J194,""),"")</f>
        <v/>
      </c>
      <c r="I181" s="535">
        <f>IFERROR(IF('Invullen groen'!K194&lt;&gt;0,'Invullen groen'!K194,""),"")</f>
        <v/>
      </c>
    </row>
    <row r="182" ht="15" customHeight="1">
      <c r="A182" s="536">
        <f>IFERROR(IF('Invullen groen'!E195&gt;0,195-17,""),"")</f>
        <v/>
      </c>
      <c r="B182" s="536">
        <f>IFERROR(IF('Invullen groen'!E195&gt;0,'Invullen groen'!A195,""),"")</f>
        <v/>
      </c>
      <c r="C182" s="536">
        <f>IFERROR(IF('Invullen groen'!E195&gt;0,'Invullen groen'!C195,""),"")</f>
        <v/>
      </c>
      <c r="D182" s="536">
        <f>IFERROR(IF('Invullen groen'!E195&gt;0,'Invullen groen'!D195,""),"")</f>
        <v/>
      </c>
      <c r="E182" s="536">
        <f>IFERROR(IF('Invullen groen'!E195&gt;0,'Invullen groen'!G195,""),"")</f>
        <v/>
      </c>
      <c r="F182" s="537">
        <f>IFERROR(IF('Invullen groen'!H195&lt;&gt;0,'Invullen groen'!H195,""),"")</f>
        <v/>
      </c>
      <c r="G182" s="537">
        <f>IFERROR(IF('Invullen groen'!I195&lt;&gt;0,'Invullen groen'!I195,""),"")</f>
        <v/>
      </c>
      <c r="H182" s="537">
        <f>IFERROR(IF('Invullen groen'!J195&lt;&gt;0,'Invullen groen'!J195,""),"")</f>
        <v/>
      </c>
      <c r="I182" s="537">
        <f>IFERROR(IF('Invullen groen'!K195&lt;&gt;0,'Invullen groen'!K195,""),"")</f>
        <v/>
      </c>
    </row>
    <row r="183" ht="15" customHeight="1">
      <c r="A183" s="534">
        <f>IFERROR(IF('Invullen groen'!E196&gt;0,196-17,""),"")</f>
        <v/>
      </c>
      <c r="B183" s="534">
        <f>IFERROR(IF('Invullen groen'!E196&gt;0,'Invullen groen'!A196,""),"")</f>
        <v/>
      </c>
      <c r="C183" s="534">
        <f>IFERROR(IF('Invullen groen'!E196&gt;0,'Invullen groen'!C196,""),"")</f>
        <v/>
      </c>
      <c r="D183" s="534">
        <f>IFERROR(IF('Invullen groen'!E196&gt;0,'Invullen groen'!D196,""),"")</f>
        <v/>
      </c>
      <c r="E183" s="534">
        <f>IFERROR(IF('Invullen groen'!E196&gt;0,'Invullen groen'!G196,""),"")</f>
        <v/>
      </c>
      <c r="F183" s="535">
        <f>IFERROR(IF('Invullen groen'!H196&lt;&gt;0,'Invullen groen'!H196,""),"")</f>
        <v/>
      </c>
      <c r="G183" s="535">
        <f>IFERROR(IF('Invullen groen'!I196&lt;&gt;0,'Invullen groen'!I196,""),"")</f>
        <v/>
      </c>
      <c r="H183" s="535">
        <f>IFERROR(IF('Invullen groen'!J196&lt;&gt;0,'Invullen groen'!J196,""),"")</f>
        <v/>
      </c>
      <c r="I183" s="535">
        <f>IFERROR(IF('Invullen groen'!K196&lt;&gt;0,'Invullen groen'!K196,""),"")</f>
        <v/>
      </c>
    </row>
    <row r="184" ht="15" customHeight="1">
      <c r="A184" s="536">
        <f>IFERROR(IF('Invullen groen'!E197&gt;0,197-17,""),"")</f>
        <v/>
      </c>
      <c r="B184" s="536">
        <f>IFERROR(IF('Invullen groen'!E197&gt;0,'Invullen groen'!A197,""),"")</f>
        <v/>
      </c>
      <c r="C184" s="536">
        <f>IFERROR(IF('Invullen groen'!E197&gt;0,'Invullen groen'!C197,""),"")</f>
        <v/>
      </c>
      <c r="D184" s="536">
        <f>IFERROR(IF('Invullen groen'!E197&gt;0,'Invullen groen'!D197,""),"")</f>
        <v/>
      </c>
      <c r="E184" s="536">
        <f>IFERROR(IF('Invullen groen'!E197&gt;0,'Invullen groen'!G197,""),"")</f>
        <v/>
      </c>
      <c r="F184" s="537">
        <f>IFERROR(IF('Invullen groen'!H197&lt;&gt;0,'Invullen groen'!H197,""),"")</f>
        <v/>
      </c>
      <c r="G184" s="537">
        <f>IFERROR(IF('Invullen groen'!I197&lt;&gt;0,'Invullen groen'!I197,""),"")</f>
        <v/>
      </c>
      <c r="H184" s="537">
        <f>IFERROR(IF('Invullen groen'!J197&lt;&gt;0,'Invullen groen'!J197,""),"")</f>
        <v/>
      </c>
      <c r="I184" s="537">
        <f>IFERROR(IF('Invullen groen'!K197&lt;&gt;0,'Invullen groen'!K197,""),"")</f>
        <v/>
      </c>
    </row>
    <row r="185" ht="15" customHeight="1">
      <c r="A185" s="534">
        <f>IFERROR(IF('Invullen groen'!E198&gt;0,198-17,""),"")</f>
        <v/>
      </c>
      <c r="B185" s="534">
        <f>IFERROR(IF('Invullen groen'!E198&gt;0,'Invullen groen'!A198,""),"")</f>
        <v/>
      </c>
      <c r="C185" s="534">
        <f>IFERROR(IF('Invullen groen'!E198&gt;0,'Invullen groen'!C198,""),"")</f>
        <v/>
      </c>
      <c r="D185" s="534">
        <f>IFERROR(IF('Invullen groen'!E198&gt;0,'Invullen groen'!D198,""),"")</f>
        <v/>
      </c>
      <c r="E185" s="534">
        <f>IFERROR(IF('Invullen groen'!E198&gt;0,'Invullen groen'!G198,""),"")</f>
        <v/>
      </c>
      <c r="F185" s="535">
        <f>IFERROR(IF('Invullen groen'!H198&lt;&gt;0,'Invullen groen'!H198,""),"")</f>
        <v/>
      </c>
      <c r="G185" s="535">
        <f>IFERROR(IF('Invullen groen'!I198&lt;&gt;0,'Invullen groen'!I198,""),"")</f>
        <v/>
      </c>
      <c r="H185" s="535">
        <f>IFERROR(IF('Invullen groen'!J198&lt;&gt;0,'Invullen groen'!J198,""),"")</f>
        <v/>
      </c>
      <c r="I185" s="535">
        <f>IFERROR(IF('Invullen groen'!K198&lt;&gt;0,'Invullen groen'!K198,""),"")</f>
        <v/>
      </c>
    </row>
    <row r="186" ht="15" customHeight="1">
      <c r="A186" s="536">
        <f>IFERROR(IF('Invullen groen'!E199&gt;0,199-17,""),"")</f>
        <v/>
      </c>
      <c r="B186" s="536">
        <f>IFERROR(IF('Invullen groen'!E199&gt;0,'Invullen groen'!A199,""),"")</f>
        <v/>
      </c>
      <c r="C186" s="536">
        <f>IFERROR(IF('Invullen groen'!E199&gt;0,'Invullen groen'!C199,""),"")</f>
        <v/>
      </c>
      <c r="D186" s="536">
        <f>IFERROR(IF('Invullen groen'!E199&gt;0,'Invullen groen'!D199,""),"")</f>
        <v/>
      </c>
      <c r="E186" s="536">
        <f>IFERROR(IF('Invullen groen'!E199&gt;0,'Invullen groen'!G199,""),"")</f>
        <v/>
      </c>
      <c r="F186" s="537">
        <f>IFERROR(IF('Invullen groen'!H199&lt;&gt;0,'Invullen groen'!H199,""),"")</f>
        <v/>
      </c>
      <c r="G186" s="537">
        <f>IFERROR(IF('Invullen groen'!I199&lt;&gt;0,'Invullen groen'!I199,""),"")</f>
        <v/>
      </c>
      <c r="H186" s="537">
        <f>IFERROR(IF('Invullen groen'!J199&lt;&gt;0,'Invullen groen'!J199,""),"")</f>
        <v/>
      </c>
      <c r="I186" s="537">
        <f>IFERROR(IF('Invullen groen'!K199&lt;&gt;0,'Invullen groen'!K199,""),"")</f>
        <v/>
      </c>
    </row>
    <row r="187" ht="15" customHeight="1">
      <c r="A187" s="534">
        <f>IFERROR(IF('Invullen groen'!E200&gt;0,200-17,""),"")</f>
        <v/>
      </c>
      <c r="B187" s="534">
        <f>IFERROR(IF('Invullen groen'!E200&gt;0,'Invullen groen'!A200,""),"")</f>
        <v/>
      </c>
      <c r="C187" s="534">
        <f>IFERROR(IF('Invullen groen'!E200&gt;0,'Invullen groen'!C200,""),"")</f>
        <v/>
      </c>
      <c r="D187" s="534">
        <f>IFERROR(IF('Invullen groen'!E200&gt;0,'Invullen groen'!D200,""),"")</f>
        <v/>
      </c>
      <c r="E187" s="534">
        <f>IFERROR(IF('Invullen groen'!E200&gt;0,'Invullen groen'!G200,""),"")</f>
        <v/>
      </c>
      <c r="F187" s="535">
        <f>IFERROR(IF('Invullen groen'!H200&lt;&gt;0,'Invullen groen'!H200,""),"")</f>
        <v/>
      </c>
      <c r="G187" s="535">
        <f>IFERROR(IF('Invullen groen'!I200&lt;&gt;0,'Invullen groen'!I200,""),"")</f>
        <v/>
      </c>
      <c r="H187" s="535">
        <f>IFERROR(IF('Invullen groen'!J200&lt;&gt;0,'Invullen groen'!J200,""),"")</f>
        <v/>
      </c>
      <c r="I187" s="535">
        <f>IFERROR(IF('Invullen groen'!K200&lt;&gt;0,'Invullen groen'!K200,""),"")</f>
        <v/>
      </c>
    </row>
    <row r="188" ht="15" customHeight="1">
      <c r="A188" s="536">
        <f>IFERROR(IF('Invullen groen'!E201&gt;0,201-17,""),"")</f>
        <v/>
      </c>
      <c r="B188" s="536">
        <f>IFERROR(IF('Invullen groen'!E201&gt;0,'Invullen groen'!A201,""),"")</f>
        <v/>
      </c>
      <c r="C188" s="536">
        <f>IFERROR(IF('Invullen groen'!E201&gt;0,'Invullen groen'!C201,""),"")</f>
        <v/>
      </c>
      <c r="D188" s="536">
        <f>IFERROR(IF('Invullen groen'!E201&gt;0,'Invullen groen'!D201,""),"")</f>
        <v/>
      </c>
      <c r="E188" s="536">
        <f>IFERROR(IF('Invullen groen'!E201&gt;0,'Invullen groen'!G201,""),"")</f>
        <v/>
      </c>
      <c r="F188" s="537">
        <f>IFERROR(IF('Invullen groen'!H201&lt;&gt;0,'Invullen groen'!H201,""),"")</f>
        <v/>
      </c>
      <c r="G188" s="537">
        <f>IFERROR(IF('Invullen groen'!I201&lt;&gt;0,'Invullen groen'!I201,""),"")</f>
        <v/>
      </c>
      <c r="H188" s="537">
        <f>IFERROR(IF('Invullen groen'!J201&lt;&gt;0,'Invullen groen'!J201,""),"")</f>
        <v/>
      </c>
      <c r="I188" s="537">
        <f>IFERROR(IF('Invullen groen'!K201&lt;&gt;0,'Invullen groen'!K201,""),"")</f>
        <v/>
      </c>
    </row>
    <row r="189" ht="15" customHeight="1">
      <c r="A189" s="534">
        <f>IFERROR(IF('Invullen groen'!E202&gt;0,202-17,""),"")</f>
        <v/>
      </c>
      <c r="B189" s="534">
        <f>IFERROR(IF('Invullen groen'!E202&gt;0,'Invullen groen'!A202,""),"")</f>
        <v/>
      </c>
      <c r="C189" s="534">
        <f>IFERROR(IF('Invullen groen'!E202&gt;0,'Invullen groen'!C202,""),"")</f>
        <v/>
      </c>
      <c r="D189" s="534">
        <f>IFERROR(IF('Invullen groen'!E202&gt;0,'Invullen groen'!D202,""),"")</f>
        <v/>
      </c>
      <c r="E189" s="534">
        <f>IFERROR(IF('Invullen groen'!E202&gt;0,'Invullen groen'!G202,""),"")</f>
        <v/>
      </c>
      <c r="F189" s="535">
        <f>IFERROR(IF('Invullen groen'!H202&lt;&gt;0,'Invullen groen'!H202,""),"")</f>
        <v/>
      </c>
      <c r="G189" s="535">
        <f>IFERROR(IF('Invullen groen'!I202&lt;&gt;0,'Invullen groen'!I202,""),"")</f>
        <v/>
      </c>
      <c r="H189" s="535">
        <f>IFERROR(IF('Invullen groen'!J202&lt;&gt;0,'Invullen groen'!J202,""),"")</f>
        <v/>
      </c>
      <c r="I189" s="535">
        <f>IFERROR(IF('Invullen groen'!K202&lt;&gt;0,'Invullen groen'!K202,""),"")</f>
        <v/>
      </c>
    </row>
    <row r="190" ht="15" customHeight="1">
      <c r="A190" s="536">
        <f>IFERROR(IF('Invullen groen'!E203&gt;0,203-17,""),"")</f>
        <v/>
      </c>
      <c r="B190" s="536">
        <f>IFERROR(IF('Invullen groen'!E203&gt;0,'Invullen groen'!A203,""),"")</f>
        <v/>
      </c>
      <c r="C190" s="536">
        <f>IFERROR(IF('Invullen groen'!E203&gt;0,'Invullen groen'!C203,""),"")</f>
        <v/>
      </c>
      <c r="D190" s="536">
        <f>IFERROR(IF('Invullen groen'!E203&gt;0,'Invullen groen'!D203,""),"")</f>
        <v/>
      </c>
      <c r="E190" s="536">
        <f>IFERROR(IF('Invullen groen'!E203&gt;0,'Invullen groen'!G203,""),"")</f>
        <v/>
      </c>
      <c r="F190" s="537">
        <f>IFERROR(IF('Invullen groen'!H203&lt;&gt;0,'Invullen groen'!H203,""),"")</f>
        <v/>
      </c>
      <c r="G190" s="537">
        <f>IFERROR(IF('Invullen groen'!I203&lt;&gt;0,'Invullen groen'!I203,""),"")</f>
        <v/>
      </c>
      <c r="H190" s="537">
        <f>IFERROR(IF('Invullen groen'!J203&lt;&gt;0,'Invullen groen'!J203,""),"")</f>
        <v/>
      </c>
      <c r="I190" s="537">
        <f>IFERROR(IF('Invullen groen'!K203&lt;&gt;0,'Invullen groen'!K203,""),"")</f>
        <v/>
      </c>
    </row>
    <row r="191" ht="15" customHeight="1">
      <c r="A191" s="534">
        <f>IFERROR(IF('Invullen groen'!E204&gt;0,204-17,""),"")</f>
        <v/>
      </c>
      <c r="B191" s="534">
        <f>IFERROR(IF('Invullen groen'!E204&gt;0,'Invullen groen'!A204,""),"")</f>
        <v/>
      </c>
      <c r="C191" s="534">
        <f>IFERROR(IF('Invullen groen'!E204&gt;0,'Invullen groen'!C204,""),"")</f>
        <v/>
      </c>
      <c r="D191" s="534">
        <f>IFERROR(IF('Invullen groen'!E204&gt;0,'Invullen groen'!D204,""),"")</f>
        <v/>
      </c>
      <c r="E191" s="534">
        <f>IFERROR(IF('Invullen groen'!E204&gt;0,'Invullen groen'!G204,""),"")</f>
        <v/>
      </c>
      <c r="F191" s="535">
        <f>IFERROR(IF('Invullen groen'!H204&lt;&gt;0,'Invullen groen'!H204,""),"")</f>
        <v/>
      </c>
      <c r="G191" s="535">
        <f>IFERROR(IF('Invullen groen'!I204&lt;&gt;0,'Invullen groen'!I204,""),"")</f>
        <v/>
      </c>
      <c r="H191" s="535">
        <f>IFERROR(IF('Invullen groen'!J204&lt;&gt;0,'Invullen groen'!J204,""),"")</f>
        <v/>
      </c>
      <c r="I191" s="535">
        <f>IFERROR(IF('Invullen groen'!K204&lt;&gt;0,'Invullen groen'!K204,""),"")</f>
        <v/>
      </c>
    </row>
    <row r="192" ht="15" customHeight="1">
      <c r="A192" s="536">
        <f>IFERROR(IF('Invullen groen'!E205&gt;0,205-17,""),"")</f>
        <v/>
      </c>
      <c r="B192" s="536">
        <f>IFERROR(IF('Invullen groen'!E205&gt;0,'Invullen groen'!A205,""),"")</f>
        <v/>
      </c>
      <c r="C192" s="536">
        <f>IFERROR(IF('Invullen groen'!E205&gt;0,'Invullen groen'!C205,""),"")</f>
        <v/>
      </c>
      <c r="D192" s="536">
        <f>IFERROR(IF('Invullen groen'!E205&gt;0,'Invullen groen'!D205,""),"")</f>
        <v/>
      </c>
      <c r="E192" s="536">
        <f>IFERROR(IF('Invullen groen'!E205&gt;0,'Invullen groen'!G205,""),"")</f>
        <v/>
      </c>
      <c r="F192" s="537">
        <f>IFERROR(IF('Invullen groen'!H205&lt;&gt;0,'Invullen groen'!H205,""),"")</f>
        <v/>
      </c>
      <c r="G192" s="537">
        <f>IFERROR(IF('Invullen groen'!I205&lt;&gt;0,'Invullen groen'!I205,""),"")</f>
        <v/>
      </c>
      <c r="H192" s="537">
        <f>IFERROR(IF('Invullen groen'!J205&lt;&gt;0,'Invullen groen'!J205,""),"")</f>
        <v/>
      </c>
      <c r="I192" s="537">
        <f>IFERROR(IF('Invullen groen'!K205&lt;&gt;0,'Invullen groen'!K205,""),"")</f>
        <v/>
      </c>
    </row>
    <row r="193" ht="15" customHeight="1">
      <c r="A193" s="534">
        <f>IFERROR(IF('Invullen groen'!E206&gt;0,206-17,""),"")</f>
        <v/>
      </c>
      <c r="B193" s="534">
        <f>IFERROR(IF('Invullen groen'!E206&gt;0,'Invullen groen'!A206,""),"")</f>
        <v/>
      </c>
      <c r="C193" s="534">
        <f>IFERROR(IF('Invullen groen'!E206&gt;0,'Invullen groen'!C206,""),"")</f>
        <v/>
      </c>
      <c r="D193" s="534">
        <f>IFERROR(IF('Invullen groen'!E206&gt;0,'Invullen groen'!D206,""),"")</f>
        <v/>
      </c>
      <c r="E193" s="534">
        <f>IFERROR(IF('Invullen groen'!E206&gt;0,'Invullen groen'!G206,""),"")</f>
        <v/>
      </c>
      <c r="F193" s="535">
        <f>IFERROR(IF('Invullen groen'!H206&lt;&gt;0,'Invullen groen'!H206,""),"")</f>
        <v/>
      </c>
      <c r="G193" s="535">
        <f>IFERROR(IF('Invullen groen'!I206&lt;&gt;0,'Invullen groen'!I206,""),"")</f>
        <v/>
      </c>
      <c r="H193" s="535">
        <f>IFERROR(IF('Invullen groen'!J206&lt;&gt;0,'Invullen groen'!J206,""),"")</f>
        <v/>
      </c>
      <c r="I193" s="535">
        <f>IFERROR(IF('Invullen groen'!K206&lt;&gt;0,'Invullen groen'!K206,""),"")</f>
        <v/>
      </c>
    </row>
    <row r="194" ht="15" customHeight="1">
      <c r="A194" s="536">
        <f>IFERROR(IF('Invullen groen'!E207&gt;0,207-17,""),"")</f>
        <v/>
      </c>
      <c r="B194" s="536">
        <f>IFERROR(IF('Invullen groen'!E207&gt;0,'Invullen groen'!A207,""),"")</f>
        <v/>
      </c>
      <c r="C194" s="536">
        <f>IFERROR(IF('Invullen groen'!E207&gt;0,'Invullen groen'!C207,""),"")</f>
        <v/>
      </c>
      <c r="D194" s="536">
        <f>IFERROR(IF('Invullen groen'!E207&gt;0,'Invullen groen'!D207,""),"")</f>
        <v/>
      </c>
      <c r="E194" s="536">
        <f>IFERROR(IF('Invullen groen'!E207&gt;0,'Invullen groen'!G207,""),"")</f>
        <v/>
      </c>
      <c r="F194" s="537">
        <f>IFERROR(IF('Invullen groen'!H207&lt;&gt;0,'Invullen groen'!H207,""),"")</f>
        <v/>
      </c>
      <c r="G194" s="537">
        <f>IFERROR(IF('Invullen groen'!I207&lt;&gt;0,'Invullen groen'!I207,""),"")</f>
        <v/>
      </c>
      <c r="H194" s="537">
        <f>IFERROR(IF('Invullen groen'!J207&lt;&gt;0,'Invullen groen'!J207,""),"")</f>
        <v/>
      </c>
      <c r="I194" s="537">
        <f>IFERROR(IF('Invullen groen'!K207&lt;&gt;0,'Invullen groen'!K207,""),"")</f>
        <v/>
      </c>
    </row>
    <row r="195" ht="15" customHeight="1">
      <c r="A195" s="534">
        <f>IFERROR(IF('Invullen groen'!E208&gt;0,208-17,""),"")</f>
        <v/>
      </c>
      <c r="B195" s="534">
        <f>IFERROR(IF('Invullen groen'!E208&gt;0,'Invullen groen'!A208,""),"")</f>
        <v/>
      </c>
      <c r="C195" s="534">
        <f>IFERROR(IF('Invullen groen'!E208&gt;0,'Invullen groen'!C208,""),"")</f>
        <v/>
      </c>
      <c r="D195" s="534">
        <f>IFERROR(IF('Invullen groen'!E208&gt;0,'Invullen groen'!D208,""),"")</f>
        <v/>
      </c>
      <c r="E195" s="534">
        <f>IFERROR(IF('Invullen groen'!E208&gt;0,'Invullen groen'!G208,""),"")</f>
        <v/>
      </c>
      <c r="F195" s="535">
        <f>IFERROR(IF('Invullen groen'!H208&lt;&gt;0,'Invullen groen'!H208,""),"")</f>
        <v/>
      </c>
      <c r="G195" s="535">
        <f>IFERROR(IF('Invullen groen'!I208&lt;&gt;0,'Invullen groen'!I208,""),"")</f>
        <v/>
      </c>
      <c r="H195" s="535">
        <f>IFERROR(IF('Invullen groen'!J208&lt;&gt;0,'Invullen groen'!J208,""),"")</f>
        <v/>
      </c>
      <c r="I195" s="535">
        <f>IFERROR(IF('Invullen groen'!K208&lt;&gt;0,'Invullen groen'!K208,""),"")</f>
        <v/>
      </c>
    </row>
    <row r="196" ht="15" customHeight="1">
      <c r="A196" s="536">
        <f>IFERROR(IF('Invullen groen'!E209&gt;0,209-17,""),"")</f>
        <v/>
      </c>
      <c r="B196" s="536">
        <f>IFERROR(IF('Invullen groen'!E209&gt;0,'Invullen groen'!A209,""),"")</f>
        <v/>
      </c>
      <c r="C196" s="536">
        <f>IFERROR(IF('Invullen groen'!E209&gt;0,'Invullen groen'!C209,""),"")</f>
        <v/>
      </c>
      <c r="D196" s="536">
        <f>IFERROR(IF('Invullen groen'!E209&gt;0,'Invullen groen'!D209,""),"")</f>
        <v/>
      </c>
      <c r="E196" s="536">
        <f>IFERROR(IF('Invullen groen'!E209&gt;0,'Invullen groen'!G209,""),"")</f>
        <v/>
      </c>
      <c r="F196" s="537">
        <f>IFERROR(IF('Invullen groen'!H209&lt;&gt;0,'Invullen groen'!H209,""),"")</f>
        <v/>
      </c>
      <c r="G196" s="537">
        <f>IFERROR(IF('Invullen groen'!I209&lt;&gt;0,'Invullen groen'!I209,""),"")</f>
        <v/>
      </c>
      <c r="H196" s="537">
        <f>IFERROR(IF('Invullen groen'!J209&lt;&gt;0,'Invullen groen'!J209,""),"")</f>
        <v/>
      </c>
      <c r="I196" s="537">
        <f>IFERROR(IF('Invullen groen'!K209&lt;&gt;0,'Invullen groen'!K209,""),"")</f>
        <v/>
      </c>
    </row>
    <row r="197" ht="15" customHeight="1">
      <c r="A197" s="534">
        <f>IFERROR(IF('Invullen groen'!E210&gt;0,210-17,""),"")</f>
        <v/>
      </c>
      <c r="B197" s="534">
        <f>IFERROR(IF('Invullen groen'!E210&gt;0,'Invullen groen'!A210,""),"")</f>
        <v/>
      </c>
      <c r="C197" s="534">
        <f>IFERROR(IF('Invullen groen'!E210&gt;0,'Invullen groen'!C210,""),"")</f>
        <v/>
      </c>
      <c r="D197" s="534">
        <f>IFERROR(IF('Invullen groen'!E210&gt;0,'Invullen groen'!D210,""),"")</f>
        <v/>
      </c>
      <c r="E197" s="534">
        <f>IFERROR(IF('Invullen groen'!E210&gt;0,'Invullen groen'!G210,""),"")</f>
        <v/>
      </c>
      <c r="F197" s="535">
        <f>IFERROR(IF('Invullen groen'!H210&lt;&gt;0,'Invullen groen'!H210,""),"")</f>
        <v/>
      </c>
      <c r="G197" s="535">
        <f>IFERROR(IF('Invullen groen'!I210&lt;&gt;0,'Invullen groen'!I210,""),"")</f>
        <v/>
      </c>
      <c r="H197" s="535">
        <f>IFERROR(IF('Invullen groen'!J210&lt;&gt;0,'Invullen groen'!J210,""),"")</f>
        <v/>
      </c>
      <c r="I197" s="535">
        <f>IFERROR(IF('Invullen groen'!K210&lt;&gt;0,'Invullen groen'!K210,""),"")</f>
        <v/>
      </c>
    </row>
    <row r="198" ht="15" customHeight="1">
      <c r="A198" s="536">
        <f>IFERROR(IF('Invullen groen'!E211&gt;0,211-17,""),"")</f>
        <v/>
      </c>
      <c r="B198" s="536">
        <f>IFERROR(IF('Invullen groen'!E211&gt;0,'Invullen groen'!A211,""),"")</f>
        <v/>
      </c>
      <c r="C198" s="536">
        <f>IFERROR(IF('Invullen groen'!E211&gt;0,'Invullen groen'!C211,""),"")</f>
        <v/>
      </c>
      <c r="D198" s="536">
        <f>IFERROR(IF('Invullen groen'!E211&gt;0,'Invullen groen'!D211,""),"")</f>
        <v/>
      </c>
      <c r="E198" s="536">
        <f>IFERROR(IF('Invullen groen'!E211&gt;0,'Invullen groen'!G211,""),"")</f>
        <v/>
      </c>
      <c r="F198" s="537">
        <f>IFERROR(IF('Invullen groen'!H211&lt;&gt;0,'Invullen groen'!H211,""),"")</f>
        <v/>
      </c>
      <c r="G198" s="537">
        <f>IFERROR(IF('Invullen groen'!I211&lt;&gt;0,'Invullen groen'!I211,""),"")</f>
        <v/>
      </c>
      <c r="H198" s="537">
        <f>IFERROR(IF('Invullen groen'!J211&lt;&gt;0,'Invullen groen'!J211,""),"")</f>
        <v/>
      </c>
      <c r="I198" s="537">
        <f>IFERROR(IF('Invullen groen'!K211&lt;&gt;0,'Invullen groen'!K211,""),"")</f>
        <v/>
      </c>
    </row>
    <row r="199" ht="15" customHeight="1">
      <c r="A199" s="534">
        <f>IFERROR(IF('Invullen groen'!E212&gt;0,212-17,""),"")</f>
        <v/>
      </c>
      <c r="B199" s="534">
        <f>IFERROR(IF('Invullen groen'!E212&gt;0,'Invullen groen'!A212,""),"")</f>
        <v/>
      </c>
      <c r="C199" s="534">
        <f>IFERROR(IF('Invullen groen'!E212&gt;0,'Invullen groen'!C212,""),"")</f>
        <v/>
      </c>
      <c r="D199" s="534">
        <f>IFERROR(IF('Invullen groen'!E212&gt;0,'Invullen groen'!D212,""),"")</f>
        <v/>
      </c>
      <c r="E199" s="534">
        <f>IFERROR(IF('Invullen groen'!E212&gt;0,'Invullen groen'!G212,""),"")</f>
        <v/>
      </c>
      <c r="F199" s="535">
        <f>IFERROR(IF('Invullen groen'!H212&lt;&gt;0,'Invullen groen'!H212,""),"")</f>
        <v/>
      </c>
      <c r="G199" s="535">
        <f>IFERROR(IF('Invullen groen'!I212&lt;&gt;0,'Invullen groen'!I212,""),"")</f>
        <v/>
      </c>
      <c r="H199" s="535">
        <f>IFERROR(IF('Invullen groen'!J212&lt;&gt;0,'Invullen groen'!J212,""),"")</f>
        <v/>
      </c>
      <c r="I199" s="535">
        <f>IFERROR(IF('Invullen groen'!K212&lt;&gt;0,'Invullen groen'!K212,""),"")</f>
        <v/>
      </c>
    </row>
    <row r="200" ht="15" customHeight="1">
      <c r="A200" s="536">
        <f>IFERROR(IF('Invullen groen'!E213&gt;0,213-17,""),"")</f>
        <v/>
      </c>
      <c r="B200" s="536">
        <f>IFERROR(IF('Invullen groen'!E213&gt;0,'Invullen groen'!A213,""),"")</f>
        <v/>
      </c>
      <c r="C200" s="536">
        <f>IFERROR(IF('Invullen groen'!E213&gt;0,'Invullen groen'!C213,""),"")</f>
        <v/>
      </c>
      <c r="D200" s="536">
        <f>IFERROR(IF('Invullen groen'!E213&gt;0,'Invullen groen'!D213,""),"")</f>
        <v/>
      </c>
      <c r="E200" s="536">
        <f>IFERROR(IF('Invullen groen'!E213&gt;0,'Invullen groen'!G213,""),"")</f>
        <v/>
      </c>
      <c r="F200" s="537">
        <f>IFERROR(IF('Invullen groen'!H213&lt;&gt;0,'Invullen groen'!H213,""),"")</f>
        <v/>
      </c>
      <c r="G200" s="537">
        <f>IFERROR(IF('Invullen groen'!I213&lt;&gt;0,'Invullen groen'!I213,""),"")</f>
        <v/>
      </c>
      <c r="H200" s="537">
        <f>IFERROR(IF('Invullen groen'!J213&lt;&gt;0,'Invullen groen'!J213,""),"")</f>
        <v/>
      </c>
      <c r="I200" s="537">
        <f>IFERROR(IF('Invullen groen'!K213&lt;&gt;0,'Invullen groen'!K213,""),"")</f>
        <v/>
      </c>
    </row>
    <row r="201" ht="15" customHeight="1">
      <c r="A201" s="534">
        <f>IFERROR(IF('Invullen groen'!E214&gt;0,214-17,""),"")</f>
        <v/>
      </c>
      <c r="B201" s="534">
        <f>IFERROR(IF('Invullen groen'!E214&gt;0,'Invullen groen'!A214,""),"")</f>
        <v/>
      </c>
      <c r="C201" s="534">
        <f>IFERROR(IF('Invullen groen'!E214&gt;0,'Invullen groen'!C214,""),"")</f>
        <v/>
      </c>
      <c r="D201" s="534">
        <f>IFERROR(IF('Invullen groen'!E214&gt;0,'Invullen groen'!D214,""),"")</f>
        <v/>
      </c>
      <c r="E201" s="534">
        <f>IFERROR(IF('Invullen groen'!E214&gt;0,'Invullen groen'!G214,""),"")</f>
        <v/>
      </c>
      <c r="F201" s="535">
        <f>IFERROR(IF('Invullen groen'!H214&lt;&gt;0,'Invullen groen'!H214,""),"")</f>
        <v/>
      </c>
      <c r="G201" s="535">
        <f>IFERROR(IF('Invullen groen'!I214&lt;&gt;0,'Invullen groen'!I214,""),"")</f>
        <v/>
      </c>
      <c r="H201" s="535">
        <f>IFERROR(IF('Invullen groen'!J214&lt;&gt;0,'Invullen groen'!J214,""),"")</f>
        <v/>
      </c>
      <c r="I201" s="535">
        <f>IFERROR(IF('Invullen groen'!K214&lt;&gt;0,'Invullen groen'!K214,""),"")</f>
        <v/>
      </c>
    </row>
    <row r="202" ht="15" customHeight="1">
      <c r="A202" s="536">
        <f>IFERROR(IF('Invullen groen'!E215&gt;0,215-17,""),"")</f>
        <v/>
      </c>
      <c r="B202" s="536">
        <f>IFERROR(IF('Invullen groen'!E215&gt;0,'Invullen groen'!A215,""),"")</f>
        <v/>
      </c>
      <c r="C202" s="536">
        <f>IFERROR(IF('Invullen groen'!E215&gt;0,'Invullen groen'!C215,""),"")</f>
        <v/>
      </c>
      <c r="D202" s="536">
        <f>IFERROR(IF('Invullen groen'!E215&gt;0,'Invullen groen'!D215,""),"")</f>
        <v/>
      </c>
      <c r="E202" s="536">
        <f>IFERROR(IF('Invullen groen'!E215&gt;0,'Invullen groen'!G215,""),"")</f>
        <v/>
      </c>
      <c r="F202" s="537">
        <f>IFERROR(IF('Invullen groen'!H215&lt;&gt;0,'Invullen groen'!H215,""),"")</f>
        <v/>
      </c>
      <c r="G202" s="537">
        <f>IFERROR(IF('Invullen groen'!I215&lt;&gt;0,'Invullen groen'!I215,""),"")</f>
        <v/>
      </c>
      <c r="H202" s="537">
        <f>IFERROR(IF('Invullen groen'!J215&lt;&gt;0,'Invullen groen'!J215,""),"")</f>
        <v/>
      </c>
      <c r="I202" s="537">
        <f>IFERROR(IF('Invullen groen'!K215&lt;&gt;0,'Invullen groen'!K215,""),"")</f>
        <v/>
      </c>
    </row>
    <row r="203" ht="15" customHeight="1">
      <c r="A203" s="534">
        <f>IFERROR(IF('Invullen groen'!E216&gt;0,216-17,""),"")</f>
        <v/>
      </c>
      <c r="B203" s="534">
        <f>IFERROR(IF('Invullen groen'!E216&gt;0,'Invullen groen'!A216,""),"")</f>
        <v/>
      </c>
      <c r="C203" s="534">
        <f>IFERROR(IF('Invullen groen'!E216&gt;0,'Invullen groen'!C216,""),"")</f>
        <v/>
      </c>
      <c r="D203" s="534">
        <f>IFERROR(IF('Invullen groen'!E216&gt;0,'Invullen groen'!D216,""),"")</f>
        <v/>
      </c>
      <c r="E203" s="534">
        <f>IFERROR(IF('Invullen groen'!E216&gt;0,'Invullen groen'!G216,""),"")</f>
        <v/>
      </c>
      <c r="F203" s="535">
        <f>IFERROR(IF('Invullen groen'!H216&lt;&gt;0,'Invullen groen'!H216,""),"")</f>
        <v/>
      </c>
      <c r="G203" s="535">
        <f>IFERROR(IF('Invullen groen'!I216&lt;&gt;0,'Invullen groen'!I216,""),"")</f>
        <v/>
      </c>
      <c r="H203" s="535">
        <f>IFERROR(IF('Invullen groen'!J216&lt;&gt;0,'Invullen groen'!J216,""),"")</f>
        <v/>
      </c>
      <c r="I203" s="535">
        <f>IFERROR(IF('Invullen groen'!K216&lt;&gt;0,'Invullen groen'!K216,""),"")</f>
        <v/>
      </c>
    </row>
    <row r="204" ht="15" customHeight="1">
      <c r="A204" s="536">
        <f>IFERROR(IF('Invullen groen'!E217&gt;0,217-17,""),"")</f>
        <v/>
      </c>
      <c r="B204" s="536">
        <f>IFERROR(IF('Invullen groen'!E217&gt;0,'Invullen groen'!A217,""),"")</f>
        <v/>
      </c>
      <c r="C204" s="536">
        <f>IFERROR(IF('Invullen groen'!E217&gt;0,'Invullen groen'!C217,""),"")</f>
        <v/>
      </c>
      <c r="D204" s="536">
        <f>IFERROR(IF('Invullen groen'!E217&gt;0,'Invullen groen'!D217,""),"")</f>
        <v/>
      </c>
      <c r="E204" s="536">
        <f>IFERROR(IF('Invullen groen'!E217&gt;0,'Invullen groen'!G217,""),"")</f>
        <v/>
      </c>
      <c r="F204" s="537">
        <f>IFERROR(IF('Invullen groen'!H217&lt;&gt;0,'Invullen groen'!H217,""),"")</f>
        <v/>
      </c>
      <c r="G204" s="537">
        <f>IFERROR(IF('Invullen groen'!I217&lt;&gt;0,'Invullen groen'!I217,""),"")</f>
        <v/>
      </c>
      <c r="H204" s="537">
        <f>IFERROR(IF('Invullen groen'!J217&lt;&gt;0,'Invullen groen'!J217,""),"")</f>
        <v/>
      </c>
      <c r="I204" s="537">
        <f>IFERROR(IF('Invullen groen'!K217&lt;&gt;0,'Invullen groen'!K217,""),"")</f>
        <v/>
      </c>
    </row>
    <row r="205" ht="15" customHeight="1">
      <c r="A205" s="534">
        <f>IFERROR(IF('Invullen groen'!E218&gt;0,218-17,""),"")</f>
        <v/>
      </c>
      <c r="B205" s="534">
        <f>IFERROR(IF('Invullen groen'!E218&gt;0,'Invullen groen'!A218,""),"")</f>
        <v/>
      </c>
      <c r="C205" s="534">
        <f>IFERROR(IF('Invullen groen'!E218&gt;0,'Invullen groen'!C218,""),"")</f>
        <v/>
      </c>
      <c r="D205" s="534">
        <f>IFERROR(IF('Invullen groen'!E218&gt;0,'Invullen groen'!D218,""),"")</f>
        <v/>
      </c>
      <c r="E205" s="534">
        <f>IFERROR(IF('Invullen groen'!E218&gt;0,'Invullen groen'!G218,""),"")</f>
        <v/>
      </c>
      <c r="F205" s="535">
        <f>IFERROR(IF('Invullen groen'!H218&lt;&gt;0,'Invullen groen'!H218,""),"")</f>
        <v/>
      </c>
      <c r="G205" s="535">
        <f>IFERROR(IF('Invullen groen'!I218&lt;&gt;0,'Invullen groen'!I218,""),"")</f>
        <v/>
      </c>
      <c r="H205" s="535">
        <f>IFERROR(IF('Invullen groen'!J218&lt;&gt;0,'Invullen groen'!J218,""),"")</f>
        <v/>
      </c>
      <c r="I205" s="535">
        <f>IFERROR(IF('Invullen groen'!K218&lt;&gt;0,'Invullen groen'!K218,""),"")</f>
        <v/>
      </c>
    </row>
    <row r="206" ht="15" customHeight="1">
      <c r="A206" s="536">
        <f>IFERROR(IF('Invullen groen'!E219&gt;0,219-17,""),"")</f>
        <v/>
      </c>
      <c r="B206" s="536">
        <f>IFERROR(IF('Invullen groen'!E219&gt;0,'Invullen groen'!A219,""),"")</f>
        <v/>
      </c>
      <c r="C206" s="536">
        <f>IFERROR(IF('Invullen groen'!E219&gt;0,'Invullen groen'!C219,""),"")</f>
        <v/>
      </c>
      <c r="D206" s="536">
        <f>IFERROR(IF('Invullen groen'!E219&gt;0,'Invullen groen'!D219,""),"")</f>
        <v/>
      </c>
      <c r="E206" s="536">
        <f>IFERROR(IF('Invullen groen'!E219&gt;0,'Invullen groen'!G219,""),"")</f>
        <v/>
      </c>
      <c r="F206" s="537">
        <f>IFERROR(IF('Invullen groen'!H219&lt;&gt;0,'Invullen groen'!H219,""),"")</f>
        <v/>
      </c>
      <c r="G206" s="537">
        <f>IFERROR(IF('Invullen groen'!I219&lt;&gt;0,'Invullen groen'!I219,""),"")</f>
        <v/>
      </c>
      <c r="H206" s="537">
        <f>IFERROR(IF('Invullen groen'!J219&lt;&gt;0,'Invullen groen'!J219,""),"")</f>
        <v/>
      </c>
      <c r="I206" s="537">
        <f>IFERROR(IF('Invullen groen'!K219&lt;&gt;0,'Invullen groen'!K219,""),"")</f>
        <v/>
      </c>
    </row>
    <row r="207" ht="15" customHeight="1">
      <c r="A207" s="534">
        <f>IFERROR(IF('Invullen groen'!E220&gt;0,220-17,""),"")</f>
        <v/>
      </c>
      <c r="B207" s="534">
        <f>IFERROR(IF('Invullen groen'!E220&gt;0,'Invullen groen'!A220,""),"")</f>
        <v/>
      </c>
      <c r="C207" s="534">
        <f>IFERROR(IF('Invullen groen'!E220&gt;0,'Invullen groen'!C220,""),"")</f>
        <v/>
      </c>
      <c r="D207" s="534">
        <f>IFERROR(IF('Invullen groen'!E220&gt;0,'Invullen groen'!D220,""),"")</f>
        <v/>
      </c>
      <c r="E207" s="534">
        <f>IFERROR(IF('Invullen groen'!E220&gt;0,'Invullen groen'!G220,""),"")</f>
        <v/>
      </c>
      <c r="F207" s="535">
        <f>IFERROR(IF('Invullen groen'!H220&lt;&gt;0,'Invullen groen'!H220,""),"")</f>
        <v/>
      </c>
      <c r="G207" s="535">
        <f>IFERROR(IF('Invullen groen'!I220&lt;&gt;0,'Invullen groen'!I220,""),"")</f>
        <v/>
      </c>
      <c r="H207" s="535">
        <f>IFERROR(IF('Invullen groen'!J220&lt;&gt;0,'Invullen groen'!J220,""),"")</f>
        <v/>
      </c>
      <c r="I207" s="535">
        <f>IFERROR(IF('Invullen groen'!K220&lt;&gt;0,'Invullen groen'!K220,""),"")</f>
        <v/>
      </c>
    </row>
    <row r="208" ht="15" customHeight="1">
      <c r="A208" s="536">
        <f>IFERROR(IF('Invullen groen'!E221&gt;0,221-17,""),"")</f>
        <v/>
      </c>
      <c r="B208" s="536">
        <f>IFERROR(IF('Invullen groen'!E221&gt;0,'Invullen groen'!A221,""),"")</f>
        <v/>
      </c>
      <c r="C208" s="536">
        <f>IFERROR(IF('Invullen groen'!E221&gt;0,'Invullen groen'!C221,""),"")</f>
        <v/>
      </c>
      <c r="D208" s="536">
        <f>IFERROR(IF('Invullen groen'!E221&gt;0,'Invullen groen'!D221,""),"")</f>
        <v/>
      </c>
      <c r="E208" s="536">
        <f>IFERROR(IF('Invullen groen'!E221&gt;0,'Invullen groen'!G221,""),"")</f>
        <v/>
      </c>
      <c r="F208" s="537">
        <f>IFERROR(IF('Invullen groen'!H221&lt;&gt;0,'Invullen groen'!H221,""),"")</f>
        <v/>
      </c>
      <c r="G208" s="537">
        <f>IFERROR(IF('Invullen groen'!I221&lt;&gt;0,'Invullen groen'!I221,""),"")</f>
        <v/>
      </c>
      <c r="H208" s="537">
        <f>IFERROR(IF('Invullen groen'!J221&lt;&gt;0,'Invullen groen'!J221,""),"")</f>
        <v/>
      </c>
      <c r="I208" s="537">
        <f>IFERROR(IF('Invullen groen'!K221&lt;&gt;0,'Invullen groen'!K221,""),"")</f>
        <v/>
      </c>
    </row>
    <row r="209" ht="15" customHeight="1">
      <c r="A209" s="534">
        <f>IFERROR(IF('Invullen groen'!E222&gt;0,222-17,""),"")</f>
        <v/>
      </c>
      <c r="B209" s="534">
        <f>IFERROR(IF('Invullen groen'!E222&gt;0,'Invullen groen'!A222,""),"")</f>
        <v/>
      </c>
      <c r="C209" s="534">
        <f>IFERROR(IF('Invullen groen'!E222&gt;0,'Invullen groen'!C222,""),"")</f>
        <v/>
      </c>
      <c r="D209" s="534">
        <f>IFERROR(IF('Invullen groen'!E222&gt;0,'Invullen groen'!D222,""),"")</f>
        <v/>
      </c>
      <c r="E209" s="534">
        <f>IFERROR(IF('Invullen groen'!E222&gt;0,'Invullen groen'!G222,""),"")</f>
        <v/>
      </c>
      <c r="F209" s="535">
        <f>IFERROR(IF('Invullen groen'!H222&lt;&gt;0,'Invullen groen'!H222,""),"")</f>
        <v/>
      </c>
      <c r="G209" s="535">
        <f>IFERROR(IF('Invullen groen'!I222&lt;&gt;0,'Invullen groen'!I222,""),"")</f>
        <v/>
      </c>
      <c r="H209" s="535">
        <f>IFERROR(IF('Invullen groen'!J222&lt;&gt;0,'Invullen groen'!J222,""),"")</f>
        <v/>
      </c>
      <c r="I209" s="535">
        <f>IFERROR(IF('Invullen groen'!K222&lt;&gt;0,'Invullen groen'!K222,""),"")</f>
        <v/>
      </c>
    </row>
    <row r="210" ht="15" customHeight="1">
      <c r="A210" s="536">
        <f>IFERROR(IF('Invullen groen'!E223&gt;0,223-17,""),"")</f>
        <v/>
      </c>
      <c r="B210" s="536">
        <f>IFERROR(IF('Invullen groen'!E223&gt;0,'Invullen groen'!A223,""),"")</f>
        <v/>
      </c>
      <c r="C210" s="536">
        <f>IFERROR(IF('Invullen groen'!E223&gt;0,'Invullen groen'!C223,""),"")</f>
        <v/>
      </c>
      <c r="D210" s="536">
        <f>IFERROR(IF('Invullen groen'!E223&gt;0,'Invullen groen'!D223,""),"")</f>
        <v/>
      </c>
      <c r="E210" s="536">
        <f>IFERROR(IF('Invullen groen'!E223&gt;0,'Invullen groen'!G223,""),"")</f>
        <v/>
      </c>
      <c r="F210" s="537">
        <f>IFERROR(IF('Invullen groen'!H223&lt;&gt;0,'Invullen groen'!H223,""),"")</f>
        <v/>
      </c>
      <c r="G210" s="537">
        <f>IFERROR(IF('Invullen groen'!I223&lt;&gt;0,'Invullen groen'!I223,""),"")</f>
        <v/>
      </c>
      <c r="H210" s="537">
        <f>IFERROR(IF('Invullen groen'!J223&lt;&gt;0,'Invullen groen'!J223,""),"")</f>
        <v/>
      </c>
      <c r="I210" s="537">
        <f>IFERROR(IF('Invullen groen'!K223&lt;&gt;0,'Invullen groen'!K223,""),"")</f>
        <v/>
      </c>
    </row>
    <row r="211" ht="15" customHeight="1">
      <c r="A211" s="534">
        <f>IFERROR(IF('Invullen groen'!E224&gt;0,224-17,""),"")</f>
        <v/>
      </c>
      <c r="B211" s="534">
        <f>IFERROR(IF('Invullen groen'!E224&gt;0,'Invullen groen'!A224,""),"")</f>
        <v/>
      </c>
      <c r="C211" s="534">
        <f>IFERROR(IF('Invullen groen'!E224&gt;0,'Invullen groen'!C224,""),"")</f>
        <v/>
      </c>
      <c r="D211" s="534">
        <f>IFERROR(IF('Invullen groen'!E224&gt;0,'Invullen groen'!D224,""),"")</f>
        <v/>
      </c>
      <c r="E211" s="534">
        <f>IFERROR(IF('Invullen groen'!E224&gt;0,'Invullen groen'!G224,""),"")</f>
        <v/>
      </c>
      <c r="F211" s="535">
        <f>IFERROR(IF('Invullen groen'!H224&lt;&gt;0,'Invullen groen'!H224,""),"")</f>
        <v/>
      </c>
      <c r="G211" s="535">
        <f>IFERROR(IF('Invullen groen'!I224&lt;&gt;0,'Invullen groen'!I224,""),"")</f>
        <v/>
      </c>
      <c r="H211" s="535">
        <f>IFERROR(IF('Invullen groen'!J224&lt;&gt;0,'Invullen groen'!J224,""),"")</f>
        <v/>
      </c>
      <c r="I211" s="535">
        <f>IFERROR(IF('Invullen groen'!K224&lt;&gt;0,'Invullen groen'!K224,""),"")</f>
        <v/>
      </c>
    </row>
    <row r="212" ht="15" customHeight="1">
      <c r="A212" s="536">
        <f>IFERROR(IF('Invullen groen'!E225&gt;0,225-17,""),"")</f>
        <v/>
      </c>
      <c r="B212" s="536">
        <f>IFERROR(IF('Invullen groen'!E225&gt;0,'Invullen groen'!A225,""),"")</f>
        <v/>
      </c>
      <c r="C212" s="536">
        <f>IFERROR(IF('Invullen groen'!E225&gt;0,'Invullen groen'!C225,""),"")</f>
        <v/>
      </c>
      <c r="D212" s="536">
        <f>IFERROR(IF('Invullen groen'!E225&gt;0,'Invullen groen'!D225,""),"")</f>
        <v/>
      </c>
      <c r="E212" s="536">
        <f>IFERROR(IF('Invullen groen'!E225&gt;0,'Invullen groen'!G225,""),"")</f>
        <v/>
      </c>
      <c r="F212" s="537">
        <f>IFERROR(IF('Invullen groen'!H225&lt;&gt;0,'Invullen groen'!H225,""),"")</f>
        <v/>
      </c>
      <c r="G212" s="537">
        <f>IFERROR(IF('Invullen groen'!I225&lt;&gt;0,'Invullen groen'!I225,""),"")</f>
        <v/>
      </c>
      <c r="H212" s="537">
        <f>IFERROR(IF('Invullen groen'!J225&lt;&gt;0,'Invullen groen'!J225,""),"")</f>
        <v/>
      </c>
      <c r="I212" s="537">
        <f>IFERROR(IF('Invullen groen'!K225&lt;&gt;0,'Invullen groen'!K225,""),"")</f>
        <v/>
      </c>
    </row>
    <row r="213" ht="15" customHeight="1">
      <c r="A213" s="534">
        <f>IFERROR(IF('Invullen groen'!E226&gt;0,226-17,""),"")</f>
        <v/>
      </c>
      <c r="B213" s="534">
        <f>IFERROR(IF('Invullen groen'!E226&gt;0,'Invullen groen'!A226,""),"")</f>
        <v/>
      </c>
      <c r="C213" s="534">
        <f>IFERROR(IF('Invullen groen'!E226&gt;0,'Invullen groen'!C226,""),"")</f>
        <v/>
      </c>
      <c r="D213" s="534">
        <f>IFERROR(IF('Invullen groen'!E226&gt;0,'Invullen groen'!D226,""),"")</f>
        <v/>
      </c>
      <c r="E213" s="534">
        <f>IFERROR(IF('Invullen groen'!E226&gt;0,'Invullen groen'!G226,""),"")</f>
        <v/>
      </c>
      <c r="F213" s="535">
        <f>IFERROR(IF('Invullen groen'!H226&lt;&gt;0,'Invullen groen'!H226,""),"")</f>
        <v/>
      </c>
      <c r="G213" s="535">
        <f>IFERROR(IF('Invullen groen'!I226&lt;&gt;0,'Invullen groen'!I226,""),"")</f>
        <v/>
      </c>
      <c r="H213" s="535">
        <f>IFERROR(IF('Invullen groen'!J226&lt;&gt;0,'Invullen groen'!J226,""),"")</f>
        <v/>
      </c>
      <c r="I213" s="535">
        <f>IFERROR(IF('Invullen groen'!K226&lt;&gt;0,'Invullen groen'!K226,""),"")</f>
        <v/>
      </c>
    </row>
    <row r="214" ht="15" customHeight="1">
      <c r="A214" s="536">
        <f>IFERROR(IF('Invullen groen'!E227&gt;0,227-17,""),"")</f>
        <v/>
      </c>
      <c r="B214" s="536">
        <f>IFERROR(IF('Invullen groen'!E227&gt;0,'Invullen groen'!A227,""),"")</f>
        <v/>
      </c>
      <c r="C214" s="536">
        <f>IFERROR(IF('Invullen groen'!E227&gt;0,'Invullen groen'!C227,""),"")</f>
        <v/>
      </c>
      <c r="D214" s="536">
        <f>IFERROR(IF('Invullen groen'!E227&gt;0,'Invullen groen'!D227,""),"")</f>
        <v/>
      </c>
      <c r="E214" s="536">
        <f>IFERROR(IF('Invullen groen'!E227&gt;0,'Invullen groen'!G227,""),"")</f>
        <v/>
      </c>
      <c r="F214" s="537">
        <f>IFERROR(IF('Invullen groen'!H227&lt;&gt;0,'Invullen groen'!H227,""),"")</f>
        <v/>
      </c>
      <c r="G214" s="537">
        <f>IFERROR(IF('Invullen groen'!I227&lt;&gt;0,'Invullen groen'!I227,""),"")</f>
        <v/>
      </c>
      <c r="H214" s="537">
        <f>IFERROR(IF('Invullen groen'!J227&lt;&gt;0,'Invullen groen'!J227,""),"")</f>
        <v/>
      </c>
      <c r="I214" s="537">
        <f>IFERROR(IF('Invullen groen'!K227&lt;&gt;0,'Invullen groen'!K227,""),"")</f>
        <v/>
      </c>
    </row>
    <row r="215" ht="15" customHeight="1">
      <c r="A215" s="534">
        <f>IFERROR(IF('Invullen groen'!E228&gt;0,228-17,""),"")</f>
        <v/>
      </c>
      <c r="B215" s="534">
        <f>IFERROR(IF('Invullen groen'!E228&gt;0,'Invullen groen'!A228,""),"")</f>
        <v/>
      </c>
      <c r="C215" s="534">
        <f>IFERROR(IF('Invullen groen'!E228&gt;0,'Invullen groen'!C228,""),"")</f>
        <v/>
      </c>
      <c r="D215" s="534">
        <f>IFERROR(IF('Invullen groen'!E228&gt;0,'Invullen groen'!D228,""),"")</f>
        <v/>
      </c>
      <c r="E215" s="534">
        <f>IFERROR(IF('Invullen groen'!E228&gt;0,'Invullen groen'!G228,""),"")</f>
        <v/>
      </c>
      <c r="F215" s="535">
        <f>IFERROR(IF('Invullen groen'!H228&lt;&gt;0,'Invullen groen'!H228,""),"")</f>
        <v/>
      </c>
      <c r="G215" s="535">
        <f>IFERROR(IF('Invullen groen'!I228&lt;&gt;0,'Invullen groen'!I228,""),"")</f>
        <v/>
      </c>
      <c r="H215" s="535">
        <f>IFERROR(IF('Invullen groen'!J228&lt;&gt;0,'Invullen groen'!J228,""),"")</f>
        <v/>
      </c>
      <c r="I215" s="535">
        <f>IFERROR(IF('Invullen groen'!K228&lt;&gt;0,'Invullen groen'!K228,""),"")</f>
        <v/>
      </c>
    </row>
    <row r="216" ht="15" customHeight="1">
      <c r="A216" s="536">
        <f>IFERROR(IF('Invullen groen'!E229&gt;0,229-17,""),"")</f>
        <v/>
      </c>
      <c r="B216" s="536">
        <f>IFERROR(IF('Invullen groen'!E229&gt;0,'Invullen groen'!A229,""),"")</f>
        <v/>
      </c>
      <c r="C216" s="536">
        <f>IFERROR(IF('Invullen groen'!E229&gt;0,'Invullen groen'!C229,""),"")</f>
        <v/>
      </c>
      <c r="D216" s="536">
        <f>IFERROR(IF('Invullen groen'!E229&gt;0,'Invullen groen'!D229,""),"")</f>
        <v/>
      </c>
      <c r="E216" s="536">
        <f>IFERROR(IF('Invullen groen'!E229&gt;0,'Invullen groen'!G229,""),"")</f>
        <v/>
      </c>
      <c r="F216" s="537">
        <f>IFERROR(IF('Invullen groen'!H229&lt;&gt;0,'Invullen groen'!H229,""),"")</f>
        <v/>
      </c>
      <c r="G216" s="537">
        <f>IFERROR(IF('Invullen groen'!I229&lt;&gt;0,'Invullen groen'!I229,""),"")</f>
        <v/>
      </c>
      <c r="H216" s="537">
        <f>IFERROR(IF('Invullen groen'!J229&lt;&gt;0,'Invullen groen'!J229,""),"")</f>
        <v/>
      </c>
      <c r="I216" s="537">
        <f>IFERROR(IF('Invullen groen'!K229&lt;&gt;0,'Invullen groen'!K229,""),"")</f>
        <v/>
      </c>
    </row>
    <row r="217" ht="15" customHeight="1">
      <c r="A217" s="534">
        <f>IFERROR(IF('Invullen groen'!E230&gt;0,230-17,""),"")</f>
        <v/>
      </c>
      <c r="B217" s="534">
        <f>IFERROR(IF('Invullen groen'!E230&gt;0,'Invullen groen'!A230,""),"")</f>
        <v/>
      </c>
      <c r="C217" s="534">
        <f>IFERROR(IF('Invullen groen'!E230&gt;0,'Invullen groen'!C230,""),"")</f>
        <v/>
      </c>
      <c r="D217" s="534">
        <f>IFERROR(IF('Invullen groen'!E230&gt;0,'Invullen groen'!D230,""),"")</f>
        <v/>
      </c>
      <c r="E217" s="534">
        <f>IFERROR(IF('Invullen groen'!E230&gt;0,'Invullen groen'!G230,""),"")</f>
        <v/>
      </c>
      <c r="F217" s="535">
        <f>IFERROR(IF('Invullen groen'!H230&lt;&gt;0,'Invullen groen'!H230,""),"")</f>
        <v/>
      </c>
      <c r="G217" s="535">
        <f>IFERROR(IF('Invullen groen'!I230&lt;&gt;0,'Invullen groen'!I230,""),"")</f>
        <v/>
      </c>
      <c r="H217" s="535">
        <f>IFERROR(IF('Invullen groen'!J230&lt;&gt;0,'Invullen groen'!J230,""),"")</f>
        <v/>
      </c>
      <c r="I217" s="535">
        <f>IFERROR(IF('Invullen groen'!K230&lt;&gt;0,'Invullen groen'!K230,""),"")</f>
        <v/>
      </c>
    </row>
    <row r="218" ht="15" customHeight="1">
      <c r="A218" s="536">
        <f>IFERROR(IF('Invullen groen'!E231&gt;0,231-17,""),"")</f>
        <v/>
      </c>
      <c r="B218" s="536">
        <f>IFERROR(IF('Invullen groen'!E231&gt;0,'Invullen groen'!A231,""),"")</f>
        <v/>
      </c>
      <c r="C218" s="536">
        <f>IFERROR(IF('Invullen groen'!E231&gt;0,'Invullen groen'!C231,""),"")</f>
        <v/>
      </c>
      <c r="D218" s="536">
        <f>IFERROR(IF('Invullen groen'!E231&gt;0,'Invullen groen'!D231,""),"")</f>
        <v/>
      </c>
      <c r="E218" s="536">
        <f>IFERROR(IF('Invullen groen'!E231&gt;0,'Invullen groen'!G231,""),"")</f>
        <v/>
      </c>
      <c r="F218" s="537">
        <f>IFERROR(IF('Invullen groen'!H231&lt;&gt;0,'Invullen groen'!H231,""),"")</f>
        <v/>
      </c>
      <c r="G218" s="537">
        <f>IFERROR(IF('Invullen groen'!I231&lt;&gt;0,'Invullen groen'!I231,""),"")</f>
        <v/>
      </c>
      <c r="H218" s="537">
        <f>IFERROR(IF('Invullen groen'!J231&lt;&gt;0,'Invullen groen'!J231,""),"")</f>
        <v/>
      </c>
      <c r="I218" s="537">
        <f>IFERROR(IF('Invullen groen'!K231&lt;&gt;0,'Invullen groen'!K231,""),"")</f>
        <v/>
      </c>
    </row>
    <row r="219" ht="15" customHeight="1">
      <c r="A219" s="534">
        <f>IFERROR(IF('Invullen groen'!E232&gt;0,232-17,""),"")</f>
        <v/>
      </c>
      <c r="B219" s="534">
        <f>IFERROR(IF('Invullen groen'!E232&gt;0,'Invullen groen'!A232,""),"")</f>
        <v/>
      </c>
      <c r="C219" s="534">
        <f>IFERROR(IF('Invullen groen'!E232&gt;0,'Invullen groen'!C232,""),"")</f>
        <v/>
      </c>
      <c r="D219" s="534">
        <f>IFERROR(IF('Invullen groen'!E232&gt;0,'Invullen groen'!D232,""),"")</f>
        <v/>
      </c>
      <c r="E219" s="534">
        <f>IFERROR(IF('Invullen groen'!E232&gt;0,'Invullen groen'!G232,""),"")</f>
        <v/>
      </c>
      <c r="F219" s="535">
        <f>IFERROR(IF('Invullen groen'!H232&lt;&gt;0,'Invullen groen'!H232,""),"")</f>
        <v/>
      </c>
      <c r="G219" s="535">
        <f>IFERROR(IF('Invullen groen'!I232&lt;&gt;0,'Invullen groen'!I232,""),"")</f>
        <v/>
      </c>
      <c r="H219" s="535">
        <f>IFERROR(IF('Invullen groen'!J232&lt;&gt;0,'Invullen groen'!J232,""),"")</f>
        <v/>
      </c>
      <c r="I219" s="535">
        <f>IFERROR(IF('Invullen groen'!K232&lt;&gt;0,'Invullen groen'!K232,""),"")</f>
        <v/>
      </c>
    </row>
    <row r="220" ht="15" customHeight="1">
      <c r="A220" s="536">
        <f>IFERROR(IF('Invullen groen'!E233&gt;0,233-17,""),"")</f>
        <v/>
      </c>
      <c r="B220" s="536">
        <f>IFERROR(IF('Invullen groen'!E233&gt;0,'Invullen groen'!A233,""),"")</f>
        <v/>
      </c>
      <c r="C220" s="536">
        <f>IFERROR(IF('Invullen groen'!E233&gt;0,'Invullen groen'!C233,""),"")</f>
        <v/>
      </c>
      <c r="D220" s="536">
        <f>IFERROR(IF('Invullen groen'!E233&gt;0,'Invullen groen'!D233,""),"")</f>
        <v/>
      </c>
      <c r="E220" s="536">
        <f>IFERROR(IF('Invullen groen'!E233&gt;0,'Invullen groen'!G233,""),"")</f>
        <v/>
      </c>
      <c r="F220" s="537">
        <f>IFERROR(IF('Invullen groen'!H233&lt;&gt;0,'Invullen groen'!H233,""),"")</f>
        <v/>
      </c>
      <c r="G220" s="537">
        <f>IFERROR(IF('Invullen groen'!I233&lt;&gt;0,'Invullen groen'!I233,""),"")</f>
        <v/>
      </c>
      <c r="H220" s="537">
        <f>IFERROR(IF('Invullen groen'!J233&lt;&gt;0,'Invullen groen'!J233,""),"")</f>
        <v/>
      </c>
      <c r="I220" s="537">
        <f>IFERROR(IF('Invullen groen'!K233&lt;&gt;0,'Invullen groen'!K233,""),"")</f>
        <v/>
      </c>
    </row>
    <row r="221" ht="15" customHeight="1">
      <c r="A221" s="534">
        <f>IFERROR(IF('Invullen groen'!E234&gt;0,234-17,""),"")</f>
        <v/>
      </c>
      <c r="B221" s="534">
        <f>IFERROR(IF('Invullen groen'!E234&gt;0,'Invullen groen'!A234,""),"")</f>
        <v/>
      </c>
      <c r="C221" s="534">
        <f>IFERROR(IF('Invullen groen'!E234&gt;0,'Invullen groen'!C234,""),"")</f>
        <v/>
      </c>
      <c r="D221" s="534">
        <f>IFERROR(IF('Invullen groen'!E234&gt;0,'Invullen groen'!D234,""),"")</f>
        <v/>
      </c>
      <c r="E221" s="534">
        <f>IFERROR(IF('Invullen groen'!E234&gt;0,'Invullen groen'!G234,""),"")</f>
        <v/>
      </c>
      <c r="F221" s="535">
        <f>IFERROR(IF('Invullen groen'!H234&lt;&gt;0,'Invullen groen'!H234,""),"")</f>
        <v/>
      </c>
      <c r="G221" s="535">
        <f>IFERROR(IF('Invullen groen'!I234&lt;&gt;0,'Invullen groen'!I234,""),"")</f>
        <v/>
      </c>
      <c r="H221" s="535">
        <f>IFERROR(IF('Invullen groen'!J234&lt;&gt;0,'Invullen groen'!J234,""),"")</f>
        <v/>
      </c>
      <c r="I221" s="535">
        <f>IFERROR(IF('Invullen groen'!K234&lt;&gt;0,'Invullen groen'!K234,""),"")</f>
        <v/>
      </c>
    </row>
    <row r="222" ht="15" customHeight="1">
      <c r="A222" s="536">
        <f>IFERROR(IF('Invullen groen'!E235&gt;0,235-17,""),"")</f>
        <v/>
      </c>
      <c r="B222" s="536">
        <f>IFERROR(IF('Invullen groen'!E235&gt;0,'Invullen groen'!A235,""),"")</f>
        <v/>
      </c>
      <c r="C222" s="536">
        <f>IFERROR(IF('Invullen groen'!E235&gt;0,'Invullen groen'!C235,""),"")</f>
        <v/>
      </c>
      <c r="D222" s="536">
        <f>IFERROR(IF('Invullen groen'!E235&gt;0,'Invullen groen'!D235,""),"")</f>
        <v/>
      </c>
      <c r="E222" s="536">
        <f>IFERROR(IF('Invullen groen'!E235&gt;0,'Invullen groen'!G235,""),"")</f>
        <v/>
      </c>
      <c r="F222" s="537">
        <f>IFERROR(IF('Invullen groen'!H235&lt;&gt;0,'Invullen groen'!H235,""),"")</f>
        <v/>
      </c>
      <c r="G222" s="537">
        <f>IFERROR(IF('Invullen groen'!I235&lt;&gt;0,'Invullen groen'!I235,""),"")</f>
        <v/>
      </c>
      <c r="H222" s="537">
        <f>IFERROR(IF('Invullen groen'!J235&lt;&gt;0,'Invullen groen'!J235,""),"")</f>
        <v/>
      </c>
      <c r="I222" s="537">
        <f>IFERROR(IF('Invullen groen'!K235&lt;&gt;0,'Invullen groen'!K235,""),"")</f>
        <v/>
      </c>
    </row>
    <row r="223" ht="15" customHeight="1">
      <c r="A223" s="534">
        <f>IFERROR(IF('Invullen groen'!E236&gt;0,236-17,""),"")</f>
        <v/>
      </c>
      <c r="B223" s="534">
        <f>IFERROR(IF('Invullen groen'!E236&gt;0,'Invullen groen'!A236,""),"")</f>
        <v/>
      </c>
      <c r="C223" s="534">
        <f>IFERROR(IF('Invullen groen'!E236&gt;0,'Invullen groen'!C236,""),"")</f>
        <v/>
      </c>
      <c r="D223" s="534">
        <f>IFERROR(IF('Invullen groen'!E236&gt;0,'Invullen groen'!D236,""),"")</f>
        <v/>
      </c>
      <c r="E223" s="534">
        <f>IFERROR(IF('Invullen groen'!E236&gt;0,'Invullen groen'!G236,""),"")</f>
        <v/>
      </c>
      <c r="F223" s="535">
        <f>IFERROR(IF('Invullen groen'!H236&lt;&gt;0,'Invullen groen'!H236,""),"")</f>
        <v/>
      </c>
      <c r="G223" s="535">
        <f>IFERROR(IF('Invullen groen'!I236&lt;&gt;0,'Invullen groen'!I236,""),"")</f>
        <v/>
      </c>
      <c r="H223" s="535">
        <f>IFERROR(IF('Invullen groen'!J236&lt;&gt;0,'Invullen groen'!J236,""),"")</f>
        <v/>
      </c>
      <c r="I223" s="535">
        <f>IFERROR(IF('Invullen groen'!K236&lt;&gt;0,'Invullen groen'!K236,""),"")</f>
        <v/>
      </c>
    </row>
    <row r="224" ht="15" customHeight="1">
      <c r="A224" s="536">
        <f>IFERROR(IF('Invullen groen'!E237&gt;0,237-17,""),"")</f>
        <v/>
      </c>
      <c r="B224" s="536">
        <f>IFERROR(IF('Invullen groen'!E237&gt;0,'Invullen groen'!A237,""),"")</f>
        <v/>
      </c>
      <c r="C224" s="536">
        <f>IFERROR(IF('Invullen groen'!E237&gt;0,'Invullen groen'!C237,""),"")</f>
        <v/>
      </c>
      <c r="D224" s="536">
        <f>IFERROR(IF('Invullen groen'!E237&gt;0,'Invullen groen'!D237,""),"")</f>
        <v/>
      </c>
      <c r="E224" s="536">
        <f>IFERROR(IF('Invullen groen'!E237&gt;0,'Invullen groen'!G237,""),"")</f>
        <v/>
      </c>
      <c r="F224" s="537">
        <f>IFERROR(IF('Invullen groen'!H237&lt;&gt;0,'Invullen groen'!H237,""),"")</f>
        <v/>
      </c>
      <c r="G224" s="537">
        <f>IFERROR(IF('Invullen groen'!I237&lt;&gt;0,'Invullen groen'!I237,""),"")</f>
        <v/>
      </c>
      <c r="H224" s="537">
        <f>IFERROR(IF('Invullen groen'!J237&lt;&gt;0,'Invullen groen'!J237,""),"")</f>
        <v/>
      </c>
      <c r="I224" s="537">
        <f>IFERROR(IF('Invullen groen'!K237&lt;&gt;0,'Invullen groen'!K237,""),"")</f>
        <v/>
      </c>
    </row>
    <row r="225" ht="15" customHeight="1">
      <c r="A225" s="534">
        <f>IFERROR(IF('Invullen groen'!E238&gt;0,238-17,""),"")</f>
        <v/>
      </c>
      <c r="B225" s="534">
        <f>IFERROR(IF('Invullen groen'!E238&gt;0,'Invullen groen'!A238,""),"")</f>
        <v/>
      </c>
      <c r="C225" s="534">
        <f>IFERROR(IF('Invullen groen'!E238&gt;0,'Invullen groen'!C238,""),"")</f>
        <v/>
      </c>
      <c r="D225" s="534">
        <f>IFERROR(IF('Invullen groen'!E238&gt;0,'Invullen groen'!D238,""),"")</f>
        <v/>
      </c>
      <c r="E225" s="534">
        <f>IFERROR(IF('Invullen groen'!E238&gt;0,'Invullen groen'!G238,""),"")</f>
        <v/>
      </c>
      <c r="F225" s="535">
        <f>IFERROR(IF('Invullen groen'!H238&lt;&gt;0,'Invullen groen'!H238,""),"")</f>
        <v/>
      </c>
      <c r="G225" s="535">
        <f>IFERROR(IF('Invullen groen'!I238&lt;&gt;0,'Invullen groen'!I238,""),"")</f>
        <v/>
      </c>
      <c r="H225" s="535">
        <f>IFERROR(IF('Invullen groen'!J238&lt;&gt;0,'Invullen groen'!J238,""),"")</f>
        <v/>
      </c>
      <c r="I225" s="535">
        <f>IFERROR(IF('Invullen groen'!K238&lt;&gt;0,'Invullen groen'!K238,""),"")</f>
        <v/>
      </c>
    </row>
    <row r="226" ht="15" customHeight="1">
      <c r="A226" s="536">
        <f>IFERROR(IF('Invullen groen'!E239&gt;0,239-17,""),"")</f>
        <v/>
      </c>
      <c r="B226" s="536">
        <f>IFERROR(IF('Invullen groen'!E239&gt;0,'Invullen groen'!A239,""),"")</f>
        <v/>
      </c>
      <c r="C226" s="536">
        <f>IFERROR(IF('Invullen groen'!E239&gt;0,'Invullen groen'!C239,""),"")</f>
        <v/>
      </c>
      <c r="D226" s="536">
        <f>IFERROR(IF('Invullen groen'!E239&gt;0,'Invullen groen'!D239,""),"")</f>
        <v/>
      </c>
      <c r="E226" s="536">
        <f>IFERROR(IF('Invullen groen'!E239&gt;0,'Invullen groen'!G239,""),"")</f>
        <v/>
      </c>
      <c r="F226" s="537">
        <f>IFERROR(IF('Invullen groen'!H239&lt;&gt;0,'Invullen groen'!H239,""),"")</f>
        <v/>
      </c>
      <c r="G226" s="537">
        <f>IFERROR(IF('Invullen groen'!I239&lt;&gt;0,'Invullen groen'!I239,""),"")</f>
        <v/>
      </c>
      <c r="H226" s="537">
        <f>IFERROR(IF('Invullen groen'!J239&lt;&gt;0,'Invullen groen'!J239,""),"")</f>
        <v/>
      </c>
      <c r="I226" s="537">
        <f>IFERROR(IF('Invullen groen'!K239&lt;&gt;0,'Invullen groen'!K239,""),"")</f>
        <v/>
      </c>
    </row>
    <row r="227" ht="15" customHeight="1">
      <c r="A227" s="534">
        <f>IFERROR(IF('Invullen groen'!E240&gt;0,240-17,""),"")</f>
        <v/>
      </c>
      <c r="B227" s="534">
        <f>IFERROR(IF('Invullen groen'!E240&gt;0,'Invullen groen'!A240,""),"")</f>
        <v/>
      </c>
      <c r="C227" s="534">
        <f>IFERROR(IF('Invullen groen'!E240&gt;0,'Invullen groen'!C240,""),"")</f>
        <v/>
      </c>
      <c r="D227" s="534">
        <f>IFERROR(IF('Invullen groen'!E240&gt;0,'Invullen groen'!D240,""),"")</f>
        <v/>
      </c>
      <c r="E227" s="534">
        <f>IFERROR(IF('Invullen groen'!E240&gt;0,'Invullen groen'!G240,""),"")</f>
        <v/>
      </c>
      <c r="F227" s="535">
        <f>IFERROR(IF('Invullen groen'!H240&lt;&gt;0,'Invullen groen'!H240,""),"")</f>
        <v/>
      </c>
      <c r="G227" s="535">
        <f>IFERROR(IF('Invullen groen'!I240&lt;&gt;0,'Invullen groen'!I240,""),"")</f>
        <v/>
      </c>
      <c r="H227" s="535">
        <f>IFERROR(IF('Invullen groen'!J240&lt;&gt;0,'Invullen groen'!J240,""),"")</f>
        <v/>
      </c>
      <c r="I227" s="535">
        <f>IFERROR(IF('Invullen groen'!K240&lt;&gt;0,'Invullen groen'!K240,""),"")</f>
        <v/>
      </c>
    </row>
    <row r="228" ht="15" customHeight="1">
      <c r="A228" s="536">
        <f>IFERROR(IF('Invullen groen'!E241&gt;0,241-17,""),"")</f>
        <v/>
      </c>
      <c r="B228" s="536">
        <f>IFERROR(IF('Invullen groen'!E241&gt;0,'Invullen groen'!A241,""),"")</f>
        <v/>
      </c>
      <c r="C228" s="536">
        <f>IFERROR(IF('Invullen groen'!E241&gt;0,'Invullen groen'!C241,""),"")</f>
        <v/>
      </c>
      <c r="D228" s="536">
        <f>IFERROR(IF('Invullen groen'!E241&gt;0,'Invullen groen'!D241,""),"")</f>
        <v/>
      </c>
      <c r="E228" s="536">
        <f>IFERROR(IF('Invullen groen'!E241&gt;0,'Invullen groen'!G241,""),"")</f>
        <v/>
      </c>
      <c r="F228" s="537">
        <f>IFERROR(IF('Invullen groen'!H241&lt;&gt;0,'Invullen groen'!H241,""),"")</f>
        <v/>
      </c>
      <c r="G228" s="537">
        <f>IFERROR(IF('Invullen groen'!I241&lt;&gt;0,'Invullen groen'!I241,""),"")</f>
        <v/>
      </c>
      <c r="H228" s="537">
        <f>IFERROR(IF('Invullen groen'!J241&lt;&gt;0,'Invullen groen'!J241,""),"")</f>
        <v/>
      </c>
      <c r="I228" s="537">
        <f>IFERROR(IF('Invullen groen'!K241&lt;&gt;0,'Invullen groen'!K241,""),"")</f>
        <v/>
      </c>
    </row>
    <row r="229" ht="15" customHeight="1">
      <c r="A229" s="526" t="n"/>
      <c r="B229" s="526" t="n"/>
      <c r="C229" s="526" t="n"/>
      <c r="D229" s="526" t="n"/>
      <c r="E229" s="526" t="n"/>
      <c r="F229" s="527" t="n"/>
      <c r="G229" s="527" t="n"/>
      <c r="H229" s="527" t="n"/>
      <c r="I229" s="527" t="n"/>
    </row>
    <row r="230" ht="15" customHeight="1">
      <c r="A230" s="538" t="inlineStr">
        <is>
          <t>Totaal lasten</t>
        </is>
      </c>
      <c r="B230" s="312" t="n"/>
      <c r="C230" s="312" t="n"/>
      <c r="D230" s="312" t="n"/>
      <c r="E230" s="312" t="n"/>
      <c r="F230" s="540">
        <f>SUMIF('Invullen groen'!Q18:Q241,"&gt;0",'Invullen groen'!Q18:Q241)</f>
        <v/>
      </c>
      <c r="G230" s="540">
        <f>SUMIF('Invullen groen'!I18:M241,"&gt;0",'Invullen groen'!Q18:Q241)</f>
        <v/>
      </c>
      <c r="H230" s="540">
        <f>SUMIF('Invullen groen'!J18:N241,"&gt;0",'Invullen groen'!Q18:Q241)</f>
        <v/>
      </c>
      <c r="I230" s="540">
        <f>SUMIF('Invullen groen'!K18:O241,"&gt;0",'Invullen groen'!Q18:Q241)</f>
        <v/>
      </c>
    </row>
    <row r="231" ht="15" customHeight="1">
      <c r="A231" s="541" t="inlineStr">
        <is>
          <t>Totaal baten</t>
        </is>
      </c>
      <c r="B231" s="312" t="n"/>
      <c r="C231" s="312" t="n"/>
      <c r="D231" s="312" t="n"/>
      <c r="E231" s="312" t="n"/>
      <c r="F231" s="543">
        <f>SUMIF('Invullen groen'!R18:R241,"&lt;&gt;0",'Invullen groen'!R18:R241)</f>
        <v/>
      </c>
      <c r="G231" s="543">
        <f>SUMIF('Invullen groen'!I18:M241,"&lt;&gt;0",'Invullen groen'!R18:R241)</f>
        <v/>
      </c>
      <c r="H231" s="543">
        <f>SUMIF('Invullen groen'!J18:N241,"&lt;&gt;0",'Invullen groen'!R18:R241)</f>
        <v/>
      </c>
      <c r="I231" s="543">
        <f>SUMIF('Invullen groen'!K18:O241,"&lt;&gt;0",'Invullen groen'!R18:R241)</f>
        <v/>
      </c>
    </row>
    <row r="232" ht="15" customHeight="1">
      <c r="A232" s="544" t="inlineStr">
        <is>
          <t>Saldo (lasten + baten)</t>
        </is>
      </c>
      <c r="B232" s="312" t="n"/>
      <c r="C232" s="312" t="n"/>
      <c r="D232" s="312" t="n"/>
      <c r="E232" s="312" t="n"/>
      <c r="F232" s="545">
        <f>F230+F231</f>
        <v/>
      </c>
      <c r="G232" s="545">
        <f>G230+G231</f>
        <v/>
      </c>
      <c r="H232" s="545">
        <f>H230+H231</f>
        <v/>
      </c>
      <c r="I232" s="545">
        <f>I230+I231</f>
        <v/>
      </c>
    </row>
    <row r="233" ht="15" customHeight="1">
      <c r="A233" s="526" t="n"/>
      <c r="B233" s="526" t="n"/>
      <c r="C233" s="526" t="n"/>
      <c r="D233" s="526" t="n"/>
      <c r="E233" s="526" t="n"/>
      <c r="F233" s="527" t="n"/>
      <c r="G233" s="527" t="n"/>
      <c r="H233" s="527" t="n"/>
      <c r="I233" s="527" t="n"/>
    </row>
    <row r="234" ht="15" customHeight="1">
      <c r="A234" s="508" t="inlineStr">
        <is>
          <t>Automatisch bijgewerkt vanuit tabblad 'Invullen groen' — geen invoer op dit tabblad.  -/- = baten</t>
        </is>
      </c>
    </row>
  </sheetData>
  <mergeCells count="6">
    <mergeCell ref="A2:F2"/>
    <mergeCell ref="A231:E231"/>
    <mergeCell ref="A232:E232"/>
    <mergeCell ref="A234:I234"/>
    <mergeCell ref="A1:I1"/>
    <mergeCell ref="A230:E2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5FA8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460" t="inlineStr">
        <is>
          <t>Samenvatting per programma</t>
        </is>
      </c>
    </row>
    <row r="2" ht="18" customHeight="1">
      <c r="A2" s="462">
        <f>'Invullen groen'!A4</f>
        <v/>
      </c>
      <c r="E2" s="463" t="n"/>
      <c r="F2" s="463" t="n"/>
      <c r="G2" s="463" t="n"/>
    </row>
    <row r="3" ht="6" customHeight="1">
      <c r="A3" s="464" t="n"/>
      <c r="B3" s="464" t="n"/>
      <c r="C3" s="464" t="n"/>
      <c r="D3" s="464" t="n"/>
      <c r="E3" s="464" t="n"/>
      <c r="F3" s="464" t="n"/>
      <c r="G3" s="464" t="n"/>
    </row>
    <row r="4" ht="18" customHeight="1">
      <c r="A4" s="465" t="inlineStr">
        <is>
          <t>Programma</t>
        </is>
      </c>
      <c r="B4" s="466" t="inlineStr">
        <is>
          <t>Lasten 2026</t>
        </is>
      </c>
      <c r="C4" s="466" t="inlineStr">
        <is>
          <t>Baten 2026</t>
        </is>
      </c>
      <c r="D4" s="466" t="inlineStr">
        <is>
          <t>Saldo 2026</t>
        </is>
      </c>
      <c r="E4" s="466" t="inlineStr">
        <is>
          <t>MJR 2027</t>
        </is>
      </c>
      <c r="F4" s="466" t="inlineStr">
        <is>
          <t>MJR 2028</t>
        </is>
      </c>
      <c r="G4" s="466" t="inlineStr">
        <is>
          <t>MJR 2029</t>
        </is>
      </c>
    </row>
    <row r="5" ht="18" customHeight="1">
      <c r="A5" s="467" t="inlineStr">
        <is>
          <t>Bestuur en Ondersteuning</t>
        </is>
      </c>
      <c r="B5" s="468">
        <f>SUMPRODUCT((LOWER('Invullen groen'!A17:A74)="bestuur en ondersteuning")*('Invullen groen'!H17:L74&gt;0)*'Invullen groen'!H17:L74)</f>
        <v/>
      </c>
      <c r="C5" s="468">
        <f>SUMPRODUCT((LOWER('Invullen groen'!A17:A74)="bestuur en ondersteuning")*('Invullen groen'!H17:L74&lt;0)*'Invullen groen'!H17:L74)</f>
        <v/>
      </c>
      <c r="D5" s="468">
        <f>B5+C5</f>
        <v/>
      </c>
      <c r="E5" s="468">
        <f>SUMPRODUCT((LOWER('Invullen groen'!A17:A74)="bestuur en ondersteuning")*IFERROR('Invullen groen'!I17:M74*1,0))</f>
        <v/>
      </c>
      <c r="F5" s="468">
        <f>SUMPRODUCT((LOWER('Invullen groen'!A17:A74)="bestuur en ondersteuning")*IFERROR('Invullen groen'!J17:N74*1,0))</f>
        <v/>
      </c>
      <c r="G5" s="468">
        <f>SUMPRODUCT((LOWER('Invullen groen'!A17:A74)="bestuur en ondersteuning")*IFERROR('Invullen groen'!K17:O74*1,0))</f>
        <v/>
      </c>
    </row>
    <row r="6" ht="18" customHeight="1">
      <c r="A6" s="469" t="inlineStr">
        <is>
          <t>Veiligheid</t>
        </is>
      </c>
      <c r="B6" s="470">
        <f>SUMPRODUCT((LOWER('Invullen groen'!A17:A74)="veiligheid")*('Invullen groen'!H17:L74&gt;0)*'Invullen groen'!H17:L74)</f>
        <v/>
      </c>
      <c r="C6" s="470">
        <f>SUMPRODUCT((LOWER('Invullen groen'!A17:A74)="veiligheid")*('Invullen groen'!H17:L74&lt;0)*'Invullen groen'!H17:L74)</f>
        <v/>
      </c>
      <c r="D6" s="470">
        <f>B6+C6</f>
        <v/>
      </c>
      <c r="E6" s="470">
        <f>SUMPRODUCT((LOWER('Invullen groen'!A17:A74)="veiligheid")*IFERROR('Invullen groen'!I17:M74*1,0))</f>
        <v/>
      </c>
      <c r="F6" s="470">
        <f>SUMPRODUCT((LOWER('Invullen groen'!A17:A74)="veiligheid")*IFERROR('Invullen groen'!J17:N74*1,0))</f>
        <v/>
      </c>
      <c r="G6" s="470">
        <f>SUMPRODUCT((LOWER('Invullen groen'!A17:A74)="veiligheid")*IFERROR('Invullen groen'!K17:O74*1,0))</f>
        <v/>
      </c>
    </row>
    <row r="7" ht="18" customHeight="1">
      <c r="A7" s="467" t="inlineStr">
        <is>
          <t>Verkeer, Vervoer en Waterstaat</t>
        </is>
      </c>
      <c r="B7" s="468">
        <f>SUMPRODUCT((LOWER('Invullen groen'!A17:A74)="verkeer, vervoer en waterstaat")*('Invullen groen'!H17:L74&gt;0)*'Invullen groen'!H17:L74)</f>
        <v/>
      </c>
      <c r="C7" s="468">
        <f>SUMPRODUCT((LOWER('Invullen groen'!A17:A74)="verkeer, vervoer en waterstaat")*('Invullen groen'!H17:L74&lt;0)*'Invullen groen'!H17:L74)</f>
        <v/>
      </c>
      <c r="D7" s="468">
        <f>B7+C7</f>
        <v/>
      </c>
      <c r="E7" s="468">
        <f>SUMPRODUCT((LOWER('Invullen groen'!A17:A74)="verkeer, vervoer en waterstaat")*IFERROR('Invullen groen'!I17:M74*1,0))</f>
        <v/>
      </c>
      <c r="F7" s="468">
        <f>SUMPRODUCT((LOWER('Invullen groen'!A17:A74)="verkeer, vervoer en waterstaat")*IFERROR('Invullen groen'!J17:N74*1,0))</f>
        <v/>
      </c>
      <c r="G7" s="468">
        <f>SUMPRODUCT((LOWER('Invullen groen'!A17:A74)="verkeer, vervoer en waterstaat")*IFERROR('Invullen groen'!K17:O74*1,0))</f>
        <v/>
      </c>
    </row>
    <row r="8" ht="18" customHeight="1">
      <c r="A8" s="469" t="inlineStr">
        <is>
          <t>Economie</t>
        </is>
      </c>
      <c r="B8" s="470">
        <f>SUMPRODUCT((LOWER('Invullen groen'!A17:A74)="economie")*('Invullen groen'!H17:L74&gt;0)*'Invullen groen'!H17:L74)</f>
        <v/>
      </c>
      <c r="C8" s="470">
        <f>SUMPRODUCT((LOWER('Invullen groen'!A17:A74)="economie")*('Invullen groen'!H17:L74&lt;0)*'Invullen groen'!H17:L74)</f>
        <v/>
      </c>
      <c r="D8" s="470">
        <f>B8+C8</f>
        <v/>
      </c>
      <c r="E8" s="470">
        <f>SUMPRODUCT((LOWER('Invullen groen'!A17:A74)="economie")*IFERROR('Invullen groen'!I17:M74*1,0))</f>
        <v/>
      </c>
      <c r="F8" s="470">
        <f>SUMPRODUCT((LOWER('Invullen groen'!A17:A74)="economie")*IFERROR('Invullen groen'!J17:N74*1,0))</f>
        <v/>
      </c>
      <c r="G8" s="470">
        <f>SUMPRODUCT((LOWER('Invullen groen'!A17:A74)="economie")*IFERROR('Invullen groen'!K17:O74*1,0))</f>
        <v/>
      </c>
    </row>
    <row r="9" ht="18" customHeight="1">
      <c r="A9" s="467" t="inlineStr">
        <is>
          <t>Onderwijs</t>
        </is>
      </c>
      <c r="B9" s="468">
        <f>SUMPRODUCT((LOWER('Invullen groen'!A17:A74)="onderwijs")*('Invullen groen'!H17:L74&gt;0)*'Invullen groen'!H17:L74)</f>
        <v/>
      </c>
      <c r="C9" s="468">
        <f>SUMPRODUCT((LOWER('Invullen groen'!A17:A74)="onderwijs")*('Invullen groen'!H17:L74&lt;0)*'Invullen groen'!H17:L74)</f>
        <v/>
      </c>
      <c r="D9" s="468">
        <f>B9+C9</f>
        <v/>
      </c>
      <c r="E9" s="468">
        <f>SUMPRODUCT((LOWER('Invullen groen'!A17:A74)="onderwijs")*IFERROR('Invullen groen'!I17:M74*1,0))</f>
        <v/>
      </c>
      <c r="F9" s="468">
        <f>SUMPRODUCT((LOWER('Invullen groen'!A17:A74)="onderwijs")*IFERROR('Invullen groen'!J17:N74*1,0))</f>
        <v/>
      </c>
      <c r="G9" s="468">
        <f>SUMPRODUCT((LOWER('Invullen groen'!A17:A74)="onderwijs")*IFERROR('Invullen groen'!K17:O74*1,0))</f>
        <v/>
      </c>
    </row>
    <row r="10" ht="18" customHeight="1">
      <c r="A10" s="469" t="inlineStr">
        <is>
          <t>Sport, Cultuur en Recreatie</t>
        </is>
      </c>
      <c r="B10" s="470">
        <f>SUMPRODUCT((LOWER('Invullen groen'!A17:A74)="sport, cultuur en recreatie")*('Invullen groen'!H17:L74&gt;0)*'Invullen groen'!H17:L74)</f>
        <v/>
      </c>
      <c r="C10" s="470">
        <f>SUMPRODUCT((LOWER('Invullen groen'!A17:A74)="sport, cultuur en recreatie")*('Invullen groen'!H17:L74&lt;0)*'Invullen groen'!H17:L74)</f>
        <v/>
      </c>
      <c r="D10" s="470">
        <f>B10+C10</f>
        <v/>
      </c>
      <c r="E10" s="470">
        <f>SUMPRODUCT((LOWER('Invullen groen'!A17:A74)="sport, cultuur en recreatie")*IFERROR('Invullen groen'!I17:M74*1,0))</f>
        <v/>
      </c>
      <c r="F10" s="470">
        <f>SUMPRODUCT((LOWER('Invullen groen'!A17:A74)="sport, cultuur en recreatie")*IFERROR('Invullen groen'!J17:N74*1,0))</f>
        <v/>
      </c>
      <c r="G10" s="470">
        <f>SUMPRODUCT((LOWER('Invullen groen'!A17:A74)="sport, cultuur en recreatie")*IFERROR('Invullen groen'!K17:O74*1,0))</f>
        <v/>
      </c>
    </row>
    <row r="11" ht="18" customHeight="1">
      <c r="A11" s="467" t="inlineStr">
        <is>
          <t>Sociaal Domein</t>
        </is>
      </c>
      <c r="B11" s="468">
        <f>SUMPRODUCT((LOWER('Invullen groen'!A17:A74)="sociaal domein")*('Invullen groen'!H17:L74&gt;0)*'Invullen groen'!H17:L74)</f>
        <v/>
      </c>
      <c r="C11" s="468">
        <f>SUMPRODUCT((LOWER('Invullen groen'!A17:A74)="sociaal domein")*('Invullen groen'!H17:L74&lt;0)*'Invullen groen'!H17:L74)</f>
        <v/>
      </c>
      <c r="D11" s="468">
        <f>B11+C11</f>
        <v/>
      </c>
      <c r="E11" s="468">
        <f>SUMPRODUCT((LOWER('Invullen groen'!A17:A74)="sociaal domein")*IFERROR('Invullen groen'!I17:M74*1,0))</f>
        <v/>
      </c>
      <c r="F11" s="468">
        <f>SUMPRODUCT((LOWER('Invullen groen'!A17:A74)="sociaal domein")*IFERROR('Invullen groen'!J17:N74*1,0))</f>
        <v/>
      </c>
      <c r="G11" s="468">
        <f>SUMPRODUCT((LOWER('Invullen groen'!A17:A74)="sociaal domein")*IFERROR('Invullen groen'!K17:O74*1,0))</f>
        <v/>
      </c>
    </row>
    <row r="12" ht="18" customHeight="1">
      <c r="A12" s="469" t="inlineStr">
        <is>
          <t>Volksgezondheid en Milieu</t>
        </is>
      </c>
      <c r="B12" s="470">
        <f>SUMPRODUCT((LOWER('Invullen groen'!A17:A74)="volksgezondheid en milieu")*('Invullen groen'!H17:L74&gt;0)*'Invullen groen'!H17:L74)</f>
        <v/>
      </c>
      <c r="C12" s="470">
        <f>SUMPRODUCT((LOWER('Invullen groen'!A17:A74)="volksgezondheid en milieu")*('Invullen groen'!H17:L74&lt;0)*'Invullen groen'!H17:L74)</f>
        <v/>
      </c>
      <c r="D12" s="470">
        <f>B12+C12</f>
        <v/>
      </c>
      <c r="E12" s="470">
        <f>SUMPRODUCT((LOWER('Invullen groen'!A17:A74)="volksgezondheid en milieu")*IFERROR('Invullen groen'!I17:M74*1,0))</f>
        <v/>
      </c>
      <c r="F12" s="470">
        <f>SUMPRODUCT((LOWER('Invullen groen'!A17:A74)="volksgezondheid en milieu")*IFERROR('Invullen groen'!J17:N74*1,0))</f>
        <v/>
      </c>
      <c r="G12" s="470">
        <f>SUMPRODUCT((LOWER('Invullen groen'!A17:A74)="volksgezondheid en milieu")*IFERROR('Invullen groen'!K17:O74*1,0))</f>
        <v/>
      </c>
    </row>
    <row r="13" ht="18" customHeight="1">
      <c r="A13" s="467" t="inlineStr">
        <is>
          <t>Volkshuisvesting, RO en Stedelijke Vernieuwing</t>
        </is>
      </c>
      <c r="B13" s="468">
        <f>SUMPRODUCT((LOWER('Invullen groen'!A17:A74)="volkshuisv., ro en stedelijke vernieuwing")*('Invullen groen'!H17:L74&gt;0)*'Invullen groen'!H17:L74)</f>
        <v/>
      </c>
      <c r="C13" s="468">
        <f>SUMPRODUCT((LOWER('Invullen groen'!A17:A74)="volkshuisv., ro en stedelijke vernieuwing")*('Invullen groen'!H17:L74&lt;0)*'Invullen groen'!H17:L74)</f>
        <v/>
      </c>
      <c r="D13" s="468">
        <f>B13+C13</f>
        <v/>
      </c>
      <c r="E13" s="468">
        <f>SUMPRODUCT((LOWER('Invullen groen'!A17:A74)="volkshuisv., ro en stedelijke vernieuwing")*IFERROR('Invullen groen'!I17:M74*1,0))</f>
        <v/>
      </c>
      <c r="F13" s="468">
        <f>SUMPRODUCT((LOWER('Invullen groen'!A17:A74)="volkshuisv., ro en stedelijke vernieuwing")*IFERROR('Invullen groen'!J17:N74*1,0))</f>
        <v/>
      </c>
      <c r="G13" s="468">
        <f>SUMPRODUCT((LOWER('Invullen groen'!A17:A74)="volkshuisv., ro en stedelijke vernieuwing")*IFERROR('Invullen groen'!K17:O74*1,0))</f>
        <v/>
      </c>
    </row>
    <row r="14" ht="18" customHeight="1">
      <c r="A14" s="471" t="inlineStr">
        <is>
          <t>Totaal begrotingswijziging</t>
        </is>
      </c>
      <c r="B14" s="472">
        <f>SUM(B5:B13)</f>
        <v/>
      </c>
      <c r="C14" s="472">
        <f>SUM(C5:C13)</f>
        <v/>
      </c>
      <c r="D14" s="472">
        <f>SUM(D5:D13)</f>
        <v/>
      </c>
      <c r="E14" s="472">
        <f>SUM(E5:E13)</f>
        <v/>
      </c>
      <c r="F14" s="472">
        <f>SUM(F5:F13)</f>
        <v/>
      </c>
      <c r="G14" s="472">
        <f>SUM(G5:G13)</f>
        <v/>
      </c>
    </row>
    <row r="15" ht="18" customHeight="1">
      <c r="A15" s="473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8" customHeight="1">
      <c r="A16" s="475" t="inlineStr">
        <is>
          <t>Begin saldo financiële foto (vóór wijziging)</t>
        </is>
      </c>
      <c r="B16" s="476" t="n"/>
      <c r="C16" s="476" t="n"/>
      <c r="D16" s="476" t="n"/>
      <c r="E16" s="476" t="n"/>
      <c r="F16" s="476" t="n"/>
      <c r="G16" s="476" t="n"/>
    </row>
    <row r="17" ht="18" customHeight="1">
      <c r="A17" s="477" t="inlineStr">
        <is>
          <t>Eind saldo financiële foto (ná wijziging)</t>
        </is>
      </c>
      <c r="B17" s="478">
        <f>B16+B14</f>
        <v/>
      </c>
      <c r="C17" s="478">
        <f>C16+C14</f>
        <v/>
      </c>
      <c r="D17" s="478">
        <f>D16+D14</f>
        <v/>
      </c>
      <c r="E17" s="478">
        <f>E16+E14</f>
        <v/>
      </c>
      <c r="F17" s="478">
        <f>F16+F14</f>
        <v/>
      </c>
      <c r="G17" s="478">
        <f>G16+G14</f>
        <v/>
      </c>
    </row>
    <row r="18" ht="18" customHeight="1">
      <c r="A18" s="479" t="inlineStr">
        <is>
          <t>Begin saldo: handmatig invullen vanuit de meest recente financiële foto (voor de wijziging).</t>
        </is>
      </c>
    </row>
    <row r="19" ht="18" customHeight="1">
      <c r="A19" s="464" t="n"/>
      <c r="B19" s="464" t="n"/>
      <c r="C19" s="464" t="n"/>
      <c r="D19" s="464" t="n"/>
      <c r="E19" s="464" t="n"/>
      <c r="F19" s="464" t="n"/>
      <c r="G19" s="464" t="n"/>
    </row>
    <row r="20" ht="18" customHeight="1">
      <c r="A20" s="480" t="inlineStr">
        <is>
          <t>Controle exploitatie (moet 0 zijn)</t>
        </is>
      </c>
      <c r="B20" s="481">
        <f>IFERROR('Invullen groen'!H112,0)</f>
        <v/>
      </c>
      <c r="C20" s="482" t="n"/>
      <c r="D20" s="482" t="n"/>
      <c r="E20" s="482" t="n"/>
      <c r="F20" s="482" t="n"/>
      <c r="G20" s="482" t="n"/>
    </row>
    <row r="21" ht="18" customHeight="1"/>
    <row r="22" ht="18" customHeight="1"/>
    <row r="23" ht="18" customHeight="1"/>
    <row r="24" ht="18" customHeight="1"/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A2020"/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4" customHeight="1">
      <c r="A1" s="483" t="inlineStr">
        <is>
          <t>Dekkingsoverzicht begrotingswijziging</t>
        </is>
      </c>
    </row>
    <row r="2" ht="18" customHeight="1">
      <c r="A2" s="485">
        <f>'Invullen groen'!A4</f>
        <v/>
      </c>
      <c r="E2" s="485" t="n"/>
      <c r="F2" s="485" t="n"/>
      <c r="G2" s="485" t="n"/>
      <c r="H2" s="546" t="n"/>
    </row>
    <row r="3" ht="6" customHeight="1">
      <c r="A3" s="464" t="n"/>
      <c r="B3" s="464" t="n"/>
      <c r="C3" s="464" t="n"/>
      <c r="D3" s="530" t="n"/>
      <c r="E3" s="464" t="n"/>
      <c r="F3" s="464" t="n"/>
      <c r="G3" s="464" t="n"/>
      <c r="H3" s="53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8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5" customHeight="1">
      <c r="A6" s="536">
        <f>IFERROR(IF('Invullen groen'!H18&gt;0,1,""),"")</f>
        <v/>
      </c>
      <c r="B6" s="536">
        <f>IFERROR(IF('Invullen groen'!H18&gt;0,'Invullen groen'!A18,""),"")</f>
        <v/>
      </c>
      <c r="C6" s="536">
        <f>IFERROR(IF('Invullen groen'!H18&gt;0,'Invullen groen'!G18,""),"")</f>
        <v/>
      </c>
      <c r="D6" s="537">
        <f>IFERROR(IF('Invullen groen'!H18&gt;0,'Invullen groen'!H18,""),"")</f>
        <v/>
      </c>
      <c r="E6" s="508" t="n"/>
      <c r="F6" s="536">
        <f>IFERROR(IF('Invullen groen'!H78&lt;&gt;0,'Invullen groen'!A78,""),"")</f>
        <v/>
      </c>
      <c r="G6" s="536">
        <f>IFERROR(IF('Invullen groen'!H78&lt;&gt;0,'Invullen groen'!G78,""),"")</f>
        <v/>
      </c>
      <c r="H6" s="537">
        <f>IFERROR(IF('Invullen groen'!H78&lt;&gt;0,'Invullen groen'!H78,""),"")</f>
        <v/>
      </c>
    </row>
    <row r="7" ht="15" customHeight="1">
      <c r="A7" s="534">
        <f>IFERROR(IF('Invullen groen'!H19&gt;0,2,""),"")</f>
        <v/>
      </c>
      <c r="B7" s="534">
        <f>IFERROR(IF('Invullen groen'!H19&gt;0,'Invullen groen'!A19,""),"")</f>
        <v/>
      </c>
      <c r="C7" s="534">
        <f>IFERROR(IF('Invullen groen'!H19&gt;0,'Invullen groen'!G19,""),"")</f>
        <v/>
      </c>
      <c r="D7" s="535">
        <f>IFERROR(IF('Invullen groen'!H19&gt;0,'Invullen groen'!H19,""),"")</f>
        <v/>
      </c>
      <c r="E7" s="526" t="n"/>
      <c r="F7" s="534">
        <f>IFERROR(IF('Invullen groen'!H79&lt;&gt;0,'Invullen groen'!A79,""),"")</f>
        <v/>
      </c>
      <c r="G7" s="534">
        <f>IFERROR(IF('Invullen groen'!H79&lt;&gt;0,'Invullen groen'!G79,""),"")</f>
        <v/>
      </c>
      <c r="H7" s="535">
        <f>IFERROR(IF('Invullen groen'!H79&lt;&gt;0,'Invullen groen'!H79,""),"")</f>
        <v/>
      </c>
    </row>
    <row r="8" ht="15" customHeight="1">
      <c r="A8" s="536">
        <f>IFERROR(IF('Invullen groen'!H20&gt;0,3,""),"")</f>
        <v/>
      </c>
      <c r="B8" s="536">
        <f>IFERROR(IF('Invullen groen'!H20&gt;0,'Invullen groen'!A20,""),"")</f>
        <v/>
      </c>
      <c r="C8" s="536">
        <f>IFERROR(IF('Invullen groen'!H20&gt;0,'Invullen groen'!G20,""),"")</f>
        <v/>
      </c>
      <c r="D8" s="537">
        <f>IFERROR(IF('Invullen groen'!H20&gt;0,'Invullen groen'!H20,""),"")</f>
        <v/>
      </c>
      <c r="E8" s="508" t="n"/>
      <c r="F8" s="536">
        <f>IFERROR(IF('Invullen groen'!H80&lt;&gt;0,'Invullen groen'!A80,""),"")</f>
        <v/>
      </c>
      <c r="G8" s="536">
        <f>IFERROR(IF('Invullen groen'!H80&lt;&gt;0,'Invullen groen'!G80,""),"")</f>
        <v/>
      </c>
      <c r="H8" s="537">
        <f>IFERROR(IF('Invullen groen'!H80&lt;&gt;0,'Invullen groen'!H80,""),"")</f>
        <v/>
      </c>
    </row>
    <row r="9" ht="15" customHeight="1">
      <c r="A9" s="534">
        <f>IFERROR(IF('Invullen groen'!H21&gt;0,4,""),"")</f>
        <v/>
      </c>
      <c r="B9" s="534">
        <f>IFERROR(IF('Invullen groen'!H21&gt;0,'Invullen groen'!A21,""),"")</f>
        <v/>
      </c>
      <c r="C9" s="534">
        <f>IFERROR(IF('Invullen groen'!H21&gt;0,'Invullen groen'!G21,""),"")</f>
        <v/>
      </c>
      <c r="D9" s="535">
        <f>IFERROR(IF('Invullen groen'!H21&gt;0,'Invullen groen'!H21,""),"")</f>
        <v/>
      </c>
      <c r="E9" s="526" t="n"/>
      <c r="F9" s="534">
        <f>IFERROR(IF('Invullen groen'!H81&lt;&gt;0,'Invullen groen'!A81,""),"")</f>
        <v/>
      </c>
      <c r="G9" s="534">
        <f>IFERROR(IF('Invullen groen'!H81&lt;&gt;0,'Invullen groen'!G81,""),"")</f>
        <v/>
      </c>
      <c r="H9" s="535">
        <f>IFERROR(IF('Invullen groen'!H81&lt;&gt;0,'Invullen groen'!H81,""),"")</f>
        <v/>
      </c>
    </row>
    <row r="10" ht="15" customHeight="1">
      <c r="A10" s="536">
        <f>IFERROR(IF('Invullen groen'!H22&gt;0,5,""),"")</f>
        <v/>
      </c>
      <c r="B10" s="536">
        <f>IFERROR(IF('Invullen groen'!H22&gt;0,'Invullen groen'!A22,""),"")</f>
        <v/>
      </c>
      <c r="C10" s="536">
        <f>IFERROR(IF('Invullen groen'!H22&gt;0,'Invullen groen'!G22,""),"")</f>
        <v/>
      </c>
      <c r="D10" s="537">
        <f>IFERROR(IF('Invullen groen'!H22&gt;0,'Invullen groen'!H22,""),"")</f>
        <v/>
      </c>
      <c r="E10" s="508" t="n"/>
      <c r="F10" s="536">
        <f>IFERROR(IF('Invullen groen'!H82&lt;&gt;0,'Invullen groen'!A82,""),"")</f>
        <v/>
      </c>
      <c r="G10" s="536">
        <f>IFERROR(IF('Invullen groen'!H82&lt;&gt;0,'Invullen groen'!G82,""),"")</f>
        <v/>
      </c>
      <c r="H10" s="537">
        <f>IFERROR(IF('Invullen groen'!H82&lt;&gt;0,'Invullen groen'!H82,""),"")</f>
        <v/>
      </c>
    </row>
    <row r="11" ht="15" customHeight="1">
      <c r="A11" s="534">
        <f>IFERROR(IF('Invullen groen'!H23&gt;0,6,""),"")</f>
        <v/>
      </c>
      <c r="B11" s="534">
        <f>IFERROR(IF('Invullen groen'!H23&gt;0,'Invullen groen'!A23,""),"")</f>
        <v/>
      </c>
      <c r="C11" s="534">
        <f>IFERROR(IF('Invullen groen'!H23&gt;0,'Invullen groen'!G23,""),"")</f>
        <v/>
      </c>
      <c r="D11" s="535">
        <f>IFERROR(IF('Invullen groen'!H23&gt;0,'Invullen groen'!H23,""),"")</f>
        <v/>
      </c>
      <c r="E11" s="526" t="n"/>
      <c r="F11" s="534">
        <f>IFERROR(IF('Invullen groen'!H83&lt;&gt;0,'Invullen groen'!A83,""),"")</f>
        <v/>
      </c>
      <c r="G11" s="534">
        <f>IFERROR(IF('Invullen groen'!H83&lt;&gt;0,'Invullen groen'!G83,""),"")</f>
        <v/>
      </c>
      <c r="H11" s="535">
        <f>IFERROR(IF('Invullen groen'!H83&lt;&gt;0,'Invullen groen'!H83,""),"")</f>
        <v/>
      </c>
    </row>
    <row r="12" ht="15" customHeight="1">
      <c r="A12" s="536">
        <f>IFERROR(IF('Invullen groen'!H24&gt;0,7,""),"")</f>
        <v/>
      </c>
      <c r="B12" s="536">
        <f>IFERROR(IF('Invullen groen'!H24&gt;0,'Invullen groen'!A24,""),"")</f>
        <v/>
      </c>
      <c r="C12" s="536">
        <f>IFERROR(IF('Invullen groen'!H24&gt;0,'Invullen groen'!G24,""),"")</f>
        <v/>
      </c>
      <c r="D12" s="537">
        <f>IFERROR(IF('Invullen groen'!H24&gt;0,'Invullen groen'!H24,""),"")</f>
        <v/>
      </c>
      <c r="E12" s="508" t="n"/>
      <c r="F12" s="536">
        <f>IFERROR(IF('Invullen groen'!H84&lt;&gt;0,'Invullen groen'!A84,""),"")</f>
        <v/>
      </c>
      <c r="G12" s="536">
        <f>IFERROR(IF('Invullen groen'!H84&lt;&gt;0,'Invullen groen'!G84,""),"")</f>
        <v/>
      </c>
      <c r="H12" s="537">
        <f>IFERROR(IF('Invullen groen'!H84&lt;&gt;0,'Invullen groen'!H84,""),"")</f>
        <v/>
      </c>
    </row>
    <row r="13" ht="15" customHeight="1">
      <c r="A13" s="534">
        <f>IFERROR(IF('Invullen groen'!H25&gt;0,8,""),"")</f>
        <v/>
      </c>
      <c r="B13" s="534">
        <f>IFERROR(IF('Invullen groen'!H25&gt;0,'Invullen groen'!A25,""),"")</f>
        <v/>
      </c>
      <c r="C13" s="534">
        <f>IFERROR(IF('Invullen groen'!H25&gt;0,'Invullen groen'!G25,""),"")</f>
        <v/>
      </c>
      <c r="D13" s="535">
        <f>IFERROR(IF('Invullen groen'!H25&gt;0,'Invullen groen'!H25,""),"")</f>
        <v/>
      </c>
      <c r="E13" s="526" t="n"/>
      <c r="F13" s="534">
        <f>IFERROR(IF('Invullen groen'!H85&lt;&gt;0,'Invullen groen'!A85,""),"")</f>
        <v/>
      </c>
      <c r="G13" s="534">
        <f>IFERROR(IF('Invullen groen'!H85&lt;&gt;0,'Invullen groen'!G85,""),"")</f>
        <v/>
      </c>
      <c r="H13" s="535">
        <f>IFERROR(IF('Invullen groen'!H85&lt;&gt;0,'Invullen groen'!H85,""),"")</f>
        <v/>
      </c>
    </row>
    <row r="14" ht="15" customHeight="1">
      <c r="A14" s="536">
        <f>IFERROR(IF('Invullen groen'!H26&gt;0,9,""),"")</f>
        <v/>
      </c>
      <c r="B14" s="536">
        <f>IFERROR(IF('Invullen groen'!H26&gt;0,'Invullen groen'!A26,""),"")</f>
        <v/>
      </c>
      <c r="C14" s="536">
        <f>IFERROR(IF('Invullen groen'!H26&gt;0,'Invullen groen'!G26,""),"")</f>
        <v/>
      </c>
      <c r="D14" s="537">
        <f>IFERROR(IF('Invullen groen'!H26&gt;0,'Invullen groen'!H26,""),"")</f>
        <v/>
      </c>
      <c r="E14" s="508" t="n"/>
      <c r="F14" s="536">
        <f>IFERROR(IF('Invullen groen'!H86&lt;&gt;0,'Invullen groen'!A86,""),"")</f>
        <v/>
      </c>
      <c r="G14" s="536">
        <f>IFERROR(IF('Invullen groen'!H86&lt;&gt;0,'Invullen groen'!G86,""),"")</f>
        <v/>
      </c>
      <c r="H14" s="537">
        <f>IFERROR(IF('Invullen groen'!H86&lt;&gt;0,'Invullen groen'!H86,""),"")</f>
        <v/>
      </c>
    </row>
    <row r="15" ht="15" customHeight="1">
      <c r="A15" s="534">
        <f>IFERROR(IF('Invullen groen'!H27&gt;0,10,""),"")</f>
        <v/>
      </c>
      <c r="B15" s="534">
        <f>IFERROR(IF('Invullen groen'!H27&gt;0,'Invullen groen'!A27,""),"")</f>
        <v/>
      </c>
      <c r="C15" s="534">
        <f>IFERROR(IF('Invullen groen'!H27&gt;0,'Invullen groen'!G27,""),"")</f>
        <v/>
      </c>
      <c r="D15" s="535">
        <f>IFERROR(IF('Invullen groen'!H27&gt;0,'Invullen groen'!H27,""),"")</f>
        <v/>
      </c>
      <c r="E15" s="526" t="n"/>
      <c r="F15" s="534">
        <f>IFERROR(IF('Invullen groen'!H87&lt;&gt;0,'Invullen groen'!A87,""),"")</f>
        <v/>
      </c>
      <c r="G15" s="534">
        <f>IFERROR(IF('Invullen groen'!H87&lt;&gt;0,'Invullen groen'!G87,""),"")</f>
        <v/>
      </c>
      <c r="H15" s="535">
        <f>IFERROR(IF('Invullen groen'!H87&lt;&gt;0,'Invullen groen'!H87,""),"")</f>
        <v/>
      </c>
    </row>
    <row r="16" ht="15" customHeight="1">
      <c r="A16" s="536">
        <f>IFERROR(IF('Invullen groen'!H28&gt;0,11,""),"")</f>
        <v/>
      </c>
      <c r="B16" s="536">
        <f>IFERROR(IF('Invullen groen'!H28&gt;0,'Invullen groen'!A28,""),"")</f>
        <v/>
      </c>
      <c r="C16" s="536">
        <f>IFERROR(IF('Invullen groen'!H28&gt;0,'Invullen groen'!G28,""),"")</f>
        <v/>
      </c>
      <c r="D16" s="537">
        <f>IFERROR(IF('Invullen groen'!H28&gt;0,'Invullen groen'!H28,""),"")</f>
        <v/>
      </c>
      <c r="E16" s="508" t="n"/>
      <c r="F16" s="536">
        <f>IFERROR(IF('Invullen groen'!H88&lt;&gt;0,'Invullen groen'!A88,""),"")</f>
        <v/>
      </c>
      <c r="G16" s="536">
        <f>IFERROR(IF('Invullen groen'!H88&lt;&gt;0,'Invullen groen'!G88,""),"")</f>
        <v/>
      </c>
      <c r="H16" s="537">
        <f>IFERROR(IF('Invullen groen'!H88&lt;&gt;0,'Invullen groen'!H88,""),"")</f>
        <v/>
      </c>
    </row>
    <row r="17" ht="15" customHeight="1">
      <c r="A17" s="534">
        <f>IFERROR(IF('Invullen groen'!H29&gt;0,12,""),"")</f>
        <v/>
      </c>
      <c r="B17" s="534">
        <f>IFERROR(IF('Invullen groen'!H29&gt;0,'Invullen groen'!A29,""),"")</f>
        <v/>
      </c>
      <c r="C17" s="534">
        <f>IFERROR(IF('Invullen groen'!H29&gt;0,'Invullen groen'!G29,""),"")</f>
        <v/>
      </c>
      <c r="D17" s="535">
        <f>IFERROR(IF('Invullen groen'!H29&gt;0,'Invullen groen'!H29,""),"")</f>
        <v/>
      </c>
      <c r="E17" s="526" t="n"/>
      <c r="F17" s="534">
        <f>IFERROR(IF('Invullen groen'!H89&lt;&gt;0,'Invullen groen'!A89,""),"")</f>
        <v/>
      </c>
      <c r="G17" s="534">
        <f>IFERROR(IF('Invullen groen'!H89&lt;&gt;0,'Invullen groen'!G89,""),"")</f>
        <v/>
      </c>
      <c r="H17" s="535">
        <f>IFERROR(IF('Invullen groen'!H89&lt;&gt;0,'Invullen groen'!H89,""),"")</f>
        <v/>
      </c>
    </row>
    <row r="18" ht="15" customHeight="1">
      <c r="A18" s="536">
        <f>IFERROR(IF('Invullen groen'!H30&gt;0,13,""),"")</f>
        <v/>
      </c>
      <c r="B18" s="536">
        <f>IFERROR(IF('Invullen groen'!H30&gt;0,'Invullen groen'!A30,""),"")</f>
        <v/>
      </c>
      <c r="C18" s="536">
        <f>IFERROR(IF('Invullen groen'!H30&gt;0,'Invullen groen'!G30,""),"")</f>
        <v/>
      </c>
      <c r="D18" s="537">
        <f>IFERROR(IF('Invullen groen'!H30&gt;0,'Invullen groen'!H30,""),"")</f>
        <v/>
      </c>
      <c r="E18" s="508" t="n"/>
      <c r="F18" s="536">
        <f>IFERROR(IF('Invullen groen'!H90&lt;&gt;0,'Invullen groen'!A90,""),"")</f>
        <v/>
      </c>
      <c r="G18" s="536">
        <f>IFERROR(IF('Invullen groen'!H90&lt;&gt;0,'Invullen groen'!G90,""),"")</f>
        <v/>
      </c>
      <c r="H18" s="537">
        <f>IFERROR(IF('Invullen groen'!H90&lt;&gt;0,'Invullen groen'!H90,""),"")</f>
        <v/>
      </c>
    </row>
    <row r="19" ht="15" customHeight="1">
      <c r="A19" s="534">
        <f>IFERROR(IF('Invullen groen'!H31&gt;0,14,""),"")</f>
        <v/>
      </c>
      <c r="B19" s="534">
        <f>IFERROR(IF('Invullen groen'!H31&gt;0,'Invullen groen'!A31,""),"")</f>
        <v/>
      </c>
      <c r="C19" s="534">
        <f>IFERROR(IF('Invullen groen'!H31&gt;0,'Invullen groen'!G31,""),"")</f>
        <v/>
      </c>
      <c r="D19" s="535">
        <f>IFERROR(IF('Invullen groen'!H31&gt;0,'Invullen groen'!H31,""),"")</f>
        <v/>
      </c>
      <c r="E19" s="526" t="n"/>
      <c r="F19" s="534">
        <f>IFERROR(IF('Invullen groen'!H91&lt;&gt;0,'Invullen groen'!A91,""),"")</f>
        <v/>
      </c>
      <c r="G19" s="534">
        <f>IFERROR(IF('Invullen groen'!H91&lt;&gt;0,'Invullen groen'!G91,""),"")</f>
        <v/>
      </c>
      <c r="H19" s="535">
        <f>IFERROR(IF('Invullen groen'!H91&lt;&gt;0,'Invullen groen'!H91,""),"")</f>
        <v/>
      </c>
    </row>
    <row r="20" ht="15" customHeight="1">
      <c r="A20" s="536">
        <f>IFERROR(IF('Invullen groen'!H32&gt;0,15,""),"")</f>
        <v/>
      </c>
      <c r="B20" s="536">
        <f>IFERROR(IF('Invullen groen'!H32&gt;0,'Invullen groen'!A32,""),"")</f>
        <v/>
      </c>
      <c r="C20" s="536">
        <f>IFERROR(IF('Invullen groen'!H32&gt;0,'Invullen groen'!G32,""),"")</f>
        <v/>
      </c>
      <c r="D20" s="537">
        <f>IFERROR(IF('Invullen groen'!H32&gt;0,'Invullen groen'!H32,""),"")</f>
        <v/>
      </c>
      <c r="E20" s="508" t="n"/>
      <c r="F20" s="536">
        <f>IFERROR(IF('Invullen groen'!H92&lt;&gt;0,'Invullen groen'!A92,""),"")</f>
        <v/>
      </c>
      <c r="G20" s="536">
        <f>IFERROR(IF('Invullen groen'!H92&lt;&gt;0,'Invullen groen'!G92,""),"")</f>
        <v/>
      </c>
      <c r="H20" s="537">
        <f>IFERROR(IF('Invullen groen'!H92&lt;&gt;0,'Invullen groen'!H92,""),"")</f>
        <v/>
      </c>
    </row>
    <row r="21" ht="15" customHeight="1">
      <c r="A21" s="534">
        <f>IFERROR(IF('Invullen groen'!H33&gt;0,16,""),"")</f>
        <v/>
      </c>
      <c r="B21" s="534">
        <f>IFERROR(IF('Invullen groen'!H33&gt;0,'Invullen groen'!A33,""),"")</f>
        <v/>
      </c>
      <c r="C21" s="534">
        <f>IFERROR(IF('Invullen groen'!H33&gt;0,'Invullen groen'!G33,""),"")</f>
        <v/>
      </c>
      <c r="D21" s="535">
        <f>IFERROR(IF('Invullen groen'!H33&gt;0,'Invullen groen'!H33,""),"")</f>
        <v/>
      </c>
      <c r="E21" s="526" t="n"/>
      <c r="F21" s="534">
        <f>IFERROR(IF('Invullen groen'!H93&lt;&gt;0,'Invullen groen'!A93,""),"")</f>
        <v/>
      </c>
      <c r="G21" s="534">
        <f>IFERROR(IF('Invullen groen'!H93&lt;&gt;0,'Invullen groen'!G93,""),"")</f>
        <v/>
      </c>
      <c r="H21" s="535">
        <f>IFERROR(IF('Invullen groen'!H93&lt;&gt;0,'Invullen groen'!H93,""),"")</f>
        <v/>
      </c>
    </row>
    <row r="22" ht="15" customHeight="1">
      <c r="A22" s="536">
        <f>IFERROR(IF('Invullen groen'!H34&gt;0,17,""),"")</f>
        <v/>
      </c>
      <c r="B22" s="536">
        <f>IFERROR(IF('Invullen groen'!H34&gt;0,'Invullen groen'!A34,""),"")</f>
        <v/>
      </c>
      <c r="C22" s="536">
        <f>IFERROR(IF('Invullen groen'!H34&gt;0,'Invullen groen'!G34,""),"")</f>
        <v/>
      </c>
      <c r="D22" s="537">
        <f>IFERROR(IF('Invullen groen'!H34&gt;0,'Invullen groen'!H34,""),"")</f>
        <v/>
      </c>
      <c r="E22" s="508" t="n"/>
      <c r="F22" s="536">
        <f>IFERROR(IF('Invullen groen'!H94&lt;&gt;0,'Invullen groen'!A94,""),"")</f>
        <v/>
      </c>
      <c r="G22" s="536">
        <f>IFERROR(IF('Invullen groen'!H94&lt;&gt;0,'Invullen groen'!G94,""),"")</f>
        <v/>
      </c>
      <c r="H22" s="537">
        <f>IFERROR(IF('Invullen groen'!H94&lt;&gt;0,'Invullen groen'!H94,""),"")</f>
        <v/>
      </c>
    </row>
    <row r="23" ht="15" customHeight="1">
      <c r="A23" s="534">
        <f>IFERROR(IF('Invullen groen'!H35&gt;0,18,""),"")</f>
        <v/>
      </c>
      <c r="B23" s="534">
        <f>IFERROR(IF('Invullen groen'!H35&gt;0,'Invullen groen'!A35,""),"")</f>
        <v/>
      </c>
      <c r="C23" s="534">
        <f>IFERROR(IF('Invullen groen'!H35&gt;0,'Invullen groen'!G35,""),"")</f>
        <v/>
      </c>
      <c r="D23" s="535">
        <f>IFERROR(IF('Invullen groen'!H35&gt;0,'Invullen groen'!H35,""),"")</f>
        <v/>
      </c>
      <c r="E23" s="526" t="n"/>
      <c r="F23" s="534">
        <f>IFERROR(IF('Invullen groen'!H95&lt;&gt;0,'Invullen groen'!A95,""),"")</f>
        <v/>
      </c>
      <c r="G23" s="534">
        <f>IFERROR(IF('Invullen groen'!H95&lt;&gt;0,'Invullen groen'!G95,""),"")</f>
        <v/>
      </c>
      <c r="H23" s="535">
        <f>IFERROR(IF('Invullen groen'!H95&lt;&gt;0,'Invullen groen'!H95,""),"")</f>
        <v/>
      </c>
    </row>
    <row r="24" ht="15" customHeight="1">
      <c r="A24" s="536">
        <f>IFERROR(IF('Invullen groen'!H36&gt;0,19,""),"")</f>
        <v/>
      </c>
      <c r="B24" s="536">
        <f>IFERROR(IF('Invullen groen'!H36&gt;0,'Invullen groen'!A36,""),"")</f>
        <v/>
      </c>
      <c r="C24" s="536">
        <f>IFERROR(IF('Invullen groen'!H36&gt;0,'Invullen groen'!G36,""),"")</f>
        <v/>
      </c>
      <c r="D24" s="537">
        <f>IFERROR(IF('Invullen groen'!H36&gt;0,'Invullen groen'!H36,""),"")</f>
        <v/>
      </c>
      <c r="E24" s="508" t="n"/>
      <c r="F24" s="536">
        <f>IFERROR(IF('Invullen groen'!H96&lt;&gt;0,'Invullen groen'!A96,""),"")</f>
        <v/>
      </c>
      <c r="G24" s="536">
        <f>IFERROR(IF('Invullen groen'!H96&lt;&gt;0,'Invullen groen'!G96,""),"")</f>
        <v/>
      </c>
      <c r="H24" s="537">
        <f>IFERROR(IF('Invullen groen'!H96&lt;&gt;0,'Invullen groen'!H96,""),"")</f>
        <v/>
      </c>
    </row>
    <row r="25" ht="15" customHeight="1">
      <c r="A25" s="534">
        <f>IFERROR(IF('Invullen groen'!H37&gt;0,20,""),"")</f>
        <v/>
      </c>
      <c r="B25" s="534">
        <f>IFERROR(IF('Invullen groen'!H37&gt;0,'Invullen groen'!A37,""),"")</f>
        <v/>
      </c>
      <c r="C25" s="534">
        <f>IFERROR(IF('Invullen groen'!H37&gt;0,'Invullen groen'!G37,""),"")</f>
        <v/>
      </c>
      <c r="D25" s="535">
        <f>IFERROR(IF('Invullen groen'!H37&gt;0,'Invullen groen'!H37,""),"")</f>
        <v/>
      </c>
      <c r="E25" s="526" t="n"/>
      <c r="F25" s="534">
        <f>IFERROR(IF('Invullen groen'!H97&lt;&gt;0,'Invullen groen'!A97,""),"")</f>
        <v/>
      </c>
      <c r="G25" s="534">
        <f>IFERROR(IF('Invullen groen'!H97&lt;&gt;0,'Invullen groen'!G97,""),"")</f>
        <v/>
      </c>
      <c r="H25" s="535">
        <f>IFERROR(IF('Invullen groen'!H97&lt;&gt;0,'Invullen groen'!H97,""),"")</f>
        <v/>
      </c>
    </row>
    <row r="26" ht="15" customHeight="1">
      <c r="A26" s="536">
        <f>IFERROR(IF('Invullen groen'!H38&gt;0,21,""),"")</f>
        <v/>
      </c>
      <c r="B26" s="536">
        <f>IFERROR(IF('Invullen groen'!H38&gt;0,'Invullen groen'!A38,""),"")</f>
        <v/>
      </c>
      <c r="C26" s="536">
        <f>IFERROR(IF('Invullen groen'!H38&gt;0,'Invullen groen'!G38,""),"")</f>
        <v/>
      </c>
      <c r="D26" s="537">
        <f>IFERROR(IF('Invullen groen'!H38&gt;0,'Invullen groen'!H38,""),"")</f>
        <v/>
      </c>
      <c r="E26" s="508" t="n"/>
      <c r="F26" s="536">
        <f>IFERROR(IF('Invullen groen'!H98&lt;&gt;0,'Invullen groen'!A98,""),"")</f>
        <v/>
      </c>
      <c r="G26" s="536">
        <f>IFERROR(IF('Invullen groen'!H98&lt;&gt;0,'Invullen groen'!G98,""),"")</f>
        <v/>
      </c>
      <c r="H26" s="537">
        <f>IFERROR(IF('Invullen groen'!H98&lt;&gt;0,'Invullen groen'!H98,""),"")</f>
        <v/>
      </c>
    </row>
    <row r="27" ht="15" customHeight="1">
      <c r="A27" s="534">
        <f>IFERROR(IF('Invullen groen'!H39&gt;0,22,""),"")</f>
        <v/>
      </c>
      <c r="B27" s="534">
        <f>IFERROR(IF('Invullen groen'!H39&gt;0,'Invullen groen'!A39,""),"")</f>
        <v/>
      </c>
      <c r="C27" s="534">
        <f>IFERROR(IF('Invullen groen'!H39&gt;0,'Invullen groen'!G39,""),"")</f>
        <v/>
      </c>
      <c r="D27" s="535">
        <f>IFERROR(IF('Invullen groen'!H39&gt;0,'Invullen groen'!H39,""),"")</f>
        <v/>
      </c>
      <c r="E27" s="526" t="n"/>
      <c r="F27" s="534">
        <f>IFERROR(IF('Invullen groen'!H99&lt;&gt;0,'Invullen groen'!A99,""),"")</f>
        <v/>
      </c>
      <c r="G27" s="534">
        <f>IFERROR(IF('Invullen groen'!H99&lt;&gt;0,'Invullen groen'!G99,""),"")</f>
        <v/>
      </c>
      <c r="H27" s="535">
        <f>IFERROR(IF('Invullen groen'!H99&lt;&gt;0,'Invullen groen'!H99,""),"")</f>
        <v/>
      </c>
    </row>
    <row r="28" ht="15" customHeight="1">
      <c r="A28" s="536">
        <f>IFERROR(IF('Invullen groen'!H40&gt;0,23,""),"")</f>
        <v/>
      </c>
      <c r="B28" s="536">
        <f>IFERROR(IF('Invullen groen'!H40&gt;0,'Invullen groen'!A40,""),"")</f>
        <v/>
      </c>
      <c r="C28" s="536">
        <f>IFERROR(IF('Invullen groen'!H40&gt;0,'Invullen groen'!G40,""),"")</f>
        <v/>
      </c>
      <c r="D28" s="537">
        <f>IFERROR(IF('Invullen groen'!H40&gt;0,'Invullen groen'!H40,""),"")</f>
        <v/>
      </c>
      <c r="E28" s="508" t="n"/>
      <c r="F28" s="536">
        <f>IFERROR(IF('Invullen groen'!H100&lt;&gt;0,'Invullen groen'!A100,""),"")</f>
        <v/>
      </c>
      <c r="G28" s="536">
        <f>IFERROR(IF('Invullen groen'!H100&lt;&gt;0,'Invullen groen'!G100,""),"")</f>
        <v/>
      </c>
      <c r="H28" s="537">
        <f>IFERROR(IF('Invullen groen'!H100&lt;&gt;0,'Invullen groen'!H100,""),"")</f>
        <v/>
      </c>
    </row>
    <row r="29" ht="15" customHeight="1">
      <c r="A29" s="534">
        <f>IFERROR(IF('Invullen groen'!H41&gt;0,24,""),"")</f>
        <v/>
      </c>
      <c r="B29" s="534">
        <f>IFERROR(IF('Invullen groen'!H41&gt;0,'Invullen groen'!A41,""),"")</f>
        <v/>
      </c>
      <c r="C29" s="534">
        <f>IFERROR(IF('Invullen groen'!H41&gt;0,'Invullen groen'!G41,""),"")</f>
        <v/>
      </c>
      <c r="D29" s="535">
        <f>IFERROR(IF('Invullen groen'!H41&gt;0,'Invullen groen'!H41,""),"")</f>
        <v/>
      </c>
      <c r="E29" s="526" t="n"/>
      <c r="F29" s="534">
        <f>IFERROR(IF('Invullen groen'!H101&lt;&gt;0,'Invullen groen'!A101,""),"")</f>
        <v/>
      </c>
      <c r="G29" s="534">
        <f>IFERROR(IF('Invullen groen'!H101&lt;&gt;0,'Invullen groen'!G101,""),"")</f>
        <v/>
      </c>
      <c r="H29" s="535">
        <f>IFERROR(IF('Invullen groen'!H101&lt;&gt;0,'Invullen groen'!H101,""),"")</f>
        <v/>
      </c>
    </row>
    <row r="30" ht="15" customHeight="1">
      <c r="A30" s="536">
        <f>IFERROR(IF('Invullen groen'!H42&gt;0,25,""),"")</f>
        <v/>
      </c>
      <c r="B30" s="536">
        <f>IFERROR(IF('Invullen groen'!H42&gt;0,'Invullen groen'!A42,""),"")</f>
        <v/>
      </c>
      <c r="C30" s="536">
        <f>IFERROR(IF('Invullen groen'!H42&gt;0,'Invullen groen'!G42,""),"")</f>
        <v/>
      </c>
      <c r="D30" s="537">
        <f>IFERROR(IF('Invullen groen'!H42&gt;0,'Invullen groen'!H42,""),"")</f>
        <v/>
      </c>
      <c r="E30" s="508" t="n"/>
      <c r="F30" s="536">
        <f>IFERROR(IF('Invullen groen'!H102&lt;&gt;0,'Invullen groen'!A102,""),"")</f>
        <v/>
      </c>
      <c r="G30" s="536">
        <f>IFERROR(IF('Invullen groen'!H102&lt;&gt;0,'Invullen groen'!G102,""),"")</f>
        <v/>
      </c>
      <c r="H30" s="537">
        <f>IFERROR(IF('Invullen groen'!H102&lt;&gt;0,'Invullen groen'!H102,""),"")</f>
        <v/>
      </c>
    </row>
    <row r="31" ht="15" customHeight="1">
      <c r="A31" s="534">
        <f>IFERROR(IF('Invullen groen'!H43&gt;0,26,""),"")</f>
        <v/>
      </c>
      <c r="B31" s="534">
        <f>IFERROR(IF('Invullen groen'!H43&gt;0,'Invullen groen'!A43,""),"")</f>
        <v/>
      </c>
      <c r="C31" s="534">
        <f>IFERROR(IF('Invullen groen'!H43&gt;0,'Invullen groen'!G43,""),"")</f>
        <v/>
      </c>
      <c r="D31" s="535">
        <f>IFERROR(IF('Invullen groen'!H43&gt;0,'Invullen groen'!H43,""),"")</f>
        <v/>
      </c>
      <c r="E31" s="526" t="n"/>
      <c r="F31" s="534">
        <f>IFERROR(IF('Invullen groen'!H103&lt;&gt;0,'Invullen groen'!A103,""),"")</f>
        <v/>
      </c>
      <c r="G31" s="534">
        <f>IFERROR(IF('Invullen groen'!H103&lt;&gt;0,'Invullen groen'!G103,""),"")</f>
        <v/>
      </c>
      <c r="H31" s="535">
        <f>IFERROR(IF('Invullen groen'!H103&lt;&gt;0,'Invullen groen'!H103,""),"")</f>
        <v/>
      </c>
    </row>
    <row r="32" ht="15" customHeight="1">
      <c r="A32" s="536">
        <f>IFERROR(IF('Invullen groen'!H44&gt;0,27,""),"")</f>
        <v/>
      </c>
      <c r="B32" s="536">
        <f>IFERROR(IF('Invullen groen'!H44&gt;0,'Invullen groen'!A44,""),"")</f>
        <v/>
      </c>
      <c r="C32" s="536">
        <f>IFERROR(IF('Invullen groen'!H44&gt;0,'Invullen groen'!G44,""),"")</f>
        <v/>
      </c>
      <c r="D32" s="537">
        <f>IFERROR(IF('Invullen groen'!H44&gt;0,'Invullen groen'!H44,""),"")</f>
        <v/>
      </c>
      <c r="E32" s="508" t="n"/>
      <c r="F32" s="536">
        <f>IFERROR(IF('Invullen groen'!H104&lt;&gt;0,'Invullen groen'!A104,""),"")</f>
        <v/>
      </c>
      <c r="G32" s="536">
        <f>IFERROR(IF('Invullen groen'!H104&lt;&gt;0,'Invullen groen'!G104,""),"")</f>
        <v/>
      </c>
      <c r="H32" s="537">
        <f>IFERROR(IF('Invullen groen'!H104&lt;&gt;0,'Invullen groen'!H104,""),"")</f>
        <v/>
      </c>
    </row>
    <row r="33" ht="15" customHeight="1">
      <c r="A33" s="534">
        <f>IFERROR(IF('Invullen groen'!H45&gt;0,28,""),"")</f>
        <v/>
      </c>
      <c r="B33" s="534">
        <f>IFERROR(IF('Invullen groen'!H45&gt;0,'Invullen groen'!A45,""),"")</f>
        <v/>
      </c>
      <c r="C33" s="534">
        <f>IFERROR(IF('Invullen groen'!H45&gt;0,'Invullen groen'!G45,""),"")</f>
        <v/>
      </c>
      <c r="D33" s="535">
        <f>IFERROR(IF('Invullen groen'!H45&gt;0,'Invullen groen'!H45,""),"")</f>
        <v/>
      </c>
      <c r="E33" s="526" t="n"/>
      <c r="F33" s="534">
        <f>IFERROR(IF('Invullen groen'!H105&lt;&gt;0,'Invullen groen'!A105,""),"")</f>
        <v/>
      </c>
      <c r="G33" s="534">
        <f>IFERROR(IF('Invullen groen'!H105&lt;&gt;0,'Invullen groen'!G105,""),"")</f>
        <v/>
      </c>
      <c r="H33" s="535">
        <f>IFERROR(IF('Invullen groen'!H105&lt;&gt;0,'Invullen groen'!H105,""),"")</f>
        <v/>
      </c>
    </row>
    <row r="34" ht="15" customHeight="1">
      <c r="A34" s="536">
        <f>IFERROR(IF('Invullen groen'!H46&gt;0,29,""),"")</f>
        <v/>
      </c>
      <c r="B34" s="536">
        <f>IFERROR(IF('Invullen groen'!H46&gt;0,'Invullen groen'!A46,""),"")</f>
        <v/>
      </c>
      <c r="C34" s="536">
        <f>IFERROR(IF('Invullen groen'!H46&gt;0,'Invullen groen'!G46,""),"")</f>
        <v/>
      </c>
      <c r="D34" s="537">
        <f>IFERROR(IF('Invullen groen'!H46&gt;0,'Invullen groen'!H46,""),"")</f>
        <v/>
      </c>
      <c r="E34" s="508" t="n"/>
      <c r="F34" s="536">
        <f>IFERROR(IF('Invullen groen'!H106&lt;&gt;0,'Invullen groen'!A106,""),"")</f>
        <v/>
      </c>
      <c r="G34" s="536">
        <f>IFERROR(IF('Invullen groen'!H106&lt;&gt;0,'Invullen groen'!G106,""),"")</f>
        <v/>
      </c>
      <c r="H34" s="537">
        <f>IFERROR(IF('Invullen groen'!H106&lt;&gt;0,'Invullen groen'!H106,""),"")</f>
        <v/>
      </c>
    </row>
    <row r="35" ht="15" customHeight="1">
      <c r="A35" s="534">
        <f>IFERROR(IF('Invullen groen'!H47&gt;0,30,""),"")</f>
        <v/>
      </c>
      <c r="B35" s="534">
        <f>IFERROR(IF('Invullen groen'!H47&gt;0,'Invullen groen'!A47,""),"")</f>
        <v/>
      </c>
      <c r="C35" s="534">
        <f>IFERROR(IF('Invullen groen'!H47&gt;0,'Invullen groen'!G47,""),"")</f>
        <v/>
      </c>
      <c r="D35" s="535">
        <f>IFERROR(IF('Invullen groen'!H47&gt;0,'Invullen groen'!H47,""),"")</f>
        <v/>
      </c>
      <c r="E35" s="526" t="n"/>
      <c r="F35" s="534">
        <f>IFERROR(IF('Invullen groen'!H107&lt;&gt;0,'Invullen groen'!A107,""),"")</f>
        <v/>
      </c>
      <c r="G35" s="534">
        <f>IFERROR(IF('Invullen groen'!H107&lt;&gt;0,'Invullen groen'!G107,""),"")</f>
        <v/>
      </c>
      <c r="H35" s="535">
        <f>IFERROR(IF('Invullen groen'!H107&lt;&gt;0,'Invullen groen'!H107,""),"")</f>
        <v/>
      </c>
    </row>
    <row r="36" ht="15" customHeight="1">
      <c r="A36" s="536">
        <f>IFERROR(IF('Invullen groen'!H48&gt;0,31,""),"")</f>
        <v/>
      </c>
      <c r="B36" s="536">
        <f>IFERROR(IF('Invullen groen'!H48&gt;0,'Invullen groen'!A48,""),"")</f>
        <v/>
      </c>
      <c r="C36" s="536">
        <f>IFERROR(IF('Invullen groen'!H48&gt;0,'Invullen groen'!G48,""),"")</f>
        <v/>
      </c>
      <c r="D36" s="537">
        <f>IFERROR(IF('Invullen groen'!H48&gt;0,'Invullen groen'!H48,""),"")</f>
        <v/>
      </c>
      <c r="E36" s="508" t="n"/>
      <c r="F36" s="536">
        <f>IFERROR(IF('Invullen groen'!H108&lt;&gt;0,'Invullen groen'!A108,""),"")</f>
        <v/>
      </c>
      <c r="G36" s="536">
        <f>IFERROR(IF('Invullen groen'!H108&lt;&gt;0,'Invullen groen'!G108,""),"")</f>
        <v/>
      </c>
      <c r="H36" s="537">
        <f>IFERROR(IF('Invullen groen'!H108&lt;&gt;0,'Invullen groen'!H108,""),"")</f>
        <v/>
      </c>
    </row>
    <row r="37" ht="15" customHeight="1">
      <c r="A37" s="534">
        <f>IFERROR(IF('Invullen groen'!H49&gt;0,32,""),"")</f>
        <v/>
      </c>
      <c r="B37" s="534">
        <f>IFERROR(IF('Invullen groen'!H49&gt;0,'Invullen groen'!A49,""),"")</f>
        <v/>
      </c>
      <c r="C37" s="534">
        <f>IFERROR(IF('Invullen groen'!H49&gt;0,'Invullen groen'!G49,""),"")</f>
        <v/>
      </c>
      <c r="D37" s="535">
        <f>IFERROR(IF('Invullen groen'!H49&gt;0,'Invullen groen'!H49,""),"")</f>
        <v/>
      </c>
      <c r="E37" s="526" t="n"/>
      <c r="F37" s="534">
        <f>IFERROR(IF('Invullen groen'!H109&lt;&gt;0,'Invullen groen'!A109,""),"")</f>
        <v/>
      </c>
      <c r="G37" s="534">
        <f>IFERROR(IF('Invullen groen'!H109&lt;&gt;0,'Invullen groen'!G109,""),"")</f>
        <v/>
      </c>
      <c r="H37" s="535">
        <f>IFERROR(IF('Invullen groen'!H109&lt;&gt;0,'Invullen groen'!H109,""),"")</f>
        <v/>
      </c>
    </row>
    <row r="38" ht="15" customHeight="1">
      <c r="A38" s="536">
        <f>IFERROR(IF('Invullen groen'!H50&gt;0,33,""),"")</f>
        <v/>
      </c>
      <c r="B38" s="536">
        <f>IFERROR(IF('Invullen groen'!H50&gt;0,'Invullen groen'!A50,""),"")</f>
        <v/>
      </c>
      <c r="C38" s="536">
        <f>IFERROR(IF('Invullen groen'!H50&gt;0,'Invullen groen'!G50,""),"")</f>
        <v/>
      </c>
      <c r="D38" s="537">
        <f>IFERROR(IF('Invullen groen'!H50&gt;0,'Invullen groen'!H50,""),"")</f>
        <v/>
      </c>
      <c r="E38" s="508" t="n"/>
      <c r="F38" s="536" t="n"/>
      <c r="G38" s="536" t="n"/>
      <c r="H38" s="537" t="n"/>
    </row>
    <row r="39" ht="15" customHeight="1">
      <c r="A39" s="534">
        <f>IFERROR(IF('Invullen groen'!H51&gt;0,34,""),"")</f>
        <v/>
      </c>
      <c r="B39" s="534">
        <f>IFERROR(IF('Invullen groen'!H51&gt;0,'Invullen groen'!A51,""),"")</f>
        <v/>
      </c>
      <c r="C39" s="534">
        <f>IFERROR(IF('Invullen groen'!H51&gt;0,'Invullen groen'!G51,""),"")</f>
        <v/>
      </c>
      <c r="D39" s="535">
        <f>IFERROR(IF('Invullen groen'!H51&gt;0,'Invullen groen'!H51,""),"")</f>
        <v/>
      </c>
      <c r="E39" s="526" t="n"/>
      <c r="F39" s="534" t="n"/>
      <c r="G39" s="534" t="n"/>
      <c r="H39" s="535" t="n"/>
    </row>
    <row r="40" ht="15" customHeight="1">
      <c r="A40" s="536">
        <f>IFERROR(IF('Invullen groen'!H52&gt;0,35,""),"")</f>
        <v/>
      </c>
      <c r="B40" s="536">
        <f>IFERROR(IF('Invullen groen'!H52&gt;0,'Invullen groen'!A52,""),"")</f>
        <v/>
      </c>
      <c r="C40" s="536">
        <f>IFERROR(IF('Invullen groen'!H52&gt;0,'Invullen groen'!G52,""),"")</f>
        <v/>
      </c>
      <c r="D40" s="537">
        <f>IFERROR(IF('Invullen groen'!H52&gt;0,'Invullen groen'!H52,""),"")</f>
        <v/>
      </c>
      <c r="E40" s="508" t="n"/>
      <c r="F40" s="536" t="n"/>
      <c r="G40" s="536" t="n"/>
      <c r="H40" s="537" t="n"/>
    </row>
    <row r="41" ht="15" customHeight="1">
      <c r="A41" s="534">
        <f>IFERROR(IF('Invullen groen'!H53&gt;0,36,""),"")</f>
        <v/>
      </c>
      <c r="B41" s="534">
        <f>IFERROR(IF('Invullen groen'!H53&gt;0,'Invullen groen'!A53,""),"")</f>
        <v/>
      </c>
      <c r="C41" s="534">
        <f>IFERROR(IF('Invullen groen'!H53&gt;0,'Invullen groen'!G53,""),"")</f>
        <v/>
      </c>
      <c r="D41" s="535">
        <f>IFERROR(IF('Invullen groen'!H53&gt;0,'Invullen groen'!H53,""),"")</f>
        <v/>
      </c>
      <c r="E41" s="526" t="n"/>
      <c r="F41" s="534" t="n"/>
      <c r="G41" s="534" t="n"/>
      <c r="H41" s="535" t="n"/>
    </row>
    <row r="42" ht="15" customHeight="1">
      <c r="A42" s="536">
        <f>IFERROR(IF('Invullen groen'!H54&gt;0,37,""),"")</f>
        <v/>
      </c>
      <c r="B42" s="536">
        <f>IFERROR(IF('Invullen groen'!H54&gt;0,'Invullen groen'!A54,""),"")</f>
        <v/>
      </c>
      <c r="C42" s="536">
        <f>IFERROR(IF('Invullen groen'!H54&gt;0,'Invullen groen'!G54,""),"")</f>
        <v/>
      </c>
      <c r="D42" s="537">
        <f>IFERROR(IF('Invullen groen'!H54&gt;0,'Invullen groen'!H54,""),"")</f>
        <v/>
      </c>
      <c r="E42" s="508" t="n"/>
      <c r="F42" s="536" t="n"/>
      <c r="G42" s="536" t="n"/>
      <c r="H42" s="537" t="n"/>
    </row>
    <row r="43" ht="15" customHeight="1">
      <c r="A43" s="534">
        <f>IFERROR(IF('Invullen groen'!H55&gt;0,38,""),"")</f>
        <v/>
      </c>
      <c r="B43" s="534">
        <f>IFERROR(IF('Invullen groen'!H55&gt;0,'Invullen groen'!A55,""),"")</f>
        <v/>
      </c>
      <c r="C43" s="534">
        <f>IFERROR(IF('Invullen groen'!H55&gt;0,'Invullen groen'!G55,""),"")</f>
        <v/>
      </c>
      <c r="D43" s="535">
        <f>IFERROR(IF('Invullen groen'!H55&gt;0,'Invullen groen'!H55,""),"")</f>
        <v/>
      </c>
      <c r="E43" s="526" t="n"/>
      <c r="F43" s="534" t="n"/>
      <c r="G43" s="534" t="n"/>
      <c r="H43" s="535" t="n"/>
    </row>
    <row r="44" ht="15" customHeight="1">
      <c r="A44" s="536">
        <f>IFERROR(IF('Invullen groen'!H56&gt;0,39,""),"")</f>
        <v/>
      </c>
      <c r="B44" s="536">
        <f>IFERROR(IF('Invullen groen'!H56&gt;0,'Invullen groen'!A56,""),"")</f>
        <v/>
      </c>
      <c r="C44" s="536">
        <f>IFERROR(IF('Invullen groen'!H56&gt;0,'Invullen groen'!G56,""),"")</f>
        <v/>
      </c>
      <c r="D44" s="537">
        <f>IFERROR(IF('Invullen groen'!H56&gt;0,'Invullen groen'!H56,""),"")</f>
        <v/>
      </c>
      <c r="E44" s="508" t="n"/>
      <c r="F44" s="536" t="n"/>
      <c r="G44" s="536" t="n"/>
      <c r="H44" s="537" t="n"/>
    </row>
    <row r="45" ht="15" customHeight="1">
      <c r="A45" s="534">
        <f>IFERROR(IF('Invullen groen'!H57&gt;0,40,""),"")</f>
        <v/>
      </c>
      <c r="B45" s="534">
        <f>IFERROR(IF('Invullen groen'!H57&gt;0,'Invullen groen'!A57,""),"")</f>
        <v/>
      </c>
      <c r="C45" s="534">
        <f>IFERROR(IF('Invullen groen'!H57&gt;0,'Invullen groen'!G57,""),"")</f>
        <v/>
      </c>
      <c r="D45" s="535">
        <f>IFERROR(IF('Invullen groen'!H57&gt;0,'Invullen groen'!H57,""),"")</f>
        <v/>
      </c>
      <c r="E45" s="526" t="n"/>
      <c r="F45" s="534" t="n"/>
      <c r="G45" s="534" t="n"/>
      <c r="H45" s="535" t="n"/>
    </row>
    <row r="46" ht="15" customHeight="1">
      <c r="A46" s="536">
        <f>IFERROR(IF('Invullen groen'!H58&gt;0,41,""),"")</f>
        <v/>
      </c>
      <c r="B46" s="536">
        <f>IFERROR(IF('Invullen groen'!H58&gt;0,'Invullen groen'!A58,""),"")</f>
        <v/>
      </c>
      <c r="C46" s="536">
        <f>IFERROR(IF('Invullen groen'!H58&gt;0,'Invullen groen'!G58,""),"")</f>
        <v/>
      </c>
      <c r="D46" s="537">
        <f>IFERROR(IF('Invullen groen'!H58&gt;0,'Invullen groen'!H58,""),"")</f>
        <v/>
      </c>
      <c r="E46" s="508" t="n"/>
      <c r="F46" s="536" t="n"/>
      <c r="G46" s="536" t="n"/>
      <c r="H46" s="537" t="n"/>
    </row>
    <row r="47" ht="15" customHeight="1">
      <c r="A47" s="534">
        <f>IFERROR(IF('Invullen groen'!H59&gt;0,42,""),"")</f>
        <v/>
      </c>
      <c r="B47" s="534">
        <f>IFERROR(IF('Invullen groen'!H59&gt;0,'Invullen groen'!A59,""),"")</f>
        <v/>
      </c>
      <c r="C47" s="534">
        <f>IFERROR(IF('Invullen groen'!H59&gt;0,'Invullen groen'!G59,""),"")</f>
        <v/>
      </c>
      <c r="D47" s="535">
        <f>IFERROR(IF('Invullen groen'!H59&gt;0,'Invullen groen'!H59,""),"")</f>
        <v/>
      </c>
      <c r="E47" s="526" t="n"/>
      <c r="F47" s="534" t="n"/>
      <c r="G47" s="534" t="n"/>
      <c r="H47" s="535" t="n"/>
    </row>
    <row r="48" ht="15" customHeight="1">
      <c r="A48" s="536">
        <f>IFERROR(IF('Invullen groen'!H60&gt;0,43,""),"")</f>
        <v/>
      </c>
      <c r="B48" s="536">
        <f>IFERROR(IF('Invullen groen'!H60&gt;0,'Invullen groen'!A60,""),"")</f>
        <v/>
      </c>
      <c r="C48" s="536">
        <f>IFERROR(IF('Invullen groen'!H60&gt;0,'Invullen groen'!G60,""),"")</f>
        <v/>
      </c>
      <c r="D48" s="537">
        <f>IFERROR(IF('Invullen groen'!H60&gt;0,'Invullen groen'!H60,""),"")</f>
        <v/>
      </c>
      <c r="E48" s="508" t="n"/>
      <c r="F48" s="536" t="n"/>
      <c r="G48" s="536" t="n"/>
      <c r="H48" s="537" t="n"/>
    </row>
    <row r="49" ht="15" customHeight="1">
      <c r="A49" s="534">
        <f>IFERROR(IF('Invullen groen'!H61&gt;0,44,""),"")</f>
        <v/>
      </c>
      <c r="B49" s="534">
        <f>IFERROR(IF('Invullen groen'!H61&gt;0,'Invullen groen'!A61,""),"")</f>
        <v/>
      </c>
      <c r="C49" s="534">
        <f>IFERROR(IF('Invullen groen'!H61&gt;0,'Invullen groen'!G61,""),"")</f>
        <v/>
      </c>
      <c r="D49" s="535">
        <f>IFERROR(IF('Invullen groen'!H61&gt;0,'Invullen groen'!H61,""),"")</f>
        <v/>
      </c>
      <c r="E49" s="526" t="n"/>
      <c r="F49" s="534" t="n"/>
      <c r="G49" s="534" t="n"/>
      <c r="H49" s="535" t="n"/>
    </row>
    <row r="50" ht="15" customHeight="1">
      <c r="A50" s="536">
        <f>IFERROR(IF('Invullen groen'!H62&gt;0,45,""),"")</f>
        <v/>
      </c>
      <c r="B50" s="536">
        <f>IFERROR(IF('Invullen groen'!H62&gt;0,'Invullen groen'!A62,""),"")</f>
        <v/>
      </c>
      <c r="C50" s="536">
        <f>IFERROR(IF('Invullen groen'!H62&gt;0,'Invullen groen'!G62,""),"")</f>
        <v/>
      </c>
      <c r="D50" s="537">
        <f>IFERROR(IF('Invullen groen'!H62&gt;0,'Invullen groen'!H62,""),"")</f>
        <v/>
      </c>
      <c r="E50" s="508" t="n"/>
      <c r="F50" s="536" t="n"/>
      <c r="G50" s="536" t="n"/>
      <c r="H50" s="537" t="n"/>
    </row>
    <row r="51" ht="15" customHeight="1">
      <c r="A51" s="534">
        <f>IFERROR(IF('Invullen groen'!H63&gt;0,46,""),"")</f>
        <v/>
      </c>
      <c r="B51" s="534">
        <f>IFERROR(IF('Invullen groen'!H63&gt;0,'Invullen groen'!A63,""),"")</f>
        <v/>
      </c>
      <c r="C51" s="534">
        <f>IFERROR(IF('Invullen groen'!H63&gt;0,'Invullen groen'!G63,""),"")</f>
        <v/>
      </c>
      <c r="D51" s="535">
        <f>IFERROR(IF('Invullen groen'!H63&gt;0,'Invullen groen'!H63,""),"")</f>
        <v/>
      </c>
      <c r="E51" s="526" t="n"/>
      <c r="F51" s="534" t="n"/>
      <c r="G51" s="534" t="n"/>
      <c r="H51" s="535" t="n"/>
    </row>
    <row r="52" ht="15" customHeight="1">
      <c r="A52" s="536">
        <f>IFERROR(IF('Invullen groen'!H64&gt;0,47,""),"")</f>
        <v/>
      </c>
      <c r="B52" s="536">
        <f>IFERROR(IF('Invullen groen'!H64&gt;0,'Invullen groen'!A64,""),"")</f>
        <v/>
      </c>
      <c r="C52" s="536">
        <f>IFERROR(IF('Invullen groen'!H64&gt;0,'Invullen groen'!G64,""),"")</f>
        <v/>
      </c>
      <c r="D52" s="537">
        <f>IFERROR(IF('Invullen groen'!H64&gt;0,'Invullen groen'!H64,""),"")</f>
        <v/>
      </c>
      <c r="E52" s="508" t="n"/>
      <c r="F52" s="536" t="n"/>
      <c r="G52" s="536" t="n"/>
      <c r="H52" s="537" t="n"/>
    </row>
    <row r="53" ht="15" customHeight="1">
      <c r="A53" s="534">
        <f>IFERROR(IF('Invullen groen'!H65&gt;0,48,""),"")</f>
        <v/>
      </c>
      <c r="B53" s="534">
        <f>IFERROR(IF('Invullen groen'!H65&gt;0,'Invullen groen'!A65,""),"")</f>
        <v/>
      </c>
      <c r="C53" s="534">
        <f>IFERROR(IF('Invullen groen'!H65&gt;0,'Invullen groen'!G65,""),"")</f>
        <v/>
      </c>
      <c r="D53" s="535">
        <f>IFERROR(IF('Invullen groen'!H65&gt;0,'Invullen groen'!H65,""),"")</f>
        <v/>
      </c>
      <c r="E53" s="526" t="n"/>
      <c r="F53" s="534" t="n"/>
      <c r="G53" s="534" t="n"/>
      <c r="H53" s="535" t="n"/>
    </row>
    <row r="54" ht="15" customHeight="1">
      <c r="A54" s="536">
        <f>IFERROR(IF('Invullen groen'!H66&gt;0,49,""),"")</f>
        <v/>
      </c>
      <c r="B54" s="536">
        <f>IFERROR(IF('Invullen groen'!H66&gt;0,'Invullen groen'!A66,""),"")</f>
        <v/>
      </c>
      <c r="C54" s="536">
        <f>IFERROR(IF('Invullen groen'!H66&gt;0,'Invullen groen'!G66,""),"")</f>
        <v/>
      </c>
      <c r="D54" s="537">
        <f>IFERROR(IF('Invullen groen'!H66&gt;0,'Invullen groen'!H66,""),"")</f>
        <v/>
      </c>
      <c r="E54" s="508" t="n"/>
      <c r="F54" s="536" t="n"/>
      <c r="G54" s="536" t="n"/>
      <c r="H54" s="537" t="n"/>
    </row>
    <row r="55" ht="15" customHeight="1">
      <c r="A55" s="534">
        <f>IFERROR(IF('Invullen groen'!H67&gt;0,50,""),"")</f>
        <v/>
      </c>
      <c r="B55" s="534">
        <f>IFERROR(IF('Invullen groen'!H67&gt;0,'Invullen groen'!A67,""),"")</f>
        <v/>
      </c>
      <c r="C55" s="534">
        <f>IFERROR(IF('Invullen groen'!H67&gt;0,'Invullen groen'!G67,""),"")</f>
        <v/>
      </c>
      <c r="D55" s="535">
        <f>IFERROR(IF('Invullen groen'!H67&gt;0,'Invullen groen'!H67,""),"")</f>
        <v/>
      </c>
      <c r="E55" s="526" t="n"/>
      <c r="F55" s="534" t="n"/>
      <c r="G55" s="534" t="n"/>
      <c r="H55" s="535" t="n"/>
    </row>
    <row r="56" ht="15" customHeight="1">
      <c r="A56" s="536">
        <f>IFERROR(IF('Invullen groen'!H68&gt;0,51,""),"")</f>
        <v/>
      </c>
      <c r="B56" s="536">
        <f>IFERROR(IF('Invullen groen'!H68&gt;0,'Invullen groen'!A68,""),"")</f>
        <v/>
      </c>
      <c r="C56" s="536">
        <f>IFERROR(IF('Invullen groen'!H68&gt;0,'Invullen groen'!G68,""),"")</f>
        <v/>
      </c>
      <c r="D56" s="537">
        <f>IFERROR(IF('Invullen groen'!H68&gt;0,'Invullen groen'!H68,""),"")</f>
        <v/>
      </c>
      <c r="E56" s="508" t="n"/>
      <c r="F56" s="536" t="n"/>
      <c r="G56" s="536" t="n"/>
      <c r="H56" s="537" t="n"/>
    </row>
    <row r="57" ht="15" customHeight="1">
      <c r="A57" s="534">
        <f>IFERROR(IF('Invullen groen'!H69&gt;0,52,""),"")</f>
        <v/>
      </c>
      <c r="B57" s="534">
        <f>IFERROR(IF('Invullen groen'!H69&gt;0,'Invullen groen'!A69,""),"")</f>
        <v/>
      </c>
      <c r="C57" s="534">
        <f>IFERROR(IF('Invullen groen'!H69&gt;0,'Invullen groen'!G69,""),"")</f>
        <v/>
      </c>
      <c r="D57" s="535">
        <f>IFERROR(IF('Invullen groen'!H69&gt;0,'Invullen groen'!H69,""),"")</f>
        <v/>
      </c>
      <c r="E57" s="526" t="n"/>
      <c r="F57" s="534" t="n"/>
      <c r="G57" s="534" t="n"/>
      <c r="H57" s="535" t="n"/>
    </row>
    <row r="58" ht="15" customHeight="1">
      <c r="A58" s="536">
        <f>IFERROR(IF('Invullen groen'!H70&gt;0,53,""),"")</f>
        <v/>
      </c>
      <c r="B58" s="536">
        <f>IFERROR(IF('Invullen groen'!H70&gt;0,'Invullen groen'!A70,""),"")</f>
        <v/>
      </c>
      <c r="C58" s="536">
        <f>IFERROR(IF('Invullen groen'!H70&gt;0,'Invullen groen'!G70,""),"")</f>
        <v/>
      </c>
      <c r="D58" s="537">
        <f>IFERROR(IF('Invullen groen'!H70&gt;0,'Invullen groen'!H70,""),"")</f>
        <v/>
      </c>
      <c r="E58" s="508" t="n"/>
      <c r="F58" s="536" t="n"/>
      <c r="G58" s="536" t="n"/>
      <c r="H58" s="537" t="n"/>
    </row>
    <row r="59" ht="15" customHeight="1">
      <c r="A59" s="534">
        <f>IFERROR(IF('Invullen groen'!H71&gt;0,54,""),"")</f>
        <v/>
      </c>
      <c r="B59" s="534">
        <f>IFERROR(IF('Invullen groen'!H71&gt;0,'Invullen groen'!A71,""),"")</f>
        <v/>
      </c>
      <c r="C59" s="534">
        <f>IFERROR(IF('Invullen groen'!H71&gt;0,'Invullen groen'!G71,""),"")</f>
        <v/>
      </c>
      <c r="D59" s="535">
        <f>IFERROR(IF('Invullen groen'!H71&gt;0,'Invullen groen'!H71,""),"")</f>
        <v/>
      </c>
      <c r="E59" s="526" t="n"/>
      <c r="F59" s="534" t="n"/>
      <c r="G59" s="534" t="n"/>
      <c r="H59" s="535" t="n"/>
    </row>
    <row r="60" ht="15" customHeight="1">
      <c r="A60" s="536">
        <f>IFERROR(IF('Invullen groen'!H72&gt;0,55,""),"")</f>
        <v/>
      </c>
      <c r="B60" s="536">
        <f>IFERROR(IF('Invullen groen'!H72&gt;0,'Invullen groen'!A72,""),"")</f>
        <v/>
      </c>
      <c r="C60" s="536">
        <f>IFERROR(IF('Invullen groen'!H72&gt;0,'Invullen groen'!G72,""),"")</f>
        <v/>
      </c>
      <c r="D60" s="537">
        <f>IFERROR(IF('Invullen groen'!H72&gt;0,'Invullen groen'!H72,""),"")</f>
        <v/>
      </c>
      <c r="E60" s="508" t="n"/>
      <c r="F60" s="536" t="n"/>
      <c r="G60" s="536" t="n"/>
      <c r="H60" s="537" t="n"/>
    </row>
    <row r="61" ht="15" customHeight="1">
      <c r="A61" s="534">
        <f>IFERROR(IF('Invullen groen'!H73&gt;0,56,""),"")</f>
        <v/>
      </c>
      <c r="B61" s="534">
        <f>IFERROR(IF('Invullen groen'!H73&gt;0,'Invullen groen'!A73,""),"")</f>
        <v/>
      </c>
      <c r="C61" s="534">
        <f>IFERROR(IF('Invullen groen'!H73&gt;0,'Invullen groen'!G73,""),"")</f>
        <v/>
      </c>
      <c r="D61" s="535">
        <f>IFERROR(IF('Invullen groen'!H73&gt;0,'Invullen groen'!H73,""),"")</f>
        <v/>
      </c>
      <c r="E61" s="526" t="n"/>
      <c r="F61" s="534" t="n"/>
      <c r="G61" s="534" t="n"/>
      <c r="H61" s="535" t="n"/>
    </row>
    <row r="62" ht="15" customHeight="1">
      <c r="A62" s="536">
        <f>IFERROR(IF('Invullen groen'!H74&gt;0,57,""),"")</f>
        <v/>
      </c>
      <c r="B62" s="536">
        <f>IFERROR(IF('Invullen groen'!H74&gt;0,'Invullen groen'!A74,""),"")</f>
        <v/>
      </c>
      <c r="C62" s="536">
        <f>IFERROR(IF('Invullen groen'!H74&gt;0,'Invullen groen'!G74,""),"")</f>
        <v/>
      </c>
      <c r="D62" s="537">
        <f>IFERROR(IF('Invullen groen'!H74&gt;0,'Invullen groen'!H74,""),"")</f>
        <v/>
      </c>
      <c r="E62" s="508" t="n"/>
      <c r="F62" s="536" t="n"/>
      <c r="G62" s="536" t="n"/>
      <c r="H62" s="537" t="n"/>
    </row>
    <row r="63" ht="14" customHeight="1">
      <c r="A63" s="287" t="n"/>
      <c r="B63" s="287" t="n"/>
      <c r="C63" s="287" t="n"/>
      <c r="D63" s="364" t="n"/>
      <c r="F63" s="287" t="n"/>
      <c r="G63" s="287" t="n"/>
      <c r="H63" s="364" t="n"/>
    </row>
    <row r="64" ht="18" customHeight="1">
      <c r="A64" s="547" t="inlineStr">
        <is>
          <t>Totaal lasten</t>
        </is>
      </c>
      <c r="B64" s="547" t="n"/>
      <c r="C64" s="547" t="n"/>
      <c r="D64" s="548">
        <f>SUM(D6:D62)</f>
        <v/>
      </c>
      <c r="E64" s="461" t="n"/>
      <c r="F64" s="547" t="inlineStr">
        <is>
          <t>Totaal dekking / baten</t>
        </is>
      </c>
      <c r="G64" s="547" t="n"/>
      <c r="H64" s="548">
        <f>SUM(H6:H62)</f>
        <v/>
      </c>
    </row>
    <row r="65" ht="18" customHeight="1">
      <c r="A65" s="549">
        <f>IF(D64+H64=0,"✓  Budgettair neutraal — saldo = 0","⚠  Niet gedekt — saldo: "&amp;TEXT(D64+H64,"#.##0"))</f>
        <v/>
      </c>
      <c r="B65" s="549" t="n"/>
      <c r="C65" s="549" t="n"/>
      <c r="D65" s="550" t="n"/>
      <c r="E65" s="551" t="n"/>
      <c r="F65" s="549" t="n"/>
      <c r="G65" s="549" t="n"/>
      <c r="H65" s="550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2026-06-26T11:37:33Z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