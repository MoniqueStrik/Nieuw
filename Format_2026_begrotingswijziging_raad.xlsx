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4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</fonts>
  <fills count="37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644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groen'!M4</f>
        <v/>
      </c>
      <c r="G1" s="484">
        <f>+'Invullen groen'!N4</f>
        <v/>
      </c>
      <c r="H1" s="484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groen'!M5</f>
        <v/>
      </c>
      <c r="G2" s="485">
        <f>+'Invullen groen'!N5</f>
        <v/>
      </c>
      <c r="H2" s="485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groen'!I13</f>
        <v/>
      </c>
      <c r="E16" s="487">
        <f>+'Invullen groen'!L13</f>
        <v/>
      </c>
      <c r="F16" s="487">
        <f>+'Invullen groen'!M13</f>
        <v/>
      </c>
      <c r="G16" s="487">
        <f>+'Invullen groen'!N13</f>
        <v/>
      </c>
      <c r="H16" s="487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groen'!I14</f>
        <v/>
      </c>
      <c r="E17" s="487">
        <f>+'Invullen groen'!L14</f>
        <v/>
      </c>
      <c r="F17" s="487">
        <f>+'Invullen groen'!M14</f>
        <v/>
      </c>
      <c r="G17" s="487">
        <f>+'Invullen groen'!N14</f>
        <v/>
      </c>
      <c r="H17" s="487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groen'!I16</f>
        <v/>
      </c>
      <c r="E19" s="489">
        <f>+'Invullen groen'!L16</f>
        <v/>
      </c>
      <c r="F19" s="489">
        <f>+'Invullen groen'!M16</f>
        <v/>
      </c>
      <c r="G19" s="489">
        <f>+'Invullen groen'!N16</f>
        <v/>
      </c>
      <c r="H19" s="489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491">
        <f>+'Invullen groen'!A17</f>
        <v/>
      </c>
      <c r="B20" s="491">
        <f>+'Invullen groen'!C17</f>
        <v/>
      </c>
      <c r="C20" s="492">
        <f>+'Invullen groen'!G17</f>
        <v/>
      </c>
      <c r="D20" s="491">
        <f>+'Invullen groen'!I17</f>
        <v/>
      </c>
      <c r="E20" s="493">
        <f>+'Invullen groen'!L17</f>
        <v/>
      </c>
      <c r="F20" s="493">
        <f>+'Invullen groen'!M17</f>
        <v/>
      </c>
      <c r="G20" s="493">
        <f>+'Invullen groen'!N17</f>
        <v/>
      </c>
      <c r="H20" s="493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494">
        <f>+'Invullen groen'!A18</f>
        <v/>
      </c>
      <c r="B21" s="494">
        <f>+'Invullen groen'!C18</f>
        <v/>
      </c>
      <c r="C21" s="495">
        <f>+'Invullen groen'!G18</f>
        <v/>
      </c>
      <c r="D21" s="494">
        <f>+'Invullen groen'!I18</f>
        <v/>
      </c>
      <c r="E21" s="496">
        <f>+'Invullen groen'!L18</f>
        <v/>
      </c>
      <c r="F21" s="496">
        <f>+'Invullen groen'!M18</f>
        <v/>
      </c>
      <c r="G21" s="496">
        <f>+'Invullen groen'!N18</f>
        <v/>
      </c>
      <c r="H21" s="496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491">
        <f>+'Invullen groen'!A19</f>
        <v/>
      </c>
      <c r="B22" s="491">
        <f>+'Invullen groen'!C19</f>
        <v/>
      </c>
      <c r="C22" s="492">
        <f>+'Invullen groen'!G19</f>
        <v/>
      </c>
      <c r="D22" s="491">
        <f>+'Invullen groen'!I19</f>
        <v/>
      </c>
      <c r="E22" s="493">
        <f>+'Invullen groen'!L19</f>
        <v/>
      </c>
      <c r="F22" s="493">
        <f>+'Invullen groen'!M19</f>
        <v/>
      </c>
      <c r="G22" s="493">
        <f>+'Invullen groen'!N19</f>
        <v/>
      </c>
      <c r="H22" s="493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494">
        <f>+'Invullen groen'!A20</f>
        <v/>
      </c>
      <c r="B23" s="494">
        <f>+'Invullen groen'!C20</f>
        <v/>
      </c>
      <c r="C23" s="495">
        <f>+'Invullen groen'!G20</f>
        <v/>
      </c>
      <c r="D23" s="494">
        <f>+'Invullen groen'!I20</f>
        <v/>
      </c>
      <c r="E23" s="496">
        <f>+'Invullen groen'!L20</f>
        <v/>
      </c>
      <c r="F23" s="496">
        <f>+'Invullen groen'!M20</f>
        <v/>
      </c>
      <c r="G23" s="496">
        <f>+'Invullen groen'!N20</f>
        <v/>
      </c>
      <c r="H23" s="496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491">
        <f>+'Invullen groen'!A21</f>
        <v/>
      </c>
      <c r="B24" s="491">
        <f>+'Invullen groen'!C21</f>
        <v/>
      </c>
      <c r="C24" s="492">
        <f>+'Invullen groen'!G21</f>
        <v/>
      </c>
      <c r="D24" s="491">
        <f>+'Invullen groen'!I21</f>
        <v/>
      </c>
      <c r="E24" s="493">
        <f>+'Invullen groen'!L21</f>
        <v/>
      </c>
      <c r="F24" s="493">
        <f>+'Invullen groen'!M21</f>
        <v/>
      </c>
      <c r="G24" s="493">
        <f>+'Invullen groen'!N21</f>
        <v/>
      </c>
      <c r="H24" s="493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494">
        <f>+'Invullen groen'!A22</f>
        <v/>
      </c>
      <c r="B25" s="494">
        <f>+'Invullen groen'!C22</f>
        <v/>
      </c>
      <c r="C25" s="495">
        <f>+'Invullen groen'!G22</f>
        <v/>
      </c>
      <c r="D25" s="494">
        <f>+'Invullen groen'!I22</f>
        <v/>
      </c>
      <c r="E25" s="496">
        <f>+'Invullen groen'!L22</f>
        <v/>
      </c>
      <c r="F25" s="496">
        <f>+'Invullen groen'!M22</f>
        <v/>
      </c>
      <c r="G25" s="496">
        <f>+'Invullen groen'!N22</f>
        <v/>
      </c>
      <c r="H25" s="496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491">
        <f>+'Invullen groen'!A23</f>
        <v/>
      </c>
      <c r="B26" s="491">
        <f>+'Invullen groen'!C23</f>
        <v/>
      </c>
      <c r="C26" s="492">
        <f>+'Invullen groen'!G23</f>
        <v/>
      </c>
      <c r="D26" s="491">
        <f>+'Invullen groen'!I23</f>
        <v/>
      </c>
      <c r="E26" s="493">
        <f>+'Invullen groen'!L23</f>
        <v/>
      </c>
      <c r="F26" s="493">
        <f>+'Invullen groen'!M23</f>
        <v/>
      </c>
      <c r="G26" s="493">
        <f>+'Invullen groen'!N23</f>
        <v/>
      </c>
      <c r="H26" s="493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494">
        <f>+'Invullen groen'!A24</f>
        <v/>
      </c>
      <c r="B27" s="494">
        <f>+'Invullen groen'!C24</f>
        <v/>
      </c>
      <c r="C27" s="495">
        <f>+'Invullen groen'!G24</f>
        <v/>
      </c>
      <c r="D27" s="494">
        <f>+'Invullen groen'!I24</f>
        <v/>
      </c>
      <c r="E27" s="496">
        <f>+'Invullen groen'!L24</f>
        <v/>
      </c>
      <c r="F27" s="496">
        <f>+'Invullen groen'!M24</f>
        <v/>
      </c>
      <c r="G27" s="496">
        <f>+'Invullen groen'!N24</f>
        <v/>
      </c>
      <c r="H27" s="496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491">
        <f>+'Invullen groen'!A25</f>
        <v/>
      </c>
      <c r="B28" s="491">
        <f>+'Invullen groen'!C25</f>
        <v/>
      </c>
      <c r="C28" s="492">
        <f>+'Invullen groen'!G25</f>
        <v/>
      </c>
      <c r="D28" s="491">
        <f>+'Invullen groen'!I25</f>
        <v/>
      </c>
      <c r="E28" s="493">
        <f>+'Invullen groen'!L25</f>
        <v/>
      </c>
      <c r="F28" s="493">
        <f>+'Invullen groen'!M25</f>
        <v/>
      </c>
      <c r="G28" s="493">
        <f>+'Invullen groen'!N25</f>
        <v/>
      </c>
      <c r="H28" s="493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494">
        <f>+'Invullen groen'!A26</f>
        <v/>
      </c>
      <c r="B29" s="494">
        <f>+'Invullen groen'!C26</f>
        <v/>
      </c>
      <c r="C29" s="495">
        <f>+'Invullen groen'!G26</f>
        <v/>
      </c>
      <c r="D29" s="494">
        <f>+'Invullen groen'!I26</f>
        <v/>
      </c>
      <c r="E29" s="496">
        <f>+'Invullen groen'!L26</f>
        <v/>
      </c>
      <c r="F29" s="496">
        <f>+'Invullen groen'!M26</f>
        <v/>
      </c>
      <c r="G29" s="496">
        <f>+'Invullen groen'!N26</f>
        <v/>
      </c>
      <c r="H29" s="496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491">
        <f>+'Invullen groen'!A27</f>
        <v/>
      </c>
      <c r="B30" s="491">
        <f>+'Invullen groen'!C27</f>
        <v/>
      </c>
      <c r="C30" s="492">
        <f>+'Invullen groen'!G27</f>
        <v/>
      </c>
      <c r="D30" s="491">
        <f>+'Invullen groen'!I27</f>
        <v/>
      </c>
      <c r="E30" s="493">
        <f>+'Invullen groen'!L27</f>
        <v/>
      </c>
      <c r="F30" s="493">
        <f>+'Invullen groen'!M27</f>
        <v/>
      </c>
      <c r="G30" s="493">
        <f>+'Invullen groen'!N27</f>
        <v/>
      </c>
      <c r="H30" s="493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494">
        <f>+'Invullen groen'!A28</f>
        <v/>
      </c>
      <c r="B31" s="494">
        <f>+'Invullen groen'!C28</f>
        <v/>
      </c>
      <c r="C31" s="495">
        <f>+'Invullen groen'!G28</f>
        <v/>
      </c>
      <c r="D31" s="494">
        <f>+'Invullen groen'!I28</f>
        <v/>
      </c>
      <c r="E31" s="496">
        <f>+'Invullen groen'!L28</f>
        <v/>
      </c>
      <c r="F31" s="496">
        <f>+'Invullen groen'!M28</f>
        <v/>
      </c>
      <c r="G31" s="496">
        <f>+'Invullen groen'!N28</f>
        <v/>
      </c>
      <c r="H31" s="496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491">
        <f>+'Invullen groen'!A29</f>
        <v/>
      </c>
      <c r="B32" s="491">
        <f>+'Invullen groen'!C29</f>
        <v/>
      </c>
      <c r="C32" s="492">
        <f>+'Invullen groen'!G29</f>
        <v/>
      </c>
      <c r="D32" s="491">
        <f>+'Invullen groen'!I29</f>
        <v/>
      </c>
      <c r="E32" s="493">
        <f>+'Invullen groen'!L29</f>
        <v/>
      </c>
      <c r="F32" s="493">
        <f>+'Invullen groen'!M29</f>
        <v/>
      </c>
      <c r="G32" s="493">
        <f>+'Invullen groen'!N29</f>
        <v/>
      </c>
      <c r="H32" s="493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494">
        <f>+'Invullen groen'!A30</f>
        <v/>
      </c>
      <c r="B33" s="494">
        <f>+'Invullen groen'!C30</f>
        <v/>
      </c>
      <c r="C33" s="495">
        <f>+'Invullen groen'!G30</f>
        <v/>
      </c>
      <c r="D33" s="494">
        <f>+'Invullen groen'!I30</f>
        <v/>
      </c>
      <c r="E33" s="496">
        <f>+'Invullen groen'!L30</f>
        <v/>
      </c>
      <c r="F33" s="496">
        <f>+'Invullen groen'!M30</f>
        <v/>
      </c>
      <c r="G33" s="496">
        <f>+'Invullen groen'!N30</f>
        <v/>
      </c>
      <c r="H33" s="496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491">
        <f>+'Invullen groen'!A31</f>
        <v/>
      </c>
      <c r="B34" s="491">
        <f>+'Invullen groen'!C31</f>
        <v/>
      </c>
      <c r="C34" s="492">
        <f>+'Invullen groen'!G31</f>
        <v/>
      </c>
      <c r="D34" s="491">
        <f>+'Invullen groen'!I31</f>
        <v/>
      </c>
      <c r="E34" s="493">
        <f>+'Invullen groen'!L31</f>
        <v/>
      </c>
      <c r="F34" s="493">
        <f>+'Invullen groen'!M31</f>
        <v/>
      </c>
      <c r="G34" s="493">
        <f>+'Invullen groen'!N31</f>
        <v/>
      </c>
      <c r="H34" s="493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494">
        <f>+'Invullen groen'!A32</f>
        <v/>
      </c>
      <c r="B35" s="494">
        <f>+'Invullen groen'!C32</f>
        <v/>
      </c>
      <c r="C35" s="495">
        <f>+'Invullen groen'!G32</f>
        <v/>
      </c>
      <c r="D35" s="494">
        <f>+'Invullen groen'!I32</f>
        <v/>
      </c>
      <c r="E35" s="496">
        <f>+'Invullen groen'!L32</f>
        <v/>
      </c>
      <c r="F35" s="496">
        <f>+'Invullen groen'!M32</f>
        <v/>
      </c>
      <c r="G35" s="496">
        <f>+'Invullen groen'!N32</f>
        <v/>
      </c>
      <c r="H35" s="496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491">
        <f>+'Invullen groen'!A33</f>
        <v/>
      </c>
      <c r="B36" s="491">
        <f>+'Invullen groen'!C33</f>
        <v/>
      </c>
      <c r="C36" s="492">
        <f>+'Invullen groen'!G33</f>
        <v/>
      </c>
      <c r="D36" s="491">
        <f>+'Invullen groen'!I33</f>
        <v/>
      </c>
      <c r="E36" s="493">
        <f>+'Invullen groen'!L33</f>
        <v/>
      </c>
      <c r="F36" s="493">
        <f>+'Invullen groen'!M33</f>
        <v/>
      </c>
      <c r="G36" s="493">
        <f>+'Invullen groen'!N33</f>
        <v/>
      </c>
      <c r="H36" s="493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494">
        <f>+'Invullen groen'!A34</f>
        <v/>
      </c>
      <c r="B37" s="494">
        <f>+'Invullen groen'!C34</f>
        <v/>
      </c>
      <c r="C37" s="495">
        <f>+'Invullen groen'!G34</f>
        <v/>
      </c>
      <c r="D37" s="494">
        <f>+'Invullen groen'!I34</f>
        <v/>
      </c>
      <c r="E37" s="496">
        <f>+'Invullen groen'!L34</f>
        <v/>
      </c>
      <c r="F37" s="496">
        <f>+'Invullen groen'!M34</f>
        <v/>
      </c>
      <c r="G37" s="496">
        <f>+'Invullen groen'!N34</f>
        <v/>
      </c>
      <c r="H37" s="496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491">
        <f>+'Invullen groen'!A35</f>
        <v/>
      </c>
      <c r="B38" s="491">
        <f>+'Invullen groen'!C35</f>
        <v/>
      </c>
      <c r="C38" s="492">
        <f>+'Invullen groen'!G35</f>
        <v/>
      </c>
      <c r="D38" s="491">
        <f>+'Invullen groen'!I35</f>
        <v/>
      </c>
      <c r="E38" s="493">
        <f>+'Invullen groen'!L35</f>
        <v/>
      </c>
      <c r="F38" s="493">
        <f>+'Invullen groen'!M35</f>
        <v/>
      </c>
      <c r="G38" s="493">
        <f>+'Invullen groen'!N35</f>
        <v/>
      </c>
      <c r="H38" s="493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494">
        <f>+'Invullen groen'!A36</f>
        <v/>
      </c>
      <c r="B39" s="494">
        <f>+'Invullen groen'!C36</f>
        <v/>
      </c>
      <c r="C39" s="495">
        <f>+'Invullen groen'!G36</f>
        <v/>
      </c>
      <c r="D39" s="494">
        <f>+'Invullen groen'!I36</f>
        <v/>
      </c>
      <c r="E39" s="496">
        <f>+'Invullen groen'!L36</f>
        <v/>
      </c>
      <c r="F39" s="496">
        <f>+'Invullen groen'!M36</f>
        <v/>
      </c>
      <c r="G39" s="496">
        <f>+'Invullen groen'!N36</f>
        <v/>
      </c>
      <c r="H39" s="496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491">
        <f>+'Invullen groen'!A37</f>
        <v/>
      </c>
      <c r="B40" s="491">
        <f>+'Invullen groen'!C37</f>
        <v/>
      </c>
      <c r="C40" s="492">
        <f>+'Invullen groen'!G37</f>
        <v/>
      </c>
      <c r="D40" s="491">
        <f>+'Invullen groen'!I37</f>
        <v/>
      </c>
      <c r="E40" s="493">
        <f>+'Invullen groen'!L37</f>
        <v/>
      </c>
      <c r="F40" s="493">
        <f>+'Invullen groen'!M37</f>
        <v/>
      </c>
      <c r="G40" s="493">
        <f>+'Invullen groen'!N37</f>
        <v/>
      </c>
      <c r="H40" s="493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494">
        <f>+'Invullen groen'!A38</f>
        <v/>
      </c>
      <c r="B41" s="494">
        <f>+'Invullen groen'!C38</f>
        <v/>
      </c>
      <c r="C41" s="495">
        <f>+'Invullen groen'!G38</f>
        <v/>
      </c>
      <c r="D41" s="494">
        <f>+'Invullen groen'!I38</f>
        <v/>
      </c>
      <c r="E41" s="496">
        <f>+'Invullen groen'!L38</f>
        <v/>
      </c>
      <c r="F41" s="496">
        <f>+'Invullen groen'!M38</f>
        <v/>
      </c>
      <c r="G41" s="496">
        <f>+'Invullen groen'!N38</f>
        <v/>
      </c>
      <c r="H41" s="496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491">
        <f>+'Invullen groen'!A39</f>
        <v/>
      </c>
      <c r="B42" s="491">
        <f>+'Invullen groen'!C39</f>
        <v/>
      </c>
      <c r="C42" s="492">
        <f>+'Invullen groen'!G39</f>
        <v/>
      </c>
      <c r="D42" s="491">
        <f>+'Invullen groen'!I39</f>
        <v/>
      </c>
      <c r="E42" s="493">
        <f>+'Invullen groen'!L39</f>
        <v/>
      </c>
      <c r="F42" s="493">
        <f>+'Invullen groen'!M39</f>
        <v/>
      </c>
      <c r="G42" s="493">
        <f>+'Invullen groen'!N39</f>
        <v/>
      </c>
      <c r="H42" s="493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494">
        <f>+'Invullen groen'!A40</f>
        <v/>
      </c>
      <c r="B43" s="494">
        <f>+'Invullen groen'!C40</f>
        <v/>
      </c>
      <c r="C43" s="495">
        <f>+'Invullen groen'!G40</f>
        <v/>
      </c>
      <c r="D43" s="494">
        <f>+'Invullen groen'!I40</f>
        <v/>
      </c>
      <c r="E43" s="496">
        <f>+'Invullen groen'!L40</f>
        <v/>
      </c>
      <c r="F43" s="496">
        <f>+'Invullen groen'!M40</f>
        <v/>
      </c>
      <c r="G43" s="496">
        <f>+'Invullen groen'!N40</f>
        <v/>
      </c>
      <c r="H43" s="496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491">
        <f>+'Invullen groen'!A41</f>
        <v/>
      </c>
      <c r="B44" s="491">
        <f>+'Invullen groen'!C41</f>
        <v/>
      </c>
      <c r="C44" s="492">
        <f>+'Invullen groen'!G41</f>
        <v/>
      </c>
      <c r="D44" s="491">
        <f>+'Invullen groen'!I41</f>
        <v/>
      </c>
      <c r="E44" s="493">
        <f>+'Invullen groen'!L41</f>
        <v/>
      </c>
      <c r="F44" s="493">
        <f>+'Invullen groen'!M41</f>
        <v/>
      </c>
      <c r="G44" s="493">
        <f>+'Invullen groen'!N41</f>
        <v/>
      </c>
      <c r="H44" s="493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494">
        <f>+'Invullen groen'!A42</f>
        <v/>
      </c>
      <c r="B45" s="494">
        <f>+'Invullen groen'!C42</f>
        <v/>
      </c>
      <c r="C45" s="495">
        <f>+'Invullen groen'!G42</f>
        <v/>
      </c>
      <c r="D45" s="494">
        <f>+'Invullen groen'!I42</f>
        <v/>
      </c>
      <c r="E45" s="496">
        <f>+'Invullen groen'!L42</f>
        <v/>
      </c>
      <c r="F45" s="496">
        <f>+'Invullen groen'!M42</f>
        <v/>
      </c>
      <c r="G45" s="496">
        <f>+'Invullen groen'!N42</f>
        <v/>
      </c>
      <c r="H45" s="496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491">
        <f>+'Invullen groen'!A43</f>
        <v/>
      </c>
      <c r="B46" s="491">
        <f>+'Invullen groen'!C43</f>
        <v/>
      </c>
      <c r="C46" s="492">
        <f>+'Invullen groen'!G43</f>
        <v/>
      </c>
      <c r="D46" s="491">
        <f>+'Invullen groen'!I43</f>
        <v/>
      </c>
      <c r="E46" s="493">
        <f>+'Invullen groen'!L43</f>
        <v/>
      </c>
      <c r="F46" s="493">
        <f>+'Invullen groen'!M43</f>
        <v/>
      </c>
      <c r="G46" s="493">
        <f>+'Invullen groen'!N43</f>
        <v/>
      </c>
      <c r="H46" s="493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494">
        <f>+'Invullen groen'!A44</f>
        <v/>
      </c>
      <c r="B47" s="494">
        <f>+'Invullen groen'!C44</f>
        <v/>
      </c>
      <c r="C47" s="495">
        <f>+'Invullen groen'!G44</f>
        <v/>
      </c>
      <c r="D47" s="494">
        <f>+'Invullen groen'!I44</f>
        <v/>
      </c>
      <c r="E47" s="496">
        <f>+'Invullen groen'!L44</f>
        <v/>
      </c>
      <c r="F47" s="496">
        <f>+'Invullen groen'!M44</f>
        <v/>
      </c>
      <c r="G47" s="496">
        <f>+'Invullen groen'!N44</f>
        <v/>
      </c>
      <c r="H47" s="496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491">
        <f>+'Invullen groen'!A45</f>
        <v/>
      </c>
      <c r="B48" s="491">
        <f>+'Invullen groen'!C45</f>
        <v/>
      </c>
      <c r="C48" s="492">
        <f>+'Invullen groen'!G45</f>
        <v/>
      </c>
      <c r="D48" s="491">
        <f>+'Invullen groen'!I45</f>
        <v/>
      </c>
      <c r="E48" s="493">
        <f>+'Invullen groen'!L45</f>
        <v/>
      </c>
      <c r="F48" s="493">
        <f>+'Invullen groen'!M45</f>
        <v/>
      </c>
      <c r="G48" s="493">
        <f>+'Invullen groen'!N45</f>
        <v/>
      </c>
      <c r="H48" s="493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494">
        <f>+'Invullen groen'!A46</f>
        <v/>
      </c>
      <c r="B49" s="494">
        <f>+'Invullen groen'!C46</f>
        <v/>
      </c>
      <c r="C49" s="495">
        <f>+'Invullen groen'!G46</f>
        <v/>
      </c>
      <c r="D49" s="494">
        <f>+'Invullen groen'!I46</f>
        <v/>
      </c>
      <c r="E49" s="496">
        <f>+'Invullen groen'!L46</f>
        <v/>
      </c>
      <c r="F49" s="496">
        <f>+'Invullen groen'!M46</f>
        <v/>
      </c>
      <c r="G49" s="496">
        <f>+'Invullen groen'!N46</f>
        <v/>
      </c>
      <c r="H49" s="496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491">
        <f>+'Invullen groen'!A47</f>
        <v/>
      </c>
      <c r="B50" s="491">
        <f>+'Invullen groen'!C47</f>
        <v/>
      </c>
      <c r="C50" s="492">
        <f>+'Invullen groen'!G47</f>
        <v/>
      </c>
      <c r="D50" s="491">
        <f>+'Invullen groen'!I47</f>
        <v/>
      </c>
      <c r="E50" s="493">
        <f>+'Invullen groen'!L47</f>
        <v/>
      </c>
      <c r="F50" s="493">
        <f>+'Invullen groen'!M47</f>
        <v/>
      </c>
      <c r="G50" s="493">
        <f>+'Invullen groen'!N47</f>
        <v/>
      </c>
      <c r="H50" s="493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494">
        <f>+'Invullen groen'!A48</f>
        <v/>
      </c>
      <c r="B51" s="494">
        <f>+'Invullen groen'!C48</f>
        <v/>
      </c>
      <c r="C51" s="495">
        <f>+'Invullen groen'!G48</f>
        <v/>
      </c>
      <c r="D51" s="494">
        <f>+'Invullen groen'!I48</f>
        <v/>
      </c>
      <c r="E51" s="496">
        <f>+'Invullen groen'!L48</f>
        <v/>
      </c>
      <c r="F51" s="496">
        <f>+'Invullen groen'!M48</f>
        <v/>
      </c>
      <c r="G51" s="496">
        <f>+'Invullen groen'!N48</f>
        <v/>
      </c>
      <c r="H51" s="496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491">
        <f>+'Invullen groen'!A49</f>
        <v/>
      </c>
      <c r="B52" s="491">
        <f>+'Invullen groen'!C49</f>
        <v/>
      </c>
      <c r="C52" s="492">
        <f>+'Invullen groen'!G49</f>
        <v/>
      </c>
      <c r="D52" s="491">
        <f>+'Invullen groen'!I49</f>
        <v/>
      </c>
      <c r="E52" s="493">
        <f>+'Invullen groen'!L49</f>
        <v/>
      </c>
      <c r="F52" s="493">
        <f>+'Invullen groen'!M49</f>
        <v/>
      </c>
      <c r="G52" s="493">
        <f>+'Invullen groen'!N49</f>
        <v/>
      </c>
      <c r="H52" s="493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494">
        <f>+'Invullen groen'!A50</f>
        <v/>
      </c>
      <c r="B53" s="494">
        <f>+'Invullen groen'!C50</f>
        <v/>
      </c>
      <c r="C53" s="495">
        <f>+'Invullen groen'!G50</f>
        <v/>
      </c>
      <c r="D53" s="494">
        <f>+'Invullen groen'!I50</f>
        <v/>
      </c>
      <c r="E53" s="496">
        <f>+'Invullen groen'!L50</f>
        <v/>
      </c>
      <c r="F53" s="496">
        <f>+'Invullen groen'!M50</f>
        <v/>
      </c>
      <c r="G53" s="496">
        <f>+'Invullen groen'!N50</f>
        <v/>
      </c>
      <c r="H53" s="496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491">
        <f>+'Invullen groen'!A51</f>
        <v/>
      </c>
      <c r="B54" s="491">
        <f>+'Invullen groen'!C51</f>
        <v/>
      </c>
      <c r="C54" s="492">
        <f>+'Invullen groen'!G51</f>
        <v/>
      </c>
      <c r="D54" s="491">
        <f>+'Invullen groen'!I51</f>
        <v/>
      </c>
      <c r="E54" s="493">
        <f>+'Invullen groen'!L51</f>
        <v/>
      </c>
      <c r="F54" s="493">
        <f>+'Invullen groen'!M51</f>
        <v/>
      </c>
      <c r="G54" s="493">
        <f>+'Invullen groen'!N51</f>
        <v/>
      </c>
      <c r="H54" s="493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494">
        <f>+'Invullen groen'!A52</f>
        <v/>
      </c>
      <c r="B55" s="494">
        <f>+'Invullen groen'!C52</f>
        <v/>
      </c>
      <c r="C55" s="495">
        <f>+'Invullen groen'!G52</f>
        <v/>
      </c>
      <c r="D55" s="494">
        <f>+'Invullen groen'!I52</f>
        <v/>
      </c>
      <c r="E55" s="496">
        <f>+'Invullen groen'!L52</f>
        <v/>
      </c>
      <c r="F55" s="496">
        <f>+'Invullen groen'!M52</f>
        <v/>
      </c>
      <c r="G55" s="496">
        <f>+'Invullen groen'!N52</f>
        <v/>
      </c>
      <c r="H55" s="496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491">
        <f>+'Invullen groen'!A53</f>
        <v/>
      </c>
      <c r="B56" s="491">
        <f>+'Invullen groen'!C53</f>
        <v/>
      </c>
      <c r="C56" s="492">
        <f>+'Invullen groen'!G53</f>
        <v/>
      </c>
      <c r="D56" s="491">
        <f>+'Invullen groen'!I53</f>
        <v/>
      </c>
      <c r="E56" s="493">
        <f>+'Invullen groen'!L53</f>
        <v/>
      </c>
      <c r="F56" s="493">
        <f>+'Invullen groen'!M53</f>
        <v/>
      </c>
      <c r="G56" s="493">
        <f>+'Invullen groen'!N53</f>
        <v/>
      </c>
      <c r="H56" s="493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494">
        <f>+'Invullen groen'!A54</f>
        <v/>
      </c>
      <c r="B57" s="494">
        <f>+'Invullen groen'!C54</f>
        <v/>
      </c>
      <c r="C57" s="495">
        <f>+'Invullen groen'!G54</f>
        <v/>
      </c>
      <c r="D57" s="494">
        <f>+'Invullen groen'!I54</f>
        <v/>
      </c>
      <c r="E57" s="496">
        <f>+'Invullen groen'!L54</f>
        <v/>
      </c>
      <c r="F57" s="496">
        <f>+'Invullen groen'!M54</f>
        <v/>
      </c>
      <c r="G57" s="496">
        <f>+'Invullen groen'!N54</f>
        <v/>
      </c>
      <c r="H57" s="496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491">
        <f>+'Invullen groen'!A55</f>
        <v/>
      </c>
      <c r="B58" s="491">
        <f>+'Invullen groen'!C55</f>
        <v/>
      </c>
      <c r="C58" s="492">
        <f>+'Invullen groen'!G55</f>
        <v/>
      </c>
      <c r="D58" s="491">
        <f>+'Invullen groen'!I55</f>
        <v/>
      </c>
      <c r="E58" s="493">
        <f>+'Invullen groen'!L55</f>
        <v/>
      </c>
      <c r="F58" s="493">
        <f>+'Invullen groen'!M55</f>
        <v/>
      </c>
      <c r="G58" s="493">
        <f>+'Invullen groen'!N55</f>
        <v/>
      </c>
      <c r="H58" s="493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494">
        <f>+'Invullen groen'!A56</f>
        <v/>
      </c>
      <c r="B59" s="494">
        <f>+'Invullen groen'!C56</f>
        <v/>
      </c>
      <c r="C59" s="495">
        <f>+'Invullen groen'!G56</f>
        <v/>
      </c>
      <c r="D59" s="494">
        <f>+'Invullen groen'!I56</f>
        <v/>
      </c>
      <c r="E59" s="496">
        <f>+'Invullen groen'!L56</f>
        <v/>
      </c>
      <c r="F59" s="496">
        <f>+'Invullen groen'!M56</f>
        <v/>
      </c>
      <c r="G59" s="496">
        <f>+'Invullen groen'!N56</f>
        <v/>
      </c>
      <c r="H59" s="496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491">
        <f>+'Invullen groen'!A57</f>
        <v/>
      </c>
      <c r="B60" s="491">
        <f>+'Invullen groen'!C57</f>
        <v/>
      </c>
      <c r="C60" s="492">
        <f>+'Invullen groen'!G57</f>
        <v/>
      </c>
      <c r="D60" s="491">
        <f>+'Invullen groen'!I57</f>
        <v/>
      </c>
      <c r="E60" s="493">
        <f>+'Invullen groen'!L57</f>
        <v/>
      </c>
      <c r="F60" s="493">
        <f>+'Invullen groen'!M57</f>
        <v/>
      </c>
      <c r="G60" s="493">
        <f>+'Invullen groen'!N57</f>
        <v/>
      </c>
      <c r="H60" s="493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494">
        <f>+'Invullen groen'!A58</f>
        <v/>
      </c>
      <c r="B61" s="494">
        <f>+'Invullen groen'!C58</f>
        <v/>
      </c>
      <c r="C61" s="495">
        <f>+'Invullen groen'!G58</f>
        <v/>
      </c>
      <c r="D61" s="494">
        <f>+'Invullen groen'!I58</f>
        <v/>
      </c>
      <c r="E61" s="496">
        <f>+'Invullen groen'!L58</f>
        <v/>
      </c>
      <c r="F61" s="496">
        <f>+'Invullen groen'!M58</f>
        <v/>
      </c>
      <c r="G61" s="496">
        <f>+'Invullen groen'!N58</f>
        <v/>
      </c>
      <c r="H61" s="496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491">
        <f>+'Invullen groen'!A59</f>
        <v/>
      </c>
      <c r="B62" s="491">
        <f>+'Invullen groen'!C59</f>
        <v/>
      </c>
      <c r="C62" s="492">
        <f>+'Invullen groen'!G59</f>
        <v/>
      </c>
      <c r="D62" s="491">
        <f>+'Invullen groen'!I59</f>
        <v/>
      </c>
      <c r="E62" s="493">
        <f>+'Invullen groen'!L59</f>
        <v/>
      </c>
      <c r="F62" s="493">
        <f>+'Invullen groen'!M59</f>
        <v/>
      </c>
      <c r="G62" s="493">
        <f>+'Invullen groen'!N59</f>
        <v/>
      </c>
      <c r="H62" s="493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494">
        <f>+'Invullen groen'!A60</f>
        <v/>
      </c>
      <c r="B63" s="494">
        <f>+'Invullen groen'!C60</f>
        <v/>
      </c>
      <c r="C63" s="495">
        <f>+'Invullen groen'!G60</f>
        <v/>
      </c>
      <c r="D63" s="494">
        <f>+'Invullen groen'!I60</f>
        <v/>
      </c>
      <c r="E63" s="496">
        <f>+'Invullen groen'!L60</f>
        <v/>
      </c>
      <c r="F63" s="496">
        <f>+'Invullen groen'!M60</f>
        <v/>
      </c>
      <c r="G63" s="496">
        <f>+'Invullen groen'!N60</f>
        <v/>
      </c>
      <c r="H63" s="496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491">
        <f>+'Invullen groen'!A61</f>
        <v/>
      </c>
      <c r="B64" s="491">
        <f>+'Invullen groen'!C61</f>
        <v/>
      </c>
      <c r="C64" s="492">
        <f>+'Invullen groen'!G61</f>
        <v/>
      </c>
      <c r="D64" s="491">
        <f>+'Invullen groen'!I61</f>
        <v/>
      </c>
      <c r="E64" s="493">
        <f>+'Invullen groen'!L61</f>
        <v/>
      </c>
      <c r="F64" s="493">
        <f>+'Invullen groen'!M61</f>
        <v/>
      </c>
      <c r="G64" s="493">
        <f>+'Invullen groen'!N61</f>
        <v/>
      </c>
      <c r="H64" s="493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494">
        <f>+'Invullen groen'!A62</f>
        <v/>
      </c>
      <c r="B65" s="494">
        <f>+'Invullen groen'!C62</f>
        <v/>
      </c>
      <c r="C65" s="495">
        <f>+'Invullen groen'!G62</f>
        <v/>
      </c>
      <c r="D65" s="494">
        <f>+'Invullen groen'!I62</f>
        <v/>
      </c>
      <c r="E65" s="496">
        <f>+'Invullen groen'!L62</f>
        <v/>
      </c>
      <c r="F65" s="496">
        <f>+'Invullen groen'!M62</f>
        <v/>
      </c>
      <c r="G65" s="496">
        <f>+'Invullen groen'!N62</f>
        <v/>
      </c>
      <c r="H65" s="496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491">
        <f>+'Invullen groen'!A63</f>
        <v/>
      </c>
      <c r="B66" s="491">
        <f>+'Invullen groen'!C63</f>
        <v/>
      </c>
      <c r="C66" s="492">
        <f>+'Invullen groen'!G63</f>
        <v/>
      </c>
      <c r="D66" s="491">
        <f>+'Invullen groen'!I63</f>
        <v/>
      </c>
      <c r="E66" s="493">
        <f>+'Invullen groen'!L63</f>
        <v/>
      </c>
      <c r="F66" s="493">
        <f>+'Invullen groen'!M63</f>
        <v/>
      </c>
      <c r="G66" s="493">
        <f>+'Invullen groen'!N63</f>
        <v/>
      </c>
      <c r="H66" s="493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494">
        <f>+'Invullen groen'!A64</f>
        <v/>
      </c>
      <c r="B67" s="494">
        <f>+'Invullen groen'!C64</f>
        <v/>
      </c>
      <c r="C67" s="495">
        <f>+'Invullen groen'!G64</f>
        <v/>
      </c>
      <c r="D67" s="494">
        <f>+'Invullen groen'!I64</f>
        <v/>
      </c>
      <c r="E67" s="496">
        <f>+'Invullen groen'!L64</f>
        <v/>
      </c>
      <c r="F67" s="496">
        <f>+'Invullen groen'!M64</f>
        <v/>
      </c>
      <c r="G67" s="496">
        <f>+'Invullen groen'!N64</f>
        <v/>
      </c>
      <c r="H67" s="496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491">
        <f>+'Invullen groen'!A65</f>
        <v/>
      </c>
      <c r="B68" s="491">
        <f>+'Invullen groen'!C65</f>
        <v/>
      </c>
      <c r="C68" s="492">
        <f>+'Invullen groen'!G65</f>
        <v/>
      </c>
      <c r="D68" s="491">
        <f>+'Invullen groen'!I65</f>
        <v/>
      </c>
      <c r="E68" s="493">
        <f>+'Invullen groen'!L65</f>
        <v/>
      </c>
      <c r="F68" s="493">
        <f>+'Invullen groen'!M65</f>
        <v/>
      </c>
      <c r="G68" s="493">
        <f>+'Invullen groen'!N65</f>
        <v/>
      </c>
      <c r="H68" s="493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494">
        <f>+'Invullen groen'!A66</f>
        <v/>
      </c>
      <c r="B69" s="494">
        <f>+'Invullen groen'!C66</f>
        <v/>
      </c>
      <c r="C69" s="495">
        <f>+'Invullen groen'!G66</f>
        <v/>
      </c>
      <c r="D69" s="494">
        <f>+'Invullen groen'!I66</f>
        <v/>
      </c>
      <c r="E69" s="496">
        <f>+'Invullen groen'!L66</f>
        <v/>
      </c>
      <c r="F69" s="496">
        <f>+'Invullen groen'!M66</f>
        <v/>
      </c>
      <c r="G69" s="496">
        <f>+'Invullen groen'!N66</f>
        <v/>
      </c>
      <c r="H69" s="496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491">
        <f>+'Invullen groen'!A67</f>
        <v/>
      </c>
      <c r="B70" s="491">
        <f>+'Invullen groen'!C67</f>
        <v/>
      </c>
      <c r="C70" s="492">
        <f>+'Invullen groen'!G67</f>
        <v/>
      </c>
      <c r="D70" s="491">
        <f>+'Invullen groen'!I67</f>
        <v/>
      </c>
      <c r="E70" s="493">
        <f>+'Invullen groen'!L67</f>
        <v/>
      </c>
      <c r="F70" s="493">
        <f>+'Invullen groen'!M67</f>
        <v/>
      </c>
      <c r="G70" s="493">
        <f>+'Invullen groen'!N67</f>
        <v/>
      </c>
      <c r="H70" s="493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494">
        <f>+'Invullen groen'!A68</f>
        <v/>
      </c>
      <c r="B71" s="494">
        <f>+'Invullen groen'!C68</f>
        <v/>
      </c>
      <c r="C71" s="495">
        <f>+'Invullen groen'!G68</f>
        <v/>
      </c>
      <c r="D71" s="494">
        <f>+'Invullen groen'!I68</f>
        <v/>
      </c>
      <c r="E71" s="496">
        <f>+'Invullen groen'!L68</f>
        <v/>
      </c>
      <c r="F71" s="496">
        <f>+'Invullen groen'!M68</f>
        <v/>
      </c>
      <c r="G71" s="496">
        <f>+'Invullen groen'!N68</f>
        <v/>
      </c>
      <c r="H71" s="496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491">
        <f>+'Invullen groen'!A69</f>
        <v/>
      </c>
      <c r="B72" s="491">
        <f>+'Invullen groen'!C69</f>
        <v/>
      </c>
      <c r="C72" s="492">
        <f>+'Invullen groen'!G69</f>
        <v/>
      </c>
      <c r="D72" s="491">
        <f>+'Invullen groen'!I69</f>
        <v/>
      </c>
      <c r="E72" s="493">
        <f>+'Invullen groen'!L69</f>
        <v/>
      </c>
      <c r="F72" s="493">
        <f>+'Invullen groen'!M69</f>
        <v/>
      </c>
      <c r="G72" s="493">
        <f>+'Invullen groen'!N69</f>
        <v/>
      </c>
      <c r="H72" s="493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494">
        <f>+'Invullen groen'!A70</f>
        <v/>
      </c>
      <c r="B73" s="494">
        <f>+'Invullen groen'!C70</f>
        <v/>
      </c>
      <c r="C73" s="495">
        <f>+'Invullen groen'!G70</f>
        <v/>
      </c>
      <c r="D73" s="494">
        <f>+'Invullen groen'!I70</f>
        <v/>
      </c>
      <c r="E73" s="496">
        <f>+'Invullen groen'!L70</f>
        <v/>
      </c>
      <c r="F73" s="496">
        <f>+'Invullen groen'!M70</f>
        <v/>
      </c>
      <c r="G73" s="496">
        <f>+'Invullen groen'!N70</f>
        <v/>
      </c>
      <c r="H73" s="496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491">
        <f>+'Invullen groen'!A71</f>
        <v/>
      </c>
      <c r="B74" s="491">
        <f>+'Invullen groen'!C71</f>
        <v/>
      </c>
      <c r="C74" s="492">
        <f>+'Invullen groen'!G71</f>
        <v/>
      </c>
      <c r="D74" s="491">
        <f>+'Invullen groen'!I71</f>
        <v/>
      </c>
      <c r="E74" s="493">
        <f>+'Invullen groen'!L71</f>
        <v/>
      </c>
      <c r="F74" s="493">
        <f>+'Invullen groen'!M71</f>
        <v/>
      </c>
      <c r="G74" s="493">
        <f>+'Invullen groen'!N71</f>
        <v/>
      </c>
      <c r="H74" s="493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494">
        <f>+'Invullen groen'!A72</f>
        <v/>
      </c>
      <c r="B75" s="494">
        <f>+'Invullen groen'!C72</f>
        <v/>
      </c>
      <c r="C75" s="495">
        <f>+'Invullen groen'!G72</f>
        <v/>
      </c>
      <c r="D75" s="494">
        <f>+'Invullen groen'!I72</f>
        <v/>
      </c>
      <c r="E75" s="496">
        <f>+'Invullen groen'!L72</f>
        <v/>
      </c>
      <c r="F75" s="496">
        <f>+'Invullen groen'!M72</f>
        <v/>
      </c>
      <c r="G75" s="496">
        <f>+'Invullen groen'!N72</f>
        <v/>
      </c>
      <c r="H75" s="496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491">
        <f>+'Invullen groen'!A73</f>
        <v/>
      </c>
      <c r="B76" s="491">
        <f>+'Invullen groen'!C73</f>
        <v/>
      </c>
      <c r="C76" s="492">
        <f>+'Invullen groen'!G73</f>
        <v/>
      </c>
      <c r="D76" s="491">
        <f>+'Invullen groen'!I73</f>
        <v/>
      </c>
      <c r="E76" s="493">
        <f>+'Invullen groen'!L73</f>
        <v/>
      </c>
      <c r="F76" s="493">
        <f>+'Invullen groen'!M73</f>
        <v/>
      </c>
      <c r="G76" s="493">
        <f>+'Invullen groen'!N73</f>
        <v/>
      </c>
      <c r="H76" s="493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494">
        <f>+'Invullen groen'!A74</f>
        <v/>
      </c>
      <c r="B77" s="494">
        <f>+'Invullen groen'!C74</f>
        <v/>
      </c>
      <c r="C77" s="495">
        <f>+'Invullen groen'!G74</f>
        <v/>
      </c>
      <c r="D77" s="494">
        <f>+'Invullen groen'!I74</f>
        <v/>
      </c>
      <c r="E77" s="497">
        <f>+'Invullen groen'!L74</f>
        <v/>
      </c>
      <c r="F77" s="497">
        <f>+'Invullen groen'!M74</f>
        <v/>
      </c>
      <c r="G77" s="497">
        <f>+'Invullen groen'!N74</f>
        <v/>
      </c>
      <c r="H77" s="497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groen'!I75</f>
        <v/>
      </c>
      <c r="E78" s="500">
        <f>+'Invullen groen'!L75</f>
        <v/>
      </c>
      <c r="F78" s="500">
        <f>+'Invullen groen'!M75</f>
        <v/>
      </c>
      <c r="G78" s="500">
        <f>+'Invullen groen'!N75</f>
        <v/>
      </c>
      <c r="H78" s="500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494">
        <f>+'Invullen groen'!A76</f>
        <v/>
      </c>
      <c r="B79" s="494">
        <f>+'Invullen groen'!C76</f>
        <v/>
      </c>
      <c r="C79" s="495">
        <f>+'Invullen groen'!G76</f>
        <v/>
      </c>
      <c r="D79" s="494">
        <f>+'Invullen groen'!I76</f>
        <v/>
      </c>
      <c r="E79" s="496">
        <f>+'Invullen groen'!L76</f>
        <v/>
      </c>
      <c r="F79" s="496">
        <f>+'Invullen groen'!M76</f>
        <v/>
      </c>
      <c r="G79" s="496">
        <f>+'Invullen groen'!N76</f>
        <v/>
      </c>
      <c r="H79" s="496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groen'!I77</f>
        <v/>
      </c>
      <c r="E80" s="502">
        <f>+'Invullen groen'!L77</f>
        <v/>
      </c>
      <c r="F80" s="502">
        <f>+'Invullen groen'!M77</f>
        <v/>
      </c>
      <c r="G80" s="502">
        <f>+'Invullen groen'!N77</f>
        <v/>
      </c>
      <c r="H80" s="50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494">
        <f>+'Invullen groen'!A78</f>
        <v/>
      </c>
      <c r="B81" s="494">
        <f>+'Invullen groen'!C78</f>
        <v/>
      </c>
      <c r="C81" s="495">
        <f>+'Invullen groen'!G78</f>
        <v/>
      </c>
      <c r="D81" s="494">
        <f>+'Invullen groen'!I78</f>
        <v/>
      </c>
      <c r="E81" s="496">
        <f>+'Invullen groen'!L78</f>
        <v/>
      </c>
      <c r="F81" s="496">
        <f>+'Invullen groen'!M78</f>
        <v/>
      </c>
      <c r="G81" s="496">
        <f>+'Invullen groen'!N78</f>
        <v/>
      </c>
      <c r="H81" s="496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491">
        <f>+'Invullen groen'!A79</f>
        <v/>
      </c>
      <c r="B82" s="491">
        <f>+'Invullen groen'!C79</f>
        <v/>
      </c>
      <c r="C82" s="492">
        <f>+'Invullen groen'!G79</f>
        <v/>
      </c>
      <c r="D82" s="491">
        <f>+'Invullen groen'!I79</f>
        <v/>
      </c>
      <c r="E82" s="493">
        <f>+'Invullen groen'!L79</f>
        <v/>
      </c>
      <c r="F82" s="493">
        <f>+'Invullen groen'!M79</f>
        <v/>
      </c>
      <c r="G82" s="493">
        <f>+'Invullen groen'!N79</f>
        <v/>
      </c>
      <c r="H82" s="493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494">
        <f>+'Invullen groen'!A80</f>
        <v/>
      </c>
      <c r="B83" s="494">
        <f>+'Invullen groen'!C80</f>
        <v/>
      </c>
      <c r="C83" s="495">
        <f>+'Invullen groen'!G80</f>
        <v/>
      </c>
      <c r="D83" s="494">
        <f>+'Invullen groen'!I80</f>
        <v/>
      </c>
      <c r="E83" s="496">
        <f>+'Invullen groen'!L80</f>
        <v/>
      </c>
      <c r="F83" s="496">
        <f>+'Invullen groen'!M80</f>
        <v/>
      </c>
      <c r="G83" s="496">
        <f>+'Invullen groen'!N80</f>
        <v/>
      </c>
      <c r="H83" s="496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491">
        <f>+'Invullen groen'!A81</f>
        <v/>
      </c>
      <c r="B84" s="491">
        <f>+'Invullen groen'!C81</f>
        <v/>
      </c>
      <c r="C84" s="492">
        <f>+'Invullen groen'!G81</f>
        <v/>
      </c>
      <c r="D84" s="491">
        <f>+'Invullen groen'!I81</f>
        <v/>
      </c>
      <c r="E84" s="493">
        <f>+'Invullen groen'!L81</f>
        <v/>
      </c>
      <c r="F84" s="493">
        <f>+'Invullen groen'!M81</f>
        <v/>
      </c>
      <c r="G84" s="493">
        <f>+'Invullen groen'!N81</f>
        <v/>
      </c>
      <c r="H84" s="493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494">
        <f>+'Invullen groen'!A82</f>
        <v/>
      </c>
      <c r="B85" s="494">
        <f>+'Invullen groen'!C82</f>
        <v/>
      </c>
      <c r="C85" s="495">
        <f>+'Invullen groen'!G82</f>
        <v/>
      </c>
      <c r="D85" s="494">
        <f>+'Invullen groen'!I82</f>
        <v/>
      </c>
      <c r="E85" s="496">
        <f>+'Invullen groen'!L82</f>
        <v/>
      </c>
      <c r="F85" s="496">
        <f>+'Invullen groen'!M82</f>
        <v/>
      </c>
      <c r="G85" s="496">
        <f>+'Invullen groen'!N82</f>
        <v/>
      </c>
      <c r="H85" s="496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491">
        <f>+'Invullen groen'!A83</f>
        <v/>
      </c>
      <c r="B86" s="491">
        <f>+'Invullen groen'!C83</f>
        <v/>
      </c>
      <c r="C86" s="492">
        <f>+'Invullen groen'!G83</f>
        <v/>
      </c>
      <c r="D86" s="491">
        <f>+'Invullen groen'!I83</f>
        <v/>
      </c>
      <c r="E86" s="493">
        <f>+'Invullen groen'!L83</f>
        <v/>
      </c>
      <c r="F86" s="493">
        <f>+'Invullen groen'!M83</f>
        <v/>
      </c>
      <c r="G86" s="493">
        <f>+'Invullen groen'!N83</f>
        <v/>
      </c>
      <c r="H86" s="493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494">
        <f>+'Invullen groen'!A84</f>
        <v/>
      </c>
      <c r="B87" s="494">
        <f>+'Invullen groen'!C84</f>
        <v/>
      </c>
      <c r="C87" s="495">
        <f>+'Invullen groen'!G84</f>
        <v/>
      </c>
      <c r="D87" s="494">
        <f>+'Invullen groen'!I84</f>
        <v/>
      </c>
      <c r="E87" s="496">
        <f>+'Invullen groen'!L84</f>
        <v/>
      </c>
      <c r="F87" s="496">
        <f>+'Invullen groen'!M84</f>
        <v/>
      </c>
      <c r="G87" s="496">
        <f>+'Invullen groen'!N84</f>
        <v/>
      </c>
      <c r="H87" s="496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491">
        <f>+'Invullen groen'!A85</f>
        <v/>
      </c>
      <c r="B88" s="491">
        <f>+'Invullen groen'!C85</f>
        <v/>
      </c>
      <c r="C88" s="492">
        <f>+'Invullen groen'!G85</f>
        <v/>
      </c>
      <c r="D88" s="491">
        <f>+'Invullen groen'!I85</f>
        <v/>
      </c>
      <c r="E88" s="493">
        <f>+'Invullen groen'!L85</f>
        <v/>
      </c>
      <c r="F88" s="493">
        <f>+'Invullen groen'!M85</f>
        <v/>
      </c>
      <c r="G88" s="493">
        <f>+'Invullen groen'!N85</f>
        <v/>
      </c>
      <c r="H88" s="493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494">
        <f>+'Invullen groen'!A86</f>
        <v/>
      </c>
      <c r="B89" s="494">
        <f>+'Invullen groen'!C86</f>
        <v/>
      </c>
      <c r="C89" s="495">
        <f>+'Invullen groen'!G86</f>
        <v/>
      </c>
      <c r="D89" s="494">
        <f>+'Invullen groen'!I86</f>
        <v/>
      </c>
      <c r="E89" s="496">
        <f>+'Invullen groen'!L86</f>
        <v/>
      </c>
      <c r="F89" s="496">
        <f>+'Invullen groen'!M86</f>
        <v/>
      </c>
      <c r="G89" s="496">
        <f>+'Invullen groen'!N86</f>
        <v/>
      </c>
      <c r="H89" s="496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491">
        <f>+'Invullen groen'!A87</f>
        <v/>
      </c>
      <c r="B90" s="491">
        <f>+'Invullen groen'!C87</f>
        <v/>
      </c>
      <c r="C90" s="492">
        <f>+'Invullen groen'!G87</f>
        <v/>
      </c>
      <c r="D90" s="491">
        <f>+'Invullen groen'!I87</f>
        <v/>
      </c>
      <c r="E90" s="493">
        <f>+'Invullen groen'!L87</f>
        <v/>
      </c>
      <c r="F90" s="493">
        <f>+'Invullen groen'!M87</f>
        <v/>
      </c>
      <c r="G90" s="493">
        <f>+'Invullen groen'!N87</f>
        <v/>
      </c>
      <c r="H90" s="493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494">
        <f>+'Invullen groen'!A88</f>
        <v/>
      </c>
      <c r="B91" s="494">
        <f>+'Invullen groen'!C88</f>
        <v/>
      </c>
      <c r="C91" s="495">
        <f>+'Invullen groen'!G88</f>
        <v/>
      </c>
      <c r="D91" s="494">
        <f>+'Invullen groen'!I88</f>
        <v/>
      </c>
      <c r="E91" s="496">
        <f>+'Invullen groen'!L88</f>
        <v/>
      </c>
      <c r="F91" s="496">
        <f>+'Invullen groen'!M88</f>
        <v/>
      </c>
      <c r="G91" s="496">
        <f>+'Invullen groen'!N88</f>
        <v/>
      </c>
      <c r="H91" s="496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491">
        <f>+'Invullen groen'!A89</f>
        <v/>
      </c>
      <c r="B92" s="491">
        <f>+'Invullen groen'!C89</f>
        <v/>
      </c>
      <c r="C92" s="492">
        <f>+'Invullen groen'!G89</f>
        <v/>
      </c>
      <c r="D92" s="491">
        <f>+'Invullen groen'!I89</f>
        <v/>
      </c>
      <c r="E92" s="493">
        <f>+'Invullen groen'!L89</f>
        <v/>
      </c>
      <c r="F92" s="493">
        <f>+'Invullen groen'!M89</f>
        <v/>
      </c>
      <c r="G92" s="493">
        <f>+'Invullen groen'!N89</f>
        <v/>
      </c>
      <c r="H92" s="493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494">
        <f>+'Invullen groen'!A90</f>
        <v/>
      </c>
      <c r="B93" s="494">
        <f>+'Invullen groen'!C90</f>
        <v/>
      </c>
      <c r="C93" s="495">
        <f>+'Invullen groen'!G90</f>
        <v/>
      </c>
      <c r="D93" s="494">
        <f>+'Invullen groen'!I90</f>
        <v/>
      </c>
      <c r="E93" s="496">
        <f>+'Invullen groen'!L90</f>
        <v/>
      </c>
      <c r="F93" s="496">
        <f>+'Invullen groen'!M90</f>
        <v/>
      </c>
      <c r="G93" s="496">
        <f>+'Invullen groen'!N90</f>
        <v/>
      </c>
      <c r="H93" s="496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491">
        <f>+'Invullen groen'!A91</f>
        <v/>
      </c>
      <c r="B94" s="491">
        <f>+'Invullen groen'!C91</f>
        <v/>
      </c>
      <c r="C94" s="492">
        <f>+'Invullen groen'!G91</f>
        <v/>
      </c>
      <c r="D94" s="491">
        <f>+'Invullen groen'!I91</f>
        <v/>
      </c>
      <c r="E94" s="493">
        <f>+'Invullen groen'!L91</f>
        <v/>
      </c>
      <c r="F94" s="493">
        <f>+'Invullen groen'!M91</f>
        <v/>
      </c>
      <c r="G94" s="493">
        <f>+'Invullen groen'!N91</f>
        <v/>
      </c>
      <c r="H94" s="493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494">
        <f>+'Invullen groen'!A92</f>
        <v/>
      </c>
      <c r="B95" s="494">
        <f>+'Invullen groen'!C92</f>
        <v/>
      </c>
      <c r="C95" s="495">
        <f>+'Invullen groen'!G92</f>
        <v/>
      </c>
      <c r="D95" s="494">
        <f>+'Invullen groen'!I92</f>
        <v/>
      </c>
      <c r="E95" s="496">
        <f>+'Invullen groen'!L92</f>
        <v/>
      </c>
      <c r="F95" s="496">
        <f>+'Invullen groen'!M92</f>
        <v/>
      </c>
      <c r="G95" s="496">
        <f>+'Invullen groen'!N92</f>
        <v/>
      </c>
      <c r="H95" s="496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491">
        <f>+'Invullen groen'!A93</f>
        <v/>
      </c>
      <c r="B96" s="491">
        <f>+'Invullen groen'!C93</f>
        <v/>
      </c>
      <c r="C96" s="492">
        <f>+'Invullen groen'!G93</f>
        <v/>
      </c>
      <c r="D96" s="491">
        <f>+'Invullen groen'!I93</f>
        <v/>
      </c>
      <c r="E96" s="493">
        <f>+'Invullen groen'!L93</f>
        <v/>
      </c>
      <c r="F96" s="493">
        <f>+'Invullen groen'!M93</f>
        <v/>
      </c>
      <c r="G96" s="493">
        <f>+'Invullen groen'!N93</f>
        <v/>
      </c>
      <c r="H96" s="493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494">
        <f>+'Invullen groen'!A94</f>
        <v/>
      </c>
      <c r="B97" s="494">
        <f>+'Invullen groen'!C94</f>
        <v/>
      </c>
      <c r="C97" s="495">
        <f>+'Invullen groen'!G94</f>
        <v/>
      </c>
      <c r="D97" s="494">
        <f>+'Invullen groen'!I94</f>
        <v/>
      </c>
      <c r="E97" s="496">
        <f>+'Invullen groen'!L94</f>
        <v/>
      </c>
      <c r="F97" s="496">
        <f>+'Invullen groen'!M94</f>
        <v/>
      </c>
      <c r="G97" s="496">
        <f>+'Invullen groen'!N94</f>
        <v/>
      </c>
      <c r="H97" s="496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491">
        <f>+'Invullen groen'!A95</f>
        <v/>
      </c>
      <c r="B98" s="491">
        <f>+'Invullen groen'!C95</f>
        <v/>
      </c>
      <c r="C98" s="492">
        <f>+'Invullen groen'!G95</f>
        <v/>
      </c>
      <c r="D98" s="491">
        <f>+'Invullen groen'!I95</f>
        <v/>
      </c>
      <c r="E98" s="493">
        <f>+'Invullen groen'!L95</f>
        <v/>
      </c>
      <c r="F98" s="493">
        <f>+'Invullen groen'!M95</f>
        <v/>
      </c>
      <c r="G98" s="493">
        <f>+'Invullen groen'!N95</f>
        <v/>
      </c>
      <c r="H98" s="493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494">
        <f>+'Invullen groen'!A96</f>
        <v/>
      </c>
      <c r="B99" s="494">
        <f>+'Invullen groen'!C96</f>
        <v/>
      </c>
      <c r="C99" s="495">
        <f>+'Invullen groen'!G96</f>
        <v/>
      </c>
      <c r="D99" s="494">
        <f>+'Invullen groen'!I96</f>
        <v/>
      </c>
      <c r="E99" s="496">
        <f>+'Invullen groen'!L96</f>
        <v/>
      </c>
      <c r="F99" s="496">
        <f>+'Invullen groen'!M96</f>
        <v/>
      </c>
      <c r="G99" s="496">
        <f>+'Invullen groen'!N96</f>
        <v/>
      </c>
      <c r="H99" s="496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491">
        <f>+'Invullen groen'!A97</f>
        <v/>
      </c>
      <c r="B100" s="491">
        <f>+'Invullen groen'!C97</f>
        <v/>
      </c>
      <c r="C100" s="492">
        <f>+'Invullen groen'!G97</f>
        <v/>
      </c>
      <c r="D100" s="491">
        <f>+'Invullen groen'!I97</f>
        <v/>
      </c>
      <c r="E100" s="493">
        <f>+'Invullen groen'!L97</f>
        <v/>
      </c>
      <c r="F100" s="493">
        <f>+'Invullen groen'!M97</f>
        <v/>
      </c>
      <c r="G100" s="493">
        <f>+'Invullen groen'!N97</f>
        <v/>
      </c>
      <c r="H100" s="493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494">
        <f>+'Invullen groen'!A98</f>
        <v/>
      </c>
      <c r="B101" s="494">
        <f>+'Invullen groen'!C98</f>
        <v/>
      </c>
      <c r="C101" s="495">
        <f>+'Invullen groen'!G98</f>
        <v/>
      </c>
      <c r="D101" s="494">
        <f>+'Invullen groen'!I98</f>
        <v/>
      </c>
      <c r="E101" s="496">
        <f>+'Invullen groen'!L98</f>
        <v/>
      </c>
      <c r="F101" s="496">
        <f>+'Invullen groen'!M98</f>
        <v/>
      </c>
      <c r="G101" s="496">
        <f>+'Invullen groen'!N98</f>
        <v/>
      </c>
      <c r="H101" s="496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491">
        <f>+'Invullen groen'!A99</f>
        <v/>
      </c>
      <c r="B102" s="491">
        <f>+'Invullen groen'!C99</f>
        <v/>
      </c>
      <c r="C102" s="492">
        <f>+'Invullen groen'!G99</f>
        <v/>
      </c>
      <c r="D102" s="491">
        <f>+'Invullen groen'!I99</f>
        <v/>
      </c>
      <c r="E102" s="493">
        <f>+'Invullen groen'!L99</f>
        <v/>
      </c>
      <c r="F102" s="493">
        <f>+'Invullen groen'!M99</f>
        <v/>
      </c>
      <c r="G102" s="493">
        <f>+'Invullen groen'!N99</f>
        <v/>
      </c>
      <c r="H102" s="493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494">
        <f>+'Invullen groen'!A100</f>
        <v/>
      </c>
      <c r="B103" s="494">
        <f>+'Invullen groen'!C100</f>
        <v/>
      </c>
      <c r="C103" s="495">
        <f>+'Invullen groen'!G100</f>
        <v/>
      </c>
      <c r="D103" s="494">
        <f>+'Invullen groen'!I100</f>
        <v/>
      </c>
      <c r="E103" s="496">
        <f>+'Invullen groen'!L100</f>
        <v/>
      </c>
      <c r="F103" s="496">
        <f>+'Invullen groen'!M100</f>
        <v/>
      </c>
      <c r="G103" s="496">
        <f>+'Invullen groen'!N100</f>
        <v/>
      </c>
      <c r="H103" s="496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491">
        <f>+'Invullen groen'!A101</f>
        <v/>
      </c>
      <c r="B104" s="491">
        <f>+'Invullen groen'!C101</f>
        <v/>
      </c>
      <c r="C104" s="492">
        <f>+'Invullen groen'!G101</f>
        <v/>
      </c>
      <c r="D104" s="491">
        <f>+'Invullen groen'!I101</f>
        <v/>
      </c>
      <c r="E104" s="493">
        <f>+'Invullen groen'!L101</f>
        <v/>
      </c>
      <c r="F104" s="493">
        <f>+'Invullen groen'!M101</f>
        <v/>
      </c>
      <c r="G104" s="493">
        <f>+'Invullen groen'!N101</f>
        <v/>
      </c>
      <c r="H104" s="493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494">
        <f>+'Invullen groen'!A102</f>
        <v/>
      </c>
      <c r="B105" s="494">
        <f>+'Invullen groen'!C102</f>
        <v/>
      </c>
      <c r="C105" s="495">
        <f>+'Invullen groen'!G102</f>
        <v/>
      </c>
      <c r="D105" s="494">
        <f>+'Invullen groen'!I102</f>
        <v/>
      </c>
      <c r="E105" s="496">
        <f>+'Invullen groen'!L102</f>
        <v/>
      </c>
      <c r="F105" s="496">
        <f>+'Invullen groen'!M102</f>
        <v/>
      </c>
      <c r="G105" s="496">
        <f>+'Invullen groen'!N102</f>
        <v/>
      </c>
      <c r="H105" s="496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491">
        <f>+'Invullen groen'!A103</f>
        <v/>
      </c>
      <c r="B106" s="491">
        <f>+'Invullen groen'!C103</f>
        <v/>
      </c>
      <c r="C106" s="492">
        <f>+'Invullen groen'!G103</f>
        <v/>
      </c>
      <c r="D106" s="491">
        <f>+'Invullen groen'!I103</f>
        <v/>
      </c>
      <c r="E106" s="493">
        <f>+'Invullen groen'!L103</f>
        <v/>
      </c>
      <c r="F106" s="493">
        <f>+'Invullen groen'!M103</f>
        <v/>
      </c>
      <c r="G106" s="493">
        <f>+'Invullen groen'!N103</f>
        <v/>
      </c>
      <c r="H106" s="493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494">
        <f>+'Invullen groen'!A104</f>
        <v/>
      </c>
      <c r="B107" s="494">
        <f>+'Invullen groen'!C104</f>
        <v/>
      </c>
      <c r="C107" s="495">
        <f>+'Invullen groen'!G104</f>
        <v/>
      </c>
      <c r="D107" s="494">
        <f>+'Invullen groen'!I104</f>
        <v/>
      </c>
      <c r="E107" s="496">
        <f>+'Invullen groen'!L104</f>
        <v/>
      </c>
      <c r="F107" s="496">
        <f>+'Invullen groen'!M104</f>
        <v/>
      </c>
      <c r="G107" s="496">
        <f>+'Invullen groen'!N104</f>
        <v/>
      </c>
      <c r="H107" s="496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491">
        <f>+'Invullen groen'!A105</f>
        <v/>
      </c>
      <c r="B108" s="491">
        <f>+'Invullen groen'!C105</f>
        <v/>
      </c>
      <c r="C108" s="492">
        <f>+'Invullen groen'!G105</f>
        <v/>
      </c>
      <c r="D108" s="491">
        <f>+'Invullen groen'!I105</f>
        <v/>
      </c>
      <c r="E108" s="493">
        <f>+'Invullen groen'!L105</f>
        <v/>
      </c>
      <c r="F108" s="493">
        <f>+'Invullen groen'!M105</f>
        <v/>
      </c>
      <c r="G108" s="493">
        <f>+'Invullen groen'!N105</f>
        <v/>
      </c>
      <c r="H108" s="493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494">
        <f>+'Invullen groen'!A106</f>
        <v/>
      </c>
      <c r="B109" s="494">
        <f>+'Invullen groen'!C106</f>
        <v/>
      </c>
      <c r="C109" s="495">
        <f>+'Invullen groen'!G106</f>
        <v/>
      </c>
      <c r="D109" s="494">
        <f>+'Invullen groen'!I106</f>
        <v/>
      </c>
      <c r="E109" s="496">
        <f>+'Invullen groen'!L106</f>
        <v/>
      </c>
      <c r="F109" s="496">
        <f>+'Invullen groen'!M106</f>
        <v/>
      </c>
      <c r="G109" s="496">
        <f>+'Invullen groen'!N106</f>
        <v/>
      </c>
      <c r="H109" s="496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491">
        <f>+'Invullen groen'!A107</f>
        <v/>
      </c>
      <c r="B110" s="491">
        <f>+'Invullen groen'!C107</f>
        <v/>
      </c>
      <c r="C110" s="492">
        <f>+'Invullen groen'!G107</f>
        <v/>
      </c>
      <c r="D110" s="491">
        <f>+'Invullen groen'!I107</f>
        <v/>
      </c>
      <c r="E110" s="493">
        <f>+'Invullen groen'!L107</f>
        <v/>
      </c>
      <c r="F110" s="493">
        <f>+'Invullen groen'!M107</f>
        <v/>
      </c>
      <c r="G110" s="493">
        <f>+'Invullen groen'!N107</f>
        <v/>
      </c>
      <c r="H110" s="493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494">
        <f>+'Invullen groen'!A108</f>
        <v/>
      </c>
      <c r="B111" s="494">
        <f>+'Invullen groen'!C108</f>
        <v/>
      </c>
      <c r="C111" s="495">
        <f>+'Invullen groen'!G108</f>
        <v/>
      </c>
      <c r="D111" s="494">
        <f>+'Invullen groen'!I108</f>
        <v/>
      </c>
      <c r="E111" s="496">
        <f>+'Invullen groen'!L108</f>
        <v/>
      </c>
      <c r="F111" s="496">
        <f>+'Invullen groen'!M108</f>
        <v/>
      </c>
      <c r="G111" s="496">
        <f>+'Invullen groen'!N108</f>
        <v/>
      </c>
      <c r="H111" s="496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491">
        <f>+'Invullen groen'!A109</f>
        <v/>
      </c>
      <c r="B112" s="491">
        <f>+'Invullen groen'!C109</f>
        <v/>
      </c>
      <c r="C112" s="492">
        <f>+'Invullen groen'!G109</f>
        <v/>
      </c>
      <c r="D112" s="491">
        <f>+'Invullen groen'!I109</f>
        <v/>
      </c>
      <c r="E112" s="503">
        <f>+'Invullen groen'!L109</f>
        <v/>
      </c>
      <c r="F112" s="503">
        <f>+'Invullen groen'!M109</f>
        <v/>
      </c>
      <c r="G112" s="503">
        <f>+'Invullen groen'!N109</f>
        <v/>
      </c>
      <c r="H112" s="503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groen'!I110</f>
        <v/>
      </c>
      <c r="E113" s="506">
        <f>+'Invullen groen'!L110</f>
        <v/>
      </c>
      <c r="F113" s="506">
        <f>+'Invullen groen'!M110</f>
        <v/>
      </c>
      <c r="G113" s="506">
        <f>+'Invullen groen'!N110</f>
        <v/>
      </c>
      <c r="H113" s="506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groen'!I114</f>
        <v/>
      </c>
      <c r="E114" s="509">
        <f>+'Invullen groen'!L112</f>
        <v/>
      </c>
      <c r="F114" s="510">
        <f>+'Invullen groen'!M114</f>
        <v/>
      </c>
      <c r="G114" s="510">
        <f>+'Invullen groen'!N114</f>
        <v/>
      </c>
      <c r="H114" s="510">
        <f>+'Invullen groen'!O114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groen'!I120</f>
        <v/>
      </c>
      <c r="E120" s="399">
        <f>+'Invullen groen'!L120</f>
        <v/>
      </c>
      <c r="F120" s="399">
        <f>+'Invullen groen'!M120</f>
        <v/>
      </c>
      <c r="G120" s="399">
        <f>+'Invullen groen'!N120</f>
        <v/>
      </c>
      <c r="H120" s="399">
        <f>+'Invullen groen'!O120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groen'!I170</f>
        <v/>
      </c>
      <c r="E170" s="405">
        <f>+'Invullen groen'!L170</f>
        <v/>
      </c>
      <c r="F170" s="405">
        <f>+'Invullen groen'!M170</f>
        <v/>
      </c>
      <c r="G170" s="405">
        <f>+'Invullen groen'!N170</f>
        <v/>
      </c>
      <c r="H170" s="405">
        <f>+'Invullen groen'!O170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groen'!L4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groen'!L4,FIND("/",'Invullen groen'!L4)-1)&amp;"-"&amp;RIGHT('Invullen groen'!L4,2),"")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groen'!H17&gt;0,'Invullen groen'!H17,""),"")</f>
        <v/>
      </c>
      <c r="C5" s="522">
        <f>IFERROR(IF('Invullen groen'!J17&gt;0,'Invullen groen'!J17,""),"")</f>
        <v/>
      </c>
      <c r="D5" s="522" t="n"/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groen'!L17=0,"",INT('Invullen groen'!L17)),"")</f>
        <v/>
      </c>
      <c r="G5" s="523">
        <f>IFERROR(IF('Invullen groen'!M17=0,"",INT('Invullen groen'!M17)),"")</f>
        <v/>
      </c>
      <c r="H5" s="523">
        <f>IFERROR(IF('Invullen groen'!N17=0,"",INT('Invullen groen'!N17)),"")</f>
        <v/>
      </c>
      <c r="I5" s="523">
        <f>IFERROR(IF('Invullen groen'!O17=0,"",INT('Invullen groen'!O17)),"")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groen'!H18&gt;0,'Invullen groen'!H18,""),"")</f>
        <v/>
      </c>
      <c r="C6" s="524">
        <f>IFERROR(IF('Invullen groen'!J18&gt;0,'Invullen groen'!J18,""),"")</f>
        <v/>
      </c>
      <c r="D6" s="524" t="n"/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groen'!L18=0,"",INT('Invullen groen'!L18)),"")</f>
        <v/>
      </c>
      <c r="G6" s="525">
        <f>IFERROR(IF('Invullen groen'!M18=0,"",INT('Invullen groen'!M18)),"")</f>
        <v/>
      </c>
      <c r="H6" s="525">
        <f>IFERROR(IF('Invullen groen'!N18=0,"",INT('Invullen groen'!N18)),"")</f>
        <v/>
      </c>
      <c r="I6" s="525">
        <f>IFERROR(IF('Invullen groen'!O18=0,"",INT('Invullen groen'!O18)),"")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groen'!H19&gt;0,'Invullen groen'!H19,""),"")</f>
        <v/>
      </c>
      <c r="C7" s="522">
        <f>IFERROR(IF('Invullen groen'!J19&gt;0,'Invullen groen'!J19,""),"")</f>
        <v/>
      </c>
      <c r="D7" s="522" t="n"/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groen'!L19=0,"",INT('Invullen groen'!L19)),"")</f>
        <v/>
      </c>
      <c r="G7" s="523">
        <f>IFERROR(IF('Invullen groen'!M19=0,"",INT('Invullen groen'!M19)),"")</f>
        <v/>
      </c>
      <c r="H7" s="523">
        <f>IFERROR(IF('Invullen groen'!N19=0,"",INT('Invullen groen'!N19)),"")</f>
        <v/>
      </c>
      <c r="I7" s="523">
        <f>IFERROR(IF('Invullen groen'!O19=0,"",INT('Invullen groen'!O19)),"")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groen'!H20&gt;0,'Invullen groen'!H20,""),"")</f>
        <v/>
      </c>
      <c r="C8" s="524">
        <f>IFERROR(IF('Invullen groen'!J20&gt;0,'Invullen groen'!J20,""),"")</f>
        <v/>
      </c>
      <c r="D8" s="524" t="n"/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groen'!L20=0,"",INT('Invullen groen'!L20)),"")</f>
        <v/>
      </c>
      <c r="G8" s="525">
        <f>IFERROR(IF('Invullen groen'!M20=0,"",INT('Invullen groen'!M20)),"")</f>
        <v/>
      </c>
      <c r="H8" s="525">
        <f>IFERROR(IF('Invullen groen'!N20=0,"",INT('Invullen groen'!N20)),"")</f>
        <v/>
      </c>
      <c r="I8" s="525">
        <f>IFERROR(IF('Invullen groen'!O20=0,"",INT('Invullen groen'!O20)),"")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groen'!H21&gt;0,'Invullen groen'!H21,""),"")</f>
        <v/>
      </c>
      <c r="C9" s="522">
        <f>IFERROR(IF('Invullen groen'!J21&gt;0,'Invullen groen'!J21,""),"")</f>
        <v/>
      </c>
      <c r="D9" s="522" t="n"/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groen'!L21=0,"",INT('Invullen groen'!L21)),"")</f>
        <v/>
      </c>
      <c r="G9" s="523">
        <f>IFERROR(IF('Invullen groen'!M21=0,"",INT('Invullen groen'!M21)),"")</f>
        <v/>
      </c>
      <c r="H9" s="523">
        <f>IFERROR(IF('Invullen groen'!N21=0,"",INT('Invullen groen'!N21)),"")</f>
        <v/>
      </c>
      <c r="I9" s="523">
        <f>IFERROR(IF('Invullen groen'!O21=0,"",INT('Invullen groen'!O21)),"")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groen'!H22&gt;0,'Invullen groen'!H22,""),"")</f>
        <v/>
      </c>
      <c r="C10" s="524">
        <f>IFERROR(IF('Invullen groen'!J22&gt;0,'Invullen groen'!J22,""),"")</f>
        <v/>
      </c>
      <c r="D10" s="524" t="n"/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groen'!L22=0,"",INT('Invullen groen'!L22)),"")</f>
        <v/>
      </c>
      <c r="G10" s="525">
        <f>IFERROR(IF('Invullen groen'!M22=0,"",INT('Invullen groen'!M22)),"")</f>
        <v/>
      </c>
      <c r="H10" s="525">
        <f>IFERROR(IF('Invullen groen'!N22=0,"",INT('Invullen groen'!N22)),"")</f>
        <v/>
      </c>
      <c r="I10" s="525">
        <f>IFERROR(IF('Invullen groen'!O22=0,"",INT('Invullen groen'!O22)),"")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groen'!H23&gt;0,'Invullen groen'!H23,""),"")</f>
        <v/>
      </c>
      <c r="C11" s="522">
        <f>IFERROR(IF('Invullen groen'!J23&gt;0,'Invullen groen'!J23,""),"")</f>
        <v/>
      </c>
      <c r="D11" s="522" t="n"/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groen'!L23=0,"",INT('Invullen groen'!L23)),"")</f>
        <v/>
      </c>
      <c r="G11" s="523">
        <f>IFERROR(IF('Invullen groen'!M23=0,"",INT('Invullen groen'!M23)),"")</f>
        <v/>
      </c>
      <c r="H11" s="523">
        <f>IFERROR(IF('Invullen groen'!N23=0,"",INT('Invullen groen'!N23)),"")</f>
        <v/>
      </c>
      <c r="I11" s="523">
        <f>IFERROR(IF('Invullen groen'!O23=0,"",INT('Invullen groen'!O23)),"")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groen'!H24&gt;0,'Invullen groen'!H24,""),"")</f>
        <v/>
      </c>
      <c r="C12" s="524">
        <f>IFERROR(IF('Invullen groen'!J24&gt;0,'Invullen groen'!J24,""),"")</f>
        <v/>
      </c>
      <c r="D12" s="524" t="n"/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groen'!L24=0,"",INT('Invullen groen'!L24)),"")</f>
        <v/>
      </c>
      <c r="G12" s="525">
        <f>IFERROR(IF('Invullen groen'!M24=0,"",INT('Invullen groen'!M24)),"")</f>
        <v/>
      </c>
      <c r="H12" s="525">
        <f>IFERROR(IF('Invullen groen'!N24=0,"",INT('Invullen groen'!N24)),"")</f>
        <v/>
      </c>
      <c r="I12" s="525">
        <f>IFERROR(IF('Invullen groen'!O24=0,"",INT('Invullen groen'!O24)),"")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groen'!H25&gt;0,'Invullen groen'!H25,""),"")</f>
        <v/>
      </c>
      <c r="C13" s="522">
        <f>IFERROR(IF('Invullen groen'!J25&gt;0,'Invullen groen'!J25,""),"")</f>
        <v/>
      </c>
      <c r="D13" s="522" t="n"/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groen'!L25=0,"",INT('Invullen groen'!L25)),"")</f>
        <v/>
      </c>
      <c r="G13" s="523">
        <f>IFERROR(IF('Invullen groen'!M25=0,"",INT('Invullen groen'!M25)),"")</f>
        <v/>
      </c>
      <c r="H13" s="523">
        <f>IFERROR(IF('Invullen groen'!N25=0,"",INT('Invullen groen'!N25)),"")</f>
        <v/>
      </c>
      <c r="I13" s="523">
        <f>IFERROR(IF('Invullen groen'!O25=0,"",INT('Invullen groen'!O25)),"")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groen'!H26&gt;0,'Invullen groen'!H26,""),"")</f>
        <v/>
      </c>
      <c r="C14" s="524">
        <f>IFERROR(IF('Invullen groen'!J26&gt;0,'Invullen groen'!J26,""),"")</f>
        <v/>
      </c>
      <c r="D14" s="524" t="n"/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groen'!L26=0,"",INT('Invullen groen'!L26)),"")</f>
        <v/>
      </c>
      <c r="G14" s="525">
        <f>IFERROR(IF('Invullen groen'!M26=0,"",INT('Invullen groen'!M26)),"")</f>
        <v/>
      </c>
      <c r="H14" s="525">
        <f>IFERROR(IF('Invullen groen'!N26=0,"",INT('Invullen groen'!N26)),"")</f>
        <v/>
      </c>
      <c r="I14" s="525">
        <f>IFERROR(IF('Invullen groen'!O26=0,"",INT('Invullen groen'!O26)),"")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groen'!H27&gt;0,'Invullen groen'!H27,""),"")</f>
        <v/>
      </c>
      <c r="C15" s="522">
        <f>IFERROR(IF('Invullen groen'!J27&gt;0,'Invullen groen'!J27,""),"")</f>
        <v/>
      </c>
      <c r="D15" s="522" t="n"/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groen'!L27=0,"",INT('Invullen groen'!L27)),"")</f>
        <v/>
      </c>
      <c r="G15" s="523">
        <f>IFERROR(IF('Invullen groen'!M27=0,"",INT('Invullen groen'!M27)),"")</f>
        <v/>
      </c>
      <c r="H15" s="523">
        <f>IFERROR(IF('Invullen groen'!N27=0,"",INT('Invullen groen'!N27)),"")</f>
        <v/>
      </c>
      <c r="I15" s="523">
        <f>IFERROR(IF('Invullen groen'!O27=0,"",INT('Invullen groen'!O27)),"")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groen'!H28&gt;0,'Invullen groen'!H28,""),"")</f>
        <v/>
      </c>
      <c r="C16" s="524">
        <f>IFERROR(IF('Invullen groen'!J28&gt;0,'Invullen groen'!J28,""),"")</f>
        <v/>
      </c>
      <c r="D16" s="524" t="n"/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groen'!L28=0,"",INT('Invullen groen'!L28)),"")</f>
        <v/>
      </c>
      <c r="G16" s="525">
        <f>IFERROR(IF('Invullen groen'!M28=0,"",INT('Invullen groen'!M28)),"")</f>
        <v/>
      </c>
      <c r="H16" s="525">
        <f>IFERROR(IF('Invullen groen'!N28=0,"",INT('Invullen groen'!N28)),"")</f>
        <v/>
      </c>
      <c r="I16" s="525">
        <f>IFERROR(IF('Invullen groen'!O28=0,"",INT('Invullen groen'!O28)),"")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groen'!H29&gt;0,'Invullen groen'!H29,""),"")</f>
        <v/>
      </c>
      <c r="C17" s="522">
        <f>IFERROR(IF('Invullen groen'!J29&gt;0,'Invullen groen'!J29,""),"")</f>
        <v/>
      </c>
      <c r="D17" s="522" t="n"/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groen'!L29=0,"",INT('Invullen groen'!L29)),"")</f>
        <v/>
      </c>
      <c r="G17" s="523">
        <f>IFERROR(IF('Invullen groen'!M29=0,"",INT('Invullen groen'!M29)),"")</f>
        <v/>
      </c>
      <c r="H17" s="523">
        <f>IFERROR(IF('Invullen groen'!N29=0,"",INT('Invullen groen'!N29)),"")</f>
        <v/>
      </c>
      <c r="I17" s="523">
        <f>IFERROR(IF('Invullen groen'!O29=0,"",INT('Invullen groen'!O29)),"")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groen'!H30&gt;0,'Invullen groen'!H30,""),"")</f>
        <v/>
      </c>
      <c r="C18" s="524">
        <f>IFERROR(IF('Invullen groen'!J30&gt;0,'Invullen groen'!J30,""),"")</f>
        <v/>
      </c>
      <c r="D18" s="524" t="n"/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groen'!L30=0,"",INT('Invullen groen'!L30)),"")</f>
        <v/>
      </c>
      <c r="G18" s="525">
        <f>IFERROR(IF('Invullen groen'!M30=0,"",INT('Invullen groen'!M30)),"")</f>
        <v/>
      </c>
      <c r="H18" s="525">
        <f>IFERROR(IF('Invullen groen'!N30=0,"",INT('Invullen groen'!N30)),"")</f>
        <v/>
      </c>
      <c r="I18" s="525">
        <f>IFERROR(IF('Invullen groen'!O30=0,"",INT('Invullen groen'!O30)),"")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groen'!H31&gt;0,'Invullen groen'!H31,""),"")</f>
        <v/>
      </c>
      <c r="C19" s="522">
        <f>IFERROR(IF('Invullen groen'!J31&gt;0,'Invullen groen'!J31,""),"")</f>
        <v/>
      </c>
      <c r="D19" s="522" t="n"/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groen'!L31=0,"",INT('Invullen groen'!L31)),"")</f>
        <v/>
      </c>
      <c r="G19" s="523">
        <f>IFERROR(IF('Invullen groen'!M31=0,"",INT('Invullen groen'!M31)),"")</f>
        <v/>
      </c>
      <c r="H19" s="523">
        <f>IFERROR(IF('Invullen groen'!N31=0,"",INT('Invullen groen'!N31)),"")</f>
        <v/>
      </c>
      <c r="I19" s="523">
        <f>IFERROR(IF('Invullen groen'!O31=0,"",INT('Invullen groen'!O31)),"")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groen'!H32&gt;0,'Invullen groen'!H32,""),"")</f>
        <v/>
      </c>
      <c r="C20" s="524">
        <f>IFERROR(IF('Invullen groen'!J32&gt;0,'Invullen groen'!J32,""),"")</f>
        <v/>
      </c>
      <c r="D20" s="524" t="n"/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groen'!L32=0,"",INT('Invullen groen'!L32)),"")</f>
        <v/>
      </c>
      <c r="G20" s="525">
        <f>IFERROR(IF('Invullen groen'!M32=0,"",INT('Invullen groen'!M32)),"")</f>
        <v/>
      </c>
      <c r="H20" s="525">
        <f>IFERROR(IF('Invullen groen'!N32=0,"",INT('Invullen groen'!N32)),"")</f>
        <v/>
      </c>
      <c r="I20" s="525">
        <f>IFERROR(IF('Invullen groen'!O32=0,"",INT('Invullen groen'!O32)),"")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groen'!H33&gt;0,'Invullen groen'!H33,""),"")</f>
        <v/>
      </c>
      <c r="C21" s="522">
        <f>IFERROR(IF('Invullen groen'!J33&gt;0,'Invullen groen'!J33,""),"")</f>
        <v/>
      </c>
      <c r="D21" s="522" t="n"/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groen'!L33=0,"",INT('Invullen groen'!L33)),"")</f>
        <v/>
      </c>
      <c r="G21" s="523">
        <f>IFERROR(IF('Invullen groen'!M33=0,"",INT('Invullen groen'!M33)),"")</f>
        <v/>
      </c>
      <c r="H21" s="523">
        <f>IFERROR(IF('Invullen groen'!N33=0,"",INT('Invullen groen'!N33)),"")</f>
        <v/>
      </c>
      <c r="I21" s="523">
        <f>IFERROR(IF('Invullen groen'!O33=0,"",INT('Invullen groen'!O33)),"")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groen'!H34&gt;0,'Invullen groen'!H34,""),"")</f>
        <v/>
      </c>
      <c r="C22" s="524">
        <f>IFERROR(IF('Invullen groen'!J34&gt;0,'Invullen groen'!J34,""),"")</f>
        <v/>
      </c>
      <c r="D22" s="524" t="n"/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groen'!L34=0,"",INT('Invullen groen'!L34)),"")</f>
        <v/>
      </c>
      <c r="G22" s="525">
        <f>IFERROR(IF('Invullen groen'!M34=0,"",INT('Invullen groen'!M34)),"")</f>
        <v/>
      </c>
      <c r="H22" s="525">
        <f>IFERROR(IF('Invullen groen'!N34=0,"",INT('Invullen groen'!N34)),"")</f>
        <v/>
      </c>
      <c r="I22" s="525">
        <f>IFERROR(IF('Invullen groen'!O34=0,"",INT('Invullen groen'!O34)),"")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groen'!H35&gt;0,'Invullen groen'!H35,""),"")</f>
        <v/>
      </c>
      <c r="C23" s="522">
        <f>IFERROR(IF('Invullen groen'!J35&gt;0,'Invullen groen'!J35,""),"")</f>
        <v/>
      </c>
      <c r="D23" s="522" t="n"/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groen'!L35=0,"",INT('Invullen groen'!L35)),"")</f>
        <v/>
      </c>
      <c r="G23" s="523">
        <f>IFERROR(IF('Invullen groen'!M35=0,"",INT('Invullen groen'!M35)),"")</f>
        <v/>
      </c>
      <c r="H23" s="523">
        <f>IFERROR(IF('Invullen groen'!N35=0,"",INT('Invullen groen'!N35)),"")</f>
        <v/>
      </c>
      <c r="I23" s="523">
        <f>IFERROR(IF('Invullen groen'!O35=0,"",INT('Invullen groen'!O35)),"")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groen'!H36&gt;0,'Invullen groen'!H36,""),"")</f>
        <v/>
      </c>
      <c r="C24" s="524">
        <f>IFERROR(IF('Invullen groen'!J36&gt;0,'Invullen groen'!J36,""),"")</f>
        <v/>
      </c>
      <c r="D24" s="524" t="n"/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groen'!L36=0,"",INT('Invullen groen'!L36)),"")</f>
        <v/>
      </c>
      <c r="G24" s="525">
        <f>IFERROR(IF('Invullen groen'!M36=0,"",INT('Invullen groen'!M36)),"")</f>
        <v/>
      </c>
      <c r="H24" s="525">
        <f>IFERROR(IF('Invullen groen'!N36=0,"",INT('Invullen groen'!N36)),"")</f>
        <v/>
      </c>
      <c r="I24" s="525">
        <f>IFERROR(IF('Invullen groen'!O36=0,"",INT('Invullen groen'!O36)),"")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groen'!H37&gt;0,'Invullen groen'!H37,""),"")</f>
        <v/>
      </c>
      <c r="C25" s="522">
        <f>IFERROR(IF('Invullen groen'!J37&gt;0,'Invullen groen'!J37,""),"")</f>
        <v/>
      </c>
      <c r="D25" s="522" t="n"/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groen'!L37=0,"",INT('Invullen groen'!L37)),"")</f>
        <v/>
      </c>
      <c r="G25" s="523">
        <f>IFERROR(IF('Invullen groen'!M37=0,"",INT('Invullen groen'!M37)),"")</f>
        <v/>
      </c>
      <c r="H25" s="523">
        <f>IFERROR(IF('Invullen groen'!N37=0,"",INT('Invullen groen'!N37)),"")</f>
        <v/>
      </c>
      <c r="I25" s="523">
        <f>IFERROR(IF('Invullen groen'!O37=0,"",INT('Invullen groen'!O37)),"")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groen'!H38&gt;0,'Invullen groen'!H38,""),"")</f>
        <v/>
      </c>
      <c r="C26" s="524">
        <f>IFERROR(IF('Invullen groen'!J38&gt;0,'Invullen groen'!J38,""),"")</f>
        <v/>
      </c>
      <c r="D26" s="524" t="n"/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groen'!L38=0,"",INT('Invullen groen'!L38)),"")</f>
        <v/>
      </c>
      <c r="G26" s="525">
        <f>IFERROR(IF('Invullen groen'!M38=0,"",INT('Invullen groen'!M38)),"")</f>
        <v/>
      </c>
      <c r="H26" s="525">
        <f>IFERROR(IF('Invullen groen'!N38=0,"",INT('Invullen groen'!N38)),"")</f>
        <v/>
      </c>
      <c r="I26" s="525">
        <f>IFERROR(IF('Invullen groen'!O38=0,"",INT('Invullen groen'!O38)),"")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groen'!H39&gt;0,'Invullen groen'!H39,""),"")</f>
        <v/>
      </c>
      <c r="C27" s="522">
        <f>IFERROR(IF('Invullen groen'!J39&gt;0,'Invullen groen'!J39,""),"")</f>
        <v/>
      </c>
      <c r="D27" s="522" t="n"/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groen'!L39=0,"",INT('Invullen groen'!L39)),"")</f>
        <v/>
      </c>
      <c r="G27" s="523">
        <f>IFERROR(IF('Invullen groen'!M39=0,"",INT('Invullen groen'!M39)),"")</f>
        <v/>
      </c>
      <c r="H27" s="523">
        <f>IFERROR(IF('Invullen groen'!N39=0,"",INT('Invullen groen'!N39)),"")</f>
        <v/>
      </c>
      <c r="I27" s="523">
        <f>IFERROR(IF('Invullen groen'!O39=0,"",INT('Invullen groen'!O39)),"")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groen'!H40&gt;0,'Invullen groen'!H40,""),"")</f>
        <v/>
      </c>
      <c r="C28" s="524">
        <f>IFERROR(IF('Invullen groen'!J40&gt;0,'Invullen groen'!J40,""),"")</f>
        <v/>
      </c>
      <c r="D28" s="524" t="n"/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groen'!L40=0,"",INT('Invullen groen'!L40)),"")</f>
        <v/>
      </c>
      <c r="G28" s="525">
        <f>IFERROR(IF('Invullen groen'!M40=0,"",INT('Invullen groen'!M40)),"")</f>
        <v/>
      </c>
      <c r="H28" s="525">
        <f>IFERROR(IF('Invullen groen'!N40=0,"",INT('Invullen groen'!N40)),"")</f>
        <v/>
      </c>
      <c r="I28" s="525">
        <f>IFERROR(IF('Invullen groen'!O40=0,"",INT('Invullen groen'!O40)),"")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groen'!H41&gt;0,'Invullen groen'!H41,""),"")</f>
        <v/>
      </c>
      <c r="C29" s="522">
        <f>IFERROR(IF('Invullen groen'!J41&gt;0,'Invullen groen'!J41,""),"")</f>
        <v/>
      </c>
      <c r="D29" s="522" t="n"/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groen'!L41=0,"",INT('Invullen groen'!L41)),"")</f>
        <v/>
      </c>
      <c r="G29" s="523">
        <f>IFERROR(IF('Invullen groen'!M41=0,"",INT('Invullen groen'!M41)),"")</f>
        <v/>
      </c>
      <c r="H29" s="523">
        <f>IFERROR(IF('Invullen groen'!N41=0,"",INT('Invullen groen'!N41)),"")</f>
        <v/>
      </c>
      <c r="I29" s="523">
        <f>IFERROR(IF('Invullen groen'!O41=0,"",INT('Invullen groen'!O41)),"")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groen'!H42&gt;0,'Invullen groen'!H42,""),"")</f>
        <v/>
      </c>
      <c r="C30" s="524">
        <f>IFERROR(IF('Invullen groen'!J42&gt;0,'Invullen groen'!J42,""),"")</f>
        <v/>
      </c>
      <c r="D30" s="524" t="n"/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groen'!L42=0,"",INT('Invullen groen'!L42)),"")</f>
        <v/>
      </c>
      <c r="G30" s="525">
        <f>IFERROR(IF('Invullen groen'!M42=0,"",INT('Invullen groen'!M42)),"")</f>
        <v/>
      </c>
      <c r="H30" s="525">
        <f>IFERROR(IF('Invullen groen'!N42=0,"",INT('Invullen groen'!N42)),"")</f>
        <v/>
      </c>
      <c r="I30" s="525">
        <f>IFERROR(IF('Invullen groen'!O42=0,"",INT('Invullen groen'!O42)),"")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groen'!H43&gt;0,'Invullen groen'!H43,""),"")</f>
        <v/>
      </c>
      <c r="C31" s="522">
        <f>IFERROR(IF('Invullen groen'!J43&gt;0,'Invullen groen'!J43,""),"")</f>
        <v/>
      </c>
      <c r="D31" s="522" t="n"/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groen'!L43=0,"",INT('Invullen groen'!L43)),"")</f>
        <v/>
      </c>
      <c r="G31" s="523">
        <f>IFERROR(IF('Invullen groen'!M43=0,"",INT('Invullen groen'!M43)),"")</f>
        <v/>
      </c>
      <c r="H31" s="523">
        <f>IFERROR(IF('Invullen groen'!N43=0,"",INT('Invullen groen'!N43)),"")</f>
        <v/>
      </c>
      <c r="I31" s="523">
        <f>IFERROR(IF('Invullen groen'!O43=0,"",INT('Invullen groen'!O43)),"")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groen'!H44&gt;0,'Invullen groen'!H44,""),"")</f>
        <v/>
      </c>
      <c r="C32" s="524">
        <f>IFERROR(IF('Invullen groen'!J44&gt;0,'Invullen groen'!J44,""),"")</f>
        <v/>
      </c>
      <c r="D32" s="524" t="n"/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groen'!L44=0,"",INT('Invullen groen'!L44)),"")</f>
        <v/>
      </c>
      <c r="G32" s="525">
        <f>IFERROR(IF('Invullen groen'!M44=0,"",INT('Invullen groen'!M44)),"")</f>
        <v/>
      </c>
      <c r="H32" s="525">
        <f>IFERROR(IF('Invullen groen'!N44=0,"",INT('Invullen groen'!N44)),"")</f>
        <v/>
      </c>
      <c r="I32" s="525">
        <f>IFERROR(IF('Invullen groen'!O44=0,"",INT('Invullen groen'!O44)),"")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groen'!H45&gt;0,'Invullen groen'!H45,""),"")</f>
        <v/>
      </c>
      <c r="C33" s="522">
        <f>IFERROR(IF('Invullen groen'!J45&gt;0,'Invullen groen'!J45,""),"")</f>
        <v/>
      </c>
      <c r="D33" s="522" t="n"/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groen'!L45=0,"",INT('Invullen groen'!L45)),"")</f>
        <v/>
      </c>
      <c r="G33" s="523">
        <f>IFERROR(IF('Invullen groen'!M45=0,"",INT('Invullen groen'!M45)),"")</f>
        <v/>
      </c>
      <c r="H33" s="523">
        <f>IFERROR(IF('Invullen groen'!N45=0,"",INT('Invullen groen'!N45)),"")</f>
        <v/>
      </c>
      <c r="I33" s="523">
        <f>IFERROR(IF('Invullen groen'!O45=0,"",INT('Invullen groen'!O45)),"")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groen'!H46&gt;0,'Invullen groen'!H46,""),"")</f>
        <v/>
      </c>
      <c r="C34" s="524">
        <f>IFERROR(IF('Invullen groen'!J46&gt;0,'Invullen groen'!J46,""),"")</f>
        <v/>
      </c>
      <c r="D34" s="524" t="n"/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groen'!L46=0,"",INT('Invullen groen'!L46)),"")</f>
        <v/>
      </c>
      <c r="G34" s="525">
        <f>IFERROR(IF('Invullen groen'!M46=0,"",INT('Invullen groen'!M46)),"")</f>
        <v/>
      </c>
      <c r="H34" s="525">
        <f>IFERROR(IF('Invullen groen'!N46=0,"",INT('Invullen groen'!N46)),"")</f>
        <v/>
      </c>
      <c r="I34" s="525">
        <f>IFERROR(IF('Invullen groen'!O46=0,"",INT('Invullen groen'!O46)),"")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groen'!H47&gt;0,'Invullen groen'!H47,""),"")</f>
        <v/>
      </c>
      <c r="C35" s="522">
        <f>IFERROR(IF('Invullen groen'!J47&gt;0,'Invullen groen'!J47,""),"")</f>
        <v/>
      </c>
      <c r="D35" s="522" t="n"/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groen'!L47=0,"",INT('Invullen groen'!L47)),"")</f>
        <v/>
      </c>
      <c r="G35" s="523">
        <f>IFERROR(IF('Invullen groen'!M47=0,"",INT('Invullen groen'!M47)),"")</f>
        <v/>
      </c>
      <c r="H35" s="523">
        <f>IFERROR(IF('Invullen groen'!N47=0,"",INT('Invullen groen'!N47)),"")</f>
        <v/>
      </c>
      <c r="I35" s="523">
        <f>IFERROR(IF('Invullen groen'!O47=0,"",INT('Invullen groen'!O47)),"")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groen'!H48&gt;0,'Invullen groen'!H48,""),"")</f>
        <v/>
      </c>
      <c r="C36" s="524">
        <f>IFERROR(IF('Invullen groen'!J48&gt;0,'Invullen groen'!J48,""),"")</f>
        <v/>
      </c>
      <c r="D36" s="524" t="n"/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groen'!L48=0,"",INT('Invullen groen'!L48)),"")</f>
        <v/>
      </c>
      <c r="G36" s="525">
        <f>IFERROR(IF('Invullen groen'!M48=0,"",INT('Invullen groen'!M48)),"")</f>
        <v/>
      </c>
      <c r="H36" s="525">
        <f>IFERROR(IF('Invullen groen'!N48=0,"",INT('Invullen groen'!N48)),"")</f>
        <v/>
      </c>
      <c r="I36" s="525">
        <f>IFERROR(IF('Invullen groen'!O48=0,"",INT('Invullen groen'!O48)),"")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groen'!H49&gt;0,'Invullen groen'!H49,""),"")</f>
        <v/>
      </c>
      <c r="C37" s="522">
        <f>IFERROR(IF('Invullen groen'!J49&gt;0,'Invullen groen'!J49,""),"")</f>
        <v/>
      </c>
      <c r="D37" s="522" t="n"/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groen'!L49=0,"",INT('Invullen groen'!L49)),"")</f>
        <v/>
      </c>
      <c r="G37" s="523">
        <f>IFERROR(IF('Invullen groen'!M49=0,"",INT('Invullen groen'!M49)),"")</f>
        <v/>
      </c>
      <c r="H37" s="523">
        <f>IFERROR(IF('Invullen groen'!N49=0,"",INT('Invullen groen'!N49)),"")</f>
        <v/>
      </c>
      <c r="I37" s="523">
        <f>IFERROR(IF('Invullen groen'!O49=0,"",INT('Invullen groen'!O49)),"")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groen'!H50&gt;0,'Invullen groen'!H50,""),"")</f>
        <v/>
      </c>
      <c r="C38" s="524">
        <f>IFERROR(IF('Invullen groen'!J50&gt;0,'Invullen groen'!J50,""),"")</f>
        <v/>
      </c>
      <c r="D38" s="524" t="n"/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groen'!L50=0,"",INT('Invullen groen'!L50)),"")</f>
        <v/>
      </c>
      <c r="G38" s="525">
        <f>IFERROR(IF('Invullen groen'!M50=0,"",INT('Invullen groen'!M50)),"")</f>
        <v/>
      </c>
      <c r="H38" s="525">
        <f>IFERROR(IF('Invullen groen'!N50=0,"",INT('Invullen groen'!N50)),"")</f>
        <v/>
      </c>
      <c r="I38" s="525">
        <f>IFERROR(IF('Invullen groen'!O50=0,"",INT('Invullen groen'!O50)),"")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groen'!H51&gt;0,'Invullen groen'!H51,""),"")</f>
        <v/>
      </c>
      <c r="C39" s="522">
        <f>IFERROR(IF('Invullen groen'!J51&gt;0,'Invullen groen'!J51,""),"")</f>
        <v/>
      </c>
      <c r="D39" s="522" t="n"/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groen'!L51=0,"",INT('Invullen groen'!L51)),"")</f>
        <v/>
      </c>
      <c r="G39" s="523">
        <f>IFERROR(IF('Invullen groen'!M51=0,"",INT('Invullen groen'!M51)),"")</f>
        <v/>
      </c>
      <c r="H39" s="523">
        <f>IFERROR(IF('Invullen groen'!N51=0,"",INT('Invullen groen'!N51)),"")</f>
        <v/>
      </c>
      <c r="I39" s="523">
        <f>IFERROR(IF('Invullen groen'!O51=0,"",INT('Invullen groen'!O51)),"")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groen'!H52&gt;0,'Invullen groen'!H52,""),"")</f>
        <v/>
      </c>
      <c r="C40" s="524">
        <f>IFERROR(IF('Invullen groen'!J52&gt;0,'Invullen groen'!J52,""),"")</f>
        <v/>
      </c>
      <c r="D40" s="524" t="n"/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groen'!L52=0,"",INT('Invullen groen'!L52)),"")</f>
        <v/>
      </c>
      <c r="G40" s="525">
        <f>IFERROR(IF('Invullen groen'!M52=0,"",INT('Invullen groen'!M52)),"")</f>
        <v/>
      </c>
      <c r="H40" s="525">
        <f>IFERROR(IF('Invullen groen'!N52=0,"",INT('Invullen groen'!N52)),"")</f>
        <v/>
      </c>
      <c r="I40" s="525">
        <f>IFERROR(IF('Invullen groen'!O52=0,"",INT('Invullen groen'!O52)),"")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groen'!H53&gt;0,'Invullen groen'!H53,""),"")</f>
        <v/>
      </c>
      <c r="C41" s="522">
        <f>IFERROR(IF('Invullen groen'!J53&gt;0,'Invullen groen'!J53,""),"")</f>
        <v/>
      </c>
      <c r="D41" s="522" t="n"/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groen'!L53=0,"",INT('Invullen groen'!L53)),"")</f>
        <v/>
      </c>
      <c r="G41" s="523">
        <f>IFERROR(IF('Invullen groen'!M53=0,"",INT('Invullen groen'!M53)),"")</f>
        <v/>
      </c>
      <c r="H41" s="523">
        <f>IFERROR(IF('Invullen groen'!N53=0,"",INT('Invullen groen'!N53)),"")</f>
        <v/>
      </c>
      <c r="I41" s="523">
        <f>IFERROR(IF('Invullen groen'!O53=0,"",INT('Invullen groen'!O53)),"")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groen'!H54&gt;0,'Invullen groen'!H54,""),"")</f>
        <v/>
      </c>
      <c r="C42" s="524">
        <f>IFERROR(IF('Invullen groen'!J54&gt;0,'Invullen groen'!J54,""),"")</f>
        <v/>
      </c>
      <c r="D42" s="524" t="n"/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groen'!L54=0,"",INT('Invullen groen'!L54)),"")</f>
        <v/>
      </c>
      <c r="G42" s="525">
        <f>IFERROR(IF('Invullen groen'!M54=0,"",INT('Invullen groen'!M54)),"")</f>
        <v/>
      </c>
      <c r="H42" s="525">
        <f>IFERROR(IF('Invullen groen'!N54=0,"",INT('Invullen groen'!N54)),"")</f>
        <v/>
      </c>
      <c r="I42" s="525">
        <f>IFERROR(IF('Invullen groen'!O54=0,"",INT('Invullen groen'!O54)),"")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groen'!H55&gt;0,'Invullen groen'!H55,""),"")</f>
        <v/>
      </c>
      <c r="C43" s="522">
        <f>IFERROR(IF('Invullen groen'!J55&gt;0,'Invullen groen'!J55,""),"")</f>
        <v/>
      </c>
      <c r="D43" s="522" t="n"/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groen'!L55=0,"",INT('Invullen groen'!L55)),"")</f>
        <v/>
      </c>
      <c r="G43" s="523">
        <f>IFERROR(IF('Invullen groen'!M55=0,"",INT('Invullen groen'!M55)),"")</f>
        <v/>
      </c>
      <c r="H43" s="523">
        <f>IFERROR(IF('Invullen groen'!N55=0,"",INT('Invullen groen'!N55)),"")</f>
        <v/>
      </c>
      <c r="I43" s="523">
        <f>IFERROR(IF('Invullen groen'!O55=0,"",INT('Invullen groen'!O55)),"")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groen'!H56&gt;0,'Invullen groen'!H56,""),"")</f>
        <v/>
      </c>
      <c r="C44" s="524">
        <f>IFERROR(IF('Invullen groen'!J56&gt;0,'Invullen groen'!J56,""),"")</f>
        <v/>
      </c>
      <c r="D44" s="524" t="n"/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groen'!L56=0,"",INT('Invullen groen'!L56)),"")</f>
        <v/>
      </c>
      <c r="G44" s="525">
        <f>IFERROR(IF('Invullen groen'!M56=0,"",INT('Invullen groen'!M56)),"")</f>
        <v/>
      </c>
      <c r="H44" s="525">
        <f>IFERROR(IF('Invullen groen'!N56=0,"",INT('Invullen groen'!N56)),"")</f>
        <v/>
      </c>
      <c r="I44" s="525">
        <f>IFERROR(IF('Invullen groen'!O56=0,"",INT('Invullen groen'!O56)),"")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groen'!H57&gt;0,'Invullen groen'!H57,""),"")</f>
        <v/>
      </c>
      <c r="C45" s="522">
        <f>IFERROR(IF('Invullen groen'!J57&gt;0,'Invullen groen'!J57,""),"")</f>
        <v/>
      </c>
      <c r="D45" s="522" t="n"/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groen'!L57=0,"",INT('Invullen groen'!L57)),"")</f>
        <v/>
      </c>
      <c r="G45" s="523">
        <f>IFERROR(IF('Invullen groen'!M57=0,"",INT('Invullen groen'!M57)),"")</f>
        <v/>
      </c>
      <c r="H45" s="523">
        <f>IFERROR(IF('Invullen groen'!N57=0,"",INT('Invullen groen'!N57)),"")</f>
        <v/>
      </c>
      <c r="I45" s="523">
        <f>IFERROR(IF('Invullen groen'!O57=0,"",INT('Invullen groen'!O57)),"")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groen'!H58&gt;0,'Invullen groen'!H58,""),"")</f>
        <v/>
      </c>
      <c r="C46" s="524">
        <f>IFERROR(IF('Invullen groen'!J58&gt;0,'Invullen groen'!J58,""),"")</f>
        <v/>
      </c>
      <c r="D46" s="524" t="n"/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groen'!L58=0,"",INT('Invullen groen'!L58)),"")</f>
        <v/>
      </c>
      <c r="G46" s="525">
        <f>IFERROR(IF('Invullen groen'!M58=0,"",INT('Invullen groen'!M58)),"")</f>
        <v/>
      </c>
      <c r="H46" s="525">
        <f>IFERROR(IF('Invullen groen'!N58=0,"",INT('Invullen groen'!N58)),"")</f>
        <v/>
      </c>
      <c r="I46" s="525">
        <f>IFERROR(IF('Invullen groen'!O58=0,"",INT('Invullen groen'!O58)),"")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groen'!H59&gt;0,'Invullen groen'!H59,""),"")</f>
        <v/>
      </c>
      <c r="C47" s="522">
        <f>IFERROR(IF('Invullen groen'!J59&gt;0,'Invullen groen'!J59,""),"")</f>
        <v/>
      </c>
      <c r="D47" s="522" t="n"/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groen'!L59=0,"",INT('Invullen groen'!L59)),"")</f>
        <v/>
      </c>
      <c r="G47" s="523">
        <f>IFERROR(IF('Invullen groen'!M59=0,"",INT('Invullen groen'!M59)),"")</f>
        <v/>
      </c>
      <c r="H47" s="523">
        <f>IFERROR(IF('Invullen groen'!N59=0,"",INT('Invullen groen'!N59)),"")</f>
        <v/>
      </c>
      <c r="I47" s="523">
        <f>IFERROR(IF('Invullen groen'!O59=0,"",INT('Invullen groen'!O59)),"")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groen'!H60&gt;0,'Invullen groen'!H60,""),"")</f>
        <v/>
      </c>
      <c r="C48" s="524">
        <f>IFERROR(IF('Invullen groen'!J60&gt;0,'Invullen groen'!J60,""),"")</f>
        <v/>
      </c>
      <c r="D48" s="524" t="n"/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groen'!L60=0,"",INT('Invullen groen'!L60)),"")</f>
        <v/>
      </c>
      <c r="G48" s="525">
        <f>IFERROR(IF('Invullen groen'!M60=0,"",INT('Invullen groen'!M60)),"")</f>
        <v/>
      </c>
      <c r="H48" s="525">
        <f>IFERROR(IF('Invullen groen'!N60=0,"",INT('Invullen groen'!N60)),"")</f>
        <v/>
      </c>
      <c r="I48" s="525">
        <f>IFERROR(IF('Invullen groen'!O60=0,"",INT('Invullen groen'!O60)),"")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groen'!H61&gt;0,'Invullen groen'!H61,""),"")</f>
        <v/>
      </c>
      <c r="C49" s="522">
        <f>IFERROR(IF('Invullen groen'!J61&gt;0,'Invullen groen'!J61,""),"")</f>
        <v/>
      </c>
      <c r="D49" s="522" t="n"/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groen'!L61=0,"",INT('Invullen groen'!L61)),"")</f>
        <v/>
      </c>
      <c r="G49" s="523">
        <f>IFERROR(IF('Invullen groen'!M61=0,"",INT('Invullen groen'!M61)),"")</f>
        <v/>
      </c>
      <c r="H49" s="523">
        <f>IFERROR(IF('Invullen groen'!N61=0,"",INT('Invullen groen'!N61)),"")</f>
        <v/>
      </c>
      <c r="I49" s="523">
        <f>IFERROR(IF('Invullen groen'!O61=0,"",INT('Invullen groen'!O61)),"")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groen'!H62&gt;0,'Invullen groen'!H62,""),"")</f>
        <v/>
      </c>
      <c r="C50" s="524">
        <f>IFERROR(IF('Invullen groen'!J62&gt;0,'Invullen groen'!J62,""),"")</f>
        <v/>
      </c>
      <c r="D50" s="524" t="n"/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groen'!L62=0,"",INT('Invullen groen'!L62)),"")</f>
        <v/>
      </c>
      <c r="G50" s="525">
        <f>IFERROR(IF('Invullen groen'!M62=0,"",INT('Invullen groen'!M62)),"")</f>
        <v/>
      </c>
      <c r="H50" s="525">
        <f>IFERROR(IF('Invullen groen'!N62=0,"",INT('Invullen groen'!N62)),"")</f>
        <v/>
      </c>
      <c r="I50" s="525">
        <f>IFERROR(IF('Invullen groen'!O62=0,"",INT('Invullen groen'!O62)),"")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groen'!H63&gt;0,'Invullen groen'!H63,""),"")</f>
        <v/>
      </c>
      <c r="C51" s="522">
        <f>IFERROR(IF('Invullen groen'!J63&gt;0,'Invullen groen'!J63,""),"")</f>
        <v/>
      </c>
      <c r="D51" s="522" t="n"/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groen'!L63=0,"",INT('Invullen groen'!L63)),"")</f>
        <v/>
      </c>
      <c r="G51" s="523">
        <f>IFERROR(IF('Invullen groen'!M63=0,"",INT('Invullen groen'!M63)),"")</f>
        <v/>
      </c>
      <c r="H51" s="523">
        <f>IFERROR(IF('Invullen groen'!N63=0,"",INT('Invullen groen'!N63)),"")</f>
        <v/>
      </c>
      <c r="I51" s="523">
        <f>IFERROR(IF('Invullen groen'!O63=0,"",INT('Invullen groen'!O63)),"")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groen'!H64&gt;0,'Invullen groen'!H64,""),"")</f>
        <v/>
      </c>
      <c r="C52" s="524">
        <f>IFERROR(IF('Invullen groen'!J64&gt;0,'Invullen groen'!J64,""),"")</f>
        <v/>
      </c>
      <c r="D52" s="524" t="n"/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groen'!L64=0,"",INT('Invullen groen'!L64)),"")</f>
        <v/>
      </c>
      <c r="G52" s="525">
        <f>IFERROR(IF('Invullen groen'!M64=0,"",INT('Invullen groen'!M64)),"")</f>
        <v/>
      </c>
      <c r="H52" s="525">
        <f>IFERROR(IF('Invullen groen'!N64=0,"",INT('Invullen groen'!N64)),"")</f>
        <v/>
      </c>
      <c r="I52" s="525">
        <f>IFERROR(IF('Invullen groen'!O64=0,"",INT('Invullen groen'!O64)),"")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groen'!H65&gt;0,'Invullen groen'!H65,""),"")</f>
        <v/>
      </c>
      <c r="C53" s="522">
        <f>IFERROR(IF('Invullen groen'!J65&gt;0,'Invullen groen'!J65,""),"")</f>
        <v/>
      </c>
      <c r="D53" s="522" t="n"/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groen'!L65=0,"",INT('Invullen groen'!L65)),"")</f>
        <v/>
      </c>
      <c r="G53" s="523">
        <f>IFERROR(IF('Invullen groen'!M65=0,"",INT('Invullen groen'!M65)),"")</f>
        <v/>
      </c>
      <c r="H53" s="523">
        <f>IFERROR(IF('Invullen groen'!N65=0,"",INT('Invullen groen'!N65)),"")</f>
        <v/>
      </c>
      <c r="I53" s="523">
        <f>IFERROR(IF('Invullen groen'!O65=0,"",INT('Invullen groen'!O65)),"")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groen'!H66&gt;0,'Invullen groen'!H66,""),"")</f>
        <v/>
      </c>
      <c r="C54" s="524">
        <f>IFERROR(IF('Invullen groen'!J66&gt;0,'Invullen groen'!J66,""),"")</f>
        <v/>
      </c>
      <c r="D54" s="524" t="n"/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groen'!L66=0,"",INT('Invullen groen'!L66)),"")</f>
        <v/>
      </c>
      <c r="G54" s="525">
        <f>IFERROR(IF('Invullen groen'!M66=0,"",INT('Invullen groen'!M66)),"")</f>
        <v/>
      </c>
      <c r="H54" s="525">
        <f>IFERROR(IF('Invullen groen'!N66=0,"",INT('Invullen groen'!N66)),"")</f>
        <v/>
      </c>
      <c r="I54" s="525">
        <f>IFERROR(IF('Invullen groen'!O66=0,"",INT('Invullen groen'!O66)),"")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groen'!H67&gt;0,'Invullen groen'!H67,""),"")</f>
        <v/>
      </c>
      <c r="C55" s="522">
        <f>IFERROR(IF('Invullen groen'!J67&gt;0,'Invullen groen'!J67,""),"")</f>
        <v/>
      </c>
      <c r="D55" s="522" t="n"/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groen'!L67=0,"",INT('Invullen groen'!L67)),"")</f>
        <v/>
      </c>
      <c r="G55" s="523">
        <f>IFERROR(IF('Invullen groen'!M67=0,"",INT('Invullen groen'!M67)),"")</f>
        <v/>
      </c>
      <c r="H55" s="523">
        <f>IFERROR(IF('Invullen groen'!N67=0,"",INT('Invullen groen'!N67)),"")</f>
        <v/>
      </c>
      <c r="I55" s="523">
        <f>IFERROR(IF('Invullen groen'!O67=0,"",INT('Invullen groen'!O67)),"")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groen'!H68&gt;0,'Invullen groen'!H68,""),"")</f>
        <v/>
      </c>
      <c r="C56" s="524">
        <f>IFERROR(IF('Invullen groen'!J68&gt;0,'Invullen groen'!J68,""),"")</f>
        <v/>
      </c>
      <c r="D56" s="524" t="n"/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groen'!L68=0,"",INT('Invullen groen'!L68)),"")</f>
        <v/>
      </c>
      <c r="G56" s="525">
        <f>IFERROR(IF('Invullen groen'!M68=0,"",INT('Invullen groen'!M68)),"")</f>
        <v/>
      </c>
      <c r="H56" s="525">
        <f>IFERROR(IF('Invullen groen'!N68=0,"",INT('Invullen groen'!N68)),"")</f>
        <v/>
      </c>
      <c r="I56" s="525">
        <f>IFERROR(IF('Invullen groen'!O68=0,"",INT('Invullen groen'!O68)),"")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groen'!H69&gt;0,'Invullen groen'!H69,""),"")</f>
        <v/>
      </c>
      <c r="C57" s="522">
        <f>IFERROR(IF('Invullen groen'!J69&gt;0,'Invullen groen'!J69,""),"")</f>
        <v/>
      </c>
      <c r="D57" s="522" t="n"/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groen'!L69=0,"",INT('Invullen groen'!L69)),"")</f>
        <v/>
      </c>
      <c r="G57" s="523">
        <f>IFERROR(IF('Invullen groen'!M69=0,"",INT('Invullen groen'!M69)),"")</f>
        <v/>
      </c>
      <c r="H57" s="523">
        <f>IFERROR(IF('Invullen groen'!N69=0,"",INT('Invullen groen'!N69)),"")</f>
        <v/>
      </c>
      <c r="I57" s="523">
        <f>IFERROR(IF('Invullen groen'!O69=0,"",INT('Invullen groen'!O69)),"")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groen'!H70&gt;0,'Invullen groen'!H70,""),"")</f>
        <v/>
      </c>
      <c r="C58" s="524">
        <f>IFERROR(IF('Invullen groen'!J70&gt;0,'Invullen groen'!J70,""),"")</f>
        <v/>
      </c>
      <c r="D58" s="524" t="n"/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groen'!L70=0,"",INT('Invullen groen'!L70)),"")</f>
        <v/>
      </c>
      <c r="G58" s="525">
        <f>IFERROR(IF('Invullen groen'!M70=0,"",INT('Invullen groen'!M70)),"")</f>
        <v/>
      </c>
      <c r="H58" s="525">
        <f>IFERROR(IF('Invullen groen'!N70=0,"",INT('Invullen groen'!N70)),"")</f>
        <v/>
      </c>
      <c r="I58" s="525">
        <f>IFERROR(IF('Invullen groen'!O70=0,"",INT('Invullen groen'!O70)),"")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groen'!H71&gt;0,'Invullen groen'!H71,""),"")</f>
        <v/>
      </c>
      <c r="C59" s="522">
        <f>IFERROR(IF('Invullen groen'!J71&gt;0,'Invullen groen'!J71,""),"")</f>
        <v/>
      </c>
      <c r="D59" s="522" t="n"/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groen'!L71=0,"",INT('Invullen groen'!L71)),"")</f>
        <v/>
      </c>
      <c r="G59" s="523">
        <f>IFERROR(IF('Invullen groen'!M71=0,"",INT('Invullen groen'!M71)),"")</f>
        <v/>
      </c>
      <c r="H59" s="523">
        <f>IFERROR(IF('Invullen groen'!N71=0,"",INT('Invullen groen'!N71)),"")</f>
        <v/>
      </c>
      <c r="I59" s="523">
        <f>IFERROR(IF('Invullen groen'!O71=0,"",INT('Invullen groen'!O71)),"")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groen'!H72&gt;0,'Invullen groen'!H72,""),"")</f>
        <v/>
      </c>
      <c r="C60" s="524">
        <f>IFERROR(IF('Invullen groen'!J72&gt;0,'Invullen groen'!J72,""),"")</f>
        <v/>
      </c>
      <c r="D60" s="524" t="n"/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groen'!L72=0,"",INT('Invullen groen'!L72)),"")</f>
        <v/>
      </c>
      <c r="G60" s="525">
        <f>IFERROR(IF('Invullen groen'!M72=0,"",INT('Invullen groen'!M72)),"")</f>
        <v/>
      </c>
      <c r="H60" s="525">
        <f>IFERROR(IF('Invullen groen'!N72=0,"",INT('Invullen groen'!N72)),"")</f>
        <v/>
      </c>
      <c r="I60" s="525">
        <f>IFERROR(IF('Invullen groen'!O72=0,"",INT('Invullen groen'!O72)),"")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groen'!H73&gt;0,'Invullen groen'!H73,""),"")</f>
        <v/>
      </c>
      <c r="C61" s="522">
        <f>IFERROR(IF('Invullen groen'!J73&gt;0,'Invullen groen'!J73,""),"")</f>
        <v/>
      </c>
      <c r="D61" s="522" t="n"/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groen'!L73=0,"",INT('Invullen groen'!L73)),"")</f>
        <v/>
      </c>
      <c r="G61" s="523">
        <f>IFERROR(IF('Invullen groen'!M73=0,"",INT('Invullen groen'!M73)),"")</f>
        <v/>
      </c>
      <c r="H61" s="523">
        <f>IFERROR(IF('Invullen groen'!N73=0,"",INT('Invullen groen'!N73)),"")</f>
        <v/>
      </c>
      <c r="I61" s="523">
        <f>IFERROR(IF('Invullen groen'!O73=0,"",INT('Invullen groen'!O73)),"")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groen'!H74&gt;0,'Invullen groen'!H74,""),"")</f>
        <v/>
      </c>
      <c r="C62" s="524">
        <f>IFERROR(IF('Invullen groen'!J74&gt;0,'Invullen groen'!J74,""),"")</f>
        <v/>
      </c>
      <c r="D62" s="524" t="n"/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groen'!L74=0,"",INT('Invullen groen'!L74)),"")</f>
        <v/>
      </c>
      <c r="G62" s="525">
        <f>IFERROR(IF('Invullen groen'!M74=0,"",INT('Invullen groen'!M74)),"")</f>
        <v/>
      </c>
      <c r="H62" s="525">
        <f>IFERROR(IF('Invullen groen'!N74=0,"",INT('Invullen groen'!N74)),"")</f>
        <v/>
      </c>
      <c r="I62" s="525">
        <f>IFERROR(IF('Invullen groen'!O74=0,"",INT('Invullen groen'!O74)),"")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groen'!H78&gt;0,'Invullen groen'!H78,""),"")</f>
        <v/>
      </c>
      <c r="C63" s="522">
        <f>IFERROR(IF('Invullen groen'!J78&gt;0,'Invullen groen'!J78,""),"")</f>
        <v/>
      </c>
      <c r="D63" s="522" t="n"/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groen'!L78=0,"",INT('Invullen groen'!L78)),"")</f>
        <v/>
      </c>
      <c r="G63" s="523">
        <f>IFERROR(IF('Invullen groen'!M78=0,"",INT('Invullen groen'!M78)),"")</f>
        <v/>
      </c>
      <c r="H63" s="523">
        <f>IFERROR(IF('Invullen groen'!N78=0,"",INT('Invullen groen'!N78)),"")</f>
        <v/>
      </c>
      <c r="I63" s="523">
        <f>IFERROR(IF('Invullen groen'!O78=0,"",INT('Invullen groen'!O78)),"")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groen'!H79&gt;0,'Invullen groen'!H79,""),"")</f>
        <v/>
      </c>
      <c r="C64" s="524">
        <f>IFERROR(IF('Invullen groen'!J79&gt;0,'Invullen groen'!J79,""),"")</f>
        <v/>
      </c>
      <c r="D64" s="524" t="n"/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groen'!L79=0,"",INT('Invullen groen'!L79)),"")</f>
        <v/>
      </c>
      <c r="G64" s="525">
        <f>IFERROR(IF('Invullen groen'!M79=0,"",INT('Invullen groen'!M79)),"")</f>
        <v/>
      </c>
      <c r="H64" s="525">
        <f>IFERROR(IF('Invullen groen'!N79=0,"",INT('Invullen groen'!N79)),"")</f>
        <v/>
      </c>
      <c r="I64" s="525">
        <f>IFERROR(IF('Invullen groen'!O79=0,"",INT('Invullen groen'!O79)),"")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groen'!H80&gt;0,'Invullen groen'!H80,""),"")</f>
        <v/>
      </c>
      <c r="C65" s="522">
        <f>IFERROR(IF('Invullen groen'!J80&gt;0,'Invullen groen'!J80,""),"")</f>
        <v/>
      </c>
      <c r="D65" s="522" t="n"/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groen'!L80=0,"",INT('Invullen groen'!L80)),"")</f>
        <v/>
      </c>
      <c r="G65" s="523">
        <f>IFERROR(IF('Invullen groen'!M80=0,"",INT('Invullen groen'!M80)),"")</f>
        <v/>
      </c>
      <c r="H65" s="523">
        <f>IFERROR(IF('Invullen groen'!N80=0,"",INT('Invullen groen'!N80)),"")</f>
        <v/>
      </c>
      <c r="I65" s="523">
        <f>IFERROR(IF('Invullen groen'!O80=0,"",INT('Invullen groen'!O80)),"")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groen'!H81&gt;0,'Invullen groen'!H81,""),"")</f>
        <v/>
      </c>
      <c r="C66" s="524">
        <f>IFERROR(IF('Invullen groen'!J81&gt;0,'Invullen groen'!J81,""),"")</f>
        <v/>
      </c>
      <c r="D66" s="524" t="n"/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groen'!L81=0,"",INT('Invullen groen'!L81)),"")</f>
        <v/>
      </c>
      <c r="G66" s="525">
        <f>IFERROR(IF('Invullen groen'!M81=0,"",INT('Invullen groen'!M81)),"")</f>
        <v/>
      </c>
      <c r="H66" s="525">
        <f>IFERROR(IF('Invullen groen'!N81=0,"",INT('Invullen groen'!N81)),"")</f>
        <v/>
      </c>
      <c r="I66" s="525">
        <f>IFERROR(IF('Invullen groen'!O81=0,"",INT('Invullen groen'!O81)),"")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groen'!H82&gt;0,'Invullen groen'!H82,""),"")</f>
        <v/>
      </c>
      <c r="C67" s="522">
        <f>IFERROR(IF('Invullen groen'!J82&gt;0,'Invullen groen'!J82,""),"")</f>
        <v/>
      </c>
      <c r="D67" s="522" t="n"/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groen'!L82=0,"",INT('Invullen groen'!L82)),"")</f>
        <v/>
      </c>
      <c r="G67" s="523">
        <f>IFERROR(IF('Invullen groen'!M82=0,"",INT('Invullen groen'!M82)),"")</f>
        <v/>
      </c>
      <c r="H67" s="523">
        <f>IFERROR(IF('Invullen groen'!N82=0,"",INT('Invullen groen'!N82)),"")</f>
        <v/>
      </c>
      <c r="I67" s="523">
        <f>IFERROR(IF('Invullen groen'!O82=0,"",INT('Invullen groen'!O82)),"")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groen'!H83&gt;0,'Invullen groen'!H83,""),"")</f>
        <v/>
      </c>
      <c r="C68" s="524">
        <f>IFERROR(IF('Invullen groen'!J83&gt;0,'Invullen groen'!J83,""),"")</f>
        <v/>
      </c>
      <c r="D68" s="524" t="n"/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groen'!L83=0,"",INT('Invullen groen'!L83)),"")</f>
        <v/>
      </c>
      <c r="G68" s="525">
        <f>IFERROR(IF('Invullen groen'!M83=0,"",INT('Invullen groen'!M83)),"")</f>
        <v/>
      </c>
      <c r="H68" s="525">
        <f>IFERROR(IF('Invullen groen'!N83=0,"",INT('Invullen groen'!N83)),"")</f>
        <v/>
      </c>
      <c r="I68" s="525">
        <f>IFERROR(IF('Invullen groen'!O83=0,"",INT('Invullen groen'!O83)),"")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groen'!H84&gt;0,'Invullen groen'!H84,""),"")</f>
        <v/>
      </c>
      <c r="C69" s="522">
        <f>IFERROR(IF('Invullen groen'!J84&gt;0,'Invullen groen'!J84,""),"")</f>
        <v/>
      </c>
      <c r="D69" s="522" t="n"/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groen'!L84=0,"",INT('Invullen groen'!L84)),"")</f>
        <v/>
      </c>
      <c r="G69" s="523">
        <f>IFERROR(IF('Invullen groen'!M84=0,"",INT('Invullen groen'!M84)),"")</f>
        <v/>
      </c>
      <c r="H69" s="523">
        <f>IFERROR(IF('Invullen groen'!N84=0,"",INT('Invullen groen'!N84)),"")</f>
        <v/>
      </c>
      <c r="I69" s="523">
        <f>IFERROR(IF('Invullen groen'!O84=0,"",INT('Invullen groen'!O84)),"")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groen'!H85&gt;0,'Invullen groen'!H85,""),"")</f>
        <v/>
      </c>
      <c r="C70" s="524">
        <f>IFERROR(IF('Invullen groen'!J85&gt;0,'Invullen groen'!J85,""),"")</f>
        <v/>
      </c>
      <c r="D70" s="524" t="n"/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groen'!L85=0,"",INT('Invullen groen'!L85)),"")</f>
        <v/>
      </c>
      <c r="G70" s="525">
        <f>IFERROR(IF('Invullen groen'!M85=0,"",INT('Invullen groen'!M85)),"")</f>
        <v/>
      </c>
      <c r="H70" s="525">
        <f>IFERROR(IF('Invullen groen'!N85=0,"",INT('Invullen groen'!N85)),"")</f>
        <v/>
      </c>
      <c r="I70" s="525">
        <f>IFERROR(IF('Invullen groen'!O85=0,"",INT('Invullen groen'!O85)),"")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groen'!H86&gt;0,'Invullen groen'!H86,""),"")</f>
        <v/>
      </c>
      <c r="C71" s="522">
        <f>IFERROR(IF('Invullen groen'!J86&gt;0,'Invullen groen'!J86,""),"")</f>
        <v/>
      </c>
      <c r="D71" s="522" t="n"/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groen'!L86=0,"",INT('Invullen groen'!L86)),"")</f>
        <v/>
      </c>
      <c r="G71" s="523">
        <f>IFERROR(IF('Invullen groen'!M86=0,"",INT('Invullen groen'!M86)),"")</f>
        <v/>
      </c>
      <c r="H71" s="523">
        <f>IFERROR(IF('Invullen groen'!N86=0,"",INT('Invullen groen'!N86)),"")</f>
        <v/>
      </c>
      <c r="I71" s="523">
        <f>IFERROR(IF('Invullen groen'!O86=0,"",INT('Invullen groen'!O86)),"")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groen'!H87&gt;0,'Invullen groen'!H87,""),"")</f>
        <v/>
      </c>
      <c r="C72" s="524">
        <f>IFERROR(IF('Invullen groen'!J87&gt;0,'Invullen groen'!J87,""),"")</f>
        <v/>
      </c>
      <c r="D72" s="524" t="n"/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groen'!L87=0,"",INT('Invullen groen'!L87)),"")</f>
        <v/>
      </c>
      <c r="G72" s="525">
        <f>IFERROR(IF('Invullen groen'!M87=0,"",INT('Invullen groen'!M87)),"")</f>
        <v/>
      </c>
      <c r="H72" s="525">
        <f>IFERROR(IF('Invullen groen'!N87=0,"",INT('Invullen groen'!N87)),"")</f>
        <v/>
      </c>
      <c r="I72" s="525">
        <f>IFERROR(IF('Invullen groen'!O87=0,"",INT('Invullen groen'!O87)),"")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groen'!H88&gt;0,'Invullen groen'!H88,""),"")</f>
        <v/>
      </c>
      <c r="C73" s="522">
        <f>IFERROR(IF('Invullen groen'!J88&gt;0,'Invullen groen'!J88,""),"")</f>
        <v/>
      </c>
      <c r="D73" s="522" t="n"/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groen'!L88=0,"",INT('Invullen groen'!L88)),"")</f>
        <v/>
      </c>
      <c r="G73" s="523">
        <f>IFERROR(IF('Invullen groen'!M88=0,"",INT('Invullen groen'!M88)),"")</f>
        <v/>
      </c>
      <c r="H73" s="523">
        <f>IFERROR(IF('Invullen groen'!N88=0,"",INT('Invullen groen'!N88)),"")</f>
        <v/>
      </c>
      <c r="I73" s="523">
        <f>IFERROR(IF('Invullen groen'!O88=0,"",INT('Invullen groen'!O88)),"")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groen'!H89&gt;0,'Invullen groen'!H89,""),"")</f>
        <v/>
      </c>
      <c r="C74" s="524">
        <f>IFERROR(IF('Invullen groen'!J89&gt;0,'Invullen groen'!J89,""),"")</f>
        <v/>
      </c>
      <c r="D74" s="524" t="n"/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groen'!L89=0,"",INT('Invullen groen'!L89)),"")</f>
        <v/>
      </c>
      <c r="G74" s="525">
        <f>IFERROR(IF('Invullen groen'!M89=0,"",INT('Invullen groen'!M89)),"")</f>
        <v/>
      </c>
      <c r="H74" s="525">
        <f>IFERROR(IF('Invullen groen'!N89=0,"",INT('Invullen groen'!N89)),"")</f>
        <v/>
      </c>
      <c r="I74" s="525">
        <f>IFERROR(IF('Invullen groen'!O89=0,"",INT('Invullen groen'!O89)),"")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groen'!H90&gt;0,'Invullen groen'!H90,""),"")</f>
        <v/>
      </c>
      <c r="C75" s="522">
        <f>IFERROR(IF('Invullen groen'!J90&gt;0,'Invullen groen'!J90,""),"")</f>
        <v/>
      </c>
      <c r="D75" s="522" t="n"/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groen'!L90=0,"",INT('Invullen groen'!L90)),"")</f>
        <v/>
      </c>
      <c r="G75" s="523">
        <f>IFERROR(IF('Invullen groen'!M90=0,"",INT('Invullen groen'!M90)),"")</f>
        <v/>
      </c>
      <c r="H75" s="523">
        <f>IFERROR(IF('Invullen groen'!N90=0,"",INT('Invullen groen'!N90)),"")</f>
        <v/>
      </c>
      <c r="I75" s="523">
        <f>IFERROR(IF('Invullen groen'!O90=0,"",INT('Invullen groen'!O90)),"")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groen'!H91&gt;0,'Invullen groen'!H91,""),"")</f>
        <v/>
      </c>
      <c r="C76" s="524">
        <f>IFERROR(IF('Invullen groen'!J91&gt;0,'Invullen groen'!J91,""),"")</f>
        <v/>
      </c>
      <c r="D76" s="508" t="n"/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groen'!L91=0,"",INT('Invullen groen'!L91)),"")</f>
        <v/>
      </c>
      <c r="G76" s="525">
        <f>IFERROR(IF('Invullen groen'!M91=0,"",INT('Invullen groen'!M91)),"")</f>
        <v/>
      </c>
      <c r="H76" s="525">
        <f>IFERROR(IF('Invullen groen'!N91=0,"",INT('Invullen groen'!N91)),"")</f>
        <v/>
      </c>
      <c r="I76" s="525">
        <f>IFERROR(IF('Invullen groen'!O91=0,"",INT('Invullen groen'!O91)),"")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groen'!H92&gt;0,'Invullen groen'!H92,""),"")</f>
        <v/>
      </c>
      <c r="C77" s="522">
        <f>IFERROR(IF('Invullen groen'!J92&gt;0,'Invullen groen'!J92,""),"")</f>
        <v/>
      </c>
      <c r="D77" s="526" t="n"/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groen'!L92=0,"",INT('Invullen groen'!L92)),"")</f>
        <v/>
      </c>
      <c r="G77" s="523">
        <f>IFERROR(IF('Invullen groen'!M92=0,"",INT('Invullen groen'!M92)),"")</f>
        <v/>
      </c>
      <c r="H77" s="523">
        <f>IFERROR(IF('Invullen groen'!N92=0,"",INT('Invullen groen'!N92)),"")</f>
        <v/>
      </c>
      <c r="I77" s="523">
        <f>IFERROR(IF('Invullen groen'!O92=0,"",INT('Invullen groen'!O92)),"")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groen'!H93&gt;0,'Invullen groen'!H93,""),"")</f>
        <v/>
      </c>
      <c r="C78" s="524">
        <f>IFERROR(IF('Invullen groen'!J93&gt;0,'Invullen groen'!J93,""),"")</f>
        <v/>
      </c>
      <c r="D78" s="508" t="n"/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groen'!L93=0,"",INT('Invullen groen'!L93)),"")</f>
        <v/>
      </c>
      <c r="G78" s="525">
        <f>IFERROR(IF('Invullen groen'!M93=0,"",INT('Invullen groen'!M93)),"")</f>
        <v/>
      </c>
      <c r="H78" s="525">
        <f>IFERROR(IF('Invullen groen'!N93=0,"",INT('Invullen groen'!N93)),"")</f>
        <v/>
      </c>
      <c r="I78" s="525">
        <f>IFERROR(IF('Invullen groen'!O93=0,"",INT('Invullen groen'!O93)),"")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groen'!H94&gt;0,'Invullen groen'!H94,""),"")</f>
        <v/>
      </c>
      <c r="C79" s="522">
        <f>IFERROR(IF('Invullen groen'!J94&gt;0,'Invullen groen'!J94,""),"")</f>
        <v/>
      </c>
      <c r="D79" s="526" t="n"/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groen'!L94=0,"",INT('Invullen groen'!L94)),"")</f>
        <v/>
      </c>
      <c r="G79" s="523">
        <f>IFERROR(IF('Invullen groen'!M94=0,"",INT('Invullen groen'!M94)),"")</f>
        <v/>
      </c>
      <c r="H79" s="523">
        <f>IFERROR(IF('Invullen groen'!N94=0,"",INT('Invullen groen'!N94)),"")</f>
        <v/>
      </c>
      <c r="I79" s="523">
        <f>IFERROR(IF('Invullen groen'!O94=0,"",INT('Invullen groen'!O94)),"")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groen'!H95&gt;0,'Invullen groen'!H95,""),"")</f>
        <v/>
      </c>
      <c r="C80" s="524">
        <f>IFERROR(IF('Invullen groen'!J95&gt;0,'Invullen groen'!J95,""),"")</f>
        <v/>
      </c>
      <c r="D80" s="508" t="n"/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groen'!L95=0,"",INT('Invullen groen'!L95)),"")</f>
        <v/>
      </c>
      <c r="G80" s="525">
        <f>IFERROR(IF('Invullen groen'!M95=0,"",INT('Invullen groen'!M95)),"")</f>
        <v/>
      </c>
      <c r="H80" s="525">
        <f>IFERROR(IF('Invullen groen'!N95=0,"",INT('Invullen groen'!N95)),"")</f>
        <v/>
      </c>
      <c r="I80" s="525">
        <f>IFERROR(IF('Invullen groen'!O95=0,"",INT('Invullen groen'!O95)),"")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groen'!H96&gt;0,'Invullen groen'!H96,""),"")</f>
        <v/>
      </c>
      <c r="C81" s="522">
        <f>IFERROR(IF('Invullen groen'!J96&gt;0,'Invullen groen'!J96,""),"")</f>
        <v/>
      </c>
      <c r="D81" s="526" t="n"/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groen'!L96=0,"",INT('Invullen groen'!L96)),"")</f>
        <v/>
      </c>
      <c r="G81" s="523">
        <f>IFERROR(IF('Invullen groen'!M96=0,"",INT('Invullen groen'!M96)),"")</f>
        <v/>
      </c>
      <c r="H81" s="523">
        <f>IFERROR(IF('Invullen groen'!N96=0,"",INT('Invullen groen'!N96)),"")</f>
        <v/>
      </c>
      <c r="I81" s="523">
        <f>IFERROR(IF('Invullen groen'!O96=0,"",INT('Invullen groen'!O96)),"")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groen'!H97&gt;0,'Invullen groen'!H97,""),"")</f>
        <v/>
      </c>
      <c r="C82" s="524">
        <f>IFERROR(IF('Invullen groen'!J97&gt;0,'Invullen groen'!J97,""),"")</f>
        <v/>
      </c>
      <c r="D82" s="508" t="n"/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groen'!L97=0,"",INT('Invullen groen'!L97)),"")</f>
        <v/>
      </c>
      <c r="G82" s="525">
        <f>IFERROR(IF('Invullen groen'!M97=0,"",INT('Invullen groen'!M97)),"")</f>
        <v/>
      </c>
      <c r="H82" s="525">
        <f>IFERROR(IF('Invullen groen'!N97=0,"",INT('Invullen groen'!N97)),"")</f>
        <v/>
      </c>
      <c r="I82" s="525">
        <f>IFERROR(IF('Invullen groen'!O97=0,"",INT('Invullen groen'!O97)),"")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groen'!H98&gt;0,'Invullen groen'!H98,""),"")</f>
        <v/>
      </c>
      <c r="C83" s="522">
        <f>IFERROR(IF('Invullen groen'!J98&gt;0,'Invullen groen'!J98,""),"")</f>
        <v/>
      </c>
      <c r="D83" s="526" t="n"/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groen'!L98=0,"",INT('Invullen groen'!L98)),"")</f>
        <v/>
      </c>
      <c r="G83" s="523">
        <f>IFERROR(IF('Invullen groen'!M98=0,"",INT('Invullen groen'!M98)),"")</f>
        <v/>
      </c>
      <c r="H83" s="523">
        <f>IFERROR(IF('Invullen groen'!N98=0,"",INT('Invullen groen'!N98)),"")</f>
        <v/>
      </c>
      <c r="I83" s="523">
        <f>IFERROR(IF('Invullen groen'!O98=0,"",INT('Invullen groen'!O98)),"")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groen'!H99&gt;0,'Invullen groen'!H99,""),"")</f>
        <v/>
      </c>
      <c r="C84" s="524">
        <f>IFERROR(IF('Invullen groen'!J99&gt;0,'Invullen groen'!J99,""),"")</f>
        <v/>
      </c>
      <c r="D84" s="508" t="n"/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groen'!L99=0,"",INT('Invullen groen'!L99)),"")</f>
        <v/>
      </c>
      <c r="G84" s="525">
        <f>IFERROR(IF('Invullen groen'!M99=0,"",INT('Invullen groen'!M99)),"")</f>
        <v/>
      </c>
      <c r="H84" s="525">
        <f>IFERROR(IF('Invullen groen'!N99=0,"",INT('Invullen groen'!N99)),"")</f>
        <v/>
      </c>
      <c r="I84" s="525">
        <f>IFERROR(IF('Invullen groen'!O99=0,"",INT('Invullen groen'!O99)),"")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groen'!H100&gt;0,'Invullen groen'!H100,""),"")</f>
        <v/>
      </c>
      <c r="C85" s="522">
        <f>IFERROR(IF('Invullen groen'!J100&gt;0,'Invullen groen'!J100,""),"")</f>
        <v/>
      </c>
      <c r="D85" s="526" t="n"/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groen'!L100=0,"",INT('Invullen groen'!L100)),"")</f>
        <v/>
      </c>
      <c r="G85" s="523">
        <f>IFERROR(IF('Invullen groen'!M100=0,"",INT('Invullen groen'!M100)),"")</f>
        <v/>
      </c>
      <c r="H85" s="523">
        <f>IFERROR(IF('Invullen groen'!N100=0,"",INT('Invullen groen'!N100)),"")</f>
        <v/>
      </c>
      <c r="I85" s="523">
        <f>IFERROR(IF('Invullen groen'!O100=0,"",INT('Invullen groen'!O100)),"")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groen'!H101&gt;0,'Invullen groen'!H101,""),"")</f>
        <v/>
      </c>
      <c r="C86" s="524">
        <f>IFERROR(IF('Invullen groen'!J101&gt;0,'Invullen groen'!J101,""),"")</f>
        <v/>
      </c>
      <c r="D86" s="508" t="n"/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groen'!L101=0,"",INT('Invullen groen'!L101)),"")</f>
        <v/>
      </c>
      <c r="G86" s="525">
        <f>IFERROR(IF('Invullen groen'!M101=0,"",INT('Invullen groen'!M101)),"")</f>
        <v/>
      </c>
      <c r="H86" s="525">
        <f>IFERROR(IF('Invullen groen'!N101=0,"",INT('Invullen groen'!N101)),"")</f>
        <v/>
      </c>
      <c r="I86" s="525">
        <f>IFERROR(IF('Invullen groen'!O101=0,"",INT('Invullen groen'!O101)),"")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groen'!H102&gt;0,'Invullen groen'!H102,""),"")</f>
        <v/>
      </c>
      <c r="C87" s="522">
        <f>IFERROR(IF('Invullen groen'!J102&gt;0,'Invullen groen'!J102,""),"")</f>
        <v/>
      </c>
      <c r="D87" s="526" t="n"/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groen'!L102=0,"",INT('Invullen groen'!L102)),"")</f>
        <v/>
      </c>
      <c r="G87" s="523">
        <f>IFERROR(IF('Invullen groen'!M102=0,"",INT('Invullen groen'!M102)),"")</f>
        <v/>
      </c>
      <c r="H87" s="523">
        <f>IFERROR(IF('Invullen groen'!N102=0,"",INT('Invullen groen'!N102)),"")</f>
        <v/>
      </c>
      <c r="I87" s="523">
        <f>IFERROR(IF('Invullen groen'!O102=0,"",INT('Invullen groen'!O102)),"")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groen'!H103&gt;0,'Invullen groen'!H103,""),"")</f>
        <v/>
      </c>
      <c r="C88" s="524">
        <f>IFERROR(IF('Invullen groen'!J103&gt;0,'Invullen groen'!J103,""),"")</f>
        <v/>
      </c>
      <c r="D88" s="508" t="n"/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groen'!L103=0,"",INT('Invullen groen'!L103)),"")</f>
        <v/>
      </c>
      <c r="G88" s="525">
        <f>IFERROR(IF('Invullen groen'!M103=0,"",INT('Invullen groen'!M103)),"")</f>
        <v/>
      </c>
      <c r="H88" s="525">
        <f>IFERROR(IF('Invullen groen'!N103=0,"",INT('Invullen groen'!N103)),"")</f>
        <v/>
      </c>
      <c r="I88" s="525">
        <f>IFERROR(IF('Invullen groen'!O103=0,"",INT('Invullen groen'!O103)),"")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groen'!H104&gt;0,'Invullen groen'!H104,""),"")</f>
        <v/>
      </c>
      <c r="C89" s="522">
        <f>IFERROR(IF('Invullen groen'!J104&gt;0,'Invullen groen'!J104,""),"")</f>
        <v/>
      </c>
      <c r="D89" s="526" t="n"/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groen'!L104=0,"",INT('Invullen groen'!L104)),"")</f>
        <v/>
      </c>
      <c r="G89" s="523">
        <f>IFERROR(IF('Invullen groen'!M104=0,"",INT('Invullen groen'!M104)),"")</f>
        <v/>
      </c>
      <c r="H89" s="523">
        <f>IFERROR(IF('Invullen groen'!N104=0,"",INT('Invullen groen'!N104)),"")</f>
        <v/>
      </c>
      <c r="I89" s="523">
        <f>IFERROR(IF('Invullen groen'!O104=0,"",INT('Invullen groen'!O104)),"")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groen'!H105&gt;0,'Invullen groen'!H105,""),"")</f>
        <v/>
      </c>
      <c r="C90" s="524">
        <f>IFERROR(IF('Invullen groen'!J105&gt;0,'Invullen groen'!J105,""),"")</f>
        <v/>
      </c>
      <c r="D90" s="508" t="n"/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groen'!L105=0,"",INT('Invullen groen'!L105)),"")</f>
        <v/>
      </c>
      <c r="G90" s="525">
        <f>IFERROR(IF('Invullen groen'!M105=0,"",INT('Invullen groen'!M105)),"")</f>
        <v/>
      </c>
      <c r="H90" s="525">
        <f>IFERROR(IF('Invullen groen'!N105=0,"",INT('Invullen groen'!N105)),"")</f>
        <v/>
      </c>
      <c r="I90" s="525">
        <f>IFERROR(IF('Invullen groen'!O105=0,"",INT('Invullen groen'!O105)),"")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groen'!H106&gt;0,'Invullen groen'!H106,""),"")</f>
        <v/>
      </c>
      <c r="C91" s="522">
        <f>IFERROR(IF('Invullen groen'!J106&gt;0,'Invullen groen'!J106,""),"")</f>
        <v/>
      </c>
      <c r="D91" s="526" t="n"/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groen'!L106=0,"",INT('Invullen groen'!L106)),"")</f>
        <v/>
      </c>
      <c r="G91" s="523">
        <f>IFERROR(IF('Invullen groen'!M106=0,"",INT('Invullen groen'!M106)),"")</f>
        <v/>
      </c>
      <c r="H91" s="523">
        <f>IFERROR(IF('Invullen groen'!N106=0,"",INT('Invullen groen'!N106)),"")</f>
        <v/>
      </c>
      <c r="I91" s="523">
        <f>IFERROR(IF('Invullen groen'!O106=0,"",INT('Invullen groen'!O106)),"")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groen'!H107&gt;0,'Invullen groen'!H107,""),"")</f>
        <v/>
      </c>
      <c r="C92" s="524">
        <f>IFERROR(IF('Invullen groen'!J107&gt;0,'Invullen groen'!J107,""),"")</f>
        <v/>
      </c>
      <c r="D92" s="508" t="n"/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groen'!L107=0,"",INT('Invullen groen'!L107)),"")</f>
        <v/>
      </c>
      <c r="G92" s="525">
        <f>IFERROR(IF('Invullen groen'!M107=0,"",INT('Invullen groen'!M107)),"")</f>
        <v/>
      </c>
      <c r="H92" s="525">
        <f>IFERROR(IF('Invullen groen'!N107=0,"",INT('Invullen groen'!N107)),"")</f>
        <v/>
      </c>
      <c r="I92" s="525">
        <f>IFERROR(IF('Invullen groen'!O107=0,"",INT('Invullen groen'!O107)),"")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groen'!H108&gt;0,'Invullen groen'!H108,""),"")</f>
        <v/>
      </c>
      <c r="C93" s="522">
        <f>IFERROR(IF('Invullen groen'!J108&gt;0,'Invullen groen'!J108,""),"")</f>
        <v/>
      </c>
      <c r="D93" s="526" t="n"/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groen'!L108=0,"",INT('Invullen groen'!L108)),"")</f>
        <v/>
      </c>
      <c r="G93" s="523">
        <f>IFERROR(IF('Invullen groen'!M108=0,"",INT('Invullen groen'!M108)),"")</f>
        <v/>
      </c>
      <c r="H93" s="523">
        <f>IFERROR(IF('Invullen groen'!N108=0,"",INT('Invullen groen'!N108)),"")</f>
        <v/>
      </c>
      <c r="I93" s="523">
        <f>IFERROR(IF('Invullen groen'!O108=0,"",INT('Invullen groen'!O108)),"")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groen'!H109&gt;0,'Invullen groen'!H109,""),"")</f>
        <v/>
      </c>
      <c r="C94" s="524">
        <f>IFERROR(IF('Invullen groen'!J109&gt;0,'Invullen groen'!J109,""),"")</f>
        <v/>
      </c>
      <c r="D94" s="508" t="n"/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groen'!L109=0,"",INT('Invullen groen'!L109)),"")</f>
        <v/>
      </c>
      <c r="G94" s="525">
        <f>IFERROR(IF('Invullen groen'!M109=0,"",INT('Invullen groen'!M109)),"")</f>
        <v/>
      </c>
      <c r="H94" s="525">
        <f>IFERROR(IF('Invullen groen'!N109=0,"",INT('Invullen groen'!N109)),"")</f>
        <v/>
      </c>
      <c r="I94" s="525">
        <f>IFERROR(IF('Invullen groen'!O109=0,"",INT('Invullen groen'!O109)),"")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 t="n"/>
      <c r="B95" s="526" t="n"/>
      <c r="C95" s="526" t="n"/>
      <c r="D95" s="526" t="n"/>
      <c r="E95" s="526" t="n"/>
      <c r="F95" s="527" t="n"/>
      <c r="G95" s="527" t="n"/>
      <c r="H95" s="527" t="n"/>
      <c r="I95" s="527" t="n"/>
      <c r="J95" s="526" t="n"/>
      <c r="K95" s="52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>
        <f>IFERROR('Invullen groen'!L4,"")</f>
        <v/>
      </c>
      <c r="I2" s="485" t="n"/>
      <c r="J2" s="485" t="n"/>
      <c r="K2" s="485" t="n"/>
      <c r="L2" s="485" t="n"/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7" t="n"/>
      <c r="I3" s="558" t="n"/>
      <c r="J3" s="555" t="n"/>
      <c r="K3" s="555" t="n"/>
      <c r="L3" s="555" t="n"/>
      <c r="M3" s="555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559" t="inlineStr">
        <is>
          <t>Nummer wijziging:</t>
        </is>
      </c>
      <c r="H4" s="460" t="n"/>
      <c r="I4" s="560" t="n"/>
      <c r="J4" s="559" t="n"/>
      <c r="K4" s="559" t="n"/>
      <c r="L4" s="559" t="n"/>
      <c r="M4" s="559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08" t="n"/>
      <c r="I5" s="563" t="n"/>
      <c r="J5" s="562" t="n"/>
      <c r="K5" s="562" t="n"/>
      <c r="L5" s="564" t="n"/>
      <c r="M5" s="562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6" t="inlineStr">
        <is>
          <t>Corsanummer wijziging:</t>
        </is>
      </c>
      <c r="H6" s="508" t="n"/>
      <c r="I6" s="567" t="n"/>
      <c r="J6" s="561" t="n"/>
      <c r="K6" s="561" t="n"/>
      <c r="L6" s="565" t="n"/>
      <c r="M6" s="562" t="n"/>
      <c r="N6" s="562" t="n"/>
      <c r="O6" s="562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6" t="inlineStr">
        <is>
          <t>Corsanummer raadsvoorstel:</t>
        </is>
      </c>
      <c r="H7" s="508" t="n"/>
      <c r="I7" s="563" t="n"/>
      <c r="J7" s="562" t="n"/>
      <c r="K7" s="562" t="n"/>
      <c r="L7" s="565" t="n"/>
      <c r="M7" s="562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08" t="n"/>
      <c r="I8" s="563" t="n"/>
      <c r="J8" s="562" t="n"/>
      <c r="K8" s="562" t="n"/>
      <c r="L8" s="562" t="n"/>
      <c r="M8" s="562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2" t="n"/>
      <c r="C9" s="562" t="n"/>
      <c r="D9" s="562" t="n"/>
      <c r="E9" s="562" t="n"/>
      <c r="F9" s="562" t="n"/>
      <c r="G9" s="562" t="n"/>
      <c r="H9" s="508" t="n"/>
      <c r="I9" s="563" t="n"/>
      <c r="J9" s="562" t="n"/>
      <c r="K9" s="562" t="n"/>
      <c r="L9" s="562" t="n"/>
      <c r="M9" s="562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08" t="n"/>
      <c r="I10" s="563" t="n"/>
      <c r="J10" s="562" t="n"/>
      <c r="K10" s="562" t="n"/>
      <c r="L10" s="562" t="n"/>
      <c r="M10" s="562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8" t="n"/>
      <c r="I11" s="567" t="n"/>
      <c r="J11" s="561" t="n"/>
      <c r="K11" s="561" t="n"/>
      <c r="L11" s="569" t="inlineStr">
        <is>
          <t>-/- = baten</t>
        </is>
      </c>
      <c r="M11" s="561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464" t="n"/>
      <c r="I12" s="572" t="n"/>
      <c r="J12" s="571" t="n"/>
      <c r="K12" s="570" t="n"/>
      <c r="L12" s="573" t="n"/>
      <c r="M12" s="573" t="n"/>
      <c r="N12" s="573" t="n"/>
      <c r="O12" s="574" t="n"/>
      <c r="P12" s="464" t="n"/>
    </row>
    <row r="13" ht="16" customFormat="1" customHeight="1" s="98">
      <c r="A13" s="575" t="inlineStr">
        <is>
          <t>Programma</t>
        </is>
      </c>
      <c r="B13" s="576" t="inlineStr">
        <is>
          <t>Nr. hoofd-</t>
        </is>
      </c>
      <c r="C13" s="576" t="inlineStr">
        <is>
          <t>Nr taak-</t>
        </is>
      </c>
      <c r="D13" s="576" t="inlineStr">
        <is>
          <t>Omschrijving taakveld</t>
        </is>
      </c>
      <c r="E13" s="577" t="inlineStr">
        <is>
          <t>Nr grootboek</t>
        </is>
      </c>
      <c r="F13" s="576" t="inlineStr">
        <is>
          <t>Begr w</t>
        </is>
      </c>
      <c r="G13" s="576" t="inlineStr">
        <is>
          <t>Omschrijving grootboek</t>
        </is>
      </c>
      <c r="H13" s="578" t="inlineStr">
        <is>
          <t>Nr kosten</t>
        </is>
      </c>
      <c r="I13" s="579" t="inlineStr">
        <is>
          <t>Omschrijving kostencategorie</t>
        </is>
      </c>
      <c r="J13" s="576" t="inlineStr">
        <is>
          <t>Nr ver-</t>
        </is>
      </c>
      <c r="K13" s="576" t="inlineStr">
        <is>
          <t xml:space="preserve">Omschrijving </t>
        </is>
      </c>
      <c r="L13" s="576" t="inlineStr">
        <is>
          <t>Begrotings-</t>
        </is>
      </c>
      <c r="M13" s="576" t="inlineStr">
        <is>
          <t>Mjr</t>
        </is>
      </c>
      <c r="N13" s="576" t="inlineStr">
        <is>
          <t>Mjr</t>
        </is>
      </c>
      <c r="O13" s="576" t="inlineStr">
        <is>
          <t>Mjr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16" customFormat="1" customHeight="1" s="98">
      <c r="A14" s="575" t="n"/>
      <c r="B14" s="576" t="inlineStr">
        <is>
          <t>taakveld</t>
        </is>
      </c>
      <c r="C14" s="576" t="inlineStr">
        <is>
          <t>veld</t>
        </is>
      </c>
      <c r="D14" s="576" t="n"/>
      <c r="E14" s="577" t="n"/>
      <c r="F14" s="581" t="n"/>
      <c r="G14" s="582" t="n"/>
      <c r="H14" s="578" t="inlineStr">
        <is>
          <t>Cat</t>
        </is>
      </c>
      <c r="I14" s="579" t="n"/>
      <c r="J14" s="581" t="inlineStr">
        <is>
          <t>bijzondering</t>
        </is>
      </c>
      <c r="K14" s="581" t="inlineStr">
        <is>
          <t>verbijzondering</t>
        </is>
      </c>
      <c r="L14" s="576" t="inlineStr">
        <is>
          <t>jaar 2026</t>
        </is>
      </c>
      <c r="M14" s="576" t="inlineStr">
        <is>
          <t>jaar 2027</t>
        </is>
      </c>
      <c r="N14" s="576" t="inlineStr">
        <is>
          <t>jaar 2028</t>
        </is>
      </c>
      <c r="O14" s="576" t="inlineStr">
        <is>
          <t>jaar 2029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16" customHeight="1">
      <c r="A15" s="575" t="n"/>
      <c r="B15" s="576" t="n"/>
      <c r="C15" s="576" t="n"/>
      <c r="D15" s="576" t="n"/>
      <c r="E15" s="576" t="n"/>
      <c r="F15" s="581" t="n"/>
      <c r="G15" s="582" t="n"/>
      <c r="H15" s="583" t="n"/>
      <c r="I15" s="579" t="n"/>
      <c r="J15" s="581" t="n"/>
      <c r="K15" s="581" t="n"/>
      <c r="L15" s="576" t="n"/>
      <c r="M15" s="576" t="n"/>
      <c r="N15" s="576" t="n"/>
      <c r="O15" s="576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584" t="inlineStr">
        <is>
          <t>A. Uitgaven en inkomsten</t>
        </is>
      </c>
      <c r="B16" s="585" t="n"/>
      <c r="C16" s="585" t="n"/>
      <c r="D16" s="584" t="n"/>
      <c r="E16" s="585" t="n"/>
      <c r="F16" s="586" t="n"/>
      <c r="G16" s="587" t="n"/>
      <c r="H16" s="588" t="n"/>
      <c r="I16" s="589" t="n"/>
      <c r="J16" s="586" t="n"/>
      <c r="K16" s="590" t="n"/>
      <c r="L16" s="591" t="n"/>
      <c r="M16" s="591" t="n"/>
      <c r="N16" s="591" t="n"/>
      <c r="O16" s="591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593">
        <f>IFERROR(VLOOKUP(E17,Tabellen!A:F,4),0)</f>
        <v/>
      </c>
      <c r="B17" s="593" t="n"/>
      <c r="C17" s="593">
        <f>IFERROR(VLOOKUP(E17,Tabellen!A:F,5),0)</f>
        <v/>
      </c>
      <c r="D17" s="593">
        <f>IFERROR(VLOOKUP(E17,Tabellen!A:F,6),0)</f>
        <v/>
      </c>
      <c r="E17" s="594" t="n"/>
      <c r="F17" s="595" t="n"/>
      <c r="G17" s="596">
        <f>IFERROR(VLOOKUP(E17,Tabellen!A:F,2),0)</f>
        <v/>
      </c>
      <c r="H17" s="597">
        <f>IFERROR(VLOOKUP(E17,Tabellen!A:H,8),0)</f>
        <v/>
      </c>
      <c r="I17" s="598" t="n"/>
      <c r="J17" s="595" t="n"/>
      <c r="K17" s="595" t="n"/>
      <c r="L17" s="599" t="n"/>
      <c r="M17" s="599" t="n"/>
      <c r="N17" s="599" t="n"/>
      <c r="O17" s="599" t="n"/>
      <c r="P17" s="526" t="n"/>
      <c r="Q17" s="119" t="n"/>
      <c r="R17" s="119" t="n"/>
    </row>
    <row r="18" ht="15" customHeight="1">
      <c r="A18" s="491">
        <f>IFERROR(VLOOKUP(E18,Tabellen!A:F,4),0)</f>
        <v/>
      </c>
      <c r="B18" s="491" t="n"/>
      <c r="C18" s="491">
        <f>IFERROR(VLOOKUP(E18,Tabellen!A:F,5),0)</f>
        <v/>
      </c>
      <c r="D18" s="491">
        <f>IFERROR(VLOOKUP(E18,Tabellen!A:F,6),0)</f>
        <v/>
      </c>
      <c r="E18" s="594" t="n"/>
      <c r="F18" s="600">
        <f>IF(E18&gt;0,$L$4,0)</f>
        <v/>
      </c>
      <c r="G18" s="491">
        <f>IFERROR(VLOOKUP(E18,Tabellen!A:F,2),0)</f>
        <v/>
      </c>
      <c r="H18" s="601">
        <f>IFERROR(VLOOKUP(E18,Tabellen!A:H,8),0)</f>
        <v/>
      </c>
      <c r="I18" s="602">
        <f>IFERROR(VLOOKUP(H18,Tabellen!H:I,2),0)</f>
        <v/>
      </c>
      <c r="J18" s="603" t="n"/>
      <c r="K18" s="603" t="n"/>
      <c r="L18" s="599" t="n"/>
      <c r="M18" s="599" t="n"/>
      <c r="N18" s="599" t="n"/>
      <c r="O18" s="599" t="n"/>
      <c r="P18" s="508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494">
        <f>IFERROR(VLOOKUP(E19,Tabellen!A:F,4),0)</f>
        <v/>
      </c>
      <c r="B19" s="494" t="n"/>
      <c r="C19" s="494">
        <f>IFERROR(VLOOKUP(E19,Tabellen!A:F,5),0)</f>
        <v/>
      </c>
      <c r="D19" s="494">
        <f>IFERROR(VLOOKUP(E19,Tabellen!A:F,6),0)</f>
        <v/>
      </c>
      <c r="E19" s="594" t="n"/>
      <c r="F19" s="604">
        <f>IF(E19&gt;0,$L$4,0)</f>
        <v/>
      </c>
      <c r="G19" s="494">
        <f>IFERROR(VLOOKUP(E19,Tabellen!A:F,2),0)</f>
        <v/>
      </c>
      <c r="H19" s="597">
        <f>IFERROR(VLOOKUP(E19,Tabellen!A:H,8),0)</f>
        <v/>
      </c>
      <c r="I19" s="605">
        <f>IFERROR(VLOOKUP(H19,Tabellen!H:I,2),0)</f>
        <v/>
      </c>
      <c r="J19" s="595" t="n"/>
      <c r="K19" s="595" t="n"/>
      <c r="L19" s="599" t="n"/>
      <c r="M19" s="599" t="n"/>
      <c r="N19" s="599" t="n"/>
      <c r="O19" s="599" t="n"/>
      <c r="P19" s="526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491">
        <f>IFERROR(VLOOKUP(E20,Tabellen!A:F,4),0)</f>
        <v/>
      </c>
      <c r="B20" s="491" t="n"/>
      <c r="C20" s="491">
        <f>IFERROR(VLOOKUP(E20,Tabellen!A:F,5),0)</f>
        <v/>
      </c>
      <c r="D20" s="491">
        <f>IFERROR(VLOOKUP(E20,Tabellen!A:F,6),0)</f>
        <v/>
      </c>
      <c r="E20" s="594" t="n"/>
      <c r="F20" s="600">
        <f>IF(E20&gt;0,$L$4,0)</f>
        <v/>
      </c>
      <c r="G20" s="491">
        <f>IFERROR(VLOOKUP(E20,Tabellen!A:F,2),0)</f>
        <v/>
      </c>
      <c r="H20" s="601">
        <f>IFERROR(VLOOKUP(E20,Tabellen!A:H,8),0)</f>
        <v/>
      </c>
      <c r="I20" s="602">
        <f>IFERROR(VLOOKUP(H20,Tabellen!H:I,2),0)</f>
        <v/>
      </c>
      <c r="J20" s="603" t="n"/>
      <c r="K20" s="603" t="n"/>
      <c r="L20" s="599" t="n"/>
      <c r="M20" s="599" t="n"/>
      <c r="N20" s="599" t="n"/>
      <c r="O20" s="599" t="n"/>
      <c r="P20" s="508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494">
        <f>IFERROR(VLOOKUP(E21,Tabellen!A:F,4),0)</f>
        <v/>
      </c>
      <c r="B21" s="494" t="n"/>
      <c r="C21" s="494">
        <f>IFERROR(VLOOKUP(E21,Tabellen!A:F,5),0)</f>
        <v/>
      </c>
      <c r="D21" s="494">
        <f>IFERROR(VLOOKUP(E21,Tabellen!A:F,6),0)</f>
        <v/>
      </c>
      <c r="E21" s="594" t="n"/>
      <c r="F21" s="604">
        <f>IF(E21&gt;0,$L$4,0)</f>
        <v/>
      </c>
      <c r="G21" s="494">
        <f>IFERROR(VLOOKUP(E21,Tabellen!A:F,2),0)</f>
        <v/>
      </c>
      <c r="H21" s="597">
        <f>IFERROR(VLOOKUP(E21,Tabellen!A:H,8),0)</f>
        <v/>
      </c>
      <c r="I21" s="605">
        <f>IFERROR(VLOOKUP(H21,Tabellen!H:I,2),0)</f>
        <v/>
      </c>
      <c r="J21" s="595" t="n"/>
      <c r="K21" s="595" t="n"/>
      <c r="L21" s="599" t="n"/>
      <c r="M21" s="599" t="n"/>
      <c r="N21" s="599" t="n"/>
      <c r="O21" s="599" t="n"/>
      <c r="P21" s="526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491">
        <f>IFERROR(VLOOKUP(E22,Tabellen!A:F,4),0)</f>
        <v/>
      </c>
      <c r="B22" s="491" t="n"/>
      <c r="C22" s="491">
        <f>IFERROR(VLOOKUP(E22,Tabellen!A:F,5),0)</f>
        <v/>
      </c>
      <c r="D22" s="491">
        <f>IFERROR(VLOOKUP(E22,Tabellen!A:F,6),0)</f>
        <v/>
      </c>
      <c r="E22" s="594" t="n"/>
      <c r="F22" s="600">
        <f>IF(E22&gt;0,$L$4,0)</f>
        <v/>
      </c>
      <c r="G22" s="491">
        <f>IFERROR(VLOOKUP(E22,Tabellen!A:F,2),0)</f>
        <v/>
      </c>
      <c r="H22" s="601">
        <f>IFERROR(VLOOKUP(E22,Tabellen!A:H,8),0)</f>
        <v/>
      </c>
      <c r="I22" s="602">
        <f>IFERROR(VLOOKUP(H22,Tabellen!H:I,2),0)</f>
        <v/>
      </c>
      <c r="J22" s="603" t="n"/>
      <c r="K22" s="603" t="n"/>
      <c r="L22" s="599" t="n"/>
      <c r="M22" s="599" t="n"/>
      <c r="N22" s="599" t="n"/>
      <c r="O22" s="599" t="n"/>
      <c r="P22" s="508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494">
        <f>IFERROR(VLOOKUP(E23,Tabellen!A:F,4),0)</f>
        <v/>
      </c>
      <c r="B23" s="494" t="n"/>
      <c r="C23" s="494">
        <f>IFERROR(VLOOKUP(E23,Tabellen!A:F,5),0)</f>
        <v/>
      </c>
      <c r="D23" s="494">
        <f>IFERROR(VLOOKUP(E23,Tabellen!A:F,6),0)</f>
        <v/>
      </c>
      <c r="E23" s="594" t="n"/>
      <c r="F23" s="604">
        <f>IF(E23&gt;0,$L$4,0)</f>
        <v/>
      </c>
      <c r="G23" s="494">
        <f>IFERROR(VLOOKUP(E23,Tabellen!A:F,2),0)</f>
        <v/>
      </c>
      <c r="H23" s="597">
        <f>IFERROR(VLOOKUP(E23,Tabellen!A:H,8),0)</f>
        <v/>
      </c>
      <c r="I23" s="605">
        <f>IFERROR(VLOOKUP(H23,Tabellen!H:I,2),0)</f>
        <v/>
      </c>
      <c r="J23" s="595" t="n"/>
      <c r="K23" s="595" t="n"/>
      <c r="L23" s="599" t="n"/>
      <c r="M23" s="599" t="n"/>
      <c r="N23" s="599" t="n"/>
      <c r="O23" s="599" t="n"/>
      <c r="P23" s="526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491">
        <f>IFERROR(VLOOKUP(E24,Tabellen!A:F,4),0)</f>
        <v/>
      </c>
      <c r="B24" s="491" t="n"/>
      <c r="C24" s="491">
        <f>IFERROR(VLOOKUP(E24,Tabellen!A:F,5),0)</f>
        <v/>
      </c>
      <c r="D24" s="491">
        <f>IFERROR(VLOOKUP(E24,Tabellen!A:F,6),0)</f>
        <v/>
      </c>
      <c r="E24" s="594" t="n"/>
      <c r="F24" s="600">
        <f>IF(E24&gt;0,$L$4,0)</f>
        <v/>
      </c>
      <c r="G24" s="491">
        <f>IFERROR(VLOOKUP(E24,Tabellen!A:F,2),0)</f>
        <v/>
      </c>
      <c r="H24" s="601">
        <f>IFERROR(VLOOKUP(E24,Tabellen!A:H,8),0)</f>
        <v/>
      </c>
      <c r="I24" s="602">
        <f>IFERROR(VLOOKUP(H24,Tabellen!H:I,2),0)</f>
        <v/>
      </c>
      <c r="J24" s="603" t="n"/>
      <c r="K24" s="603" t="n"/>
      <c r="L24" s="599" t="n"/>
      <c r="M24" s="599" t="n"/>
      <c r="N24" s="599" t="n"/>
      <c r="O24" s="599" t="n"/>
      <c r="P24" s="508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494">
        <f>IFERROR(VLOOKUP(E25,Tabellen!A:F,4),0)</f>
        <v/>
      </c>
      <c r="B25" s="494" t="n"/>
      <c r="C25" s="494">
        <f>IFERROR(VLOOKUP(E25,Tabellen!A:F,5),0)</f>
        <v/>
      </c>
      <c r="D25" s="494">
        <f>IFERROR(VLOOKUP(E25,Tabellen!A:F,6),0)</f>
        <v/>
      </c>
      <c r="E25" s="594" t="n"/>
      <c r="F25" s="604">
        <f>IF(E25&gt;0,$L$4,0)</f>
        <v/>
      </c>
      <c r="G25" s="494">
        <f>IFERROR(VLOOKUP(E25,Tabellen!A:F,2),0)</f>
        <v/>
      </c>
      <c r="H25" s="597">
        <f>IFERROR(VLOOKUP(E25,Tabellen!A:H,8),0)</f>
        <v/>
      </c>
      <c r="I25" s="605">
        <f>IFERROR(VLOOKUP(H25,Tabellen!H:I,2),0)</f>
        <v/>
      </c>
      <c r="J25" s="595" t="n"/>
      <c r="K25" s="595" t="n"/>
      <c r="L25" s="599" t="n"/>
      <c r="M25" s="599" t="n"/>
      <c r="N25" s="599" t="n"/>
      <c r="O25" s="599" t="n"/>
      <c r="P25" s="526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491">
        <f>IFERROR(VLOOKUP(E26,Tabellen!A:F,4),0)</f>
        <v/>
      </c>
      <c r="B26" s="491" t="n"/>
      <c r="C26" s="491">
        <f>IFERROR(VLOOKUP(E26,Tabellen!A:F,5),0)</f>
        <v/>
      </c>
      <c r="D26" s="491">
        <f>IFERROR(VLOOKUP(E26,Tabellen!A:F,6),0)</f>
        <v/>
      </c>
      <c r="E26" s="594" t="n"/>
      <c r="F26" s="600">
        <f>IF(E26&gt;0,$L$4,0)</f>
        <v/>
      </c>
      <c r="G26" s="491">
        <f>IFERROR(VLOOKUP(E26,Tabellen!A:F,2),0)</f>
        <v/>
      </c>
      <c r="H26" s="601">
        <f>IFERROR(VLOOKUP(E26,Tabellen!A:H,8),0)</f>
        <v/>
      </c>
      <c r="I26" s="602">
        <f>IFERROR(VLOOKUP(H26,Tabellen!H:I,2),0)</f>
        <v/>
      </c>
      <c r="J26" s="603" t="n"/>
      <c r="K26" s="603" t="n"/>
      <c r="L26" s="599" t="n"/>
      <c r="M26" s="599" t="n"/>
      <c r="N26" s="599" t="n"/>
      <c r="O26" s="599" t="n"/>
      <c r="P26" s="508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494">
        <f>IFERROR(VLOOKUP(E27,Tabellen!A:F,4),0)</f>
        <v/>
      </c>
      <c r="B27" s="494" t="n"/>
      <c r="C27" s="494">
        <f>IFERROR(VLOOKUP(E27,Tabellen!A:F,5),0)</f>
        <v/>
      </c>
      <c r="D27" s="494">
        <f>IFERROR(VLOOKUP(E27,Tabellen!A:F,6),0)</f>
        <v/>
      </c>
      <c r="E27" s="594" t="n"/>
      <c r="F27" s="604">
        <f>IF(E27&gt;0,$L$4,0)</f>
        <v/>
      </c>
      <c r="G27" s="494">
        <f>IFERROR(VLOOKUP(E27,Tabellen!A:F,2),0)</f>
        <v/>
      </c>
      <c r="H27" s="597">
        <f>IFERROR(VLOOKUP(E27,Tabellen!A:H,8),0)</f>
        <v/>
      </c>
      <c r="I27" s="605">
        <f>IFERROR(VLOOKUP(H27,Tabellen!H:I,2),0)</f>
        <v/>
      </c>
      <c r="J27" s="595" t="n"/>
      <c r="K27" s="595" t="n"/>
      <c r="L27" s="599" t="n"/>
      <c r="M27" s="599" t="n"/>
      <c r="N27" s="599" t="n"/>
      <c r="O27" s="599" t="n"/>
      <c r="P27" s="526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491">
        <f>IFERROR(VLOOKUP(E28,Tabellen!A:F,4),0)</f>
        <v/>
      </c>
      <c r="B28" s="491" t="n"/>
      <c r="C28" s="491">
        <f>IFERROR(VLOOKUP(E28,Tabellen!A:F,5),0)</f>
        <v/>
      </c>
      <c r="D28" s="491">
        <f>IFERROR(VLOOKUP(E28,Tabellen!A:F,6),0)</f>
        <v/>
      </c>
      <c r="E28" s="594" t="n"/>
      <c r="F28" s="600">
        <f>IF(E28&gt;0,$L$4,0)</f>
        <v/>
      </c>
      <c r="G28" s="491">
        <f>IFERROR(VLOOKUP(E28,Tabellen!A:F,2),0)</f>
        <v/>
      </c>
      <c r="H28" s="601">
        <f>IFERROR(VLOOKUP(E28,Tabellen!A:H,8),0)</f>
        <v/>
      </c>
      <c r="I28" s="602">
        <f>IFERROR(VLOOKUP(H28,Tabellen!H:I,2),0)</f>
        <v/>
      </c>
      <c r="J28" s="603" t="n"/>
      <c r="K28" s="603" t="n"/>
      <c r="L28" s="599" t="n"/>
      <c r="M28" s="599" t="n"/>
      <c r="N28" s="599" t="n"/>
      <c r="O28" s="599" t="n"/>
      <c r="P28" s="508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494">
        <f>IFERROR(VLOOKUP(E29,Tabellen!A:F,4),0)</f>
        <v/>
      </c>
      <c r="B29" s="494" t="n"/>
      <c r="C29" s="494">
        <f>IFERROR(VLOOKUP(E29,Tabellen!A:F,5),0)</f>
        <v/>
      </c>
      <c r="D29" s="494">
        <f>IFERROR(VLOOKUP(E29,Tabellen!A:F,6),0)</f>
        <v/>
      </c>
      <c r="E29" s="594" t="n"/>
      <c r="F29" s="604">
        <f>IF(E29&gt;0,$L$4,0)</f>
        <v/>
      </c>
      <c r="G29" s="494">
        <f>IFERROR(VLOOKUP(E29,Tabellen!A:F,2),0)</f>
        <v/>
      </c>
      <c r="H29" s="597">
        <f>IFERROR(VLOOKUP(E29,Tabellen!A:H,8),0)</f>
        <v/>
      </c>
      <c r="I29" s="605">
        <f>IFERROR(VLOOKUP(H29,Tabellen!H:I,2),0)</f>
        <v/>
      </c>
      <c r="J29" s="595" t="n"/>
      <c r="K29" s="595" t="n"/>
      <c r="L29" s="599" t="n"/>
      <c r="M29" s="599" t="n"/>
      <c r="N29" s="599" t="n"/>
      <c r="O29" s="599" t="n"/>
      <c r="P29" s="526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491">
        <f>IFERROR(VLOOKUP(E30,Tabellen!A:F,4),0)</f>
        <v/>
      </c>
      <c r="B30" s="491" t="n"/>
      <c r="C30" s="491">
        <f>IFERROR(VLOOKUP(E30,Tabellen!A:F,5),0)</f>
        <v/>
      </c>
      <c r="D30" s="491">
        <f>IFERROR(VLOOKUP(E30,Tabellen!A:F,6),0)</f>
        <v/>
      </c>
      <c r="E30" s="594" t="n"/>
      <c r="F30" s="600">
        <f>IF(E30&gt;0,$L$4,0)</f>
        <v/>
      </c>
      <c r="G30" s="491">
        <f>IFERROR(VLOOKUP(E30,Tabellen!A:F,2),0)</f>
        <v/>
      </c>
      <c r="H30" s="601">
        <f>IFERROR(VLOOKUP(E30,Tabellen!A:H,8),0)</f>
        <v/>
      </c>
      <c r="I30" s="602">
        <f>IFERROR(VLOOKUP(H30,Tabellen!H:I,2),0)</f>
        <v/>
      </c>
      <c r="J30" s="603" t="n"/>
      <c r="K30" s="603" t="n"/>
      <c r="L30" s="599" t="n"/>
      <c r="M30" s="599" t="n"/>
      <c r="N30" s="599" t="n"/>
      <c r="O30" s="599" t="n"/>
      <c r="P30" s="508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494">
        <f>IFERROR(VLOOKUP(E31,Tabellen!A:F,4),0)</f>
        <v/>
      </c>
      <c r="B31" s="494" t="n"/>
      <c r="C31" s="494">
        <f>IFERROR(VLOOKUP(E31,Tabellen!A:F,5),0)</f>
        <v/>
      </c>
      <c r="D31" s="494">
        <f>IFERROR(VLOOKUP(E31,Tabellen!A:F,6),0)</f>
        <v/>
      </c>
      <c r="E31" s="594" t="n"/>
      <c r="F31" s="604">
        <f>IF(E31&gt;0,$L$4,0)</f>
        <v/>
      </c>
      <c r="G31" s="494">
        <f>IFERROR(VLOOKUP(E31,Tabellen!A:F,2),0)</f>
        <v/>
      </c>
      <c r="H31" s="597">
        <f>IFERROR(VLOOKUP(E31,Tabellen!A:H,8),0)</f>
        <v/>
      </c>
      <c r="I31" s="605">
        <f>IFERROR(VLOOKUP(H31,Tabellen!H:I,2),0)</f>
        <v/>
      </c>
      <c r="J31" s="595" t="n"/>
      <c r="K31" s="595" t="n"/>
      <c r="L31" s="599" t="n"/>
      <c r="M31" s="599" t="n"/>
      <c r="N31" s="599" t="n"/>
      <c r="O31" s="599" t="n"/>
      <c r="P31" s="526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491">
        <f>IFERROR(VLOOKUP(E32,Tabellen!A:F,4),0)</f>
        <v/>
      </c>
      <c r="B32" s="491" t="n"/>
      <c r="C32" s="491">
        <f>IFERROR(VLOOKUP(E32,Tabellen!A:F,5),0)</f>
        <v/>
      </c>
      <c r="D32" s="491">
        <f>IFERROR(VLOOKUP(E32,Tabellen!A:F,6),0)</f>
        <v/>
      </c>
      <c r="E32" s="594" t="n"/>
      <c r="F32" s="600">
        <f>IF(E32&gt;0,$L$4,0)</f>
        <v/>
      </c>
      <c r="G32" s="491">
        <f>IFERROR(VLOOKUP(E32,Tabellen!A:F,2),0)</f>
        <v/>
      </c>
      <c r="H32" s="601">
        <f>IFERROR(VLOOKUP(E32,Tabellen!A:H,8),0)</f>
        <v/>
      </c>
      <c r="I32" s="602">
        <f>IFERROR(VLOOKUP(H32,Tabellen!H:I,2),0)</f>
        <v/>
      </c>
      <c r="J32" s="603" t="n"/>
      <c r="K32" s="603" t="n"/>
      <c r="L32" s="599" t="n"/>
      <c r="M32" s="599" t="n"/>
      <c r="N32" s="599" t="n"/>
      <c r="O32" s="599" t="n"/>
      <c r="P32" s="508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494">
        <f>IFERROR(VLOOKUP(E33,Tabellen!A:F,4),0)</f>
        <v/>
      </c>
      <c r="B33" s="494" t="n"/>
      <c r="C33" s="494">
        <f>IFERROR(VLOOKUP(E33,Tabellen!A:F,5),0)</f>
        <v/>
      </c>
      <c r="D33" s="494">
        <f>IFERROR(VLOOKUP(E33,Tabellen!A:F,6),0)</f>
        <v/>
      </c>
      <c r="E33" s="594" t="n"/>
      <c r="F33" s="604">
        <f>IF(E33&gt;0,$L$4,0)</f>
        <v/>
      </c>
      <c r="G33" s="494">
        <f>IFERROR(VLOOKUP(E33,Tabellen!A:F,2),0)</f>
        <v/>
      </c>
      <c r="H33" s="597">
        <f>IFERROR(VLOOKUP(E33,Tabellen!A:H,8),0)</f>
        <v/>
      </c>
      <c r="I33" s="605">
        <f>IFERROR(VLOOKUP(H33,Tabellen!H:I,2),0)</f>
        <v/>
      </c>
      <c r="J33" s="595" t="n"/>
      <c r="K33" s="595" t="n"/>
      <c r="L33" s="599" t="n"/>
      <c r="M33" s="599" t="n"/>
      <c r="N33" s="599" t="n"/>
      <c r="O33" s="599" t="n"/>
      <c r="P33" s="526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491">
        <f>IFERROR(VLOOKUP(E34,Tabellen!A:F,4),0)</f>
        <v/>
      </c>
      <c r="B34" s="491" t="n"/>
      <c r="C34" s="491">
        <f>IFERROR(VLOOKUP(E34,Tabellen!A:F,5),0)</f>
        <v/>
      </c>
      <c r="D34" s="491">
        <f>IFERROR(VLOOKUP(E34,Tabellen!A:F,6),0)</f>
        <v/>
      </c>
      <c r="E34" s="594" t="n"/>
      <c r="F34" s="600">
        <f>IF(E34&gt;0,$L$4,0)</f>
        <v/>
      </c>
      <c r="G34" s="491">
        <f>IFERROR(VLOOKUP(E34,Tabellen!A:F,2),0)</f>
        <v/>
      </c>
      <c r="H34" s="601">
        <f>IFERROR(VLOOKUP(E34,Tabellen!A:H,8),0)</f>
        <v/>
      </c>
      <c r="I34" s="602">
        <f>IFERROR(VLOOKUP(H34,Tabellen!H:I,2),0)</f>
        <v/>
      </c>
      <c r="J34" s="603" t="n"/>
      <c r="K34" s="603" t="n"/>
      <c r="L34" s="599" t="n"/>
      <c r="M34" s="599" t="n"/>
      <c r="N34" s="599" t="n"/>
      <c r="O34" s="599" t="n"/>
      <c r="P34" s="508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494">
        <f>IFERROR(VLOOKUP(E35,Tabellen!A:F,4),0)</f>
        <v/>
      </c>
      <c r="B35" s="494" t="n"/>
      <c r="C35" s="494">
        <f>IFERROR(VLOOKUP(E35,Tabellen!A:F,5),0)</f>
        <v/>
      </c>
      <c r="D35" s="494">
        <f>IFERROR(VLOOKUP(E35,Tabellen!A:F,6),0)</f>
        <v/>
      </c>
      <c r="E35" s="594" t="n"/>
      <c r="F35" s="604">
        <f>IF(E35&gt;0,$L$4,0)</f>
        <v/>
      </c>
      <c r="G35" s="494">
        <f>IFERROR(VLOOKUP(E35,Tabellen!A:F,2),0)</f>
        <v/>
      </c>
      <c r="H35" s="597">
        <f>IFERROR(VLOOKUP(E35,Tabellen!A:H,8),0)</f>
        <v/>
      </c>
      <c r="I35" s="605">
        <f>IFERROR(VLOOKUP(H35,Tabellen!H:I,2),0)</f>
        <v/>
      </c>
      <c r="J35" s="595" t="n"/>
      <c r="K35" s="595" t="n"/>
      <c r="L35" s="599" t="n"/>
      <c r="M35" s="599" t="n"/>
      <c r="N35" s="599" t="n"/>
      <c r="O35" s="599" t="n"/>
      <c r="P35" s="526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491">
        <f>IFERROR(VLOOKUP(E36,Tabellen!A:F,4),0)</f>
        <v/>
      </c>
      <c r="B36" s="491" t="n"/>
      <c r="C36" s="491">
        <f>IFERROR(VLOOKUP(E36,Tabellen!A:F,5),0)</f>
        <v/>
      </c>
      <c r="D36" s="491">
        <f>IFERROR(VLOOKUP(E36,Tabellen!A:F,6),0)</f>
        <v/>
      </c>
      <c r="E36" s="594" t="n"/>
      <c r="F36" s="600">
        <f>IF(E36&gt;0,$L$4,0)</f>
        <v/>
      </c>
      <c r="G36" s="491">
        <f>IFERROR(VLOOKUP(E36,Tabellen!A:F,2),0)</f>
        <v/>
      </c>
      <c r="H36" s="601">
        <f>IFERROR(VLOOKUP(E36,Tabellen!A:H,8),0)</f>
        <v/>
      </c>
      <c r="I36" s="602">
        <f>IFERROR(VLOOKUP(H36,Tabellen!H:I,2),0)</f>
        <v/>
      </c>
      <c r="J36" s="603" t="n"/>
      <c r="K36" s="603" t="n"/>
      <c r="L36" s="599" t="n"/>
      <c r="M36" s="599" t="n"/>
      <c r="N36" s="599" t="n"/>
      <c r="O36" s="599" t="n"/>
      <c r="P36" s="508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494">
        <f>IFERROR(VLOOKUP(E37,Tabellen!A:F,4),0)</f>
        <v/>
      </c>
      <c r="B37" s="494" t="n"/>
      <c r="C37" s="494">
        <f>IFERROR(VLOOKUP(E37,Tabellen!A:F,5),0)</f>
        <v/>
      </c>
      <c r="D37" s="494">
        <f>IFERROR(VLOOKUP(E37,Tabellen!A:F,6),0)</f>
        <v/>
      </c>
      <c r="E37" s="594" t="n"/>
      <c r="F37" s="604">
        <f>IF(E37&gt;0,$L$4,0)</f>
        <v/>
      </c>
      <c r="G37" s="494">
        <f>IFERROR(VLOOKUP(E37,Tabellen!A:F,2),0)</f>
        <v/>
      </c>
      <c r="H37" s="597">
        <f>IFERROR(VLOOKUP(E37,Tabellen!A:H,8),0)</f>
        <v/>
      </c>
      <c r="I37" s="605">
        <f>IFERROR(VLOOKUP(H37,Tabellen!H:I,2),0)</f>
        <v/>
      </c>
      <c r="J37" s="595" t="n"/>
      <c r="K37" s="595" t="n"/>
      <c r="L37" s="599" t="n"/>
      <c r="M37" s="599" t="n"/>
      <c r="N37" s="599" t="n"/>
      <c r="O37" s="599" t="n"/>
      <c r="P37" s="526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491">
        <f>IFERROR(VLOOKUP(E38,Tabellen!A:F,4),0)</f>
        <v/>
      </c>
      <c r="B38" s="491" t="n"/>
      <c r="C38" s="491">
        <f>IFERROR(VLOOKUP(E38,Tabellen!A:F,5),0)</f>
        <v/>
      </c>
      <c r="D38" s="491">
        <f>IFERROR(VLOOKUP(E38,Tabellen!A:F,6),0)</f>
        <v/>
      </c>
      <c r="E38" s="594" t="n"/>
      <c r="F38" s="600">
        <f>IF(E38&gt;0,$L$4,0)</f>
        <v/>
      </c>
      <c r="G38" s="491">
        <f>IFERROR(VLOOKUP(E38,Tabellen!A:F,2),0)</f>
        <v/>
      </c>
      <c r="H38" s="601">
        <f>IFERROR(VLOOKUP(E38,Tabellen!A:H,8),0)</f>
        <v/>
      </c>
      <c r="I38" s="602">
        <f>IFERROR(VLOOKUP(H38,Tabellen!H:I,2),0)</f>
        <v/>
      </c>
      <c r="J38" s="603" t="n"/>
      <c r="K38" s="603" t="n"/>
      <c r="L38" s="599" t="n"/>
      <c r="M38" s="599" t="n"/>
      <c r="N38" s="599" t="n"/>
      <c r="O38" s="599" t="n"/>
      <c r="P38" s="508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494">
        <f>IFERROR(VLOOKUP(E39,Tabellen!A:F,4),0)</f>
        <v/>
      </c>
      <c r="B39" s="494" t="n"/>
      <c r="C39" s="494">
        <f>IFERROR(VLOOKUP(E39,Tabellen!A:F,5),0)</f>
        <v/>
      </c>
      <c r="D39" s="494">
        <f>IFERROR(VLOOKUP(E39,Tabellen!A:F,6),0)</f>
        <v/>
      </c>
      <c r="E39" s="594" t="n"/>
      <c r="F39" s="604">
        <f>IF(E39&gt;0,$L$4,0)</f>
        <v/>
      </c>
      <c r="G39" s="494">
        <f>IFERROR(VLOOKUP(E39,Tabellen!A:F,2),0)</f>
        <v/>
      </c>
      <c r="H39" s="597">
        <f>IFERROR(VLOOKUP(E39,Tabellen!A:H,8),0)</f>
        <v/>
      </c>
      <c r="I39" s="605">
        <f>IFERROR(VLOOKUP(H39,Tabellen!H:I,2),0)</f>
        <v/>
      </c>
      <c r="J39" s="595" t="n"/>
      <c r="K39" s="595" t="n"/>
      <c r="L39" s="599" t="n"/>
      <c r="M39" s="599" t="n"/>
      <c r="N39" s="599" t="n"/>
      <c r="O39" s="599" t="n"/>
      <c r="P39" s="526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491">
        <f>IFERROR(VLOOKUP(E40,Tabellen!A:F,4),0)</f>
        <v/>
      </c>
      <c r="B40" s="491" t="n"/>
      <c r="C40" s="491">
        <f>IFERROR(VLOOKUP(E40,Tabellen!A:F,5),0)</f>
        <v/>
      </c>
      <c r="D40" s="491">
        <f>IFERROR(VLOOKUP(E40,Tabellen!A:F,6),0)</f>
        <v/>
      </c>
      <c r="E40" s="594" t="n"/>
      <c r="F40" s="600">
        <f>IF(E40&gt;0,$L$4,0)</f>
        <v/>
      </c>
      <c r="G40" s="491">
        <f>IFERROR(VLOOKUP(E40,Tabellen!A:F,2),0)</f>
        <v/>
      </c>
      <c r="H40" s="601">
        <f>IFERROR(VLOOKUP(E40,Tabellen!A:H,8),0)</f>
        <v/>
      </c>
      <c r="I40" s="602">
        <f>IFERROR(VLOOKUP(H40,Tabellen!H:I,2),0)</f>
        <v/>
      </c>
      <c r="J40" s="603" t="n"/>
      <c r="K40" s="603" t="n"/>
      <c r="L40" s="599" t="n"/>
      <c r="M40" s="599" t="n"/>
      <c r="N40" s="599" t="n"/>
      <c r="O40" s="599" t="n"/>
      <c r="P40" s="508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494">
        <f>IFERROR(VLOOKUP(E41,Tabellen!A:F,4),0)</f>
        <v/>
      </c>
      <c r="B41" s="494" t="n"/>
      <c r="C41" s="494">
        <f>IFERROR(VLOOKUP(E41,Tabellen!A:F,5),0)</f>
        <v/>
      </c>
      <c r="D41" s="494">
        <f>IFERROR(VLOOKUP(E41,Tabellen!A:F,6),0)</f>
        <v/>
      </c>
      <c r="E41" s="594" t="n"/>
      <c r="F41" s="604">
        <f>IF(E41&gt;0,$L$4,0)</f>
        <v/>
      </c>
      <c r="G41" s="494">
        <f>IFERROR(VLOOKUP(E41,Tabellen!A:F,2),0)</f>
        <v/>
      </c>
      <c r="H41" s="597">
        <f>IFERROR(VLOOKUP(E41,Tabellen!A:H,8),0)</f>
        <v/>
      </c>
      <c r="I41" s="605">
        <f>IFERROR(VLOOKUP(H41,Tabellen!H:I,2),0)</f>
        <v/>
      </c>
      <c r="J41" s="595" t="n"/>
      <c r="K41" s="595" t="n"/>
      <c r="L41" s="599" t="n"/>
      <c r="M41" s="599" t="n"/>
      <c r="N41" s="599" t="n"/>
      <c r="O41" s="599" t="n"/>
      <c r="P41" s="526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491">
        <f>IFERROR(VLOOKUP(E42,Tabellen!A:F,4),0)</f>
        <v/>
      </c>
      <c r="B42" s="491" t="n"/>
      <c r="C42" s="491">
        <f>IFERROR(VLOOKUP(E42,Tabellen!A:F,5),0)</f>
        <v/>
      </c>
      <c r="D42" s="491">
        <f>IFERROR(VLOOKUP(E42,Tabellen!A:F,6),0)</f>
        <v/>
      </c>
      <c r="E42" s="594" t="n"/>
      <c r="F42" s="600">
        <f>IF(E42&gt;0,$L$4,0)</f>
        <v/>
      </c>
      <c r="G42" s="491">
        <f>IFERROR(VLOOKUP(E42,Tabellen!A:F,2),0)</f>
        <v/>
      </c>
      <c r="H42" s="601">
        <f>IFERROR(VLOOKUP(E42,Tabellen!A:H,8),0)</f>
        <v/>
      </c>
      <c r="I42" s="602">
        <f>IFERROR(VLOOKUP(H42,Tabellen!H:I,2),0)</f>
        <v/>
      </c>
      <c r="J42" s="603" t="n"/>
      <c r="K42" s="603" t="n"/>
      <c r="L42" s="599" t="n"/>
      <c r="M42" s="599" t="n"/>
      <c r="N42" s="599" t="n"/>
      <c r="O42" s="599" t="n"/>
      <c r="P42" s="508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494">
        <f>IFERROR(VLOOKUP(E43,Tabellen!A:F,4),0)</f>
        <v/>
      </c>
      <c r="B43" s="494" t="n"/>
      <c r="C43" s="494">
        <f>IFERROR(VLOOKUP(E43,Tabellen!A:F,5),0)</f>
        <v/>
      </c>
      <c r="D43" s="494">
        <f>IFERROR(VLOOKUP(E43,Tabellen!A:F,6),0)</f>
        <v/>
      </c>
      <c r="E43" s="594" t="n"/>
      <c r="F43" s="604">
        <f>IF(E43&gt;0,$L$4,0)</f>
        <v/>
      </c>
      <c r="G43" s="494">
        <f>IFERROR(VLOOKUP(E43,Tabellen!A:F,2),0)</f>
        <v/>
      </c>
      <c r="H43" s="597">
        <f>IFERROR(VLOOKUP(E43,Tabellen!A:H,8),0)</f>
        <v/>
      </c>
      <c r="I43" s="605">
        <f>IFERROR(VLOOKUP(H43,Tabellen!H:I,2),0)</f>
        <v/>
      </c>
      <c r="J43" s="595" t="n"/>
      <c r="K43" s="595" t="n"/>
      <c r="L43" s="599" t="n"/>
      <c r="M43" s="599" t="n"/>
      <c r="N43" s="599" t="n"/>
      <c r="O43" s="599" t="n"/>
      <c r="P43" s="526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491">
        <f>IFERROR(VLOOKUP(E44,Tabellen!A:F,4),0)</f>
        <v/>
      </c>
      <c r="B44" s="491" t="n"/>
      <c r="C44" s="491">
        <f>IFERROR(VLOOKUP(E44,Tabellen!A:F,5),0)</f>
        <v/>
      </c>
      <c r="D44" s="491">
        <f>IFERROR(VLOOKUP(E44,Tabellen!A:F,6),0)</f>
        <v/>
      </c>
      <c r="E44" s="594" t="n"/>
      <c r="F44" s="600">
        <f>IF(E44&gt;0,$L$4,0)</f>
        <v/>
      </c>
      <c r="G44" s="491">
        <f>IFERROR(VLOOKUP(E44,Tabellen!A:F,2),0)</f>
        <v/>
      </c>
      <c r="H44" s="601">
        <f>IFERROR(VLOOKUP(E44,Tabellen!A:H,8),0)</f>
        <v/>
      </c>
      <c r="I44" s="602">
        <f>IFERROR(VLOOKUP(H44,Tabellen!H:I,2),0)</f>
        <v/>
      </c>
      <c r="J44" s="603" t="n"/>
      <c r="K44" s="603" t="n"/>
      <c r="L44" s="599" t="n"/>
      <c r="M44" s="599" t="n"/>
      <c r="N44" s="599" t="n"/>
      <c r="O44" s="599" t="n"/>
      <c r="P44" s="508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494">
        <f>IFERROR(VLOOKUP(E45,Tabellen!A:F,4),0)</f>
        <v/>
      </c>
      <c r="B45" s="494" t="n"/>
      <c r="C45" s="494">
        <f>IFERROR(VLOOKUP(E45,Tabellen!A:F,5),0)</f>
        <v/>
      </c>
      <c r="D45" s="494">
        <f>IFERROR(VLOOKUP(E45,Tabellen!A:F,6),0)</f>
        <v/>
      </c>
      <c r="E45" s="594" t="n"/>
      <c r="F45" s="604">
        <f>IF(E45&gt;0,$L$4,0)</f>
        <v/>
      </c>
      <c r="G45" s="494">
        <f>IFERROR(VLOOKUP(E45,Tabellen!A:F,2),0)</f>
        <v/>
      </c>
      <c r="H45" s="597">
        <f>IFERROR(VLOOKUP(E45,Tabellen!A:H,8),0)</f>
        <v/>
      </c>
      <c r="I45" s="605">
        <f>IFERROR(VLOOKUP(H45,Tabellen!H:I,2),0)</f>
        <v/>
      </c>
      <c r="J45" s="595" t="n"/>
      <c r="K45" s="595" t="n"/>
      <c r="L45" s="599" t="n"/>
      <c r="M45" s="599" t="n"/>
      <c r="N45" s="599" t="n"/>
      <c r="O45" s="599" t="n"/>
      <c r="P45" s="526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491">
        <f>IFERROR(VLOOKUP(E46,Tabellen!A:F,4),0)</f>
        <v/>
      </c>
      <c r="B46" s="491" t="n"/>
      <c r="C46" s="491">
        <f>IFERROR(VLOOKUP(E46,Tabellen!A:F,5),0)</f>
        <v/>
      </c>
      <c r="D46" s="491">
        <f>IFERROR(VLOOKUP(E46,Tabellen!A:F,6),0)</f>
        <v/>
      </c>
      <c r="E46" s="594" t="n"/>
      <c r="F46" s="600">
        <f>IF(E46&gt;0,$L$4,0)</f>
        <v/>
      </c>
      <c r="G46" s="491">
        <f>IFERROR(VLOOKUP(E46,Tabellen!A:F,2),0)</f>
        <v/>
      </c>
      <c r="H46" s="601">
        <f>IFERROR(VLOOKUP(E46,Tabellen!A:H,8),0)</f>
        <v/>
      </c>
      <c r="I46" s="602">
        <f>IFERROR(VLOOKUP(H46,Tabellen!H:I,2),0)</f>
        <v/>
      </c>
      <c r="J46" s="603" t="n"/>
      <c r="K46" s="603" t="n"/>
      <c r="L46" s="599" t="n"/>
      <c r="M46" s="599" t="n"/>
      <c r="N46" s="599" t="n"/>
      <c r="O46" s="599" t="n"/>
      <c r="P46" s="508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494">
        <f>IFERROR(VLOOKUP(E47,Tabellen!A:F,4),0)</f>
        <v/>
      </c>
      <c r="B47" s="494" t="n"/>
      <c r="C47" s="494">
        <f>IFERROR(VLOOKUP(E47,Tabellen!A:F,5),0)</f>
        <v/>
      </c>
      <c r="D47" s="494">
        <f>IFERROR(VLOOKUP(E47,Tabellen!A:F,6),0)</f>
        <v/>
      </c>
      <c r="E47" s="594" t="n"/>
      <c r="F47" s="604">
        <f>IF(E47&gt;0,$L$4,0)</f>
        <v/>
      </c>
      <c r="G47" s="494">
        <f>IFERROR(VLOOKUP(E47,Tabellen!A:F,2),0)</f>
        <v/>
      </c>
      <c r="H47" s="597">
        <f>IFERROR(VLOOKUP(E47,Tabellen!A:H,8),0)</f>
        <v/>
      </c>
      <c r="I47" s="605">
        <f>IFERROR(VLOOKUP(H47,Tabellen!H:I,2),0)</f>
        <v/>
      </c>
      <c r="J47" s="595" t="n"/>
      <c r="K47" s="595" t="n"/>
      <c r="L47" s="599" t="n"/>
      <c r="M47" s="599" t="n"/>
      <c r="N47" s="599" t="n"/>
      <c r="O47" s="599" t="n"/>
      <c r="P47" s="526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491">
        <f>IFERROR(VLOOKUP(E48,Tabellen!A:F,4),0)</f>
        <v/>
      </c>
      <c r="B48" s="491" t="n"/>
      <c r="C48" s="491">
        <f>IFERROR(VLOOKUP(E48,Tabellen!A:F,5),0)</f>
        <v/>
      </c>
      <c r="D48" s="491">
        <f>IFERROR(VLOOKUP(E48,Tabellen!A:F,6),0)</f>
        <v/>
      </c>
      <c r="E48" s="594" t="n"/>
      <c r="F48" s="600">
        <f>IF(E48&gt;0,$L$4,0)</f>
        <v/>
      </c>
      <c r="G48" s="491">
        <f>IFERROR(VLOOKUP(E48,Tabellen!A:F,2),0)</f>
        <v/>
      </c>
      <c r="H48" s="601">
        <f>IFERROR(VLOOKUP(E48,Tabellen!A:H,8),0)</f>
        <v/>
      </c>
      <c r="I48" s="602">
        <f>IFERROR(VLOOKUP(H48,Tabellen!H:I,2),0)</f>
        <v/>
      </c>
      <c r="J48" s="603" t="n"/>
      <c r="K48" s="603" t="n"/>
      <c r="L48" s="599" t="n"/>
      <c r="M48" s="599" t="n"/>
      <c r="N48" s="599" t="n"/>
      <c r="O48" s="599" t="n"/>
      <c r="P48" s="508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494">
        <f>IFERROR(VLOOKUP(E49,Tabellen!A:F,4),0)</f>
        <v/>
      </c>
      <c r="B49" s="494" t="n"/>
      <c r="C49" s="494">
        <f>IFERROR(VLOOKUP(E49,Tabellen!A:F,5),0)</f>
        <v/>
      </c>
      <c r="D49" s="494">
        <f>IFERROR(VLOOKUP(E49,Tabellen!A:F,6),0)</f>
        <v/>
      </c>
      <c r="E49" s="594" t="n"/>
      <c r="F49" s="604">
        <f>IF(E49&gt;0,$L$4,0)</f>
        <v/>
      </c>
      <c r="G49" s="494">
        <f>IFERROR(VLOOKUP(E49,Tabellen!A:F,2),0)</f>
        <v/>
      </c>
      <c r="H49" s="597">
        <f>IFERROR(VLOOKUP(E49,Tabellen!A:H,8),0)</f>
        <v/>
      </c>
      <c r="I49" s="605">
        <f>IFERROR(VLOOKUP(H49,Tabellen!H:I,2),0)</f>
        <v/>
      </c>
      <c r="J49" s="595" t="n"/>
      <c r="K49" s="595" t="n"/>
      <c r="L49" s="599" t="n"/>
      <c r="M49" s="599" t="n"/>
      <c r="N49" s="599" t="n"/>
      <c r="O49" s="599" t="n"/>
      <c r="P49" s="526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491">
        <f>IFERROR(VLOOKUP(E50,Tabellen!A:F,4),0)</f>
        <v/>
      </c>
      <c r="B50" s="491" t="n"/>
      <c r="C50" s="491">
        <f>IFERROR(VLOOKUP(E50,Tabellen!A:F,5),0)</f>
        <v/>
      </c>
      <c r="D50" s="491">
        <f>IFERROR(VLOOKUP(E50,Tabellen!A:F,6),0)</f>
        <v/>
      </c>
      <c r="E50" s="594" t="n"/>
      <c r="F50" s="600">
        <f>IF(E50&gt;0,$L$4,0)</f>
        <v/>
      </c>
      <c r="G50" s="491">
        <f>IFERROR(VLOOKUP(E50,Tabellen!A:F,2),0)</f>
        <v/>
      </c>
      <c r="H50" s="601">
        <f>IFERROR(VLOOKUP(E50,Tabellen!A:H,8),0)</f>
        <v/>
      </c>
      <c r="I50" s="602">
        <f>IFERROR(VLOOKUP(H50,Tabellen!H:I,2),0)</f>
        <v/>
      </c>
      <c r="J50" s="603" t="n"/>
      <c r="K50" s="603" t="n"/>
      <c r="L50" s="599" t="n"/>
      <c r="M50" s="599" t="n"/>
      <c r="N50" s="599" t="n"/>
      <c r="O50" s="599" t="n"/>
      <c r="P50" s="508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494">
        <f>IFERROR(VLOOKUP(E51,Tabellen!A:F,4),0)</f>
        <v/>
      </c>
      <c r="B51" s="494" t="n"/>
      <c r="C51" s="494">
        <f>IFERROR(VLOOKUP(E51,Tabellen!A:F,5),0)</f>
        <v/>
      </c>
      <c r="D51" s="494">
        <f>IFERROR(VLOOKUP(E51,Tabellen!A:F,6),0)</f>
        <v/>
      </c>
      <c r="E51" s="594" t="n"/>
      <c r="F51" s="604">
        <f>IF(E51&gt;0,$L$4,0)</f>
        <v/>
      </c>
      <c r="G51" s="494">
        <f>IFERROR(VLOOKUP(E51,Tabellen!A:F,2),0)</f>
        <v/>
      </c>
      <c r="H51" s="597">
        <f>IFERROR(VLOOKUP(E51,Tabellen!A:H,8),0)</f>
        <v/>
      </c>
      <c r="I51" s="605">
        <f>IFERROR(VLOOKUP(H51,Tabellen!H:I,2),0)</f>
        <v/>
      </c>
      <c r="J51" s="595" t="n"/>
      <c r="K51" s="595" t="n"/>
      <c r="L51" s="599" t="n"/>
      <c r="M51" s="599" t="n"/>
      <c r="N51" s="599" t="n"/>
      <c r="O51" s="599" t="n"/>
      <c r="P51" s="526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491">
        <f>IFERROR(VLOOKUP(E52,Tabellen!A:F,4),0)</f>
        <v/>
      </c>
      <c r="B52" s="491" t="n"/>
      <c r="C52" s="491">
        <f>IFERROR(VLOOKUP(E52,Tabellen!A:F,5),0)</f>
        <v/>
      </c>
      <c r="D52" s="491">
        <f>IFERROR(VLOOKUP(E52,Tabellen!A:F,6),0)</f>
        <v/>
      </c>
      <c r="E52" s="594" t="n"/>
      <c r="F52" s="600">
        <f>IF(E52&gt;0,$L$4,0)</f>
        <v/>
      </c>
      <c r="G52" s="491">
        <f>IFERROR(VLOOKUP(E52,Tabellen!A:F,2),0)</f>
        <v/>
      </c>
      <c r="H52" s="601">
        <f>IFERROR(VLOOKUP(E52,Tabellen!A:H,8),0)</f>
        <v/>
      </c>
      <c r="I52" s="602">
        <f>IFERROR(VLOOKUP(H52,Tabellen!H:I,2),0)</f>
        <v/>
      </c>
      <c r="J52" s="603" t="n"/>
      <c r="K52" s="603" t="n"/>
      <c r="L52" s="599" t="n"/>
      <c r="M52" s="599" t="n"/>
      <c r="N52" s="599" t="n"/>
      <c r="O52" s="599" t="n"/>
      <c r="P52" s="508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494">
        <f>IFERROR(VLOOKUP(E53,Tabellen!A:F,4),0)</f>
        <v/>
      </c>
      <c r="B53" s="494" t="n"/>
      <c r="C53" s="494">
        <f>IFERROR(VLOOKUP(E53,Tabellen!A:F,5),0)</f>
        <v/>
      </c>
      <c r="D53" s="494">
        <f>IFERROR(VLOOKUP(E53,Tabellen!A:F,6),0)</f>
        <v/>
      </c>
      <c r="E53" s="594" t="n"/>
      <c r="F53" s="604">
        <f>IF(E53&gt;0,$L$4,0)</f>
        <v/>
      </c>
      <c r="G53" s="494">
        <f>IFERROR(VLOOKUP(E53,Tabellen!A:F,2),0)</f>
        <v/>
      </c>
      <c r="H53" s="597">
        <f>IFERROR(VLOOKUP(E53,Tabellen!A:H,8),0)</f>
        <v/>
      </c>
      <c r="I53" s="605">
        <f>IFERROR(VLOOKUP(H53,Tabellen!H:I,2),0)</f>
        <v/>
      </c>
      <c r="J53" s="595" t="n"/>
      <c r="K53" s="595" t="n"/>
      <c r="L53" s="599" t="n"/>
      <c r="M53" s="599" t="n"/>
      <c r="N53" s="599" t="n"/>
      <c r="O53" s="599" t="n"/>
      <c r="P53" s="526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491">
        <f>IFERROR(VLOOKUP(E54,Tabellen!A:F,4),0)</f>
        <v/>
      </c>
      <c r="B54" s="491" t="n"/>
      <c r="C54" s="491">
        <f>IFERROR(VLOOKUP(E54,Tabellen!A:F,5),0)</f>
        <v/>
      </c>
      <c r="D54" s="491">
        <f>IFERROR(VLOOKUP(E54,Tabellen!A:F,6),0)</f>
        <v/>
      </c>
      <c r="E54" s="594" t="n"/>
      <c r="F54" s="600">
        <f>IF(E54&gt;0,$L$4,0)</f>
        <v/>
      </c>
      <c r="G54" s="491">
        <f>IFERROR(VLOOKUP(E54,Tabellen!A:F,2),0)</f>
        <v/>
      </c>
      <c r="H54" s="601">
        <f>IFERROR(VLOOKUP(E54,Tabellen!A:H,8),0)</f>
        <v/>
      </c>
      <c r="I54" s="602">
        <f>IFERROR(VLOOKUP(H54,Tabellen!H:I,2),0)</f>
        <v/>
      </c>
      <c r="J54" s="603" t="n"/>
      <c r="K54" s="603" t="n"/>
      <c r="L54" s="599" t="n"/>
      <c r="M54" s="599" t="n"/>
      <c r="N54" s="599" t="n"/>
      <c r="O54" s="599" t="n"/>
      <c r="P54" s="508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494">
        <f>IFERROR(VLOOKUP(E55,Tabellen!A:F,4),0)</f>
        <v/>
      </c>
      <c r="B55" s="494" t="n"/>
      <c r="C55" s="494">
        <f>IFERROR(VLOOKUP(E55,Tabellen!A:F,5),0)</f>
        <v/>
      </c>
      <c r="D55" s="494">
        <f>IFERROR(VLOOKUP(E55,Tabellen!A:F,6),0)</f>
        <v/>
      </c>
      <c r="E55" s="594" t="n"/>
      <c r="F55" s="604">
        <f>IF(E55&gt;0,$L$4,0)</f>
        <v/>
      </c>
      <c r="G55" s="494">
        <f>IFERROR(VLOOKUP(E55,Tabellen!A:F,2),0)</f>
        <v/>
      </c>
      <c r="H55" s="597">
        <f>IFERROR(VLOOKUP(E55,Tabellen!A:H,8),0)</f>
        <v/>
      </c>
      <c r="I55" s="605">
        <f>IFERROR(VLOOKUP(H55,Tabellen!H:I,2),0)</f>
        <v/>
      </c>
      <c r="J55" s="595" t="n"/>
      <c r="K55" s="595" t="n"/>
      <c r="L55" s="599" t="n"/>
      <c r="M55" s="599" t="n"/>
      <c r="N55" s="599" t="n"/>
      <c r="O55" s="599" t="n"/>
      <c r="P55" s="526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491">
        <f>IFERROR(VLOOKUP(E56,Tabellen!A:F,4),0)</f>
        <v/>
      </c>
      <c r="B56" s="491" t="n"/>
      <c r="C56" s="491">
        <f>IFERROR(VLOOKUP(E56,Tabellen!A:F,5),0)</f>
        <v/>
      </c>
      <c r="D56" s="491">
        <f>IFERROR(VLOOKUP(E56,Tabellen!A:F,6),0)</f>
        <v/>
      </c>
      <c r="E56" s="594" t="n"/>
      <c r="F56" s="600">
        <f>IF(E56&gt;0,$L$4,0)</f>
        <v/>
      </c>
      <c r="G56" s="491">
        <f>IFERROR(VLOOKUP(E56,Tabellen!A:F,2),0)</f>
        <v/>
      </c>
      <c r="H56" s="601">
        <f>IFERROR(VLOOKUP(E56,Tabellen!A:H,8),0)</f>
        <v/>
      </c>
      <c r="I56" s="602">
        <f>IFERROR(VLOOKUP(H56,Tabellen!H:I,2),0)</f>
        <v/>
      </c>
      <c r="J56" s="603" t="n"/>
      <c r="K56" s="603" t="n"/>
      <c r="L56" s="599" t="n"/>
      <c r="M56" s="599" t="n"/>
      <c r="N56" s="599" t="n"/>
      <c r="O56" s="599" t="n"/>
      <c r="P56" s="508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494">
        <f>IFERROR(VLOOKUP(E57,Tabellen!A:F,4),0)</f>
        <v/>
      </c>
      <c r="B57" s="494" t="n"/>
      <c r="C57" s="494">
        <f>IFERROR(VLOOKUP(E57,Tabellen!A:F,5),0)</f>
        <v/>
      </c>
      <c r="D57" s="494">
        <f>IFERROR(VLOOKUP(E57,Tabellen!A:F,6),0)</f>
        <v/>
      </c>
      <c r="E57" s="594" t="n"/>
      <c r="F57" s="604">
        <f>IF(E57&gt;0,$L$4,0)</f>
        <v/>
      </c>
      <c r="G57" s="494">
        <f>IFERROR(VLOOKUP(E57,Tabellen!A:F,2),0)</f>
        <v/>
      </c>
      <c r="H57" s="597">
        <f>IFERROR(VLOOKUP(E57,Tabellen!A:H,8),0)</f>
        <v/>
      </c>
      <c r="I57" s="605">
        <f>IFERROR(VLOOKUP(H57,Tabellen!H:I,2),0)</f>
        <v/>
      </c>
      <c r="J57" s="595" t="n"/>
      <c r="K57" s="595" t="n"/>
      <c r="L57" s="599" t="n"/>
      <c r="M57" s="599" t="n"/>
      <c r="N57" s="599" t="n"/>
      <c r="O57" s="599" t="n"/>
      <c r="P57" s="526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491">
        <f>IFERROR(VLOOKUP(E58,Tabellen!A:F,4),0)</f>
        <v/>
      </c>
      <c r="B58" s="491" t="n"/>
      <c r="C58" s="491">
        <f>IFERROR(VLOOKUP(E58,Tabellen!A:F,5),0)</f>
        <v/>
      </c>
      <c r="D58" s="491">
        <f>IFERROR(VLOOKUP(E58,Tabellen!A:F,6),0)</f>
        <v/>
      </c>
      <c r="E58" s="594" t="n"/>
      <c r="F58" s="600">
        <f>IF(E58&gt;0,$L$4,0)</f>
        <v/>
      </c>
      <c r="G58" s="491">
        <f>IFERROR(VLOOKUP(E58,Tabellen!A:F,2),0)</f>
        <v/>
      </c>
      <c r="H58" s="601">
        <f>IFERROR(VLOOKUP(E58,Tabellen!A:H,8),0)</f>
        <v/>
      </c>
      <c r="I58" s="602">
        <f>IFERROR(VLOOKUP(H58,Tabellen!H:I,2),0)</f>
        <v/>
      </c>
      <c r="J58" s="603" t="n"/>
      <c r="K58" s="603" t="n"/>
      <c r="L58" s="599" t="n"/>
      <c r="M58" s="599" t="n"/>
      <c r="N58" s="599" t="n"/>
      <c r="O58" s="599" t="n"/>
      <c r="P58" s="508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494">
        <f>IFERROR(VLOOKUP(E59,Tabellen!A:F,4),0)</f>
        <v/>
      </c>
      <c r="B59" s="494" t="n"/>
      <c r="C59" s="494">
        <f>IFERROR(VLOOKUP(E59,Tabellen!A:F,5),0)</f>
        <v/>
      </c>
      <c r="D59" s="494">
        <f>IFERROR(VLOOKUP(E59,Tabellen!A:F,6),0)</f>
        <v/>
      </c>
      <c r="E59" s="594" t="n"/>
      <c r="F59" s="604">
        <f>IF(E59&gt;0,$L$4,0)</f>
        <v/>
      </c>
      <c r="G59" s="494">
        <f>IFERROR(VLOOKUP(E59,Tabellen!A:F,2),0)</f>
        <v/>
      </c>
      <c r="H59" s="597">
        <f>IFERROR(VLOOKUP(E59,Tabellen!A:H,8),0)</f>
        <v/>
      </c>
      <c r="I59" s="605">
        <f>IFERROR(VLOOKUP(H59,Tabellen!H:I,2),0)</f>
        <v/>
      </c>
      <c r="J59" s="595" t="n"/>
      <c r="K59" s="595" t="n"/>
      <c r="L59" s="599" t="n"/>
      <c r="M59" s="599" t="n"/>
      <c r="N59" s="599" t="n"/>
      <c r="O59" s="599" t="n"/>
      <c r="P59" s="526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491">
        <f>IFERROR(VLOOKUP(E60,Tabellen!A:F,4),0)</f>
        <v/>
      </c>
      <c r="B60" s="491" t="n"/>
      <c r="C60" s="491">
        <f>IFERROR(VLOOKUP(E60,Tabellen!A:F,5),0)</f>
        <v/>
      </c>
      <c r="D60" s="491">
        <f>IFERROR(VLOOKUP(E60,Tabellen!A:F,6),0)</f>
        <v/>
      </c>
      <c r="E60" s="594" t="n"/>
      <c r="F60" s="600">
        <f>IF(E60&gt;0,$L$4,0)</f>
        <v/>
      </c>
      <c r="G60" s="491">
        <f>IFERROR(VLOOKUP(E60,Tabellen!A:F,2),0)</f>
        <v/>
      </c>
      <c r="H60" s="601">
        <f>IFERROR(VLOOKUP(E60,Tabellen!A:H,8),0)</f>
        <v/>
      </c>
      <c r="I60" s="602">
        <f>IFERROR(VLOOKUP(H60,Tabellen!H:I,2),0)</f>
        <v/>
      </c>
      <c r="J60" s="603" t="n"/>
      <c r="K60" s="603" t="n"/>
      <c r="L60" s="599" t="n"/>
      <c r="M60" s="599" t="n"/>
      <c r="N60" s="599" t="n"/>
      <c r="O60" s="599" t="n"/>
      <c r="P60" s="508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494">
        <f>IFERROR(VLOOKUP(E61,Tabellen!A:F,4),0)</f>
        <v/>
      </c>
      <c r="B61" s="494" t="n"/>
      <c r="C61" s="494">
        <f>IFERROR(VLOOKUP(E61,Tabellen!A:F,5),0)</f>
        <v/>
      </c>
      <c r="D61" s="494">
        <f>IFERROR(VLOOKUP(E61,Tabellen!A:F,6),0)</f>
        <v/>
      </c>
      <c r="E61" s="594" t="n"/>
      <c r="F61" s="604">
        <f>IF(E61&gt;0,$L$4,0)</f>
        <v/>
      </c>
      <c r="G61" s="494">
        <f>IFERROR(VLOOKUP(E61,Tabellen!A:F,2),0)</f>
        <v/>
      </c>
      <c r="H61" s="597">
        <f>IFERROR(VLOOKUP(E61,Tabellen!A:H,8),0)</f>
        <v/>
      </c>
      <c r="I61" s="605">
        <f>IFERROR(VLOOKUP(H61,Tabellen!H:I,2),0)</f>
        <v/>
      </c>
      <c r="J61" s="595" t="n"/>
      <c r="K61" s="595" t="n"/>
      <c r="L61" s="599" t="n"/>
      <c r="M61" s="599" t="n"/>
      <c r="N61" s="599" t="n"/>
      <c r="O61" s="599" t="n"/>
      <c r="P61" s="526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491">
        <f>IFERROR(VLOOKUP(E62,Tabellen!A:F,4),0)</f>
        <v/>
      </c>
      <c r="B62" s="491" t="n"/>
      <c r="C62" s="491">
        <f>IFERROR(VLOOKUP(E62,Tabellen!A:F,5),0)</f>
        <v/>
      </c>
      <c r="D62" s="491">
        <f>IFERROR(VLOOKUP(E62,Tabellen!A:F,6),0)</f>
        <v/>
      </c>
      <c r="E62" s="594" t="n"/>
      <c r="F62" s="600">
        <f>IF(E62&gt;0,$L$4,0)</f>
        <v/>
      </c>
      <c r="G62" s="491">
        <f>IFERROR(VLOOKUP(E62,Tabellen!A:F,2),0)</f>
        <v/>
      </c>
      <c r="H62" s="601">
        <f>IFERROR(VLOOKUP(E62,Tabellen!A:H,8),0)</f>
        <v/>
      </c>
      <c r="I62" s="602">
        <f>IFERROR(VLOOKUP(H62,Tabellen!H:I,2),0)</f>
        <v/>
      </c>
      <c r="J62" s="603" t="n"/>
      <c r="K62" s="603" t="n"/>
      <c r="L62" s="599" t="n"/>
      <c r="M62" s="599" t="n"/>
      <c r="N62" s="599" t="n"/>
      <c r="O62" s="599" t="n"/>
      <c r="P62" s="508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494">
        <f>IFERROR(VLOOKUP(E63,Tabellen!A:F,4),0)</f>
        <v/>
      </c>
      <c r="B63" s="494" t="n"/>
      <c r="C63" s="494">
        <f>IFERROR(VLOOKUP(E63,Tabellen!A:F,5),0)</f>
        <v/>
      </c>
      <c r="D63" s="494">
        <f>IFERROR(VLOOKUP(E63,Tabellen!A:F,6),0)</f>
        <v/>
      </c>
      <c r="E63" s="594" t="n"/>
      <c r="F63" s="604">
        <f>IF(E63&gt;0,$L$4,0)</f>
        <v/>
      </c>
      <c r="G63" s="494">
        <f>IFERROR(VLOOKUP(E63,Tabellen!A:F,2),0)</f>
        <v/>
      </c>
      <c r="H63" s="597">
        <f>IFERROR(VLOOKUP(E63,Tabellen!A:H,8),0)</f>
        <v/>
      </c>
      <c r="I63" s="605">
        <f>IFERROR(VLOOKUP(H63,Tabellen!H:I,2),0)</f>
        <v/>
      </c>
      <c r="J63" s="595" t="n"/>
      <c r="K63" s="595" t="n"/>
      <c r="L63" s="599" t="n"/>
      <c r="M63" s="599" t="n"/>
      <c r="N63" s="599" t="n"/>
      <c r="O63" s="599" t="n"/>
      <c r="P63" s="526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491">
        <f>IFERROR(VLOOKUP(E64,Tabellen!A:F,4),0)</f>
        <v/>
      </c>
      <c r="B64" s="491" t="n"/>
      <c r="C64" s="491">
        <f>IFERROR(VLOOKUP(E64,Tabellen!A:F,5),0)</f>
        <v/>
      </c>
      <c r="D64" s="491">
        <f>IFERROR(VLOOKUP(E64,Tabellen!A:F,6),0)</f>
        <v/>
      </c>
      <c r="E64" s="594" t="n"/>
      <c r="F64" s="600">
        <f>IF(E64&gt;0,$L$4,0)</f>
        <v/>
      </c>
      <c r="G64" s="491">
        <f>IFERROR(VLOOKUP(E64,Tabellen!A:F,2),0)</f>
        <v/>
      </c>
      <c r="H64" s="601">
        <f>IFERROR(VLOOKUP(E64,Tabellen!A:H,8),0)</f>
        <v/>
      </c>
      <c r="I64" s="602">
        <f>IFERROR(VLOOKUP(H64,Tabellen!H:I,2),0)</f>
        <v/>
      </c>
      <c r="J64" s="603" t="n"/>
      <c r="K64" s="603" t="n"/>
      <c r="L64" s="599" t="n"/>
      <c r="M64" s="599" t="n"/>
      <c r="N64" s="599" t="n"/>
      <c r="O64" s="599" t="n"/>
      <c r="P64" s="508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494">
        <f>IFERROR(VLOOKUP(E65,Tabellen!A:F,4),0)</f>
        <v/>
      </c>
      <c r="B65" s="494" t="n"/>
      <c r="C65" s="494">
        <f>IFERROR(VLOOKUP(E65,Tabellen!A:F,5),0)</f>
        <v/>
      </c>
      <c r="D65" s="494">
        <f>IFERROR(VLOOKUP(E65,Tabellen!A:F,6),0)</f>
        <v/>
      </c>
      <c r="E65" s="594" t="n"/>
      <c r="F65" s="604">
        <f>IF(E65&gt;0,$L$4,0)</f>
        <v/>
      </c>
      <c r="G65" s="494">
        <f>IFERROR(VLOOKUP(E65,Tabellen!A:F,2),0)</f>
        <v/>
      </c>
      <c r="H65" s="597">
        <f>IFERROR(VLOOKUP(E65,Tabellen!A:H,8),0)</f>
        <v/>
      </c>
      <c r="I65" s="605">
        <f>IFERROR(VLOOKUP(H65,Tabellen!H:I,2),0)</f>
        <v/>
      </c>
      <c r="J65" s="595" t="n"/>
      <c r="K65" s="595" t="n"/>
      <c r="L65" s="599" t="n"/>
      <c r="M65" s="599" t="n"/>
      <c r="N65" s="599" t="n"/>
      <c r="O65" s="599" t="n"/>
      <c r="P65" s="526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491">
        <f>IFERROR(VLOOKUP(E66,Tabellen!A:F,4),0)</f>
        <v/>
      </c>
      <c r="B66" s="491" t="n"/>
      <c r="C66" s="491">
        <f>IFERROR(VLOOKUP(E66,Tabellen!A:F,5),0)</f>
        <v/>
      </c>
      <c r="D66" s="491">
        <f>IFERROR(VLOOKUP(E66,Tabellen!A:F,6),0)</f>
        <v/>
      </c>
      <c r="E66" s="594" t="n"/>
      <c r="F66" s="600">
        <f>IF(E66&gt;0,$L$4,0)</f>
        <v/>
      </c>
      <c r="G66" s="491">
        <f>IFERROR(VLOOKUP(E66,Tabellen!A:F,2),0)</f>
        <v/>
      </c>
      <c r="H66" s="601">
        <f>IFERROR(VLOOKUP(E66,Tabellen!A:H,8),0)</f>
        <v/>
      </c>
      <c r="I66" s="602">
        <f>IFERROR(VLOOKUP(H66,Tabellen!H:I,2),0)</f>
        <v/>
      </c>
      <c r="J66" s="603" t="n"/>
      <c r="K66" s="603" t="n"/>
      <c r="L66" s="599" t="n"/>
      <c r="M66" s="599" t="n"/>
      <c r="N66" s="599" t="n"/>
      <c r="O66" s="599" t="n"/>
      <c r="P66" s="508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494">
        <f>IFERROR(VLOOKUP(E67,Tabellen!A:F,4),0)</f>
        <v/>
      </c>
      <c r="B67" s="494" t="n"/>
      <c r="C67" s="494">
        <f>IFERROR(VLOOKUP(E67,Tabellen!A:F,5),0)</f>
        <v/>
      </c>
      <c r="D67" s="494">
        <f>IFERROR(VLOOKUP(E67,Tabellen!A:F,6),0)</f>
        <v/>
      </c>
      <c r="E67" s="594" t="n"/>
      <c r="F67" s="604">
        <f>IF(E67&gt;0,$L$4,0)</f>
        <v/>
      </c>
      <c r="G67" s="494">
        <f>IFERROR(VLOOKUP(E67,Tabellen!A:F,2),0)</f>
        <v/>
      </c>
      <c r="H67" s="597">
        <f>IFERROR(VLOOKUP(E67,Tabellen!A:H,8),0)</f>
        <v/>
      </c>
      <c r="I67" s="605">
        <f>IFERROR(VLOOKUP(H67,Tabellen!H:I,2),0)</f>
        <v/>
      </c>
      <c r="J67" s="595" t="n"/>
      <c r="K67" s="595" t="n"/>
      <c r="L67" s="599" t="n"/>
      <c r="M67" s="599" t="n"/>
      <c r="N67" s="599" t="n"/>
      <c r="O67" s="599" t="n"/>
      <c r="P67" s="526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491">
        <f>IFERROR(VLOOKUP(E68,Tabellen!A:F,4),0)</f>
        <v/>
      </c>
      <c r="B68" s="491" t="n"/>
      <c r="C68" s="491">
        <f>IFERROR(VLOOKUP(E68,Tabellen!A:F,5),0)</f>
        <v/>
      </c>
      <c r="D68" s="491">
        <f>IFERROR(VLOOKUP(E68,Tabellen!A:F,6),0)</f>
        <v/>
      </c>
      <c r="E68" s="594" t="n"/>
      <c r="F68" s="600">
        <f>IF(E68&gt;0,$L$4,0)</f>
        <v/>
      </c>
      <c r="G68" s="491">
        <f>IFERROR(VLOOKUP(E68,Tabellen!A:F,2),0)</f>
        <v/>
      </c>
      <c r="H68" s="601">
        <f>IFERROR(VLOOKUP(E68,Tabellen!A:H,8),0)</f>
        <v/>
      </c>
      <c r="I68" s="602">
        <f>IFERROR(VLOOKUP(H68,Tabellen!H:I,2),0)</f>
        <v/>
      </c>
      <c r="J68" s="603" t="n"/>
      <c r="K68" s="603" t="n"/>
      <c r="L68" s="599" t="n"/>
      <c r="M68" s="599" t="n"/>
      <c r="N68" s="599" t="n"/>
      <c r="O68" s="599" t="n"/>
      <c r="P68" s="508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494">
        <f>IFERROR(VLOOKUP(E69,Tabellen!A:F,4),0)</f>
        <v/>
      </c>
      <c r="B69" s="494" t="n"/>
      <c r="C69" s="494">
        <f>IFERROR(VLOOKUP(E69,Tabellen!A:F,5),0)</f>
        <v/>
      </c>
      <c r="D69" s="494">
        <f>IFERROR(VLOOKUP(E69,Tabellen!A:F,6),0)</f>
        <v/>
      </c>
      <c r="E69" s="594" t="n"/>
      <c r="F69" s="604">
        <f>IF(E69&gt;0,$L$4,0)</f>
        <v/>
      </c>
      <c r="G69" s="494">
        <f>IFERROR(VLOOKUP(E69,Tabellen!A:F,2),0)</f>
        <v/>
      </c>
      <c r="H69" s="597">
        <f>IFERROR(VLOOKUP(E69,Tabellen!A:H,8),0)</f>
        <v/>
      </c>
      <c r="I69" s="605">
        <f>IFERROR(VLOOKUP(H69,Tabellen!H:I,2),0)</f>
        <v/>
      </c>
      <c r="J69" s="595" t="n"/>
      <c r="K69" s="595" t="n"/>
      <c r="L69" s="599" t="n"/>
      <c r="M69" s="599" t="n"/>
      <c r="N69" s="599" t="n"/>
      <c r="O69" s="599" t="n"/>
      <c r="P69" s="526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491">
        <f>IFERROR(VLOOKUP(E70,Tabellen!A:F,4),0)</f>
        <v/>
      </c>
      <c r="B70" s="491" t="n"/>
      <c r="C70" s="491">
        <f>IFERROR(VLOOKUP(E70,Tabellen!A:F,5),0)</f>
        <v/>
      </c>
      <c r="D70" s="491">
        <f>IFERROR(VLOOKUP(E70,Tabellen!A:F,6),0)</f>
        <v/>
      </c>
      <c r="E70" s="594" t="n"/>
      <c r="F70" s="600">
        <f>IF(E70&gt;0,$L$4,0)</f>
        <v/>
      </c>
      <c r="G70" s="491">
        <f>IFERROR(VLOOKUP(E70,Tabellen!A:F,2),0)</f>
        <v/>
      </c>
      <c r="H70" s="601">
        <f>IFERROR(VLOOKUP(E70,Tabellen!A:H,8),0)</f>
        <v/>
      </c>
      <c r="I70" s="602">
        <f>IFERROR(VLOOKUP(H70,Tabellen!H:I,2),0)</f>
        <v/>
      </c>
      <c r="J70" s="603" t="n"/>
      <c r="K70" s="603" t="n"/>
      <c r="L70" s="599" t="n"/>
      <c r="M70" s="599" t="n"/>
      <c r="N70" s="599" t="n"/>
      <c r="O70" s="599" t="n"/>
      <c r="P70" s="508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494">
        <f>IFERROR(VLOOKUP(E71,Tabellen!A:F,4),0)</f>
        <v/>
      </c>
      <c r="B71" s="494" t="n"/>
      <c r="C71" s="494">
        <f>IFERROR(VLOOKUP(E71,Tabellen!A:F,5),0)</f>
        <v/>
      </c>
      <c r="D71" s="494">
        <f>IFERROR(VLOOKUP(E71,Tabellen!A:F,6),0)</f>
        <v/>
      </c>
      <c r="E71" s="594" t="n"/>
      <c r="F71" s="604">
        <f>IF(E71&gt;0,$L$4,0)</f>
        <v/>
      </c>
      <c r="G71" s="494">
        <f>IFERROR(VLOOKUP(E71,Tabellen!A:F,2),0)</f>
        <v/>
      </c>
      <c r="H71" s="597">
        <f>IFERROR(VLOOKUP(E71,Tabellen!A:H,8),0)</f>
        <v/>
      </c>
      <c r="I71" s="605">
        <f>IFERROR(VLOOKUP(H71,Tabellen!H:I,2),0)</f>
        <v/>
      </c>
      <c r="J71" s="595" t="n"/>
      <c r="K71" s="595" t="n"/>
      <c r="L71" s="599" t="n"/>
      <c r="M71" s="599" t="n"/>
      <c r="N71" s="599" t="n"/>
      <c r="O71" s="599" t="n"/>
      <c r="P71" s="526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491">
        <f>IFERROR(VLOOKUP(E72,Tabellen!A:F,4),0)</f>
        <v/>
      </c>
      <c r="B72" s="491" t="n"/>
      <c r="C72" s="491">
        <f>IFERROR(VLOOKUP(E72,Tabellen!A:F,5),0)</f>
        <v/>
      </c>
      <c r="D72" s="491">
        <f>IFERROR(VLOOKUP(E72,Tabellen!A:F,6),0)</f>
        <v/>
      </c>
      <c r="E72" s="594" t="n"/>
      <c r="F72" s="600">
        <f>IF(E72&gt;0,$L$4,0)</f>
        <v/>
      </c>
      <c r="G72" s="491">
        <f>IFERROR(VLOOKUP(E72,Tabellen!A:F,2),0)</f>
        <v/>
      </c>
      <c r="H72" s="601">
        <f>IFERROR(VLOOKUP(E72,Tabellen!A:H,8),0)</f>
        <v/>
      </c>
      <c r="I72" s="602">
        <f>IFERROR(VLOOKUP(H72,Tabellen!H:I,2),0)</f>
        <v/>
      </c>
      <c r="J72" s="603" t="n"/>
      <c r="K72" s="603" t="n"/>
      <c r="L72" s="599" t="n"/>
      <c r="M72" s="599" t="n"/>
      <c r="N72" s="599" t="n"/>
      <c r="O72" s="599" t="n"/>
      <c r="P72" s="508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494">
        <f>IFERROR(VLOOKUP(E73,Tabellen!A:F,4),0)</f>
        <v/>
      </c>
      <c r="B73" s="494" t="n"/>
      <c r="C73" s="494">
        <f>IFERROR(VLOOKUP(E73,Tabellen!A:F,5),0)</f>
        <v/>
      </c>
      <c r="D73" s="494">
        <f>IFERROR(VLOOKUP(E73,Tabellen!A:F,6),0)</f>
        <v/>
      </c>
      <c r="E73" s="594" t="n"/>
      <c r="F73" s="604">
        <f>IF(E73&gt;0,$L$4,0)</f>
        <v/>
      </c>
      <c r="G73" s="494">
        <f>IFERROR(VLOOKUP(E73,Tabellen!A:F,2),0)</f>
        <v/>
      </c>
      <c r="H73" s="597">
        <f>IFERROR(VLOOKUP(E73,Tabellen!A:H,8),0)</f>
        <v/>
      </c>
      <c r="I73" s="605">
        <f>IFERROR(VLOOKUP(H73,Tabellen!H:I,2),0)</f>
        <v/>
      </c>
      <c r="J73" s="595" t="n"/>
      <c r="K73" s="595" t="n"/>
      <c r="L73" s="599" t="n"/>
      <c r="M73" s="599" t="n"/>
      <c r="N73" s="599" t="n"/>
      <c r="O73" s="599" t="n"/>
      <c r="P73" s="526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491">
        <f>IFERROR(VLOOKUP(E74,Tabellen!A:F,4),0)</f>
        <v/>
      </c>
      <c r="B74" s="491" t="n"/>
      <c r="C74" s="491">
        <f>IFERROR(VLOOKUP(E74,Tabellen!A:F,5),0)</f>
        <v/>
      </c>
      <c r="D74" s="491">
        <f>IFERROR(VLOOKUP(E74,Tabellen!A:F,6),0)</f>
        <v/>
      </c>
      <c r="E74" s="594" t="n"/>
      <c r="F74" s="600">
        <f>IF(E74&gt;0,$L$4,0)</f>
        <v/>
      </c>
      <c r="G74" s="491">
        <f>IFERROR(VLOOKUP(E74,Tabellen!A:F,2),0)</f>
        <v/>
      </c>
      <c r="H74" s="601">
        <f>IFERROR(VLOOKUP(E74,Tabellen!A:H,8),0)</f>
        <v/>
      </c>
      <c r="I74" s="602">
        <f>IFERROR(VLOOKUP(H74,Tabellen!H:I,2),0)</f>
        <v/>
      </c>
      <c r="J74" s="603" t="n"/>
      <c r="K74" s="603" t="n"/>
      <c r="L74" s="606" t="n"/>
      <c r="M74" s="606" t="n"/>
      <c r="N74" s="606" t="n"/>
      <c r="O74" s="606" t="n"/>
      <c r="P74" s="508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0" t="n"/>
      <c r="I75" s="611" t="n"/>
      <c r="J75" s="608" t="n"/>
      <c r="K75" s="608" t="n"/>
      <c r="L75" s="612">
        <f>SUM(L18:L74)</f>
        <v/>
      </c>
      <c r="M75" s="612">
        <f>SUM(M18:M74)</f>
        <v/>
      </c>
      <c r="N75" s="612">
        <f>SUM(N18:N74)</f>
        <v/>
      </c>
      <c r="O75" s="612">
        <f>SUM(O18:O74)</f>
        <v/>
      </c>
      <c r="P75" s="461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8" customHeight="1">
      <c r="A77" s="452" t="inlineStr">
        <is>
          <t>B. Dekking uitgaven en inkomsten</t>
        </is>
      </c>
      <c r="B77" s="453" t="n"/>
      <c r="C77" s="453" t="n"/>
      <c r="D77" s="452" t="n"/>
      <c r="E77" s="453" t="n"/>
      <c r="F77" s="453" t="n"/>
      <c r="G77" s="452" t="n"/>
      <c r="H77" s="454" t="n"/>
      <c r="I77" s="455" t="n"/>
      <c r="J77" s="453" t="n"/>
      <c r="K77" s="456" t="n"/>
      <c r="L77" s="457" t="n"/>
      <c r="M77" s="457" t="n"/>
      <c r="N77" s="457" t="n"/>
      <c r="O77" s="457" t="n"/>
      <c r="P77" s="458" t="n"/>
      <c r="Q77" s="459" t="inlineStr">
        <is>
          <t>→ reserves, voorzieningen en overige dekkingsbronnen HIER invullen</t>
        </is>
      </c>
      <c r="R77" s="459">
        <f>IF(OR(H77=87201,H77=87100,H77=87200,H77=87500),L77,0)</f>
        <v/>
      </c>
      <c r="S77" s="357" t="n"/>
      <c r="T77" s="357" t="n"/>
    </row>
    <row r="78" ht="15" customHeight="1">
      <c r="A78" s="491">
        <f>IFERROR(VLOOKUP(E78,Tabellen!A:F,4),0)</f>
        <v/>
      </c>
      <c r="B78" s="613" t="n"/>
      <c r="C78" s="614">
        <f>IFERROR(VLOOKUP(E78,Tabellen!A:F,5),0)</f>
        <v/>
      </c>
      <c r="D78" s="491">
        <f>IFERROR(VLOOKUP(E78,Tabellen!A:F,6),0)</f>
        <v/>
      </c>
      <c r="E78" s="594" t="n"/>
      <c r="F78" s="600">
        <f>IF(E78&gt;0,$L$4,0)</f>
        <v/>
      </c>
      <c r="G78" s="615">
        <f>IFERROR(VLOOKUP(E78,Tabellen!A:F,2),0)</f>
        <v/>
      </c>
      <c r="H78" s="616">
        <f>IFERROR(VLOOKUP(E78,Tabellen!A:H,8),0)</f>
        <v/>
      </c>
      <c r="I78" s="602">
        <f>IFERROR(VLOOKUP(H78,Tabellen!H:I,2),0)</f>
        <v/>
      </c>
      <c r="J78" s="603" t="n"/>
      <c r="K78" s="603" t="n"/>
      <c r="L78" s="599" t="n"/>
      <c r="M78" s="599" t="n"/>
      <c r="N78" s="599" t="n"/>
      <c r="O78" s="599" t="n"/>
      <c r="P78" s="508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494">
        <f>IFERROR(VLOOKUP(E79,Tabellen!A:F,4),0)</f>
        <v/>
      </c>
      <c r="B79" s="617" t="n"/>
      <c r="C79" s="593">
        <f>IFERROR(VLOOKUP(E79,Tabellen!A:F,5),0)</f>
        <v/>
      </c>
      <c r="D79" s="494">
        <f>IFERROR(VLOOKUP(E79,Tabellen!A:F,6),0)</f>
        <v/>
      </c>
      <c r="E79" s="594" t="n"/>
      <c r="F79" s="604">
        <f>IF(E79&gt;0,$L$4,0)</f>
        <v/>
      </c>
      <c r="G79" s="596">
        <f>IFERROR(VLOOKUP(E79,Tabellen!A:F,2),0)</f>
        <v/>
      </c>
      <c r="H79" s="618">
        <f>IFERROR(VLOOKUP(E79,Tabellen!A:H,8),0)</f>
        <v/>
      </c>
      <c r="I79" s="605">
        <f>IFERROR(VLOOKUP(H79,Tabellen!H:I,2),0)</f>
        <v/>
      </c>
      <c r="J79" s="595" t="n"/>
      <c r="K79" s="595" t="n"/>
      <c r="L79" s="599" t="n"/>
      <c r="M79" s="599" t="n"/>
      <c r="N79" s="599" t="n"/>
      <c r="O79" s="599" t="n"/>
      <c r="P79" s="526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491">
        <f>IFERROR(VLOOKUP(E80,Tabellen!A:F,4),0)</f>
        <v/>
      </c>
      <c r="B80" s="613" t="n"/>
      <c r="C80" s="614">
        <f>IFERROR(VLOOKUP(E80,Tabellen!A:F,5),0)</f>
        <v/>
      </c>
      <c r="D80" s="491">
        <f>IFERROR(VLOOKUP(E80,Tabellen!A:F,6),0)</f>
        <v/>
      </c>
      <c r="E80" s="594" t="n"/>
      <c r="F80" s="600">
        <f>IF(E80&gt;0,$L$4,0)</f>
        <v/>
      </c>
      <c r="G80" s="615">
        <f>IFERROR(VLOOKUP(E80,Tabellen!A:F,2),0)</f>
        <v/>
      </c>
      <c r="H80" s="616">
        <f>IFERROR(VLOOKUP(E80,Tabellen!A:H,8),0)</f>
        <v/>
      </c>
      <c r="I80" s="602">
        <f>IFERROR(VLOOKUP(H80,Tabellen!H:I,2),0)</f>
        <v/>
      </c>
      <c r="J80" s="603" t="n"/>
      <c r="K80" s="603" t="n"/>
      <c r="L80" s="599" t="n"/>
      <c r="M80" s="599" t="n"/>
      <c r="N80" s="599" t="n"/>
      <c r="O80" s="599" t="n"/>
      <c r="P80" s="508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494">
        <f>IFERROR(VLOOKUP(E81,Tabellen!A:F,4),0)</f>
        <v/>
      </c>
      <c r="B81" s="617" t="n"/>
      <c r="C81" s="593">
        <f>IFERROR(VLOOKUP(E81,Tabellen!A:F,5),0)</f>
        <v/>
      </c>
      <c r="D81" s="494">
        <f>IFERROR(VLOOKUP(E81,Tabellen!A:F,6),0)</f>
        <v/>
      </c>
      <c r="E81" s="594" t="n"/>
      <c r="F81" s="604">
        <f>IF(E81&gt;0,$L$4,0)</f>
        <v/>
      </c>
      <c r="G81" s="596">
        <f>IFERROR(VLOOKUP(E81,Tabellen!A:F,2),0)</f>
        <v/>
      </c>
      <c r="H81" s="618">
        <f>IFERROR(VLOOKUP(E81,Tabellen!A:H,8),0)</f>
        <v/>
      </c>
      <c r="I81" s="605">
        <f>IFERROR(VLOOKUP(H81,Tabellen!H:I,2),0)</f>
        <v/>
      </c>
      <c r="J81" s="595" t="n"/>
      <c r="K81" s="595" t="n"/>
      <c r="L81" s="599" t="n"/>
      <c r="M81" s="599" t="n"/>
      <c r="N81" s="599" t="n"/>
      <c r="O81" s="599" t="n"/>
      <c r="P81" s="526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491">
        <f>IFERROR(VLOOKUP(E82,Tabellen!A:F,4),0)</f>
        <v/>
      </c>
      <c r="B82" s="613" t="n"/>
      <c r="C82" s="614">
        <f>IFERROR(VLOOKUP(E82,Tabellen!A:F,5),0)</f>
        <v/>
      </c>
      <c r="D82" s="491">
        <f>IFERROR(VLOOKUP(E82,Tabellen!A:F,6),0)</f>
        <v/>
      </c>
      <c r="E82" s="594" t="n"/>
      <c r="F82" s="600">
        <f>IF(E82&gt;0,$L$4,0)</f>
        <v/>
      </c>
      <c r="G82" s="615">
        <f>IFERROR(VLOOKUP(E82,Tabellen!A:F,2),0)</f>
        <v/>
      </c>
      <c r="H82" s="616">
        <f>IFERROR(VLOOKUP(E82,Tabellen!A:H,8),0)</f>
        <v/>
      </c>
      <c r="I82" s="602">
        <f>IFERROR(VLOOKUP(H82,Tabellen!H:I,2),0)</f>
        <v/>
      </c>
      <c r="J82" s="603" t="n"/>
      <c r="K82" s="603" t="n"/>
      <c r="L82" s="599" t="n"/>
      <c r="M82" s="599" t="n"/>
      <c r="N82" s="599" t="n"/>
      <c r="O82" s="599" t="n"/>
      <c r="P82" s="508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494">
        <f>IFERROR(VLOOKUP(E83,Tabellen!A:F,4),0)</f>
        <v/>
      </c>
      <c r="B83" s="494" t="n"/>
      <c r="C83" s="593">
        <f>IFERROR(VLOOKUP(E83,Tabellen!A:F,5),0)</f>
        <v/>
      </c>
      <c r="D83" s="494">
        <f>IFERROR(VLOOKUP(E83,Tabellen!A:F,6),0)</f>
        <v/>
      </c>
      <c r="E83" s="594" t="n"/>
      <c r="F83" s="604">
        <f>IF(E83&gt;0,$L$4,0)</f>
        <v/>
      </c>
      <c r="G83" s="596">
        <f>IFERROR(VLOOKUP(E83,Tabellen!A:F,2),0)</f>
        <v/>
      </c>
      <c r="H83" s="618">
        <f>IFERROR(VLOOKUP(E83,Tabellen!A:H,8),0)</f>
        <v/>
      </c>
      <c r="I83" s="605">
        <f>IFERROR(VLOOKUP(H83,Tabellen!H:I,2),0)</f>
        <v/>
      </c>
      <c r="J83" s="595" t="n"/>
      <c r="K83" s="595" t="n"/>
      <c r="L83" s="599" t="n"/>
      <c r="M83" s="599" t="n"/>
      <c r="N83" s="599" t="n"/>
      <c r="O83" s="599" t="n"/>
      <c r="P83" s="526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491">
        <f>IFERROR(VLOOKUP(E84,Tabellen!A:F,4),0)</f>
        <v/>
      </c>
      <c r="B84" s="613" t="n"/>
      <c r="C84" s="614">
        <f>IFERROR(VLOOKUP(E84,Tabellen!A:F,5),0)</f>
        <v/>
      </c>
      <c r="D84" s="491">
        <f>IFERROR(VLOOKUP(E84,Tabellen!A:F,6),0)</f>
        <v/>
      </c>
      <c r="E84" s="594" t="n"/>
      <c r="F84" s="600">
        <f>IF(E84&gt;0,$L$4,0)</f>
        <v/>
      </c>
      <c r="G84" s="615">
        <f>IFERROR(VLOOKUP(E84,Tabellen!A:F,2),0)</f>
        <v/>
      </c>
      <c r="H84" s="616">
        <f>IFERROR(VLOOKUP(E84,Tabellen!A:H,8),0)</f>
        <v/>
      </c>
      <c r="I84" s="602">
        <f>IFERROR(VLOOKUP(H84,Tabellen!H:I,2),0)</f>
        <v/>
      </c>
      <c r="J84" s="603" t="n"/>
      <c r="K84" s="603" t="n"/>
      <c r="L84" s="599" t="n"/>
      <c r="M84" s="599" t="n"/>
      <c r="N84" s="599" t="n"/>
      <c r="O84" s="599" t="n"/>
      <c r="P84" s="508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494">
        <f>IFERROR(VLOOKUP(E85,Tabellen!A:F,4),0)</f>
        <v/>
      </c>
      <c r="B85" s="494" t="n"/>
      <c r="C85" s="593">
        <f>IFERROR(VLOOKUP(E85,Tabellen!A:F,5),0)</f>
        <v/>
      </c>
      <c r="D85" s="494">
        <f>IFERROR(VLOOKUP(E85,Tabellen!A:F,6),0)</f>
        <v/>
      </c>
      <c r="E85" s="594" t="n"/>
      <c r="F85" s="604">
        <f>IF(E85&gt;0,$L$4,0)</f>
        <v/>
      </c>
      <c r="G85" s="596">
        <f>IFERROR(VLOOKUP(E85,Tabellen!A:F,2),0)</f>
        <v/>
      </c>
      <c r="H85" s="618">
        <f>IFERROR(VLOOKUP(E85,Tabellen!A:H,8),0)</f>
        <v/>
      </c>
      <c r="I85" s="605">
        <f>IFERROR(VLOOKUP(H85,Tabellen!H:I,2),0)</f>
        <v/>
      </c>
      <c r="J85" s="595" t="n"/>
      <c r="K85" s="595" t="n"/>
      <c r="L85" s="599" t="n"/>
      <c r="M85" s="599" t="n"/>
      <c r="N85" s="599" t="n"/>
      <c r="O85" s="599" t="n"/>
      <c r="P85" s="526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491">
        <f>IFERROR(VLOOKUP(E86,Tabellen!A:F,4),0)</f>
        <v/>
      </c>
      <c r="B86" s="491" t="n"/>
      <c r="C86" s="614">
        <f>IFERROR(VLOOKUP(E86,Tabellen!A:F,5),0)</f>
        <v/>
      </c>
      <c r="D86" s="491">
        <f>IFERROR(VLOOKUP(E86,Tabellen!A:F,6),0)</f>
        <v/>
      </c>
      <c r="E86" s="594" t="n"/>
      <c r="F86" s="600">
        <f>IF(E86&gt;0,$L$4,0)</f>
        <v/>
      </c>
      <c r="G86" s="615">
        <f>IFERROR(VLOOKUP(E86,Tabellen!A:F,2),0)</f>
        <v/>
      </c>
      <c r="H86" s="616">
        <f>IFERROR(VLOOKUP(E86,Tabellen!A:H,8),0)</f>
        <v/>
      </c>
      <c r="I86" s="602">
        <f>IFERROR(VLOOKUP(H86,Tabellen!H:I,2),0)</f>
        <v/>
      </c>
      <c r="J86" s="603" t="n"/>
      <c r="K86" s="603" t="n"/>
      <c r="L86" s="599" t="n"/>
      <c r="M86" s="599" t="n"/>
      <c r="N86" s="599" t="n"/>
      <c r="O86" s="599" t="n"/>
      <c r="P86" s="508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494">
        <f>IFERROR(VLOOKUP(E87,Tabellen!A:F,4),0)</f>
        <v/>
      </c>
      <c r="B87" s="494" t="n"/>
      <c r="C87" s="593">
        <f>IFERROR(VLOOKUP(E87,Tabellen!A:F,5),0)</f>
        <v/>
      </c>
      <c r="D87" s="494">
        <f>IFERROR(VLOOKUP(E87,Tabellen!A:F,6),0)</f>
        <v/>
      </c>
      <c r="E87" s="594" t="n"/>
      <c r="F87" s="604">
        <f>IF(E87&gt;0,$L$4,0)</f>
        <v/>
      </c>
      <c r="G87" s="596">
        <f>IFERROR(VLOOKUP(E87,Tabellen!A:F,2),0)</f>
        <v/>
      </c>
      <c r="H87" s="618">
        <f>IFERROR(VLOOKUP(E87,Tabellen!A:H,8),0)</f>
        <v/>
      </c>
      <c r="I87" s="605">
        <f>IFERROR(VLOOKUP(H87,Tabellen!H:I,2),0)</f>
        <v/>
      </c>
      <c r="J87" s="595" t="n"/>
      <c r="K87" s="595" t="n"/>
      <c r="L87" s="599" t="n"/>
      <c r="M87" s="599" t="n"/>
      <c r="N87" s="599" t="n"/>
      <c r="O87" s="599" t="n"/>
      <c r="P87" s="526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491">
        <f>IFERROR(VLOOKUP(E88,Tabellen!A:F,4),0)</f>
        <v/>
      </c>
      <c r="B88" s="491" t="n"/>
      <c r="C88" s="614">
        <f>IFERROR(VLOOKUP(E88,Tabellen!A:F,5),0)</f>
        <v/>
      </c>
      <c r="D88" s="491">
        <f>IFERROR(VLOOKUP(E88,Tabellen!A:F,6),0)</f>
        <v/>
      </c>
      <c r="E88" s="594" t="n"/>
      <c r="F88" s="600">
        <f>IF(E88&gt;0,$L$4,0)</f>
        <v/>
      </c>
      <c r="G88" s="615">
        <f>IFERROR(VLOOKUP(E88,Tabellen!A:F,2),0)</f>
        <v/>
      </c>
      <c r="H88" s="616">
        <f>IFERROR(VLOOKUP(E88,Tabellen!A:H,8),0)</f>
        <v/>
      </c>
      <c r="I88" s="602">
        <f>IFERROR(VLOOKUP(H88,Tabellen!H:I,2),0)</f>
        <v/>
      </c>
      <c r="J88" s="603" t="n"/>
      <c r="K88" s="603" t="n"/>
      <c r="L88" s="599" t="n"/>
      <c r="M88" s="599" t="n"/>
      <c r="N88" s="599" t="n"/>
      <c r="O88" s="599" t="n"/>
      <c r="P88" s="508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494">
        <f>IFERROR(VLOOKUP(E89,Tabellen!A:F,4),0)</f>
        <v/>
      </c>
      <c r="B89" s="494" t="n"/>
      <c r="C89" s="593">
        <f>IFERROR(VLOOKUP(E89,Tabellen!A:F,5),0)</f>
        <v/>
      </c>
      <c r="D89" s="494">
        <f>IFERROR(VLOOKUP(E89,Tabellen!A:F,6),0)</f>
        <v/>
      </c>
      <c r="E89" s="594" t="n"/>
      <c r="F89" s="604">
        <f>IF(E89&gt;0,$L$4,0)</f>
        <v/>
      </c>
      <c r="G89" s="596">
        <f>IFERROR(VLOOKUP(E89,Tabellen!A:F,2),0)</f>
        <v/>
      </c>
      <c r="H89" s="618">
        <f>IFERROR(VLOOKUP(E89,Tabellen!A:H,8),0)</f>
        <v/>
      </c>
      <c r="I89" s="605">
        <f>IFERROR(VLOOKUP(H89,Tabellen!H:I,2),0)</f>
        <v/>
      </c>
      <c r="J89" s="595" t="n"/>
      <c r="K89" s="595" t="n"/>
      <c r="L89" s="599" t="n"/>
      <c r="M89" s="599" t="n"/>
      <c r="N89" s="599" t="n"/>
      <c r="O89" s="599" t="n"/>
      <c r="P89" s="526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491">
        <f>IFERROR(VLOOKUP(E90,Tabellen!A:F,4),0)</f>
        <v/>
      </c>
      <c r="B90" s="491" t="n"/>
      <c r="C90" s="614">
        <f>IFERROR(VLOOKUP(E90,Tabellen!A:F,5),0)</f>
        <v/>
      </c>
      <c r="D90" s="491">
        <f>IFERROR(VLOOKUP(E90,Tabellen!A:F,6),0)</f>
        <v/>
      </c>
      <c r="E90" s="594" t="n"/>
      <c r="F90" s="600">
        <f>IF(E90&gt;0,$L$4,0)</f>
        <v/>
      </c>
      <c r="G90" s="615">
        <f>IFERROR(VLOOKUP(E90,Tabellen!A:F,2),0)</f>
        <v/>
      </c>
      <c r="H90" s="616">
        <f>IFERROR(VLOOKUP(E90,Tabellen!A:H,8),0)</f>
        <v/>
      </c>
      <c r="I90" s="602">
        <f>IFERROR(VLOOKUP(H90,Tabellen!H:I,2),0)</f>
        <v/>
      </c>
      <c r="J90" s="603" t="n"/>
      <c r="K90" s="603" t="n"/>
      <c r="L90" s="599" t="n"/>
      <c r="M90" s="599" t="n"/>
      <c r="N90" s="599" t="n"/>
      <c r="O90" s="599" t="n"/>
      <c r="P90" s="508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494">
        <f>IFERROR(VLOOKUP(E91,Tabellen!A:F,4),0)</f>
        <v/>
      </c>
      <c r="B91" s="494" t="n"/>
      <c r="C91" s="593">
        <f>IFERROR(VLOOKUP(E91,Tabellen!A:F,5),0)</f>
        <v/>
      </c>
      <c r="D91" s="494">
        <f>IFERROR(VLOOKUP(E91,Tabellen!A:F,6),0)</f>
        <v/>
      </c>
      <c r="E91" s="594" t="n"/>
      <c r="F91" s="604">
        <f>IF(E91&gt;0,$L$4,0)</f>
        <v/>
      </c>
      <c r="G91" s="596">
        <f>IFERROR(VLOOKUP(E91,Tabellen!A:F,2),0)</f>
        <v/>
      </c>
      <c r="H91" s="618">
        <f>IFERROR(VLOOKUP(E91,Tabellen!A:H,8),0)</f>
        <v/>
      </c>
      <c r="I91" s="605">
        <f>IFERROR(VLOOKUP(H91,Tabellen!H:I,2),0)</f>
        <v/>
      </c>
      <c r="J91" s="595" t="n"/>
      <c r="K91" s="595" t="n"/>
      <c r="L91" s="599" t="n"/>
      <c r="M91" s="599" t="n"/>
      <c r="N91" s="599" t="n"/>
      <c r="O91" s="599" t="n"/>
      <c r="P91" s="526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491">
        <f>IFERROR(VLOOKUP(E92,Tabellen!A:F,4),0)</f>
        <v/>
      </c>
      <c r="B92" s="491" t="n"/>
      <c r="C92" s="614">
        <f>IFERROR(VLOOKUP(E92,Tabellen!A:F,5),0)</f>
        <v/>
      </c>
      <c r="D92" s="491">
        <f>IFERROR(VLOOKUP(E92,Tabellen!A:F,6),0)</f>
        <v/>
      </c>
      <c r="E92" s="594" t="n"/>
      <c r="F92" s="600">
        <f>IF(E92&gt;0,$L$4,0)</f>
        <v/>
      </c>
      <c r="G92" s="615">
        <f>IFERROR(VLOOKUP(E92,Tabellen!A:F,2),0)</f>
        <v/>
      </c>
      <c r="H92" s="616">
        <f>IFERROR(VLOOKUP(E92,Tabellen!A:H,8),0)</f>
        <v/>
      </c>
      <c r="I92" s="602">
        <f>IFERROR(VLOOKUP(H92,Tabellen!H:I,2),0)</f>
        <v/>
      </c>
      <c r="J92" s="603" t="n"/>
      <c r="K92" s="603" t="n"/>
      <c r="L92" s="599" t="n"/>
      <c r="M92" s="599" t="n"/>
      <c r="N92" s="599" t="n"/>
      <c r="O92" s="599" t="n"/>
      <c r="P92" s="508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494">
        <f>IFERROR(VLOOKUP(E93,Tabellen!A:F,4),0)</f>
        <v/>
      </c>
      <c r="B93" s="494" t="n"/>
      <c r="C93" s="593">
        <f>IFERROR(VLOOKUP(E93,Tabellen!A:F,5),0)</f>
        <v/>
      </c>
      <c r="D93" s="494">
        <f>IFERROR(VLOOKUP(E93,Tabellen!A:F,6),0)</f>
        <v/>
      </c>
      <c r="E93" s="594" t="n"/>
      <c r="F93" s="604">
        <f>IF(E93&gt;0,$L$4,0)</f>
        <v/>
      </c>
      <c r="G93" s="596">
        <f>IFERROR(VLOOKUP(E93,Tabellen!A:F,2),0)</f>
        <v/>
      </c>
      <c r="H93" s="618">
        <f>IFERROR(VLOOKUP(E93,Tabellen!A:H,8),0)</f>
        <v/>
      </c>
      <c r="I93" s="605">
        <f>IFERROR(VLOOKUP(H93,Tabellen!H:I,2),0)</f>
        <v/>
      </c>
      <c r="J93" s="595" t="n"/>
      <c r="K93" s="595" t="n"/>
      <c r="L93" s="599" t="n"/>
      <c r="M93" s="599" t="n"/>
      <c r="N93" s="599" t="n"/>
      <c r="O93" s="599" t="n"/>
      <c r="P93" s="526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491">
        <f>IFERROR(VLOOKUP(E94,Tabellen!A:F,4),0)</f>
        <v/>
      </c>
      <c r="B94" s="491" t="n"/>
      <c r="C94" s="614">
        <f>IFERROR(VLOOKUP(E94,Tabellen!A:F,5),0)</f>
        <v/>
      </c>
      <c r="D94" s="491">
        <f>IFERROR(VLOOKUP(E94,Tabellen!A:F,6),0)</f>
        <v/>
      </c>
      <c r="E94" s="594" t="n"/>
      <c r="F94" s="600">
        <f>IF(E94&gt;0,$L$4,0)</f>
        <v/>
      </c>
      <c r="G94" s="615">
        <f>IFERROR(VLOOKUP(E94,Tabellen!A:F,2),0)</f>
        <v/>
      </c>
      <c r="H94" s="616">
        <f>IFERROR(VLOOKUP(E94,Tabellen!A:H,8),0)</f>
        <v/>
      </c>
      <c r="I94" s="602">
        <f>IFERROR(VLOOKUP(H94,Tabellen!H:I,2),0)</f>
        <v/>
      </c>
      <c r="J94" s="603" t="n"/>
      <c r="K94" s="603" t="n"/>
      <c r="L94" s="599" t="n"/>
      <c r="M94" s="599" t="n"/>
      <c r="N94" s="599" t="n"/>
      <c r="O94" s="599" t="n"/>
      <c r="P94" s="508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494">
        <f>IFERROR(VLOOKUP(E95,Tabellen!A:F,4),0)</f>
        <v/>
      </c>
      <c r="B95" s="494" t="n"/>
      <c r="C95" s="593">
        <f>IFERROR(VLOOKUP(E95,Tabellen!A:F,5),0)</f>
        <v/>
      </c>
      <c r="D95" s="494">
        <f>IFERROR(VLOOKUP(E95,Tabellen!A:F,6),0)</f>
        <v/>
      </c>
      <c r="E95" s="594" t="n"/>
      <c r="F95" s="604">
        <f>IF(E95&gt;0,$L$4,0)</f>
        <v/>
      </c>
      <c r="G95" s="596">
        <f>IFERROR(VLOOKUP(E95,Tabellen!A:F,2),0)</f>
        <v/>
      </c>
      <c r="H95" s="618">
        <f>IFERROR(VLOOKUP(E95,Tabellen!A:H,8),0)</f>
        <v/>
      </c>
      <c r="I95" s="605">
        <f>IFERROR(VLOOKUP(H95,Tabellen!H:I,2),0)</f>
        <v/>
      </c>
      <c r="J95" s="595" t="n"/>
      <c r="K95" s="595" t="n"/>
      <c r="L95" s="599" t="n"/>
      <c r="M95" s="599" t="n"/>
      <c r="N95" s="599" t="n"/>
      <c r="O95" s="599" t="n"/>
      <c r="P95" s="526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491">
        <f>IFERROR(VLOOKUP(E96,Tabellen!A:F,4),0)</f>
        <v/>
      </c>
      <c r="B96" s="491" t="n"/>
      <c r="C96" s="614">
        <f>IFERROR(VLOOKUP(E96,Tabellen!A:F,5),0)</f>
        <v/>
      </c>
      <c r="D96" s="491">
        <f>IFERROR(VLOOKUP(E96,Tabellen!A:F,6),0)</f>
        <v/>
      </c>
      <c r="E96" s="594" t="n"/>
      <c r="F96" s="600">
        <f>IF(E96&gt;0,$L$4,0)</f>
        <v/>
      </c>
      <c r="G96" s="615">
        <f>IFERROR(VLOOKUP(E96,Tabellen!A:F,2),0)</f>
        <v/>
      </c>
      <c r="H96" s="616">
        <f>IFERROR(VLOOKUP(E96,Tabellen!A:H,8),0)</f>
        <v/>
      </c>
      <c r="I96" s="602">
        <f>IFERROR(VLOOKUP(H96,Tabellen!H:I,2),0)</f>
        <v/>
      </c>
      <c r="J96" s="603" t="n"/>
      <c r="K96" s="603" t="n"/>
      <c r="L96" s="599" t="n"/>
      <c r="M96" s="599" t="n"/>
      <c r="N96" s="599" t="n"/>
      <c r="O96" s="599" t="n"/>
      <c r="P96" s="508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494">
        <f>IFERROR(VLOOKUP(E97,Tabellen!A:F,4),0)</f>
        <v/>
      </c>
      <c r="B97" s="494" t="n"/>
      <c r="C97" s="593">
        <f>IFERROR(VLOOKUP(E97,Tabellen!A:F,5),0)</f>
        <v/>
      </c>
      <c r="D97" s="494">
        <f>IFERROR(VLOOKUP(E97,Tabellen!A:F,6),0)</f>
        <v/>
      </c>
      <c r="E97" s="594" t="n"/>
      <c r="F97" s="604">
        <f>IF(E97&gt;0,$L$4,0)</f>
        <v/>
      </c>
      <c r="G97" s="596">
        <f>IFERROR(VLOOKUP(E97,Tabellen!A:F,2),0)</f>
        <v/>
      </c>
      <c r="H97" s="618">
        <f>IFERROR(VLOOKUP(E97,Tabellen!A:H,8),0)</f>
        <v/>
      </c>
      <c r="I97" s="605">
        <f>IFERROR(VLOOKUP(H97,Tabellen!H:I,2),0)</f>
        <v/>
      </c>
      <c r="J97" s="595" t="n"/>
      <c r="K97" s="595" t="n"/>
      <c r="L97" s="599" t="n"/>
      <c r="M97" s="599" t="n"/>
      <c r="N97" s="599" t="n"/>
      <c r="O97" s="599" t="n"/>
      <c r="P97" s="526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491">
        <f>IFERROR(VLOOKUP(E98,Tabellen!A:F,4),0)</f>
        <v/>
      </c>
      <c r="B98" s="491" t="n"/>
      <c r="C98" s="614">
        <f>IFERROR(VLOOKUP(E98,Tabellen!A:F,5),0)</f>
        <v/>
      </c>
      <c r="D98" s="491">
        <f>IFERROR(VLOOKUP(E98,Tabellen!A:F,6),0)</f>
        <v/>
      </c>
      <c r="E98" s="594" t="n"/>
      <c r="F98" s="600">
        <f>IF(E98&gt;0,$L$4,0)</f>
        <v/>
      </c>
      <c r="G98" s="615">
        <f>IFERROR(VLOOKUP(E98,Tabellen!A:F,2),0)</f>
        <v/>
      </c>
      <c r="H98" s="616">
        <f>IFERROR(VLOOKUP(E98,Tabellen!A:H,8),0)</f>
        <v/>
      </c>
      <c r="I98" s="602">
        <f>IFERROR(VLOOKUP(H98,Tabellen!H:I,2),0)</f>
        <v/>
      </c>
      <c r="J98" s="603" t="n"/>
      <c r="K98" s="603" t="n"/>
      <c r="L98" s="599" t="n"/>
      <c r="M98" s="599" t="n"/>
      <c r="N98" s="599" t="n"/>
      <c r="O98" s="599" t="n"/>
      <c r="P98" s="508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494">
        <f>IFERROR(VLOOKUP(E99,Tabellen!A:F,4),0)</f>
        <v/>
      </c>
      <c r="B99" s="494" t="n"/>
      <c r="C99" s="593">
        <f>IFERROR(VLOOKUP(E99,Tabellen!A:F,5),0)</f>
        <v/>
      </c>
      <c r="D99" s="494">
        <f>IFERROR(VLOOKUP(E99,Tabellen!A:F,6),0)</f>
        <v/>
      </c>
      <c r="E99" s="594" t="n"/>
      <c r="F99" s="604">
        <f>IF(E99&gt;0,$L$4,0)</f>
        <v/>
      </c>
      <c r="G99" s="596">
        <f>IFERROR(VLOOKUP(E99,Tabellen!A:F,2),0)</f>
        <v/>
      </c>
      <c r="H99" s="618">
        <f>IFERROR(VLOOKUP(E99,Tabellen!A:H,8),0)</f>
        <v/>
      </c>
      <c r="I99" s="605">
        <f>IFERROR(VLOOKUP(H99,Tabellen!H:I,2),0)</f>
        <v/>
      </c>
      <c r="J99" s="595" t="n"/>
      <c r="K99" s="595" t="n"/>
      <c r="L99" s="599" t="n"/>
      <c r="M99" s="599" t="n"/>
      <c r="N99" s="599" t="n"/>
      <c r="O99" s="599" t="n"/>
      <c r="P99" s="526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491">
        <f>IFERROR(VLOOKUP(E100,Tabellen!A:F,4),0)</f>
        <v/>
      </c>
      <c r="B100" s="491" t="n"/>
      <c r="C100" s="614">
        <f>IFERROR(VLOOKUP(E100,Tabellen!A:F,5),0)</f>
        <v/>
      </c>
      <c r="D100" s="491">
        <f>IFERROR(VLOOKUP(E100,Tabellen!A:F,6),0)</f>
        <v/>
      </c>
      <c r="E100" s="594" t="n"/>
      <c r="F100" s="600">
        <f>IF(E100&gt;0,$L$4,0)</f>
        <v/>
      </c>
      <c r="G100" s="615">
        <f>IFERROR(VLOOKUP(E100,Tabellen!A:F,2),0)</f>
        <v/>
      </c>
      <c r="H100" s="616">
        <f>IFERROR(VLOOKUP(E100,Tabellen!A:H,8),0)</f>
        <v/>
      </c>
      <c r="I100" s="602">
        <f>IFERROR(VLOOKUP(H100,Tabellen!H:I,2),0)</f>
        <v/>
      </c>
      <c r="J100" s="603" t="n"/>
      <c r="K100" s="603" t="n"/>
      <c r="L100" s="599" t="n"/>
      <c r="M100" s="599" t="n"/>
      <c r="N100" s="599" t="n"/>
      <c r="O100" s="599" t="n"/>
      <c r="P100" s="508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494">
        <f>IFERROR(VLOOKUP(E101,Tabellen!A:F,4),0)</f>
        <v/>
      </c>
      <c r="B101" s="494" t="n"/>
      <c r="C101" s="593">
        <f>IFERROR(VLOOKUP(E101,Tabellen!A:F,5),0)</f>
        <v/>
      </c>
      <c r="D101" s="494">
        <f>IFERROR(VLOOKUP(E101,Tabellen!A:F,6),0)</f>
        <v/>
      </c>
      <c r="E101" s="594" t="n"/>
      <c r="F101" s="604">
        <f>IF(E101&gt;0,$L$4,0)</f>
        <v/>
      </c>
      <c r="G101" s="596">
        <f>IFERROR(VLOOKUP(E101,Tabellen!A:F,2),0)</f>
        <v/>
      </c>
      <c r="H101" s="618">
        <f>IFERROR(VLOOKUP(E101,Tabellen!A:H,8),0)</f>
        <v/>
      </c>
      <c r="I101" s="605">
        <f>IFERROR(VLOOKUP(H101,Tabellen!H:I,2),0)</f>
        <v/>
      </c>
      <c r="J101" s="595" t="n"/>
      <c r="K101" s="595" t="n"/>
      <c r="L101" s="599" t="n"/>
      <c r="M101" s="599" t="n"/>
      <c r="N101" s="599" t="n"/>
      <c r="O101" s="599" t="n"/>
      <c r="P101" s="526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491">
        <f>IFERROR(VLOOKUP(E102,Tabellen!A:F,4),0)</f>
        <v/>
      </c>
      <c r="B102" s="491" t="n"/>
      <c r="C102" s="614">
        <f>IFERROR(VLOOKUP(E102,Tabellen!A:F,5),0)</f>
        <v/>
      </c>
      <c r="D102" s="491">
        <f>IFERROR(VLOOKUP(E102,Tabellen!A:F,6),0)</f>
        <v/>
      </c>
      <c r="E102" s="594" t="n"/>
      <c r="F102" s="600">
        <f>IF(E102&gt;0,$L$4,0)</f>
        <v/>
      </c>
      <c r="G102" s="615">
        <f>IFERROR(VLOOKUP(E102,Tabellen!A:F,2),0)</f>
        <v/>
      </c>
      <c r="H102" s="616">
        <f>IFERROR(VLOOKUP(E102,Tabellen!A:H,8),0)</f>
        <v/>
      </c>
      <c r="I102" s="602">
        <f>IFERROR(VLOOKUP(H102,Tabellen!H:I,2),0)</f>
        <v/>
      </c>
      <c r="J102" s="603" t="n"/>
      <c r="K102" s="603" t="n"/>
      <c r="L102" s="599" t="n"/>
      <c r="M102" s="599" t="n"/>
      <c r="N102" s="599" t="n"/>
      <c r="O102" s="599" t="n"/>
      <c r="P102" s="508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494">
        <f>IFERROR(VLOOKUP(E103,Tabellen!A:F,4),0)</f>
        <v/>
      </c>
      <c r="B103" s="494" t="n"/>
      <c r="C103" s="593">
        <f>IFERROR(VLOOKUP(E103,Tabellen!A:F,5),0)</f>
        <v/>
      </c>
      <c r="D103" s="494">
        <f>IFERROR(VLOOKUP(E103,Tabellen!A:F,6),0)</f>
        <v/>
      </c>
      <c r="E103" s="594" t="n"/>
      <c r="F103" s="604">
        <f>IF(E103&gt;0,$L$4,0)</f>
        <v/>
      </c>
      <c r="G103" s="596">
        <f>IFERROR(VLOOKUP(E103,Tabellen!A:F,2),0)</f>
        <v/>
      </c>
      <c r="H103" s="618">
        <f>IFERROR(VLOOKUP(E103,Tabellen!A:H,8),0)</f>
        <v/>
      </c>
      <c r="I103" s="605">
        <f>IFERROR(VLOOKUP(H103,Tabellen!H:I,2),0)</f>
        <v/>
      </c>
      <c r="J103" s="595" t="n"/>
      <c r="K103" s="595" t="n"/>
      <c r="L103" s="599" t="n"/>
      <c r="M103" s="599" t="n"/>
      <c r="N103" s="599" t="n"/>
      <c r="O103" s="599" t="n"/>
      <c r="P103" s="526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491">
        <f>IFERROR(VLOOKUP(E104,Tabellen!A:F,4),0)</f>
        <v/>
      </c>
      <c r="B104" s="491" t="n"/>
      <c r="C104" s="614">
        <f>IFERROR(VLOOKUP(E104,Tabellen!A:F,5),0)</f>
        <v/>
      </c>
      <c r="D104" s="491">
        <f>IFERROR(VLOOKUP(E104,Tabellen!A:F,6),0)</f>
        <v/>
      </c>
      <c r="E104" s="594" t="n"/>
      <c r="F104" s="600">
        <f>IF(E104&gt;0,$L$4,0)</f>
        <v/>
      </c>
      <c r="G104" s="615">
        <f>IFERROR(VLOOKUP(E104,Tabellen!A:F,2),0)</f>
        <v/>
      </c>
      <c r="H104" s="616">
        <f>IFERROR(VLOOKUP(E104,Tabellen!A:H,8),0)</f>
        <v/>
      </c>
      <c r="I104" s="602">
        <f>IFERROR(VLOOKUP(H104,Tabellen!H:I,2),0)</f>
        <v/>
      </c>
      <c r="J104" s="603" t="n"/>
      <c r="K104" s="603" t="n"/>
      <c r="L104" s="599" t="n"/>
      <c r="M104" s="599" t="n"/>
      <c r="N104" s="599" t="n"/>
      <c r="O104" s="599" t="n"/>
      <c r="P104" s="508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494">
        <f>IFERROR(VLOOKUP(E105,Tabellen!A:F,4),0)</f>
        <v/>
      </c>
      <c r="B105" s="494" t="n"/>
      <c r="C105" s="593">
        <f>IFERROR(VLOOKUP(E105,Tabellen!A:F,5),0)</f>
        <v/>
      </c>
      <c r="D105" s="494">
        <f>IFERROR(VLOOKUP(E105,Tabellen!A:F,6),0)</f>
        <v/>
      </c>
      <c r="E105" s="594" t="n"/>
      <c r="F105" s="604">
        <f>IF(E105&gt;0,$L$4,0)</f>
        <v/>
      </c>
      <c r="G105" s="596">
        <f>IFERROR(VLOOKUP(E105,Tabellen!A:F,2),0)</f>
        <v/>
      </c>
      <c r="H105" s="618">
        <f>IFERROR(VLOOKUP(E105,Tabellen!A:H,8),0)</f>
        <v/>
      </c>
      <c r="I105" s="605">
        <f>IFERROR(VLOOKUP(H105,Tabellen!H:I,2),0)</f>
        <v/>
      </c>
      <c r="J105" s="595" t="n"/>
      <c r="K105" s="595" t="n"/>
      <c r="L105" s="599" t="n"/>
      <c r="M105" s="599" t="n"/>
      <c r="N105" s="599" t="n"/>
      <c r="O105" s="599" t="n"/>
      <c r="P105" s="526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491">
        <f>IFERROR(VLOOKUP(E106,Tabellen!A:F,4),0)</f>
        <v/>
      </c>
      <c r="B106" s="491" t="n"/>
      <c r="C106" s="614">
        <f>IFERROR(VLOOKUP(E106,Tabellen!A:F,5),0)</f>
        <v/>
      </c>
      <c r="D106" s="491">
        <f>IFERROR(VLOOKUP(E106,Tabellen!A:F,6),0)</f>
        <v/>
      </c>
      <c r="E106" s="594" t="n"/>
      <c r="F106" s="600">
        <f>IF(E106&gt;0,$L$4,0)</f>
        <v/>
      </c>
      <c r="G106" s="615">
        <f>IFERROR(VLOOKUP(E106,Tabellen!A:F,2),0)</f>
        <v/>
      </c>
      <c r="H106" s="616">
        <f>IFERROR(VLOOKUP(E106,Tabellen!A:H,8),0)</f>
        <v/>
      </c>
      <c r="I106" s="602">
        <f>IFERROR(VLOOKUP(H106,Tabellen!H:I,2),0)</f>
        <v/>
      </c>
      <c r="J106" s="603" t="n"/>
      <c r="K106" s="603" t="n"/>
      <c r="L106" s="599" t="n"/>
      <c r="M106" s="599" t="n"/>
      <c r="N106" s="599" t="n"/>
      <c r="O106" s="599" t="n"/>
      <c r="P106" s="508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494">
        <f>IFERROR(VLOOKUP(E107,Tabellen!A:F,4),0)</f>
        <v/>
      </c>
      <c r="B107" s="494" t="n"/>
      <c r="C107" s="593">
        <f>IFERROR(VLOOKUP(E107,Tabellen!A:F,5),0)</f>
        <v/>
      </c>
      <c r="D107" s="494">
        <f>IFERROR(VLOOKUP(E107,Tabellen!A:F,6),0)</f>
        <v/>
      </c>
      <c r="E107" s="594" t="n"/>
      <c r="F107" s="604">
        <f>IF(E107&gt;0,$L$4,0)</f>
        <v/>
      </c>
      <c r="G107" s="596">
        <f>IFERROR(VLOOKUP(E107,Tabellen!A:F,2),0)</f>
        <v/>
      </c>
      <c r="H107" s="618">
        <f>IFERROR(VLOOKUP(E107,Tabellen!A:H,8),0)</f>
        <v/>
      </c>
      <c r="I107" s="605">
        <f>IFERROR(VLOOKUP(H107,Tabellen!H:I,2),0)</f>
        <v/>
      </c>
      <c r="J107" s="595" t="n"/>
      <c r="K107" s="595" t="n"/>
      <c r="L107" s="599" t="n"/>
      <c r="M107" s="599" t="n"/>
      <c r="N107" s="599" t="n"/>
      <c r="O107" s="599" t="n"/>
      <c r="P107" s="526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491">
        <f>IFERROR(VLOOKUP(E108,Tabellen!A:F,4),0)</f>
        <v/>
      </c>
      <c r="B108" s="491" t="n"/>
      <c r="C108" s="614">
        <f>IFERROR(VLOOKUP(E108,Tabellen!A:F,5),0)</f>
        <v/>
      </c>
      <c r="D108" s="491">
        <f>IFERROR(VLOOKUP(E108,Tabellen!A:F,6),0)</f>
        <v/>
      </c>
      <c r="E108" s="594" t="n"/>
      <c r="F108" s="600">
        <f>IF(E108&gt;0,$L$4,0)</f>
        <v/>
      </c>
      <c r="G108" s="615">
        <f>IFERROR(VLOOKUP(E108,Tabellen!A:F,2),0)</f>
        <v/>
      </c>
      <c r="H108" s="616">
        <f>IFERROR(VLOOKUP(E108,Tabellen!A:H,8),0)</f>
        <v/>
      </c>
      <c r="I108" s="602">
        <f>IFERROR(VLOOKUP(H108,Tabellen!H:I,2),0)</f>
        <v/>
      </c>
      <c r="J108" s="603" t="n"/>
      <c r="K108" s="603" t="n"/>
      <c r="L108" s="599" t="n"/>
      <c r="M108" s="599" t="n"/>
      <c r="N108" s="599" t="n"/>
      <c r="O108" s="599" t="n"/>
      <c r="P108" s="508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494">
        <f>IFERROR(VLOOKUP(E109,Tabellen!A:F,4),0)</f>
        <v/>
      </c>
      <c r="B109" s="494" t="n"/>
      <c r="C109" s="593">
        <f>IFERROR(VLOOKUP(E109,Tabellen!A:F,5),0)</f>
        <v/>
      </c>
      <c r="D109" s="494">
        <f>IFERROR(VLOOKUP(E109,Tabellen!A:F,6),0)</f>
        <v/>
      </c>
      <c r="E109" s="594" t="n"/>
      <c r="F109" s="604">
        <f>IF(E109&gt;0,$L$4,0)</f>
        <v/>
      </c>
      <c r="G109" s="596">
        <f>IFERROR(VLOOKUP(E109,Tabellen!A:F,2),0)</f>
        <v/>
      </c>
      <c r="H109" s="597">
        <f>IFERROR(VLOOKUP(E109,Tabellen!A:H,8),0)</f>
        <v/>
      </c>
      <c r="I109" s="605">
        <f>IFERROR(VLOOKUP(H109,Tabellen!H:I,2),0)</f>
        <v/>
      </c>
      <c r="J109" s="595" t="n"/>
      <c r="K109" s="595" t="n"/>
      <c r="L109" s="606" t="n"/>
      <c r="M109" s="606" t="n"/>
      <c r="N109" s="606" t="n"/>
      <c r="O109" s="606" t="n"/>
      <c r="P109" s="526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0" t="n"/>
      <c r="I110" s="611" t="n"/>
      <c r="J110" s="608" t="n"/>
      <c r="K110" s="608" t="n"/>
      <c r="L110" s="612">
        <f>SUM(L78:L109)</f>
        <v/>
      </c>
      <c r="M110" s="612">
        <f>SUM(M78:M109)</f>
        <v/>
      </c>
      <c r="N110" s="612">
        <f>SUM(N78:N109)</f>
        <v/>
      </c>
      <c r="O110" s="612">
        <f>SUM(O78:O109)</f>
        <v/>
      </c>
      <c r="P110" s="461" t="n"/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20" t="n"/>
      <c r="C112" s="620" t="n"/>
      <c r="D112" s="620" t="n"/>
      <c r="E112" s="620" t="n"/>
      <c r="F112" s="620" t="n"/>
      <c r="G112" s="620" t="n"/>
      <c r="H112" s="621" t="n"/>
      <c r="I112" s="622" t="n"/>
      <c r="J112" s="620" t="n"/>
      <c r="K112" s="620" t="n"/>
      <c r="L112" s="623">
        <f>IF(L75+L110=0,"✓  Saldo = 0",L75+L110)</f>
        <v/>
      </c>
      <c r="M112" s="620">
        <f>M75+M110</f>
        <v/>
      </c>
      <c r="N112" s="620">
        <f>N75+N110</f>
        <v/>
      </c>
      <c r="O112" s="620">
        <f>O75+O110</f>
        <v/>
      </c>
      <c r="P112" s="624" t="n"/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8" customHeight="1">
      <c r="A120" s="625" t="inlineStr">
        <is>
          <t>C. Investeringen</t>
        </is>
      </c>
      <c r="B120" s="626" t="n"/>
      <c r="C120" s="626" t="n"/>
      <c r="D120" s="625" t="n"/>
      <c r="E120" s="627" t="n"/>
      <c r="F120" s="628" t="n"/>
      <c r="G120" s="629" t="n"/>
      <c r="H120" s="630" t="n"/>
      <c r="I120" s="631" t="n"/>
      <c r="J120" s="628" t="n"/>
      <c r="K120" s="632" t="n"/>
      <c r="L120" s="633" t="n"/>
      <c r="M120" s="633" t="n"/>
      <c r="N120" s="633" t="n"/>
      <c r="O120" s="633" t="n"/>
      <c r="P120" s="634" t="n"/>
      <c r="Q120" s="418">
        <f>IF(OR(H120=47201,H120=47100,H120=47200,H120=47500),L120,0)</f>
        <v/>
      </c>
      <c r="R120" s="418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8" customHeight="1">
      <c r="A170" s="635" t="inlineStr">
        <is>
          <t>D. Reserves</t>
        </is>
      </c>
      <c r="B170" s="636" t="n"/>
      <c r="C170" s="636" t="n"/>
      <c r="D170" s="635" t="n"/>
      <c r="E170" s="636">
        <f>IF(J170&gt;1,"+",0)</f>
        <v/>
      </c>
      <c r="F170" s="637" t="n"/>
      <c r="G170" s="638" t="n"/>
      <c r="H170" s="639" t="n"/>
      <c r="I170" s="640" t="n"/>
      <c r="J170" s="637" t="n"/>
      <c r="K170" s="641" t="n"/>
      <c r="L170" s="642" t="n"/>
      <c r="M170" s="642" t="n"/>
      <c r="N170" s="642" t="n"/>
      <c r="O170" s="642" t="n"/>
      <c r="P170" s="643" t="n"/>
      <c r="Q170" s="427">
        <f>IF(OR(H170=47201,H170=47100,H170=47200,H170=47500),L170,0)</f>
        <v/>
      </c>
      <c r="R170" s="427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groen'!E18&gt;0,18-17,""),"")</f>
        <v/>
      </c>
      <c r="B5" s="534">
        <f>IFERROR(IF('Invullen groen'!E18&gt;0,'Invullen groen'!A18,""),"")</f>
        <v/>
      </c>
      <c r="C5" s="534">
        <f>IFERROR(IF('Invullen groen'!E18&gt;0,'Invullen groen'!C18,""),"")</f>
        <v/>
      </c>
      <c r="D5" s="534">
        <f>IFERROR(IF('Invullen groen'!E18&gt;0,'Invullen groen'!D18,""),"")</f>
        <v/>
      </c>
      <c r="E5" s="534">
        <f>IFERROR(IF('Invullen groen'!E18&gt;0,'Invullen groen'!G18,""),"")</f>
        <v/>
      </c>
      <c r="F5" s="535">
        <f>IFERROR(IF('Invullen groen'!L18&lt;&gt;0,'Invullen groen'!L18,""),"")</f>
        <v/>
      </c>
      <c r="G5" s="535">
        <f>IFERROR(IF('Invullen groen'!M18&lt;&gt;0,'Invullen groen'!M18,""),"")</f>
        <v/>
      </c>
      <c r="H5" s="535">
        <f>IFERROR(IF('Invullen groen'!N18&lt;&gt;0,'Invullen groen'!N18,""),"")</f>
        <v/>
      </c>
      <c r="I5" s="535">
        <f>IFERROR(IF('Invullen groen'!O18&lt;&gt;0,'Invullen groen'!O18,""),"")</f>
        <v/>
      </c>
    </row>
    <row r="6" ht="15" customHeight="1">
      <c r="A6" s="536">
        <f>IFERROR(IF('Invullen groen'!E19&gt;0,19-17,""),"")</f>
        <v/>
      </c>
      <c r="B6" s="536">
        <f>IFERROR(IF('Invullen groen'!E19&gt;0,'Invullen groen'!A19,""),"")</f>
        <v/>
      </c>
      <c r="C6" s="536">
        <f>IFERROR(IF('Invullen groen'!E19&gt;0,'Invullen groen'!C19,""),"")</f>
        <v/>
      </c>
      <c r="D6" s="536">
        <f>IFERROR(IF('Invullen groen'!E19&gt;0,'Invullen groen'!D19,""),"")</f>
        <v/>
      </c>
      <c r="E6" s="536">
        <f>IFERROR(IF('Invullen groen'!E19&gt;0,'Invullen groen'!G19,""),"")</f>
        <v/>
      </c>
      <c r="F6" s="537">
        <f>IFERROR(IF('Invullen groen'!L19&lt;&gt;0,'Invullen groen'!L19,""),"")</f>
        <v/>
      </c>
      <c r="G6" s="537">
        <f>IFERROR(IF('Invullen groen'!M19&lt;&gt;0,'Invullen groen'!M19,""),"")</f>
        <v/>
      </c>
      <c r="H6" s="537">
        <f>IFERROR(IF('Invullen groen'!N19&lt;&gt;0,'Invullen groen'!N19,""),"")</f>
        <v/>
      </c>
      <c r="I6" s="537">
        <f>IFERROR(IF('Invullen groen'!O19&lt;&gt;0,'Invullen groen'!O19,""),"")</f>
        <v/>
      </c>
    </row>
    <row r="7" ht="15" customHeight="1">
      <c r="A7" s="534">
        <f>IFERROR(IF('Invullen groen'!E20&gt;0,20-17,""),"")</f>
        <v/>
      </c>
      <c r="B7" s="534">
        <f>IFERROR(IF('Invullen groen'!E20&gt;0,'Invullen groen'!A20,""),"")</f>
        <v/>
      </c>
      <c r="C7" s="534">
        <f>IFERROR(IF('Invullen groen'!E20&gt;0,'Invullen groen'!C20,""),"")</f>
        <v/>
      </c>
      <c r="D7" s="534">
        <f>IFERROR(IF('Invullen groen'!E20&gt;0,'Invullen groen'!D20,""),"")</f>
        <v/>
      </c>
      <c r="E7" s="534">
        <f>IFERROR(IF('Invullen groen'!E20&gt;0,'Invullen groen'!G20,""),"")</f>
        <v/>
      </c>
      <c r="F7" s="535">
        <f>IFERROR(IF('Invullen groen'!L20&lt;&gt;0,'Invullen groen'!L20,""),"")</f>
        <v/>
      </c>
      <c r="G7" s="535">
        <f>IFERROR(IF('Invullen groen'!M20&lt;&gt;0,'Invullen groen'!M20,""),"")</f>
        <v/>
      </c>
      <c r="H7" s="535">
        <f>IFERROR(IF('Invullen groen'!N20&lt;&gt;0,'Invullen groen'!N20,""),"")</f>
        <v/>
      </c>
      <c r="I7" s="535">
        <f>IFERROR(IF('Invullen groen'!O20&lt;&gt;0,'Invullen groen'!O20,""),"")</f>
        <v/>
      </c>
    </row>
    <row r="8" ht="15" customHeight="1">
      <c r="A8" s="536">
        <f>IFERROR(IF('Invullen groen'!E21&gt;0,21-17,""),"")</f>
        <v/>
      </c>
      <c r="B8" s="536">
        <f>IFERROR(IF('Invullen groen'!E21&gt;0,'Invullen groen'!A21,""),"")</f>
        <v/>
      </c>
      <c r="C8" s="536">
        <f>IFERROR(IF('Invullen groen'!E21&gt;0,'Invullen groen'!C21,""),"")</f>
        <v/>
      </c>
      <c r="D8" s="536">
        <f>IFERROR(IF('Invullen groen'!E21&gt;0,'Invullen groen'!D21,""),"")</f>
        <v/>
      </c>
      <c r="E8" s="536">
        <f>IFERROR(IF('Invullen groen'!E21&gt;0,'Invullen groen'!G21,""),"")</f>
        <v/>
      </c>
      <c r="F8" s="537">
        <f>IFERROR(IF('Invullen groen'!L21&lt;&gt;0,'Invullen groen'!L21,""),"")</f>
        <v/>
      </c>
      <c r="G8" s="537">
        <f>IFERROR(IF('Invullen groen'!M21&lt;&gt;0,'Invullen groen'!M21,""),"")</f>
        <v/>
      </c>
      <c r="H8" s="537">
        <f>IFERROR(IF('Invullen groen'!N21&lt;&gt;0,'Invullen groen'!N21,""),"")</f>
        <v/>
      </c>
      <c r="I8" s="537">
        <f>IFERROR(IF('Invullen groen'!O21&lt;&gt;0,'Invullen groen'!O21,""),"")</f>
        <v/>
      </c>
    </row>
    <row r="9" ht="15" customHeight="1">
      <c r="A9" s="534">
        <f>IFERROR(IF('Invullen groen'!E22&gt;0,22-17,""),"")</f>
        <v/>
      </c>
      <c r="B9" s="534">
        <f>IFERROR(IF('Invullen groen'!E22&gt;0,'Invullen groen'!A22,""),"")</f>
        <v/>
      </c>
      <c r="C9" s="534">
        <f>IFERROR(IF('Invullen groen'!E22&gt;0,'Invullen groen'!C22,""),"")</f>
        <v/>
      </c>
      <c r="D9" s="534">
        <f>IFERROR(IF('Invullen groen'!E22&gt;0,'Invullen groen'!D22,""),"")</f>
        <v/>
      </c>
      <c r="E9" s="534">
        <f>IFERROR(IF('Invullen groen'!E22&gt;0,'Invullen groen'!G22,""),"")</f>
        <v/>
      </c>
      <c r="F9" s="535">
        <f>IFERROR(IF('Invullen groen'!L22&lt;&gt;0,'Invullen groen'!L22,""),"")</f>
        <v/>
      </c>
      <c r="G9" s="535">
        <f>IFERROR(IF('Invullen groen'!M22&lt;&gt;0,'Invullen groen'!M22,""),"")</f>
        <v/>
      </c>
      <c r="H9" s="535">
        <f>IFERROR(IF('Invullen groen'!N22&lt;&gt;0,'Invullen groen'!N22,""),"")</f>
        <v/>
      </c>
      <c r="I9" s="535">
        <f>IFERROR(IF('Invullen groen'!O22&lt;&gt;0,'Invullen groen'!O22,""),"")</f>
        <v/>
      </c>
    </row>
    <row r="10" ht="15" customHeight="1">
      <c r="A10" s="536">
        <f>IFERROR(IF('Invullen groen'!E23&gt;0,23-17,""),"")</f>
        <v/>
      </c>
      <c r="B10" s="536">
        <f>IFERROR(IF('Invullen groen'!E23&gt;0,'Invullen groen'!A23,""),"")</f>
        <v/>
      </c>
      <c r="C10" s="536">
        <f>IFERROR(IF('Invullen groen'!E23&gt;0,'Invullen groen'!C23,""),"")</f>
        <v/>
      </c>
      <c r="D10" s="536">
        <f>IFERROR(IF('Invullen groen'!E23&gt;0,'Invullen groen'!D23,""),"")</f>
        <v/>
      </c>
      <c r="E10" s="536">
        <f>IFERROR(IF('Invullen groen'!E23&gt;0,'Invullen groen'!G23,""),"")</f>
        <v/>
      </c>
      <c r="F10" s="537">
        <f>IFERROR(IF('Invullen groen'!L23&lt;&gt;0,'Invullen groen'!L23,""),"")</f>
        <v/>
      </c>
      <c r="G10" s="537">
        <f>IFERROR(IF('Invullen groen'!M23&lt;&gt;0,'Invullen groen'!M23,""),"")</f>
        <v/>
      </c>
      <c r="H10" s="537">
        <f>IFERROR(IF('Invullen groen'!N23&lt;&gt;0,'Invullen groen'!N23,""),"")</f>
        <v/>
      </c>
      <c r="I10" s="537">
        <f>IFERROR(IF('Invullen groen'!O23&lt;&gt;0,'Invullen groen'!O23,""),"")</f>
        <v/>
      </c>
    </row>
    <row r="11" ht="15" customHeight="1">
      <c r="A11" s="534">
        <f>IFERROR(IF('Invullen groen'!E24&gt;0,24-17,""),"")</f>
        <v/>
      </c>
      <c r="B11" s="534">
        <f>IFERROR(IF('Invullen groen'!E24&gt;0,'Invullen groen'!A24,""),"")</f>
        <v/>
      </c>
      <c r="C11" s="534">
        <f>IFERROR(IF('Invullen groen'!E24&gt;0,'Invullen groen'!C24,""),"")</f>
        <v/>
      </c>
      <c r="D11" s="534">
        <f>IFERROR(IF('Invullen groen'!E24&gt;0,'Invullen groen'!D24,""),"")</f>
        <v/>
      </c>
      <c r="E11" s="534">
        <f>IFERROR(IF('Invullen groen'!E24&gt;0,'Invullen groen'!G24,""),"")</f>
        <v/>
      </c>
      <c r="F11" s="535">
        <f>IFERROR(IF('Invullen groen'!L24&lt;&gt;0,'Invullen groen'!L24,""),"")</f>
        <v/>
      </c>
      <c r="G11" s="535">
        <f>IFERROR(IF('Invullen groen'!M24&lt;&gt;0,'Invullen groen'!M24,""),"")</f>
        <v/>
      </c>
      <c r="H11" s="535">
        <f>IFERROR(IF('Invullen groen'!N24&lt;&gt;0,'Invullen groen'!N24,""),"")</f>
        <v/>
      </c>
      <c r="I11" s="535">
        <f>IFERROR(IF('Invullen groen'!O24&lt;&gt;0,'Invullen groen'!O24,""),"")</f>
        <v/>
      </c>
    </row>
    <row r="12" ht="15" customHeight="1">
      <c r="A12" s="536">
        <f>IFERROR(IF('Invullen groen'!E25&gt;0,25-17,""),"")</f>
        <v/>
      </c>
      <c r="B12" s="536">
        <f>IFERROR(IF('Invullen groen'!E25&gt;0,'Invullen groen'!A25,""),"")</f>
        <v/>
      </c>
      <c r="C12" s="536">
        <f>IFERROR(IF('Invullen groen'!E25&gt;0,'Invullen groen'!C25,""),"")</f>
        <v/>
      </c>
      <c r="D12" s="536">
        <f>IFERROR(IF('Invullen groen'!E25&gt;0,'Invullen groen'!D25,""),"")</f>
        <v/>
      </c>
      <c r="E12" s="536">
        <f>IFERROR(IF('Invullen groen'!E25&gt;0,'Invullen groen'!G25,""),"")</f>
        <v/>
      </c>
      <c r="F12" s="537">
        <f>IFERROR(IF('Invullen groen'!L25&lt;&gt;0,'Invullen groen'!L25,""),"")</f>
        <v/>
      </c>
      <c r="G12" s="537">
        <f>IFERROR(IF('Invullen groen'!M25&lt;&gt;0,'Invullen groen'!M25,""),"")</f>
        <v/>
      </c>
      <c r="H12" s="537">
        <f>IFERROR(IF('Invullen groen'!N25&lt;&gt;0,'Invullen groen'!N25,""),"")</f>
        <v/>
      </c>
      <c r="I12" s="537">
        <f>IFERROR(IF('Invullen groen'!O25&lt;&gt;0,'Invullen groen'!O25,""),"")</f>
        <v/>
      </c>
    </row>
    <row r="13" ht="15" customHeight="1">
      <c r="A13" s="534">
        <f>IFERROR(IF('Invullen groen'!E26&gt;0,26-17,""),"")</f>
        <v/>
      </c>
      <c r="B13" s="534">
        <f>IFERROR(IF('Invullen groen'!E26&gt;0,'Invullen groen'!A26,""),"")</f>
        <v/>
      </c>
      <c r="C13" s="534">
        <f>IFERROR(IF('Invullen groen'!E26&gt;0,'Invullen groen'!C26,""),"")</f>
        <v/>
      </c>
      <c r="D13" s="534">
        <f>IFERROR(IF('Invullen groen'!E26&gt;0,'Invullen groen'!D26,""),"")</f>
        <v/>
      </c>
      <c r="E13" s="534">
        <f>IFERROR(IF('Invullen groen'!E26&gt;0,'Invullen groen'!G26,""),"")</f>
        <v/>
      </c>
      <c r="F13" s="535">
        <f>IFERROR(IF('Invullen groen'!L26&lt;&gt;0,'Invullen groen'!L26,""),"")</f>
        <v/>
      </c>
      <c r="G13" s="535">
        <f>IFERROR(IF('Invullen groen'!M26&lt;&gt;0,'Invullen groen'!M26,""),"")</f>
        <v/>
      </c>
      <c r="H13" s="535">
        <f>IFERROR(IF('Invullen groen'!N26&lt;&gt;0,'Invullen groen'!N26,""),"")</f>
        <v/>
      </c>
      <c r="I13" s="535">
        <f>IFERROR(IF('Invullen groen'!O26&lt;&gt;0,'Invullen groen'!O26,""),"")</f>
        <v/>
      </c>
    </row>
    <row r="14" ht="15" customHeight="1">
      <c r="A14" s="536">
        <f>IFERROR(IF('Invullen groen'!E27&gt;0,27-17,""),"")</f>
        <v/>
      </c>
      <c r="B14" s="536">
        <f>IFERROR(IF('Invullen groen'!E27&gt;0,'Invullen groen'!A27,""),"")</f>
        <v/>
      </c>
      <c r="C14" s="536">
        <f>IFERROR(IF('Invullen groen'!E27&gt;0,'Invullen groen'!C27,""),"")</f>
        <v/>
      </c>
      <c r="D14" s="536">
        <f>IFERROR(IF('Invullen groen'!E27&gt;0,'Invullen groen'!D27,""),"")</f>
        <v/>
      </c>
      <c r="E14" s="536">
        <f>IFERROR(IF('Invullen groen'!E27&gt;0,'Invullen groen'!G27,""),"")</f>
        <v/>
      </c>
      <c r="F14" s="537">
        <f>IFERROR(IF('Invullen groen'!L27&lt;&gt;0,'Invullen groen'!L27,""),"")</f>
        <v/>
      </c>
      <c r="G14" s="537">
        <f>IFERROR(IF('Invullen groen'!M27&lt;&gt;0,'Invullen groen'!M27,""),"")</f>
        <v/>
      </c>
      <c r="H14" s="537">
        <f>IFERROR(IF('Invullen groen'!N27&lt;&gt;0,'Invullen groen'!N27,""),"")</f>
        <v/>
      </c>
      <c r="I14" s="537">
        <f>IFERROR(IF('Invullen groen'!O27&lt;&gt;0,'Invullen groen'!O27,""),"")</f>
        <v/>
      </c>
    </row>
    <row r="15" ht="15" customHeight="1">
      <c r="A15" s="534">
        <f>IFERROR(IF('Invullen groen'!E28&gt;0,28-17,""),"")</f>
        <v/>
      </c>
      <c r="B15" s="534">
        <f>IFERROR(IF('Invullen groen'!E28&gt;0,'Invullen groen'!A28,""),"")</f>
        <v/>
      </c>
      <c r="C15" s="534">
        <f>IFERROR(IF('Invullen groen'!E28&gt;0,'Invullen groen'!C28,""),"")</f>
        <v/>
      </c>
      <c r="D15" s="534">
        <f>IFERROR(IF('Invullen groen'!E28&gt;0,'Invullen groen'!D28,""),"")</f>
        <v/>
      </c>
      <c r="E15" s="534">
        <f>IFERROR(IF('Invullen groen'!E28&gt;0,'Invullen groen'!G28,""),"")</f>
        <v/>
      </c>
      <c r="F15" s="535">
        <f>IFERROR(IF('Invullen groen'!L28&lt;&gt;0,'Invullen groen'!L28,""),"")</f>
        <v/>
      </c>
      <c r="G15" s="535">
        <f>IFERROR(IF('Invullen groen'!M28&lt;&gt;0,'Invullen groen'!M28,""),"")</f>
        <v/>
      </c>
      <c r="H15" s="535">
        <f>IFERROR(IF('Invullen groen'!N28&lt;&gt;0,'Invullen groen'!N28,""),"")</f>
        <v/>
      </c>
      <c r="I15" s="535">
        <f>IFERROR(IF('Invullen groen'!O28&lt;&gt;0,'Invullen groen'!O28,""),"")</f>
        <v/>
      </c>
    </row>
    <row r="16" ht="15" customHeight="1">
      <c r="A16" s="536">
        <f>IFERROR(IF('Invullen groen'!E29&gt;0,29-17,""),"")</f>
        <v/>
      </c>
      <c r="B16" s="536">
        <f>IFERROR(IF('Invullen groen'!E29&gt;0,'Invullen groen'!A29,""),"")</f>
        <v/>
      </c>
      <c r="C16" s="536">
        <f>IFERROR(IF('Invullen groen'!E29&gt;0,'Invullen groen'!C29,""),"")</f>
        <v/>
      </c>
      <c r="D16" s="536">
        <f>IFERROR(IF('Invullen groen'!E29&gt;0,'Invullen groen'!D29,""),"")</f>
        <v/>
      </c>
      <c r="E16" s="536">
        <f>IFERROR(IF('Invullen groen'!E29&gt;0,'Invullen groen'!G29,""),"")</f>
        <v/>
      </c>
      <c r="F16" s="537">
        <f>IFERROR(IF('Invullen groen'!L29&lt;&gt;0,'Invullen groen'!L29,""),"")</f>
        <v/>
      </c>
      <c r="G16" s="537">
        <f>IFERROR(IF('Invullen groen'!M29&lt;&gt;0,'Invullen groen'!M29,""),"")</f>
        <v/>
      </c>
      <c r="H16" s="537">
        <f>IFERROR(IF('Invullen groen'!N29&lt;&gt;0,'Invullen groen'!N29,""),"")</f>
        <v/>
      </c>
      <c r="I16" s="537">
        <f>IFERROR(IF('Invullen groen'!O29&lt;&gt;0,'Invullen groen'!O29,""),"")</f>
        <v/>
      </c>
    </row>
    <row r="17" ht="15" customHeight="1">
      <c r="A17" s="534">
        <f>IFERROR(IF('Invullen groen'!E30&gt;0,30-17,""),"")</f>
        <v/>
      </c>
      <c r="B17" s="534">
        <f>IFERROR(IF('Invullen groen'!E30&gt;0,'Invullen groen'!A30,""),"")</f>
        <v/>
      </c>
      <c r="C17" s="534">
        <f>IFERROR(IF('Invullen groen'!E30&gt;0,'Invullen groen'!C30,""),"")</f>
        <v/>
      </c>
      <c r="D17" s="534">
        <f>IFERROR(IF('Invullen groen'!E30&gt;0,'Invullen groen'!D30,""),"")</f>
        <v/>
      </c>
      <c r="E17" s="534">
        <f>IFERROR(IF('Invullen groen'!E30&gt;0,'Invullen groen'!G30,""),"")</f>
        <v/>
      </c>
      <c r="F17" s="535">
        <f>IFERROR(IF('Invullen groen'!L30&lt;&gt;0,'Invullen groen'!L30,""),"")</f>
        <v/>
      </c>
      <c r="G17" s="535">
        <f>IFERROR(IF('Invullen groen'!M30&lt;&gt;0,'Invullen groen'!M30,""),"")</f>
        <v/>
      </c>
      <c r="H17" s="535">
        <f>IFERROR(IF('Invullen groen'!N30&lt;&gt;0,'Invullen groen'!N30,""),"")</f>
        <v/>
      </c>
      <c r="I17" s="535">
        <f>IFERROR(IF('Invullen groen'!O30&lt;&gt;0,'Invullen groen'!O30,""),"")</f>
        <v/>
      </c>
    </row>
    <row r="18" ht="15" customHeight="1">
      <c r="A18" s="536">
        <f>IFERROR(IF('Invullen groen'!E31&gt;0,31-17,""),"")</f>
        <v/>
      </c>
      <c r="B18" s="536">
        <f>IFERROR(IF('Invullen groen'!E31&gt;0,'Invullen groen'!A31,""),"")</f>
        <v/>
      </c>
      <c r="C18" s="536">
        <f>IFERROR(IF('Invullen groen'!E31&gt;0,'Invullen groen'!C31,""),"")</f>
        <v/>
      </c>
      <c r="D18" s="536">
        <f>IFERROR(IF('Invullen groen'!E31&gt;0,'Invullen groen'!D31,""),"")</f>
        <v/>
      </c>
      <c r="E18" s="536">
        <f>IFERROR(IF('Invullen groen'!E31&gt;0,'Invullen groen'!G31,""),"")</f>
        <v/>
      </c>
      <c r="F18" s="537">
        <f>IFERROR(IF('Invullen groen'!L31&lt;&gt;0,'Invullen groen'!L31,""),"")</f>
        <v/>
      </c>
      <c r="G18" s="537">
        <f>IFERROR(IF('Invullen groen'!M31&lt;&gt;0,'Invullen groen'!M31,""),"")</f>
        <v/>
      </c>
      <c r="H18" s="537">
        <f>IFERROR(IF('Invullen groen'!N31&lt;&gt;0,'Invullen groen'!N31,""),"")</f>
        <v/>
      </c>
      <c r="I18" s="537">
        <f>IFERROR(IF('Invullen groen'!O31&lt;&gt;0,'Invullen groen'!O31,""),"")</f>
        <v/>
      </c>
    </row>
    <row r="19" ht="15" customHeight="1">
      <c r="A19" s="534">
        <f>IFERROR(IF('Invullen groen'!E32&gt;0,32-17,""),"")</f>
        <v/>
      </c>
      <c r="B19" s="534">
        <f>IFERROR(IF('Invullen groen'!E32&gt;0,'Invullen groen'!A32,""),"")</f>
        <v/>
      </c>
      <c r="C19" s="534">
        <f>IFERROR(IF('Invullen groen'!E32&gt;0,'Invullen groen'!C32,""),"")</f>
        <v/>
      </c>
      <c r="D19" s="534">
        <f>IFERROR(IF('Invullen groen'!E32&gt;0,'Invullen groen'!D32,""),"")</f>
        <v/>
      </c>
      <c r="E19" s="534">
        <f>IFERROR(IF('Invullen groen'!E32&gt;0,'Invullen groen'!G32,""),"")</f>
        <v/>
      </c>
      <c r="F19" s="535">
        <f>IFERROR(IF('Invullen groen'!L32&lt;&gt;0,'Invullen groen'!L32,""),"")</f>
        <v/>
      </c>
      <c r="G19" s="535">
        <f>IFERROR(IF('Invullen groen'!M32&lt;&gt;0,'Invullen groen'!M32,""),"")</f>
        <v/>
      </c>
      <c r="H19" s="535">
        <f>IFERROR(IF('Invullen groen'!N32&lt;&gt;0,'Invullen groen'!N32,""),"")</f>
        <v/>
      </c>
      <c r="I19" s="535">
        <f>IFERROR(IF('Invullen groen'!O32&lt;&gt;0,'Invullen groen'!O32,""),"")</f>
        <v/>
      </c>
    </row>
    <row r="20" ht="15" customHeight="1">
      <c r="A20" s="536">
        <f>IFERROR(IF('Invullen groen'!E33&gt;0,33-17,""),"")</f>
        <v/>
      </c>
      <c r="B20" s="536">
        <f>IFERROR(IF('Invullen groen'!E33&gt;0,'Invullen groen'!A33,""),"")</f>
        <v/>
      </c>
      <c r="C20" s="536">
        <f>IFERROR(IF('Invullen groen'!E33&gt;0,'Invullen groen'!C33,""),"")</f>
        <v/>
      </c>
      <c r="D20" s="536">
        <f>IFERROR(IF('Invullen groen'!E33&gt;0,'Invullen groen'!D33,""),"")</f>
        <v/>
      </c>
      <c r="E20" s="536">
        <f>IFERROR(IF('Invullen groen'!E33&gt;0,'Invullen groen'!G33,""),"")</f>
        <v/>
      </c>
      <c r="F20" s="537">
        <f>IFERROR(IF('Invullen groen'!L33&lt;&gt;0,'Invullen groen'!L33,""),"")</f>
        <v/>
      </c>
      <c r="G20" s="537">
        <f>IFERROR(IF('Invullen groen'!M33&lt;&gt;0,'Invullen groen'!M33,""),"")</f>
        <v/>
      </c>
      <c r="H20" s="537">
        <f>IFERROR(IF('Invullen groen'!N33&lt;&gt;0,'Invullen groen'!N33,""),"")</f>
        <v/>
      </c>
      <c r="I20" s="537">
        <f>IFERROR(IF('Invullen groen'!O33&lt;&gt;0,'Invullen groen'!O33,""),"")</f>
        <v/>
      </c>
    </row>
    <row r="21" ht="15" customHeight="1">
      <c r="A21" s="534">
        <f>IFERROR(IF('Invullen groen'!E34&gt;0,34-17,""),"")</f>
        <v/>
      </c>
      <c r="B21" s="534">
        <f>IFERROR(IF('Invullen groen'!E34&gt;0,'Invullen groen'!A34,""),"")</f>
        <v/>
      </c>
      <c r="C21" s="534">
        <f>IFERROR(IF('Invullen groen'!E34&gt;0,'Invullen groen'!C34,""),"")</f>
        <v/>
      </c>
      <c r="D21" s="534">
        <f>IFERROR(IF('Invullen groen'!E34&gt;0,'Invullen groen'!D34,""),"")</f>
        <v/>
      </c>
      <c r="E21" s="534">
        <f>IFERROR(IF('Invullen groen'!E34&gt;0,'Invullen groen'!G34,""),"")</f>
        <v/>
      </c>
      <c r="F21" s="535">
        <f>IFERROR(IF('Invullen groen'!L34&lt;&gt;0,'Invullen groen'!L34,""),"")</f>
        <v/>
      </c>
      <c r="G21" s="535">
        <f>IFERROR(IF('Invullen groen'!M34&lt;&gt;0,'Invullen groen'!M34,""),"")</f>
        <v/>
      </c>
      <c r="H21" s="535">
        <f>IFERROR(IF('Invullen groen'!N34&lt;&gt;0,'Invullen groen'!N34,""),"")</f>
        <v/>
      </c>
      <c r="I21" s="535">
        <f>IFERROR(IF('Invullen groen'!O34&lt;&gt;0,'Invullen groen'!O34,""),"")</f>
        <v/>
      </c>
    </row>
    <row r="22" ht="15" customHeight="1">
      <c r="A22" s="536">
        <f>IFERROR(IF('Invullen groen'!E35&gt;0,35-17,""),"")</f>
        <v/>
      </c>
      <c r="B22" s="536">
        <f>IFERROR(IF('Invullen groen'!E35&gt;0,'Invullen groen'!A35,""),"")</f>
        <v/>
      </c>
      <c r="C22" s="536">
        <f>IFERROR(IF('Invullen groen'!E35&gt;0,'Invullen groen'!C35,""),"")</f>
        <v/>
      </c>
      <c r="D22" s="536">
        <f>IFERROR(IF('Invullen groen'!E35&gt;0,'Invullen groen'!D35,""),"")</f>
        <v/>
      </c>
      <c r="E22" s="536">
        <f>IFERROR(IF('Invullen groen'!E35&gt;0,'Invullen groen'!G35,""),"")</f>
        <v/>
      </c>
      <c r="F22" s="537">
        <f>IFERROR(IF('Invullen groen'!L35&lt;&gt;0,'Invullen groen'!L35,""),"")</f>
        <v/>
      </c>
      <c r="G22" s="537">
        <f>IFERROR(IF('Invullen groen'!M35&lt;&gt;0,'Invullen groen'!M35,""),"")</f>
        <v/>
      </c>
      <c r="H22" s="537">
        <f>IFERROR(IF('Invullen groen'!N35&lt;&gt;0,'Invullen groen'!N35,""),"")</f>
        <v/>
      </c>
      <c r="I22" s="537">
        <f>IFERROR(IF('Invullen groen'!O35&lt;&gt;0,'Invullen groen'!O35,""),"")</f>
        <v/>
      </c>
    </row>
    <row r="23" ht="15" customHeight="1">
      <c r="A23" s="534">
        <f>IFERROR(IF('Invullen groen'!E36&gt;0,36-17,""),"")</f>
        <v/>
      </c>
      <c r="B23" s="534">
        <f>IFERROR(IF('Invullen groen'!E36&gt;0,'Invullen groen'!A36,""),"")</f>
        <v/>
      </c>
      <c r="C23" s="534">
        <f>IFERROR(IF('Invullen groen'!E36&gt;0,'Invullen groen'!C36,""),"")</f>
        <v/>
      </c>
      <c r="D23" s="534">
        <f>IFERROR(IF('Invullen groen'!E36&gt;0,'Invullen groen'!D36,""),"")</f>
        <v/>
      </c>
      <c r="E23" s="534">
        <f>IFERROR(IF('Invullen groen'!E36&gt;0,'Invullen groen'!G36,""),"")</f>
        <v/>
      </c>
      <c r="F23" s="535">
        <f>IFERROR(IF('Invullen groen'!L36&lt;&gt;0,'Invullen groen'!L36,""),"")</f>
        <v/>
      </c>
      <c r="G23" s="535">
        <f>IFERROR(IF('Invullen groen'!M36&lt;&gt;0,'Invullen groen'!M36,""),"")</f>
        <v/>
      </c>
      <c r="H23" s="535">
        <f>IFERROR(IF('Invullen groen'!N36&lt;&gt;0,'Invullen groen'!N36,""),"")</f>
        <v/>
      </c>
      <c r="I23" s="535">
        <f>IFERROR(IF('Invullen groen'!O36&lt;&gt;0,'Invullen groen'!O36,""),"")</f>
        <v/>
      </c>
    </row>
    <row r="24" ht="15" customHeight="1">
      <c r="A24" s="536">
        <f>IFERROR(IF('Invullen groen'!E37&gt;0,37-17,""),"")</f>
        <v/>
      </c>
      <c r="B24" s="536">
        <f>IFERROR(IF('Invullen groen'!E37&gt;0,'Invullen groen'!A37,""),"")</f>
        <v/>
      </c>
      <c r="C24" s="536">
        <f>IFERROR(IF('Invullen groen'!E37&gt;0,'Invullen groen'!C37,""),"")</f>
        <v/>
      </c>
      <c r="D24" s="536">
        <f>IFERROR(IF('Invullen groen'!E37&gt;0,'Invullen groen'!D37,""),"")</f>
        <v/>
      </c>
      <c r="E24" s="536">
        <f>IFERROR(IF('Invullen groen'!E37&gt;0,'Invullen groen'!G37,""),"")</f>
        <v/>
      </c>
      <c r="F24" s="537">
        <f>IFERROR(IF('Invullen groen'!L37&lt;&gt;0,'Invullen groen'!L37,""),"")</f>
        <v/>
      </c>
      <c r="G24" s="537">
        <f>IFERROR(IF('Invullen groen'!M37&lt;&gt;0,'Invullen groen'!M37,""),"")</f>
        <v/>
      </c>
      <c r="H24" s="537">
        <f>IFERROR(IF('Invullen groen'!N37&lt;&gt;0,'Invullen groen'!N37,""),"")</f>
        <v/>
      </c>
      <c r="I24" s="537">
        <f>IFERROR(IF('Invullen groen'!O37&lt;&gt;0,'Invullen groen'!O37,""),"")</f>
        <v/>
      </c>
    </row>
    <row r="25" ht="15" customHeight="1">
      <c r="A25" s="534">
        <f>IFERROR(IF('Invullen groen'!E38&gt;0,38-17,""),"")</f>
        <v/>
      </c>
      <c r="B25" s="534">
        <f>IFERROR(IF('Invullen groen'!E38&gt;0,'Invullen groen'!A38,""),"")</f>
        <v/>
      </c>
      <c r="C25" s="534">
        <f>IFERROR(IF('Invullen groen'!E38&gt;0,'Invullen groen'!C38,""),"")</f>
        <v/>
      </c>
      <c r="D25" s="534">
        <f>IFERROR(IF('Invullen groen'!E38&gt;0,'Invullen groen'!D38,""),"")</f>
        <v/>
      </c>
      <c r="E25" s="534">
        <f>IFERROR(IF('Invullen groen'!E38&gt;0,'Invullen groen'!G38,""),"")</f>
        <v/>
      </c>
      <c r="F25" s="535">
        <f>IFERROR(IF('Invullen groen'!L38&lt;&gt;0,'Invullen groen'!L38,""),"")</f>
        <v/>
      </c>
      <c r="G25" s="535">
        <f>IFERROR(IF('Invullen groen'!M38&lt;&gt;0,'Invullen groen'!M38,""),"")</f>
        <v/>
      </c>
      <c r="H25" s="535">
        <f>IFERROR(IF('Invullen groen'!N38&lt;&gt;0,'Invullen groen'!N38,""),"")</f>
        <v/>
      </c>
      <c r="I25" s="535">
        <f>IFERROR(IF('Invullen groen'!O38&lt;&gt;0,'Invullen groen'!O38,""),"")</f>
        <v/>
      </c>
    </row>
    <row r="26" ht="15" customHeight="1">
      <c r="A26" s="536">
        <f>IFERROR(IF('Invullen groen'!E39&gt;0,39-17,""),"")</f>
        <v/>
      </c>
      <c r="B26" s="536">
        <f>IFERROR(IF('Invullen groen'!E39&gt;0,'Invullen groen'!A39,""),"")</f>
        <v/>
      </c>
      <c r="C26" s="536">
        <f>IFERROR(IF('Invullen groen'!E39&gt;0,'Invullen groen'!C39,""),"")</f>
        <v/>
      </c>
      <c r="D26" s="536">
        <f>IFERROR(IF('Invullen groen'!E39&gt;0,'Invullen groen'!D39,""),"")</f>
        <v/>
      </c>
      <c r="E26" s="536">
        <f>IFERROR(IF('Invullen groen'!E39&gt;0,'Invullen groen'!G39,""),"")</f>
        <v/>
      </c>
      <c r="F26" s="537">
        <f>IFERROR(IF('Invullen groen'!L39&lt;&gt;0,'Invullen groen'!L39,""),"")</f>
        <v/>
      </c>
      <c r="G26" s="537">
        <f>IFERROR(IF('Invullen groen'!M39&lt;&gt;0,'Invullen groen'!M39,""),"")</f>
        <v/>
      </c>
      <c r="H26" s="537">
        <f>IFERROR(IF('Invullen groen'!N39&lt;&gt;0,'Invullen groen'!N39,""),"")</f>
        <v/>
      </c>
      <c r="I26" s="537">
        <f>IFERROR(IF('Invullen groen'!O39&lt;&gt;0,'Invullen groen'!O39,""),"")</f>
        <v/>
      </c>
    </row>
    <row r="27" ht="15" customHeight="1">
      <c r="A27" s="534">
        <f>IFERROR(IF('Invullen groen'!E40&gt;0,40-17,""),"")</f>
        <v/>
      </c>
      <c r="B27" s="534">
        <f>IFERROR(IF('Invullen groen'!E40&gt;0,'Invullen groen'!A40,""),"")</f>
        <v/>
      </c>
      <c r="C27" s="534">
        <f>IFERROR(IF('Invullen groen'!E40&gt;0,'Invullen groen'!C40,""),"")</f>
        <v/>
      </c>
      <c r="D27" s="534">
        <f>IFERROR(IF('Invullen groen'!E40&gt;0,'Invullen groen'!D40,""),"")</f>
        <v/>
      </c>
      <c r="E27" s="534">
        <f>IFERROR(IF('Invullen groen'!E40&gt;0,'Invullen groen'!G40,""),"")</f>
        <v/>
      </c>
      <c r="F27" s="535">
        <f>IFERROR(IF('Invullen groen'!L40&lt;&gt;0,'Invullen groen'!L40,""),"")</f>
        <v/>
      </c>
      <c r="G27" s="535">
        <f>IFERROR(IF('Invullen groen'!M40&lt;&gt;0,'Invullen groen'!M40,""),"")</f>
        <v/>
      </c>
      <c r="H27" s="535">
        <f>IFERROR(IF('Invullen groen'!N40&lt;&gt;0,'Invullen groen'!N40,""),"")</f>
        <v/>
      </c>
      <c r="I27" s="535">
        <f>IFERROR(IF('Invullen groen'!O40&lt;&gt;0,'Invullen groen'!O40,""),"")</f>
        <v/>
      </c>
    </row>
    <row r="28" ht="15" customHeight="1">
      <c r="A28" s="536">
        <f>IFERROR(IF('Invullen groen'!E41&gt;0,41-17,""),"")</f>
        <v/>
      </c>
      <c r="B28" s="536">
        <f>IFERROR(IF('Invullen groen'!E41&gt;0,'Invullen groen'!A41,""),"")</f>
        <v/>
      </c>
      <c r="C28" s="536">
        <f>IFERROR(IF('Invullen groen'!E41&gt;0,'Invullen groen'!C41,""),"")</f>
        <v/>
      </c>
      <c r="D28" s="536">
        <f>IFERROR(IF('Invullen groen'!E41&gt;0,'Invullen groen'!D41,""),"")</f>
        <v/>
      </c>
      <c r="E28" s="536">
        <f>IFERROR(IF('Invullen groen'!E41&gt;0,'Invullen groen'!G41,""),"")</f>
        <v/>
      </c>
      <c r="F28" s="537">
        <f>IFERROR(IF('Invullen groen'!L41&lt;&gt;0,'Invullen groen'!L41,""),"")</f>
        <v/>
      </c>
      <c r="G28" s="537">
        <f>IFERROR(IF('Invullen groen'!M41&lt;&gt;0,'Invullen groen'!M41,""),"")</f>
        <v/>
      </c>
      <c r="H28" s="537">
        <f>IFERROR(IF('Invullen groen'!N41&lt;&gt;0,'Invullen groen'!N41,""),"")</f>
        <v/>
      </c>
      <c r="I28" s="537">
        <f>IFERROR(IF('Invullen groen'!O41&lt;&gt;0,'Invullen groen'!O41,""),"")</f>
        <v/>
      </c>
    </row>
    <row r="29" ht="15" customHeight="1">
      <c r="A29" s="534">
        <f>IFERROR(IF('Invullen groen'!E42&gt;0,42-17,""),"")</f>
        <v/>
      </c>
      <c r="B29" s="534">
        <f>IFERROR(IF('Invullen groen'!E42&gt;0,'Invullen groen'!A42,""),"")</f>
        <v/>
      </c>
      <c r="C29" s="534">
        <f>IFERROR(IF('Invullen groen'!E42&gt;0,'Invullen groen'!C42,""),"")</f>
        <v/>
      </c>
      <c r="D29" s="534">
        <f>IFERROR(IF('Invullen groen'!E42&gt;0,'Invullen groen'!D42,""),"")</f>
        <v/>
      </c>
      <c r="E29" s="534">
        <f>IFERROR(IF('Invullen groen'!E42&gt;0,'Invullen groen'!G42,""),"")</f>
        <v/>
      </c>
      <c r="F29" s="535">
        <f>IFERROR(IF('Invullen groen'!L42&lt;&gt;0,'Invullen groen'!L42,""),"")</f>
        <v/>
      </c>
      <c r="G29" s="535">
        <f>IFERROR(IF('Invullen groen'!M42&lt;&gt;0,'Invullen groen'!M42,""),"")</f>
        <v/>
      </c>
      <c r="H29" s="535">
        <f>IFERROR(IF('Invullen groen'!N42&lt;&gt;0,'Invullen groen'!N42,""),"")</f>
        <v/>
      </c>
      <c r="I29" s="535">
        <f>IFERROR(IF('Invullen groen'!O42&lt;&gt;0,'Invullen groen'!O42,""),"")</f>
        <v/>
      </c>
    </row>
    <row r="30" ht="15" customHeight="1">
      <c r="A30" s="536">
        <f>IFERROR(IF('Invullen groen'!E43&gt;0,43-17,""),"")</f>
        <v/>
      </c>
      <c r="B30" s="536">
        <f>IFERROR(IF('Invullen groen'!E43&gt;0,'Invullen groen'!A43,""),"")</f>
        <v/>
      </c>
      <c r="C30" s="536">
        <f>IFERROR(IF('Invullen groen'!E43&gt;0,'Invullen groen'!C43,""),"")</f>
        <v/>
      </c>
      <c r="D30" s="536">
        <f>IFERROR(IF('Invullen groen'!E43&gt;0,'Invullen groen'!D43,""),"")</f>
        <v/>
      </c>
      <c r="E30" s="536">
        <f>IFERROR(IF('Invullen groen'!E43&gt;0,'Invullen groen'!G43,""),"")</f>
        <v/>
      </c>
      <c r="F30" s="537">
        <f>IFERROR(IF('Invullen groen'!L43&lt;&gt;0,'Invullen groen'!L43,""),"")</f>
        <v/>
      </c>
      <c r="G30" s="537">
        <f>IFERROR(IF('Invullen groen'!M43&lt;&gt;0,'Invullen groen'!M43,""),"")</f>
        <v/>
      </c>
      <c r="H30" s="537">
        <f>IFERROR(IF('Invullen groen'!N43&lt;&gt;0,'Invullen groen'!N43,""),"")</f>
        <v/>
      </c>
      <c r="I30" s="537">
        <f>IFERROR(IF('Invullen groen'!O43&lt;&gt;0,'Invullen groen'!O43,""),"")</f>
        <v/>
      </c>
    </row>
    <row r="31" ht="15" customHeight="1">
      <c r="A31" s="534">
        <f>IFERROR(IF('Invullen groen'!E44&gt;0,44-17,""),"")</f>
        <v/>
      </c>
      <c r="B31" s="534">
        <f>IFERROR(IF('Invullen groen'!E44&gt;0,'Invullen groen'!A44,""),"")</f>
        <v/>
      </c>
      <c r="C31" s="534">
        <f>IFERROR(IF('Invullen groen'!E44&gt;0,'Invullen groen'!C44,""),"")</f>
        <v/>
      </c>
      <c r="D31" s="534">
        <f>IFERROR(IF('Invullen groen'!E44&gt;0,'Invullen groen'!D44,""),"")</f>
        <v/>
      </c>
      <c r="E31" s="534">
        <f>IFERROR(IF('Invullen groen'!E44&gt;0,'Invullen groen'!G44,""),"")</f>
        <v/>
      </c>
      <c r="F31" s="535">
        <f>IFERROR(IF('Invullen groen'!L44&lt;&gt;0,'Invullen groen'!L44,""),"")</f>
        <v/>
      </c>
      <c r="G31" s="535">
        <f>IFERROR(IF('Invullen groen'!M44&lt;&gt;0,'Invullen groen'!M44,""),"")</f>
        <v/>
      </c>
      <c r="H31" s="535">
        <f>IFERROR(IF('Invullen groen'!N44&lt;&gt;0,'Invullen groen'!N44,""),"")</f>
        <v/>
      </c>
      <c r="I31" s="535">
        <f>IFERROR(IF('Invullen groen'!O44&lt;&gt;0,'Invullen groen'!O44,""),"")</f>
        <v/>
      </c>
    </row>
    <row r="32" ht="15" customHeight="1">
      <c r="A32" s="536">
        <f>IFERROR(IF('Invullen groen'!E45&gt;0,45-17,""),"")</f>
        <v/>
      </c>
      <c r="B32" s="536">
        <f>IFERROR(IF('Invullen groen'!E45&gt;0,'Invullen groen'!A45,""),"")</f>
        <v/>
      </c>
      <c r="C32" s="536">
        <f>IFERROR(IF('Invullen groen'!E45&gt;0,'Invullen groen'!C45,""),"")</f>
        <v/>
      </c>
      <c r="D32" s="536">
        <f>IFERROR(IF('Invullen groen'!E45&gt;0,'Invullen groen'!D45,""),"")</f>
        <v/>
      </c>
      <c r="E32" s="536">
        <f>IFERROR(IF('Invullen groen'!E45&gt;0,'Invullen groen'!G45,""),"")</f>
        <v/>
      </c>
      <c r="F32" s="537">
        <f>IFERROR(IF('Invullen groen'!L45&lt;&gt;0,'Invullen groen'!L45,""),"")</f>
        <v/>
      </c>
      <c r="G32" s="537">
        <f>IFERROR(IF('Invullen groen'!M45&lt;&gt;0,'Invullen groen'!M45,""),"")</f>
        <v/>
      </c>
      <c r="H32" s="537">
        <f>IFERROR(IF('Invullen groen'!N45&lt;&gt;0,'Invullen groen'!N45,""),"")</f>
        <v/>
      </c>
      <c r="I32" s="537">
        <f>IFERROR(IF('Invullen groen'!O45&lt;&gt;0,'Invullen groen'!O45,""),"")</f>
        <v/>
      </c>
    </row>
    <row r="33" ht="15" customHeight="1">
      <c r="A33" s="534">
        <f>IFERROR(IF('Invullen groen'!E46&gt;0,46-17,""),"")</f>
        <v/>
      </c>
      <c r="B33" s="534">
        <f>IFERROR(IF('Invullen groen'!E46&gt;0,'Invullen groen'!A46,""),"")</f>
        <v/>
      </c>
      <c r="C33" s="534">
        <f>IFERROR(IF('Invullen groen'!E46&gt;0,'Invullen groen'!C46,""),"")</f>
        <v/>
      </c>
      <c r="D33" s="534">
        <f>IFERROR(IF('Invullen groen'!E46&gt;0,'Invullen groen'!D46,""),"")</f>
        <v/>
      </c>
      <c r="E33" s="534">
        <f>IFERROR(IF('Invullen groen'!E46&gt;0,'Invullen groen'!G46,""),"")</f>
        <v/>
      </c>
      <c r="F33" s="535">
        <f>IFERROR(IF('Invullen groen'!L46&lt;&gt;0,'Invullen groen'!L46,""),"")</f>
        <v/>
      </c>
      <c r="G33" s="535">
        <f>IFERROR(IF('Invullen groen'!M46&lt;&gt;0,'Invullen groen'!M46,""),"")</f>
        <v/>
      </c>
      <c r="H33" s="535">
        <f>IFERROR(IF('Invullen groen'!N46&lt;&gt;0,'Invullen groen'!N46,""),"")</f>
        <v/>
      </c>
      <c r="I33" s="535">
        <f>IFERROR(IF('Invullen groen'!O46&lt;&gt;0,'Invullen groen'!O46,""),"")</f>
        <v/>
      </c>
    </row>
    <row r="34" ht="15" customHeight="1">
      <c r="A34" s="536">
        <f>IFERROR(IF('Invullen groen'!E47&gt;0,47-17,""),"")</f>
        <v/>
      </c>
      <c r="B34" s="536">
        <f>IFERROR(IF('Invullen groen'!E47&gt;0,'Invullen groen'!A47,""),"")</f>
        <v/>
      </c>
      <c r="C34" s="536">
        <f>IFERROR(IF('Invullen groen'!E47&gt;0,'Invullen groen'!C47,""),"")</f>
        <v/>
      </c>
      <c r="D34" s="536">
        <f>IFERROR(IF('Invullen groen'!E47&gt;0,'Invullen groen'!D47,""),"")</f>
        <v/>
      </c>
      <c r="E34" s="536">
        <f>IFERROR(IF('Invullen groen'!E47&gt;0,'Invullen groen'!G47,""),"")</f>
        <v/>
      </c>
      <c r="F34" s="537">
        <f>IFERROR(IF('Invullen groen'!L47&lt;&gt;0,'Invullen groen'!L47,""),"")</f>
        <v/>
      </c>
      <c r="G34" s="537">
        <f>IFERROR(IF('Invullen groen'!M47&lt;&gt;0,'Invullen groen'!M47,""),"")</f>
        <v/>
      </c>
      <c r="H34" s="537">
        <f>IFERROR(IF('Invullen groen'!N47&lt;&gt;0,'Invullen groen'!N47,""),"")</f>
        <v/>
      </c>
      <c r="I34" s="537">
        <f>IFERROR(IF('Invullen groen'!O47&lt;&gt;0,'Invullen groen'!O47,""),"")</f>
        <v/>
      </c>
    </row>
    <row r="35" ht="15" customHeight="1">
      <c r="A35" s="534">
        <f>IFERROR(IF('Invullen groen'!E48&gt;0,48-17,""),"")</f>
        <v/>
      </c>
      <c r="B35" s="534">
        <f>IFERROR(IF('Invullen groen'!E48&gt;0,'Invullen groen'!A48,""),"")</f>
        <v/>
      </c>
      <c r="C35" s="534">
        <f>IFERROR(IF('Invullen groen'!E48&gt;0,'Invullen groen'!C48,""),"")</f>
        <v/>
      </c>
      <c r="D35" s="534">
        <f>IFERROR(IF('Invullen groen'!E48&gt;0,'Invullen groen'!D48,""),"")</f>
        <v/>
      </c>
      <c r="E35" s="534">
        <f>IFERROR(IF('Invullen groen'!E48&gt;0,'Invullen groen'!G48,""),"")</f>
        <v/>
      </c>
      <c r="F35" s="535">
        <f>IFERROR(IF('Invullen groen'!L48&lt;&gt;0,'Invullen groen'!L48,""),"")</f>
        <v/>
      </c>
      <c r="G35" s="535">
        <f>IFERROR(IF('Invullen groen'!M48&lt;&gt;0,'Invullen groen'!M48,""),"")</f>
        <v/>
      </c>
      <c r="H35" s="535">
        <f>IFERROR(IF('Invullen groen'!N48&lt;&gt;0,'Invullen groen'!N48,""),"")</f>
        <v/>
      </c>
      <c r="I35" s="535">
        <f>IFERROR(IF('Invullen groen'!O48&lt;&gt;0,'Invullen groen'!O48,""),"")</f>
        <v/>
      </c>
    </row>
    <row r="36" ht="15" customHeight="1">
      <c r="A36" s="536">
        <f>IFERROR(IF('Invullen groen'!E49&gt;0,49-17,""),"")</f>
        <v/>
      </c>
      <c r="B36" s="536">
        <f>IFERROR(IF('Invullen groen'!E49&gt;0,'Invullen groen'!A49,""),"")</f>
        <v/>
      </c>
      <c r="C36" s="536">
        <f>IFERROR(IF('Invullen groen'!E49&gt;0,'Invullen groen'!C49,""),"")</f>
        <v/>
      </c>
      <c r="D36" s="536">
        <f>IFERROR(IF('Invullen groen'!E49&gt;0,'Invullen groen'!D49,""),"")</f>
        <v/>
      </c>
      <c r="E36" s="536">
        <f>IFERROR(IF('Invullen groen'!E49&gt;0,'Invullen groen'!G49,""),"")</f>
        <v/>
      </c>
      <c r="F36" s="537">
        <f>IFERROR(IF('Invullen groen'!L49&lt;&gt;0,'Invullen groen'!L49,""),"")</f>
        <v/>
      </c>
      <c r="G36" s="537">
        <f>IFERROR(IF('Invullen groen'!M49&lt;&gt;0,'Invullen groen'!M49,""),"")</f>
        <v/>
      </c>
      <c r="H36" s="537">
        <f>IFERROR(IF('Invullen groen'!N49&lt;&gt;0,'Invullen groen'!N49,""),"")</f>
        <v/>
      </c>
      <c r="I36" s="537">
        <f>IFERROR(IF('Invullen groen'!O49&lt;&gt;0,'Invullen groen'!O49,""),"")</f>
        <v/>
      </c>
    </row>
    <row r="37" ht="15" customHeight="1">
      <c r="A37" s="534">
        <f>IFERROR(IF('Invullen groen'!E50&gt;0,50-17,""),"")</f>
        <v/>
      </c>
      <c r="B37" s="534">
        <f>IFERROR(IF('Invullen groen'!E50&gt;0,'Invullen groen'!A50,""),"")</f>
        <v/>
      </c>
      <c r="C37" s="534">
        <f>IFERROR(IF('Invullen groen'!E50&gt;0,'Invullen groen'!C50,""),"")</f>
        <v/>
      </c>
      <c r="D37" s="534">
        <f>IFERROR(IF('Invullen groen'!E50&gt;0,'Invullen groen'!D50,""),"")</f>
        <v/>
      </c>
      <c r="E37" s="534">
        <f>IFERROR(IF('Invullen groen'!E50&gt;0,'Invullen groen'!G50,""),"")</f>
        <v/>
      </c>
      <c r="F37" s="535">
        <f>IFERROR(IF('Invullen groen'!L50&lt;&gt;0,'Invullen groen'!L50,""),"")</f>
        <v/>
      </c>
      <c r="G37" s="535">
        <f>IFERROR(IF('Invullen groen'!M50&lt;&gt;0,'Invullen groen'!M50,""),"")</f>
        <v/>
      </c>
      <c r="H37" s="535">
        <f>IFERROR(IF('Invullen groen'!N50&lt;&gt;0,'Invullen groen'!N50,""),"")</f>
        <v/>
      </c>
      <c r="I37" s="535">
        <f>IFERROR(IF('Invullen groen'!O50&lt;&gt;0,'Invullen groen'!O50,""),"")</f>
        <v/>
      </c>
    </row>
    <row r="38" ht="15" customHeight="1">
      <c r="A38" s="536">
        <f>IFERROR(IF('Invullen groen'!E51&gt;0,51-17,""),"")</f>
        <v/>
      </c>
      <c r="B38" s="536">
        <f>IFERROR(IF('Invullen groen'!E51&gt;0,'Invullen groen'!A51,""),"")</f>
        <v/>
      </c>
      <c r="C38" s="536">
        <f>IFERROR(IF('Invullen groen'!E51&gt;0,'Invullen groen'!C51,""),"")</f>
        <v/>
      </c>
      <c r="D38" s="536">
        <f>IFERROR(IF('Invullen groen'!E51&gt;0,'Invullen groen'!D51,""),"")</f>
        <v/>
      </c>
      <c r="E38" s="536">
        <f>IFERROR(IF('Invullen groen'!E51&gt;0,'Invullen groen'!G51,""),"")</f>
        <v/>
      </c>
      <c r="F38" s="537">
        <f>IFERROR(IF('Invullen groen'!L51&lt;&gt;0,'Invullen groen'!L51,""),"")</f>
        <v/>
      </c>
      <c r="G38" s="537">
        <f>IFERROR(IF('Invullen groen'!M51&lt;&gt;0,'Invullen groen'!M51,""),"")</f>
        <v/>
      </c>
      <c r="H38" s="537">
        <f>IFERROR(IF('Invullen groen'!N51&lt;&gt;0,'Invullen groen'!N51,""),"")</f>
        <v/>
      </c>
      <c r="I38" s="537">
        <f>IFERROR(IF('Invullen groen'!O51&lt;&gt;0,'Invullen groen'!O51,""),"")</f>
        <v/>
      </c>
    </row>
    <row r="39" ht="15" customHeight="1">
      <c r="A39" s="534">
        <f>IFERROR(IF('Invullen groen'!E52&gt;0,52-17,""),"")</f>
        <v/>
      </c>
      <c r="B39" s="534">
        <f>IFERROR(IF('Invullen groen'!E52&gt;0,'Invullen groen'!A52,""),"")</f>
        <v/>
      </c>
      <c r="C39" s="534">
        <f>IFERROR(IF('Invullen groen'!E52&gt;0,'Invullen groen'!C52,""),"")</f>
        <v/>
      </c>
      <c r="D39" s="534">
        <f>IFERROR(IF('Invullen groen'!E52&gt;0,'Invullen groen'!D52,""),"")</f>
        <v/>
      </c>
      <c r="E39" s="534">
        <f>IFERROR(IF('Invullen groen'!E52&gt;0,'Invullen groen'!G52,""),"")</f>
        <v/>
      </c>
      <c r="F39" s="535">
        <f>IFERROR(IF('Invullen groen'!L52&lt;&gt;0,'Invullen groen'!L52,""),"")</f>
        <v/>
      </c>
      <c r="G39" s="535">
        <f>IFERROR(IF('Invullen groen'!M52&lt;&gt;0,'Invullen groen'!M52,""),"")</f>
        <v/>
      </c>
      <c r="H39" s="535">
        <f>IFERROR(IF('Invullen groen'!N52&lt;&gt;0,'Invullen groen'!N52,""),"")</f>
        <v/>
      </c>
      <c r="I39" s="535">
        <f>IFERROR(IF('Invullen groen'!O52&lt;&gt;0,'Invullen groen'!O52,""),"")</f>
        <v/>
      </c>
    </row>
    <row r="40" ht="15" customHeight="1">
      <c r="A40" s="536">
        <f>IFERROR(IF('Invullen groen'!E53&gt;0,53-17,""),"")</f>
        <v/>
      </c>
      <c r="B40" s="536">
        <f>IFERROR(IF('Invullen groen'!E53&gt;0,'Invullen groen'!A53,""),"")</f>
        <v/>
      </c>
      <c r="C40" s="536">
        <f>IFERROR(IF('Invullen groen'!E53&gt;0,'Invullen groen'!C53,""),"")</f>
        <v/>
      </c>
      <c r="D40" s="536">
        <f>IFERROR(IF('Invullen groen'!E53&gt;0,'Invullen groen'!D53,""),"")</f>
        <v/>
      </c>
      <c r="E40" s="536">
        <f>IFERROR(IF('Invullen groen'!E53&gt;0,'Invullen groen'!G53,""),"")</f>
        <v/>
      </c>
      <c r="F40" s="537">
        <f>IFERROR(IF('Invullen groen'!L53&lt;&gt;0,'Invullen groen'!L53,""),"")</f>
        <v/>
      </c>
      <c r="G40" s="537">
        <f>IFERROR(IF('Invullen groen'!M53&lt;&gt;0,'Invullen groen'!M53,""),"")</f>
        <v/>
      </c>
      <c r="H40" s="537">
        <f>IFERROR(IF('Invullen groen'!N53&lt;&gt;0,'Invullen groen'!N53,""),"")</f>
        <v/>
      </c>
      <c r="I40" s="537">
        <f>IFERROR(IF('Invullen groen'!O53&lt;&gt;0,'Invullen groen'!O53,""),"")</f>
        <v/>
      </c>
    </row>
    <row r="41" ht="15" customHeight="1">
      <c r="A41" s="534">
        <f>IFERROR(IF('Invullen groen'!E54&gt;0,54-17,""),"")</f>
        <v/>
      </c>
      <c r="B41" s="534">
        <f>IFERROR(IF('Invullen groen'!E54&gt;0,'Invullen groen'!A54,""),"")</f>
        <v/>
      </c>
      <c r="C41" s="534">
        <f>IFERROR(IF('Invullen groen'!E54&gt;0,'Invullen groen'!C54,""),"")</f>
        <v/>
      </c>
      <c r="D41" s="534">
        <f>IFERROR(IF('Invullen groen'!E54&gt;0,'Invullen groen'!D54,""),"")</f>
        <v/>
      </c>
      <c r="E41" s="534">
        <f>IFERROR(IF('Invullen groen'!E54&gt;0,'Invullen groen'!G54,""),"")</f>
        <v/>
      </c>
      <c r="F41" s="535">
        <f>IFERROR(IF('Invullen groen'!L54&lt;&gt;0,'Invullen groen'!L54,""),"")</f>
        <v/>
      </c>
      <c r="G41" s="535">
        <f>IFERROR(IF('Invullen groen'!M54&lt;&gt;0,'Invullen groen'!M54,""),"")</f>
        <v/>
      </c>
      <c r="H41" s="535">
        <f>IFERROR(IF('Invullen groen'!N54&lt;&gt;0,'Invullen groen'!N54,""),"")</f>
        <v/>
      </c>
      <c r="I41" s="535">
        <f>IFERROR(IF('Invullen groen'!O54&lt;&gt;0,'Invullen groen'!O54,""),"")</f>
        <v/>
      </c>
    </row>
    <row r="42" ht="15" customHeight="1">
      <c r="A42" s="536">
        <f>IFERROR(IF('Invullen groen'!E55&gt;0,55-17,""),"")</f>
        <v/>
      </c>
      <c r="B42" s="536">
        <f>IFERROR(IF('Invullen groen'!E55&gt;0,'Invullen groen'!A55,""),"")</f>
        <v/>
      </c>
      <c r="C42" s="536">
        <f>IFERROR(IF('Invullen groen'!E55&gt;0,'Invullen groen'!C55,""),"")</f>
        <v/>
      </c>
      <c r="D42" s="536">
        <f>IFERROR(IF('Invullen groen'!E55&gt;0,'Invullen groen'!D55,""),"")</f>
        <v/>
      </c>
      <c r="E42" s="536">
        <f>IFERROR(IF('Invullen groen'!E55&gt;0,'Invullen groen'!G55,""),"")</f>
        <v/>
      </c>
      <c r="F42" s="537">
        <f>IFERROR(IF('Invullen groen'!L55&lt;&gt;0,'Invullen groen'!L55,""),"")</f>
        <v/>
      </c>
      <c r="G42" s="537">
        <f>IFERROR(IF('Invullen groen'!M55&lt;&gt;0,'Invullen groen'!M55,""),"")</f>
        <v/>
      </c>
      <c r="H42" s="537">
        <f>IFERROR(IF('Invullen groen'!N55&lt;&gt;0,'Invullen groen'!N55,""),"")</f>
        <v/>
      </c>
      <c r="I42" s="537">
        <f>IFERROR(IF('Invullen groen'!O55&lt;&gt;0,'Invullen groen'!O55,""),"")</f>
        <v/>
      </c>
    </row>
    <row r="43" ht="15" customHeight="1">
      <c r="A43" s="534">
        <f>IFERROR(IF('Invullen groen'!E56&gt;0,56-17,""),"")</f>
        <v/>
      </c>
      <c r="B43" s="534">
        <f>IFERROR(IF('Invullen groen'!E56&gt;0,'Invullen groen'!A56,""),"")</f>
        <v/>
      </c>
      <c r="C43" s="534">
        <f>IFERROR(IF('Invullen groen'!E56&gt;0,'Invullen groen'!C56,""),"")</f>
        <v/>
      </c>
      <c r="D43" s="534">
        <f>IFERROR(IF('Invullen groen'!E56&gt;0,'Invullen groen'!D56,""),"")</f>
        <v/>
      </c>
      <c r="E43" s="534">
        <f>IFERROR(IF('Invullen groen'!E56&gt;0,'Invullen groen'!G56,""),"")</f>
        <v/>
      </c>
      <c r="F43" s="535">
        <f>IFERROR(IF('Invullen groen'!L56&lt;&gt;0,'Invullen groen'!L56,""),"")</f>
        <v/>
      </c>
      <c r="G43" s="535">
        <f>IFERROR(IF('Invullen groen'!M56&lt;&gt;0,'Invullen groen'!M56,""),"")</f>
        <v/>
      </c>
      <c r="H43" s="535">
        <f>IFERROR(IF('Invullen groen'!N56&lt;&gt;0,'Invullen groen'!N56,""),"")</f>
        <v/>
      </c>
      <c r="I43" s="535">
        <f>IFERROR(IF('Invullen groen'!O56&lt;&gt;0,'Invullen groen'!O56,""),"")</f>
        <v/>
      </c>
    </row>
    <row r="44" ht="15" customHeight="1">
      <c r="A44" s="536">
        <f>IFERROR(IF('Invullen groen'!E57&gt;0,57-17,""),"")</f>
        <v/>
      </c>
      <c r="B44" s="536">
        <f>IFERROR(IF('Invullen groen'!E57&gt;0,'Invullen groen'!A57,""),"")</f>
        <v/>
      </c>
      <c r="C44" s="536">
        <f>IFERROR(IF('Invullen groen'!E57&gt;0,'Invullen groen'!C57,""),"")</f>
        <v/>
      </c>
      <c r="D44" s="536">
        <f>IFERROR(IF('Invullen groen'!E57&gt;0,'Invullen groen'!D57,""),"")</f>
        <v/>
      </c>
      <c r="E44" s="536">
        <f>IFERROR(IF('Invullen groen'!E57&gt;0,'Invullen groen'!G57,""),"")</f>
        <v/>
      </c>
      <c r="F44" s="537">
        <f>IFERROR(IF('Invullen groen'!L57&lt;&gt;0,'Invullen groen'!L57,""),"")</f>
        <v/>
      </c>
      <c r="G44" s="537">
        <f>IFERROR(IF('Invullen groen'!M57&lt;&gt;0,'Invullen groen'!M57,""),"")</f>
        <v/>
      </c>
      <c r="H44" s="537">
        <f>IFERROR(IF('Invullen groen'!N57&lt;&gt;0,'Invullen groen'!N57,""),"")</f>
        <v/>
      </c>
      <c r="I44" s="537">
        <f>IFERROR(IF('Invullen groen'!O57&lt;&gt;0,'Invullen groen'!O57,""),"")</f>
        <v/>
      </c>
    </row>
    <row r="45" ht="15" customHeight="1">
      <c r="A45" s="534">
        <f>IFERROR(IF('Invullen groen'!E58&gt;0,58-17,""),"")</f>
        <v/>
      </c>
      <c r="B45" s="534">
        <f>IFERROR(IF('Invullen groen'!E58&gt;0,'Invullen groen'!A58,""),"")</f>
        <v/>
      </c>
      <c r="C45" s="534">
        <f>IFERROR(IF('Invullen groen'!E58&gt;0,'Invullen groen'!C58,""),"")</f>
        <v/>
      </c>
      <c r="D45" s="534">
        <f>IFERROR(IF('Invullen groen'!E58&gt;0,'Invullen groen'!D58,""),"")</f>
        <v/>
      </c>
      <c r="E45" s="534">
        <f>IFERROR(IF('Invullen groen'!E58&gt;0,'Invullen groen'!G58,""),"")</f>
        <v/>
      </c>
      <c r="F45" s="535">
        <f>IFERROR(IF('Invullen groen'!L58&lt;&gt;0,'Invullen groen'!L58,""),"")</f>
        <v/>
      </c>
      <c r="G45" s="535">
        <f>IFERROR(IF('Invullen groen'!M58&lt;&gt;0,'Invullen groen'!M58,""),"")</f>
        <v/>
      </c>
      <c r="H45" s="535">
        <f>IFERROR(IF('Invullen groen'!N58&lt;&gt;0,'Invullen groen'!N58,""),"")</f>
        <v/>
      </c>
      <c r="I45" s="535">
        <f>IFERROR(IF('Invullen groen'!O58&lt;&gt;0,'Invullen groen'!O58,""),"")</f>
        <v/>
      </c>
    </row>
    <row r="46" ht="15" customHeight="1">
      <c r="A46" s="536">
        <f>IFERROR(IF('Invullen groen'!E59&gt;0,59-17,""),"")</f>
        <v/>
      </c>
      <c r="B46" s="536">
        <f>IFERROR(IF('Invullen groen'!E59&gt;0,'Invullen groen'!A59,""),"")</f>
        <v/>
      </c>
      <c r="C46" s="536">
        <f>IFERROR(IF('Invullen groen'!E59&gt;0,'Invullen groen'!C59,""),"")</f>
        <v/>
      </c>
      <c r="D46" s="536">
        <f>IFERROR(IF('Invullen groen'!E59&gt;0,'Invullen groen'!D59,""),"")</f>
        <v/>
      </c>
      <c r="E46" s="536">
        <f>IFERROR(IF('Invullen groen'!E59&gt;0,'Invullen groen'!G59,""),"")</f>
        <v/>
      </c>
      <c r="F46" s="537">
        <f>IFERROR(IF('Invullen groen'!L59&lt;&gt;0,'Invullen groen'!L59,""),"")</f>
        <v/>
      </c>
      <c r="G46" s="537">
        <f>IFERROR(IF('Invullen groen'!M59&lt;&gt;0,'Invullen groen'!M59,""),"")</f>
        <v/>
      </c>
      <c r="H46" s="537">
        <f>IFERROR(IF('Invullen groen'!N59&lt;&gt;0,'Invullen groen'!N59,""),"")</f>
        <v/>
      </c>
      <c r="I46" s="537">
        <f>IFERROR(IF('Invullen groen'!O59&lt;&gt;0,'Invullen groen'!O59,""),"")</f>
        <v/>
      </c>
    </row>
    <row r="47" ht="15" customHeight="1">
      <c r="A47" s="534">
        <f>IFERROR(IF('Invullen groen'!E60&gt;0,60-17,""),"")</f>
        <v/>
      </c>
      <c r="B47" s="534">
        <f>IFERROR(IF('Invullen groen'!E60&gt;0,'Invullen groen'!A60,""),"")</f>
        <v/>
      </c>
      <c r="C47" s="534">
        <f>IFERROR(IF('Invullen groen'!E60&gt;0,'Invullen groen'!C60,""),"")</f>
        <v/>
      </c>
      <c r="D47" s="534">
        <f>IFERROR(IF('Invullen groen'!E60&gt;0,'Invullen groen'!D60,""),"")</f>
        <v/>
      </c>
      <c r="E47" s="534">
        <f>IFERROR(IF('Invullen groen'!E60&gt;0,'Invullen groen'!G60,""),"")</f>
        <v/>
      </c>
      <c r="F47" s="535">
        <f>IFERROR(IF('Invullen groen'!L60&lt;&gt;0,'Invullen groen'!L60,""),"")</f>
        <v/>
      </c>
      <c r="G47" s="535">
        <f>IFERROR(IF('Invullen groen'!M60&lt;&gt;0,'Invullen groen'!M60,""),"")</f>
        <v/>
      </c>
      <c r="H47" s="535">
        <f>IFERROR(IF('Invullen groen'!N60&lt;&gt;0,'Invullen groen'!N60,""),"")</f>
        <v/>
      </c>
      <c r="I47" s="535">
        <f>IFERROR(IF('Invullen groen'!O60&lt;&gt;0,'Invullen groen'!O60,""),"")</f>
        <v/>
      </c>
    </row>
    <row r="48" ht="15" customHeight="1">
      <c r="A48" s="536">
        <f>IFERROR(IF('Invullen groen'!E61&gt;0,61-17,""),"")</f>
        <v/>
      </c>
      <c r="B48" s="536">
        <f>IFERROR(IF('Invullen groen'!E61&gt;0,'Invullen groen'!A61,""),"")</f>
        <v/>
      </c>
      <c r="C48" s="536">
        <f>IFERROR(IF('Invullen groen'!E61&gt;0,'Invullen groen'!C61,""),"")</f>
        <v/>
      </c>
      <c r="D48" s="536">
        <f>IFERROR(IF('Invullen groen'!E61&gt;0,'Invullen groen'!D61,""),"")</f>
        <v/>
      </c>
      <c r="E48" s="536">
        <f>IFERROR(IF('Invullen groen'!E61&gt;0,'Invullen groen'!G61,""),"")</f>
        <v/>
      </c>
      <c r="F48" s="537">
        <f>IFERROR(IF('Invullen groen'!L61&lt;&gt;0,'Invullen groen'!L61,""),"")</f>
        <v/>
      </c>
      <c r="G48" s="537">
        <f>IFERROR(IF('Invullen groen'!M61&lt;&gt;0,'Invullen groen'!M61,""),"")</f>
        <v/>
      </c>
      <c r="H48" s="537">
        <f>IFERROR(IF('Invullen groen'!N61&lt;&gt;0,'Invullen groen'!N61,""),"")</f>
        <v/>
      </c>
      <c r="I48" s="537">
        <f>IFERROR(IF('Invullen groen'!O61&lt;&gt;0,'Invullen groen'!O61,""),"")</f>
        <v/>
      </c>
    </row>
    <row r="49" ht="15" customHeight="1">
      <c r="A49" s="534">
        <f>IFERROR(IF('Invullen groen'!E62&gt;0,62-17,""),"")</f>
        <v/>
      </c>
      <c r="B49" s="534">
        <f>IFERROR(IF('Invullen groen'!E62&gt;0,'Invullen groen'!A62,""),"")</f>
        <v/>
      </c>
      <c r="C49" s="534">
        <f>IFERROR(IF('Invullen groen'!E62&gt;0,'Invullen groen'!C62,""),"")</f>
        <v/>
      </c>
      <c r="D49" s="534">
        <f>IFERROR(IF('Invullen groen'!E62&gt;0,'Invullen groen'!D62,""),"")</f>
        <v/>
      </c>
      <c r="E49" s="534">
        <f>IFERROR(IF('Invullen groen'!E62&gt;0,'Invullen groen'!G62,""),"")</f>
        <v/>
      </c>
      <c r="F49" s="535">
        <f>IFERROR(IF('Invullen groen'!L62&lt;&gt;0,'Invullen groen'!L62,""),"")</f>
        <v/>
      </c>
      <c r="G49" s="535">
        <f>IFERROR(IF('Invullen groen'!M62&lt;&gt;0,'Invullen groen'!M62,""),"")</f>
        <v/>
      </c>
      <c r="H49" s="535">
        <f>IFERROR(IF('Invullen groen'!N62&lt;&gt;0,'Invullen groen'!N62,""),"")</f>
        <v/>
      </c>
      <c r="I49" s="535">
        <f>IFERROR(IF('Invullen groen'!O62&lt;&gt;0,'Invullen groen'!O62,""),"")</f>
        <v/>
      </c>
    </row>
    <row r="50" ht="15" customHeight="1">
      <c r="A50" s="536">
        <f>IFERROR(IF('Invullen groen'!E63&gt;0,63-17,""),"")</f>
        <v/>
      </c>
      <c r="B50" s="536">
        <f>IFERROR(IF('Invullen groen'!E63&gt;0,'Invullen groen'!A63,""),"")</f>
        <v/>
      </c>
      <c r="C50" s="536">
        <f>IFERROR(IF('Invullen groen'!E63&gt;0,'Invullen groen'!C63,""),"")</f>
        <v/>
      </c>
      <c r="D50" s="536">
        <f>IFERROR(IF('Invullen groen'!E63&gt;0,'Invullen groen'!D63,""),"")</f>
        <v/>
      </c>
      <c r="E50" s="536">
        <f>IFERROR(IF('Invullen groen'!E63&gt;0,'Invullen groen'!G63,""),"")</f>
        <v/>
      </c>
      <c r="F50" s="537">
        <f>IFERROR(IF('Invullen groen'!L63&lt;&gt;0,'Invullen groen'!L63,""),"")</f>
        <v/>
      </c>
      <c r="G50" s="537">
        <f>IFERROR(IF('Invullen groen'!M63&lt;&gt;0,'Invullen groen'!M63,""),"")</f>
        <v/>
      </c>
      <c r="H50" s="537">
        <f>IFERROR(IF('Invullen groen'!N63&lt;&gt;0,'Invullen groen'!N63,""),"")</f>
        <v/>
      </c>
      <c r="I50" s="537">
        <f>IFERROR(IF('Invullen groen'!O63&lt;&gt;0,'Invullen groen'!O63,""),"")</f>
        <v/>
      </c>
    </row>
    <row r="51" ht="15" customHeight="1">
      <c r="A51" s="534">
        <f>IFERROR(IF('Invullen groen'!E64&gt;0,64-17,""),"")</f>
        <v/>
      </c>
      <c r="B51" s="534">
        <f>IFERROR(IF('Invullen groen'!E64&gt;0,'Invullen groen'!A64,""),"")</f>
        <v/>
      </c>
      <c r="C51" s="534">
        <f>IFERROR(IF('Invullen groen'!E64&gt;0,'Invullen groen'!C64,""),"")</f>
        <v/>
      </c>
      <c r="D51" s="534">
        <f>IFERROR(IF('Invullen groen'!E64&gt;0,'Invullen groen'!D64,""),"")</f>
        <v/>
      </c>
      <c r="E51" s="534">
        <f>IFERROR(IF('Invullen groen'!E64&gt;0,'Invullen groen'!G64,""),"")</f>
        <v/>
      </c>
      <c r="F51" s="535">
        <f>IFERROR(IF('Invullen groen'!L64&lt;&gt;0,'Invullen groen'!L64,""),"")</f>
        <v/>
      </c>
      <c r="G51" s="535">
        <f>IFERROR(IF('Invullen groen'!M64&lt;&gt;0,'Invullen groen'!M64,""),"")</f>
        <v/>
      </c>
      <c r="H51" s="535">
        <f>IFERROR(IF('Invullen groen'!N64&lt;&gt;0,'Invullen groen'!N64,""),"")</f>
        <v/>
      </c>
      <c r="I51" s="535">
        <f>IFERROR(IF('Invullen groen'!O64&lt;&gt;0,'Invullen groen'!O64,""),"")</f>
        <v/>
      </c>
    </row>
    <row r="52" ht="15" customHeight="1">
      <c r="A52" s="536">
        <f>IFERROR(IF('Invullen groen'!E65&gt;0,65-17,""),"")</f>
        <v/>
      </c>
      <c r="B52" s="536">
        <f>IFERROR(IF('Invullen groen'!E65&gt;0,'Invullen groen'!A65,""),"")</f>
        <v/>
      </c>
      <c r="C52" s="536">
        <f>IFERROR(IF('Invullen groen'!E65&gt;0,'Invullen groen'!C65,""),"")</f>
        <v/>
      </c>
      <c r="D52" s="536">
        <f>IFERROR(IF('Invullen groen'!E65&gt;0,'Invullen groen'!D65,""),"")</f>
        <v/>
      </c>
      <c r="E52" s="536">
        <f>IFERROR(IF('Invullen groen'!E65&gt;0,'Invullen groen'!G65,""),"")</f>
        <v/>
      </c>
      <c r="F52" s="537">
        <f>IFERROR(IF('Invullen groen'!L65&lt;&gt;0,'Invullen groen'!L65,""),"")</f>
        <v/>
      </c>
      <c r="G52" s="537">
        <f>IFERROR(IF('Invullen groen'!M65&lt;&gt;0,'Invullen groen'!M65,""),"")</f>
        <v/>
      </c>
      <c r="H52" s="537">
        <f>IFERROR(IF('Invullen groen'!N65&lt;&gt;0,'Invullen groen'!N65,""),"")</f>
        <v/>
      </c>
      <c r="I52" s="537">
        <f>IFERROR(IF('Invullen groen'!O65&lt;&gt;0,'Invullen groen'!O65,""),"")</f>
        <v/>
      </c>
    </row>
    <row r="53" ht="15" customHeight="1">
      <c r="A53" s="534">
        <f>IFERROR(IF('Invullen groen'!E66&gt;0,66-17,""),"")</f>
        <v/>
      </c>
      <c r="B53" s="534">
        <f>IFERROR(IF('Invullen groen'!E66&gt;0,'Invullen groen'!A66,""),"")</f>
        <v/>
      </c>
      <c r="C53" s="534">
        <f>IFERROR(IF('Invullen groen'!E66&gt;0,'Invullen groen'!C66,""),"")</f>
        <v/>
      </c>
      <c r="D53" s="534">
        <f>IFERROR(IF('Invullen groen'!E66&gt;0,'Invullen groen'!D66,""),"")</f>
        <v/>
      </c>
      <c r="E53" s="534">
        <f>IFERROR(IF('Invullen groen'!E66&gt;0,'Invullen groen'!G66,""),"")</f>
        <v/>
      </c>
      <c r="F53" s="535">
        <f>IFERROR(IF('Invullen groen'!L66&lt;&gt;0,'Invullen groen'!L66,""),"")</f>
        <v/>
      </c>
      <c r="G53" s="535">
        <f>IFERROR(IF('Invullen groen'!M66&lt;&gt;0,'Invullen groen'!M66,""),"")</f>
        <v/>
      </c>
      <c r="H53" s="535">
        <f>IFERROR(IF('Invullen groen'!N66&lt;&gt;0,'Invullen groen'!N66,""),"")</f>
        <v/>
      </c>
      <c r="I53" s="535">
        <f>IFERROR(IF('Invullen groen'!O66&lt;&gt;0,'Invullen groen'!O66,""),"")</f>
        <v/>
      </c>
    </row>
    <row r="54" ht="15" customHeight="1">
      <c r="A54" s="536">
        <f>IFERROR(IF('Invullen groen'!E67&gt;0,67-17,""),"")</f>
        <v/>
      </c>
      <c r="B54" s="536">
        <f>IFERROR(IF('Invullen groen'!E67&gt;0,'Invullen groen'!A67,""),"")</f>
        <v/>
      </c>
      <c r="C54" s="536">
        <f>IFERROR(IF('Invullen groen'!E67&gt;0,'Invullen groen'!C67,""),"")</f>
        <v/>
      </c>
      <c r="D54" s="536">
        <f>IFERROR(IF('Invullen groen'!E67&gt;0,'Invullen groen'!D67,""),"")</f>
        <v/>
      </c>
      <c r="E54" s="536">
        <f>IFERROR(IF('Invullen groen'!E67&gt;0,'Invullen groen'!G67,""),"")</f>
        <v/>
      </c>
      <c r="F54" s="537">
        <f>IFERROR(IF('Invullen groen'!L67&lt;&gt;0,'Invullen groen'!L67,""),"")</f>
        <v/>
      </c>
      <c r="G54" s="537">
        <f>IFERROR(IF('Invullen groen'!M67&lt;&gt;0,'Invullen groen'!M67,""),"")</f>
        <v/>
      </c>
      <c r="H54" s="537">
        <f>IFERROR(IF('Invullen groen'!N67&lt;&gt;0,'Invullen groen'!N67,""),"")</f>
        <v/>
      </c>
      <c r="I54" s="537">
        <f>IFERROR(IF('Invullen groen'!O67&lt;&gt;0,'Invullen groen'!O67,""),"")</f>
        <v/>
      </c>
    </row>
    <row r="55" ht="15" customHeight="1">
      <c r="A55" s="534">
        <f>IFERROR(IF('Invullen groen'!E68&gt;0,68-17,""),"")</f>
        <v/>
      </c>
      <c r="B55" s="534">
        <f>IFERROR(IF('Invullen groen'!E68&gt;0,'Invullen groen'!A68,""),"")</f>
        <v/>
      </c>
      <c r="C55" s="534">
        <f>IFERROR(IF('Invullen groen'!E68&gt;0,'Invullen groen'!C68,""),"")</f>
        <v/>
      </c>
      <c r="D55" s="534">
        <f>IFERROR(IF('Invullen groen'!E68&gt;0,'Invullen groen'!D68,""),"")</f>
        <v/>
      </c>
      <c r="E55" s="534">
        <f>IFERROR(IF('Invullen groen'!E68&gt;0,'Invullen groen'!G68,""),"")</f>
        <v/>
      </c>
      <c r="F55" s="535">
        <f>IFERROR(IF('Invullen groen'!L68&lt;&gt;0,'Invullen groen'!L68,""),"")</f>
        <v/>
      </c>
      <c r="G55" s="535">
        <f>IFERROR(IF('Invullen groen'!M68&lt;&gt;0,'Invullen groen'!M68,""),"")</f>
        <v/>
      </c>
      <c r="H55" s="535">
        <f>IFERROR(IF('Invullen groen'!N68&lt;&gt;0,'Invullen groen'!N68,""),"")</f>
        <v/>
      </c>
      <c r="I55" s="535">
        <f>IFERROR(IF('Invullen groen'!O68&lt;&gt;0,'Invullen groen'!O68,""),"")</f>
        <v/>
      </c>
    </row>
    <row r="56" ht="15" customHeight="1">
      <c r="A56" s="536">
        <f>IFERROR(IF('Invullen groen'!E69&gt;0,69-17,""),"")</f>
        <v/>
      </c>
      <c r="B56" s="536">
        <f>IFERROR(IF('Invullen groen'!E69&gt;0,'Invullen groen'!A69,""),"")</f>
        <v/>
      </c>
      <c r="C56" s="536">
        <f>IFERROR(IF('Invullen groen'!E69&gt;0,'Invullen groen'!C69,""),"")</f>
        <v/>
      </c>
      <c r="D56" s="536">
        <f>IFERROR(IF('Invullen groen'!E69&gt;0,'Invullen groen'!D69,""),"")</f>
        <v/>
      </c>
      <c r="E56" s="536">
        <f>IFERROR(IF('Invullen groen'!E69&gt;0,'Invullen groen'!G69,""),"")</f>
        <v/>
      </c>
      <c r="F56" s="537">
        <f>IFERROR(IF('Invullen groen'!L69&lt;&gt;0,'Invullen groen'!L69,""),"")</f>
        <v/>
      </c>
      <c r="G56" s="537">
        <f>IFERROR(IF('Invullen groen'!M69&lt;&gt;0,'Invullen groen'!M69,""),"")</f>
        <v/>
      </c>
      <c r="H56" s="537">
        <f>IFERROR(IF('Invullen groen'!N69&lt;&gt;0,'Invullen groen'!N69,""),"")</f>
        <v/>
      </c>
      <c r="I56" s="537">
        <f>IFERROR(IF('Invullen groen'!O69&lt;&gt;0,'Invullen groen'!O69,""),"")</f>
        <v/>
      </c>
    </row>
    <row r="57" ht="15" customHeight="1">
      <c r="A57" s="534">
        <f>IFERROR(IF('Invullen groen'!E70&gt;0,70-17,""),"")</f>
        <v/>
      </c>
      <c r="B57" s="534">
        <f>IFERROR(IF('Invullen groen'!E70&gt;0,'Invullen groen'!A70,""),"")</f>
        <v/>
      </c>
      <c r="C57" s="534">
        <f>IFERROR(IF('Invullen groen'!E70&gt;0,'Invullen groen'!C70,""),"")</f>
        <v/>
      </c>
      <c r="D57" s="534">
        <f>IFERROR(IF('Invullen groen'!E70&gt;0,'Invullen groen'!D70,""),"")</f>
        <v/>
      </c>
      <c r="E57" s="534">
        <f>IFERROR(IF('Invullen groen'!E70&gt;0,'Invullen groen'!G70,""),"")</f>
        <v/>
      </c>
      <c r="F57" s="535">
        <f>IFERROR(IF('Invullen groen'!L70&lt;&gt;0,'Invullen groen'!L70,""),"")</f>
        <v/>
      </c>
      <c r="G57" s="535">
        <f>IFERROR(IF('Invullen groen'!M70&lt;&gt;0,'Invullen groen'!M70,""),"")</f>
        <v/>
      </c>
      <c r="H57" s="535">
        <f>IFERROR(IF('Invullen groen'!N70&lt;&gt;0,'Invullen groen'!N70,""),"")</f>
        <v/>
      </c>
      <c r="I57" s="535">
        <f>IFERROR(IF('Invullen groen'!O70&lt;&gt;0,'Invullen groen'!O70,""),"")</f>
        <v/>
      </c>
    </row>
    <row r="58" ht="15" customHeight="1">
      <c r="A58" s="536">
        <f>IFERROR(IF('Invullen groen'!E71&gt;0,71-17,""),"")</f>
        <v/>
      </c>
      <c r="B58" s="536">
        <f>IFERROR(IF('Invullen groen'!E71&gt;0,'Invullen groen'!A71,""),"")</f>
        <v/>
      </c>
      <c r="C58" s="536">
        <f>IFERROR(IF('Invullen groen'!E71&gt;0,'Invullen groen'!C71,""),"")</f>
        <v/>
      </c>
      <c r="D58" s="536">
        <f>IFERROR(IF('Invullen groen'!E71&gt;0,'Invullen groen'!D71,""),"")</f>
        <v/>
      </c>
      <c r="E58" s="536">
        <f>IFERROR(IF('Invullen groen'!E71&gt;0,'Invullen groen'!G71,""),"")</f>
        <v/>
      </c>
      <c r="F58" s="537">
        <f>IFERROR(IF('Invullen groen'!L71&lt;&gt;0,'Invullen groen'!L71,""),"")</f>
        <v/>
      </c>
      <c r="G58" s="537">
        <f>IFERROR(IF('Invullen groen'!M71&lt;&gt;0,'Invullen groen'!M71,""),"")</f>
        <v/>
      </c>
      <c r="H58" s="537">
        <f>IFERROR(IF('Invullen groen'!N71&lt;&gt;0,'Invullen groen'!N71,""),"")</f>
        <v/>
      </c>
      <c r="I58" s="537">
        <f>IFERROR(IF('Invullen groen'!O71&lt;&gt;0,'Invullen groen'!O71,""),"")</f>
        <v/>
      </c>
    </row>
    <row r="59" ht="15" customHeight="1">
      <c r="A59" s="534">
        <f>IFERROR(IF('Invullen groen'!E72&gt;0,72-17,""),"")</f>
        <v/>
      </c>
      <c r="B59" s="534">
        <f>IFERROR(IF('Invullen groen'!E72&gt;0,'Invullen groen'!A72,""),"")</f>
        <v/>
      </c>
      <c r="C59" s="534">
        <f>IFERROR(IF('Invullen groen'!E72&gt;0,'Invullen groen'!C72,""),"")</f>
        <v/>
      </c>
      <c r="D59" s="534">
        <f>IFERROR(IF('Invullen groen'!E72&gt;0,'Invullen groen'!D72,""),"")</f>
        <v/>
      </c>
      <c r="E59" s="534">
        <f>IFERROR(IF('Invullen groen'!E72&gt;0,'Invullen groen'!G72,""),"")</f>
        <v/>
      </c>
      <c r="F59" s="535">
        <f>IFERROR(IF('Invullen groen'!L72&lt;&gt;0,'Invullen groen'!L72,""),"")</f>
        <v/>
      </c>
      <c r="G59" s="535">
        <f>IFERROR(IF('Invullen groen'!M72&lt;&gt;0,'Invullen groen'!M72,""),"")</f>
        <v/>
      </c>
      <c r="H59" s="535">
        <f>IFERROR(IF('Invullen groen'!N72&lt;&gt;0,'Invullen groen'!N72,""),"")</f>
        <v/>
      </c>
      <c r="I59" s="535">
        <f>IFERROR(IF('Invullen groen'!O72&lt;&gt;0,'Invullen groen'!O72,""),"")</f>
        <v/>
      </c>
    </row>
    <row r="60" ht="15" customHeight="1">
      <c r="A60" s="536">
        <f>IFERROR(IF('Invullen groen'!E73&gt;0,73-17,""),"")</f>
        <v/>
      </c>
      <c r="B60" s="536">
        <f>IFERROR(IF('Invullen groen'!E73&gt;0,'Invullen groen'!A73,""),"")</f>
        <v/>
      </c>
      <c r="C60" s="536">
        <f>IFERROR(IF('Invullen groen'!E73&gt;0,'Invullen groen'!C73,""),"")</f>
        <v/>
      </c>
      <c r="D60" s="536">
        <f>IFERROR(IF('Invullen groen'!E73&gt;0,'Invullen groen'!D73,""),"")</f>
        <v/>
      </c>
      <c r="E60" s="536">
        <f>IFERROR(IF('Invullen groen'!E73&gt;0,'Invullen groen'!G73,""),"")</f>
        <v/>
      </c>
      <c r="F60" s="537">
        <f>IFERROR(IF('Invullen groen'!L73&lt;&gt;0,'Invullen groen'!L73,""),"")</f>
        <v/>
      </c>
      <c r="G60" s="537">
        <f>IFERROR(IF('Invullen groen'!M73&lt;&gt;0,'Invullen groen'!M73,""),"")</f>
        <v/>
      </c>
      <c r="H60" s="537">
        <f>IFERROR(IF('Invullen groen'!N73&lt;&gt;0,'Invullen groen'!N73,""),"")</f>
        <v/>
      </c>
      <c r="I60" s="537">
        <f>IFERROR(IF('Invullen groen'!O73&lt;&gt;0,'Invullen groen'!O73,""),"")</f>
        <v/>
      </c>
    </row>
    <row r="61" ht="15" customHeight="1">
      <c r="A61" s="534">
        <f>IFERROR(IF('Invullen groen'!E74&gt;0,74-17,""),"")</f>
        <v/>
      </c>
      <c r="B61" s="534">
        <f>IFERROR(IF('Invullen groen'!E74&gt;0,'Invullen groen'!A74,""),"")</f>
        <v/>
      </c>
      <c r="C61" s="534">
        <f>IFERROR(IF('Invullen groen'!E74&gt;0,'Invullen groen'!C74,""),"")</f>
        <v/>
      </c>
      <c r="D61" s="534">
        <f>IFERROR(IF('Invullen groen'!E74&gt;0,'Invullen groen'!D74,""),"")</f>
        <v/>
      </c>
      <c r="E61" s="534">
        <f>IFERROR(IF('Invullen groen'!E74&gt;0,'Invullen groen'!G74,""),"")</f>
        <v/>
      </c>
      <c r="F61" s="535">
        <f>IFERROR(IF('Invullen groen'!L74&lt;&gt;0,'Invullen groen'!L74,""),"")</f>
        <v/>
      </c>
      <c r="G61" s="535">
        <f>IFERROR(IF('Invullen groen'!M74&lt;&gt;0,'Invullen groen'!M74,""),"")</f>
        <v/>
      </c>
      <c r="H61" s="535">
        <f>IFERROR(IF('Invullen groen'!N74&lt;&gt;0,'Invullen groen'!N74,""),"")</f>
        <v/>
      </c>
      <c r="I61" s="535">
        <f>IFERROR(IF('Invullen groen'!O74&lt;&gt;0,'Invullen groen'!O74,""),"")</f>
        <v/>
      </c>
    </row>
    <row r="62" ht="15" customHeight="1">
      <c r="A62" s="536">
        <f>IFERROR(IF('Invullen groen'!E75&gt;0,75-17,""),"")</f>
        <v/>
      </c>
      <c r="B62" s="536">
        <f>IFERROR(IF('Invullen groen'!E75&gt;0,'Invullen groen'!A75,""),"")</f>
        <v/>
      </c>
      <c r="C62" s="536">
        <f>IFERROR(IF('Invullen groen'!E75&gt;0,'Invullen groen'!C75,""),"")</f>
        <v/>
      </c>
      <c r="D62" s="536">
        <f>IFERROR(IF('Invullen groen'!E75&gt;0,'Invullen groen'!D75,""),"")</f>
        <v/>
      </c>
      <c r="E62" s="536">
        <f>IFERROR(IF('Invullen groen'!E75&gt;0,'Invullen groen'!G75,""),"")</f>
        <v/>
      </c>
      <c r="F62" s="537">
        <f>IFERROR(IF('Invullen groen'!L75&lt;&gt;0,'Invullen groen'!L75,""),"")</f>
        <v/>
      </c>
      <c r="G62" s="537">
        <f>IFERROR(IF('Invullen groen'!M75&lt;&gt;0,'Invullen groen'!M75,""),"")</f>
        <v/>
      </c>
      <c r="H62" s="537">
        <f>IFERROR(IF('Invullen groen'!N75&lt;&gt;0,'Invullen groen'!N75,""),"")</f>
        <v/>
      </c>
      <c r="I62" s="537">
        <f>IFERROR(IF('Invullen groen'!O75&lt;&gt;0,'Invullen groen'!O75,""),"")</f>
        <v/>
      </c>
    </row>
    <row r="63" ht="15" customHeight="1">
      <c r="A63" s="534">
        <f>IFERROR(IF('Invullen groen'!E76&gt;0,76-17,""),"")</f>
        <v/>
      </c>
      <c r="B63" s="534">
        <f>IFERROR(IF('Invullen groen'!E76&gt;0,'Invullen groen'!A76,""),"")</f>
        <v/>
      </c>
      <c r="C63" s="534">
        <f>IFERROR(IF('Invullen groen'!E76&gt;0,'Invullen groen'!C76,""),"")</f>
        <v/>
      </c>
      <c r="D63" s="534">
        <f>IFERROR(IF('Invullen groen'!E76&gt;0,'Invullen groen'!D76,""),"")</f>
        <v/>
      </c>
      <c r="E63" s="534">
        <f>IFERROR(IF('Invullen groen'!E76&gt;0,'Invullen groen'!G76,""),"")</f>
        <v/>
      </c>
      <c r="F63" s="535">
        <f>IFERROR(IF('Invullen groen'!L76&lt;&gt;0,'Invullen groen'!L76,""),"")</f>
        <v/>
      </c>
      <c r="G63" s="535">
        <f>IFERROR(IF('Invullen groen'!M76&lt;&gt;0,'Invullen groen'!M76,""),"")</f>
        <v/>
      </c>
      <c r="H63" s="535">
        <f>IFERROR(IF('Invullen groen'!N76&lt;&gt;0,'Invullen groen'!N76,""),"")</f>
        <v/>
      </c>
      <c r="I63" s="535">
        <f>IFERROR(IF('Invullen groen'!O76&lt;&gt;0,'Invullen groen'!O76,""),"")</f>
        <v/>
      </c>
    </row>
    <row r="64" ht="15" customHeight="1">
      <c r="A64" s="536">
        <f>IFERROR(IF('Invullen groen'!E77&gt;0,77-17,""),"")</f>
        <v/>
      </c>
      <c r="B64" s="536">
        <f>IFERROR(IF('Invullen groen'!E77&gt;0,'Invullen groen'!A77,""),"")</f>
        <v/>
      </c>
      <c r="C64" s="536">
        <f>IFERROR(IF('Invullen groen'!E77&gt;0,'Invullen groen'!C77,""),"")</f>
        <v/>
      </c>
      <c r="D64" s="536">
        <f>IFERROR(IF('Invullen groen'!E77&gt;0,'Invullen groen'!D77,""),"")</f>
        <v/>
      </c>
      <c r="E64" s="536">
        <f>IFERROR(IF('Invullen groen'!E77&gt;0,'Invullen groen'!G77,""),"")</f>
        <v/>
      </c>
      <c r="F64" s="537">
        <f>IFERROR(IF('Invullen groen'!L77&lt;&gt;0,'Invullen groen'!L77,""),"")</f>
        <v/>
      </c>
      <c r="G64" s="537">
        <f>IFERROR(IF('Invullen groen'!M77&lt;&gt;0,'Invullen groen'!M77,""),"")</f>
        <v/>
      </c>
      <c r="H64" s="537">
        <f>IFERROR(IF('Invullen groen'!N77&lt;&gt;0,'Invullen groen'!N77,""),"")</f>
        <v/>
      </c>
      <c r="I64" s="537">
        <f>IFERROR(IF('Invullen groen'!O77&lt;&gt;0,'Invullen groen'!O77,""),"")</f>
        <v/>
      </c>
    </row>
    <row r="65" ht="15" customHeight="1">
      <c r="A65" s="534">
        <f>IFERROR(IF('Invullen groen'!E78&gt;0,78-17,""),"")</f>
        <v/>
      </c>
      <c r="B65" s="534">
        <f>IFERROR(IF('Invullen groen'!E78&gt;0,'Invullen groen'!A78,""),"")</f>
        <v/>
      </c>
      <c r="C65" s="534">
        <f>IFERROR(IF('Invullen groen'!E78&gt;0,'Invullen groen'!C78,""),"")</f>
        <v/>
      </c>
      <c r="D65" s="534">
        <f>IFERROR(IF('Invullen groen'!E78&gt;0,'Invullen groen'!D78,""),"")</f>
        <v/>
      </c>
      <c r="E65" s="534">
        <f>IFERROR(IF('Invullen groen'!E78&gt;0,'Invullen groen'!G78,""),"")</f>
        <v/>
      </c>
      <c r="F65" s="535">
        <f>IFERROR(IF('Invullen groen'!L78&lt;&gt;0,'Invullen groen'!L78,""),"")</f>
        <v/>
      </c>
      <c r="G65" s="535">
        <f>IFERROR(IF('Invullen groen'!M78&lt;&gt;0,'Invullen groen'!M78,""),"")</f>
        <v/>
      </c>
      <c r="H65" s="535">
        <f>IFERROR(IF('Invullen groen'!N78&lt;&gt;0,'Invullen groen'!N78,""),"")</f>
        <v/>
      </c>
      <c r="I65" s="535">
        <f>IFERROR(IF('Invullen groen'!O78&lt;&gt;0,'Invullen groen'!O78,""),"")</f>
        <v/>
      </c>
    </row>
    <row r="66" ht="15" customHeight="1">
      <c r="A66" s="536">
        <f>IFERROR(IF('Invullen groen'!E79&gt;0,79-17,""),"")</f>
        <v/>
      </c>
      <c r="B66" s="536">
        <f>IFERROR(IF('Invullen groen'!E79&gt;0,'Invullen groen'!A79,""),"")</f>
        <v/>
      </c>
      <c r="C66" s="536">
        <f>IFERROR(IF('Invullen groen'!E79&gt;0,'Invullen groen'!C79,""),"")</f>
        <v/>
      </c>
      <c r="D66" s="536">
        <f>IFERROR(IF('Invullen groen'!E79&gt;0,'Invullen groen'!D79,""),"")</f>
        <v/>
      </c>
      <c r="E66" s="536">
        <f>IFERROR(IF('Invullen groen'!E79&gt;0,'Invullen groen'!G79,""),"")</f>
        <v/>
      </c>
      <c r="F66" s="537">
        <f>IFERROR(IF('Invullen groen'!L79&lt;&gt;0,'Invullen groen'!L79,""),"")</f>
        <v/>
      </c>
      <c r="G66" s="537">
        <f>IFERROR(IF('Invullen groen'!M79&lt;&gt;0,'Invullen groen'!M79,""),"")</f>
        <v/>
      </c>
      <c r="H66" s="537">
        <f>IFERROR(IF('Invullen groen'!N79&lt;&gt;0,'Invullen groen'!N79,""),"")</f>
        <v/>
      </c>
      <c r="I66" s="537">
        <f>IFERROR(IF('Invullen groen'!O79&lt;&gt;0,'Invullen groen'!O79,""),"")</f>
        <v/>
      </c>
    </row>
    <row r="67" ht="15" customHeight="1">
      <c r="A67" s="534">
        <f>IFERROR(IF('Invullen groen'!E80&gt;0,80-17,""),"")</f>
        <v/>
      </c>
      <c r="B67" s="534">
        <f>IFERROR(IF('Invullen groen'!E80&gt;0,'Invullen groen'!A80,""),"")</f>
        <v/>
      </c>
      <c r="C67" s="534">
        <f>IFERROR(IF('Invullen groen'!E80&gt;0,'Invullen groen'!C80,""),"")</f>
        <v/>
      </c>
      <c r="D67" s="534">
        <f>IFERROR(IF('Invullen groen'!E80&gt;0,'Invullen groen'!D80,""),"")</f>
        <v/>
      </c>
      <c r="E67" s="534">
        <f>IFERROR(IF('Invullen groen'!E80&gt;0,'Invullen groen'!G80,""),"")</f>
        <v/>
      </c>
      <c r="F67" s="535">
        <f>IFERROR(IF('Invullen groen'!L80&lt;&gt;0,'Invullen groen'!L80,""),"")</f>
        <v/>
      </c>
      <c r="G67" s="535">
        <f>IFERROR(IF('Invullen groen'!M80&lt;&gt;0,'Invullen groen'!M80,""),"")</f>
        <v/>
      </c>
      <c r="H67" s="535">
        <f>IFERROR(IF('Invullen groen'!N80&lt;&gt;0,'Invullen groen'!N80,""),"")</f>
        <v/>
      </c>
      <c r="I67" s="535">
        <f>IFERROR(IF('Invullen groen'!O80&lt;&gt;0,'Invullen groen'!O80,""),"")</f>
        <v/>
      </c>
    </row>
    <row r="68" ht="15" customHeight="1">
      <c r="A68" s="536">
        <f>IFERROR(IF('Invullen groen'!E81&gt;0,81-17,""),"")</f>
        <v/>
      </c>
      <c r="B68" s="536">
        <f>IFERROR(IF('Invullen groen'!E81&gt;0,'Invullen groen'!A81,""),"")</f>
        <v/>
      </c>
      <c r="C68" s="536">
        <f>IFERROR(IF('Invullen groen'!E81&gt;0,'Invullen groen'!C81,""),"")</f>
        <v/>
      </c>
      <c r="D68" s="536">
        <f>IFERROR(IF('Invullen groen'!E81&gt;0,'Invullen groen'!D81,""),"")</f>
        <v/>
      </c>
      <c r="E68" s="536">
        <f>IFERROR(IF('Invullen groen'!E81&gt;0,'Invullen groen'!G81,""),"")</f>
        <v/>
      </c>
      <c r="F68" s="537">
        <f>IFERROR(IF('Invullen groen'!L81&lt;&gt;0,'Invullen groen'!L81,""),"")</f>
        <v/>
      </c>
      <c r="G68" s="537">
        <f>IFERROR(IF('Invullen groen'!M81&lt;&gt;0,'Invullen groen'!M81,""),"")</f>
        <v/>
      </c>
      <c r="H68" s="537">
        <f>IFERROR(IF('Invullen groen'!N81&lt;&gt;0,'Invullen groen'!N81,""),"")</f>
        <v/>
      </c>
      <c r="I68" s="537">
        <f>IFERROR(IF('Invullen groen'!O81&lt;&gt;0,'Invullen groen'!O81,""),"")</f>
        <v/>
      </c>
    </row>
    <row r="69" ht="15" customHeight="1">
      <c r="A69" s="534">
        <f>IFERROR(IF('Invullen groen'!E82&gt;0,82-17,""),"")</f>
        <v/>
      </c>
      <c r="B69" s="534">
        <f>IFERROR(IF('Invullen groen'!E82&gt;0,'Invullen groen'!A82,""),"")</f>
        <v/>
      </c>
      <c r="C69" s="534">
        <f>IFERROR(IF('Invullen groen'!E82&gt;0,'Invullen groen'!C82,""),"")</f>
        <v/>
      </c>
      <c r="D69" s="534">
        <f>IFERROR(IF('Invullen groen'!E82&gt;0,'Invullen groen'!D82,""),"")</f>
        <v/>
      </c>
      <c r="E69" s="534">
        <f>IFERROR(IF('Invullen groen'!E82&gt;0,'Invullen groen'!G82,""),"")</f>
        <v/>
      </c>
      <c r="F69" s="535">
        <f>IFERROR(IF('Invullen groen'!L82&lt;&gt;0,'Invullen groen'!L82,""),"")</f>
        <v/>
      </c>
      <c r="G69" s="535">
        <f>IFERROR(IF('Invullen groen'!M82&lt;&gt;0,'Invullen groen'!M82,""),"")</f>
        <v/>
      </c>
      <c r="H69" s="535">
        <f>IFERROR(IF('Invullen groen'!N82&lt;&gt;0,'Invullen groen'!N82,""),"")</f>
        <v/>
      </c>
      <c r="I69" s="535">
        <f>IFERROR(IF('Invullen groen'!O82&lt;&gt;0,'Invullen groen'!O82,""),"")</f>
        <v/>
      </c>
    </row>
    <row r="70" ht="15" customHeight="1">
      <c r="A70" s="536">
        <f>IFERROR(IF('Invullen groen'!E83&gt;0,83-17,""),"")</f>
        <v/>
      </c>
      <c r="B70" s="536">
        <f>IFERROR(IF('Invullen groen'!E83&gt;0,'Invullen groen'!A83,""),"")</f>
        <v/>
      </c>
      <c r="C70" s="536">
        <f>IFERROR(IF('Invullen groen'!E83&gt;0,'Invullen groen'!C83,""),"")</f>
        <v/>
      </c>
      <c r="D70" s="536">
        <f>IFERROR(IF('Invullen groen'!E83&gt;0,'Invullen groen'!D83,""),"")</f>
        <v/>
      </c>
      <c r="E70" s="536">
        <f>IFERROR(IF('Invullen groen'!E83&gt;0,'Invullen groen'!G83,""),"")</f>
        <v/>
      </c>
      <c r="F70" s="537">
        <f>IFERROR(IF('Invullen groen'!L83&lt;&gt;0,'Invullen groen'!L83,""),"")</f>
        <v/>
      </c>
      <c r="G70" s="537">
        <f>IFERROR(IF('Invullen groen'!M83&lt;&gt;0,'Invullen groen'!M83,""),"")</f>
        <v/>
      </c>
      <c r="H70" s="537">
        <f>IFERROR(IF('Invullen groen'!N83&lt;&gt;0,'Invullen groen'!N83,""),"")</f>
        <v/>
      </c>
      <c r="I70" s="537">
        <f>IFERROR(IF('Invullen groen'!O83&lt;&gt;0,'Invullen groen'!O83,""),"")</f>
        <v/>
      </c>
    </row>
    <row r="71" ht="15" customHeight="1">
      <c r="A71" s="534">
        <f>IFERROR(IF('Invullen groen'!E84&gt;0,84-17,""),"")</f>
        <v/>
      </c>
      <c r="B71" s="534">
        <f>IFERROR(IF('Invullen groen'!E84&gt;0,'Invullen groen'!A84,""),"")</f>
        <v/>
      </c>
      <c r="C71" s="534">
        <f>IFERROR(IF('Invullen groen'!E84&gt;0,'Invullen groen'!C84,""),"")</f>
        <v/>
      </c>
      <c r="D71" s="534">
        <f>IFERROR(IF('Invullen groen'!E84&gt;0,'Invullen groen'!D84,""),"")</f>
        <v/>
      </c>
      <c r="E71" s="534">
        <f>IFERROR(IF('Invullen groen'!E84&gt;0,'Invullen groen'!G84,""),"")</f>
        <v/>
      </c>
      <c r="F71" s="535">
        <f>IFERROR(IF('Invullen groen'!L84&lt;&gt;0,'Invullen groen'!L84,""),"")</f>
        <v/>
      </c>
      <c r="G71" s="535">
        <f>IFERROR(IF('Invullen groen'!M84&lt;&gt;0,'Invullen groen'!M84,""),"")</f>
        <v/>
      </c>
      <c r="H71" s="535">
        <f>IFERROR(IF('Invullen groen'!N84&lt;&gt;0,'Invullen groen'!N84,""),"")</f>
        <v/>
      </c>
      <c r="I71" s="535">
        <f>IFERROR(IF('Invullen groen'!O84&lt;&gt;0,'Invullen groen'!O84,""),"")</f>
        <v/>
      </c>
    </row>
    <row r="72" ht="15" customHeight="1">
      <c r="A72" s="536">
        <f>IFERROR(IF('Invullen groen'!E85&gt;0,85-17,""),"")</f>
        <v/>
      </c>
      <c r="B72" s="536">
        <f>IFERROR(IF('Invullen groen'!E85&gt;0,'Invullen groen'!A85,""),"")</f>
        <v/>
      </c>
      <c r="C72" s="536">
        <f>IFERROR(IF('Invullen groen'!E85&gt;0,'Invullen groen'!C85,""),"")</f>
        <v/>
      </c>
      <c r="D72" s="536">
        <f>IFERROR(IF('Invullen groen'!E85&gt;0,'Invullen groen'!D85,""),"")</f>
        <v/>
      </c>
      <c r="E72" s="536">
        <f>IFERROR(IF('Invullen groen'!E85&gt;0,'Invullen groen'!G85,""),"")</f>
        <v/>
      </c>
      <c r="F72" s="537">
        <f>IFERROR(IF('Invullen groen'!L85&lt;&gt;0,'Invullen groen'!L85,""),"")</f>
        <v/>
      </c>
      <c r="G72" s="537">
        <f>IFERROR(IF('Invullen groen'!M85&lt;&gt;0,'Invullen groen'!M85,""),"")</f>
        <v/>
      </c>
      <c r="H72" s="537">
        <f>IFERROR(IF('Invullen groen'!N85&lt;&gt;0,'Invullen groen'!N85,""),"")</f>
        <v/>
      </c>
      <c r="I72" s="537">
        <f>IFERROR(IF('Invullen groen'!O85&lt;&gt;0,'Invullen groen'!O85,""),"")</f>
        <v/>
      </c>
    </row>
    <row r="73" ht="15" customHeight="1">
      <c r="A73" s="534">
        <f>IFERROR(IF('Invullen groen'!E86&gt;0,86-17,""),"")</f>
        <v/>
      </c>
      <c r="B73" s="534">
        <f>IFERROR(IF('Invullen groen'!E86&gt;0,'Invullen groen'!A86,""),"")</f>
        <v/>
      </c>
      <c r="C73" s="534">
        <f>IFERROR(IF('Invullen groen'!E86&gt;0,'Invullen groen'!C86,""),"")</f>
        <v/>
      </c>
      <c r="D73" s="534">
        <f>IFERROR(IF('Invullen groen'!E86&gt;0,'Invullen groen'!D86,""),"")</f>
        <v/>
      </c>
      <c r="E73" s="534">
        <f>IFERROR(IF('Invullen groen'!E86&gt;0,'Invullen groen'!G86,""),"")</f>
        <v/>
      </c>
      <c r="F73" s="535">
        <f>IFERROR(IF('Invullen groen'!L86&lt;&gt;0,'Invullen groen'!L86,""),"")</f>
        <v/>
      </c>
      <c r="G73" s="535">
        <f>IFERROR(IF('Invullen groen'!M86&lt;&gt;0,'Invullen groen'!M86,""),"")</f>
        <v/>
      </c>
      <c r="H73" s="535">
        <f>IFERROR(IF('Invullen groen'!N86&lt;&gt;0,'Invullen groen'!N86,""),"")</f>
        <v/>
      </c>
      <c r="I73" s="535">
        <f>IFERROR(IF('Invullen groen'!O86&lt;&gt;0,'Invullen groen'!O86,""),"")</f>
        <v/>
      </c>
    </row>
    <row r="74" ht="15" customHeight="1">
      <c r="A74" s="536">
        <f>IFERROR(IF('Invullen groen'!E87&gt;0,87-17,""),"")</f>
        <v/>
      </c>
      <c r="B74" s="536">
        <f>IFERROR(IF('Invullen groen'!E87&gt;0,'Invullen groen'!A87,""),"")</f>
        <v/>
      </c>
      <c r="C74" s="536">
        <f>IFERROR(IF('Invullen groen'!E87&gt;0,'Invullen groen'!C87,""),"")</f>
        <v/>
      </c>
      <c r="D74" s="536">
        <f>IFERROR(IF('Invullen groen'!E87&gt;0,'Invullen groen'!D87,""),"")</f>
        <v/>
      </c>
      <c r="E74" s="536">
        <f>IFERROR(IF('Invullen groen'!E87&gt;0,'Invullen groen'!G87,""),"")</f>
        <v/>
      </c>
      <c r="F74" s="537">
        <f>IFERROR(IF('Invullen groen'!L87&lt;&gt;0,'Invullen groen'!L87,""),"")</f>
        <v/>
      </c>
      <c r="G74" s="537">
        <f>IFERROR(IF('Invullen groen'!M87&lt;&gt;0,'Invullen groen'!M87,""),"")</f>
        <v/>
      </c>
      <c r="H74" s="537">
        <f>IFERROR(IF('Invullen groen'!N87&lt;&gt;0,'Invullen groen'!N87,""),"")</f>
        <v/>
      </c>
      <c r="I74" s="537">
        <f>IFERROR(IF('Invullen groen'!O87&lt;&gt;0,'Invullen groen'!O87,""),"")</f>
        <v/>
      </c>
    </row>
    <row r="75" ht="15" customHeight="1">
      <c r="A75" s="534">
        <f>IFERROR(IF('Invullen groen'!E88&gt;0,88-17,""),"")</f>
        <v/>
      </c>
      <c r="B75" s="534">
        <f>IFERROR(IF('Invullen groen'!E88&gt;0,'Invullen groen'!A88,""),"")</f>
        <v/>
      </c>
      <c r="C75" s="534">
        <f>IFERROR(IF('Invullen groen'!E88&gt;0,'Invullen groen'!C88,""),"")</f>
        <v/>
      </c>
      <c r="D75" s="534">
        <f>IFERROR(IF('Invullen groen'!E88&gt;0,'Invullen groen'!D88,""),"")</f>
        <v/>
      </c>
      <c r="E75" s="534">
        <f>IFERROR(IF('Invullen groen'!E88&gt;0,'Invullen groen'!G88,""),"")</f>
        <v/>
      </c>
      <c r="F75" s="535">
        <f>IFERROR(IF('Invullen groen'!L88&lt;&gt;0,'Invullen groen'!L88,""),"")</f>
        <v/>
      </c>
      <c r="G75" s="535">
        <f>IFERROR(IF('Invullen groen'!M88&lt;&gt;0,'Invullen groen'!M88,""),"")</f>
        <v/>
      </c>
      <c r="H75" s="535">
        <f>IFERROR(IF('Invullen groen'!N88&lt;&gt;0,'Invullen groen'!N88,""),"")</f>
        <v/>
      </c>
      <c r="I75" s="535">
        <f>IFERROR(IF('Invullen groen'!O88&lt;&gt;0,'Invullen groen'!O88,""),"")</f>
        <v/>
      </c>
    </row>
    <row r="76" ht="15" customHeight="1">
      <c r="A76" s="536">
        <f>IFERROR(IF('Invullen groen'!E89&gt;0,89-17,""),"")</f>
        <v/>
      </c>
      <c r="B76" s="536">
        <f>IFERROR(IF('Invullen groen'!E89&gt;0,'Invullen groen'!A89,""),"")</f>
        <v/>
      </c>
      <c r="C76" s="536">
        <f>IFERROR(IF('Invullen groen'!E89&gt;0,'Invullen groen'!C89,""),"")</f>
        <v/>
      </c>
      <c r="D76" s="536">
        <f>IFERROR(IF('Invullen groen'!E89&gt;0,'Invullen groen'!D89,""),"")</f>
        <v/>
      </c>
      <c r="E76" s="536">
        <f>IFERROR(IF('Invullen groen'!E89&gt;0,'Invullen groen'!G89,""),"")</f>
        <v/>
      </c>
      <c r="F76" s="537">
        <f>IFERROR(IF('Invullen groen'!L89&lt;&gt;0,'Invullen groen'!L89,""),"")</f>
        <v/>
      </c>
      <c r="G76" s="537">
        <f>IFERROR(IF('Invullen groen'!M89&lt;&gt;0,'Invullen groen'!M89,""),"")</f>
        <v/>
      </c>
      <c r="H76" s="537">
        <f>IFERROR(IF('Invullen groen'!N89&lt;&gt;0,'Invullen groen'!N89,""),"")</f>
        <v/>
      </c>
      <c r="I76" s="537">
        <f>IFERROR(IF('Invullen groen'!O89&lt;&gt;0,'Invullen groen'!O89,""),"")</f>
        <v/>
      </c>
    </row>
    <row r="77" ht="15" customHeight="1">
      <c r="A77" s="534">
        <f>IFERROR(IF('Invullen groen'!E90&gt;0,90-17,""),"")</f>
        <v/>
      </c>
      <c r="B77" s="534">
        <f>IFERROR(IF('Invullen groen'!E90&gt;0,'Invullen groen'!A90,""),"")</f>
        <v/>
      </c>
      <c r="C77" s="534">
        <f>IFERROR(IF('Invullen groen'!E90&gt;0,'Invullen groen'!C90,""),"")</f>
        <v/>
      </c>
      <c r="D77" s="534">
        <f>IFERROR(IF('Invullen groen'!E90&gt;0,'Invullen groen'!D90,""),"")</f>
        <v/>
      </c>
      <c r="E77" s="534">
        <f>IFERROR(IF('Invullen groen'!E90&gt;0,'Invullen groen'!G90,""),"")</f>
        <v/>
      </c>
      <c r="F77" s="535">
        <f>IFERROR(IF('Invullen groen'!L90&lt;&gt;0,'Invullen groen'!L90,""),"")</f>
        <v/>
      </c>
      <c r="G77" s="535">
        <f>IFERROR(IF('Invullen groen'!M90&lt;&gt;0,'Invullen groen'!M90,""),"")</f>
        <v/>
      </c>
      <c r="H77" s="535">
        <f>IFERROR(IF('Invullen groen'!N90&lt;&gt;0,'Invullen groen'!N90,""),"")</f>
        <v/>
      </c>
      <c r="I77" s="535">
        <f>IFERROR(IF('Invullen groen'!O90&lt;&gt;0,'Invullen groen'!O90,""),"")</f>
        <v/>
      </c>
    </row>
    <row r="78" ht="15" customHeight="1">
      <c r="A78" s="536">
        <f>IFERROR(IF('Invullen groen'!E91&gt;0,91-17,""),"")</f>
        <v/>
      </c>
      <c r="B78" s="536">
        <f>IFERROR(IF('Invullen groen'!E91&gt;0,'Invullen groen'!A91,""),"")</f>
        <v/>
      </c>
      <c r="C78" s="536">
        <f>IFERROR(IF('Invullen groen'!E91&gt;0,'Invullen groen'!C91,""),"")</f>
        <v/>
      </c>
      <c r="D78" s="536">
        <f>IFERROR(IF('Invullen groen'!E91&gt;0,'Invullen groen'!D91,""),"")</f>
        <v/>
      </c>
      <c r="E78" s="536">
        <f>IFERROR(IF('Invullen groen'!E91&gt;0,'Invullen groen'!G91,""),"")</f>
        <v/>
      </c>
      <c r="F78" s="537">
        <f>IFERROR(IF('Invullen groen'!L91&lt;&gt;0,'Invullen groen'!L91,""),"")</f>
        <v/>
      </c>
      <c r="G78" s="537">
        <f>IFERROR(IF('Invullen groen'!M91&lt;&gt;0,'Invullen groen'!M91,""),"")</f>
        <v/>
      </c>
      <c r="H78" s="537">
        <f>IFERROR(IF('Invullen groen'!N91&lt;&gt;0,'Invullen groen'!N91,""),"")</f>
        <v/>
      </c>
      <c r="I78" s="537">
        <f>IFERROR(IF('Invullen groen'!O91&lt;&gt;0,'Invullen groen'!O91,""),"")</f>
        <v/>
      </c>
    </row>
    <row r="79" ht="15" customHeight="1">
      <c r="A79" s="534">
        <f>IFERROR(IF('Invullen groen'!E92&gt;0,92-17,""),"")</f>
        <v/>
      </c>
      <c r="B79" s="534">
        <f>IFERROR(IF('Invullen groen'!E92&gt;0,'Invullen groen'!A92,""),"")</f>
        <v/>
      </c>
      <c r="C79" s="534">
        <f>IFERROR(IF('Invullen groen'!E92&gt;0,'Invullen groen'!C92,""),"")</f>
        <v/>
      </c>
      <c r="D79" s="534">
        <f>IFERROR(IF('Invullen groen'!E92&gt;0,'Invullen groen'!D92,""),"")</f>
        <v/>
      </c>
      <c r="E79" s="534">
        <f>IFERROR(IF('Invullen groen'!E92&gt;0,'Invullen groen'!G92,""),"")</f>
        <v/>
      </c>
      <c r="F79" s="535">
        <f>IFERROR(IF('Invullen groen'!L92&lt;&gt;0,'Invullen groen'!L92,""),"")</f>
        <v/>
      </c>
      <c r="G79" s="535">
        <f>IFERROR(IF('Invullen groen'!M92&lt;&gt;0,'Invullen groen'!M92,""),"")</f>
        <v/>
      </c>
      <c r="H79" s="535">
        <f>IFERROR(IF('Invullen groen'!N92&lt;&gt;0,'Invullen groen'!N92,""),"")</f>
        <v/>
      </c>
      <c r="I79" s="535">
        <f>IFERROR(IF('Invullen groen'!O92&lt;&gt;0,'Invullen groen'!O92,""),"")</f>
        <v/>
      </c>
    </row>
    <row r="80" ht="15" customHeight="1">
      <c r="A80" s="536">
        <f>IFERROR(IF('Invullen groen'!E93&gt;0,93-17,""),"")</f>
        <v/>
      </c>
      <c r="B80" s="536">
        <f>IFERROR(IF('Invullen groen'!E93&gt;0,'Invullen groen'!A93,""),"")</f>
        <v/>
      </c>
      <c r="C80" s="536">
        <f>IFERROR(IF('Invullen groen'!E93&gt;0,'Invullen groen'!C93,""),"")</f>
        <v/>
      </c>
      <c r="D80" s="536">
        <f>IFERROR(IF('Invullen groen'!E93&gt;0,'Invullen groen'!D93,""),"")</f>
        <v/>
      </c>
      <c r="E80" s="536">
        <f>IFERROR(IF('Invullen groen'!E93&gt;0,'Invullen groen'!G93,""),"")</f>
        <v/>
      </c>
      <c r="F80" s="537">
        <f>IFERROR(IF('Invullen groen'!L93&lt;&gt;0,'Invullen groen'!L93,""),"")</f>
        <v/>
      </c>
      <c r="G80" s="537">
        <f>IFERROR(IF('Invullen groen'!M93&lt;&gt;0,'Invullen groen'!M93,""),"")</f>
        <v/>
      </c>
      <c r="H80" s="537">
        <f>IFERROR(IF('Invullen groen'!N93&lt;&gt;0,'Invullen groen'!N93,""),"")</f>
        <v/>
      </c>
      <c r="I80" s="537">
        <f>IFERROR(IF('Invullen groen'!O93&lt;&gt;0,'Invullen groen'!O93,""),"")</f>
        <v/>
      </c>
    </row>
    <row r="81" ht="15" customHeight="1">
      <c r="A81" s="534">
        <f>IFERROR(IF('Invullen groen'!E94&gt;0,94-17,""),"")</f>
        <v/>
      </c>
      <c r="B81" s="534">
        <f>IFERROR(IF('Invullen groen'!E94&gt;0,'Invullen groen'!A94,""),"")</f>
        <v/>
      </c>
      <c r="C81" s="534">
        <f>IFERROR(IF('Invullen groen'!E94&gt;0,'Invullen groen'!C94,""),"")</f>
        <v/>
      </c>
      <c r="D81" s="534">
        <f>IFERROR(IF('Invullen groen'!E94&gt;0,'Invullen groen'!D94,""),"")</f>
        <v/>
      </c>
      <c r="E81" s="534">
        <f>IFERROR(IF('Invullen groen'!E94&gt;0,'Invullen groen'!G94,""),"")</f>
        <v/>
      </c>
      <c r="F81" s="535">
        <f>IFERROR(IF('Invullen groen'!L94&lt;&gt;0,'Invullen groen'!L94,""),"")</f>
        <v/>
      </c>
      <c r="G81" s="535">
        <f>IFERROR(IF('Invullen groen'!M94&lt;&gt;0,'Invullen groen'!M94,""),"")</f>
        <v/>
      </c>
      <c r="H81" s="535">
        <f>IFERROR(IF('Invullen groen'!N94&lt;&gt;0,'Invullen groen'!N94,""),"")</f>
        <v/>
      </c>
      <c r="I81" s="535">
        <f>IFERROR(IF('Invullen groen'!O94&lt;&gt;0,'Invullen groen'!O94,""),"")</f>
        <v/>
      </c>
    </row>
    <row r="82" ht="15" customHeight="1">
      <c r="A82" s="536">
        <f>IFERROR(IF('Invullen groen'!E95&gt;0,95-17,""),"")</f>
        <v/>
      </c>
      <c r="B82" s="536">
        <f>IFERROR(IF('Invullen groen'!E95&gt;0,'Invullen groen'!A95,""),"")</f>
        <v/>
      </c>
      <c r="C82" s="536">
        <f>IFERROR(IF('Invullen groen'!E95&gt;0,'Invullen groen'!C95,""),"")</f>
        <v/>
      </c>
      <c r="D82" s="536">
        <f>IFERROR(IF('Invullen groen'!E95&gt;0,'Invullen groen'!D95,""),"")</f>
        <v/>
      </c>
      <c r="E82" s="536">
        <f>IFERROR(IF('Invullen groen'!E95&gt;0,'Invullen groen'!G95,""),"")</f>
        <v/>
      </c>
      <c r="F82" s="537">
        <f>IFERROR(IF('Invullen groen'!L95&lt;&gt;0,'Invullen groen'!L95,""),"")</f>
        <v/>
      </c>
      <c r="G82" s="537">
        <f>IFERROR(IF('Invullen groen'!M95&lt;&gt;0,'Invullen groen'!M95,""),"")</f>
        <v/>
      </c>
      <c r="H82" s="537">
        <f>IFERROR(IF('Invullen groen'!N95&lt;&gt;0,'Invullen groen'!N95,""),"")</f>
        <v/>
      </c>
      <c r="I82" s="537">
        <f>IFERROR(IF('Invullen groen'!O95&lt;&gt;0,'Invullen groen'!O95,""),"")</f>
        <v/>
      </c>
    </row>
    <row r="83" ht="15" customHeight="1">
      <c r="A83" s="534">
        <f>IFERROR(IF('Invullen groen'!E96&gt;0,96-17,""),"")</f>
        <v/>
      </c>
      <c r="B83" s="534">
        <f>IFERROR(IF('Invullen groen'!E96&gt;0,'Invullen groen'!A96,""),"")</f>
        <v/>
      </c>
      <c r="C83" s="534">
        <f>IFERROR(IF('Invullen groen'!E96&gt;0,'Invullen groen'!C96,""),"")</f>
        <v/>
      </c>
      <c r="D83" s="534">
        <f>IFERROR(IF('Invullen groen'!E96&gt;0,'Invullen groen'!D96,""),"")</f>
        <v/>
      </c>
      <c r="E83" s="534">
        <f>IFERROR(IF('Invullen groen'!E96&gt;0,'Invullen groen'!G96,""),"")</f>
        <v/>
      </c>
      <c r="F83" s="535">
        <f>IFERROR(IF('Invullen groen'!L96&lt;&gt;0,'Invullen groen'!L96,""),"")</f>
        <v/>
      </c>
      <c r="G83" s="535">
        <f>IFERROR(IF('Invullen groen'!M96&lt;&gt;0,'Invullen groen'!M96,""),"")</f>
        <v/>
      </c>
      <c r="H83" s="535">
        <f>IFERROR(IF('Invullen groen'!N96&lt;&gt;0,'Invullen groen'!N96,""),"")</f>
        <v/>
      </c>
      <c r="I83" s="535">
        <f>IFERROR(IF('Invullen groen'!O96&lt;&gt;0,'Invullen groen'!O96,""),"")</f>
        <v/>
      </c>
    </row>
    <row r="84" ht="15" customHeight="1">
      <c r="A84" s="536">
        <f>IFERROR(IF('Invullen groen'!E97&gt;0,97-17,""),"")</f>
        <v/>
      </c>
      <c r="B84" s="536">
        <f>IFERROR(IF('Invullen groen'!E97&gt;0,'Invullen groen'!A97,""),"")</f>
        <v/>
      </c>
      <c r="C84" s="536">
        <f>IFERROR(IF('Invullen groen'!E97&gt;0,'Invullen groen'!C97,""),"")</f>
        <v/>
      </c>
      <c r="D84" s="536">
        <f>IFERROR(IF('Invullen groen'!E97&gt;0,'Invullen groen'!D97,""),"")</f>
        <v/>
      </c>
      <c r="E84" s="536">
        <f>IFERROR(IF('Invullen groen'!E97&gt;0,'Invullen groen'!G97,""),"")</f>
        <v/>
      </c>
      <c r="F84" s="537">
        <f>IFERROR(IF('Invullen groen'!L97&lt;&gt;0,'Invullen groen'!L97,""),"")</f>
        <v/>
      </c>
      <c r="G84" s="537">
        <f>IFERROR(IF('Invullen groen'!M97&lt;&gt;0,'Invullen groen'!M97,""),"")</f>
        <v/>
      </c>
      <c r="H84" s="537">
        <f>IFERROR(IF('Invullen groen'!N97&lt;&gt;0,'Invullen groen'!N97,""),"")</f>
        <v/>
      </c>
      <c r="I84" s="537">
        <f>IFERROR(IF('Invullen groen'!O97&lt;&gt;0,'Invullen groen'!O97,""),"")</f>
        <v/>
      </c>
    </row>
    <row r="85" ht="15" customHeight="1">
      <c r="A85" s="534">
        <f>IFERROR(IF('Invullen groen'!E98&gt;0,98-17,""),"")</f>
        <v/>
      </c>
      <c r="B85" s="534">
        <f>IFERROR(IF('Invullen groen'!E98&gt;0,'Invullen groen'!A98,""),"")</f>
        <v/>
      </c>
      <c r="C85" s="534">
        <f>IFERROR(IF('Invullen groen'!E98&gt;0,'Invullen groen'!C98,""),"")</f>
        <v/>
      </c>
      <c r="D85" s="534">
        <f>IFERROR(IF('Invullen groen'!E98&gt;0,'Invullen groen'!D98,""),"")</f>
        <v/>
      </c>
      <c r="E85" s="534">
        <f>IFERROR(IF('Invullen groen'!E98&gt;0,'Invullen groen'!G98,""),"")</f>
        <v/>
      </c>
      <c r="F85" s="535">
        <f>IFERROR(IF('Invullen groen'!L98&lt;&gt;0,'Invullen groen'!L98,""),"")</f>
        <v/>
      </c>
      <c r="G85" s="535">
        <f>IFERROR(IF('Invullen groen'!M98&lt;&gt;0,'Invullen groen'!M98,""),"")</f>
        <v/>
      </c>
      <c r="H85" s="535">
        <f>IFERROR(IF('Invullen groen'!N98&lt;&gt;0,'Invullen groen'!N98,""),"")</f>
        <v/>
      </c>
      <c r="I85" s="535">
        <f>IFERROR(IF('Invullen groen'!O98&lt;&gt;0,'Invullen groen'!O98,""),"")</f>
        <v/>
      </c>
    </row>
    <row r="86" ht="15" customHeight="1">
      <c r="A86" s="536">
        <f>IFERROR(IF('Invullen groen'!E99&gt;0,99-17,""),"")</f>
        <v/>
      </c>
      <c r="B86" s="536">
        <f>IFERROR(IF('Invullen groen'!E99&gt;0,'Invullen groen'!A99,""),"")</f>
        <v/>
      </c>
      <c r="C86" s="536">
        <f>IFERROR(IF('Invullen groen'!E99&gt;0,'Invullen groen'!C99,""),"")</f>
        <v/>
      </c>
      <c r="D86" s="536">
        <f>IFERROR(IF('Invullen groen'!E99&gt;0,'Invullen groen'!D99,""),"")</f>
        <v/>
      </c>
      <c r="E86" s="536">
        <f>IFERROR(IF('Invullen groen'!E99&gt;0,'Invullen groen'!G99,""),"")</f>
        <v/>
      </c>
      <c r="F86" s="537">
        <f>IFERROR(IF('Invullen groen'!L99&lt;&gt;0,'Invullen groen'!L99,""),"")</f>
        <v/>
      </c>
      <c r="G86" s="537">
        <f>IFERROR(IF('Invullen groen'!M99&lt;&gt;0,'Invullen groen'!M99,""),"")</f>
        <v/>
      </c>
      <c r="H86" s="537">
        <f>IFERROR(IF('Invullen groen'!N99&lt;&gt;0,'Invullen groen'!N99,""),"")</f>
        <v/>
      </c>
      <c r="I86" s="537">
        <f>IFERROR(IF('Invullen groen'!O99&lt;&gt;0,'Invullen groen'!O99,""),"")</f>
        <v/>
      </c>
    </row>
    <row r="87" ht="15" customHeight="1">
      <c r="A87" s="534">
        <f>IFERROR(IF('Invullen groen'!E100&gt;0,100-17,""),"")</f>
        <v/>
      </c>
      <c r="B87" s="534">
        <f>IFERROR(IF('Invullen groen'!E100&gt;0,'Invullen groen'!A100,""),"")</f>
        <v/>
      </c>
      <c r="C87" s="534">
        <f>IFERROR(IF('Invullen groen'!E100&gt;0,'Invullen groen'!C100,""),"")</f>
        <v/>
      </c>
      <c r="D87" s="534">
        <f>IFERROR(IF('Invullen groen'!E100&gt;0,'Invullen groen'!D100,""),"")</f>
        <v/>
      </c>
      <c r="E87" s="534">
        <f>IFERROR(IF('Invullen groen'!E100&gt;0,'Invullen groen'!G100,""),"")</f>
        <v/>
      </c>
      <c r="F87" s="535">
        <f>IFERROR(IF('Invullen groen'!L100&lt;&gt;0,'Invullen groen'!L100,""),"")</f>
        <v/>
      </c>
      <c r="G87" s="535">
        <f>IFERROR(IF('Invullen groen'!M100&lt;&gt;0,'Invullen groen'!M100,""),"")</f>
        <v/>
      </c>
      <c r="H87" s="535">
        <f>IFERROR(IF('Invullen groen'!N100&lt;&gt;0,'Invullen groen'!N100,""),"")</f>
        <v/>
      </c>
      <c r="I87" s="535">
        <f>IFERROR(IF('Invullen groen'!O100&lt;&gt;0,'Invullen groen'!O100,""),"")</f>
        <v/>
      </c>
    </row>
    <row r="88" ht="15" customHeight="1">
      <c r="A88" s="536">
        <f>IFERROR(IF('Invullen groen'!E101&gt;0,101-17,""),"")</f>
        <v/>
      </c>
      <c r="B88" s="536">
        <f>IFERROR(IF('Invullen groen'!E101&gt;0,'Invullen groen'!A101,""),"")</f>
        <v/>
      </c>
      <c r="C88" s="536">
        <f>IFERROR(IF('Invullen groen'!E101&gt;0,'Invullen groen'!C101,""),"")</f>
        <v/>
      </c>
      <c r="D88" s="536">
        <f>IFERROR(IF('Invullen groen'!E101&gt;0,'Invullen groen'!D101,""),"")</f>
        <v/>
      </c>
      <c r="E88" s="536">
        <f>IFERROR(IF('Invullen groen'!E101&gt;0,'Invullen groen'!G101,""),"")</f>
        <v/>
      </c>
      <c r="F88" s="537">
        <f>IFERROR(IF('Invullen groen'!L101&lt;&gt;0,'Invullen groen'!L101,""),"")</f>
        <v/>
      </c>
      <c r="G88" s="537">
        <f>IFERROR(IF('Invullen groen'!M101&lt;&gt;0,'Invullen groen'!M101,""),"")</f>
        <v/>
      </c>
      <c r="H88" s="537">
        <f>IFERROR(IF('Invullen groen'!N101&lt;&gt;0,'Invullen groen'!N101,""),"")</f>
        <v/>
      </c>
      <c r="I88" s="537">
        <f>IFERROR(IF('Invullen groen'!O101&lt;&gt;0,'Invullen groen'!O101,""),"")</f>
        <v/>
      </c>
    </row>
    <row r="89" ht="15" customHeight="1">
      <c r="A89" s="534">
        <f>IFERROR(IF('Invullen groen'!E102&gt;0,102-17,""),"")</f>
        <v/>
      </c>
      <c r="B89" s="534">
        <f>IFERROR(IF('Invullen groen'!E102&gt;0,'Invullen groen'!A102,""),"")</f>
        <v/>
      </c>
      <c r="C89" s="534">
        <f>IFERROR(IF('Invullen groen'!E102&gt;0,'Invullen groen'!C102,""),"")</f>
        <v/>
      </c>
      <c r="D89" s="534">
        <f>IFERROR(IF('Invullen groen'!E102&gt;0,'Invullen groen'!D102,""),"")</f>
        <v/>
      </c>
      <c r="E89" s="534">
        <f>IFERROR(IF('Invullen groen'!E102&gt;0,'Invullen groen'!G102,""),"")</f>
        <v/>
      </c>
      <c r="F89" s="535">
        <f>IFERROR(IF('Invullen groen'!L102&lt;&gt;0,'Invullen groen'!L102,""),"")</f>
        <v/>
      </c>
      <c r="G89" s="535">
        <f>IFERROR(IF('Invullen groen'!M102&lt;&gt;0,'Invullen groen'!M102,""),"")</f>
        <v/>
      </c>
      <c r="H89" s="535">
        <f>IFERROR(IF('Invullen groen'!N102&lt;&gt;0,'Invullen groen'!N102,""),"")</f>
        <v/>
      </c>
      <c r="I89" s="535">
        <f>IFERROR(IF('Invullen groen'!O102&lt;&gt;0,'Invullen groen'!O102,""),"")</f>
        <v/>
      </c>
    </row>
    <row r="90" ht="15" customHeight="1">
      <c r="A90" s="536">
        <f>IFERROR(IF('Invullen groen'!E103&gt;0,103-17,""),"")</f>
        <v/>
      </c>
      <c r="B90" s="536">
        <f>IFERROR(IF('Invullen groen'!E103&gt;0,'Invullen groen'!A103,""),"")</f>
        <v/>
      </c>
      <c r="C90" s="536">
        <f>IFERROR(IF('Invullen groen'!E103&gt;0,'Invullen groen'!C103,""),"")</f>
        <v/>
      </c>
      <c r="D90" s="536">
        <f>IFERROR(IF('Invullen groen'!E103&gt;0,'Invullen groen'!D103,""),"")</f>
        <v/>
      </c>
      <c r="E90" s="536">
        <f>IFERROR(IF('Invullen groen'!E103&gt;0,'Invullen groen'!G103,""),"")</f>
        <v/>
      </c>
      <c r="F90" s="537">
        <f>IFERROR(IF('Invullen groen'!L103&lt;&gt;0,'Invullen groen'!L103,""),"")</f>
        <v/>
      </c>
      <c r="G90" s="537">
        <f>IFERROR(IF('Invullen groen'!M103&lt;&gt;0,'Invullen groen'!M103,""),"")</f>
        <v/>
      </c>
      <c r="H90" s="537">
        <f>IFERROR(IF('Invullen groen'!N103&lt;&gt;0,'Invullen groen'!N103,""),"")</f>
        <v/>
      </c>
      <c r="I90" s="537">
        <f>IFERROR(IF('Invullen groen'!O103&lt;&gt;0,'Invullen groen'!O103,""),"")</f>
        <v/>
      </c>
    </row>
    <row r="91" ht="15" customHeight="1">
      <c r="A91" s="534">
        <f>IFERROR(IF('Invullen groen'!E104&gt;0,104-17,""),"")</f>
        <v/>
      </c>
      <c r="B91" s="534">
        <f>IFERROR(IF('Invullen groen'!E104&gt;0,'Invullen groen'!A104,""),"")</f>
        <v/>
      </c>
      <c r="C91" s="534">
        <f>IFERROR(IF('Invullen groen'!E104&gt;0,'Invullen groen'!C104,""),"")</f>
        <v/>
      </c>
      <c r="D91" s="534">
        <f>IFERROR(IF('Invullen groen'!E104&gt;0,'Invullen groen'!D104,""),"")</f>
        <v/>
      </c>
      <c r="E91" s="534">
        <f>IFERROR(IF('Invullen groen'!E104&gt;0,'Invullen groen'!G104,""),"")</f>
        <v/>
      </c>
      <c r="F91" s="535">
        <f>IFERROR(IF('Invullen groen'!L104&lt;&gt;0,'Invullen groen'!L104,""),"")</f>
        <v/>
      </c>
      <c r="G91" s="535">
        <f>IFERROR(IF('Invullen groen'!M104&lt;&gt;0,'Invullen groen'!M104,""),"")</f>
        <v/>
      </c>
      <c r="H91" s="535">
        <f>IFERROR(IF('Invullen groen'!N104&lt;&gt;0,'Invullen groen'!N104,""),"")</f>
        <v/>
      </c>
      <c r="I91" s="535">
        <f>IFERROR(IF('Invullen groen'!O104&lt;&gt;0,'Invullen groen'!O104,""),"")</f>
        <v/>
      </c>
    </row>
    <row r="92" ht="15" customHeight="1">
      <c r="A92" s="536">
        <f>IFERROR(IF('Invullen groen'!E105&gt;0,105-17,""),"")</f>
        <v/>
      </c>
      <c r="B92" s="536">
        <f>IFERROR(IF('Invullen groen'!E105&gt;0,'Invullen groen'!A105,""),"")</f>
        <v/>
      </c>
      <c r="C92" s="536">
        <f>IFERROR(IF('Invullen groen'!E105&gt;0,'Invullen groen'!C105,""),"")</f>
        <v/>
      </c>
      <c r="D92" s="536">
        <f>IFERROR(IF('Invullen groen'!E105&gt;0,'Invullen groen'!D105,""),"")</f>
        <v/>
      </c>
      <c r="E92" s="536">
        <f>IFERROR(IF('Invullen groen'!E105&gt;0,'Invullen groen'!G105,""),"")</f>
        <v/>
      </c>
      <c r="F92" s="537">
        <f>IFERROR(IF('Invullen groen'!L105&lt;&gt;0,'Invullen groen'!L105,""),"")</f>
        <v/>
      </c>
      <c r="G92" s="537">
        <f>IFERROR(IF('Invullen groen'!M105&lt;&gt;0,'Invullen groen'!M105,""),"")</f>
        <v/>
      </c>
      <c r="H92" s="537">
        <f>IFERROR(IF('Invullen groen'!N105&lt;&gt;0,'Invullen groen'!N105,""),"")</f>
        <v/>
      </c>
      <c r="I92" s="537">
        <f>IFERROR(IF('Invullen groen'!O105&lt;&gt;0,'Invullen groen'!O105,""),"")</f>
        <v/>
      </c>
    </row>
    <row r="93" ht="15" customHeight="1">
      <c r="A93" s="534">
        <f>IFERROR(IF('Invullen groen'!E106&gt;0,106-17,""),"")</f>
        <v/>
      </c>
      <c r="B93" s="534">
        <f>IFERROR(IF('Invullen groen'!E106&gt;0,'Invullen groen'!A106,""),"")</f>
        <v/>
      </c>
      <c r="C93" s="534">
        <f>IFERROR(IF('Invullen groen'!E106&gt;0,'Invullen groen'!C106,""),"")</f>
        <v/>
      </c>
      <c r="D93" s="534">
        <f>IFERROR(IF('Invullen groen'!E106&gt;0,'Invullen groen'!D106,""),"")</f>
        <v/>
      </c>
      <c r="E93" s="534">
        <f>IFERROR(IF('Invullen groen'!E106&gt;0,'Invullen groen'!G106,""),"")</f>
        <v/>
      </c>
      <c r="F93" s="535">
        <f>IFERROR(IF('Invullen groen'!L106&lt;&gt;0,'Invullen groen'!L106,""),"")</f>
        <v/>
      </c>
      <c r="G93" s="535">
        <f>IFERROR(IF('Invullen groen'!M106&lt;&gt;0,'Invullen groen'!M106,""),"")</f>
        <v/>
      </c>
      <c r="H93" s="535">
        <f>IFERROR(IF('Invullen groen'!N106&lt;&gt;0,'Invullen groen'!N106,""),"")</f>
        <v/>
      </c>
      <c r="I93" s="535">
        <f>IFERROR(IF('Invullen groen'!O106&lt;&gt;0,'Invullen groen'!O106,""),"")</f>
        <v/>
      </c>
    </row>
    <row r="94" ht="15" customHeight="1">
      <c r="A94" s="536">
        <f>IFERROR(IF('Invullen groen'!E107&gt;0,107-17,""),"")</f>
        <v/>
      </c>
      <c r="B94" s="536">
        <f>IFERROR(IF('Invullen groen'!E107&gt;0,'Invullen groen'!A107,""),"")</f>
        <v/>
      </c>
      <c r="C94" s="536">
        <f>IFERROR(IF('Invullen groen'!E107&gt;0,'Invullen groen'!C107,""),"")</f>
        <v/>
      </c>
      <c r="D94" s="536">
        <f>IFERROR(IF('Invullen groen'!E107&gt;0,'Invullen groen'!D107,""),"")</f>
        <v/>
      </c>
      <c r="E94" s="536">
        <f>IFERROR(IF('Invullen groen'!E107&gt;0,'Invullen groen'!G107,""),"")</f>
        <v/>
      </c>
      <c r="F94" s="537">
        <f>IFERROR(IF('Invullen groen'!L107&lt;&gt;0,'Invullen groen'!L107,""),"")</f>
        <v/>
      </c>
      <c r="G94" s="537">
        <f>IFERROR(IF('Invullen groen'!M107&lt;&gt;0,'Invullen groen'!M107,""),"")</f>
        <v/>
      </c>
      <c r="H94" s="537">
        <f>IFERROR(IF('Invullen groen'!N107&lt;&gt;0,'Invullen groen'!N107,""),"")</f>
        <v/>
      </c>
      <c r="I94" s="537">
        <f>IFERROR(IF('Invullen groen'!O107&lt;&gt;0,'Invullen groen'!O107,""),"")</f>
        <v/>
      </c>
    </row>
    <row r="95" ht="15" customHeight="1">
      <c r="A95" s="534">
        <f>IFERROR(IF('Invullen groen'!E108&gt;0,108-17,""),"")</f>
        <v/>
      </c>
      <c r="B95" s="534">
        <f>IFERROR(IF('Invullen groen'!E108&gt;0,'Invullen groen'!A108,""),"")</f>
        <v/>
      </c>
      <c r="C95" s="534">
        <f>IFERROR(IF('Invullen groen'!E108&gt;0,'Invullen groen'!C108,""),"")</f>
        <v/>
      </c>
      <c r="D95" s="534">
        <f>IFERROR(IF('Invullen groen'!E108&gt;0,'Invullen groen'!D108,""),"")</f>
        <v/>
      </c>
      <c r="E95" s="534">
        <f>IFERROR(IF('Invullen groen'!E108&gt;0,'Invullen groen'!G108,""),"")</f>
        <v/>
      </c>
      <c r="F95" s="535">
        <f>IFERROR(IF('Invullen groen'!L108&lt;&gt;0,'Invullen groen'!L108,""),"")</f>
        <v/>
      </c>
      <c r="G95" s="535">
        <f>IFERROR(IF('Invullen groen'!M108&lt;&gt;0,'Invullen groen'!M108,""),"")</f>
        <v/>
      </c>
      <c r="H95" s="535">
        <f>IFERROR(IF('Invullen groen'!N108&lt;&gt;0,'Invullen groen'!N108,""),"")</f>
        <v/>
      </c>
      <c r="I95" s="535">
        <f>IFERROR(IF('Invullen groen'!O108&lt;&gt;0,'Invullen groen'!O108,""),"")</f>
        <v/>
      </c>
    </row>
    <row r="96" ht="15" customHeight="1">
      <c r="A96" s="536">
        <f>IFERROR(IF('Invullen groen'!E109&gt;0,109-17,""),"")</f>
        <v/>
      </c>
      <c r="B96" s="536">
        <f>IFERROR(IF('Invullen groen'!E109&gt;0,'Invullen groen'!A109,""),"")</f>
        <v/>
      </c>
      <c r="C96" s="536">
        <f>IFERROR(IF('Invullen groen'!E109&gt;0,'Invullen groen'!C109,""),"")</f>
        <v/>
      </c>
      <c r="D96" s="536">
        <f>IFERROR(IF('Invullen groen'!E109&gt;0,'Invullen groen'!D109,""),"")</f>
        <v/>
      </c>
      <c r="E96" s="536">
        <f>IFERROR(IF('Invullen groen'!E109&gt;0,'Invullen groen'!G109,""),"")</f>
        <v/>
      </c>
      <c r="F96" s="537">
        <f>IFERROR(IF('Invullen groen'!L109&lt;&gt;0,'Invullen groen'!L109,""),"")</f>
        <v/>
      </c>
      <c r="G96" s="537">
        <f>IFERROR(IF('Invullen groen'!M109&lt;&gt;0,'Invullen groen'!M109,""),"")</f>
        <v/>
      </c>
      <c r="H96" s="537">
        <f>IFERROR(IF('Invullen groen'!N109&lt;&gt;0,'Invullen groen'!N109,""),"")</f>
        <v/>
      </c>
      <c r="I96" s="537">
        <f>IFERROR(IF('Invullen groen'!O109&lt;&gt;0,'Invullen groen'!O109,""),"")</f>
        <v/>
      </c>
    </row>
    <row r="97" ht="15" customHeight="1">
      <c r="A97" s="534">
        <f>IFERROR(IF('Invullen groen'!E110&gt;0,110-17,""),"")</f>
        <v/>
      </c>
      <c r="B97" s="534">
        <f>IFERROR(IF('Invullen groen'!E110&gt;0,'Invullen groen'!A110,""),"")</f>
        <v/>
      </c>
      <c r="C97" s="534">
        <f>IFERROR(IF('Invullen groen'!E110&gt;0,'Invullen groen'!C110,""),"")</f>
        <v/>
      </c>
      <c r="D97" s="534">
        <f>IFERROR(IF('Invullen groen'!E110&gt;0,'Invullen groen'!D110,""),"")</f>
        <v/>
      </c>
      <c r="E97" s="534">
        <f>IFERROR(IF('Invullen groen'!E110&gt;0,'Invullen groen'!G110,""),"")</f>
        <v/>
      </c>
      <c r="F97" s="535">
        <f>IFERROR(IF('Invullen groen'!L110&lt;&gt;0,'Invullen groen'!L110,""),"")</f>
        <v/>
      </c>
      <c r="G97" s="535">
        <f>IFERROR(IF('Invullen groen'!M110&lt;&gt;0,'Invullen groen'!M110,""),"")</f>
        <v/>
      </c>
      <c r="H97" s="535">
        <f>IFERROR(IF('Invullen groen'!N110&lt;&gt;0,'Invullen groen'!N110,""),"")</f>
        <v/>
      </c>
      <c r="I97" s="535">
        <f>IFERROR(IF('Invullen groen'!O110&lt;&gt;0,'Invullen groen'!O110,""),"")</f>
        <v/>
      </c>
    </row>
    <row r="98" ht="15" customHeight="1">
      <c r="A98" s="536">
        <f>IFERROR(IF('Invullen groen'!E111&gt;0,111-17,""),"")</f>
        <v/>
      </c>
      <c r="B98" s="536">
        <f>IFERROR(IF('Invullen groen'!E111&gt;0,'Invullen groen'!A111,""),"")</f>
        <v/>
      </c>
      <c r="C98" s="536">
        <f>IFERROR(IF('Invullen groen'!E111&gt;0,'Invullen groen'!C111,""),"")</f>
        <v/>
      </c>
      <c r="D98" s="536">
        <f>IFERROR(IF('Invullen groen'!E111&gt;0,'Invullen groen'!D111,""),"")</f>
        <v/>
      </c>
      <c r="E98" s="536">
        <f>IFERROR(IF('Invullen groen'!E111&gt;0,'Invullen groen'!G111,""),"")</f>
        <v/>
      </c>
      <c r="F98" s="537">
        <f>IFERROR(IF('Invullen groen'!L111&lt;&gt;0,'Invullen groen'!L111,""),"")</f>
        <v/>
      </c>
      <c r="G98" s="537">
        <f>IFERROR(IF('Invullen groen'!M111&lt;&gt;0,'Invullen groen'!M111,""),"")</f>
        <v/>
      </c>
      <c r="H98" s="537">
        <f>IFERROR(IF('Invullen groen'!N111&lt;&gt;0,'Invullen groen'!N111,""),"")</f>
        <v/>
      </c>
      <c r="I98" s="537">
        <f>IFERROR(IF('Invullen groen'!O111&lt;&gt;0,'Invullen groen'!O111,""),"")</f>
        <v/>
      </c>
    </row>
    <row r="99" ht="15" customHeight="1">
      <c r="A99" s="534">
        <f>IFERROR(IF('Invullen groen'!E112&gt;0,112-17,""),"")</f>
        <v/>
      </c>
      <c r="B99" s="534">
        <f>IFERROR(IF('Invullen groen'!E112&gt;0,'Invullen groen'!A112,""),"")</f>
        <v/>
      </c>
      <c r="C99" s="534">
        <f>IFERROR(IF('Invullen groen'!E112&gt;0,'Invullen groen'!C112,""),"")</f>
        <v/>
      </c>
      <c r="D99" s="534">
        <f>IFERROR(IF('Invullen groen'!E112&gt;0,'Invullen groen'!D112,""),"")</f>
        <v/>
      </c>
      <c r="E99" s="534">
        <f>IFERROR(IF('Invullen groen'!E112&gt;0,'Invullen groen'!G112,""),"")</f>
        <v/>
      </c>
      <c r="F99" s="535">
        <f>IFERROR(IF('Invullen groen'!L112&lt;&gt;0,'Invullen groen'!L112,""),"")</f>
        <v/>
      </c>
      <c r="G99" s="535">
        <f>IFERROR(IF('Invullen groen'!M112&lt;&gt;0,'Invullen groen'!M112,""),"")</f>
        <v/>
      </c>
      <c r="H99" s="535">
        <f>IFERROR(IF('Invullen groen'!N112&lt;&gt;0,'Invullen groen'!N112,""),"")</f>
        <v/>
      </c>
      <c r="I99" s="535">
        <f>IFERROR(IF('Invullen groen'!O112&lt;&gt;0,'Invullen groen'!O112,""),"")</f>
        <v/>
      </c>
    </row>
    <row r="100" ht="15" customHeight="1">
      <c r="A100" s="536">
        <f>IFERROR(IF('Invullen groen'!E113&gt;0,113-17,""),"")</f>
        <v/>
      </c>
      <c r="B100" s="536">
        <f>IFERROR(IF('Invullen groen'!E113&gt;0,'Invullen groen'!A113,""),"")</f>
        <v/>
      </c>
      <c r="C100" s="536">
        <f>IFERROR(IF('Invullen groen'!E113&gt;0,'Invullen groen'!C113,""),"")</f>
        <v/>
      </c>
      <c r="D100" s="536">
        <f>IFERROR(IF('Invullen groen'!E113&gt;0,'Invullen groen'!D113,""),"")</f>
        <v/>
      </c>
      <c r="E100" s="536">
        <f>IFERROR(IF('Invullen groen'!E113&gt;0,'Invullen groen'!G113,""),"")</f>
        <v/>
      </c>
      <c r="F100" s="537">
        <f>IFERROR(IF('Invullen groen'!L113&lt;&gt;0,'Invullen groen'!L113,""),"")</f>
        <v/>
      </c>
      <c r="G100" s="537">
        <f>IFERROR(IF('Invullen groen'!M113&lt;&gt;0,'Invullen groen'!M113,""),"")</f>
        <v/>
      </c>
      <c r="H100" s="537">
        <f>IFERROR(IF('Invullen groen'!N113&lt;&gt;0,'Invullen groen'!N113,""),"")</f>
        <v/>
      </c>
      <c r="I100" s="537">
        <f>IFERROR(IF('Invullen groen'!O113&lt;&gt;0,'Invullen groen'!O113,""),"")</f>
        <v/>
      </c>
    </row>
    <row r="101" ht="15" customHeight="1">
      <c r="A101" s="534">
        <f>IFERROR(IF('Invullen groen'!E114&gt;0,114-17,""),"")</f>
        <v/>
      </c>
      <c r="B101" s="534">
        <f>IFERROR(IF('Invullen groen'!E114&gt;0,'Invullen groen'!A114,""),"")</f>
        <v/>
      </c>
      <c r="C101" s="534">
        <f>IFERROR(IF('Invullen groen'!E114&gt;0,'Invullen groen'!C114,""),"")</f>
        <v/>
      </c>
      <c r="D101" s="534">
        <f>IFERROR(IF('Invullen groen'!E114&gt;0,'Invullen groen'!D114,""),"")</f>
        <v/>
      </c>
      <c r="E101" s="534">
        <f>IFERROR(IF('Invullen groen'!E114&gt;0,'Invullen groen'!G114,""),"")</f>
        <v/>
      </c>
      <c r="F101" s="535">
        <f>IFERROR(IF('Invullen groen'!L114&lt;&gt;0,'Invullen groen'!L114,""),"")</f>
        <v/>
      </c>
      <c r="G101" s="535">
        <f>IFERROR(IF('Invullen groen'!M114&lt;&gt;0,'Invullen groen'!M114,""),"")</f>
        <v/>
      </c>
      <c r="H101" s="535">
        <f>IFERROR(IF('Invullen groen'!N114&lt;&gt;0,'Invullen groen'!N114,""),"")</f>
        <v/>
      </c>
      <c r="I101" s="535">
        <f>IFERROR(IF('Invullen groen'!O114&lt;&gt;0,'Invullen groen'!O114,""),"")</f>
        <v/>
      </c>
    </row>
    <row r="102" ht="15" customHeight="1">
      <c r="A102" s="536">
        <f>IFERROR(IF('Invullen groen'!E115&gt;0,115-17,""),"")</f>
        <v/>
      </c>
      <c r="B102" s="536">
        <f>IFERROR(IF('Invullen groen'!E115&gt;0,'Invullen groen'!A115,""),"")</f>
        <v/>
      </c>
      <c r="C102" s="536">
        <f>IFERROR(IF('Invullen groen'!E115&gt;0,'Invullen groen'!C115,""),"")</f>
        <v/>
      </c>
      <c r="D102" s="536">
        <f>IFERROR(IF('Invullen groen'!E115&gt;0,'Invullen groen'!D115,""),"")</f>
        <v/>
      </c>
      <c r="E102" s="536">
        <f>IFERROR(IF('Invullen groen'!E115&gt;0,'Invullen groen'!G115,""),"")</f>
        <v/>
      </c>
      <c r="F102" s="537">
        <f>IFERROR(IF('Invullen groen'!L115&lt;&gt;0,'Invullen groen'!L115,""),"")</f>
        <v/>
      </c>
      <c r="G102" s="537">
        <f>IFERROR(IF('Invullen groen'!M115&lt;&gt;0,'Invullen groen'!M115,""),"")</f>
        <v/>
      </c>
      <c r="H102" s="537">
        <f>IFERROR(IF('Invullen groen'!N115&lt;&gt;0,'Invullen groen'!N115,""),"")</f>
        <v/>
      </c>
      <c r="I102" s="537">
        <f>IFERROR(IF('Invullen groen'!O115&lt;&gt;0,'Invullen groen'!O115,""),"")</f>
        <v/>
      </c>
    </row>
    <row r="103" ht="15" customHeight="1">
      <c r="A103" s="534">
        <f>IFERROR(IF('Invullen groen'!E116&gt;0,116-17,""),"")</f>
        <v/>
      </c>
      <c r="B103" s="534">
        <f>IFERROR(IF('Invullen groen'!E116&gt;0,'Invullen groen'!A116,""),"")</f>
        <v/>
      </c>
      <c r="C103" s="534">
        <f>IFERROR(IF('Invullen groen'!E116&gt;0,'Invullen groen'!C116,""),"")</f>
        <v/>
      </c>
      <c r="D103" s="534">
        <f>IFERROR(IF('Invullen groen'!E116&gt;0,'Invullen groen'!D116,""),"")</f>
        <v/>
      </c>
      <c r="E103" s="534">
        <f>IFERROR(IF('Invullen groen'!E116&gt;0,'Invullen groen'!G116,""),"")</f>
        <v/>
      </c>
      <c r="F103" s="535">
        <f>IFERROR(IF('Invullen groen'!L116&lt;&gt;0,'Invullen groen'!L116,""),"")</f>
        <v/>
      </c>
      <c r="G103" s="535">
        <f>IFERROR(IF('Invullen groen'!M116&lt;&gt;0,'Invullen groen'!M116,""),"")</f>
        <v/>
      </c>
      <c r="H103" s="535">
        <f>IFERROR(IF('Invullen groen'!N116&lt;&gt;0,'Invullen groen'!N116,""),"")</f>
        <v/>
      </c>
      <c r="I103" s="535">
        <f>IFERROR(IF('Invullen groen'!O116&lt;&gt;0,'Invullen groen'!O116,""),"")</f>
        <v/>
      </c>
    </row>
    <row r="104" ht="15" customHeight="1">
      <c r="A104" s="536">
        <f>IFERROR(IF('Invullen groen'!E117&gt;0,117-17,""),"")</f>
        <v/>
      </c>
      <c r="B104" s="536">
        <f>IFERROR(IF('Invullen groen'!E117&gt;0,'Invullen groen'!A117,""),"")</f>
        <v/>
      </c>
      <c r="C104" s="536">
        <f>IFERROR(IF('Invullen groen'!E117&gt;0,'Invullen groen'!C117,""),"")</f>
        <v/>
      </c>
      <c r="D104" s="536">
        <f>IFERROR(IF('Invullen groen'!E117&gt;0,'Invullen groen'!D117,""),"")</f>
        <v/>
      </c>
      <c r="E104" s="536">
        <f>IFERROR(IF('Invullen groen'!E117&gt;0,'Invullen groen'!G117,""),"")</f>
        <v/>
      </c>
      <c r="F104" s="537">
        <f>IFERROR(IF('Invullen groen'!L117&lt;&gt;0,'Invullen groen'!L117,""),"")</f>
        <v/>
      </c>
      <c r="G104" s="537">
        <f>IFERROR(IF('Invullen groen'!M117&lt;&gt;0,'Invullen groen'!M117,""),"")</f>
        <v/>
      </c>
      <c r="H104" s="537">
        <f>IFERROR(IF('Invullen groen'!N117&lt;&gt;0,'Invullen groen'!N117,""),"")</f>
        <v/>
      </c>
      <c r="I104" s="537">
        <f>IFERROR(IF('Invullen groen'!O117&lt;&gt;0,'Invullen groen'!O117,""),"")</f>
        <v/>
      </c>
    </row>
    <row r="105" ht="15" customHeight="1">
      <c r="A105" s="534">
        <f>IFERROR(IF('Invullen groen'!E118&gt;0,118-17,""),"")</f>
        <v/>
      </c>
      <c r="B105" s="534">
        <f>IFERROR(IF('Invullen groen'!E118&gt;0,'Invullen groen'!A118,""),"")</f>
        <v/>
      </c>
      <c r="C105" s="534">
        <f>IFERROR(IF('Invullen groen'!E118&gt;0,'Invullen groen'!C118,""),"")</f>
        <v/>
      </c>
      <c r="D105" s="534">
        <f>IFERROR(IF('Invullen groen'!E118&gt;0,'Invullen groen'!D118,""),"")</f>
        <v/>
      </c>
      <c r="E105" s="534">
        <f>IFERROR(IF('Invullen groen'!E118&gt;0,'Invullen groen'!G118,""),"")</f>
        <v/>
      </c>
      <c r="F105" s="535">
        <f>IFERROR(IF('Invullen groen'!L118&lt;&gt;0,'Invullen groen'!L118,""),"")</f>
        <v/>
      </c>
      <c r="G105" s="535">
        <f>IFERROR(IF('Invullen groen'!M118&lt;&gt;0,'Invullen groen'!M118,""),"")</f>
        <v/>
      </c>
      <c r="H105" s="535">
        <f>IFERROR(IF('Invullen groen'!N118&lt;&gt;0,'Invullen groen'!N118,""),"")</f>
        <v/>
      </c>
      <c r="I105" s="535">
        <f>IFERROR(IF('Invullen groen'!O118&lt;&gt;0,'Invullen groen'!O118,""),"")</f>
        <v/>
      </c>
    </row>
    <row r="106" ht="15" customHeight="1">
      <c r="A106" s="536">
        <f>IFERROR(IF('Invullen groen'!E119&gt;0,119-17,""),"")</f>
        <v/>
      </c>
      <c r="B106" s="536">
        <f>IFERROR(IF('Invullen groen'!E119&gt;0,'Invullen groen'!A119,""),"")</f>
        <v/>
      </c>
      <c r="C106" s="536">
        <f>IFERROR(IF('Invullen groen'!E119&gt;0,'Invullen groen'!C119,""),"")</f>
        <v/>
      </c>
      <c r="D106" s="536">
        <f>IFERROR(IF('Invullen groen'!E119&gt;0,'Invullen groen'!D119,""),"")</f>
        <v/>
      </c>
      <c r="E106" s="536">
        <f>IFERROR(IF('Invullen groen'!E119&gt;0,'Invullen groen'!G119,""),"")</f>
        <v/>
      </c>
      <c r="F106" s="537">
        <f>IFERROR(IF('Invullen groen'!L119&lt;&gt;0,'Invullen groen'!L119,""),"")</f>
        <v/>
      </c>
      <c r="G106" s="537">
        <f>IFERROR(IF('Invullen groen'!M119&lt;&gt;0,'Invullen groen'!M119,""),"")</f>
        <v/>
      </c>
      <c r="H106" s="537">
        <f>IFERROR(IF('Invullen groen'!N119&lt;&gt;0,'Invullen groen'!N119,""),"")</f>
        <v/>
      </c>
      <c r="I106" s="537">
        <f>IFERROR(IF('Invullen groen'!O119&lt;&gt;0,'Invullen groen'!O119,""),"")</f>
        <v/>
      </c>
    </row>
    <row r="107" ht="15" customHeight="1">
      <c r="A107" s="534">
        <f>IFERROR(IF('Invullen groen'!E120&gt;0,120-17,""),"")</f>
        <v/>
      </c>
      <c r="B107" s="534">
        <f>IFERROR(IF('Invullen groen'!E120&gt;0,'Invullen groen'!A120,""),"")</f>
        <v/>
      </c>
      <c r="C107" s="534">
        <f>IFERROR(IF('Invullen groen'!E120&gt;0,'Invullen groen'!C120,""),"")</f>
        <v/>
      </c>
      <c r="D107" s="534">
        <f>IFERROR(IF('Invullen groen'!E120&gt;0,'Invullen groen'!D120,""),"")</f>
        <v/>
      </c>
      <c r="E107" s="534">
        <f>IFERROR(IF('Invullen groen'!E120&gt;0,'Invullen groen'!G120,""),"")</f>
        <v/>
      </c>
      <c r="F107" s="535">
        <f>IFERROR(IF('Invullen groen'!L120&lt;&gt;0,'Invullen groen'!L120,""),"")</f>
        <v/>
      </c>
      <c r="G107" s="535">
        <f>IFERROR(IF('Invullen groen'!M120&lt;&gt;0,'Invullen groen'!M120,""),"")</f>
        <v/>
      </c>
      <c r="H107" s="535">
        <f>IFERROR(IF('Invullen groen'!N120&lt;&gt;0,'Invullen groen'!N120,""),"")</f>
        <v/>
      </c>
      <c r="I107" s="535">
        <f>IFERROR(IF('Invullen groen'!O120&lt;&gt;0,'Invullen groen'!O120,""),"")</f>
        <v/>
      </c>
    </row>
    <row r="108" ht="15" customHeight="1">
      <c r="A108" s="536">
        <f>IFERROR(IF('Invullen groen'!E121&gt;0,121-17,""),"")</f>
        <v/>
      </c>
      <c r="B108" s="536">
        <f>IFERROR(IF('Invullen groen'!E121&gt;0,'Invullen groen'!A121,""),"")</f>
        <v/>
      </c>
      <c r="C108" s="536">
        <f>IFERROR(IF('Invullen groen'!E121&gt;0,'Invullen groen'!C121,""),"")</f>
        <v/>
      </c>
      <c r="D108" s="536">
        <f>IFERROR(IF('Invullen groen'!E121&gt;0,'Invullen groen'!D121,""),"")</f>
        <v/>
      </c>
      <c r="E108" s="536">
        <f>IFERROR(IF('Invullen groen'!E121&gt;0,'Invullen groen'!G121,""),"")</f>
        <v/>
      </c>
      <c r="F108" s="537">
        <f>IFERROR(IF('Invullen groen'!L121&lt;&gt;0,'Invullen groen'!L121,""),"")</f>
        <v/>
      </c>
      <c r="G108" s="537">
        <f>IFERROR(IF('Invullen groen'!M121&lt;&gt;0,'Invullen groen'!M121,""),"")</f>
        <v/>
      </c>
      <c r="H108" s="537">
        <f>IFERROR(IF('Invullen groen'!N121&lt;&gt;0,'Invullen groen'!N121,""),"")</f>
        <v/>
      </c>
      <c r="I108" s="537">
        <f>IFERROR(IF('Invullen groen'!O121&lt;&gt;0,'Invullen groen'!O121,""),"")</f>
        <v/>
      </c>
    </row>
    <row r="109" ht="15" customHeight="1">
      <c r="A109" s="534">
        <f>IFERROR(IF('Invullen groen'!E122&gt;0,122-17,""),"")</f>
        <v/>
      </c>
      <c r="B109" s="534">
        <f>IFERROR(IF('Invullen groen'!E122&gt;0,'Invullen groen'!A122,""),"")</f>
        <v/>
      </c>
      <c r="C109" s="534">
        <f>IFERROR(IF('Invullen groen'!E122&gt;0,'Invullen groen'!C122,""),"")</f>
        <v/>
      </c>
      <c r="D109" s="534">
        <f>IFERROR(IF('Invullen groen'!E122&gt;0,'Invullen groen'!D122,""),"")</f>
        <v/>
      </c>
      <c r="E109" s="534">
        <f>IFERROR(IF('Invullen groen'!E122&gt;0,'Invullen groen'!G122,""),"")</f>
        <v/>
      </c>
      <c r="F109" s="535">
        <f>IFERROR(IF('Invullen groen'!L122&lt;&gt;0,'Invullen groen'!L122,""),"")</f>
        <v/>
      </c>
      <c r="G109" s="535">
        <f>IFERROR(IF('Invullen groen'!M122&lt;&gt;0,'Invullen groen'!M122,""),"")</f>
        <v/>
      </c>
      <c r="H109" s="535">
        <f>IFERROR(IF('Invullen groen'!N122&lt;&gt;0,'Invullen groen'!N122,""),"")</f>
        <v/>
      </c>
      <c r="I109" s="535">
        <f>IFERROR(IF('Invullen groen'!O122&lt;&gt;0,'Invullen groen'!O122,""),"")</f>
        <v/>
      </c>
    </row>
    <row r="110" ht="15" customHeight="1">
      <c r="A110" s="536">
        <f>IFERROR(IF('Invullen groen'!E123&gt;0,123-17,""),"")</f>
        <v/>
      </c>
      <c r="B110" s="536">
        <f>IFERROR(IF('Invullen groen'!E123&gt;0,'Invullen groen'!A123,""),"")</f>
        <v/>
      </c>
      <c r="C110" s="536">
        <f>IFERROR(IF('Invullen groen'!E123&gt;0,'Invullen groen'!C123,""),"")</f>
        <v/>
      </c>
      <c r="D110" s="536">
        <f>IFERROR(IF('Invullen groen'!E123&gt;0,'Invullen groen'!D123,""),"")</f>
        <v/>
      </c>
      <c r="E110" s="536">
        <f>IFERROR(IF('Invullen groen'!E123&gt;0,'Invullen groen'!G123,""),"")</f>
        <v/>
      </c>
      <c r="F110" s="537">
        <f>IFERROR(IF('Invullen groen'!L123&lt;&gt;0,'Invullen groen'!L123,""),"")</f>
        <v/>
      </c>
      <c r="G110" s="537">
        <f>IFERROR(IF('Invullen groen'!M123&lt;&gt;0,'Invullen groen'!M123,""),"")</f>
        <v/>
      </c>
      <c r="H110" s="537">
        <f>IFERROR(IF('Invullen groen'!N123&lt;&gt;0,'Invullen groen'!N123,""),"")</f>
        <v/>
      </c>
      <c r="I110" s="537">
        <f>IFERROR(IF('Invullen groen'!O123&lt;&gt;0,'Invullen groen'!O123,""),"")</f>
        <v/>
      </c>
    </row>
    <row r="111" ht="15" customHeight="1">
      <c r="A111" s="534">
        <f>IFERROR(IF('Invullen groen'!E124&gt;0,124-17,""),"")</f>
        <v/>
      </c>
      <c r="B111" s="534">
        <f>IFERROR(IF('Invullen groen'!E124&gt;0,'Invullen groen'!A124,""),"")</f>
        <v/>
      </c>
      <c r="C111" s="534">
        <f>IFERROR(IF('Invullen groen'!E124&gt;0,'Invullen groen'!C124,""),"")</f>
        <v/>
      </c>
      <c r="D111" s="534">
        <f>IFERROR(IF('Invullen groen'!E124&gt;0,'Invullen groen'!D124,""),"")</f>
        <v/>
      </c>
      <c r="E111" s="534">
        <f>IFERROR(IF('Invullen groen'!E124&gt;0,'Invullen groen'!G124,""),"")</f>
        <v/>
      </c>
      <c r="F111" s="535">
        <f>IFERROR(IF('Invullen groen'!L124&lt;&gt;0,'Invullen groen'!L124,""),"")</f>
        <v/>
      </c>
      <c r="G111" s="535">
        <f>IFERROR(IF('Invullen groen'!M124&lt;&gt;0,'Invullen groen'!M124,""),"")</f>
        <v/>
      </c>
      <c r="H111" s="535">
        <f>IFERROR(IF('Invullen groen'!N124&lt;&gt;0,'Invullen groen'!N124,""),"")</f>
        <v/>
      </c>
      <c r="I111" s="535">
        <f>IFERROR(IF('Invullen groen'!O124&lt;&gt;0,'Invullen groen'!O124,""),"")</f>
        <v/>
      </c>
    </row>
    <row r="112" ht="15" customHeight="1">
      <c r="A112" s="536">
        <f>IFERROR(IF('Invullen groen'!E125&gt;0,125-17,""),"")</f>
        <v/>
      </c>
      <c r="B112" s="536">
        <f>IFERROR(IF('Invullen groen'!E125&gt;0,'Invullen groen'!A125,""),"")</f>
        <v/>
      </c>
      <c r="C112" s="536">
        <f>IFERROR(IF('Invullen groen'!E125&gt;0,'Invullen groen'!C125,""),"")</f>
        <v/>
      </c>
      <c r="D112" s="536">
        <f>IFERROR(IF('Invullen groen'!E125&gt;0,'Invullen groen'!D125,""),"")</f>
        <v/>
      </c>
      <c r="E112" s="536">
        <f>IFERROR(IF('Invullen groen'!E125&gt;0,'Invullen groen'!G125,""),"")</f>
        <v/>
      </c>
      <c r="F112" s="537">
        <f>IFERROR(IF('Invullen groen'!L125&lt;&gt;0,'Invullen groen'!L125,""),"")</f>
        <v/>
      </c>
      <c r="G112" s="537">
        <f>IFERROR(IF('Invullen groen'!M125&lt;&gt;0,'Invullen groen'!M125,""),"")</f>
        <v/>
      </c>
      <c r="H112" s="537">
        <f>IFERROR(IF('Invullen groen'!N125&lt;&gt;0,'Invullen groen'!N125,""),"")</f>
        <v/>
      </c>
      <c r="I112" s="537">
        <f>IFERROR(IF('Invullen groen'!O125&lt;&gt;0,'Invullen groen'!O125,""),"")</f>
        <v/>
      </c>
    </row>
    <row r="113" ht="15" customHeight="1">
      <c r="A113" s="534">
        <f>IFERROR(IF('Invullen groen'!E126&gt;0,126-17,""),"")</f>
        <v/>
      </c>
      <c r="B113" s="534">
        <f>IFERROR(IF('Invullen groen'!E126&gt;0,'Invullen groen'!A126,""),"")</f>
        <v/>
      </c>
      <c r="C113" s="534">
        <f>IFERROR(IF('Invullen groen'!E126&gt;0,'Invullen groen'!C126,""),"")</f>
        <v/>
      </c>
      <c r="D113" s="534">
        <f>IFERROR(IF('Invullen groen'!E126&gt;0,'Invullen groen'!D126,""),"")</f>
        <v/>
      </c>
      <c r="E113" s="534">
        <f>IFERROR(IF('Invullen groen'!E126&gt;0,'Invullen groen'!G126,""),"")</f>
        <v/>
      </c>
      <c r="F113" s="535">
        <f>IFERROR(IF('Invullen groen'!L126&lt;&gt;0,'Invullen groen'!L126,""),"")</f>
        <v/>
      </c>
      <c r="G113" s="535">
        <f>IFERROR(IF('Invullen groen'!M126&lt;&gt;0,'Invullen groen'!M126,""),"")</f>
        <v/>
      </c>
      <c r="H113" s="535">
        <f>IFERROR(IF('Invullen groen'!N126&lt;&gt;0,'Invullen groen'!N126,""),"")</f>
        <v/>
      </c>
      <c r="I113" s="535">
        <f>IFERROR(IF('Invullen groen'!O126&lt;&gt;0,'Invullen groen'!O126,""),"")</f>
        <v/>
      </c>
    </row>
    <row r="114" ht="15" customHeight="1">
      <c r="A114" s="536">
        <f>IFERROR(IF('Invullen groen'!E127&gt;0,127-17,""),"")</f>
        <v/>
      </c>
      <c r="B114" s="536">
        <f>IFERROR(IF('Invullen groen'!E127&gt;0,'Invullen groen'!A127,""),"")</f>
        <v/>
      </c>
      <c r="C114" s="536">
        <f>IFERROR(IF('Invullen groen'!E127&gt;0,'Invullen groen'!C127,""),"")</f>
        <v/>
      </c>
      <c r="D114" s="536">
        <f>IFERROR(IF('Invullen groen'!E127&gt;0,'Invullen groen'!D127,""),"")</f>
        <v/>
      </c>
      <c r="E114" s="536">
        <f>IFERROR(IF('Invullen groen'!E127&gt;0,'Invullen groen'!G127,""),"")</f>
        <v/>
      </c>
      <c r="F114" s="537">
        <f>IFERROR(IF('Invullen groen'!L127&lt;&gt;0,'Invullen groen'!L127,""),"")</f>
        <v/>
      </c>
      <c r="G114" s="537">
        <f>IFERROR(IF('Invullen groen'!M127&lt;&gt;0,'Invullen groen'!M127,""),"")</f>
        <v/>
      </c>
      <c r="H114" s="537">
        <f>IFERROR(IF('Invullen groen'!N127&lt;&gt;0,'Invullen groen'!N127,""),"")</f>
        <v/>
      </c>
      <c r="I114" s="537">
        <f>IFERROR(IF('Invullen groen'!O127&lt;&gt;0,'Invullen groen'!O127,""),"")</f>
        <v/>
      </c>
    </row>
    <row r="115" ht="15" customHeight="1">
      <c r="A115" s="534">
        <f>IFERROR(IF('Invullen groen'!E128&gt;0,128-17,""),"")</f>
        <v/>
      </c>
      <c r="B115" s="534">
        <f>IFERROR(IF('Invullen groen'!E128&gt;0,'Invullen groen'!A128,""),"")</f>
        <v/>
      </c>
      <c r="C115" s="534">
        <f>IFERROR(IF('Invullen groen'!E128&gt;0,'Invullen groen'!C128,""),"")</f>
        <v/>
      </c>
      <c r="D115" s="534">
        <f>IFERROR(IF('Invullen groen'!E128&gt;0,'Invullen groen'!D128,""),"")</f>
        <v/>
      </c>
      <c r="E115" s="534">
        <f>IFERROR(IF('Invullen groen'!E128&gt;0,'Invullen groen'!G128,""),"")</f>
        <v/>
      </c>
      <c r="F115" s="535">
        <f>IFERROR(IF('Invullen groen'!L128&lt;&gt;0,'Invullen groen'!L128,""),"")</f>
        <v/>
      </c>
      <c r="G115" s="535">
        <f>IFERROR(IF('Invullen groen'!M128&lt;&gt;0,'Invullen groen'!M128,""),"")</f>
        <v/>
      </c>
      <c r="H115" s="535">
        <f>IFERROR(IF('Invullen groen'!N128&lt;&gt;0,'Invullen groen'!N128,""),"")</f>
        <v/>
      </c>
      <c r="I115" s="535">
        <f>IFERROR(IF('Invullen groen'!O128&lt;&gt;0,'Invullen groen'!O128,""),"")</f>
        <v/>
      </c>
    </row>
    <row r="116" ht="15" customHeight="1">
      <c r="A116" s="536">
        <f>IFERROR(IF('Invullen groen'!E129&gt;0,129-17,""),"")</f>
        <v/>
      </c>
      <c r="B116" s="536">
        <f>IFERROR(IF('Invullen groen'!E129&gt;0,'Invullen groen'!A129,""),"")</f>
        <v/>
      </c>
      <c r="C116" s="536">
        <f>IFERROR(IF('Invullen groen'!E129&gt;0,'Invullen groen'!C129,""),"")</f>
        <v/>
      </c>
      <c r="D116" s="536">
        <f>IFERROR(IF('Invullen groen'!E129&gt;0,'Invullen groen'!D129,""),"")</f>
        <v/>
      </c>
      <c r="E116" s="536">
        <f>IFERROR(IF('Invullen groen'!E129&gt;0,'Invullen groen'!G129,""),"")</f>
        <v/>
      </c>
      <c r="F116" s="537">
        <f>IFERROR(IF('Invullen groen'!L129&lt;&gt;0,'Invullen groen'!L129,""),"")</f>
        <v/>
      </c>
      <c r="G116" s="537">
        <f>IFERROR(IF('Invullen groen'!M129&lt;&gt;0,'Invullen groen'!M129,""),"")</f>
        <v/>
      </c>
      <c r="H116" s="537">
        <f>IFERROR(IF('Invullen groen'!N129&lt;&gt;0,'Invullen groen'!N129,""),"")</f>
        <v/>
      </c>
      <c r="I116" s="537">
        <f>IFERROR(IF('Invullen groen'!O129&lt;&gt;0,'Invullen groen'!O129,""),"")</f>
        <v/>
      </c>
    </row>
    <row r="117" ht="15" customHeight="1">
      <c r="A117" s="534">
        <f>IFERROR(IF('Invullen groen'!E130&gt;0,130-17,""),"")</f>
        <v/>
      </c>
      <c r="B117" s="534">
        <f>IFERROR(IF('Invullen groen'!E130&gt;0,'Invullen groen'!A130,""),"")</f>
        <v/>
      </c>
      <c r="C117" s="534">
        <f>IFERROR(IF('Invullen groen'!E130&gt;0,'Invullen groen'!C130,""),"")</f>
        <v/>
      </c>
      <c r="D117" s="534">
        <f>IFERROR(IF('Invullen groen'!E130&gt;0,'Invullen groen'!D130,""),"")</f>
        <v/>
      </c>
      <c r="E117" s="534">
        <f>IFERROR(IF('Invullen groen'!E130&gt;0,'Invullen groen'!G130,""),"")</f>
        <v/>
      </c>
      <c r="F117" s="535">
        <f>IFERROR(IF('Invullen groen'!L130&lt;&gt;0,'Invullen groen'!L130,""),"")</f>
        <v/>
      </c>
      <c r="G117" s="535">
        <f>IFERROR(IF('Invullen groen'!M130&lt;&gt;0,'Invullen groen'!M130,""),"")</f>
        <v/>
      </c>
      <c r="H117" s="535">
        <f>IFERROR(IF('Invullen groen'!N130&lt;&gt;0,'Invullen groen'!N130,""),"")</f>
        <v/>
      </c>
      <c r="I117" s="535">
        <f>IFERROR(IF('Invullen groen'!O130&lt;&gt;0,'Invullen groen'!O130,""),"")</f>
        <v/>
      </c>
    </row>
    <row r="118" ht="15" customHeight="1">
      <c r="A118" s="536">
        <f>IFERROR(IF('Invullen groen'!E131&gt;0,131-17,""),"")</f>
        <v/>
      </c>
      <c r="B118" s="536">
        <f>IFERROR(IF('Invullen groen'!E131&gt;0,'Invullen groen'!A131,""),"")</f>
        <v/>
      </c>
      <c r="C118" s="536">
        <f>IFERROR(IF('Invullen groen'!E131&gt;0,'Invullen groen'!C131,""),"")</f>
        <v/>
      </c>
      <c r="D118" s="536">
        <f>IFERROR(IF('Invullen groen'!E131&gt;0,'Invullen groen'!D131,""),"")</f>
        <v/>
      </c>
      <c r="E118" s="536">
        <f>IFERROR(IF('Invullen groen'!E131&gt;0,'Invullen groen'!G131,""),"")</f>
        <v/>
      </c>
      <c r="F118" s="537">
        <f>IFERROR(IF('Invullen groen'!L131&lt;&gt;0,'Invullen groen'!L131,""),"")</f>
        <v/>
      </c>
      <c r="G118" s="537">
        <f>IFERROR(IF('Invullen groen'!M131&lt;&gt;0,'Invullen groen'!M131,""),"")</f>
        <v/>
      </c>
      <c r="H118" s="537">
        <f>IFERROR(IF('Invullen groen'!N131&lt;&gt;0,'Invullen groen'!N131,""),"")</f>
        <v/>
      </c>
      <c r="I118" s="537">
        <f>IFERROR(IF('Invullen groen'!O131&lt;&gt;0,'Invullen groen'!O131,""),"")</f>
        <v/>
      </c>
    </row>
    <row r="119" ht="15" customHeight="1">
      <c r="A119" s="534">
        <f>IFERROR(IF('Invullen groen'!E132&gt;0,132-17,""),"")</f>
        <v/>
      </c>
      <c r="B119" s="534">
        <f>IFERROR(IF('Invullen groen'!E132&gt;0,'Invullen groen'!A132,""),"")</f>
        <v/>
      </c>
      <c r="C119" s="534">
        <f>IFERROR(IF('Invullen groen'!E132&gt;0,'Invullen groen'!C132,""),"")</f>
        <v/>
      </c>
      <c r="D119" s="534">
        <f>IFERROR(IF('Invullen groen'!E132&gt;0,'Invullen groen'!D132,""),"")</f>
        <v/>
      </c>
      <c r="E119" s="534">
        <f>IFERROR(IF('Invullen groen'!E132&gt;0,'Invullen groen'!G132,""),"")</f>
        <v/>
      </c>
      <c r="F119" s="535">
        <f>IFERROR(IF('Invullen groen'!L132&lt;&gt;0,'Invullen groen'!L132,""),"")</f>
        <v/>
      </c>
      <c r="G119" s="535">
        <f>IFERROR(IF('Invullen groen'!M132&lt;&gt;0,'Invullen groen'!M132,""),"")</f>
        <v/>
      </c>
      <c r="H119" s="535">
        <f>IFERROR(IF('Invullen groen'!N132&lt;&gt;0,'Invullen groen'!N132,""),"")</f>
        <v/>
      </c>
      <c r="I119" s="535">
        <f>IFERROR(IF('Invullen groen'!O132&lt;&gt;0,'Invullen groen'!O132,""),"")</f>
        <v/>
      </c>
    </row>
    <row r="120" ht="15" customHeight="1">
      <c r="A120" s="536">
        <f>IFERROR(IF('Invullen groen'!E133&gt;0,133-17,""),"")</f>
        <v/>
      </c>
      <c r="B120" s="536">
        <f>IFERROR(IF('Invullen groen'!E133&gt;0,'Invullen groen'!A133,""),"")</f>
        <v/>
      </c>
      <c r="C120" s="536">
        <f>IFERROR(IF('Invullen groen'!E133&gt;0,'Invullen groen'!C133,""),"")</f>
        <v/>
      </c>
      <c r="D120" s="536">
        <f>IFERROR(IF('Invullen groen'!E133&gt;0,'Invullen groen'!D133,""),"")</f>
        <v/>
      </c>
      <c r="E120" s="536">
        <f>IFERROR(IF('Invullen groen'!E133&gt;0,'Invullen groen'!G133,""),"")</f>
        <v/>
      </c>
      <c r="F120" s="537">
        <f>IFERROR(IF('Invullen groen'!L133&lt;&gt;0,'Invullen groen'!L133,""),"")</f>
        <v/>
      </c>
      <c r="G120" s="537">
        <f>IFERROR(IF('Invullen groen'!M133&lt;&gt;0,'Invullen groen'!M133,""),"")</f>
        <v/>
      </c>
      <c r="H120" s="537">
        <f>IFERROR(IF('Invullen groen'!N133&lt;&gt;0,'Invullen groen'!N133,""),"")</f>
        <v/>
      </c>
      <c r="I120" s="537">
        <f>IFERROR(IF('Invullen groen'!O133&lt;&gt;0,'Invullen groen'!O133,""),"")</f>
        <v/>
      </c>
    </row>
    <row r="121" ht="15" customHeight="1">
      <c r="A121" s="534">
        <f>IFERROR(IF('Invullen groen'!E134&gt;0,134-17,""),"")</f>
        <v/>
      </c>
      <c r="B121" s="534">
        <f>IFERROR(IF('Invullen groen'!E134&gt;0,'Invullen groen'!A134,""),"")</f>
        <v/>
      </c>
      <c r="C121" s="534">
        <f>IFERROR(IF('Invullen groen'!E134&gt;0,'Invullen groen'!C134,""),"")</f>
        <v/>
      </c>
      <c r="D121" s="534">
        <f>IFERROR(IF('Invullen groen'!E134&gt;0,'Invullen groen'!D134,""),"")</f>
        <v/>
      </c>
      <c r="E121" s="534">
        <f>IFERROR(IF('Invullen groen'!E134&gt;0,'Invullen groen'!G134,""),"")</f>
        <v/>
      </c>
      <c r="F121" s="535">
        <f>IFERROR(IF('Invullen groen'!L134&lt;&gt;0,'Invullen groen'!L134,""),"")</f>
        <v/>
      </c>
      <c r="G121" s="535">
        <f>IFERROR(IF('Invullen groen'!M134&lt;&gt;0,'Invullen groen'!M134,""),"")</f>
        <v/>
      </c>
      <c r="H121" s="535">
        <f>IFERROR(IF('Invullen groen'!N134&lt;&gt;0,'Invullen groen'!N134,""),"")</f>
        <v/>
      </c>
      <c r="I121" s="535">
        <f>IFERROR(IF('Invullen groen'!O134&lt;&gt;0,'Invullen groen'!O134,""),"")</f>
        <v/>
      </c>
    </row>
    <row r="122" ht="15" customHeight="1">
      <c r="A122" s="536">
        <f>IFERROR(IF('Invullen groen'!E135&gt;0,135-17,""),"")</f>
        <v/>
      </c>
      <c r="B122" s="536">
        <f>IFERROR(IF('Invullen groen'!E135&gt;0,'Invullen groen'!A135,""),"")</f>
        <v/>
      </c>
      <c r="C122" s="536">
        <f>IFERROR(IF('Invullen groen'!E135&gt;0,'Invullen groen'!C135,""),"")</f>
        <v/>
      </c>
      <c r="D122" s="536">
        <f>IFERROR(IF('Invullen groen'!E135&gt;0,'Invullen groen'!D135,""),"")</f>
        <v/>
      </c>
      <c r="E122" s="536">
        <f>IFERROR(IF('Invullen groen'!E135&gt;0,'Invullen groen'!G135,""),"")</f>
        <v/>
      </c>
      <c r="F122" s="537">
        <f>IFERROR(IF('Invullen groen'!L135&lt;&gt;0,'Invullen groen'!L135,""),"")</f>
        <v/>
      </c>
      <c r="G122" s="537">
        <f>IFERROR(IF('Invullen groen'!M135&lt;&gt;0,'Invullen groen'!M135,""),"")</f>
        <v/>
      </c>
      <c r="H122" s="537">
        <f>IFERROR(IF('Invullen groen'!N135&lt;&gt;0,'Invullen groen'!N135,""),"")</f>
        <v/>
      </c>
      <c r="I122" s="537">
        <f>IFERROR(IF('Invullen groen'!O135&lt;&gt;0,'Invullen groen'!O135,""),"")</f>
        <v/>
      </c>
    </row>
    <row r="123" ht="15" customHeight="1">
      <c r="A123" s="534">
        <f>IFERROR(IF('Invullen groen'!E136&gt;0,136-17,""),"")</f>
        <v/>
      </c>
      <c r="B123" s="534">
        <f>IFERROR(IF('Invullen groen'!E136&gt;0,'Invullen groen'!A136,""),"")</f>
        <v/>
      </c>
      <c r="C123" s="534">
        <f>IFERROR(IF('Invullen groen'!E136&gt;0,'Invullen groen'!C136,""),"")</f>
        <v/>
      </c>
      <c r="D123" s="534">
        <f>IFERROR(IF('Invullen groen'!E136&gt;0,'Invullen groen'!D136,""),"")</f>
        <v/>
      </c>
      <c r="E123" s="534">
        <f>IFERROR(IF('Invullen groen'!E136&gt;0,'Invullen groen'!G136,""),"")</f>
        <v/>
      </c>
      <c r="F123" s="535">
        <f>IFERROR(IF('Invullen groen'!L136&lt;&gt;0,'Invullen groen'!L136,""),"")</f>
        <v/>
      </c>
      <c r="G123" s="535">
        <f>IFERROR(IF('Invullen groen'!M136&lt;&gt;0,'Invullen groen'!M136,""),"")</f>
        <v/>
      </c>
      <c r="H123" s="535">
        <f>IFERROR(IF('Invullen groen'!N136&lt;&gt;0,'Invullen groen'!N136,""),"")</f>
        <v/>
      </c>
      <c r="I123" s="535">
        <f>IFERROR(IF('Invullen groen'!O136&lt;&gt;0,'Invullen groen'!O136,""),"")</f>
        <v/>
      </c>
    </row>
    <row r="124" ht="15" customHeight="1">
      <c r="A124" s="536">
        <f>IFERROR(IF('Invullen groen'!E137&gt;0,137-17,""),"")</f>
        <v/>
      </c>
      <c r="B124" s="536">
        <f>IFERROR(IF('Invullen groen'!E137&gt;0,'Invullen groen'!A137,""),"")</f>
        <v/>
      </c>
      <c r="C124" s="536">
        <f>IFERROR(IF('Invullen groen'!E137&gt;0,'Invullen groen'!C137,""),"")</f>
        <v/>
      </c>
      <c r="D124" s="536">
        <f>IFERROR(IF('Invullen groen'!E137&gt;0,'Invullen groen'!D137,""),"")</f>
        <v/>
      </c>
      <c r="E124" s="536">
        <f>IFERROR(IF('Invullen groen'!E137&gt;0,'Invullen groen'!G137,""),"")</f>
        <v/>
      </c>
      <c r="F124" s="537">
        <f>IFERROR(IF('Invullen groen'!L137&lt;&gt;0,'Invullen groen'!L137,""),"")</f>
        <v/>
      </c>
      <c r="G124" s="537">
        <f>IFERROR(IF('Invullen groen'!M137&lt;&gt;0,'Invullen groen'!M137,""),"")</f>
        <v/>
      </c>
      <c r="H124" s="537">
        <f>IFERROR(IF('Invullen groen'!N137&lt;&gt;0,'Invullen groen'!N137,""),"")</f>
        <v/>
      </c>
      <c r="I124" s="537">
        <f>IFERROR(IF('Invullen groen'!O137&lt;&gt;0,'Invullen groen'!O137,""),"")</f>
        <v/>
      </c>
    </row>
    <row r="125" ht="15" customHeight="1">
      <c r="A125" s="534">
        <f>IFERROR(IF('Invullen groen'!E138&gt;0,138-17,""),"")</f>
        <v/>
      </c>
      <c r="B125" s="534">
        <f>IFERROR(IF('Invullen groen'!E138&gt;0,'Invullen groen'!A138,""),"")</f>
        <v/>
      </c>
      <c r="C125" s="534">
        <f>IFERROR(IF('Invullen groen'!E138&gt;0,'Invullen groen'!C138,""),"")</f>
        <v/>
      </c>
      <c r="D125" s="534">
        <f>IFERROR(IF('Invullen groen'!E138&gt;0,'Invullen groen'!D138,""),"")</f>
        <v/>
      </c>
      <c r="E125" s="534">
        <f>IFERROR(IF('Invullen groen'!E138&gt;0,'Invullen groen'!G138,""),"")</f>
        <v/>
      </c>
      <c r="F125" s="535">
        <f>IFERROR(IF('Invullen groen'!L138&lt;&gt;0,'Invullen groen'!L138,""),"")</f>
        <v/>
      </c>
      <c r="G125" s="535">
        <f>IFERROR(IF('Invullen groen'!M138&lt;&gt;0,'Invullen groen'!M138,""),"")</f>
        <v/>
      </c>
      <c r="H125" s="535">
        <f>IFERROR(IF('Invullen groen'!N138&lt;&gt;0,'Invullen groen'!N138,""),"")</f>
        <v/>
      </c>
      <c r="I125" s="535">
        <f>IFERROR(IF('Invullen groen'!O138&lt;&gt;0,'Invullen groen'!O138,""),"")</f>
        <v/>
      </c>
    </row>
    <row r="126" ht="15" customHeight="1">
      <c r="A126" s="536">
        <f>IFERROR(IF('Invullen groen'!E139&gt;0,139-17,""),"")</f>
        <v/>
      </c>
      <c r="B126" s="536">
        <f>IFERROR(IF('Invullen groen'!E139&gt;0,'Invullen groen'!A139,""),"")</f>
        <v/>
      </c>
      <c r="C126" s="536">
        <f>IFERROR(IF('Invullen groen'!E139&gt;0,'Invullen groen'!C139,""),"")</f>
        <v/>
      </c>
      <c r="D126" s="536">
        <f>IFERROR(IF('Invullen groen'!E139&gt;0,'Invullen groen'!D139,""),"")</f>
        <v/>
      </c>
      <c r="E126" s="536">
        <f>IFERROR(IF('Invullen groen'!E139&gt;0,'Invullen groen'!G139,""),"")</f>
        <v/>
      </c>
      <c r="F126" s="537">
        <f>IFERROR(IF('Invullen groen'!L139&lt;&gt;0,'Invullen groen'!L139,""),"")</f>
        <v/>
      </c>
      <c r="G126" s="537">
        <f>IFERROR(IF('Invullen groen'!M139&lt;&gt;0,'Invullen groen'!M139,""),"")</f>
        <v/>
      </c>
      <c r="H126" s="537">
        <f>IFERROR(IF('Invullen groen'!N139&lt;&gt;0,'Invullen groen'!N139,""),"")</f>
        <v/>
      </c>
      <c r="I126" s="537">
        <f>IFERROR(IF('Invullen groen'!O139&lt;&gt;0,'Invullen groen'!O139,""),"")</f>
        <v/>
      </c>
    </row>
    <row r="127" ht="15" customHeight="1">
      <c r="A127" s="534">
        <f>IFERROR(IF('Invullen groen'!E140&gt;0,140-17,""),"")</f>
        <v/>
      </c>
      <c r="B127" s="534">
        <f>IFERROR(IF('Invullen groen'!E140&gt;0,'Invullen groen'!A140,""),"")</f>
        <v/>
      </c>
      <c r="C127" s="534">
        <f>IFERROR(IF('Invullen groen'!E140&gt;0,'Invullen groen'!C140,""),"")</f>
        <v/>
      </c>
      <c r="D127" s="534">
        <f>IFERROR(IF('Invullen groen'!E140&gt;0,'Invullen groen'!D140,""),"")</f>
        <v/>
      </c>
      <c r="E127" s="534">
        <f>IFERROR(IF('Invullen groen'!E140&gt;0,'Invullen groen'!G140,""),"")</f>
        <v/>
      </c>
      <c r="F127" s="535">
        <f>IFERROR(IF('Invullen groen'!L140&lt;&gt;0,'Invullen groen'!L140,""),"")</f>
        <v/>
      </c>
      <c r="G127" s="535">
        <f>IFERROR(IF('Invullen groen'!M140&lt;&gt;0,'Invullen groen'!M140,""),"")</f>
        <v/>
      </c>
      <c r="H127" s="535">
        <f>IFERROR(IF('Invullen groen'!N140&lt;&gt;0,'Invullen groen'!N140,""),"")</f>
        <v/>
      </c>
      <c r="I127" s="535">
        <f>IFERROR(IF('Invullen groen'!O140&lt;&gt;0,'Invullen groen'!O140,""),"")</f>
        <v/>
      </c>
    </row>
    <row r="128" ht="15" customHeight="1">
      <c r="A128" s="536">
        <f>IFERROR(IF('Invullen groen'!E141&gt;0,141-17,""),"")</f>
        <v/>
      </c>
      <c r="B128" s="536">
        <f>IFERROR(IF('Invullen groen'!E141&gt;0,'Invullen groen'!A141,""),"")</f>
        <v/>
      </c>
      <c r="C128" s="536">
        <f>IFERROR(IF('Invullen groen'!E141&gt;0,'Invullen groen'!C141,""),"")</f>
        <v/>
      </c>
      <c r="D128" s="536">
        <f>IFERROR(IF('Invullen groen'!E141&gt;0,'Invullen groen'!D141,""),"")</f>
        <v/>
      </c>
      <c r="E128" s="536">
        <f>IFERROR(IF('Invullen groen'!E141&gt;0,'Invullen groen'!G141,""),"")</f>
        <v/>
      </c>
      <c r="F128" s="537">
        <f>IFERROR(IF('Invullen groen'!L141&lt;&gt;0,'Invullen groen'!L141,""),"")</f>
        <v/>
      </c>
      <c r="G128" s="537">
        <f>IFERROR(IF('Invullen groen'!M141&lt;&gt;0,'Invullen groen'!M141,""),"")</f>
        <v/>
      </c>
      <c r="H128" s="537">
        <f>IFERROR(IF('Invullen groen'!N141&lt;&gt;0,'Invullen groen'!N141,""),"")</f>
        <v/>
      </c>
      <c r="I128" s="537">
        <f>IFERROR(IF('Invullen groen'!O141&lt;&gt;0,'Invullen groen'!O141,""),"")</f>
        <v/>
      </c>
    </row>
    <row r="129" ht="15" customHeight="1">
      <c r="A129" s="534">
        <f>IFERROR(IF('Invullen groen'!E142&gt;0,142-17,""),"")</f>
        <v/>
      </c>
      <c r="B129" s="534">
        <f>IFERROR(IF('Invullen groen'!E142&gt;0,'Invullen groen'!A142,""),"")</f>
        <v/>
      </c>
      <c r="C129" s="534">
        <f>IFERROR(IF('Invullen groen'!E142&gt;0,'Invullen groen'!C142,""),"")</f>
        <v/>
      </c>
      <c r="D129" s="534">
        <f>IFERROR(IF('Invullen groen'!E142&gt;0,'Invullen groen'!D142,""),"")</f>
        <v/>
      </c>
      <c r="E129" s="534">
        <f>IFERROR(IF('Invullen groen'!E142&gt;0,'Invullen groen'!G142,""),"")</f>
        <v/>
      </c>
      <c r="F129" s="535">
        <f>IFERROR(IF('Invullen groen'!L142&lt;&gt;0,'Invullen groen'!L142,""),"")</f>
        <v/>
      </c>
      <c r="G129" s="535">
        <f>IFERROR(IF('Invullen groen'!M142&lt;&gt;0,'Invullen groen'!M142,""),"")</f>
        <v/>
      </c>
      <c r="H129" s="535">
        <f>IFERROR(IF('Invullen groen'!N142&lt;&gt;0,'Invullen groen'!N142,""),"")</f>
        <v/>
      </c>
      <c r="I129" s="535">
        <f>IFERROR(IF('Invullen groen'!O142&lt;&gt;0,'Invullen groen'!O142,""),"")</f>
        <v/>
      </c>
    </row>
    <row r="130" ht="15" customHeight="1">
      <c r="A130" s="536">
        <f>IFERROR(IF('Invullen groen'!E143&gt;0,143-17,""),"")</f>
        <v/>
      </c>
      <c r="B130" s="536">
        <f>IFERROR(IF('Invullen groen'!E143&gt;0,'Invullen groen'!A143,""),"")</f>
        <v/>
      </c>
      <c r="C130" s="536">
        <f>IFERROR(IF('Invullen groen'!E143&gt;0,'Invullen groen'!C143,""),"")</f>
        <v/>
      </c>
      <c r="D130" s="536">
        <f>IFERROR(IF('Invullen groen'!E143&gt;0,'Invullen groen'!D143,""),"")</f>
        <v/>
      </c>
      <c r="E130" s="536">
        <f>IFERROR(IF('Invullen groen'!E143&gt;0,'Invullen groen'!G143,""),"")</f>
        <v/>
      </c>
      <c r="F130" s="537">
        <f>IFERROR(IF('Invullen groen'!L143&lt;&gt;0,'Invullen groen'!L143,""),"")</f>
        <v/>
      </c>
      <c r="G130" s="537">
        <f>IFERROR(IF('Invullen groen'!M143&lt;&gt;0,'Invullen groen'!M143,""),"")</f>
        <v/>
      </c>
      <c r="H130" s="537">
        <f>IFERROR(IF('Invullen groen'!N143&lt;&gt;0,'Invullen groen'!N143,""),"")</f>
        <v/>
      </c>
      <c r="I130" s="537">
        <f>IFERROR(IF('Invullen groen'!O143&lt;&gt;0,'Invullen groen'!O143,""),"")</f>
        <v/>
      </c>
    </row>
    <row r="131" ht="15" customHeight="1">
      <c r="A131" s="534">
        <f>IFERROR(IF('Invullen groen'!E144&gt;0,144-17,""),"")</f>
        <v/>
      </c>
      <c r="B131" s="534">
        <f>IFERROR(IF('Invullen groen'!E144&gt;0,'Invullen groen'!A144,""),"")</f>
        <v/>
      </c>
      <c r="C131" s="534">
        <f>IFERROR(IF('Invullen groen'!E144&gt;0,'Invullen groen'!C144,""),"")</f>
        <v/>
      </c>
      <c r="D131" s="534">
        <f>IFERROR(IF('Invullen groen'!E144&gt;0,'Invullen groen'!D144,""),"")</f>
        <v/>
      </c>
      <c r="E131" s="534">
        <f>IFERROR(IF('Invullen groen'!E144&gt;0,'Invullen groen'!G144,""),"")</f>
        <v/>
      </c>
      <c r="F131" s="535">
        <f>IFERROR(IF('Invullen groen'!L144&lt;&gt;0,'Invullen groen'!L144,""),"")</f>
        <v/>
      </c>
      <c r="G131" s="535">
        <f>IFERROR(IF('Invullen groen'!M144&lt;&gt;0,'Invullen groen'!M144,""),"")</f>
        <v/>
      </c>
      <c r="H131" s="535">
        <f>IFERROR(IF('Invullen groen'!N144&lt;&gt;0,'Invullen groen'!N144,""),"")</f>
        <v/>
      </c>
      <c r="I131" s="535">
        <f>IFERROR(IF('Invullen groen'!O144&lt;&gt;0,'Invullen groen'!O144,""),"")</f>
        <v/>
      </c>
    </row>
    <row r="132" ht="15" customHeight="1">
      <c r="A132" s="536">
        <f>IFERROR(IF('Invullen groen'!E145&gt;0,145-17,""),"")</f>
        <v/>
      </c>
      <c r="B132" s="536">
        <f>IFERROR(IF('Invullen groen'!E145&gt;0,'Invullen groen'!A145,""),"")</f>
        <v/>
      </c>
      <c r="C132" s="536">
        <f>IFERROR(IF('Invullen groen'!E145&gt;0,'Invullen groen'!C145,""),"")</f>
        <v/>
      </c>
      <c r="D132" s="536">
        <f>IFERROR(IF('Invullen groen'!E145&gt;0,'Invullen groen'!D145,""),"")</f>
        <v/>
      </c>
      <c r="E132" s="536">
        <f>IFERROR(IF('Invullen groen'!E145&gt;0,'Invullen groen'!G145,""),"")</f>
        <v/>
      </c>
      <c r="F132" s="537">
        <f>IFERROR(IF('Invullen groen'!L145&lt;&gt;0,'Invullen groen'!L145,""),"")</f>
        <v/>
      </c>
      <c r="G132" s="537">
        <f>IFERROR(IF('Invullen groen'!M145&lt;&gt;0,'Invullen groen'!M145,""),"")</f>
        <v/>
      </c>
      <c r="H132" s="537">
        <f>IFERROR(IF('Invullen groen'!N145&lt;&gt;0,'Invullen groen'!N145,""),"")</f>
        <v/>
      </c>
      <c r="I132" s="537">
        <f>IFERROR(IF('Invullen groen'!O145&lt;&gt;0,'Invullen groen'!O145,""),"")</f>
        <v/>
      </c>
    </row>
    <row r="133" ht="15" customHeight="1">
      <c r="A133" s="534">
        <f>IFERROR(IF('Invullen groen'!E146&gt;0,146-17,""),"")</f>
        <v/>
      </c>
      <c r="B133" s="534">
        <f>IFERROR(IF('Invullen groen'!E146&gt;0,'Invullen groen'!A146,""),"")</f>
        <v/>
      </c>
      <c r="C133" s="534">
        <f>IFERROR(IF('Invullen groen'!E146&gt;0,'Invullen groen'!C146,""),"")</f>
        <v/>
      </c>
      <c r="D133" s="534">
        <f>IFERROR(IF('Invullen groen'!E146&gt;0,'Invullen groen'!D146,""),"")</f>
        <v/>
      </c>
      <c r="E133" s="534">
        <f>IFERROR(IF('Invullen groen'!E146&gt;0,'Invullen groen'!G146,""),"")</f>
        <v/>
      </c>
      <c r="F133" s="535">
        <f>IFERROR(IF('Invullen groen'!L146&lt;&gt;0,'Invullen groen'!L146,""),"")</f>
        <v/>
      </c>
      <c r="G133" s="535">
        <f>IFERROR(IF('Invullen groen'!M146&lt;&gt;0,'Invullen groen'!M146,""),"")</f>
        <v/>
      </c>
      <c r="H133" s="535">
        <f>IFERROR(IF('Invullen groen'!N146&lt;&gt;0,'Invullen groen'!N146,""),"")</f>
        <v/>
      </c>
      <c r="I133" s="535">
        <f>IFERROR(IF('Invullen groen'!O146&lt;&gt;0,'Invullen groen'!O146,""),"")</f>
        <v/>
      </c>
    </row>
    <row r="134" ht="15" customHeight="1">
      <c r="A134" s="536">
        <f>IFERROR(IF('Invullen groen'!E147&gt;0,147-17,""),"")</f>
        <v/>
      </c>
      <c r="B134" s="536">
        <f>IFERROR(IF('Invullen groen'!E147&gt;0,'Invullen groen'!A147,""),"")</f>
        <v/>
      </c>
      <c r="C134" s="536">
        <f>IFERROR(IF('Invullen groen'!E147&gt;0,'Invullen groen'!C147,""),"")</f>
        <v/>
      </c>
      <c r="D134" s="536">
        <f>IFERROR(IF('Invullen groen'!E147&gt;0,'Invullen groen'!D147,""),"")</f>
        <v/>
      </c>
      <c r="E134" s="536">
        <f>IFERROR(IF('Invullen groen'!E147&gt;0,'Invullen groen'!G147,""),"")</f>
        <v/>
      </c>
      <c r="F134" s="537">
        <f>IFERROR(IF('Invullen groen'!L147&lt;&gt;0,'Invullen groen'!L147,""),"")</f>
        <v/>
      </c>
      <c r="G134" s="537">
        <f>IFERROR(IF('Invullen groen'!M147&lt;&gt;0,'Invullen groen'!M147,""),"")</f>
        <v/>
      </c>
      <c r="H134" s="537">
        <f>IFERROR(IF('Invullen groen'!N147&lt;&gt;0,'Invullen groen'!N147,""),"")</f>
        <v/>
      </c>
      <c r="I134" s="537">
        <f>IFERROR(IF('Invullen groen'!O147&lt;&gt;0,'Invullen groen'!O147,""),"")</f>
        <v/>
      </c>
    </row>
    <row r="135" ht="15" customHeight="1">
      <c r="A135" s="534">
        <f>IFERROR(IF('Invullen groen'!E148&gt;0,148-17,""),"")</f>
        <v/>
      </c>
      <c r="B135" s="534">
        <f>IFERROR(IF('Invullen groen'!E148&gt;0,'Invullen groen'!A148,""),"")</f>
        <v/>
      </c>
      <c r="C135" s="534">
        <f>IFERROR(IF('Invullen groen'!E148&gt;0,'Invullen groen'!C148,""),"")</f>
        <v/>
      </c>
      <c r="D135" s="534">
        <f>IFERROR(IF('Invullen groen'!E148&gt;0,'Invullen groen'!D148,""),"")</f>
        <v/>
      </c>
      <c r="E135" s="534">
        <f>IFERROR(IF('Invullen groen'!E148&gt;0,'Invullen groen'!G148,""),"")</f>
        <v/>
      </c>
      <c r="F135" s="535">
        <f>IFERROR(IF('Invullen groen'!L148&lt;&gt;0,'Invullen groen'!L148,""),"")</f>
        <v/>
      </c>
      <c r="G135" s="535">
        <f>IFERROR(IF('Invullen groen'!M148&lt;&gt;0,'Invullen groen'!M148,""),"")</f>
        <v/>
      </c>
      <c r="H135" s="535">
        <f>IFERROR(IF('Invullen groen'!N148&lt;&gt;0,'Invullen groen'!N148,""),"")</f>
        <v/>
      </c>
      <c r="I135" s="535">
        <f>IFERROR(IF('Invullen groen'!O148&lt;&gt;0,'Invullen groen'!O148,""),"")</f>
        <v/>
      </c>
    </row>
    <row r="136" ht="15" customHeight="1">
      <c r="A136" s="536">
        <f>IFERROR(IF('Invullen groen'!E149&gt;0,149-17,""),"")</f>
        <v/>
      </c>
      <c r="B136" s="536">
        <f>IFERROR(IF('Invullen groen'!E149&gt;0,'Invullen groen'!A149,""),"")</f>
        <v/>
      </c>
      <c r="C136" s="536">
        <f>IFERROR(IF('Invullen groen'!E149&gt;0,'Invullen groen'!C149,""),"")</f>
        <v/>
      </c>
      <c r="D136" s="536">
        <f>IFERROR(IF('Invullen groen'!E149&gt;0,'Invullen groen'!D149,""),"")</f>
        <v/>
      </c>
      <c r="E136" s="536">
        <f>IFERROR(IF('Invullen groen'!E149&gt;0,'Invullen groen'!G149,""),"")</f>
        <v/>
      </c>
      <c r="F136" s="537">
        <f>IFERROR(IF('Invullen groen'!L149&lt;&gt;0,'Invullen groen'!L149,""),"")</f>
        <v/>
      </c>
      <c r="G136" s="537">
        <f>IFERROR(IF('Invullen groen'!M149&lt;&gt;0,'Invullen groen'!M149,""),"")</f>
        <v/>
      </c>
      <c r="H136" s="537">
        <f>IFERROR(IF('Invullen groen'!N149&lt;&gt;0,'Invullen groen'!N149,""),"")</f>
        <v/>
      </c>
      <c r="I136" s="537">
        <f>IFERROR(IF('Invullen groen'!O149&lt;&gt;0,'Invullen groen'!O149,""),"")</f>
        <v/>
      </c>
    </row>
    <row r="137" ht="15" customHeight="1">
      <c r="A137" s="534">
        <f>IFERROR(IF('Invullen groen'!E150&gt;0,150-17,""),"")</f>
        <v/>
      </c>
      <c r="B137" s="534">
        <f>IFERROR(IF('Invullen groen'!E150&gt;0,'Invullen groen'!A150,""),"")</f>
        <v/>
      </c>
      <c r="C137" s="534">
        <f>IFERROR(IF('Invullen groen'!E150&gt;0,'Invullen groen'!C150,""),"")</f>
        <v/>
      </c>
      <c r="D137" s="534">
        <f>IFERROR(IF('Invullen groen'!E150&gt;0,'Invullen groen'!D150,""),"")</f>
        <v/>
      </c>
      <c r="E137" s="534">
        <f>IFERROR(IF('Invullen groen'!E150&gt;0,'Invullen groen'!G150,""),"")</f>
        <v/>
      </c>
      <c r="F137" s="535">
        <f>IFERROR(IF('Invullen groen'!L150&lt;&gt;0,'Invullen groen'!L150,""),"")</f>
        <v/>
      </c>
      <c r="G137" s="535">
        <f>IFERROR(IF('Invullen groen'!M150&lt;&gt;0,'Invullen groen'!M150,""),"")</f>
        <v/>
      </c>
      <c r="H137" s="535">
        <f>IFERROR(IF('Invullen groen'!N150&lt;&gt;0,'Invullen groen'!N150,""),"")</f>
        <v/>
      </c>
      <c r="I137" s="535">
        <f>IFERROR(IF('Invullen groen'!O150&lt;&gt;0,'Invullen groen'!O150,""),"")</f>
        <v/>
      </c>
    </row>
    <row r="138" ht="15" customHeight="1">
      <c r="A138" s="536">
        <f>IFERROR(IF('Invullen groen'!E151&gt;0,151-17,""),"")</f>
        <v/>
      </c>
      <c r="B138" s="536">
        <f>IFERROR(IF('Invullen groen'!E151&gt;0,'Invullen groen'!A151,""),"")</f>
        <v/>
      </c>
      <c r="C138" s="536">
        <f>IFERROR(IF('Invullen groen'!E151&gt;0,'Invullen groen'!C151,""),"")</f>
        <v/>
      </c>
      <c r="D138" s="536">
        <f>IFERROR(IF('Invullen groen'!E151&gt;0,'Invullen groen'!D151,""),"")</f>
        <v/>
      </c>
      <c r="E138" s="536">
        <f>IFERROR(IF('Invullen groen'!E151&gt;0,'Invullen groen'!G151,""),"")</f>
        <v/>
      </c>
      <c r="F138" s="537">
        <f>IFERROR(IF('Invullen groen'!L151&lt;&gt;0,'Invullen groen'!L151,""),"")</f>
        <v/>
      </c>
      <c r="G138" s="537">
        <f>IFERROR(IF('Invullen groen'!M151&lt;&gt;0,'Invullen groen'!M151,""),"")</f>
        <v/>
      </c>
      <c r="H138" s="537">
        <f>IFERROR(IF('Invullen groen'!N151&lt;&gt;0,'Invullen groen'!N151,""),"")</f>
        <v/>
      </c>
      <c r="I138" s="537">
        <f>IFERROR(IF('Invullen groen'!O151&lt;&gt;0,'Invullen groen'!O151,""),"")</f>
        <v/>
      </c>
    </row>
    <row r="139" ht="15" customHeight="1">
      <c r="A139" s="534">
        <f>IFERROR(IF('Invullen groen'!E152&gt;0,152-17,""),"")</f>
        <v/>
      </c>
      <c r="B139" s="534">
        <f>IFERROR(IF('Invullen groen'!E152&gt;0,'Invullen groen'!A152,""),"")</f>
        <v/>
      </c>
      <c r="C139" s="534">
        <f>IFERROR(IF('Invullen groen'!E152&gt;0,'Invullen groen'!C152,""),"")</f>
        <v/>
      </c>
      <c r="D139" s="534">
        <f>IFERROR(IF('Invullen groen'!E152&gt;0,'Invullen groen'!D152,""),"")</f>
        <v/>
      </c>
      <c r="E139" s="534">
        <f>IFERROR(IF('Invullen groen'!E152&gt;0,'Invullen groen'!G152,""),"")</f>
        <v/>
      </c>
      <c r="F139" s="535">
        <f>IFERROR(IF('Invullen groen'!L152&lt;&gt;0,'Invullen groen'!L152,""),"")</f>
        <v/>
      </c>
      <c r="G139" s="535">
        <f>IFERROR(IF('Invullen groen'!M152&lt;&gt;0,'Invullen groen'!M152,""),"")</f>
        <v/>
      </c>
      <c r="H139" s="535">
        <f>IFERROR(IF('Invullen groen'!N152&lt;&gt;0,'Invullen groen'!N152,""),"")</f>
        <v/>
      </c>
      <c r="I139" s="535">
        <f>IFERROR(IF('Invullen groen'!O152&lt;&gt;0,'Invullen groen'!O152,""),"")</f>
        <v/>
      </c>
    </row>
    <row r="140" ht="15" customHeight="1">
      <c r="A140" s="536">
        <f>IFERROR(IF('Invullen groen'!E153&gt;0,153-17,""),"")</f>
        <v/>
      </c>
      <c r="B140" s="536">
        <f>IFERROR(IF('Invullen groen'!E153&gt;0,'Invullen groen'!A153,""),"")</f>
        <v/>
      </c>
      <c r="C140" s="536">
        <f>IFERROR(IF('Invullen groen'!E153&gt;0,'Invullen groen'!C153,""),"")</f>
        <v/>
      </c>
      <c r="D140" s="536">
        <f>IFERROR(IF('Invullen groen'!E153&gt;0,'Invullen groen'!D153,""),"")</f>
        <v/>
      </c>
      <c r="E140" s="536">
        <f>IFERROR(IF('Invullen groen'!E153&gt;0,'Invullen groen'!G153,""),"")</f>
        <v/>
      </c>
      <c r="F140" s="537">
        <f>IFERROR(IF('Invullen groen'!L153&lt;&gt;0,'Invullen groen'!L153,""),"")</f>
        <v/>
      </c>
      <c r="G140" s="537">
        <f>IFERROR(IF('Invullen groen'!M153&lt;&gt;0,'Invullen groen'!M153,""),"")</f>
        <v/>
      </c>
      <c r="H140" s="537">
        <f>IFERROR(IF('Invullen groen'!N153&lt;&gt;0,'Invullen groen'!N153,""),"")</f>
        <v/>
      </c>
      <c r="I140" s="537">
        <f>IFERROR(IF('Invullen groen'!O153&lt;&gt;0,'Invullen groen'!O153,""),"")</f>
        <v/>
      </c>
    </row>
    <row r="141" ht="15" customHeight="1">
      <c r="A141" s="534">
        <f>IFERROR(IF('Invullen groen'!E154&gt;0,154-17,""),"")</f>
        <v/>
      </c>
      <c r="B141" s="534">
        <f>IFERROR(IF('Invullen groen'!E154&gt;0,'Invullen groen'!A154,""),"")</f>
        <v/>
      </c>
      <c r="C141" s="534">
        <f>IFERROR(IF('Invullen groen'!E154&gt;0,'Invullen groen'!C154,""),"")</f>
        <v/>
      </c>
      <c r="D141" s="534">
        <f>IFERROR(IF('Invullen groen'!E154&gt;0,'Invullen groen'!D154,""),"")</f>
        <v/>
      </c>
      <c r="E141" s="534">
        <f>IFERROR(IF('Invullen groen'!E154&gt;0,'Invullen groen'!G154,""),"")</f>
        <v/>
      </c>
      <c r="F141" s="535">
        <f>IFERROR(IF('Invullen groen'!L154&lt;&gt;0,'Invullen groen'!L154,""),"")</f>
        <v/>
      </c>
      <c r="G141" s="535">
        <f>IFERROR(IF('Invullen groen'!M154&lt;&gt;0,'Invullen groen'!M154,""),"")</f>
        <v/>
      </c>
      <c r="H141" s="535">
        <f>IFERROR(IF('Invullen groen'!N154&lt;&gt;0,'Invullen groen'!N154,""),"")</f>
        <v/>
      </c>
      <c r="I141" s="535">
        <f>IFERROR(IF('Invullen groen'!O154&lt;&gt;0,'Invullen groen'!O154,""),"")</f>
        <v/>
      </c>
    </row>
    <row r="142" ht="15" customHeight="1">
      <c r="A142" s="536">
        <f>IFERROR(IF('Invullen groen'!E155&gt;0,155-17,""),"")</f>
        <v/>
      </c>
      <c r="B142" s="536">
        <f>IFERROR(IF('Invullen groen'!E155&gt;0,'Invullen groen'!A155,""),"")</f>
        <v/>
      </c>
      <c r="C142" s="536">
        <f>IFERROR(IF('Invullen groen'!E155&gt;0,'Invullen groen'!C155,""),"")</f>
        <v/>
      </c>
      <c r="D142" s="536">
        <f>IFERROR(IF('Invullen groen'!E155&gt;0,'Invullen groen'!D155,""),"")</f>
        <v/>
      </c>
      <c r="E142" s="536">
        <f>IFERROR(IF('Invullen groen'!E155&gt;0,'Invullen groen'!G155,""),"")</f>
        <v/>
      </c>
      <c r="F142" s="537">
        <f>IFERROR(IF('Invullen groen'!L155&lt;&gt;0,'Invullen groen'!L155,""),"")</f>
        <v/>
      </c>
      <c r="G142" s="537">
        <f>IFERROR(IF('Invullen groen'!M155&lt;&gt;0,'Invullen groen'!M155,""),"")</f>
        <v/>
      </c>
      <c r="H142" s="537">
        <f>IFERROR(IF('Invullen groen'!N155&lt;&gt;0,'Invullen groen'!N155,""),"")</f>
        <v/>
      </c>
      <c r="I142" s="537">
        <f>IFERROR(IF('Invullen groen'!O155&lt;&gt;0,'Invullen groen'!O155,""),"")</f>
        <v/>
      </c>
    </row>
    <row r="143" ht="15" customHeight="1">
      <c r="A143" s="534">
        <f>IFERROR(IF('Invullen groen'!E156&gt;0,156-17,""),"")</f>
        <v/>
      </c>
      <c r="B143" s="534">
        <f>IFERROR(IF('Invullen groen'!E156&gt;0,'Invullen groen'!A156,""),"")</f>
        <v/>
      </c>
      <c r="C143" s="534">
        <f>IFERROR(IF('Invullen groen'!E156&gt;0,'Invullen groen'!C156,""),"")</f>
        <v/>
      </c>
      <c r="D143" s="534">
        <f>IFERROR(IF('Invullen groen'!E156&gt;0,'Invullen groen'!D156,""),"")</f>
        <v/>
      </c>
      <c r="E143" s="534">
        <f>IFERROR(IF('Invullen groen'!E156&gt;0,'Invullen groen'!G156,""),"")</f>
        <v/>
      </c>
      <c r="F143" s="535">
        <f>IFERROR(IF('Invullen groen'!L156&lt;&gt;0,'Invullen groen'!L156,""),"")</f>
        <v/>
      </c>
      <c r="G143" s="535">
        <f>IFERROR(IF('Invullen groen'!M156&lt;&gt;0,'Invullen groen'!M156,""),"")</f>
        <v/>
      </c>
      <c r="H143" s="535">
        <f>IFERROR(IF('Invullen groen'!N156&lt;&gt;0,'Invullen groen'!N156,""),"")</f>
        <v/>
      </c>
      <c r="I143" s="535">
        <f>IFERROR(IF('Invullen groen'!O156&lt;&gt;0,'Invullen groen'!O156,""),"")</f>
        <v/>
      </c>
    </row>
    <row r="144" ht="15" customHeight="1">
      <c r="A144" s="536">
        <f>IFERROR(IF('Invullen groen'!E157&gt;0,157-17,""),"")</f>
        <v/>
      </c>
      <c r="B144" s="536">
        <f>IFERROR(IF('Invullen groen'!E157&gt;0,'Invullen groen'!A157,""),"")</f>
        <v/>
      </c>
      <c r="C144" s="536">
        <f>IFERROR(IF('Invullen groen'!E157&gt;0,'Invullen groen'!C157,""),"")</f>
        <v/>
      </c>
      <c r="D144" s="536">
        <f>IFERROR(IF('Invullen groen'!E157&gt;0,'Invullen groen'!D157,""),"")</f>
        <v/>
      </c>
      <c r="E144" s="536">
        <f>IFERROR(IF('Invullen groen'!E157&gt;0,'Invullen groen'!G157,""),"")</f>
        <v/>
      </c>
      <c r="F144" s="537">
        <f>IFERROR(IF('Invullen groen'!L157&lt;&gt;0,'Invullen groen'!L157,""),"")</f>
        <v/>
      </c>
      <c r="G144" s="537">
        <f>IFERROR(IF('Invullen groen'!M157&lt;&gt;0,'Invullen groen'!M157,""),"")</f>
        <v/>
      </c>
      <c r="H144" s="537">
        <f>IFERROR(IF('Invullen groen'!N157&lt;&gt;0,'Invullen groen'!N157,""),"")</f>
        <v/>
      </c>
      <c r="I144" s="537">
        <f>IFERROR(IF('Invullen groen'!O157&lt;&gt;0,'Invullen groen'!O157,""),"")</f>
        <v/>
      </c>
    </row>
    <row r="145" ht="15" customHeight="1">
      <c r="A145" s="534">
        <f>IFERROR(IF('Invullen groen'!E158&gt;0,158-17,""),"")</f>
        <v/>
      </c>
      <c r="B145" s="534">
        <f>IFERROR(IF('Invullen groen'!E158&gt;0,'Invullen groen'!A158,""),"")</f>
        <v/>
      </c>
      <c r="C145" s="534">
        <f>IFERROR(IF('Invullen groen'!E158&gt;0,'Invullen groen'!C158,""),"")</f>
        <v/>
      </c>
      <c r="D145" s="534">
        <f>IFERROR(IF('Invullen groen'!E158&gt;0,'Invullen groen'!D158,""),"")</f>
        <v/>
      </c>
      <c r="E145" s="534">
        <f>IFERROR(IF('Invullen groen'!E158&gt;0,'Invullen groen'!G158,""),"")</f>
        <v/>
      </c>
      <c r="F145" s="535">
        <f>IFERROR(IF('Invullen groen'!L158&lt;&gt;0,'Invullen groen'!L158,""),"")</f>
        <v/>
      </c>
      <c r="G145" s="535">
        <f>IFERROR(IF('Invullen groen'!M158&lt;&gt;0,'Invullen groen'!M158,""),"")</f>
        <v/>
      </c>
      <c r="H145" s="535">
        <f>IFERROR(IF('Invullen groen'!N158&lt;&gt;0,'Invullen groen'!N158,""),"")</f>
        <v/>
      </c>
      <c r="I145" s="535">
        <f>IFERROR(IF('Invullen groen'!O158&lt;&gt;0,'Invullen groen'!O158,""),"")</f>
        <v/>
      </c>
    </row>
    <row r="146" ht="15" customHeight="1">
      <c r="A146" s="536">
        <f>IFERROR(IF('Invullen groen'!E159&gt;0,159-17,""),"")</f>
        <v/>
      </c>
      <c r="B146" s="536">
        <f>IFERROR(IF('Invullen groen'!E159&gt;0,'Invullen groen'!A159,""),"")</f>
        <v/>
      </c>
      <c r="C146" s="536">
        <f>IFERROR(IF('Invullen groen'!E159&gt;0,'Invullen groen'!C159,""),"")</f>
        <v/>
      </c>
      <c r="D146" s="536">
        <f>IFERROR(IF('Invullen groen'!E159&gt;0,'Invullen groen'!D159,""),"")</f>
        <v/>
      </c>
      <c r="E146" s="536">
        <f>IFERROR(IF('Invullen groen'!E159&gt;0,'Invullen groen'!G159,""),"")</f>
        <v/>
      </c>
      <c r="F146" s="537">
        <f>IFERROR(IF('Invullen groen'!L159&lt;&gt;0,'Invullen groen'!L159,""),"")</f>
        <v/>
      </c>
      <c r="G146" s="537">
        <f>IFERROR(IF('Invullen groen'!M159&lt;&gt;0,'Invullen groen'!M159,""),"")</f>
        <v/>
      </c>
      <c r="H146" s="537">
        <f>IFERROR(IF('Invullen groen'!N159&lt;&gt;0,'Invullen groen'!N159,""),"")</f>
        <v/>
      </c>
      <c r="I146" s="537">
        <f>IFERROR(IF('Invullen groen'!O159&lt;&gt;0,'Invullen groen'!O159,""),"")</f>
        <v/>
      </c>
    </row>
    <row r="147" ht="15" customHeight="1">
      <c r="A147" s="534">
        <f>IFERROR(IF('Invullen groen'!E160&gt;0,160-17,""),"")</f>
        <v/>
      </c>
      <c r="B147" s="534">
        <f>IFERROR(IF('Invullen groen'!E160&gt;0,'Invullen groen'!A160,""),"")</f>
        <v/>
      </c>
      <c r="C147" s="534">
        <f>IFERROR(IF('Invullen groen'!E160&gt;0,'Invullen groen'!C160,""),"")</f>
        <v/>
      </c>
      <c r="D147" s="534">
        <f>IFERROR(IF('Invullen groen'!E160&gt;0,'Invullen groen'!D160,""),"")</f>
        <v/>
      </c>
      <c r="E147" s="534">
        <f>IFERROR(IF('Invullen groen'!E160&gt;0,'Invullen groen'!G160,""),"")</f>
        <v/>
      </c>
      <c r="F147" s="535">
        <f>IFERROR(IF('Invullen groen'!L160&lt;&gt;0,'Invullen groen'!L160,""),"")</f>
        <v/>
      </c>
      <c r="G147" s="535">
        <f>IFERROR(IF('Invullen groen'!M160&lt;&gt;0,'Invullen groen'!M160,""),"")</f>
        <v/>
      </c>
      <c r="H147" s="535">
        <f>IFERROR(IF('Invullen groen'!N160&lt;&gt;0,'Invullen groen'!N160,""),"")</f>
        <v/>
      </c>
      <c r="I147" s="535">
        <f>IFERROR(IF('Invullen groen'!O160&lt;&gt;0,'Invullen groen'!O160,""),"")</f>
        <v/>
      </c>
    </row>
    <row r="148" ht="15" customHeight="1">
      <c r="A148" s="536">
        <f>IFERROR(IF('Invullen groen'!E161&gt;0,161-17,""),"")</f>
        <v/>
      </c>
      <c r="B148" s="536">
        <f>IFERROR(IF('Invullen groen'!E161&gt;0,'Invullen groen'!A161,""),"")</f>
        <v/>
      </c>
      <c r="C148" s="536">
        <f>IFERROR(IF('Invullen groen'!E161&gt;0,'Invullen groen'!C161,""),"")</f>
        <v/>
      </c>
      <c r="D148" s="536">
        <f>IFERROR(IF('Invullen groen'!E161&gt;0,'Invullen groen'!D161,""),"")</f>
        <v/>
      </c>
      <c r="E148" s="536">
        <f>IFERROR(IF('Invullen groen'!E161&gt;0,'Invullen groen'!G161,""),"")</f>
        <v/>
      </c>
      <c r="F148" s="537">
        <f>IFERROR(IF('Invullen groen'!L161&lt;&gt;0,'Invullen groen'!L161,""),"")</f>
        <v/>
      </c>
      <c r="G148" s="537">
        <f>IFERROR(IF('Invullen groen'!M161&lt;&gt;0,'Invullen groen'!M161,""),"")</f>
        <v/>
      </c>
      <c r="H148" s="537">
        <f>IFERROR(IF('Invullen groen'!N161&lt;&gt;0,'Invullen groen'!N161,""),"")</f>
        <v/>
      </c>
      <c r="I148" s="537">
        <f>IFERROR(IF('Invullen groen'!O161&lt;&gt;0,'Invullen groen'!O161,""),"")</f>
        <v/>
      </c>
    </row>
    <row r="149" ht="15" customHeight="1">
      <c r="A149" s="534">
        <f>IFERROR(IF('Invullen groen'!E162&gt;0,162-17,""),"")</f>
        <v/>
      </c>
      <c r="B149" s="534">
        <f>IFERROR(IF('Invullen groen'!E162&gt;0,'Invullen groen'!A162,""),"")</f>
        <v/>
      </c>
      <c r="C149" s="534">
        <f>IFERROR(IF('Invullen groen'!E162&gt;0,'Invullen groen'!C162,""),"")</f>
        <v/>
      </c>
      <c r="D149" s="534">
        <f>IFERROR(IF('Invullen groen'!E162&gt;0,'Invullen groen'!D162,""),"")</f>
        <v/>
      </c>
      <c r="E149" s="534">
        <f>IFERROR(IF('Invullen groen'!E162&gt;0,'Invullen groen'!G162,""),"")</f>
        <v/>
      </c>
      <c r="F149" s="535">
        <f>IFERROR(IF('Invullen groen'!L162&lt;&gt;0,'Invullen groen'!L162,""),"")</f>
        <v/>
      </c>
      <c r="G149" s="535">
        <f>IFERROR(IF('Invullen groen'!M162&lt;&gt;0,'Invullen groen'!M162,""),"")</f>
        <v/>
      </c>
      <c r="H149" s="535">
        <f>IFERROR(IF('Invullen groen'!N162&lt;&gt;0,'Invullen groen'!N162,""),"")</f>
        <v/>
      </c>
      <c r="I149" s="535">
        <f>IFERROR(IF('Invullen groen'!O162&lt;&gt;0,'Invullen groen'!O162,""),"")</f>
        <v/>
      </c>
    </row>
    <row r="150" ht="15" customHeight="1">
      <c r="A150" s="536">
        <f>IFERROR(IF('Invullen groen'!E163&gt;0,163-17,""),"")</f>
        <v/>
      </c>
      <c r="B150" s="536">
        <f>IFERROR(IF('Invullen groen'!E163&gt;0,'Invullen groen'!A163,""),"")</f>
        <v/>
      </c>
      <c r="C150" s="536">
        <f>IFERROR(IF('Invullen groen'!E163&gt;0,'Invullen groen'!C163,""),"")</f>
        <v/>
      </c>
      <c r="D150" s="536">
        <f>IFERROR(IF('Invullen groen'!E163&gt;0,'Invullen groen'!D163,""),"")</f>
        <v/>
      </c>
      <c r="E150" s="536">
        <f>IFERROR(IF('Invullen groen'!E163&gt;0,'Invullen groen'!G163,""),"")</f>
        <v/>
      </c>
      <c r="F150" s="537">
        <f>IFERROR(IF('Invullen groen'!L163&lt;&gt;0,'Invullen groen'!L163,""),"")</f>
        <v/>
      </c>
      <c r="G150" s="537">
        <f>IFERROR(IF('Invullen groen'!M163&lt;&gt;0,'Invullen groen'!M163,""),"")</f>
        <v/>
      </c>
      <c r="H150" s="537">
        <f>IFERROR(IF('Invullen groen'!N163&lt;&gt;0,'Invullen groen'!N163,""),"")</f>
        <v/>
      </c>
      <c r="I150" s="537">
        <f>IFERROR(IF('Invullen groen'!O163&lt;&gt;0,'Invullen groen'!O163,""),"")</f>
        <v/>
      </c>
    </row>
    <row r="151" ht="15" customHeight="1">
      <c r="A151" s="534">
        <f>IFERROR(IF('Invullen groen'!E164&gt;0,164-17,""),"")</f>
        <v/>
      </c>
      <c r="B151" s="534">
        <f>IFERROR(IF('Invullen groen'!E164&gt;0,'Invullen groen'!A164,""),"")</f>
        <v/>
      </c>
      <c r="C151" s="534">
        <f>IFERROR(IF('Invullen groen'!E164&gt;0,'Invullen groen'!C164,""),"")</f>
        <v/>
      </c>
      <c r="D151" s="534">
        <f>IFERROR(IF('Invullen groen'!E164&gt;0,'Invullen groen'!D164,""),"")</f>
        <v/>
      </c>
      <c r="E151" s="534">
        <f>IFERROR(IF('Invullen groen'!E164&gt;0,'Invullen groen'!G164,""),"")</f>
        <v/>
      </c>
      <c r="F151" s="535">
        <f>IFERROR(IF('Invullen groen'!L164&lt;&gt;0,'Invullen groen'!L164,""),"")</f>
        <v/>
      </c>
      <c r="G151" s="535">
        <f>IFERROR(IF('Invullen groen'!M164&lt;&gt;0,'Invullen groen'!M164,""),"")</f>
        <v/>
      </c>
      <c r="H151" s="535">
        <f>IFERROR(IF('Invullen groen'!N164&lt;&gt;0,'Invullen groen'!N164,""),"")</f>
        <v/>
      </c>
      <c r="I151" s="535">
        <f>IFERROR(IF('Invullen groen'!O164&lt;&gt;0,'Invullen groen'!O164,""),"")</f>
        <v/>
      </c>
    </row>
    <row r="152" ht="15" customHeight="1">
      <c r="A152" s="536">
        <f>IFERROR(IF('Invullen groen'!E165&gt;0,165-17,""),"")</f>
        <v/>
      </c>
      <c r="B152" s="536">
        <f>IFERROR(IF('Invullen groen'!E165&gt;0,'Invullen groen'!A165,""),"")</f>
        <v/>
      </c>
      <c r="C152" s="536">
        <f>IFERROR(IF('Invullen groen'!E165&gt;0,'Invullen groen'!C165,""),"")</f>
        <v/>
      </c>
      <c r="D152" s="536">
        <f>IFERROR(IF('Invullen groen'!E165&gt;0,'Invullen groen'!D165,""),"")</f>
        <v/>
      </c>
      <c r="E152" s="536">
        <f>IFERROR(IF('Invullen groen'!E165&gt;0,'Invullen groen'!G165,""),"")</f>
        <v/>
      </c>
      <c r="F152" s="537">
        <f>IFERROR(IF('Invullen groen'!L165&lt;&gt;0,'Invullen groen'!L165,""),"")</f>
        <v/>
      </c>
      <c r="G152" s="537">
        <f>IFERROR(IF('Invullen groen'!M165&lt;&gt;0,'Invullen groen'!M165,""),"")</f>
        <v/>
      </c>
      <c r="H152" s="537">
        <f>IFERROR(IF('Invullen groen'!N165&lt;&gt;0,'Invullen groen'!N165,""),"")</f>
        <v/>
      </c>
      <c r="I152" s="537">
        <f>IFERROR(IF('Invullen groen'!O165&lt;&gt;0,'Invullen groen'!O165,""),"")</f>
        <v/>
      </c>
    </row>
    <row r="153" ht="15" customHeight="1">
      <c r="A153" s="534">
        <f>IFERROR(IF('Invullen groen'!E166&gt;0,166-17,""),"")</f>
        <v/>
      </c>
      <c r="B153" s="534">
        <f>IFERROR(IF('Invullen groen'!E166&gt;0,'Invullen groen'!A166,""),"")</f>
        <v/>
      </c>
      <c r="C153" s="534">
        <f>IFERROR(IF('Invullen groen'!E166&gt;0,'Invullen groen'!C166,""),"")</f>
        <v/>
      </c>
      <c r="D153" s="534">
        <f>IFERROR(IF('Invullen groen'!E166&gt;0,'Invullen groen'!D166,""),"")</f>
        <v/>
      </c>
      <c r="E153" s="534">
        <f>IFERROR(IF('Invullen groen'!E166&gt;0,'Invullen groen'!G166,""),"")</f>
        <v/>
      </c>
      <c r="F153" s="535">
        <f>IFERROR(IF('Invullen groen'!L166&lt;&gt;0,'Invullen groen'!L166,""),"")</f>
        <v/>
      </c>
      <c r="G153" s="535">
        <f>IFERROR(IF('Invullen groen'!M166&lt;&gt;0,'Invullen groen'!M166,""),"")</f>
        <v/>
      </c>
      <c r="H153" s="535">
        <f>IFERROR(IF('Invullen groen'!N166&lt;&gt;0,'Invullen groen'!N166,""),"")</f>
        <v/>
      </c>
      <c r="I153" s="535">
        <f>IFERROR(IF('Invullen groen'!O166&lt;&gt;0,'Invullen groen'!O166,""),"")</f>
        <v/>
      </c>
    </row>
    <row r="154" ht="15" customHeight="1">
      <c r="A154" s="536">
        <f>IFERROR(IF('Invullen groen'!E167&gt;0,167-17,""),"")</f>
        <v/>
      </c>
      <c r="B154" s="536">
        <f>IFERROR(IF('Invullen groen'!E167&gt;0,'Invullen groen'!A167,""),"")</f>
        <v/>
      </c>
      <c r="C154" s="536">
        <f>IFERROR(IF('Invullen groen'!E167&gt;0,'Invullen groen'!C167,""),"")</f>
        <v/>
      </c>
      <c r="D154" s="536">
        <f>IFERROR(IF('Invullen groen'!E167&gt;0,'Invullen groen'!D167,""),"")</f>
        <v/>
      </c>
      <c r="E154" s="536">
        <f>IFERROR(IF('Invullen groen'!E167&gt;0,'Invullen groen'!G167,""),"")</f>
        <v/>
      </c>
      <c r="F154" s="537">
        <f>IFERROR(IF('Invullen groen'!L167&lt;&gt;0,'Invullen groen'!L167,""),"")</f>
        <v/>
      </c>
      <c r="G154" s="537">
        <f>IFERROR(IF('Invullen groen'!M167&lt;&gt;0,'Invullen groen'!M167,""),"")</f>
        <v/>
      </c>
      <c r="H154" s="537">
        <f>IFERROR(IF('Invullen groen'!N167&lt;&gt;0,'Invullen groen'!N167,""),"")</f>
        <v/>
      </c>
      <c r="I154" s="537">
        <f>IFERROR(IF('Invullen groen'!O167&lt;&gt;0,'Invullen groen'!O167,""),"")</f>
        <v/>
      </c>
    </row>
    <row r="155" ht="15" customHeight="1">
      <c r="A155" s="534">
        <f>IFERROR(IF('Invullen groen'!E168&gt;0,168-17,""),"")</f>
        <v/>
      </c>
      <c r="B155" s="534">
        <f>IFERROR(IF('Invullen groen'!E168&gt;0,'Invullen groen'!A168,""),"")</f>
        <v/>
      </c>
      <c r="C155" s="534">
        <f>IFERROR(IF('Invullen groen'!E168&gt;0,'Invullen groen'!C168,""),"")</f>
        <v/>
      </c>
      <c r="D155" s="534">
        <f>IFERROR(IF('Invullen groen'!E168&gt;0,'Invullen groen'!D168,""),"")</f>
        <v/>
      </c>
      <c r="E155" s="534">
        <f>IFERROR(IF('Invullen groen'!E168&gt;0,'Invullen groen'!G168,""),"")</f>
        <v/>
      </c>
      <c r="F155" s="535">
        <f>IFERROR(IF('Invullen groen'!L168&lt;&gt;0,'Invullen groen'!L168,""),"")</f>
        <v/>
      </c>
      <c r="G155" s="535">
        <f>IFERROR(IF('Invullen groen'!M168&lt;&gt;0,'Invullen groen'!M168,""),"")</f>
        <v/>
      </c>
      <c r="H155" s="535">
        <f>IFERROR(IF('Invullen groen'!N168&lt;&gt;0,'Invullen groen'!N168,""),"")</f>
        <v/>
      </c>
      <c r="I155" s="535">
        <f>IFERROR(IF('Invullen groen'!O168&lt;&gt;0,'Invullen groen'!O168,""),"")</f>
        <v/>
      </c>
    </row>
    <row r="156" ht="15" customHeight="1">
      <c r="A156" s="536">
        <f>IFERROR(IF('Invullen groen'!E169&gt;0,169-17,""),"")</f>
        <v/>
      </c>
      <c r="B156" s="536">
        <f>IFERROR(IF('Invullen groen'!E169&gt;0,'Invullen groen'!A169,""),"")</f>
        <v/>
      </c>
      <c r="C156" s="536">
        <f>IFERROR(IF('Invullen groen'!E169&gt;0,'Invullen groen'!C169,""),"")</f>
        <v/>
      </c>
      <c r="D156" s="536">
        <f>IFERROR(IF('Invullen groen'!E169&gt;0,'Invullen groen'!D169,""),"")</f>
        <v/>
      </c>
      <c r="E156" s="536">
        <f>IFERROR(IF('Invullen groen'!E169&gt;0,'Invullen groen'!G169,""),"")</f>
        <v/>
      </c>
      <c r="F156" s="537">
        <f>IFERROR(IF('Invullen groen'!L169&lt;&gt;0,'Invullen groen'!L169,""),"")</f>
        <v/>
      </c>
      <c r="G156" s="537">
        <f>IFERROR(IF('Invullen groen'!M169&lt;&gt;0,'Invullen groen'!M169,""),"")</f>
        <v/>
      </c>
      <c r="H156" s="537">
        <f>IFERROR(IF('Invullen groen'!N169&lt;&gt;0,'Invullen groen'!N169,""),"")</f>
        <v/>
      </c>
      <c r="I156" s="537">
        <f>IFERROR(IF('Invullen groen'!O169&lt;&gt;0,'Invullen groen'!O169,""),"")</f>
        <v/>
      </c>
    </row>
    <row r="157" ht="15" customHeight="1">
      <c r="A157" s="534">
        <f>IFERROR(IF('Invullen groen'!E170&gt;0,170-17,""),"")</f>
        <v/>
      </c>
      <c r="B157" s="534">
        <f>IFERROR(IF('Invullen groen'!E170&gt;0,'Invullen groen'!A170,""),"")</f>
        <v/>
      </c>
      <c r="C157" s="534">
        <f>IFERROR(IF('Invullen groen'!E170&gt;0,'Invullen groen'!C170,""),"")</f>
        <v/>
      </c>
      <c r="D157" s="534">
        <f>IFERROR(IF('Invullen groen'!E170&gt;0,'Invullen groen'!D170,""),"")</f>
        <v/>
      </c>
      <c r="E157" s="534">
        <f>IFERROR(IF('Invullen groen'!E170&gt;0,'Invullen groen'!G170,""),"")</f>
        <v/>
      </c>
      <c r="F157" s="535">
        <f>IFERROR(IF('Invullen groen'!L170&lt;&gt;0,'Invullen groen'!L170,""),"")</f>
        <v/>
      </c>
      <c r="G157" s="535">
        <f>IFERROR(IF('Invullen groen'!M170&lt;&gt;0,'Invullen groen'!M170,""),"")</f>
        <v/>
      </c>
      <c r="H157" s="535">
        <f>IFERROR(IF('Invullen groen'!N170&lt;&gt;0,'Invullen groen'!N170,""),"")</f>
        <v/>
      </c>
      <c r="I157" s="535">
        <f>IFERROR(IF('Invullen groen'!O170&lt;&gt;0,'Invullen groen'!O170,""),"")</f>
        <v/>
      </c>
    </row>
    <row r="158" ht="15" customHeight="1">
      <c r="A158" s="536">
        <f>IFERROR(IF('Invullen groen'!E171&gt;0,171-17,""),"")</f>
        <v/>
      </c>
      <c r="B158" s="536">
        <f>IFERROR(IF('Invullen groen'!E171&gt;0,'Invullen groen'!A171,""),"")</f>
        <v/>
      </c>
      <c r="C158" s="536">
        <f>IFERROR(IF('Invullen groen'!E171&gt;0,'Invullen groen'!C171,""),"")</f>
        <v/>
      </c>
      <c r="D158" s="536">
        <f>IFERROR(IF('Invullen groen'!E171&gt;0,'Invullen groen'!D171,""),"")</f>
        <v/>
      </c>
      <c r="E158" s="536">
        <f>IFERROR(IF('Invullen groen'!E171&gt;0,'Invullen groen'!G171,""),"")</f>
        <v/>
      </c>
      <c r="F158" s="537">
        <f>IFERROR(IF('Invullen groen'!L171&lt;&gt;0,'Invullen groen'!L171,""),"")</f>
        <v/>
      </c>
      <c r="G158" s="537">
        <f>IFERROR(IF('Invullen groen'!M171&lt;&gt;0,'Invullen groen'!M171,""),"")</f>
        <v/>
      </c>
      <c r="H158" s="537">
        <f>IFERROR(IF('Invullen groen'!N171&lt;&gt;0,'Invullen groen'!N171,""),"")</f>
        <v/>
      </c>
      <c r="I158" s="537">
        <f>IFERROR(IF('Invullen groen'!O171&lt;&gt;0,'Invullen groen'!O171,""),"")</f>
        <v/>
      </c>
    </row>
    <row r="159" ht="15" customHeight="1">
      <c r="A159" s="534">
        <f>IFERROR(IF('Invullen groen'!E172&gt;0,172-17,""),"")</f>
        <v/>
      </c>
      <c r="B159" s="534">
        <f>IFERROR(IF('Invullen groen'!E172&gt;0,'Invullen groen'!A172,""),"")</f>
        <v/>
      </c>
      <c r="C159" s="534">
        <f>IFERROR(IF('Invullen groen'!E172&gt;0,'Invullen groen'!C172,""),"")</f>
        <v/>
      </c>
      <c r="D159" s="534">
        <f>IFERROR(IF('Invullen groen'!E172&gt;0,'Invullen groen'!D172,""),"")</f>
        <v/>
      </c>
      <c r="E159" s="534">
        <f>IFERROR(IF('Invullen groen'!E172&gt;0,'Invullen groen'!G172,""),"")</f>
        <v/>
      </c>
      <c r="F159" s="535">
        <f>IFERROR(IF('Invullen groen'!L172&lt;&gt;0,'Invullen groen'!L172,""),"")</f>
        <v/>
      </c>
      <c r="G159" s="535">
        <f>IFERROR(IF('Invullen groen'!M172&lt;&gt;0,'Invullen groen'!M172,""),"")</f>
        <v/>
      </c>
      <c r="H159" s="535">
        <f>IFERROR(IF('Invullen groen'!N172&lt;&gt;0,'Invullen groen'!N172,""),"")</f>
        <v/>
      </c>
      <c r="I159" s="535">
        <f>IFERROR(IF('Invullen groen'!O172&lt;&gt;0,'Invullen groen'!O172,""),"")</f>
        <v/>
      </c>
    </row>
    <row r="160" ht="15" customHeight="1">
      <c r="A160" s="536">
        <f>IFERROR(IF('Invullen groen'!E173&gt;0,173-17,""),"")</f>
        <v/>
      </c>
      <c r="B160" s="536">
        <f>IFERROR(IF('Invullen groen'!E173&gt;0,'Invullen groen'!A173,""),"")</f>
        <v/>
      </c>
      <c r="C160" s="536">
        <f>IFERROR(IF('Invullen groen'!E173&gt;0,'Invullen groen'!C173,""),"")</f>
        <v/>
      </c>
      <c r="D160" s="536">
        <f>IFERROR(IF('Invullen groen'!E173&gt;0,'Invullen groen'!D173,""),"")</f>
        <v/>
      </c>
      <c r="E160" s="536">
        <f>IFERROR(IF('Invullen groen'!E173&gt;0,'Invullen groen'!G173,""),"")</f>
        <v/>
      </c>
      <c r="F160" s="537">
        <f>IFERROR(IF('Invullen groen'!L173&lt;&gt;0,'Invullen groen'!L173,""),"")</f>
        <v/>
      </c>
      <c r="G160" s="537">
        <f>IFERROR(IF('Invullen groen'!M173&lt;&gt;0,'Invullen groen'!M173,""),"")</f>
        <v/>
      </c>
      <c r="H160" s="537">
        <f>IFERROR(IF('Invullen groen'!N173&lt;&gt;0,'Invullen groen'!N173,""),"")</f>
        <v/>
      </c>
      <c r="I160" s="537">
        <f>IFERROR(IF('Invullen groen'!O173&lt;&gt;0,'Invullen groen'!O173,""),"")</f>
        <v/>
      </c>
    </row>
    <row r="161" ht="15" customHeight="1">
      <c r="A161" s="534">
        <f>IFERROR(IF('Invullen groen'!E174&gt;0,174-17,""),"")</f>
        <v/>
      </c>
      <c r="B161" s="534">
        <f>IFERROR(IF('Invullen groen'!E174&gt;0,'Invullen groen'!A174,""),"")</f>
        <v/>
      </c>
      <c r="C161" s="534">
        <f>IFERROR(IF('Invullen groen'!E174&gt;0,'Invullen groen'!C174,""),"")</f>
        <v/>
      </c>
      <c r="D161" s="534">
        <f>IFERROR(IF('Invullen groen'!E174&gt;0,'Invullen groen'!D174,""),"")</f>
        <v/>
      </c>
      <c r="E161" s="534">
        <f>IFERROR(IF('Invullen groen'!E174&gt;0,'Invullen groen'!G174,""),"")</f>
        <v/>
      </c>
      <c r="F161" s="535">
        <f>IFERROR(IF('Invullen groen'!L174&lt;&gt;0,'Invullen groen'!L174,""),"")</f>
        <v/>
      </c>
      <c r="G161" s="535">
        <f>IFERROR(IF('Invullen groen'!M174&lt;&gt;0,'Invullen groen'!M174,""),"")</f>
        <v/>
      </c>
      <c r="H161" s="535">
        <f>IFERROR(IF('Invullen groen'!N174&lt;&gt;0,'Invullen groen'!N174,""),"")</f>
        <v/>
      </c>
      <c r="I161" s="535">
        <f>IFERROR(IF('Invullen groen'!O174&lt;&gt;0,'Invullen groen'!O174,""),"")</f>
        <v/>
      </c>
    </row>
    <row r="162" ht="15" customHeight="1">
      <c r="A162" s="536">
        <f>IFERROR(IF('Invullen groen'!E175&gt;0,175-17,""),"")</f>
        <v/>
      </c>
      <c r="B162" s="536">
        <f>IFERROR(IF('Invullen groen'!E175&gt;0,'Invullen groen'!A175,""),"")</f>
        <v/>
      </c>
      <c r="C162" s="536">
        <f>IFERROR(IF('Invullen groen'!E175&gt;0,'Invullen groen'!C175,""),"")</f>
        <v/>
      </c>
      <c r="D162" s="536">
        <f>IFERROR(IF('Invullen groen'!E175&gt;0,'Invullen groen'!D175,""),"")</f>
        <v/>
      </c>
      <c r="E162" s="536">
        <f>IFERROR(IF('Invullen groen'!E175&gt;0,'Invullen groen'!G175,""),"")</f>
        <v/>
      </c>
      <c r="F162" s="537">
        <f>IFERROR(IF('Invullen groen'!L175&lt;&gt;0,'Invullen groen'!L175,""),"")</f>
        <v/>
      </c>
      <c r="G162" s="537">
        <f>IFERROR(IF('Invullen groen'!M175&lt;&gt;0,'Invullen groen'!M175,""),"")</f>
        <v/>
      </c>
      <c r="H162" s="537">
        <f>IFERROR(IF('Invullen groen'!N175&lt;&gt;0,'Invullen groen'!N175,""),"")</f>
        <v/>
      </c>
      <c r="I162" s="537">
        <f>IFERROR(IF('Invullen groen'!O175&lt;&gt;0,'Invullen groen'!O175,""),"")</f>
        <v/>
      </c>
    </row>
    <row r="163" ht="15" customHeight="1">
      <c r="A163" s="534">
        <f>IFERROR(IF('Invullen groen'!E176&gt;0,176-17,""),"")</f>
        <v/>
      </c>
      <c r="B163" s="534">
        <f>IFERROR(IF('Invullen groen'!E176&gt;0,'Invullen groen'!A176,""),"")</f>
        <v/>
      </c>
      <c r="C163" s="534">
        <f>IFERROR(IF('Invullen groen'!E176&gt;0,'Invullen groen'!C176,""),"")</f>
        <v/>
      </c>
      <c r="D163" s="534">
        <f>IFERROR(IF('Invullen groen'!E176&gt;0,'Invullen groen'!D176,""),"")</f>
        <v/>
      </c>
      <c r="E163" s="534">
        <f>IFERROR(IF('Invullen groen'!E176&gt;0,'Invullen groen'!G176,""),"")</f>
        <v/>
      </c>
      <c r="F163" s="535">
        <f>IFERROR(IF('Invullen groen'!L176&lt;&gt;0,'Invullen groen'!L176,""),"")</f>
        <v/>
      </c>
      <c r="G163" s="535">
        <f>IFERROR(IF('Invullen groen'!M176&lt;&gt;0,'Invullen groen'!M176,""),"")</f>
        <v/>
      </c>
      <c r="H163" s="535">
        <f>IFERROR(IF('Invullen groen'!N176&lt;&gt;0,'Invullen groen'!N176,""),"")</f>
        <v/>
      </c>
      <c r="I163" s="535">
        <f>IFERROR(IF('Invullen groen'!O176&lt;&gt;0,'Invullen groen'!O176,""),"")</f>
        <v/>
      </c>
    </row>
    <row r="164" ht="15" customHeight="1">
      <c r="A164" s="536">
        <f>IFERROR(IF('Invullen groen'!E177&gt;0,177-17,""),"")</f>
        <v/>
      </c>
      <c r="B164" s="536">
        <f>IFERROR(IF('Invullen groen'!E177&gt;0,'Invullen groen'!A177,""),"")</f>
        <v/>
      </c>
      <c r="C164" s="536">
        <f>IFERROR(IF('Invullen groen'!E177&gt;0,'Invullen groen'!C177,""),"")</f>
        <v/>
      </c>
      <c r="D164" s="536">
        <f>IFERROR(IF('Invullen groen'!E177&gt;0,'Invullen groen'!D177,""),"")</f>
        <v/>
      </c>
      <c r="E164" s="536">
        <f>IFERROR(IF('Invullen groen'!E177&gt;0,'Invullen groen'!G177,""),"")</f>
        <v/>
      </c>
      <c r="F164" s="537">
        <f>IFERROR(IF('Invullen groen'!L177&lt;&gt;0,'Invullen groen'!L177,""),"")</f>
        <v/>
      </c>
      <c r="G164" s="537">
        <f>IFERROR(IF('Invullen groen'!M177&lt;&gt;0,'Invullen groen'!M177,""),"")</f>
        <v/>
      </c>
      <c r="H164" s="537">
        <f>IFERROR(IF('Invullen groen'!N177&lt;&gt;0,'Invullen groen'!N177,""),"")</f>
        <v/>
      </c>
      <c r="I164" s="537">
        <f>IFERROR(IF('Invullen groen'!O177&lt;&gt;0,'Invullen groen'!O177,""),"")</f>
        <v/>
      </c>
    </row>
    <row r="165" ht="15" customHeight="1">
      <c r="A165" s="534">
        <f>IFERROR(IF('Invullen groen'!E178&gt;0,178-17,""),"")</f>
        <v/>
      </c>
      <c r="B165" s="534">
        <f>IFERROR(IF('Invullen groen'!E178&gt;0,'Invullen groen'!A178,""),"")</f>
        <v/>
      </c>
      <c r="C165" s="534">
        <f>IFERROR(IF('Invullen groen'!E178&gt;0,'Invullen groen'!C178,""),"")</f>
        <v/>
      </c>
      <c r="D165" s="534">
        <f>IFERROR(IF('Invullen groen'!E178&gt;0,'Invullen groen'!D178,""),"")</f>
        <v/>
      </c>
      <c r="E165" s="534">
        <f>IFERROR(IF('Invullen groen'!E178&gt;0,'Invullen groen'!G178,""),"")</f>
        <v/>
      </c>
      <c r="F165" s="535">
        <f>IFERROR(IF('Invullen groen'!L178&lt;&gt;0,'Invullen groen'!L178,""),"")</f>
        <v/>
      </c>
      <c r="G165" s="535">
        <f>IFERROR(IF('Invullen groen'!M178&lt;&gt;0,'Invullen groen'!M178,""),"")</f>
        <v/>
      </c>
      <c r="H165" s="535">
        <f>IFERROR(IF('Invullen groen'!N178&lt;&gt;0,'Invullen groen'!N178,""),"")</f>
        <v/>
      </c>
      <c r="I165" s="535">
        <f>IFERROR(IF('Invullen groen'!O178&lt;&gt;0,'Invullen groen'!O178,""),"")</f>
        <v/>
      </c>
    </row>
    <row r="166" ht="15" customHeight="1">
      <c r="A166" s="536">
        <f>IFERROR(IF('Invullen groen'!E179&gt;0,179-17,""),"")</f>
        <v/>
      </c>
      <c r="B166" s="536">
        <f>IFERROR(IF('Invullen groen'!E179&gt;0,'Invullen groen'!A179,""),"")</f>
        <v/>
      </c>
      <c r="C166" s="536">
        <f>IFERROR(IF('Invullen groen'!E179&gt;0,'Invullen groen'!C179,""),"")</f>
        <v/>
      </c>
      <c r="D166" s="536">
        <f>IFERROR(IF('Invullen groen'!E179&gt;0,'Invullen groen'!D179,""),"")</f>
        <v/>
      </c>
      <c r="E166" s="536">
        <f>IFERROR(IF('Invullen groen'!E179&gt;0,'Invullen groen'!G179,""),"")</f>
        <v/>
      </c>
      <c r="F166" s="537">
        <f>IFERROR(IF('Invullen groen'!L179&lt;&gt;0,'Invullen groen'!L179,""),"")</f>
        <v/>
      </c>
      <c r="G166" s="537">
        <f>IFERROR(IF('Invullen groen'!M179&lt;&gt;0,'Invullen groen'!M179,""),"")</f>
        <v/>
      </c>
      <c r="H166" s="537">
        <f>IFERROR(IF('Invullen groen'!N179&lt;&gt;0,'Invullen groen'!N179,""),"")</f>
        <v/>
      </c>
      <c r="I166" s="537">
        <f>IFERROR(IF('Invullen groen'!O179&lt;&gt;0,'Invullen groen'!O179,""),"")</f>
        <v/>
      </c>
    </row>
    <row r="167" ht="15" customHeight="1">
      <c r="A167" s="534">
        <f>IFERROR(IF('Invullen groen'!E180&gt;0,180-17,""),"")</f>
        <v/>
      </c>
      <c r="B167" s="534">
        <f>IFERROR(IF('Invullen groen'!E180&gt;0,'Invullen groen'!A180,""),"")</f>
        <v/>
      </c>
      <c r="C167" s="534">
        <f>IFERROR(IF('Invullen groen'!E180&gt;0,'Invullen groen'!C180,""),"")</f>
        <v/>
      </c>
      <c r="D167" s="534">
        <f>IFERROR(IF('Invullen groen'!E180&gt;0,'Invullen groen'!D180,""),"")</f>
        <v/>
      </c>
      <c r="E167" s="534">
        <f>IFERROR(IF('Invullen groen'!E180&gt;0,'Invullen groen'!G180,""),"")</f>
        <v/>
      </c>
      <c r="F167" s="535">
        <f>IFERROR(IF('Invullen groen'!L180&lt;&gt;0,'Invullen groen'!L180,""),"")</f>
        <v/>
      </c>
      <c r="G167" s="535">
        <f>IFERROR(IF('Invullen groen'!M180&lt;&gt;0,'Invullen groen'!M180,""),"")</f>
        <v/>
      </c>
      <c r="H167" s="535">
        <f>IFERROR(IF('Invullen groen'!N180&lt;&gt;0,'Invullen groen'!N180,""),"")</f>
        <v/>
      </c>
      <c r="I167" s="535">
        <f>IFERROR(IF('Invullen groen'!O180&lt;&gt;0,'Invullen groen'!O180,""),"")</f>
        <v/>
      </c>
    </row>
    <row r="168" ht="15" customHeight="1">
      <c r="A168" s="536">
        <f>IFERROR(IF('Invullen groen'!E181&gt;0,181-17,""),"")</f>
        <v/>
      </c>
      <c r="B168" s="536">
        <f>IFERROR(IF('Invullen groen'!E181&gt;0,'Invullen groen'!A181,""),"")</f>
        <v/>
      </c>
      <c r="C168" s="536">
        <f>IFERROR(IF('Invullen groen'!E181&gt;0,'Invullen groen'!C181,""),"")</f>
        <v/>
      </c>
      <c r="D168" s="536">
        <f>IFERROR(IF('Invullen groen'!E181&gt;0,'Invullen groen'!D181,""),"")</f>
        <v/>
      </c>
      <c r="E168" s="536">
        <f>IFERROR(IF('Invullen groen'!E181&gt;0,'Invullen groen'!G181,""),"")</f>
        <v/>
      </c>
      <c r="F168" s="537">
        <f>IFERROR(IF('Invullen groen'!L181&lt;&gt;0,'Invullen groen'!L181,""),"")</f>
        <v/>
      </c>
      <c r="G168" s="537">
        <f>IFERROR(IF('Invullen groen'!M181&lt;&gt;0,'Invullen groen'!M181,""),"")</f>
        <v/>
      </c>
      <c r="H168" s="537">
        <f>IFERROR(IF('Invullen groen'!N181&lt;&gt;0,'Invullen groen'!N181,""),"")</f>
        <v/>
      </c>
      <c r="I168" s="537">
        <f>IFERROR(IF('Invullen groen'!O181&lt;&gt;0,'Invullen groen'!O181,""),"")</f>
        <v/>
      </c>
    </row>
    <row r="169" ht="15" customHeight="1">
      <c r="A169" s="534">
        <f>IFERROR(IF('Invullen groen'!E182&gt;0,182-17,""),"")</f>
        <v/>
      </c>
      <c r="B169" s="534">
        <f>IFERROR(IF('Invullen groen'!E182&gt;0,'Invullen groen'!A182,""),"")</f>
        <v/>
      </c>
      <c r="C169" s="534">
        <f>IFERROR(IF('Invullen groen'!E182&gt;0,'Invullen groen'!C182,""),"")</f>
        <v/>
      </c>
      <c r="D169" s="534">
        <f>IFERROR(IF('Invullen groen'!E182&gt;0,'Invullen groen'!D182,""),"")</f>
        <v/>
      </c>
      <c r="E169" s="534">
        <f>IFERROR(IF('Invullen groen'!E182&gt;0,'Invullen groen'!G182,""),"")</f>
        <v/>
      </c>
      <c r="F169" s="535">
        <f>IFERROR(IF('Invullen groen'!L182&lt;&gt;0,'Invullen groen'!L182,""),"")</f>
        <v/>
      </c>
      <c r="G169" s="535">
        <f>IFERROR(IF('Invullen groen'!M182&lt;&gt;0,'Invullen groen'!M182,""),"")</f>
        <v/>
      </c>
      <c r="H169" s="535">
        <f>IFERROR(IF('Invullen groen'!N182&lt;&gt;0,'Invullen groen'!N182,""),"")</f>
        <v/>
      </c>
      <c r="I169" s="535">
        <f>IFERROR(IF('Invullen groen'!O182&lt;&gt;0,'Invullen groen'!O182,""),"")</f>
        <v/>
      </c>
    </row>
    <row r="170" ht="15" customHeight="1">
      <c r="A170" s="536">
        <f>IFERROR(IF('Invullen groen'!E183&gt;0,183-17,""),"")</f>
        <v/>
      </c>
      <c r="B170" s="536">
        <f>IFERROR(IF('Invullen groen'!E183&gt;0,'Invullen groen'!A183,""),"")</f>
        <v/>
      </c>
      <c r="C170" s="536">
        <f>IFERROR(IF('Invullen groen'!E183&gt;0,'Invullen groen'!C183,""),"")</f>
        <v/>
      </c>
      <c r="D170" s="536">
        <f>IFERROR(IF('Invullen groen'!E183&gt;0,'Invullen groen'!D183,""),"")</f>
        <v/>
      </c>
      <c r="E170" s="536">
        <f>IFERROR(IF('Invullen groen'!E183&gt;0,'Invullen groen'!G183,""),"")</f>
        <v/>
      </c>
      <c r="F170" s="537">
        <f>IFERROR(IF('Invullen groen'!L183&lt;&gt;0,'Invullen groen'!L183,""),"")</f>
        <v/>
      </c>
      <c r="G170" s="537">
        <f>IFERROR(IF('Invullen groen'!M183&lt;&gt;0,'Invullen groen'!M183,""),"")</f>
        <v/>
      </c>
      <c r="H170" s="537">
        <f>IFERROR(IF('Invullen groen'!N183&lt;&gt;0,'Invullen groen'!N183,""),"")</f>
        <v/>
      </c>
      <c r="I170" s="537">
        <f>IFERROR(IF('Invullen groen'!O183&lt;&gt;0,'Invullen groen'!O183,""),"")</f>
        <v/>
      </c>
    </row>
    <row r="171" ht="15" customHeight="1">
      <c r="A171" s="534">
        <f>IFERROR(IF('Invullen groen'!E184&gt;0,184-17,""),"")</f>
        <v/>
      </c>
      <c r="B171" s="534">
        <f>IFERROR(IF('Invullen groen'!E184&gt;0,'Invullen groen'!A184,""),"")</f>
        <v/>
      </c>
      <c r="C171" s="534">
        <f>IFERROR(IF('Invullen groen'!E184&gt;0,'Invullen groen'!C184,""),"")</f>
        <v/>
      </c>
      <c r="D171" s="534">
        <f>IFERROR(IF('Invullen groen'!E184&gt;0,'Invullen groen'!D184,""),"")</f>
        <v/>
      </c>
      <c r="E171" s="534">
        <f>IFERROR(IF('Invullen groen'!E184&gt;0,'Invullen groen'!G184,""),"")</f>
        <v/>
      </c>
      <c r="F171" s="535">
        <f>IFERROR(IF('Invullen groen'!L184&lt;&gt;0,'Invullen groen'!L184,""),"")</f>
        <v/>
      </c>
      <c r="G171" s="535">
        <f>IFERROR(IF('Invullen groen'!M184&lt;&gt;0,'Invullen groen'!M184,""),"")</f>
        <v/>
      </c>
      <c r="H171" s="535">
        <f>IFERROR(IF('Invullen groen'!N184&lt;&gt;0,'Invullen groen'!N184,""),"")</f>
        <v/>
      </c>
      <c r="I171" s="535">
        <f>IFERROR(IF('Invullen groen'!O184&lt;&gt;0,'Invullen groen'!O184,""),"")</f>
        <v/>
      </c>
    </row>
    <row r="172" ht="15" customHeight="1">
      <c r="A172" s="536">
        <f>IFERROR(IF('Invullen groen'!E185&gt;0,185-17,""),"")</f>
        <v/>
      </c>
      <c r="B172" s="536">
        <f>IFERROR(IF('Invullen groen'!E185&gt;0,'Invullen groen'!A185,""),"")</f>
        <v/>
      </c>
      <c r="C172" s="536">
        <f>IFERROR(IF('Invullen groen'!E185&gt;0,'Invullen groen'!C185,""),"")</f>
        <v/>
      </c>
      <c r="D172" s="536">
        <f>IFERROR(IF('Invullen groen'!E185&gt;0,'Invullen groen'!D185,""),"")</f>
        <v/>
      </c>
      <c r="E172" s="536">
        <f>IFERROR(IF('Invullen groen'!E185&gt;0,'Invullen groen'!G185,""),"")</f>
        <v/>
      </c>
      <c r="F172" s="537">
        <f>IFERROR(IF('Invullen groen'!L185&lt;&gt;0,'Invullen groen'!L185,""),"")</f>
        <v/>
      </c>
      <c r="G172" s="537">
        <f>IFERROR(IF('Invullen groen'!M185&lt;&gt;0,'Invullen groen'!M185,""),"")</f>
        <v/>
      </c>
      <c r="H172" s="537">
        <f>IFERROR(IF('Invullen groen'!N185&lt;&gt;0,'Invullen groen'!N185,""),"")</f>
        <v/>
      </c>
      <c r="I172" s="537">
        <f>IFERROR(IF('Invullen groen'!O185&lt;&gt;0,'Invullen groen'!O185,""),"")</f>
        <v/>
      </c>
    </row>
    <row r="173" ht="15" customHeight="1">
      <c r="A173" s="534">
        <f>IFERROR(IF('Invullen groen'!E186&gt;0,186-17,""),"")</f>
        <v/>
      </c>
      <c r="B173" s="534">
        <f>IFERROR(IF('Invullen groen'!E186&gt;0,'Invullen groen'!A186,""),"")</f>
        <v/>
      </c>
      <c r="C173" s="534">
        <f>IFERROR(IF('Invullen groen'!E186&gt;0,'Invullen groen'!C186,""),"")</f>
        <v/>
      </c>
      <c r="D173" s="534">
        <f>IFERROR(IF('Invullen groen'!E186&gt;0,'Invullen groen'!D186,""),"")</f>
        <v/>
      </c>
      <c r="E173" s="534">
        <f>IFERROR(IF('Invullen groen'!E186&gt;0,'Invullen groen'!G186,""),"")</f>
        <v/>
      </c>
      <c r="F173" s="535">
        <f>IFERROR(IF('Invullen groen'!L186&lt;&gt;0,'Invullen groen'!L186,""),"")</f>
        <v/>
      </c>
      <c r="G173" s="535">
        <f>IFERROR(IF('Invullen groen'!M186&lt;&gt;0,'Invullen groen'!M186,""),"")</f>
        <v/>
      </c>
      <c r="H173" s="535">
        <f>IFERROR(IF('Invullen groen'!N186&lt;&gt;0,'Invullen groen'!N186,""),"")</f>
        <v/>
      </c>
      <c r="I173" s="535">
        <f>IFERROR(IF('Invullen groen'!O186&lt;&gt;0,'Invullen groen'!O186,""),"")</f>
        <v/>
      </c>
    </row>
    <row r="174" ht="15" customHeight="1">
      <c r="A174" s="536">
        <f>IFERROR(IF('Invullen groen'!E187&gt;0,187-17,""),"")</f>
        <v/>
      </c>
      <c r="B174" s="536">
        <f>IFERROR(IF('Invullen groen'!E187&gt;0,'Invullen groen'!A187,""),"")</f>
        <v/>
      </c>
      <c r="C174" s="536">
        <f>IFERROR(IF('Invullen groen'!E187&gt;0,'Invullen groen'!C187,""),"")</f>
        <v/>
      </c>
      <c r="D174" s="536">
        <f>IFERROR(IF('Invullen groen'!E187&gt;0,'Invullen groen'!D187,""),"")</f>
        <v/>
      </c>
      <c r="E174" s="536">
        <f>IFERROR(IF('Invullen groen'!E187&gt;0,'Invullen groen'!G187,""),"")</f>
        <v/>
      </c>
      <c r="F174" s="537">
        <f>IFERROR(IF('Invullen groen'!L187&lt;&gt;0,'Invullen groen'!L187,""),"")</f>
        <v/>
      </c>
      <c r="G174" s="537">
        <f>IFERROR(IF('Invullen groen'!M187&lt;&gt;0,'Invullen groen'!M187,""),"")</f>
        <v/>
      </c>
      <c r="H174" s="537">
        <f>IFERROR(IF('Invullen groen'!N187&lt;&gt;0,'Invullen groen'!N187,""),"")</f>
        <v/>
      </c>
      <c r="I174" s="537">
        <f>IFERROR(IF('Invullen groen'!O187&lt;&gt;0,'Invullen groen'!O187,""),"")</f>
        <v/>
      </c>
    </row>
    <row r="175" ht="15" customHeight="1">
      <c r="A175" s="534">
        <f>IFERROR(IF('Invullen groen'!E188&gt;0,188-17,""),"")</f>
        <v/>
      </c>
      <c r="B175" s="534">
        <f>IFERROR(IF('Invullen groen'!E188&gt;0,'Invullen groen'!A188,""),"")</f>
        <v/>
      </c>
      <c r="C175" s="534">
        <f>IFERROR(IF('Invullen groen'!E188&gt;0,'Invullen groen'!C188,""),"")</f>
        <v/>
      </c>
      <c r="D175" s="534">
        <f>IFERROR(IF('Invullen groen'!E188&gt;0,'Invullen groen'!D188,""),"")</f>
        <v/>
      </c>
      <c r="E175" s="534">
        <f>IFERROR(IF('Invullen groen'!E188&gt;0,'Invullen groen'!G188,""),"")</f>
        <v/>
      </c>
      <c r="F175" s="535">
        <f>IFERROR(IF('Invullen groen'!L188&lt;&gt;0,'Invullen groen'!L188,""),"")</f>
        <v/>
      </c>
      <c r="G175" s="535">
        <f>IFERROR(IF('Invullen groen'!M188&lt;&gt;0,'Invullen groen'!M188,""),"")</f>
        <v/>
      </c>
      <c r="H175" s="535">
        <f>IFERROR(IF('Invullen groen'!N188&lt;&gt;0,'Invullen groen'!N188,""),"")</f>
        <v/>
      </c>
      <c r="I175" s="535">
        <f>IFERROR(IF('Invullen groen'!O188&lt;&gt;0,'Invullen groen'!O188,""),"")</f>
        <v/>
      </c>
    </row>
    <row r="176" ht="15" customHeight="1">
      <c r="A176" s="536">
        <f>IFERROR(IF('Invullen groen'!E189&gt;0,189-17,""),"")</f>
        <v/>
      </c>
      <c r="B176" s="536">
        <f>IFERROR(IF('Invullen groen'!E189&gt;0,'Invullen groen'!A189,""),"")</f>
        <v/>
      </c>
      <c r="C176" s="536">
        <f>IFERROR(IF('Invullen groen'!E189&gt;0,'Invullen groen'!C189,""),"")</f>
        <v/>
      </c>
      <c r="D176" s="536">
        <f>IFERROR(IF('Invullen groen'!E189&gt;0,'Invullen groen'!D189,""),"")</f>
        <v/>
      </c>
      <c r="E176" s="536">
        <f>IFERROR(IF('Invullen groen'!E189&gt;0,'Invullen groen'!G189,""),"")</f>
        <v/>
      </c>
      <c r="F176" s="537">
        <f>IFERROR(IF('Invullen groen'!L189&lt;&gt;0,'Invullen groen'!L189,""),"")</f>
        <v/>
      </c>
      <c r="G176" s="537">
        <f>IFERROR(IF('Invullen groen'!M189&lt;&gt;0,'Invullen groen'!M189,""),"")</f>
        <v/>
      </c>
      <c r="H176" s="537">
        <f>IFERROR(IF('Invullen groen'!N189&lt;&gt;0,'Invullen groen'!N189,""),"")</f>
        <v/>
      </c>
      <c r="I176" s="537">
        <f>IFERROR(IF('Invullen groen'!O189&lt;&gt;0,'Invullen groen'!O189,""),"")</f>
        <v/>
      </c>
    </row>
    <row r="177" ht="15" customHeight="1">
      <c r="A177" s="534">
        <f>IFERROR(IF('Invullen groen'!E190&gt;0,190-17,""),"")</f>
        <v/>
      </c>
      <c r="B177" s="534">
        <f>IFERROR(IF('Invullen groen'!E190&gt;0,'Invullen groen'!A190,""),"")</f>
        <v/>
      </c>
      <c r="C177" s="534">
        <f>IFERROR(IF('Invullen groen'!E190&gt;0,'Invullen groen'!C190,""),"")</f>
        <v/>
      </c>
      <c r="D177" s="534">
        <f>IFERROR(IF('Invullen groen'!E190&gt;0,'Invullen groen'!D190,""),"")</f>
        <v/>
      </c>
      <c r="E177" s="534">
        <f>IFERROR(IF('Invullen groen'!E190&gt;0,'Invullen groen'!G190,""),"")</f>
        <v/>
      </c>
      <c r="F177" s="535">
        <f>IFERROR(IF('Invullen groen'!L190&lt;&gt;0,'Invullen groen'!L190,""),"")</f>
        <v/>
      </c>
      <c r="G177" s="535">
        <f>IFERROR(IF('Invullen groen'!M190&lt;&gt;0,'Invullen groen'!M190,""),"")</f>
        <v/>
      </c>
      <c r="H177" s="535">
        <f>IFERROR(IF('Invullen groen'!N190&lt;&gt;0,'Invullen groen'!N190,""),"")</f>
        <v/>
      </c>
      <c r="I177" s="535">
        <f>IFERROR(IF('Invullen groen'!O190&lt;&gt;0,'Invullen groen'!O190,""),"")</f>
        <v/>
      </c>
    </row>
    <row r="178" ht="15" customHeight="1">
      <c r="A178" s="536">
        <f>IFERROR(IF('Invullen groen'!E191&gt;0,191-17,""),"")</f>
        <v/>
      </c>
      <c r="B178" s="536">
        <f>IFERROR(IF('Invullen groen'!E191&gt;0,'Invullen groen'!A191,""),"")</f>
        <v/>
      </c>
      <c r="C178" s="536">
        <f>IFERROR(IF('Invullen groen'!E191&gt;0,'Invullen groen'!C191,""),"")</f>
        <v/>
      </c>
      <c r="D178" s="536">
        <f>IFERROR(IF('Invullen groen'!E191&gt;0,'Invullen groen'!D191,""),"")</f>
        <v/>
      </c>
      <c r="E178" s="536">
        <f>IFERROR(IF('Invullen groen'!E191&gt;0,'Invullen groen'!G191,""),"")</f>
        <v/>
      </c>
      <c r="F178" s="537">
        <f>IFERROR(IF('Invullen groen'!L191&lt;&gt;0,'Invullen groen'!L191,""),"")</f>
        <v/>
      </c>
      <c r="G178" s="537">
        <f>IFERROR(IF('Invullen groen'!M191&lt;&gt;0,'Invullen groen'!M191,""),"")</f>
        <v/>
      </c>
      <c r="H178" s="537">
        <f>IFERROR(IF('Invullen groen'!N191&lt;&gt;0,'Invullen groen'!N191,""),"")</f>
        <v/>
      </c>
      <c r="I178" s="537">
        <f>IFERROR(IF('Invullen groen'!O191&lt;&gt;0,'Invullen groen'!O191,""),"")</f>
        <v/>
      </c>
    </row>
    <row r="179" ht="15" customHeight="1">
      <c r="A179" s="534">
        <f>IFERROR(IF('Invullen groen'!E192&gt;0,192-17,""),"")</f>
        <v/>
      </c>
      <c r="B179" s="534">
        <f>IFERROR(IF('Invullen groen'!E192&gt;0,'Invullen groen'!A192,""),"")</f>
        <v/>
      </c>
      <c r="C179" s="534">
        <f>IFERROR(IF('Invullen groen'!E192&gt;0,'Invullen groen'!C192,""),"")</f>
        <v/>
      </c>
      <c r="D179" s="534">
        <f>IFERROR(IF('Invullen groen'!E192&gt;0,'Invullen groen'!D192,""),"")</f>
        <v/>
      </c>
      <c r="E179" s="534">
        <f>IFERROR(IF('Invullen groen'!E192&gt;0,'Invullen groen'!G192,""),"")</f>
        <v/>
      </c>
      <c r="F179" s="535">
        <f>IFERROR(IF('Invullen groen'!L192&lt;&gt;0,'Invullen groen'!L192,""),"")</f>
        <v/>
      </c>
      <c r="G179" s="535">
        <f>IFERROR(IF('Invullen groen'!M192&lt;&gt;0,'Invullen groen'!M192,""),"")</f>
        <v/>
      </c>
      <c r="H179" s="535">
        <f>IFERROR(IF('Invullen groen'!N192&lt;&gt;0,'Invullen groen'!N192,""),"")</f>
        <v/>
      </c>
      <c r="I179" s="535">
        <f>IFERROR(IF('Invullen groen'!O192&lt;&gt;0,'Invullen groen'!O192,""),"")</f>
        <v/>
      </c>
    </row>
    <row r="180" ht="15" customHeight="1">
      <c r="A180" s="536">
        <f>IFERROR(IF('Invullen groen'!E193&gt;0,193-17,""),"")</f>
        <v/>
      </c>
      <c r="B180" s="536">
        <f>IFERROR(IF('Invullen groen'!E193&gt;0,'Invullen groen'!A193,""),"")</f>
        <v/>
      </c>
      <c r="C180" s="536">
        <f>IFERROR(IF('Invullen groen'!E193&gt;0,'Invullen groen'!C193,""),"")</f>
        <v/>
      </c>
      <c r="D180" s="536">
        <f>IFERROR(IF('Invullen groen'!E193&gt;0,'Invullen groen'!D193,""),"")</f>
        <v/>
      </c>
      <c r="E180" s="536">
        <f>IFERROR(IF('Invullen groen'!E193&gt;0,'Invullen groen'!G193,""),"")</f>
        <v/>
      </c>
      <c r="F180" s="537">
        <f>IFERROR(IF('Invullen groen'!L193&lt;&gt;0,'Invullen groen'!L193,""),"")</f>
        <v/>
      </c>
      <c r="G180" s="537">
        <f>IFERROR(IF('Invullen groen'!M193&lt;&gt;0,'Invullen groen'!M193,""),"")</f>
        <v/>
      </c>
      <c r="H180" s="537">
        <f>IFERROR(IF('Invullen groen'!N193&lt;&gt;0,'Invullen groen'!N193,""),"")</f>
        <v/>
      </c>
      <c r="I180" s="537">
        <f>IFERROR(IF('Invullen groen'!O193&lt;&gt;0,'Invullen groen'!O193,""),"")</f>
        <v/>
      </c>
    </row>
    <row r="181" ht="15" customHeight="1">
      <c r="A181" s="534">
        <f>IFERROR(IF('Invullen groen'!E194&gt;0,194-17,""),"")</f>
        <v/>
      </c>
      <c r="B181" s="534">
        <f>IFERROR(IF('Invullen groen'!E194&gt;0,'Invullen groen'!A194,""),"")</f>
        <v/>
      </c>
      <c r="C181" s="534">
        <f>IFERROR(IF('Invullen groen'!E194&gt;0,'Invullen groen'!C194,""),"")</f>
        <v/>
      </c>
      <c r="D181" s="534">
        <f>IFERROR(IF('Invullen groen'!E194&gt;0,'Invullen groen'!D194,""),"")</f>
        <v/>
      </c>
      <c r="E181" s="534">
        <f>IFERROR(IF('Invullen groen'!E194&gt;0,'Invullen groen'!G194,""),"")</f>
        <v/>
      </c>
      <c r="F181" s="535">
        <f>IFERROR(IF('Invullen groen'!L194&lt;&gt;0,'Invullen groen'!L194,""),"")</f>
        <v/>
      </c>
      <c r="G181" s="535">
        <f>IFERROR(IF('Invullen groen'!M194&lt;&gt;0,'Invullen groen'!M194,""),"")</f>
        <v/>
      </c>
      <c r="H181" s="535">
        <f>IFERROR(IF('Invullen groen'!N194&lt;&gt;0,'Invullen groen'!N194,""),"")</f>
        <v/>
      </c>
      <c r="I181" s="535">
        <f>IFERROR(IF('Invullen groen'!O194&lt;&gt;0,'Invullen groen'!O194,""),"")</f>
        <v/>
      </c>
    </row>
    <row r="182" ht="15" customHeight="1">
      <c r="A182" s="536">
        <f>IFERROR(IF('Invullen groen'!E195&gt;0,195-17,""),"")</f>
        <v/>
      </c>
      <c r="B182" s="536">
        <f>IFERROR(IF('Invullen groen'!E195&gt;0,'Invullen groen'!A195,""),"")</f>
        <v/>
      </c>
      <c r="C182" s="536">
        <f>IFERROR(IF('Invullen groen'!E195&gt;0,'Invullen groen'!C195,""),"")</f>
        <v/>
      </c>
      <c r="D182" s="536">
        <f>IFERROR(IF('Invullen groen'!E195&gt;0,'Invullen groen'!D195,""),"")</f>
        <v/>
      </c>
      <c r="E182" s="536">
        <f>IFERROR(IF('Invullen groen'!E195&gt;0,'Invullen groen'!G195,""),"")</f>
        <v/>
      </c>
      <c r="F182" s="537">
        <f>IFERROR(IF('Invullen groen'!L195&lt;&gt;0,'Invullen groen'!L195,""),"")</f>
        <v/>
      </c>
      <c r="G182" s="537">
        <f>IFERROR(IF('Invullen groen'!M195&lt;&gt;0,'Invullen groen'!M195,""),"")</f>
        <v/>
      </c>
      <c r="H182" s="537">
        <f>IFERROR(IF('Invullen groen'!N195&lt;&gt;0,'Invullen groen'!N195,""),"")</f>
        <v/>
      </c>
      <c r="I182" s="537">
        <f>IFERROR(IF('Invullen groen'!O195&lt;&gt;0,'Invullen groen'!O195,""),"")</f>
        <v/>
      </c>
    </row>
    <row r="183" ht="15" customHeight="1">
      <c r="A183" s="534">
        <f>IFERROR(IF('Invullen groen'!E196&gt;0,196-17,""),"")</f>
        <v/>
      </c>
      <c r="B183" s="534">
        <f>IFERROR(IF('Invullen groen'!E196&gt;0,'Invullen groen'!A196,""),"")</f>
        <v/>
      </c>
      <c r="C183" s="534">
        <f>IFERROR(IF('Invullen groen'!E196&gt;0,'Invullen groen'!C196,""),"")</f>
        <v/>
      </c>
      <c r="D183" s="534">
        <f>IFERROR(IF('Invullen groen'!E196&gt;0,'Invullen groen'!D196,""),"")</f>
        <v/>
      </c>
      <c r="E183" s="534">
        <f>IFERROR(IF('Invullen groen'!E196&gt;0,'Invullen groen'!G196,""),"")</f>
        <v/>
      </c>
      <c r="F183" s="535">
        <f>IFERROR(IF('Invullen groen'!L196&lt;&gt;0,'Invullen groen'!L196,""),"")</f>
        <v/>
      </c>
      <c r="G183" s="535">
        <f>IFERROR(IF('Invullen groen'!M196&lt;&gt;0,'Invullen groen'!M196,""),"")</f>
        <v/>
      </c>
      <c r="H183" s="535">
        <f>IFERROR(IF('Invullen groen'!N196&lt;&gt;0,'Invullen groen'!N196,""),"")</f>
        <v/>
      </c>
      <c r="I183" s="535">
        <f>IFERROR(IF('Invullen groen'!O196&lt;&gt;0,'Invullen groen'!O196,""),"")</f>
        <v/>
      </c>
    </row>
    <row r="184" ht="15" customHeight="1">
      <c r="A184" s="536">
        <f>IFERROR(IF('Invullen groen'!E197&gt;0,197-17,""),"")</f>
        <v/>
      </c>
      <c r="B184" s="536">
        <f>IFERROR(IF('Invullen groen'!E197&gt;0,'Invullen groen'!A197,""),"")</f>
        <v/>
      </c>
      <c r="C184" s="536">
        <f>IFERROR(IF('Invullen groen'!E197&gt;0,'Invullen groen'!C197,""),"")</f>
        <v/>
      </c>
      <c r="D184" s="536">
        <f>IFERROR(IF('Invullen groen'!E197&gt;0,'Invullen groen'!D197,""),"")</f>
        <v/>
      </c>
      <c r="E184" s="536">
        <f>IFERROR(IF('Invullen groen'!E197&gt;0,'Invullen groen'!G197,""),"")</f>
        <v/>
      </c>
      <c r="F184" s="537">
        <f>IFERROR(IF('Invullen groen'!L197&lt;&gt;0,'Invullen groen'!L197,""),"")</f>
        <v/>
      </c>
      <c r="G184" s="537">
        <f>IFERROR(IF('Invullen groen'!M197&lt;&gt;0,'Invullen groen'!M197,""),"")</f>
        <v/>
      </c>
      <c r="H184" s="537">
        <f>IFERROR(IF('Invullen groen'!N197&lt;&gt;0,'Invullen groen'!N197,""),"")</f>
        <v/>
      </c>
      <c r="I184" s="537">
        <f>IFERROR(IF('Invullen groen'!O197&lt;&gt;0,'Invullen groen'!O197,""),"")</f>
        <v/>
      </c>
    </row>
    <row r="185" ht="15" customHeight="1">
      <c r="A185" s="534">
        <f>IFERROR(IF('Invullen groen'!E198&gt;0,198-17,""),"")</f>
        <v/>
      </c>
      <c r="B185" s="534">
        <f>IFERROR(IF('Invullen groen'!E198&gt;0,'Invullen groen'!A198,""),"")</f>
        <v/>
      </c>
      <c r="C185" s="534">
        <f>IFERROR(IF('Invullen groen'!E198&gt;0,'Invullen groen'!C198,""),"")</f>
        <v/>
      </c>
      <c r="D185" s="534">
        <f>IFERROR(IF('Invullen groen'!E198&gt;0,'Invullen groen'!D198,""),"")</f>
        <v/>
      </c>
      <c r="E185" s="534">
        <f>IFERROR(IF('Invullen groen'!E198&gt;0,'Invullen groen'!G198,""),"")</f>
        <v/>
      </c>
      <c r="F185" s="535">
        <f>IFERROR(IF('Invullen groen'!L198&lt;&gt;0,'Invullen groen'!L198,""),"")</f>
        <v/>
      </c>
      <c r="G185" s="535">
        <f>IFERROR(IF('Invullen groen'!M198&lt;&gt;0,'Invullen groen'!M198,""),"")</f>
        <v/>
      </c>
      <c r="H185" s="535">
        <f>IFERROR(IF('Invullen groen'!N198&lt;&gt;0,'Invullen groen'!N198,""),"")</f>
        <v/>
      </c>
      <c r="I185" s="535">
        <f>IFERROR(IF('Invullen groen'!O198&lt;&gt;0,'Invullen groen'!O198,""),"")</f>
        <v/>
      </c>
    </row>
    <row r="186" ht="15" customHeight="1">
      <c r="A186" s="536">
        <f>IFERROR(IF('Invullen groen'!E199&gt;0,199-17,""),"")</f>
        <v/>
      </c>
      <c r="B186" s="536">
        <f>IFERROR(IF('Invullen groen'!E199&gt;0,'Invullen groen'!A199,""),"")</f>
        <v/>
      </c>
      <c r="C186" s="536">
        <f>IFERROR(IF('Invullen groen'!E199&gt;0,'Invullen groen'!C199,""),"")</f>
        <v/>
      </c>
      <c r="D186" s="536">
        <f>IFERROR(IF('Invullen groen'!E199&gt;0,'Invullen groen'!D199,""),"")</f>
        <v/>
      </c>
      <c r="E186" s="536">
        <f>IFERROR(IF('Invullen groen'!E199&gt;0,'Invullen groen'!G199,""),"")</f>
        <v/>
      </c>
      <c r="F186" s="537">
        <f>IFERROR(IF('Invullen groen'!L199&lt;&gt;0,'Invullen groen'!L199,""),"")</f>
        <v/>
      </c>
      <c r="G186" s="537">
        <f>IFERROR(IF('Invullen groen'!M199&lt;&gt;0,'Invullen groen'!M199,""),"")</f>
        <v/>
      </c>
      <c r="H186" s="537">
        <f>IFERROR(IF('Invullen groen'!N199&lt;&gt;0,'Invullen groen'!N199,""),"")</f>
        <v/>
      </c>
      <c r="I186" s="537">
        <f>IFERROR(IF('Invullen groen'!O199&lt;&gt;0,'Invullen groen'!O199,""),"")</f>
        <v/>
      </c>
    </row>
    <row r="187" ht="15" customHeight="1">
      <c r="A187" s="534">
        <f>IFERROR(IF('Invullen groen'!E200&gt;0,200-17,""),"")</f>
        <v/>
      </c>
      <c r="B187" s="534">
        <f>IFERROR(IF('Invullen groen'!E200&gt;0,'Invullen groen'!A200,""),"")</f>
        <v/>
      </c>
      <c r="C187" s="534">
        <f>IFERROR(IF('Invullen groen'!E200&gt;0,'Invullen groen'!C200,""),"")</f>
        <v/>
      </c>
      <c r="D187" s="534">
        <f>IFERROR(IF('Invullen groen'!E200&gt;0,'Invullen groen'!D200,""),"")</f>
        <v/>
      </c>
      <c r="E187" s="534">
        <f>IFERROR(IF('Invullen groen'!E200&gt;0,'Invullen groen'!G200,""),"")</f>
        <v/>
      </c>
      <c r="F187" s="535">
        <f>IFERROR(IF('Invullen groen'!L200&lt;&gt;0,'Invullen groen'!L200,""),"")</f>
        <v/>
      </c>
      <c r="G187" s="535">
        <f>IFERROR(IF('Invullen groen'!M200&lt;&gt;0,'Invullen groen'!M200,""),"")</f>
        <v/>
      </c>
      <c r="H187" s="535">
        <f>IFERROR(IF('Invullen groen'!N200&lt;&gt;0,'Invullen groen'!N200,""),"")</f>
        <v/>
      </c>
      <c r="I187" s="535">
        <f>IFERROR(IF('Invullen groen'!O200&lt;&gt;0,'Invullen groen'!O200,""),"")</f>
        <v/>
      </c>
    </row>
    <row r="188" ht="15" customHeight="1">
      <c r="A188" s="536">
        <f>IFERROR(IF('Invullen groen'!E201&gt;0,201-17,""),"")</f>
        <v/>
      </c>
      <c r="B188" s="536">
        <f>IFERROR(IF('Invullen groen'!E201&gt;0,'Invullen groen'!A201,""),"")</f>
        <v/>
      </c>
      <c r="C188" s="536">
        <f>IFERROR(IF('Invullen groen'!E201&gt;0,'Invullen groen'!C201,""),"")</f>
        <v/>
      </c>
      <c r="D188" s="536">
        <f>IFERROR(IF('Invullen groen'!E201&gt;0,'Invullen groen'!D201,""),"")</f>
        <v/>
      </c>
      <c r="E188" s="536">
        <f>IFERROR(IF('Invullen groen'!E201&gt;0,'Invullen groen'!G201,""),"")</f>
        <v/>
      </c>
      <c r="F188" s="537">
        <f>IFERROR(IF('Invullen groen'!L201&lt;&gt;0,'Invullen groen'!L201,""),"")</f>
        <v/>
      </c>
      <c r="G188" s="537">
        <f>IFERROR(IF('Invullen groen'!M201&lt;&gt;0,'Invullen groen'!M201,""),"")</f>
        <v/>
      </c>
      <c r="H188" s="537">
        <f>IFERROR(IF('Invullen groen'!N201&lt;&gt;0,'Invullen groen'!N201,""),"")</f>
        <v/>
      </c>
      <c r="I188" s="537">
        <f>IFERROR(IF('Invullen groen'!O201&lt;&gt;0,'Invullen groen'!O201,""),"")</f>
        <v/>
      </c>
    </row>
    <row r="189" ht="15" customHeight="1">
      <c r="A189" s="534">
        <f>IFERROR(IF('Invullen groen'!E202&gt;0,202-17,""),"")</f>
        <v/>
      </c>
      <c r="B189" s="534">
        <f>IFERROR(IF('Invullen groen'!E202&gt;0,'Invullen groen'!A202,""),"")</f>
        <v/>
      </c>
      <c r="C189" s="534">
        <f>IFERROR(IF('Invullen groen'!E202&gt;0,'Invullen groen'!C202,""),"")</f>
        <v/>
      </c>
      <c r="D189" s="534">
        <f>IFERROR(IF('Invullen groen'!E202&gt;0,'Invullen groen'!D202,""),"")</f>
        <v/>
      </c>
      <c r="E189" s="534">
        <f>IFERROR(IF('Invullen groen'!E202&gt;0,'Invullen groen'!G202,""),"")</f>
        <v/>
      </c>
      <c r="F189" s="535">
        <f>IFERROR(IF('Invullen groen'!L202&lt;&gt;0,'Invullen groen'!L202,""),"")</f>
        <v/>
      </c>
      <c r="G189" s="535">
        <f>IFERROR(IF('Invullen groen'!M202&lt;&gt;0,'Invullen groen'!M202,""),"")</f>
        <v/>
      </c>
      <c r="H189" s="535">
        <f>IFERROR(IF('Invullen groen'!N202&lt;&gt;0,'Invullen groen'!N202,""),"")</f>
        <v/>
      </c>
      <c r="I189" s="535">
        <f>IFERROR(IF('Invullen groen'!O202&lt;&gt;0,'Invullen groen'!O202,""),"")</f>
        <v/>
      </c>
    </row>
    <row r="190" ht="15" customHeight="1">
      <c r="A190" s="536">
        <f>IFERROR(IF('Invullen groen'!E203&gt;0,203-17,""),"")</f>
        <v/>
      </c>
      <c r="B190" s="536">
        <f>IFERROR(IF('Invullen groen'!E203&gt;0,'Invullen groen'!A203,""),"")</f>
        <v/>
      </c>
      <c r="C190" s="536">
        <f>IFERROR(IF('Invullen groen'!E203&gt;0,'Invullen groen'!C203,""),"")</f>
        <v/>
      </c>
      <c r="D190" s="536">
        <f>IFERROR(IF('Invullen groen'!E203&gt;0,'Invullen groen'!D203,""),"")</f>
        <v/>
      </c>
      <c r="E190" s="536">
        <f>IFERROR(IF('Invullen groen'!E203&gt;0,'Invullen groen'!G203,""),"")</f>
        <v/>
      </c>
      <c r="F190" s="537">
        <f>IFERROR(IF('Invullen groen'!L203&lt;&gt;0,'Invullen groen'!L203,""),"")</f>
        <v/>
      </c>
      <c r="G190" s="537">
        <f>IFERROR(IF('Invullen groen'!M203&lt;&gt;0,'Invullen groen'!M203,""),"")</f>
        <v/>
      </c>
      <c r="H190" s="537">
        <f>IFERROR(IF('Invullen groen'!N203&lt;&gt;0,'Invullen groen'!N203,""),"")</f>
        <v/>
      </c>
      <c r="I190" s="537">
        <f>IFERROR(IF('Invullen groen'!O203&lt;&gt;0,'Invullen groen'!O203,""),"")</f>
        <v/>
      </c>
    </row>
    <row r="191" ht="15" customHeight="1">
      <c r="A191" s="534">
        <f>IFERROR(IF('Invullen groen'!E204&gt;0,204-17,""),"")</f>
        <v/>
      </c>
      <c r="B191" s="534">
        <f>IFERROR(IF('Invullen groen'!E204&gt;0,'Invullen groen'!A204,""),"")</f>
        <v/>
      </c>
      <c r="C191" s="534">
        <f>IFERROR(IF('Invullen groen'!E204&gt;0,'Invullen groen'!C204,""),"")</f>
        <v/>
      </c>
      <c r="D191" s="534">
        <f>IFERROR(IF('Invullen groen'!E204&gt;0,'Invullen groen'!D204,""),"")</f>
        <v/>
      </c>
      <c r="E191" s="534">
        <f>IFERROR(IF('Invullen groen'!E204&gt;0,'Invullen groen'!G204,""),"")</f>
        <v/>
      </c>
      <c r="F191" s="535">
        <f>IFERROR(IF('Invullen groen'!L204&lt;&gt;0,'Invullen groen'!L204,""),"")</f>
        <v/>
      </c>
      <c r="G191" s="535">
        <f>IFERROR(IF('Invullen groen'!M204&lt;&gt;0,'Invullen groen'!M204,""),"")</f>
        <v/>
      </c>
      <c r="H191" s="535">
        <f>IFERROR(IF('Invullen groen'!N204&lt;&gt;0,'Invullen groen'!N204,""),"")</f>
        <v/>
      </c>
      <c r="I191" s="535">
        <f>IFERROR(IF('Invullen groen'!O204&lt;&gt;0,'Invullen groen'!O204,""),"")</f>
        <v/>
      </c>
    </row>
    <row r="192" ht="15" customHeight="1">
      <c r="A192" s="536">
        <f>IFERROR(IF('Invullen groen'!E205&gt;0,205-17,""),"")</f>
        <v/>
      </c>
      <c r="B192" s="536">
        <f>IFERROR(IF('Invullen groen'!E205&gt;0,'Invullen groen'!A205,""),"")</f>
        <v/>
      </c>
      <c r="C192" s="536">
        <f>IFERROR(IF('Invullen groen'!E205&gt;0,'Invullen groen'!C205,""),"")</f>
        <v/>
      </c>
      <c r="D192" s="536">
        <f>IFERROR(IF('Invullen groen'!E205&gt;0,'Invullen groen'!D205,""),"")</f>
        <v/>
      </c>
      <c r="E192" s="536">
        <f>IFERROR(IF('Invullen groen'!E205&gt;0,'Invullen groen'!G205,""),"")</f>
        <v/>
      </c>
      <c r="F192" s="537">
        <f>IFERROR(IF('Invullen groen'!L205&lt;&gt;0,'Invullen groen'!L205,""),"")</f>
        <v/>
      </c>
      <c r="G192" s="537">
        <f>IFERROR(IF('Invullen groen'!M205&lt;&gt;0,'Invullen groen'!M205,""),"")</f>
        <v/>
      </c>
      <c r="H192" s="537">
        <f>IFERROR(IF('Invullen groen'!N205&lt;&gt;0,'Invullen groen'!N205,""),"")</f>
        <v/>
      </c>
      <c r="I192" s="537">
        <f>IFERROR(IF('Invullen groen'!O205&lt;&gt;0,'Invullen groen'!O205,""),"")</f>
        <v/>
      </c>
    </row>
    <row r="193" ht="15" customHeight="1">
      <c r="A193" s="534">
        <f>IFERROR(IF('Invullen groen'!E206&gt;0,206-17,""),"")</f>
        <v/>
      </c>
      <c r="B193" s="534">
        <f>IFERROR(IF('Invullen groen'!E206&gt;0,'Invullen groen'!A206,""),"")</f>
        <v/>
      </c>
      <c r="C193" s="534">
        <f>IFERROR(IF('Invullen groen'!E206&gt;0,'Invullen groen'!C206,""),"")</f>
        <v/>
      </c>
      <c r="D193" s="534">
        <f>IFERROR(IF('Invullen groen'!E206&gt;0,'Invullen groen'!D206,""),"")</f>
        <v/>
      </c>
      <c r="E193" s="534">
        <f>IFERROR(IF('Invullen groen'!E206&gt;0,'Invullen groen'!G206,""),"")</f>
        <v/>
      </c>
      <c r="F193" s="535">
        <f>IFERROR(IF('Invullen groen'!L206&lt;&gt;0,'Invullen groen'!L206,""),"")</f>
        <v/>
      </c>
      <c r="G193" s="535">
        <f>IFERROR(IF('Invullen groen'!M206&lt;&gt;0,'Invullen groen'!M206,""),"")</f>
        <v/>
      </c>
      <c r="H193" s="535">
        <f>IFERROR(IF('Invullen groen'!N206&lt;&gt;0,'Invullen groen'!N206,""),"")</f>
        <v/>
      </c>
      <c r="I193" s="535">
        <f>IFERROR(IF('Invullen groen'!O206&lt;&gt;0,'Invullen groen'!O206,""),"")</f>
        <v/>
      </c>
    </row>
    <row r="194" ht="15" customHeight="1">
      <c r="A194" s="536">
        <f>IFERROR(IF('Invullen groen'!E207&gt;0,207-17,""),"")</f>
        <v/>
      </c>
      <c r="B194" s="536">
        <f>IFERROR(IF('Invullen groen'!E207&gt;0,'Invullen groen'!A207,""),"")</f>
        <v/>
      </c>
      <c r="C194" s="536">
        <f>IFERROR(IF('Invullen groen'!E207&gt;0,'Invullen groen'!C207,""),"")</f>
        <v/>
      </c>
      <c r="D194" s="536">
        <f>IFERROR(IF('Invullen groen'!E207&gt;0,'Invullen groen'!D207,""),"")</f>
        <v/>
      </c>
      <c r="E194" s="536">
        <f>IFERROR(IF('Invullen groen'!E207&gt;0,'Invullen groen'!G207,""),"")</f>
        <v/>
      </c>
      <c r="F194" s="537">
        <f>IFERROR(IF('Invullen groen'!L207&lt;&gt;0,'Invullen groen'!L207,""),"")</f>
        <v/>
      </c>
      <c r="G194" s="537">
        <f>IFERROR(IF('Invullen groen'!M207&lt;&gt;0,'Invullen groen'!M207,""),"")</f>
        <v/>
      </c>
      <c r="H194" s="537">
        <f>IFERROR(IF('Invullen groen'!N207&lt;&gt;0,'Invullen groen'!N207,""),"")</f>
        <v/>
      </c>
      <c r="I194" s="537">
        <f>IFERROR(IF('Invullen groen'!O207&lt;&gt;0,'Invullen groen'!O207,""),"")</f>
        <v/>
      </c>
    </row>
    <row r="195" ht="15" customHeight="1">
      <c r="A195" s="534">
        <f>IFERROR(IF('Invullen groen'!E208&gt;0,208-17,""),"")</f>
        <v/>
      </c>
      <c r="B195" s="534">
        <f>IFERROR(IF('Invullen groen'!E208&gt;0,'Invullen groen'!A208,""),"")</f>
        <v/>
      </c>
      <c r="C195" s="534">
        <f>IFERROR(IF('Invullen groen'!E208&gt;0,'Invullen groen'!C208,""),"")</f>
        <v/>
      </c>
      <c r="D195" s="534">
        <f>IFERROR(IF('Invullen groen'!E208&gt;0,'Invullen groen'!D208,""),"")</f>
        <v/>
      </c>
      <c r="E195" s="534">
        <f>IFERROR(IF('Invullen groen'!E208&gt;0,'Invullen groen'!G208,""),"")</f>
        <v/>
      </c>
      <c r="F195" s="535">
        <f>IFERROR(IF('Invullen groen'!L208&lt;&gt;0,'Invullen groen'!L208,""),"")</f>
        <v/>
      </c>
      <c r="G195" s="535">
        <f>IFERROR(IF('Invullen groen'!M208&lt;&gt;0,'Invullen groen'!M208,""),"")</f>
        <v/>
      </c>
      <c r="H195" s="535">
        <f>IFERROR(IF('Invullen groen'!N208&lt;&gt;0,'Invullen groen'!N208,""),"")</f>
        <v/>
      </c>
      <c r="I195" s="535">
        <f>IFERROR(IF('Invullen groen'!O208&lt;&gt;0,'Invullen groen'!O208,""),"")</f>
        <v/>
      </c>
    </row>
    <row r="196" ht="15" customHeight="1">
      <c r="A196" s="536">
        <f>IFERROR(IF('Invullen groen'!E209&gt;0,209-17,""),"")</f>
        <v/>
      </c>
      <c r="B196" s="536">
        <f>IFERROR(IF('Invullen groen'!E209&gt;0,'Invullen groen'!A209,""),"")</f>
        <v/>
      </c>
      <c r="C196" s="536">
        <f>IFERROR(IF('Invullen groen'!E209&gt;0,'Invullen groen'!C209,""),"")</f>
        <v/>
      </c>
      <c r="D196" s="536">
        <f>IFERROR(IF('Invullen groen'!E209&gt;0,'Invullen groen'!D209,""),"")</f>
        <v/>
      </c>
      <c r="E196" s="536">
        <f>IFERROR(IF('Invullen groen'!E209&gt;0,'Invullen groen'!G209,""),"")</f>
        <v/>
      </c>
      <c r="F196" s="537">
        <f>IFERROR(IF('Invullen groen'!L209&lt;&gt;0,'Invullen groen'!L209,""),"")</f>
        <v/>
      </c>
      <c r="G196" s="537">
        <f>IFERROR(IF('Invullen groen'!M209&lt;&gt;0,'Invullen groen'!M209,""),"")</f>
        <v/>
      </c>
      <c r="H196" s="537">
        <f>IFERROR(IF('Invullen groen'!N209&lt;&gt;0,'Invullen groen'!N209,""),"")</f>
        <v/>
      </c>
      <c r="I196" s="537">
        <f>IFERROR(IF('Invullen groen'!O209&lt;&gt;0,'Invullen groen'!O209,""),"")</f>
        <v/>
      </c>
    </row>
    <row r="197" ht="15" customHeight="1">
      <c r="A197" s="534">
        <f>IFERROR(IF('Invullen groen'!E210&gt;0,210-17,""),"")</f>
        <v/>
      </c>
      <c r="B197" s="534">
        <f>IFERROR(IF('Invullen groen'!E210&gt;0,'Invullen groen'!A210,""),"")</f>
        <v/>
      </c>
      <c r="C197" s="534">
        <f>IFERROR(IF('Invullen groen'!E210&gt;0,'Invullen groen'!C210,""),"")</f>
        <v/>
      </c>
      <c r="D197" s="534">
        <f>IFERROR(IF('Invullen groen'!E210&gt;0,'Invullen groen'!D210,""),"")</f>
        <v/>
      </c>
      <c r="E197" s="534">
        <f>IFERROR(IF('Invullen groen'!E210&gt;0,'Invullen groen'!G210,""),"")</f>
        <v/>
      </c>
      <c r="F197" s="535">
        <f>IFERROR(IF('Invullen groen'!L210&lt;&gt;0,'Invullen groen'!L210,""),"")</f>
        <v/>
      </c>
      <c r="G197" s="535">
        <f>IFERROR(IF('Invullen groen'!M210&lt;&gt;0,'Invullen groen'!M210,""),"")</f>
        <v/>
      </c>
      <c r="H197" s="535">
        <f>IFERROR(IF('Invullen groen'!N210&lt;&gt;0,'Invullen groen'!N210,""),"")</f>
        <v/>
      </c>
      <c r="I197" s="535">
        <f>IFERROR(IF('Invullen groen'!O210&lt;&gt;0,'Invullen groen'!O210,""),"")</f>
        <v/>
      </c>
    </row>
    <row r="198" ht="15" customHeight="1">
      <c r="A198" s="536">
        <f>IFERROR(IF('Invullen groen'!E211&gt;0,211-17,""),"")</f>
        <v/>
      </c>
      <c r="B198" s="536">
        <f>IFERROR(IF('Invullen groen'!E211&gt;0,'Invullen groen'!A211,""),"")</f>
        <v/>
      </c>
      <c r="C198" s="536">
        <f>IFERROR(IF('Invullen groen'!E211&gt;0,'Invullen groen'!C211,""),"")</f>
        <v/>
      </c>
      <c r="D198" s="536">
        <f>IFERROR(IF('Invullen groen'!E211&gt;0,'Invullen groen'!D211,""),"")</f>
        <v/>
      </c>
      <c r="E198" s="536">
        <f>IFERROR(IF('Invullen groen'!E211&gt;0,'Invullen groen'!G211,""),"")</f>
        <v/>
      </c>
      <c r="F198" s="537">
        <f>IFERROR(IF('Invullen groen'!L211&lt;&gt;0,'Invullen groen'!L211,""),"")</f>
        <v/>
      </c>
      <c r="G198" s="537">
        <f>IFERROR(IF('Invullen groen'!M211&lt;&gt;0,'Invullen groen'!M211,""),"")</f>
        <v/>
      </c>
      <c r="H198" s="537">
        <f>IFERROR(IF('Invullen groen'!N211&lt;&gt;0,'Invullen groen'!N211,""),"")</f>
        <v/>
      </c>
      <c r="I198" s="537">
        <f>IFERROR(IF('Invullen groen'!O211&lt;&gt;0,'Invullen groen'!O211,""),"")</f>
        <v/>
      </c>
    </row>
    <row r="199" ht="15" customHeight="1">
      <c r="A199" s="534">
        <f>IFERROR(IF('Invullen groen'!E212&gt;0,212-17,""),"")</f>
        <v/>
      </c>
      <c r="B199" s="534">
        <f>IFERROR(IF('Invullen groen'!E212&gt;0,'Invullen groen'!A212,""),"")</f>
        <v/>
      </c>
      <c r="C199" s="534">
        <f>IFERROR(IF('Invullen groen'!E212&gt;0,'Invullen groen'!C212,""),"")</f>
        <v/>
      </c>
      <c r="D199" s="534">
        <f>IFERROR(IF('Invullen groen'!E212&gt;0,'Invullen groen'!D212,""),"")</f>
        <v/>
      </c>
      <c r="E199" s="534">
        <f>IFERROR(IF('Invullen groen'!E212&gt;0,'Invullen groen'!G212,""),"")</f>
        <v/>
      </c>
      <c r="F199" s="535">
        <f>IFERROR(IF('Invullen groen'!L212&lt;&gt;0,'Invullen groen'!L212,""),"")</f>
        <v/>
      </c>
      <c r="G199" s="535">
        <f>IFERROR(IF('Invullen groen'!M212&lt;&gt;0,'Invullen groen'!M212,""),"")</f>
        <v/>
      </c>
      <c r="H199" s="535">
        <f>IFERROR(IF('Invullen groen'!N212&lt;&gt;0,'Invullen groen'!N212,""),"")</f>
        <v/>
      </c>
      <c r="I199" s="535">
        <f>IFERROR(IF('Invullen groen'!O212&lt;&gt;0,'Invullen groen'!O212,""),"")</f>
        <v/>
      </c>
    </row>
    <row r="200" ht="15" customHeight="1">
      <c r="A200" s="536">
        <f>IFERROR(IF('Invullen groen'!E213&gt;0,213-17,""),"")</f>
        <v/>
      </c>
      <c r="B200" s="536">
        <f>IFERROR(IF('Invullen groen'!E213&gt;0,'Invullen groen'!A213,""),"")</f>
        <v/>
      </c>
      <c r="C200" s="536">
        <f>IFERROR(IF('Invullen groen'!E213&gt;0,'Invullen groen'!C213,""),"")</f>
        <v/>
      </c>
      <c r="D200" s="536">
        <f>IFERROR(IF('Invullen groen'!E213&gt;0,'Invullen groen'!D213,""),"")</f>
        <v/>
      </c>
      <c r="E200" s="536">
        <f>IFERROR(IF('Invullen groen'!E213&gt;0,'Invullen groen'!G213,""),"")</f>
        <v/>
      </c>
      <c r="F200" s="537">
        <f>IFERROR(IF('Invullen groen'!L213&lt;&gt;0,'Invullen groen'!L213,""),"")</f>
        <v/>
      </c>
      <c r="G200" s="537">
        <f>IFERROR(IF('Invullen groen'!M213&lt;&gt;0,'Invullen groen'!M213,""),"")</f>
        <v/>
      </c>
      <c r="H200" s="537">
        <f>IFERROR(IF('Invullen groen'!N213&lt;&gt;0,'Invullen groen'!N213,""),"")</f>
        <v/>
      </c>
      <c r="I200" s="537">
        <f>IFERROR(IF('Invullen groen'!O213&lt;&gt;0,'Invullen groen'!O213,""),"")</f>
        <v/>
      </c>
    </row>
    <row r="201" ht="15" customHeight="1">
      <c r="A201" s="534">
        <f>IFERROR(IF('Invullen groen'!E214&gt;0,214-17,""),"")</f>
        <v/>
      </c>
      <c r="B201" s="534">
        <f>IFERROR(IF('Invullen groen'!E214&gt;0,'Invullen groen'!A214,""),"")</f>
        <v/>
      </c>
      <c r="C201" s="534">
        <f>IFERROR(IF('Invullen groen'!E214&gt;0,'Invullen groen'!C214,""),"")</f>
        <v/>
      </c>
      <c r="D201" s="534">
        <f>IFERROR(IF('Invullen groen'!E214&gt;0,'Invullen groen'!D214,""),"")</f>
        <v/>
      </c>
      <c r="E201" s="534">
        <f>IFERROR(IF('Invullen groen'!E214&gt;0,'Invullen groen'!G214,""),"")</f>
        <v/>
      </c>
      <c r="F201" s="535">
        <f>IFERROR(IF('Invullen groen'!L214&lt;&gt;0,'Invullen groen'!L214,""),"")</f>
        <v/>
      </c>
      <c r="G201" s="535">
        <f>IFERROR(IF('Invullen groen'!M214&lt;&gt;0,'Invullen groen'!M214,""),"")</f>
        <v/>
      </c>
      <c r="H201" s="535">
        <f>IFERROR(IF('Invullen groen'!N214&lt;&gt;0,'Invullen groen'!N214,""),"")</f>
        <v/>
      </c>
      <c r="I201" s="535">
        <f>IFERROR(IF('Invullen groen'!O214&lt;&gt;0,'Invullen groen'!O214,""),"")</f>
        <v/>
      </c>
    </row>
    <row r="202" ht="15" customHeight="1">
      <c r="A202" s="536">
        <f>IFERROR(IF('Invullen groen'!E215&gt;0,215-17,""),"")</f>
        <v/>
      </c>
      <c r="B202" s="536">
        <f>IFERROR(IF('Invullen groen'!E215&gt;0,'Invullen groen'!A215,""),"")</f>
        <v/>
      </c>
      <c r="C202" s="536">
        <f>IFERROR(IF('Invullen groen'!E215&gt;0,'Invullen groen'!C215,""),"")</f>
        <v/>
      </c>
      <c r="D202" s="536">
        <f>IFERROR(IF('Invullen groen'!E215&gt;0,'Invullen groen'!D215,""),"")</f>
        <v/>
      </c>
      <c r="E202" s="536">
        <f>IFERROR(IF('Invullen groen'!E215&gt;0,'Invullen groen'!G215,""),"")</f>
        <v/>
      </c>
      <c r="F202" s="537">
        <f>IFERROR(IF('Invullen groen'!L215&lt;&gt;0,'Invullen groen'!L215,""),"")</f>
        <v/>
      </c>
      <c r="G202" s="537">
        <f>IFERROR(IF('Invullen groen'!M215&lt;&gt;0,'Invullen groen'!M215,""),"")</f>
        <v/>
      </c>
      <c r="H202" s="537">
        <f>IFERROR(IF('Invullen groen'!N215&lt;&gt;0,'Invullen groen'!N215,""),"")</f>
        <v/>
      </c>
      <c r="I202" s="537">
        <f>IFERROR(IF('Invullen groen'!O215&lt;&gt;0,'Invullen groen'!O215,""),"")</f>
        <v/>
      </c>
    </row>
    <row r="203" ht="15" customHeight="1">
      <c r="A203" s="534">
        <f>IFERROR(IF('Invullen groen'!E216&gt;0,216-17,""),"")</f>
        <v/>
      </c>
      <c r="B203" s="534">
        <f>IFERROR(IF('Invullen groen'!E216&gt;0,'Invullen groen'!A216,""),"")</f>
        <v/>
      </c>
      <c r="C203" s="534">
        <f>IFERROR(IF('Invullen groen'!E216&gt;0,'Invullen groen'!C216,""),"")</f>
        <v/>
      </c>
      <c r="D203" s="534">
        <f>IFERROR(IF('Invullen groen'!E216&gt;0,'Invullen groen'!D216,""),"")</f>
        <v/>
      </c>
      <c r="E203" s="534">
        <f>IFERROR(IF('Invullen groen'!E216&gt;0,'Invullen groen'!G216,""),"")</f>
        <v/>
      </c>
      <c r="F203" s="535">
        <f>IFERROR(IF('Invullen groen'!L216&lt;&gt;0,'Invullen groen'!L216,""),"")</f>
        <v/>
      </c>
      <c r="G203" s="535">
        <f>IFERROR(IF('Invullen groen'!M216&lt;&gt;0,'Invullen groen'!M216,""),"")</f>
        <v/>
      </c>
      <c r="H203" s="535">
        <f>IFERROR(IF('Invullen groen'!N216&lt;&gt;0,'Invullen groen'!N216,""),"")</f>
        <v/>
      </c>
      <c r="I203" s="535">
        <f>IFERROR(IF('Invullen groen'!O216&lt;&gt;0,'Invullen groen'!O216,""),"")</f>
        <v/>
      </c>
    </row>
    <row r="204" ht="15" customHeight="1">
      <c r="A204" s="536">
        <f>IFERROR(IF('Invullen groen'!E217&gt;0,217-17,""),"")</f>
        <v/>
      </c>
      <c r="B204" s="536">
        <f>IFERROR(IF('Invullen groen'!E217&gt;0,'Invullen groen'!A217,""),"")</f>
        <v/>
      </c>
      <c r="C204" s="536">
        <f>IFERROR(IF('Invullen groen'!E217&gt;0,'Invullen groen'!C217,""),"")</f>
        <v/>
      </c>
      <c r="D204" s="536">
        <f>IFERROR(IF('Invullen groen'!E217&gt;0,'Invullen groen'!D217,""),"")</f>
        <v/>
      </c>
      <c r="E204" s="536">
        <f>IFERROR(IF('Invullen groen'!E217&gt;0,'Invullen groen'!G217,""),"")</f>
        <v/>
      </c>
      <c r="F204" s="537">
        <f>IFERROR(IF('Invullen groen'!L217&lt;&gt;0,'Invullen groen'!L217,""),"")</f>
        <v/>
      </c>
      <c r="G204" s="537">
        <f>IFERROR(IF('Invullen groen'!M217&lt;&gt;0,'Invullen groen'!M217,""),"")</f>
        <v/>
      </c>
      <c r="H204" s="537">
        <f>IFERROR(IF('Invullen groen'!N217&lt;&gt;0,'Invullen groen'!N217,""),"")</f>
        <v/>
      </c>
      <c r="I204" s="537">
        <f>IFERROR(IF('Invullen groen'!O217&lt;&gt;0,'Invullen groen'!O217,""),"")</f>
        <v/>
      </c>
    </row>
    <row r="205" ht="15" customHeight="1">
      <c r="A205" s="534">
        <f>IFERROR(IF('Invullen groen'!E218&gt;0,218-17,""),"")</f>
        <v/>
      </c>
      <c r="B205" s="534">
        <f>IFERROR(IF('Invullen groen'!E218&gt;0,'Invullen groen'!A218,""),"")</f>
        <v/>
      </c>
      <c r="C205" s="534">
        <f>IFERROR(IF('Invullen groen'!E218&gt;0,'Invullen groen'!C218,""),"")</f>
        <v/>
      </c>
      <c r="D205" s="534">
        <f>IFERROR(IF('Invullen groen'!E218&gt;0,'Invullen groen'!D218,""),"")</f>
        <v/>
      </c>
      <c r="E205" s="534">
        <f>IFERROR(IF('Invullen groen'!E218&gt;0,'Invullen groen'!G218,""),"")</f>
        <v/>
      </c>
      <c r="F205" s="535">
        <f>IFERROR(IF('Invullen groen'!L218&lt;&gt;0,'Invullen groen'!L218,""),"")</f>
        <v/>
      </c>
      <c r="G205" s="535">
        <f>IFERROR(IF('Invullen groen'!M218&lt;&gt;0,'Invullen groen'!M218,""),"")</f>
        <v/>
      </c>
      <c r="H205" s="535">
        <f>IFERROR(IF('Invullen groen'!N218&lt;&gt;0,'Invullen groen'!N218,""),"")</f>
        <v/>
      </c>
      <c r="I205" s="535">
        <f>IFERROR(IF('Invullen groen'!O218&lt;&gt;0,'Invullen groen'!O218,""),"")</f>
        <v/>
      </c>
    </row>
    <row r="206" ht="15" customHeight="1">
      <c r="A206" s="536">
        <f>IFERROR(IF('Invullen groen'!E219&gt;0,219-17,""),"")</f>
        <v/>
      </c>
      <c r="B206" s="536">
        <f>IFERROR(IF('Invullen groen'!E219&gt;0,'Invullen groen'!A219,""),"")</f>
        <v/>
      </c>
      <c r="C206" s="536">
        <f>IFERROR(IF('Invullen groen'!E219&gt;0,'Invullen groen'!C219,""),"")</f>
        <v/>
      </c>
      <c r="D206" s="536">
        <f>IFERROR(IF('Invullen groen'!E219&gt;0,'Invullen groen'!D219,""),"")</f>
        <v/>
      </c>
      <c r="E206" s="536">
        <f>IFERROR(IF('Invullen groen'!E219&gt;0,'Invullen groen'!G219,""),"")</f>
        <v/>
      </c>
      <c r="F206" s="537">
        <f>IFERROR(IF('Invullen groen'!L219&lt;&gt;0,'Invullen groen'!L219,""),"")</f>
        <v/>
      </c>
      <c r="G206" s="537">
        <f>IFERROR(IF('Invullen groen'!M219&lt;&gt;0,'Invullen groen'!M219,""),"")</f>
        <v/>
      </c>
      <c r="H206" s="537">
        <f>IFERROR(IF('Invullen groen'!N219&lt;&gt;0,'Invullen groen'!N219,""),"")</f>
        <v/>
      </c>
      <c r="I206" s="537">
        <f>IFERROR(IF('Invullen groen'!O219&lt;&gt;0,'Invullen groen'!O219,""),"")</f>
        <v/>
      </c>
    </row>
    <row r="207" ht="15" customHeight="1">
      <c r="A207" s="534">
        <f>IFERROR(IF('Invullen groen'!E220&gt;0,220-17,""),"")</f>
        <v/>
      </c>
      <c r="B207" s="534">
        <f>IFERROR(IF('Invullen groen'!E220&gt;0,'Invullen groen'!A220,""),"")</f>
        <v/>
      </c>
      <c r="C207" s="534">
        <f>IFERROR(IF('Invullen groen'!E220&gt;0,'Invullen groen'!C220,""),"")</f>
        <v/>
      </c>
      <c r="D207" s="534">
        <f>IFERROR(IF('Invullen groen'!E220&gt;0,'Invullen groen'!D220,""),"")</f>
        <v/>
      </c>
      <c r="E207" s="534">
        <f>IFERROR(IF('Invullen groen'!E220&gt;0,'Invullen groen'!G220,""),"")</f>
        <v/>
      </c>
      <c r="F207" s="535">
        <f>IFERROR(IF('Invullen groen'!L220&lt;&gt;0,'Invullen groen'!L220,""),"")</f>
        <v/>
      </c>
      <c r="G207" s="535">
        <f>IFERROR(IF('Invullen groen'!M220&lt;&gt;0,'Invullen groen'!M220,""),"")</f>
        <v/>
      </c>
      <c r="H207" s="535">
        <f>IFERROR(IF('Invullen groen'!N220&lt;&gt;0,'Invullen groen'!N220,""),"")</f>
        <v/>
      </c>
      <c r="I207" s="535">
        <f>IFERROR(IF('Invullen groen'!O220&lt;&gt;0,'Invullen groen'!O220,""),"")</f>
        <v/>
      </c>
    </row>
    <row r="208" ht="15" customHeight="1">
      <c r="A208" s="536">
        <f>IFERROR(IF('Invullen groen'!E221&gt;0,221-17,""),"")</f>
        <v/>
      </c>
      <c r="B208" s="536">
        <f>IFERROR(IF('Invullen groen'!E221&gt;0,'Invullen groen'!A221,""),"")</f>
        <v/>
      </c>
      <c r="C208" s="536">
        <f>IFERROR(IF('Invullen groen'!E221&gt;0,'Invullen groen'!C221,""),"")</f>
        <v/>
      </c>
      <c r="D208" s="536">
        <f>IFERROR(IF('Invullen groen'!E221&gt;0,'Invullen groen'!D221,""),"")</f>
        <v/>
      </c>
      <c r="E208" s="536">
        <f>IFERROR(IF('Invullen groen'!E221&gt;0,'Invullen groen'!G221,""),"")</f>
        <v/>
      </c>
      <c r="F208" s="537">
        <f>IFERROR(IF('Invullen groen'!L221&lt;&gt;0,'Invullen groen'!L221,""),"")</f>
        <v/>
      </c>
      <c r="G208" s="537">
        <f>IFERROR(IF('Invullen groen'!M221&lt;&gt;0,'Invullen groen'!M221,""),"")</f>
        <v/>
      </c>
      <c r="H208" s="537">
        <f>IFERROR(IF('Invullen groen'!N221&lt;&gt;0,'Invullen groen'!N221,""),"")</f>
        <v/>
      </c>
      <c r="I208" s="537">
        <f>IFERROR(IF('Invullen groen'!O221&lt;&gt;0,'Invullen groen'!O221,""),"")</f>
        <v/>
      </c>
    </row>
    <row r="209" ht="15" customHeight="1">
      <c r="A209" s="534">
        <f>IFERROR(IF('Invullen groen'!E222&gt;0,222-17,""),"")</f>
        <v/>
      </c>
      <c r="B209" s="534">
        <f>IFERROR(IF('Invullen groen'!E222&gt;0,'Invullen groen'!A222,""),"")</f>
        <v/>
      </c>
      <c r="C209" s="534">
        <f>IFERROR(IF('Invullen groen'!E222&gt;0,'Invullen groen'!C222,""),"")</f>
        <v/>
      </c>
      <c r="D209" s="534">
        <f>IFERROR(IF('Invullen groen'!E222&gt;0,'Invullen groen'!D222,""),"")</f>
        <v/>
      </c>
      <c r="E209" s="534">
        <f>IFERROR(IF('Invullen groen'!E222&gt;0,'Invullen groen'!G222,""),"")</f>
        <v/>
      </c>
      <c r="F209" s="535">
        <f>IFERROR(IF('Invullen groen'!L222&lt;&gt;0,'Invullen groen'!L222,""),"")</f>
        <v/>
      </c>
      <c r="G209" s="535">
        <f>IFERROR(IF('Invullen groen'!M222&lt;&gt;0,'Invullen groen'!M222,""),"")</f>
        <v/>
      </c>
      <c r="H209" s="535">
        <f>IFERROR(IF('Invullen groen'!N222&lt;&gt;0,'Invullen groen'!N222,""),"")</f>
        <v/>
      </c>
      <c r="I209" s="535">
        <f>IFERROR(IF('Invullen groen'!O222&lt;&gt;0,'Invullen groen'!O222,""),"")</f>
        <v/>
      </c>
    </row>
    <row r="210" ht="15" customHeight="1">
      <c r="A210" s="536">
        <f>IFERROR(IF('Invullen groen'!E223&gt;0,223-17,""),"")</f>
        <v/>
      </c>
      <c r="B210" s="536">
        <f>IFERROR(IF('Invullen groen'!E223&gt;0,'Invullen groen'!A223,""),"")</f>
        <v/>
      </c>
      <c r="C210" s="536">
        <f>IFERROR(IF('Invullen groen'!E223&gt;0,'Invullen groen'!C223,""),"")</f>
        <v/>
      </c>
      <c r="D210" s="536">
        <f>IFERROR(IF('Invullen groen'!E223&gt;0,'Invullen groen'!D223,""),"")</f>
        <v/>
      </c>
      <c r="E210" s="536">
        <f>IFERROR(IF('Invullen groen'!E223&gt;0,'Invullen groen'!G223,""),"")</f>
        <v/>
      </c>
      <c r="F210" s="537">
        <f>IFERROR(IF('Invullen groen'!L223&lt;&gt;0,'Invullen groen'!L223,""),"")</f>
        <v/>
      </c>
      <c r="G210" s="537">
        <f>IFERROR(IF('Invullen groen'!M223&lt;&gt;0,'Invullen groen'!M223,""),"")</f>
        <v/>
      </c>
      <c r="H210" s="537">
        <f>IFERROR(IF('Invullen groen'!N223&lt;&gt;0,'Invullen groen'!N223,""),"")</f>
        <v/>
      </c>
      <c r="I210" s="537">
        <f>IFERROR(IF('Invullen groen'!O223&lt;&gt;0,'Invullen groen'!O223,""),"")</f>
        <v/>
      </c>
    </row>
    <row r="211" ht="15" customHeight="1">
      <c r="A211" s="534">
        <f>IFERROR(IF('Invullen groen'!E224&gt;0,224-17,""),"")</f>
        <v/>
      </c>
      <c r="B211" s="534">
        <f>IFERROR(IF('Invullen groen'!E224&gt;0,'Invullen groen'!A224,""),"")</f>
        <v/>
      </c>
      <c r="C211" s="534">
        <f>IFERROR(IF('Invullen groen'!E224&gt;0,'Invullen groen'!C224,""),"")</f>
        <v/>
      </c>
      <c r="D211" s="534">
        <f>IFERROR(IF('Invullen groen'!E224&gt;0,'Invullen groen'!D224,""),"")</f>
        <v/>
      </c>
      <c r="E211" s="534">
        <f>IFERROR(IF('Invullen groen'!E224&gt;0,'Invullen groen'!G224,""),"")</f>
        <v/>
      </c>
      <c r="F211" s="535">
        <f>IFERROR(IF('Invullen groen'!L224&lt;&gt;0,'Invullen groen'!L224,""),"")</f>
        <v/>
      </c>
      <c r="G211" s="535">
        <f>IFERROR(IF('Invullen groen'!M224&lt;&gt;0,'Invullen groen'!M224,""),"")</f>
        <v/>
      </c>
      <c r="H211" s="535">
        <f>IFERROR(IF('Invullen groen'!N224&lt;&gt;0,'Invullen groen'!N224,""),"")</f>
        <v/>
      </c>
      <c r="I211" s="535">
        <f>IFERROR(IF('Invullen groen'!O224&lt;&gt;0,'Invullen groen'!O224,""),"")</f>
        <v/>
      </c>
    </row>
    <row r="212" ht="15" customHeight="1">
      <c r="A212" s="536">
        <f>IFERROR(IF('Invullen groen'!E225&gt;0,225-17,""),"")</f>
        <v/>
      </c>
      <c r="B212" s="536">
        <f>IFERROR(IF('Invullen groen'!E225&gt;0,'Invullen groen'!A225,""),"")</f>
        <v/>
      </c>
      <c r="C212" s="536">
        <f>IFERROR(IF('Invullen groen'!E225&gt;0,'Invullen groen'!C225,""),"")</f>
        <v/>
      </c>
      <c r="D212" s="536">
        <f>IFERROR(IF('Invullen groen'!E225&gt;0,'Invullen groen'!D225,""),"")</f>
        <v/>
      </c>
      <c r="E212" s="536">
        <f>IFERROR(IF('Invullen groen'!E225&gt;0,'Invullen groen'!G225,""),"")</f>
        <v/>
      </c>
      <c r="F212" s="537">
        <f>IFERROR(IF('Invullen groen'!L225&lt;&gt;0,'Invullen groen'!L225,""),"")</f>
        <v/>
      </c>
      <c r="G212" s="537">
        <f>IFERROR(IF('Invullen groen'!M225&lt;&gt;0,'Invullen groen'!M225,""),"")</f>
        <v/>
      </c>
      <c r="H212" s="537">
        <f>IFERROR(IF('Invullen groen'!N225&lt;&gt;0,'Invullen groen'!N225,""),"")</f>
        <v/>
      </c>
      <c r="I212" s="537">
        <f>IFERROR(IF('Invullen groen'!O225&lt;&gt;0,'Invullen groen'!O225,""),"")</f>
        <v/>
      </c>
    </row>
    <row r="213" ht="15" customHeight="1">
      <c r="A213" s="534">
        <f>IFERROR(IF('Invullen groen'!E226&gt;0,226-17,""),"")</f>
        <v/>
      </c>
      <c r="B213" s="534">
        <f>IFERROR(IF('Invullen groen'!E226&gt;0,'Invullen groen'!A226,""),"")</f>
        <v/>
      </c>
      <c r="C213" s="534">
        <f>IFERROR(IF('Invullen groen'!E226&gt;0,'Invullen groen'!C226,""),"")</f>
        <v/>
      </c>
      <c r="D213" s="534">
        <f>IFERROR(IF('Invullen groen'!E226&gt;0,'Invullen groen'!D226,""),"")</f>
        <v/>
      </c>
      <c r="E213" s="534">
        <f>IFERROR(IF('Invullen groen'!E226&gt;0,'Invullen groen'!G226,""),"")</f>
        <v/>
      </c>
      <c r="F213" s="535">
        <f>IFERROR(IF('Invullen groen'!L226&lt;&gt;0,'Invullen groen'!L226,""),"")</f>
        <v/>
      </c>
      <c r="G213" s="535">
        <f>IFERROR(IF('Invullen groen'!M226&lt;&gt;0,'Invullen groen'!M226,""),"")</f>
        <v/>
      </c>
      <c r="H213" s="535">
        <f>IFERROR(IF('Invullen groen'!N226&lt;&gt;0,'Invullen groen'!N226,""),"")</f>
        <v/>
      </c>
      <c r="I213" s="535">
        <f>IFERROR(IF('Invullen groen'!O226&lt;&gt;0,'Invullen groen'!O226,""),"")</f>
        <v/>
      </c>
    </row>
    <row r="214" ht="15" customHeight="1">
      <c r="A214" s="536">
        <f>IFERROR(IF('Invullen groen'!E227&gt;0,227-17,""),"")</f>
        <v/>
      </c>
      <c r="B214" s="536">
        <f>IFERROR(IF('Invullen groen'!E227&gt;0,'Invullen groen'!A227,""),"")</f>
        <v/>
      </c>
      <c r="C214" s="536">
        <f>IFERROR(IF('Invullen groen'!E227&gt;0,'Invullen groen'!C227,""),"")</f>
        <v/>
      </c>
      <c r="D214" s="536">
        <f>IFERROR(IF('Invullen groen'!E227&gt;0,'Invullen groen'!D227,""),"")</f>
        <v/>
      </c>
      <c r="E214" s="536">
        <f>IFERROR(IF('Invullen groen'!E227&gt;0,'Invullen groen'!G227,""),"")</f>
        <v/>
      </c>
      <c r="F214" s="537">
        <f>IFERROR(IF('Invullen groen'!L227&lt;&gt;0,'Invullen groen'!L227,""),"")</f>
        <v/>
      </c>
      <c r="G214" s="537">
        <f>IFERROR(IF('Invullen groen'!M227&lt;&gt;0,'Invullen groen'!M227,""),"")</f>
        <v/>
      </c>
      <c r="H214" s="537">
        <f>IFERROR(IF('Invullen groen'!N227&lt;&gt;0,'Invullen groen'!N227,""),"")</f>
        <v/>
      </c>
      <c r="I214" s="537">
        <f>IFERROR(IF('Invullen groen'!O227&lt;&gt;0,'Invullen groen'!O227,""),"")</f>
        <v/>
      </c>
    </row>
    <row r="215" ht="15" customHeight="1">
      <c r="A215" s="534">
        <f>IFERROR(IF('Invullen groen'!E228&gt;0,228-17,""),"")</f>
        <v/>
      </c>
      <c r="B215" s="534">
        <f>IFERROR(IF('Invullen groen'!E228&gt;0,'Invullen groen'!A228,""),"")</f>
        <v/>
      </c>
      <c r="C215" s="534">
        <f>IFERROR(IF('Invullen groen'!E228&gt;0,'Invullen groen'!C228,""),"")</f>
        <v/>
      </c>
      <c r="D215" s="534">
        <f>IFERROR(IF('Invullen groen'!E228&gt;0,'Invullen groen'!D228,""),"")</f>
        <v/>
      </c>
      <c r="E215" s="534">
        <f>IFERROR(IF('Invullen groen'!E228&gt;0,'Invullen groen'!G228,""),"")</f>
        <v/>
      </c>
      <c r="F215" s="535">
        <f>IFERROR(IF('Invullen groen'!L228&lt;&gt;0,'Invullen groen'!L228,""),"")</f>
        <v/>
      </c>
      <c r="G215" s="535">
        <f>IFERROR(IF('Invullen groen'!M228&lt;&gt;0,'Invullen groen'!M228,""),"")</f>
        <v/>
      </c>
      <c r="H215" s="535">
        <f>IFERROR(IF('Invullen groen'!N228&lt;&gt;0,'Invullen groen'!N228,""),"")</f>
        <v/>
      </c>
      <c r="I215" s="535">
        <f>IFERROR(IF('Invullen groen'!O228&lt;&gt;0,'Invullen groen'!O228,""),"")</f>
        <v/>
      </c>
    </row>
    <row r="216" ht="15" customHeight="1">
      <c r="A216" s="536">
        <f>IFERROR(IF('Invullen groen'!E229&gt;0,229-17,""),"")</f>
        <v/>
      </c>
      <c r="B216" s="536">
        <f>IFERROR(IF('Invullen groen'!E229&gt;0,'Invullen groen'!A229,""),"")</f>
        <v/>
      </c>
      <c r="C216" s="536">
        <f>IFERROR(IF('Invullen groen'!E229&gt;0,'Invullen groen'!C229,""),"")</f>
        <v/>
      </c>
      <c r="D216" s="536">
        <f>IFERROR(IF('Invullen groen'!E229&gt;0,'Invullen groen'!D229,""),"")</f>
        <v/>
      </c>
      <c r="E216" s="536">
        <f>IFERROR(IF('Invullen groen'!E229&gt;0,'Invullen groen'!G229,""),"")</f>
        <v/>
      </c>
      <c r="F216" s="537">
        <f>IFERROR(IF('Invullen groen'!L229&lt;&gt;0,'Invullen groen'!L229,""),"")</f>
        <v/>
      </c>
      <c r="G216" s="537">
        <f>IFERROR(IF('Invullen groen'!M229&lt;&gt;0,'Invullen groen'!M229,""),"")</f>
        <v/>
      </c>
      <c r="H216" s="537">
        <f>IFERROR(IF('Invullen groen'!N229&lt;&gt;0,'Invullen groen'!N229,""),"")</f>
        <v/>
      </c>
      <c r="I216" s="537">
        <f>IFERROR(IF('Invullen groen'!O229&lt;&gt;0,'Invullen groen'!O229,""),"")</f>
        <v/>
      </c>
    </row>
    <row r="217" ht="15" customHeight="1">
      <c r="A217" s="534">
        <f>IFERROR(IF('Invullen groen'!E230&gt;0,230-17,""),"")</f>
        <v/>
      </c>
      <c r="B217" s="534">
        <f>IFERROR(IF('Invullen groen'!E230&gt;0,'Invullen groen'!A230,""),"")</f>
        <v/>
      </c>
      <c r="C217" s="534">
        <f>IFERROR(IF('Invullen groen'!E230&gt;0,'Invullen groen'!C230,""),"")</f>
        <v/>
      </c>
      <c r="D217" s="534">
        <f>IFERROR(IF('Invullen groen'!E230&gt;0,'Invullen groen'!D230,""),"")</f>
        <v/>
      </c>
      <c r="E217" s="534">
        <f>IFERROR(IF('Invullen groen'!E230&gt;0,'Invullen groen'!G230,""),"")</f>
        <v/>
      </c>
      <c r="F217" s="535">
        <f>IFERROR(IF('Invullen groen'!L230&lt;&gt;0,'Invullen groen'!L230,""),"")</f>
        <v/>
      </c>
      <c r="G217" s="535">
        <f>IFERROR(IF('Invullen groen'!M230&lt;&gt;0,'Invullen groen'!M230,""),"")</f>
        <v/>
      </c>
      <c r="H217" s="535">
        <f>IFERROR(IF('Invullen groen'!N230&lt;&gt;0,'Invullen groen'!N230,""),"")</f>
        <v/>
      </c>
      <c r="I217" s="535">
        <f>IFERROR(IF('Invullen groen'!O230&lt;&gt;0,'Invullen groen'!O230,""),"")</f>
        <v/>
      </c>
    </row>
    <row r="218" ht="15" customHeight="1">
      <c r="A218" s="536">
        <f>IFERROR(IF('Invullen groen'!E231&gt;0,231-17,""),"")</f>
        <v/>
      </c>
      <c r="B218" s="536">
        <f>IFERROR(IF('Invullen groen'!E231&gt;0,'Invullen groen'!A231,""),"")</f>
        <v/>
      </c>
      <c r="C218" s="536">
        <f>IFERROR(IF('Invullen groen'!E231&gt;0,'Invullen groen'!C231,""),"")</f>
        <v/>
      </c>
      <c r="D218" s="536">
        <f>IFERROR(IF('Invullen groen'!E231&gt;0,'Invullen groen'!D231,""),"")</f>
        <v/>
      </c>
      <c r="E218" s="536">
        <f>IFERROR(IF('Invullen groen'!E231&gt;0,'Invullen groen'!G231,""),"")</f>
        <v/>
      </c>
      <c r="F218" s="537">
        <f>IFERROR(IF('Invullen groen'!L231&lt;&gt;0,'Invullen groen'!L231,""),"")</f>
        <v/>
      </c>
      <c r="G218" s="537">
        <f>IFERROR(IF('Invullen groen'!M231&lt;&gt;0,'Invullen groen'!M231,""),"")</f>
        <v/>
      </c>
      <c r="H218" s="537">
        <f>IFERROR(IF('Invullen groen'!N231&lt;&gt;0,'Invullen groen'!N231,""),"")</f>
        <v/>
      </c>
      <c r="I218" s="537">
        <f>IFERROR(IF('Invullen groen'!O231&lt;&gt;0,'Invullen groen'!O231,""),"")</f>
        <v/>
      </c>
    </row>
    <row r="219" ht="15" customHeight="1">
      <c r="A219" s="534">
        <f>IFERROR(IF('Invullen groen'!E232&gt;0,232-17,""),"")</f>
        <v/>
      </c>
      <c r="B219" s="534">
        <f>IFERROR(IF('Invullen groen'!E232&gt;0,'Invullen groen'!A232,""),"")</f>
        <v/>
      </c>
      <c r="C219" s="534">
        <f>IFERROR(IF('Invullen groen'!E232&gt;0,'Invullen groen'!C232,""),"")</f>
        <v/>
      </c>
      <c r="D219" s="534">
        <f>IFERROR(IF('Invullen groen'!E232&gt;0,'Invullen groen'!D232,""),"")</f>
        <v/>
      </c>
      <c r="E219" s="534">
        <f>IFERROR(IF('Invullen groen'!E232&gt;0,'Invullen groen'!G232,""),"")</f>
        <v/>
      </c>
      <c r="F219" s="535">
        <f>IFERROR(IF('Invullen groen'!L232&lt;&gt;0,'Invullen groen'!L232,""),"")</f>
        <v/>
      </c>
      <c r="G219" s="535">
        <f>IFERROR(IF('Invullen groen'!M232&lt;&gt;0,'Invullen groen'!M232,""),"")</f>
        <v/>
      </c>
      <c r="H219" s="535">
        <f>IFERROR(IF('Invullen groen'!N232&lt;&gt;0,'Invullen groen'!N232,""),"")</f>
        <v/>
      </c>
      <c r="I219" s="535">
        <f>IFERROR(IF('Invullen groen'!O232&lt;&gt;0,'Invullen groen'!O232,""),"")</f>
        <v/>
      </c>
    </row>
    <row r="220" ht="15" customHeight="1">
      <c r="A220" s="536">
        <f>IFERROR(IF('Invullen groen'!E233&gt;0,233-17,""),"")</f>
        <v/>
      </c>
      <c r="B220" s="536">
        <f>IFERROR(IF('Invullen groen'!E233&gt;0,'Invullen groen'!A233,""),"")</f>
        <v/>
      </c>
      <c r="C220" s="536">
        <f>IFERROR(IF('Invullen groen'!E233&gt;0,'Invullen groen'!C233,""),"")</f>
        <v/>
      </c>
      <c r="D220" s="536">
        <f>IFERROR(IF('Invullen groen'!E233&gt;0,'Invullen groen'!D233,""),"")</f>
        <v/>
      </c>
      <c r="E220" s="536">
        <f>IFERROR(IF('Invullen groen'!E233&gt;0,'Invullen groen'!G233,""),"")</f>
        <v/>
      </c>
      <c r="F220" s="537">
        <f>IFERROR(IF('Invullen groen'!L233&lt;&gt;0,'Invullen groen'!L233,""),"")</f>
        <v/>
      </c>
      <c r="G220" s="537">
        <f>IFERROR(IF('Invullen groen'!M233&lt;&gt;0,'Invullen groen'!M233,""),"")</f>
        <v/>
      </c>
      <c r="H220" s="537">
        <f>IFERROR(IF('Invullen groen'!N233&lt;&gt;0,'Invullen groen'!N233,""),"")</f>
        <v/>
      </c>
      <c r="I220" s="537">
        <f>IFERROR(IF('Invullen groen'!O233&lt;&gt;0,'Invullen groen'!O233,""),"")</f>
        <v/>
      </c>
    </row>
    <row r="221" ht="15" customHeight="1">
      <c r="A221" s="534">
        <f>IFERROR(IF('Invullen groen'!E234&gt;0,234-17,""),"")</f>
        <v/>
      </c>
      <c r="B221" s="534">
        <f>IFERROR(IF('Invullen groen'!E234&gt;0,'Invullen groen'!A234,""),"")</f>
        <v/>
      </c>
      <c r="C221" s="534">
        <f>IFERROR(IF('Invullen groen'!E234&gt;0,'Invullen groen'!C234,""),"")</f>
        <v/>
      </c>
      <c r="D221" s="534">
        <f>IFERROR(IF('Invullen groen'!E234&gt;0,'Invullen groen'!D234,""),"")</f>
        <v/>
      </c>
      <c r="E221" s="534">
        <f>IFERROR(IF('Invullen groen'!E234&gt;0,'Invullen groen'!G234,""),"")</f>
        <v/>
      </c>
      <c r="F221" s="535">
        <f>IFERROR(IF('Invullen groen'!L234&lt;&gt;0,'Invullen groen'!L234,""),"")</f>
        <v/>
      </c>
      <c r="G221" s="535">
        <f>IFERROR(IF('Invullen groen'!M234&lt;&gt;0,'Invullen groen'!M234,""),"")</f>
        <v/>
      </c>
      <c r="H221" s="535">
        <f>IFERROR(IF('Invullen groen'!N234&lt;&gt;0,'Invullen groen'!N234,""),"")</f>
        <v/>
      </c>
      <c r="I221" s="535">
        <f>IFERROR(IF('Invullen groen'!O234&lt;&gt;0,'Invullen groen'!O234,""),"")</f>
        <v/>
      </c>
    </row>
    <row r="222" ht="15" customHeight="1">
      <c r="A222" s="536">
        <f>IFERROR(IF('Invullen groen'!E235&gt;0,235-17,""),"")</f>
        <v/>
      </c>
      <c r="B222" s="536">
        <f>IFERROR(IF('Invullen groen'!E235&gt;0,'Invullen groen'!A235,""),"")</f>
        <v/>
      </c>
      <c r="C222" s="536">
        <f>IFERROR(IF('Invullen groen'!E235&gt;0,'Invullen groen'!C235,""),"")</f>
        <v/>
      </c>
      <c r="D222" s="536">
        <f>IFERROR(IF('Invullen groen'!E235&gt;0,'Invullen groen'!D235,""),"")</f>
        <v/>
      </c>
      <c r="E222" s="536">
        <f>IFERROR(IF('Invullen groen'!E235&gt;0,'Invullen groen'!G235,""),"")</f>
        <v/>
      </c>
      <c r="F222" s="537">
        <f>IFERROR(IF('Invullen groen'!L235&lt;&gt;0,'Invullen groen'!L235,""),"")</f>
        <v/>
      </c>
      <c r="G222" s="537">
        <f>IFERROR(IF('Invullen groen'!M235&lt;&gt;0,'Invullen groen'!M235,""),"")</f>
        <v/>
      </c>
      <c r="H222" s="537">
        <f>IFERROR(IF('Invullen groen'!N235&lt;&gt;0,'Invullen groen'!N235,""),"")</f>
        <v/>
      </c>
      <c r="I222" s="537">
        <f>IFERROR(IF('Invullen groen'!O235&lt;&gt;0,'Invullen groen'!O235,""),"")</f>
        <v/>
      </c>
    </row>
    <row r="223" ht="15" customHeight="1">
      <c r="A223" s="534">
        <f>IFERROR(IF('Invullen groen'!E236&gt;0,236-17,""),"")</f>
        <v/>
      </c>
      <c r="B223" s="534">
        <f>IFERROR(IF('Invullen groen'!E236&gt;0,'Invullen groen'!A236,""),"")</f>
        <v/>
      </c>
      <c r="C223" s="534">
        <f>IFERROR(IF('Invullen groen'!E236&gt;0,'Invullen groen'!C236,""),"")</f>
        <v/>
      </c>
      <c r="D223" s="534">
        <f>IFERROR(IF('Invullen groen'!E236&gt;0,'Invullen groen'!D236,""),"")</f>
        <v/>
      </c>
      <c r="E223" s="534">
        <f>IFERROR(IF('Invullen groen'!E236&gt;0,'Invullen groen'!G236,""),"")</f>
        <v/>
      </c>
      <c r="F223" s="535">
        <f>IFERROR(IF('Invullen groen'!L236&lt;&gt;0,'Invullen groen'!L236,""),"")</f>
        <v/>
      </c>
      <c r="G223" s="535">
        <f>IFERROR(IF('Invullen groen'!M236&lt;&gt;0,'Invullen groen'!M236,""),"")</f>
        <v/>
      </c>
      <c r="H223" s="535">
        <f>IFERROR(IF('Invullen groen'!N236&lt;&gt;0,'Invullen groen'!N236,""),"")</f>
        <v/>
      </c>
      <c r="I223" s="535">
        <f>IFERROR(IF('Invullen groen'!O236&lt;&gt;0,'Invullen groen'!O236,""),"")</f>
        <v/>
      </c>
    </row>
    <row r="224" ht="15" customHeight="1">
      <c r="A224" s="536">
        <f>IFERROR(IF('Invullen groen'!E237&gt;0,237-17,""),"")</f>
        <v/>
      </c>
      <c r="B224" s="536">
        <f>IFERROR(IF('Invullen groen'!E237&gt;0,'Invullen groen'!A237,""),"")</f>
        <v/>
      </c>
      <c r="C224" s="536">
        <f>IFERROR(IF('Invullen groen'!E237&gt;0,'Invullen groen'!C237,""),"")</f>
        <v/>
      </c>
      <c r="D224" s="536">
        <f>IFERROR(IF('Invullen groen'!E237&gt;0,'Invullen groen'!D237,""),"")</f>
        <v/>
      </c>
      <c r="E224" s="536">
        <f>IFERROR(IF('Invullen groen'!E237&gt;0,'Invullen groen'!G237,""),"")</f>
        <v/>
      </c>
      <c r="F224" s="537">
        <f>IFERROR(IF('Invullen groen'!L237&lt;&gt;0,'Invullen groen'!L237,""),"")</f>
        <v/>
      </c>
      <c r="G224" s="537">
        <f>IFERROR(IF('Invullen groen'!M237&lt;&gt;0,'Invullen groen'!M237,""),"")</f>
        <v/>
      </c>
      <c r="H224" s="537">
        <f>IFERROR(IF('Invullen groen'!N237&lt;&gt;0,'Invullen groen'!N237,""),"")</f>
        <v/>
      </c>
      <c r="I224" s="537">
        <f>IFERROR(IF('Invullen groen'!O237&lt;&gt;0,'Invullen groen'!O237,""),"")</f>
        <v/>
      </c>
    </row>
    <row r="225" ht="15" customHeight="1">
      <c r="A225" s="534">
        <f>IFERROR(IF('Invullen groen'!E238&gt;0,238-17,""),"")</f>
        <v/>
      </c>
      <c r="B225" s="534">
        <f>IFERROR(IF('Invullen groen'!E238&gt;0,'Invullen groen'!A238,""),"")</f>
        <v/>
      </c>
      <c r="C225" s="534">
        <f>IFERROR(IF('Invullen groen'!E238&gt;0,'Invullen groen'!C238,""),"")</f>
        <v/>
      </c>
      <c r="D225" s="534">
        <f>IFERROR(IF('Invullen groen'!E238&gt;0,'Invullen groen'!D238,""),"")</f>
        <v/>
      </c>
      <c r="E225" s="534">
        <f>IFERROR(IF('Invullen groen'!E238&gt;0,'Invullen groen'!G238,""),"")</f>
        <v/>
      </c>
      <c r="F225" s="535">
        <f>IFERROR(IF('Invullen groen'!L238&lt;&gt;0,'Invullen groen'!L238,""),"")</f>
        <v/>
      </c>
      <c r="G225" s="535">
        <f>IFERROR(IF('Invullen groen'!M238&lt;&gt;0,'Invullen groen'!M238,""),"")</f>
        <v/>
      </c>
      <c r="H225" s="535">
        <f>IFERROR(IF('Invullen groen'!N238&lt;&gt;0,'Invullen groen'!N238,""),"")</f>
        <v/>
      </c>
      <c r="I225" s="535">
        <f>IFERROR(IF('Invullen groen'!O238&lt;&gt;0,'Invullen groen'!O238,""),"")</f>
        <v/>
      </c>
    </row>
    <row r="226" ht="15" customHeight="1">
      <c r="A226" s="536">
        <f>IFERROR(IF('Invullen groen'!E239&gt;0,239-17,""),"")</f>
        <v/>
      </c>
      <c r="B226" s="536">
        <f>IFERROR(IF('Invullen groen'!E239&gt;0,'Invullen groen'!A239,""),"")</f>
        <v/>
      </c>
      <c r="C226" s="536">
        <f>IFERROR(IF('Invullen groen'!E239&gt;0,'Invullen groen'!C239,""),"")</f>
        <v/>
      </c>
      <c r="D226" s="536">
        <f>IFERROR(IF('Invullen groen'!E239&gt;0,'Invullen groen'!D239,""),"")</f>
        <v/>
      </c>
      <c r="E226" s="536">
        <f>IFERROR(IF('Invullen groen'!E239&gt;0,'Invullen groen'!G239,""),"")</f>
        <v/>
      </c>
      <c r="F226" s="537">
        <f>IFERROR(IF('Invullen groen'!L239&lt;&gt;0,'Invullen groen'!L239,""),"")</f>
        <v/>
      </c>
      <c r="G226" s="537">
        <f>IFERROR(IF('Invullen groen'!M239&lt;&gt;0,'Invullen groen'!M239,""),"")</f>
        <v/>
      </c>
      <c r="H226" s="537">
        <f>IFERROR(IF('Invullen groen'!N239&lt;&gt;0,'Invullen groen'!N239,""),"")</f>
        <v/>
      </c>
      <c r="I226" s="537">
        <f>IFERROR(IF('Invullen groen'!O239&lt;&gt;0,'Invullen groen'!O239,""),"")</f>
        <v/>
      </c>
    </row>
    <row r="227" ht="15" customHeight="1">
      <c r="A227" s="534">
        <f>IFERROR(IF('Invullen groen'!E240&gt;0,240-17,""),"")</f>
        <v/>
      </c>
      <c r="B227" s="534">
        <f>IFERROR(IF('Invullen groen'!E240&gt;0,'Invullen groen'!A240,""),"")</f>
        <v/>
      </c>
      <c r="C227" s="534">
        <f>IFERROR(IF('Invullen groen'!E240&gt;0,'Invullen groen'!C240,""),"")</f>
        <v/>
      </c>
      <c r="D227" s="534">
        <f>IFERROR(IF('Invullen groen'!E240&gt;0,'Invullen groen'!D240,""),"")</f>
        <v/>
      </c>
      <c r="E227" s="534">
        <f>IFERROR(IF('Invullen groen'!E240&gt;0,'Invullen groen'!G240,""),"")</f>
        <v/>
      </c>
      <c r="F227" s="535">
        <f>IFERROR(IF('Invullen groen'!L240&lt;&gt;0,'Invullen groen'!L240,""),"")</f>
        <v/>
      </c>
      <c r="G227" s="535">
        <f>IFERROR(IF('Invullen groen'!M240&lt;&gt;0,'Invullen groen'!M240,""),"")</f>
        <v/>
      </c>
      <c r="H227" s="535">
        <f>IFERROR(IF('Invullen groen'!N240&lt;&gt;0,'Invullen groen'!N240,""),"")</f>
        <v/>
      </c>
      <c r="I227" s="535">
        <f>IFERROR(IF('Invullen groen'!O240&lt;&gt;0,'Invullen groen'!O240,""),"")</f>
        <v/>
      </c>
    </row>
    <row r="228" ht="15" customHeight="1">
      <c r="A228" s="536">
        <f>IFERROR(IF('Invullen groen'!E241&gt;0,241-17,""),"")</f>
        <v/>
      </c>
      <c r="B228" s="536">
        <f>IFERROR(IF('Invullen groen'!E241&gt;0,'Invullen groen'!A241,""),"")</f>
        <v/>
      </c>
      <c r="C228" s="536">
        <f>IFERROR(IF('Invullen groen'!E241&gt;0,'Invullen groen'!C241,""),"")</f>
        <v/>
      </c>
      <c r="D228" s="536">
        <f>IFERROR(IF('Invullen groen'!E241&gt;0,'Invullen groen'!D241,""),"")</f>
        <v/>
      </c>
      <c r="E228" s="536">
        <f>IFERROR(IF('Invullen groen'!E241&gt;0,'Invullen groen'!G241,""),"")</f>
        <v/>
      </c>
      <c r="F228" s="537">
        <f>IFERROR(IF('Invullen groen'!L241&lt;&gt;0,'Invullen groen'!L241,""),"")</f>
        <v/>
      </c>
      <c r="G228" s="537">
        <f>IFERROR(IF('Invullen groen'!M241&lt;&gt;0,'Invullen groen'!M241,""),"")</f>
        <v/>
      </c>
      <c r="H228" s="537">
        <f>IFERROR(IF('Invullen groen'!N241&lt;&gt;0,'Invullen groen'!N241,""),"")</f>
        <v/>
      </c>
      <c r="I228" s="537">
        <f>IFERROR(IF('Invullen groen'!O241&lt;&gt;0,'Invullen groen'!O241,""),"")</f>
        <v/>
      </c>
    </row>
    <row r="229" ht="15" customHeight="1">
      <c r="A229" s="526" t="n"/>
      <c r="B229" s="526" t="n"/>
      <c r="C229" s="526" t="n"/>
      <c r="D229" s="526" t="n"/>
      <c r="E229" s="526" t="n"/>
      <c r="F229" s="527" t="n"/>
      <c r="G229" s="527" t="n"/>
      <c r="H229" s="527" t="n"/>
      <c r="I229" s="527" t="n"/>
    </row>
    <row r="230" ht="15" customHeight="1">
      <c r="A230" s="538" t="inlineStr">
        <is>
          <t>Totaal lasten</t>
        </is>
      </c>
      <c r="B230" s="312" t="n"/>
      <c r="C230" s="312" t="n"/>
      <c r="D230" s="312" t="n"/>
      <c r="E230" s="312" t="n"/>
      <c r="F230" s="540">
        <f>SUMIF('Invullen groen'!Q18:Q241,"&gt;0",'Invullen groen'!Q18:Q241)</f>
        <v/>
      </c>
      <c r="G230" s="540">
        <f>SUMIF('Invullen groen'!M18:M241,"&gt;0",'Invullen groen'!Q18:Q241)</f>
        <v/>
      </c>
      <c r="H230" s="540">
        <f>SUMIF('Invullen groen'!N18:N241,"&gt;0",'Invullen groen'!Q18:Q241)</f>
        <v/>
      </c>
      <c r="I230" s="540">
        <f>SUMIF('Invullen groen'!O18:O241,"&gt;0",'Invullen groen'!Q18:Q241)</f>
        <v/>
      </c>
    </row>
    <row r="231" ht="15" customHeight="1">
      <c r="A231" s="541" t="inlineStr">
        <is>
          <t>Totaal baten</t>
        </is>
      </c>
      <c r="B231" s="312" t="n"/>
      <c r="C231" s="312" t="n"/>
      <c r="D231" s="312" t="n"/>
      <c r="E231" s="312" t="n"/>
      <c r="F231" s="543">
        <f>SUMIF('Invullen groen'!R18:R241,"&lt;&gt;0",'Invullen groen'!R18:R241)</f>
        <v/>
      </c>
      <c r="G231" s="543">
        <f>SUMIF('Invullen groen'!M18:M241,"&lt;&gt;0",'Invullen groen'!R18:R241)</f>
        <v/>
      </c>
      <c r="H231" s="543">
        <f>SUMIF('Invullen groen'!N18:N241,"&lt;&gt;0",'Invullen groen'!R18:R241)</f>
        <v/>
      </c>
      <c r="I231" s="543">
        <f>SUMIF('Invullen groen'!O18:O241,"&lt;&gt;0",'Invullen groen'!R18:R241)</f>
        <v/>
      </c>
    </row>
    <row r="232" ht="15" customHeight="1">
      <c r="A232" s="544" t="inlineStr">
        <is>
          <t>Saldo (lasten + baten)</t>
        </is>
      </c>
      <c r="B232" s="312" t="n"/>
      <c r="C232" s="312" t="n"/>
      <c r="D232" s="312" t="n"/>
      <c r="E232" s="312" t="n"/>
      <c r="F232" s="545">
        <f>F230+F231</f>
        <v/>
      </c>
      <c r="G232" s="545">
        <f>G230+G231</f>
        <v/>
      </c>
      <c r="H232" s="545">
        <f>H230+H231</f>
        <v/>
      </c>
      <c r="I232" s="545">
        <f>I230+I231</f>
        <v/>
      </c>
    </row>
    <row r="233" ht="15" customHeight="1">
      <c r="A233" s="526" t="n"/>
      <c r="B233" s="526" t="n"/>
      <c r="C233" s="526" t="n"/>
      <c r="D233" s="526" t="n"/>
      <c r="E233" s="526" t="n"/>
      <c r="F233" s="527" t="n"/>
      <c r="G233" s="527" t="n"/>
      <c r="H233" s="527" t="n"/>
      <c r="I233" s="527" t="n"/>
    </row>
    <row r="234" ht="15" customHeight="1">
      <c r="A234" s="50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groen'!L17:L74&gt;0)*'Invullen groen'!L17:L74)</f>
        <v/>
      </c>
      <c r="C5" s="468">
        <f>SUMPRODUCT((LOWER('Invullen groen'!A17:A74)="bestuur en ondersteuning")*('Invullen groen'!L17:L74&lt;0)*'Invullen groen'!L17:L74)</f>
        <v/>
      </c>
      <c r="D5" s="468">
        <f>B5+C5</f>
        <v/>
      </c>
      <c r="E5" s="468">
        <f>SUMPRODUCT((LOWER('Invullen groen'!A17:A74)="bestuur en ondersteuning")*IFERROR('Invullen groen'!M17:M74*1,0))</f>
        <v/>
      </c>
      <c r="F5" s="468">
        <f>SUMPRODUCT((LOWER('Invullen groen'!A17:A74)="bestuur en ondersteuning")*IFERROR('Invullen groen'!N17:N74*1,0))</f>
        <v/>
      </c>
      <c r="G5" s="468">
        <f>SUMPRODUCT((LOWER('Invullen groen'!A17:A74)="bestuur en ondersteuning")*IFERROR('Invullen groen'!O17:O74*1,0))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groen'!L17:L74&gt;0)*'Invullen groen'!L17:L74)</f>
        <v/>
      </c>
      <c r="C6" s="470">
        <f>SUMPRODUCT((LOWER('Invullen groen'!A17:A74)="veiligheid")*('Invullen groen'!L17:L74&lt;0)*'Invullen groen'!L17:L74)</f>
        <v/>
      </c>
      <c r="D6" s="470">
        <f>B6+C6</f>
        <v/>
      </c>
      <c r="E6" s="470">
        <f>SUMPRODUCT((LOWER('Invullen groen'!A17:A74)="veiligheid")*IFERROR('Invullen groen'!M17:M74*1,0))</f>
        <v/>
      </c>
      <c r="F6" s="470">
        <f>SUMPRODUCT((LOWER('Invullen groen'!A17:A74)="veiligheid")*IFERROR('Invullen groen'!N17:N74*1,0))</f>
        <v/>
      </c>
      <c r="G6" s="470">
        <f>SUMPRODUCT((LOWER('Invullen groen'!A17:A74)="veiligheid")*IFERROR('Invullen groen'!O17:O74*1,0))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groen'!L17:L74&gt;0)*'Invullen groen'!L17:L74)</f>
        <v/>
      </c>
      <c r="C7" s="468">
        <f>SUMPRODUCT((LOWER('Invullen groen'!A17:A74)="verkeer, vervoer en waterstaat")*('Invullen groen'!L17:L74&lt;0)*'Invullen groen'!L17:L74)</f>
        <v/>
      </c>
      <c r="D7" s="468">
        <f>B7+C7</f>
        <v/>
      </c>
      <c r="E7" s="468">
        <f>SUMPRODUCT((LOWER('Invullen groen'!A17:A74)="verkeer, vervoer en waterstaat")*IFERROR('Invullen groen'!M17:M74*1,0))</f>
        <v/>
      </c>
      <c r="F7" s="468">
        <f>SUMPRODUCT((LOWER('Invullen groen'!A17:A74)="verkeer, vervoer en waterstaat")*IFERROR('Invullen groen'!N17:N74*1,0))</f>
        <v/>
      </c>
      <c r="G7" s="468">
        <f>SUMPRODUCT((LOWER('Invullen groen'!A17:A74)="verkeer, vervoer en waterstaat")*IFERROR('Invullen groen'!O17:O74*1,0))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groen'!L17:L74&gt;0)*'Invullen groen'!L17:L74)</f>
        <v/>
      </c>
      <c r="C8" s="470">
        <f>SUMPRODUCT((LOWER('Invullen groen'!A17:A74)="economie")*('Invullen groen'!L17:L74&lt;0)*'Invullen groen'!L17:L74)</f>
        <v/>
      </c>
      <c r="D8" s="470">
        <f>B8+C8</f>
        <v/>
      </c>
      <c r="E8" s="470">
        <f>SUMPRODUCT((LOWER('Invullen groen'!A17:A74)="economie")*IFERROR('Invullen groen'!M17:M74*1,0))</f>
        <v/>
      </c>
      <c r="F8" s="470">
        <f>SUMPRODUCT((LOWER('Invullen groen'!A17:A74)="economie")*IFERROR('Invullen groen'!N17:N74*1,0))</f>
        <v/>
      </c>
      <c r="G8" s="470">
        <f>SUMPRODUCT((LOWER('Invullen groen'!A17:A74)="economie")*IFERROR('Invullen groen'!O17:O74*1,0))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groen'!L17:L74&gt;0)*'Invullen groen'!L17:L74)</f>
        <v/>
      </c>
      <c r="C9" s="468">
        <f>SUMPRODUCT((LOWER('Invullen groen'!A17:A74)="onderwijs")*('Invullen groen'!L17:L74&lt;0)*'Invullen groen'!L17:L74)</f>
        <v/>
      </c>
      <c r="D9" s="468">
        <f>B9+C9</f>
        <v/>
      </c>
      <c r="E9" s="468">
        <f>SUMPRODUCT((LOWER('Invullen groen'!A17:A74)="onderwijs")*IFERROR('Invullen groen'!M17:M74*1,0))</f>
        <v/>
      </c>
      <c r="F9" s="468">
        <f>SUMPRODUCT((LOWER('Invullen groen'!A17:A74)="onderwijs")*IFERROR('Invullen groen'!N17:N74*1,0))</f>
        <v/>
      </c>
      <c r="G9" s="468">
        <f>SUMPRODUCT((LOWER('Invullen groen'!A17:A74)="onderwijs")*IFERROR('Invullen groen'!O17:O74*1,0))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groen'!L17:L74&gt;0)*'Invullen groen'!L17:L74)</f>
        <v/>
      </c>
      <c r="C10" s="470">
        <f>SUMPRODUCT((LOWER('Invullen groen'!A17:A74)="sport, cultuur en recreatie")*('Invullen groen'!L17:L74&lt;0)*'Invullen groen'!L17:L74)</f>
        <v/>
      </c>
      <c r="D10" s="470">
        <f>B10+C10</f>
        <v/>
      </c>
      <c r="E10" s="470">
        <f>SUMPRODUCT((LOWER('Invullen groen'!A17:A74)="sport, cultuur en recreatie")*IFERROR('Invullen groen'!M17:M74*1,0))</f>
        <v/>
      </c>
      <c r="F10" s="470">
        <f>SUMPRODUCT((LOWER('Invullen groen'!A17:A74)="sport, cultuur en recreatie")*IFERROR('Invullen groen'!N17:N74*1,0))</f>
        <v/>
      </c>
      <c r="G10" s="470">
        <f>SUMPRODUCT((LOWER('Invullen groen'!A17:A74)="sport, cultuur en recreatie")*IFERROR('Invullen groen'!O17:O74*1,0))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groen'!L17:L74&gt;0)*'Invullen groen'!L17:L74)</f>
        <v/>
      </c>
      <c r="C11" s="468">
        <f>SUMPRODUCT((LOWER('Invullen groen'!A17:A74)="sociaal domein")*('Invullen groen'!L17:L74&lt;0)*'Invullen groen'!L17:L74)</f>
        <v/>
      </c>
      <c r="D11" s="468">
        <f>B11+C11</f>
        <v/>
      </c>
      <c r="E11" s="468">
        <f>SUMPRODUCT((LOWER('Invullen groen'!A17:A74)="sociaal domein")*IFERROR('Invullen groen'!M17:M74*1,0))</f>
        <v/>
      </c>
      <c r="F11" s="468">
        <f>SUMPRODUCT((LOWER('Invullen groen'!A17:A74)="sociaal domein")*IFERROR('Invullen groen'!N17:N74*1,0))</f>
        <v/>
      </c>
      <c r="G11" s="468">
        <f>SUMPRODUCT((LOWER('Invullen groen'!A17:A74)="sociaal domein")*IFERROR('Invullen groen'!O17:O74*1,0))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groen'!L17:L74&gt;0)*'Invullen groen'!L17:L74)</f>
        <v/>
      </c>
      <c r="C12" s="470">
        <f>SUMPRODUCT((LOWER('Invullen groen'!A17:A74)="volksgezondheid en milieu")*('Invullen groen'!L17:L74&lt;0)*'Invullen groen'!L17:L74)</f>
        <v/>
      </c>
      <c r="D12" s="470">
        <f>B12+C12</f>
        <v/>
      </c>
      <c r="E12" s="470">
        <f>SUMPRODUCT((LOWER('Invullen groen'!A17:A74)="volksgezondheid en milieu")*IFERROR('Invullen groen'!M17:M74*1,0))</f>
        <v/>
      </c>
      <c r="F12" s="470">
        <f>SUMPRODUCT((LOWER('Invullen groen'!A17:A74)="volksgezondheid en milieu")*IFERROR('Invullen groen'!N17:N74*1,0))</f>
        <v/>
      </c>
      <c r="G12" s="470">
        <f>SUMPRODUCT((LOWER('Invullen groen'!A17:A74)="volksgezondheid en milieu")*IFERROR('Invullen groen'!O17:O74*1,0))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groen'!L17:L74&gt;0)*'Invullen groen'!L17:L74)</f>
        <v/>
      </c>
      <c r="C13" s="468">
        <f>SUMPRODUCT((LOWER('Invullen groen'!A17:A74)="volkshuisv., ro en stedelijke vernieuwing")*('Invullen groen'!L17:L74&lt;0)*'Invullen groen'!L17:L74)</f>
        <v/>
      </c>
      <c r="D13" s="468">
        <f>B13+C13</f>
        <v/>
      </c>
      <c r="E13" s="468">
        <f>SUMPRODUCT((LOWER('Invullen groen'!A17:A74)="volkshuisv., ro en stedelijke vernieuwing")*IFERROR('Invullen groen'!M17:M74*1,0))</f>
        <v/>
      </c>
      <c r="F13" s="468">
        <f>SUMPRODUCT((LOWER('Invullen groen'!A17:A74)="volkshuisv., ro en stedelijke vernieuwing")*IFERROR('Invullen groen'!N17:N74*1,0))</f>
        <v/>
      </c>
      <c r="G13" s="468">
        <f>SUMPRODUCT((LOWER('Invullen groen'!A17:A74)="volkshuisv., ro en stedelijke vernieuwing")*IFERROR('Invullen groen'!O17:O74*1,0))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(voor de wijziging).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groen'!L112,0)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groen'!L18&gt;0,1,""),"")</f>
        <v/>
      </c>
      <c r="B6" s="536">
        <f>IFERROR(IF('Invullen groen'!L18&gt;0,'Invullen groen'!A18,""),"")</f>
        <v/>
      </c>
      <c r="C6" s="536">
        <f>IFERROR(IF('Invullen groen'!L18&gt;0,'Invullen groen'!G18,""),"")</f>
        <v/>
      </c>
      <c r="D6" s="537">
        <f>IFERROR(IF('Invullen groen'!L18&gt;0,'Invullen groen'!L18,""),"")</f>
        <v/>
      </c>
      <c r="E6" s="508" t="n"/>
      <c r="F6" s="536">
        <f>IFERROR(IF('Invullen groen'!L78&lt;&gt;0,'Invullen groen'!A78,""),"")</f>
        <v/>
      </c>
      <c r="G6" s="536">
        <f>IFERROR(IF('Invullen groen'!L78&lt;&gt;0,'Invullen groen'!G78,""),"")</f>
        <v/>
      </c>
      <c r="H6" s="537">
        <f>IFERROR(IF('Invullen groen'!L78&lt;&gt;0,'Invullen groen'!L78,""),"")</f>
        <v/>
      </c>
    </row>
    <row r="7" ht="15" customHeight="1">
      <c r="A7" s="534">
        <f>IFERROR(IF('Invullen groen'!L19&gt;0,2,""),"")</f>
        <v/>
      </c>
      <c r="B7" s="534">
        <f>IFERROR(IF('Invullen groen'!L19&gt;0,'Invullen groen'!A19,""),"")</f>
        <v/>
      </c>
      <c r="C7" s="534">
        <f>IFERROR(IF('Invullen groen'!L19&gt;0,'Invullen groen'!G19,""),"")</f>
        <v/>
      </c>
      <c r="D7" s="535">
        <f>IFERROR(IF('Invullen groen'!L19&gt;0,'Invullen groen'!L19,""),"")</f>
        <v/>
      </c>
      <c r="E7" s="526" t="n"/>
      <c r="F7" s="534">
        <f>IFERROR(IF('Invullen groen'!L79&lt;&gt;0,'Invullen groen'!A79,""),"")</f>
        <v/>
      </c>
      <c r="G7" s="534">
        <f>IFERROR(IF('Invullen groen'!L79&lt;&gt;0,'Invullen groen'!G79,""),"")</f>
        <v/>
      </c>
      <c r="H7" s="535">
        <f>IFERROR(IF('Invullen groen'!L79&lt;&gt;0,'Invullen groen'!L79,""),"")</f>
        <v/>
      </c>
    </row>
    <row r="8" ht="15" customHeight="1">
      <c r="A8" s="536">
        <f>IFERROR(IF('Invullen groen'!L20&gt;0,3,""),"")</f>
        <v/>
      </c>
      <c r="B8" s="536">
        <f>IFERROR(IF('Invullen groen'!L20&gt;0,'Invullen groen'!A20,""),"")</f>
        <v/>
      </c>
      <c r="C8" s="536">
        <f>IFERROR(IF('Invullen groen'!L20&gt;0,'Invullen groen'!G20,""),"")</f>
        <v/>
      </c>
      <c r="D8" s="537">
        <f>IFERROR(IF('Invullen groen'!L20&gt;0,'Invullen groen'!L20,""),"")</f>
        <v/>
      </c>
      <c r="E8" s="508" t="n"/>
      <c r="F8" s="536">
        <f>IFERROR(IF('Invullen groen'!L80&lt;&gt;0,'Invullen groen'!A80,""),"")</f>
        <v/>
      </c>
      <c r="G8" s="536">
        <f>IFERROR(IF('Invullen groen'!L80&lt;&gt;0,'Invullen groen'!G80,""),"")</f>
        <v/>
      </c>
      <c r="H8" s="537">
        <f>IFERROR(IF('Invullen groen'!L80&lt;&gt;0,'Invullen groen'!L80,""),"")</f>
        <v/>
      </c>
    </row>
    <row r="9" ht="15" customHeight="1">
      <c r="A9" s="534">
        <f>IFERROR(IF('Invullen groen'!L21&gt;0,4,""),"")</f>
        <v/>
      </c>
      <c r="B9" s="534">
        <f>IFERROR(IF('Invullen groen'!L21&gt;0,'Invullen groen'!A21,""),"")</f>
        <v/>
      </c>
      <c r="C9" s="534">
        <f>IFERROR(IF('Invullen groen'!L21&gt;0,'Invullen groen'!G21,""),"")</f>
        <v/>
      </c>
      <c r="D9" s="535">
        <f>IFERROR(IF('Invullen groen'!L21&gt;0,'Invullen groen'!L21,""),"")</f>
        <v/>
      </c>
      <c r="E9" s="526" t="n"/>
      <c r="F9" s="534">
        <f>IFERROR(IF('Invullen groen'!L81&lt;&gt;0,'Invullen groen'!A81,""),"")</f>
        <v/>
      </c>
      <c r="G9" s="534">
        <f>IFERROR(IF('Invullen groen'!L81&lt;&gt;0,'Invullen groen'!G81,""),"")</f>
        <v/>
      </c>
      <c r="H9" s="535">
        <f>IFERROR(IF('Invullen groen'!L81&lt;&gt;0,'Invullen groen'!L81,""),"")</f>
        <v/>
      </c>
    </row>
    <row r="10" ht="15" customHeight="1">
      <c r="A10" s="536">
        <f>IFERROR(IF('Invullen groen'!L22&gt;0,5,""),"")</f>
        <v/>
      </c>
      <c r="B10" s="536">
        <f>IFERROR(IF('Invullen groen'!L22&gt;0,'Invullen groen'!A22,""),"")</f>
        <v/>
      </c>
      <c r="C10" s="536">
        <f>IFERROR(IF('Invullen groen'!L22&gt;0,'Invullen groen'!G22,""),"")</f>
        <v/>
      </c>
      <c r="D10" s="537">
        <f>IFERROR(IF('Invullen groen'!L22&gt;0,'Invullen groen'!L22,""),"")</f>
        <v/>
      </c>
      <c r="E10" s="508" t="n"/>
      <c r="F10" s="536">
        <f>IFERROR(IF('Invullen groen'!L82&lt;&gt;0,'Invullen groen'!A82,""),"")</f>
        <v/>
      </c>
      <c r="G10" s="536">
        <f>IFERROR(IF('Invullen groen'!L82&lt;&gt;0,'Invullen groen'!G82,""),"")</f>
        <v/>
      </c>
      <c r="H10" s="537">
        <f>IFERROR(IF('Invullen groen'!L82&lt;&gt;0,'Invullen groen'!L82,""),"")</f>
        <v/>
      </c>
    </row>
    <row r="11" ht="15" customHeight="1">
      <c r="A11" s="534">
        <f>IFERROR(IF('Invullen groen'!L23&gt;0,6,""),"")</f>
        <v/>
      </c>
      <c r="B11" s="534">
        <f>IFERROR(IF('Invullen groen'!L23&gt;0,'Invullen groen'!A23,""),"")</f>
        <v/>
      </c>
      <c r="C11" s="534">
        <f>IFERROR(IF('Invullen groen'!L23&gt;0,'Invullen groen'!G23,""),"")</f>
        <v/>
      </c>
      <c r="D11" s="535">
        <f>IFERROR(IF('Invullen groen'!L23&gt;0,'Invullen groen'!L23,""),"")</f>
        <v/>
      </c>
      <c r="E11" s="526" t="n"/>
      <c r="F11" s="534">
        <f>IFERROR(IF('Invullen groen'!L83&lt;&gt;0,'Invullen groen'!A83,""),"")</f>
        <v/>
      </c>
      <c r="G11" s="534">
        <f>IFERROR(IF('Invullen groen'!L83&lt;&gt;0,'Invullen groen'!G83,""),"")</f>
        <v/>
      </c>
      <c r="H11" s="535">
        <f>IFERROR(IF('Invullen groen'!L83&lt;&gt;0,'Invullen groen'!L83,""),"")</f>
        <v/>
      </c>
    </row>
    <row r="12" ht="15" customHeight="1">
      <c r="A12" s="536">
        <f>IFERROR(IF('Invullen groen'!L24&gt;0,7,""),"")</f>
        <v/>
      </c>
      <c r="B12" s="536">
        <f>IFERROR(IF('Invullen groen'!L24&gt;0,'Invullen groen'!A24,""),"")</f>
        <v/>
      </c>
      <c r="C12" s="536">
        <f>IFERROR(IF('Invullen groen'!L24&gt;0,'Invullen groen'!G24,""),"")</f>
        <v/>
      </c>
      <c r="D12" s="537">
        <f>IFERROR(IF('Invullen groen'!L24&gt;0,'Invullen groen'!L24,""),"")</f>
        <v/>
      </c>
      <c r="E12" s="508" t="n"/>
      <c r="F12" s="536">
        <f>IFERROR(IF('Invullen groen'!L84&lt;&gt;0,'Invullen groen'!A84,""),"")</f>
        <v/>
      </c>
      <c r="G12" s="536">
        <f>IFERROR(IF('Invullen groen'!L84&lt;&gt;0,'Invullen groen'!G84,""),"")</f>
        <v/>
      </c>
      <c r="H12" s="537">
        <f>IFERROR(IF('Invullen groen'!L84&lt;&gt;0,'Invullen groen'!L84,""),"")</f>
        <v/>
      </c>
    </row>
    <row r="13" ht="15" customHeight="1">
      <c r="A13" s="534">
        <f>IFERROR(IF('Invullen groen'!L25&gt;0,8,""),"")</f>
        <v/>
      </c>
      <c r="B13" s="534">
        <f>IFERROR(IF('Invullen groen'!L25&gt;0,'Invullen groen'!A25,""),"")</f>
        <v/>
      </c>
      <c r="C13" s="534">
        <f>IFERROR(IF('Invullen groen'!L25&gt;0,'Invullen groen'!G25,""),"")</f>
        <v/>
      </c>
      <c r="D13" s="535">
        <f>IFERROR(IF('Invullen groen'!L25&gt;0,'Invullen groen'!L25,""),"")</f>
        <v/>
      </c>
      <c r="E13" s="526" t="n"/>
      <c r="F13" s="534">
        <f>IFERROR(IF('Invullen groen'!L85&lt;&gt;0,'Invullen groen'!A85,""),"")</f>
        <v/>
      </c>
      <c r="G13" s="534">
        <f>IFERROR(IF('Invullen groen'!L85&lt;&gt;0,'Invullen groen'!G85,""),"")</f>
        <v/>
      </c>
      <c r="H13" s="535">
        <f>IFERROR(IF('Invullen groen'!L85&lt;&gt;0,'Invullen groen'!L85,""),"")</f>
        <v/>
      </c>
    </row>
    <row r="14" ht="15" customHeight="1">
      <c r="A14" s="536">
        <f>IFERROR(IF('Invullen groen'!L26&gt;0,9,""),"")</f>
        <v/>
      </c>
      <c r="B14" s="536">
        <f>IFERROR(IF('Invullen groen'!L26&gt;0,'Invullen groen'!A26,""),"")</f>
        <v/>
      </c>
      <c r="C14" s="536">
        <f>IFERROR(IF('Invullen groen'!L26&gt;0,'Invullen groen'!G26,""),"")</f>
        <v/>
      </c>
      <c r="D14" s="537">
        <f>IFERROR(IF('Invullen groen'!L26&gt;0,'Invullen groen'!L26,""),"")</f>
        <v/>
      </c>
      <c r="E14" s="508" t="n"/>
      <c r="F14" s="536">
        <f>IFERROR(IF('Invullen groen'!L86&lt;&gt;0,'Invullen groen'!A86,""),"")</f>
        <v/>
      </c>
      <c r="G14" s="536">
        <f>IFERROR(IF('Invullen groen'!L86&lt;&gt;0,'Invullen groen'!G86,""),"")</f>
        <v/>
      </c>
      <c r="H14" s="537">
        <f>IFERROR(IF('Invullen groen'!L86&lt;&gt;0,'Invullen groen'!L86,""),"")</f>
        <v/>
      </c>
    </row>
    <row r="15" ht="15" customHeight="1">
      <c r="A15" s="534">
        <f>IFERROR(IF('Invullen groen'!L27&gt;0,10,""),"")</f>
        <v/>
      </c>
      <c r="B15" s="534">
        <f>IFERROR(IF('Invullen groen'!L27&gt;0,'Invullen groen'!A27,""),"")</f>
        <v/>
      </c>
      <c r="C15" s="534">
        <f>IFERROR(IF('Invullen groen'!L27&gt;0,'Invullen groen'!G27,""),"")</f>
        <v/>
      </c>
      <c r="D15" s="535">
        <f>IFERROR(IF('Invullen groen'!L27&gt;0,'Invullen groen'!L27,""),"")</f>
        <v/>
      </c>
      <c r="E15" s="526" t="n"/>
      <c r="F15" s="534">
        <f>IFERROR(IF('Invullen groen'!L87&lt;&gt;0,'Invullen groen'!A87,""),"")</f>
        <v/>
      </c>
      <c r="G15" s="534">
        <f>IFERROR(IF('Invullen groen'!L87&lt;&gt;0,'Invullen groen'!G87,""),"")</f>
        <v/>
      </c>
      <c r="H15" s="535">
        <f>IFERROR(IF('Invullen groen'!L87&lt;&gt;0,'Invullen groen'!L87,""),"")</f>
        <v/>
      </c>
    </row>
    <row r="16" ht="15" customHeight="1">
      <c r="A16" s="536">
        <f>IFERROR(IF('Invullen groen'!L28&gt;0,11,""),"")</f>
        <v/>
      </c>
      <c r="B16" s="536">
        <f>IFERROR(IF('Invullen groen'!L28&gt;0,'Invullen groen'!A28,""),"")</f>
        <v/>
      </c>
      <c r="C16" s="536">
        <f>IFERROR(IF('Invullen groen'!L28&gt;0,'Invullen groen'!G28,""),"")</f>
        <v/>
      </c>
      <c r="D16" s="537">
        <f>IFERROR(IF('Invullen groen'!L28&gt;0,'Invullen groen'!L28,""),"")</f>
        <v/>
      </c>
      <c r="E16" s="508" t="n"/>
      <c r="F16" s="536">
        <f>IFERROR(IF('Invullen groen'!L88&lt;&gt;0,'Invullen groen'!A88,""),"")</f>
        <v/>
      </c>
      <c r="G16" s="536">
        <f>IFERROR(IF('Invullen groen'!L88&lt;&gt;0,'Invullen groen'!G88,""),"")</f>
        <v/>
      </c>
      <c r="H16" s="537">
        <f>IFERROR(IF('Invullen groen'!L88&lt;&gt;0,'Invullen groen'!L88,""),"")</f>
        <v/>
      </c>
    </row>
    <row r="17" ht="15" customHeight="1">
      <c r="A17" s="534">
        <f>IFERROR(IF('Invullen groen'!L29&gt;0,12,""),"")</f>
        <v/>
      </c>
      <c r="B17" s="534">
        <f>IFERROR(IF('Invullen groen'!L29&gt;0,'Invullen groen'!A29,""),"")</f>
        <v/>
      </c>
      <c r="C17" s="534">
        <f>IFERROR(IF('Invullen groen'!L29&gt;0,'Invullen groen'!G29,""),"")</f>
        <v/>
      </c>
      <c r="D17" s="535">
        <f>IFERROR(IF('Invullen groen'!L29&gt;0,'Invullen groen'!L29,""),"")</f>
        <v/>
      </c>
      <c r="E17" s="526" t="n"/>
      <c r="F17" s="534">
        <f>IFERROR(IF('Invullen groen'!L89&lt;&gt;0,'Invullen groen'!A89,""),"")</f>
        <v/>
      </c>
      <c r="G17" s="534">
        <f>IFERROR(IF('Invullen groen'!L89&lt;&gt;0,'Invullen groen'!G89,""),"")</f>
        <v/>
      </c>
      <c r="H17" s="535">
        <f>IFERROR(IF('Invullen groen'!L89&lt;&gt;0,'Invullen groen'!L89,""),"")</f>
        <v/>
      </c>
    </row>
    <row r="18" ht="15" customHeight="1">
      <c r="A18" s="536">
        <f>IFERROR(IF('Invullen groen'!L30&gt;0,13,""),"")</f>
        <v/>
      </c>
      <c r="B18" s="536">
        <f>IFERROR(IF('Invullen groen'!L30&gt;0,'Invullen groen'!A30,""),"")</f>
        <v/>
      </c>
      <c r="C18" s="536">
        <f>IFERROR(IF('Invullen groen'!L30&gt;0,'Invullen groen'!G30,""),"")</f>
        <v/>
      </c>
      <c r="D18" s="537">
        <f>IFERROR(IF('Invullen groen'!L30&gt;0,'Invullen groen'!L30,""),"")</f>
        <v/>
      </c>
      <c r="E18" s="508" t="n"/>
      <c r="F18" s="536">
        <f>IFERROR(IF('Invullen groen'!L90&lt;&gt;0,'Invullen groen'!A90,""),"")</f>
        <v/>
      </c>
      <c r="G18" s="536">
        <f>IFERROR(IF('Invullen groen'!L90&lt;&gt;0,'Invullen groen'!G90,""),"")</f>
        <v/>
      </c>
      <c r="H18" s="537">
        <f>IFERROR(IF('Invullen groen'!L90&lt;&gt;0,'Invullen groen'!L90,""),"")</f>
        <v/>
      </c>
    </row>
    <row r="19" ht="15" customHeight="1">
      <c r="A19" s="534">
        <f>IFERROR(IF('Invullen groen'!L31&gt;0,14,""),"")</f>
        <v/>
      </c>
      <c r="B19" s="534">
        <f>IFERROR(IF('Invullen groen'!L31&gt;0,'Invullen groen'!A31,""),"")</f>
        <v/>
      </c>
      <c r="C19" s="534">
        <f>IFERROR(IF('Invullen groen'!L31&gt;0,'Invullen groen'!G31,""),"")</f>
        <v/>
      </c>
      <c r="D19" s="535">
        <f>IFERROR(IF('Invullen groen'!L31&gt;0,'Invullen groen'!L31,""),"")</f>
        <v/>
      </c>
      <c r="E19" s="526" t="n"/>
      <c r="F19" s="534">
        <f>IFERROR(IF('Invullen groen'!L91&lt;&gt;0,'Invullen groen'!A91,""),"")</f>
        <v/>
      </c>
      <c r="G19" s="534">
        <f>IFERROR(IF('Invullen groen'!L91&lt;&gt;0,'Invullen groen'!G91,""),"")</f>
        <v/>
      </c>
      <c r="H19" s="535">
        <f>IFERROR(IF('Invullen groen'!L91&lt;&gt;0,'Invullen groen'!L91,""),"")</f>
        <v/>
      </c>
    </row>
    <row r="20" ht="15" customHeight="1">
      <c r="A20" s="536">
        <f>IFERROR(IF('Invullen groen'!L32&gt;0,15,""),"")</f>
        <v/>
      </c>
      <c r="B20" s="536">
        <f>IFERROR(IF('Invullen groen'!L32&gt;0,'Invullen groen'!A32,""),"")</f>
        <v/>
      </c>
      <c r="C20" s="536">
        <f>IFERROR(IF('Invullen groen'!L32&gt;0,'Invullen groen'!G32,""),"")</f>
        <v/>
      </c>
      <c r="D20" s="537">
        <f>IFERROR(IF('Invullen groen'!L32&gt;0,'Invullen groen'!L32,""),"")</f>
        <v/>
      </c>
      <c r="E20" s="508" t="n"/>
      <c r="F20" s="536">
        <f>IFERROR(IF('Invullen groen'!L92&lt;&gt;0,'Invullen groen'!A92,""),"")</f>
        <v/>
      </c>
      <c r="G20" s="536">
        <f>IFERROR(IF('Invullen groen'!L92&lt;&gt;0,'Invullen groen'!G92,""),"")</f>
        <v/>
      </c>
      <c r="H20" s="537">
        <f>IFERROR(IF('Invullen groen'!L92&lt;&gt;0,'Invullen groen'!L92,""),"")</f>
        <v/>
      </c>
    </row>
    <row r="21" ht="15" customHeight="1">
      <c r="A21" s="534">
        <f>IFERROR(IF('Invullen groen'!L33&gt;0,16,""),"")</f>
        <v/>
      </c>
      <c r="B21" s="534">
        <f>IFERROR(IF('Invullen groen'!L33&gt;0,'Invullen groen'!A33,""),"")</f>
        <v/>
      </c>
      <c r="C21" s="534">
        <f>IFERROR(IF('Invullen groen'!L33&gt;0,'Invullen groen'!G33,""),"")</f>
        <v/>
      </c>
      <c r="D21" s="535">
        <f>IFERROR(IF('Invullen groen'!L33&gt;0,'Invullen groen'!L33,""),"")</f>
        <v/>
      </c>
      <c r="E21" s="526" t="n"/>
      <c r="F21" s="534">
        <f>IFERROR(IF('Invullen groen'!L93&lt;&gt;0,'Invullen groen'!A93,""),"")</f>
        <v/>
      </c>
      <c r="G21" s="534">
        <f>IFERROR(IF('Invullen groen'!L93&lt;&gt;0,'Invullen groen'!G93,""),"")</f>
        <v/>
      </c>
      <c r="H21" s="535">
        <f>IFERROR(IF('Invullen groen'!L93&lt;&gt;0,'Invullen groen'!L93,""),"")</f>
        <v/>
      </c>
    </row>
    <row r="22" ht="15" customHeight="1">
      <c r="A22" s="536">
        <f>IFERROR(IF('Invullen groen'!L34&gt;0,17,""),"")</f>
        <v/>
      </c>
      <c r="B22" s="536">
        <f>IFERROR(IF('Invullen groen'!L34&gt;0,'Invullen groen'!A34,""),"")</f>
        <v/>
      </c>
      <c r="C22" s="536">
        <f>IFERROR(IF('Invullen groen'!L34&gt;0,'Invullen groen'!G34,""),"")</f>
        <v/>
      </c>
      <c r="D22" s="537">
        <f>IFERROR(IF('Invullen groen'!L34&gt;0,'Invullen groen'!L34,""),"")</f>
        <v/>
      </c>
      <c r="E22" s="508" t="n"/>
      <c r="F22" s="536">
        <f>IFERROR(IF('Invullen groen'!L94&lt;&gt;0,'Invullen groen'!A94,""),"")</f>
        <v/>
      </c>
      <c r="G22" s="536">
        <f>IFERROR(IF('Invullen groen'!L94&lt;&gt;0,'Invullen groen'!G94,""),"")</f>
        <v/>
      </c>
      <c r="H22" s="537">
        <f>IFERROR(IF('Invullen groen'!L94&lt;&gt;0,'Invullen groen'!L94,""),"")</f>
        <v/>
      </c>
    </row>
    <row r="23" ht="15" customHeight="1">
      <c r="A23" s="534">
        <f>IFERROR(IF('Invullen groen'!L35&gt;0,18,""),"")</f>
        <v/>
      </c>
      <c r="B23" s="534">
        <f>IFERROR(IF('Invullen groen'!L35&gt;0,'Invullen groen'!A35,""),"")</f>
        <v/>
      </c>
      <c r="C23" s="534">
        <f>IFERROR(IF('Invullen groen'!L35&gt;0,'Invullen groen'!G35,""),"")</f>
        <v/>
      </c>
      <c r="D23" s="535">
        <f>IFERROR(IF('Invullen groen'!L35&gt;0,'Invullen groen'!L35,""),"")</f>
        <v/>
      </c>
      <c r="E23" s="526" t="n"/>
      <c r="F23" s="534">
        <f>IFERROR(IF('Invullen groen'!L95&lt;&gt;0,'Invullen groen'!A95,""),"")</f>
        <v/>
      </c>
      <c r="G23" s="534">
        <f>IFERROR(IF('Invullen groen'!L95&lt;&gt;0,'Invullen groen'!G95,""),"")</f>
        <v/>
      </c>
      <c r="H23" s="535">
        <f>IFERROR(IF('Invullen groen'!L95&lt;&gt;0,'Invullen groen'!L95,""),"")</f>
        <v/>
      </c>
    </row>
    <row r="24" ht="15" customHeight="1">
      <c r="A24" s="536">
        <f>IFERROR(IF('Invullen groen'!L36&gt;0,19,""),"")</f>
        <v/>
      </c>
      <c r="B24" s="536">
        <f>IFERROR(IF('Invullen groen'!L36&gt;0,'Invullen groen'!A36,""),"")</f>
        <v/>
      </c>
      <c r="C24" s="536">
        <f>IFERROR(IF('Invullen groen'!L36&gt;0,'Invullen groen'!G36,""),"")</f>
        <v/>
      </c>
      <c r="D24" s="537">
        <f>IFERROR(IF('Invullen groen'!L36&gt;0,'Invullen groen'!L36,""),"")</f>
        <v/>
      </c>
      <c r="E24" s="508" t="n"/>
      <c r="F24" s="536">
        <f>IFERROR(IF('Invullen groen'!L96&lt;&gt;0,'Invullen groen'!A96,""),"")</f>
        <v/>
      </c>
      <c r="G24" s="536">
        <f>IFERROR(IF('Invullen groen'!L96&lt;&gt;0,'Invullen groen'!G96,""),"")</f>
        <v/>
      </c>
      <c r="H24" s="537">
        <f>IFERROR(IF('Invullen groen'!L96&lt;&gt;0,'Invullen groen'!L96,""),"")</f>
        <v/>
      </c>
    </row>
    <row r="25" ht="15" customHeight="1">
      <c r="A25" s="534">
        <f>IFERROR(IF('Invullen groen'!L37&gt;0,20,""),"")</f>
        <v/>
      </c>
      <c r="B25" s="534">
        <f>IFERROR(IF('Invullen groen'!L37&gt;0,'Invullen groen'!A37,""),"")</f>
        <v/>
      </c>
      <c r="C25" s="534">
        <f>IFERROR(IF('Invullen groen'!L37&gt;0,'Invullen groen'!G37,""),"")</f>
        <v/>
      </c>
      <c r="D25" s="535">
        <f>IFERROR(IF('Invullen groen'!L37&gt;0,'Invullen groen'!L37,""),"")</f>
        <v/>
      </c>
      <c r="E25" s="526" t="n"/>
      <c r="F25" s="534">
        <f>IFERROR(IF('Invullen groen'!L97&lt;&gt;0,'Invullen groen'!A97,""),"")</f>
        <v/>
      </c>
      <c r="G25" s="534">
        <f>IFERROR(IF('Invullen groen'!L97&lt;&gt;0,'Invullen groen'!G97,""),"")</f>
        <v/>
      </c>
      <c r="H25" s="535">
        <f>IFERROR(IF('Invullen groen'!L97&lt;&gt;0,'Invullen groen'!L97,""),"")</f>
        <v/>
      </c>
    </row>
    <row r="26" ht="15" customHeight="1">
      <c r="A26" s="536">
        <f>IFERROR(IF('Invullen groen'!L38&gt;0,21,""),"")</f>
        <v/>
      </c>
      <c r="B26" s="536">
        <f>IFERROR(IF('Invullen groen'!L38&gt;0,'Invullen groen'!A38,""),"")</f>
        <v/>
      </c>
      <c r="C26" s="536">
        <f>IFERROR(IF('Invullen groen'!L38&gt;0,'Invullen groen'!G38,""),"")</f>
        <v/>
      </c>
      <c r="D26" s="537">
        <f>IFERROR(IF('Invullen groen'!L38&gt;0,'Invullen groen'!L38,""),"")</f>
        <v/>
      </c>
      <c r="E26" s="508" t="n"/>
      <c r="F26" s="536">
        <f>IFERROR(IF('Invullen groen'!L98&lt;&gt;0,'Invullen groen'!A98,""),"")</f>
        <v/>
      </c>
      <c r="G26" s="536">
        <f>IFERROR(IF('Invullen groen'!L98&lt;&gt;0,'Invullen groen'!G98,""),"")</f>
        <v/>
      </c>
      <c r="H26" s="537">
        <f>IFERROR(IF('Invullen groen'!L98&lt;&gt;0,'Invullen groen'!L98,""),"")</f>
        <v/>
      </c>
    </row>
    <row r="27" ht="15" customHeight="1">
      <c r="A27" s="534">
        <f>IFERROR(IF('Invullen groen'!L39&gt;0,22,""),"")</f>
        <v/>
      </c>
      <c r="B27" s="534">
        <f>IFERROR(IF('Invullen groen'!L39&gt;0,'Invullen groen'!A39,""),"")</f>
        <v/>
      </c>
      <c r="C27" s="534">
        <f>IFERROR(IF('Invullen groen'!L39&gt;0,'Invullen groen'!G39,""),"")</f>
        <v/>
      </c>
      <c r="D27" s="535">
        <f>IFERROR(IF('Invullen groen'!L39&gt;0,'Invullen groen'!L39,""),"")</f>
        <v/>
      </c>
      <c r="E27" s="526" t="n"/>
      <c r="F27" s="534">
        <f>IFERROR(IF('Invullen groen'!L99&lt;&gt;0,'Invullen groen'!A99,""),"")</f>
        <v/>
      </c>
      <c r="G27" s="534">
        <f>IFERROR(IF('Invullen groen'!L99&lt;&gt;0,'Invullen groen'!G99,""),"")</f>
        <v/>
      </c>
      <c r="H27" s="535">
        <f>IFERROR(IF('Invullen groen'!L99&lt;&gt;0,'Invullen groen'!L99,""),"")</f>
        <v/>
      </c>
    </row>
    <row r="28" ht="15" customHeight="1">
      <c r="A28" s="536">
        <f>IFERROR(IF('Invullen groen'!L40&gt;0,23,""),"")</f>
        <v/>
      </c>
      <c r="B28" s="536">
        <f>IFERROR(IF('Invullen groen'!L40&gt;0,'Invullen groen'!A40,""),"")</f>
        <v/>
      </c>
      <c r="C28" s="536">
        <f>IFERROR(IF('Invullen groen'!L40&gt;0,'Invullen groen'!G40,""),"")</f>
        <v/>
      </c>
      <c r="D28" s="537">
        <f>IFERROR(IF('Invullen groen'!L40&gt;0,'Invullen groen'!L40,""),"")</f>
        <v/>
      </c>
      <c r="E28" s="508" t="n"/>
      <c r="F28" s="536">
        <f>IFERROR(IF('Invullen groen'!L100&lt;&gt;0,'Invullen groen'!A100,""),"")</f>
        <v/>
      </c>
      <c r="G28" s="536">
        <f>IFERROR(IF('Invullen groen'!L100&lt;&gt;0,'Invullen groen'!G100,""),"")</f>
        <v/>
      </c>
      <c r="H28" s="537">
        <f>IFERROR(IF('Invullen groen'!L100&lt;&gt;0,'Invullen groen'!L100,""),"")</f>
        <v/>
      </c>
    </row>
    <row r="29" ht="15" customHeight="1">
      <c r="A29" s="534">
        <f>IFERROR(IF('Invullen groen'!L41&gt;0,24,""),"")</f>
        <v/>
      </c>
      <c r="B29" s="534">
        <f>IFERROR(IF('Invullen groen'!L41&gt;0,'Invullen groen'!A41,""),"")</f>
        <v/>
      </c>
      <c r="C29" s="534">
        <f>IFERROR(IF('Invullen groen'!L41&gt;0,'Invullen groen'!G41,""),"")</f>
        <v/>
      </c>
      <c r="D29" s="535">
        <f>IFERROR(IF('Invullen groen'!L41&gt;0,'Invullen groen'!L41,""),"")</f>
        <v/>
      </c>
      <c r="E29" s="526" t="n"/>
      <c r="F29" s="534">
        <f>IFERROR(IF('Invullen groen'!L101&lt;&gt;0,'Invullen groen'!A101,""),"")</f>
        <v/>
      </c>
      <c r="G29" s="534">
        <f>IFERROR(IF('Invullen groen'!L101&lt;&gt;0,'Invullen groen'!G101,""),"")</f>
        <v/>
      </c>
      <c r="H29" s="535">
        <f>IFERROR(IF('Invullen groen'!L101&lt;&gt;0,'Invullen groen'!L101,""),"")</f>
        <v/>
      </c>
    </row>
    <row r="30" ht="15" customHeight="1">
      <c r="A30" s="536">
        <f>IFERROR(IF('Invullen groen'!L42&gt;0,25,""),"")</f>
        <v/>
      </c>
      <c r="B30" s="536">
        <f>IFERROR(IF('Invullen groen'!L42&gt;0,'Invullen groen'!A42,""),"")</f>
        <v/>
      </c>
      <c r="C30" s="536">
        <f>IFERROR(IF('Invullen groen'!L42&gt;0,'Invullen groen'!G42,""),"")</f>
        <v/>
      </c>
      <c r="D30" s="537">
        <f>IFERROR(IF('Invullen groen'!L42&gt;0,'Invullen groen'!L42,""),"")</f>
        <v/>
      </c>
      <c r="E30" s="508" t="n"/>
      <c r="F30" s="536">
        <f>IFERROR(IF('Invullen groen'!L102&lt;&gt;0,'Invullen groen'!A102,""),"")</f>
        <v/>
      </c>
      <c r="G30" s="536">
        <f>IFERROR(IF('Invullen groen'!L102&lt;&gt;0,'Invullen groen'!G102,""),"")</f>
        <v/>
      </c>
      <c r="H30" s="537">
        <f>IFERROR(IF('Invullen groen'!L102&lt;&gt;0,'Invullen groen'!L102,""),"")</f>
        <v/>
      </c>
    </row>
    <row r="31" ht="15" customHeight="1">
      <c r="A31" s="534">
        <f>IFERROR(IF('Invullen groen'!L43&gt;0,26,""),"")</f>
        <v/>
      </c>
      <c r="B31" s="534">
        <f>IFERROR(IF('Invullen groen'!L43&gt;0,'Invullen groen'!A43,""),"")</f>
        <v/>
      </c>
      <c r="C31" s="534">
        <f>IFERROR(IF('Invullen groen'!L43&gt;0,'Invullen groen'!G43,""),"")</f>
        <v/>
      </c>
      <c r="D31" s="535">
        <f>IFERROR(IF('Invullen groen'!L43&gt;0,'Invullen groen'!L43,""),"")</f>
        <v/>
      </c>
      <c r="E31" s="526" t="n"/>
      <c r="F31" s="534">
        <f>IFERROR(IF('Invullen groen'!L103&lt;&gt;0,'Invullen groen'!A103,""),"")</f>
        <v/>
      </c>
      <c r="G31" s="534">
        <f>IFERROR(IF('Invullen groen'!L103&lt;&gt;0,'Invullen groen'!G103,""),"")</f>
        <v/>
      </c>
      <c r="H31" s="535">
        <f>IFERROR(IF('Invullen groen'!L103&lt;&gt;0,'Invullen groen'!L103,""),"")</f>
        <v/>
      </c>
    </row>
    <row r="32" ht="15" customHeight="1">
      <c r="A32" s="536">
        <f>IFERROR(IF('Invullen groen'!L44&gt;0,27,""),"")</f>
        <v/>
      </c>
      <c r="B32" s="536">
        <f>IFERROR(IF('Invullen groen'!L44&gt;0,'Invullen groen'!A44,""),"")</f>
        <v/>
      </c>
      <c r="C32" s="536">
        <f>IFERROR(IF('Invullen groen'!L44&gt;0,'Invullen groen'!G44,""),"")</f>
        <v/>
      </c>
      <c r="D32" s="537">
        <f>IFERROR(IF('Invullen groen'!L44&gt;0,'Invullen groen'!L44,""),"")</f>
        <v/>
      </c>
      <c r="E32" s="508" t="n"/>
      <c r="F32" s="536">
        <f>IFERROR(IF('Invullen groen'!L104&lt;&gt;0,'Invullen groen'!A104,""),"")</f>
        <v/>
      </c>
      <c r="G32" s="536">
        <f>IFERROR(IF('Invullen groen'!L104&lt;&gt;0,'Invullen groen'!G104,""),"")</f>
        <v/>
      </c>
      <c r="H32" s="537">
        <f>IFERROR(IF('Invullen groen'!L104&lt;&gt;0,'Invullen groen'!L104,""),"")</f>
        <v/>
      </c>
    </row>
    <row r="33" ht="15" customHeight="1">
      <c r="A33" s="534">
        <f>IFERROR(IF('Invullen groen'!L45&gt;0,28,""),"")</f>
        <v/>
      </c>
      <c r="B33" s="534">
        <f>IFERROR(IF('Invullen groen'!L45&gt;0,'Invullen groen'!A45,""),"")</f>
        <v/>
      </c>
      <c r="C33" s="534">
        <f>IFERROR(IF('Invullen groen'!L45&gt;0,'Invullen groen'!G45,""),"")</f>
        <v/>
      </c>
      <c r="D33" s="535">
        <f>IFERROR(IF('Invullen groen'!L45&gt;0,'Invullen groen'!L45,""),"")</f>
        <v/>
      </c>
      <c r="E33" s="526" t="n"/>
      <c r="F33" s="534">
        <f>IFERROR(IF('Invullen groen'!L105&lt;&gt;0,'Invullen groen'!A105,""),"")</f>
        <v/>
      </c>
      <c r="G33" s="534">
        <f>IFERROR(IF('Invullen groen'!L105&lt;&gt;0,'Invullen groen'!G105,""),"")</f>
        <v/>
      </c>
      <c r="H33" s="535">
        <f>IFERROR(IF('Invullen groen'!L105&lt;&gt;0,'Invullen groen'!L105,""),"")</f>
        <v/>
      </c>
    </row>
    <row r="34" ht="15" customHeight="1">
      <c r="A34" s="536">
        <f>IFERROR(IF('Invullen groen'!L46&gt;0,29,""),"")</f>
        <v/>
      </c>
      <c r="B34" s="536">
        <f>IFERROR(IF('Invullen groen'!L46&gt;0,'Invullen groen'!A46,""),"")</f>
        <v/>
      </c>
      <c r="C34" s="536">
        <f>IFERROR(IF('Invullen groen'!L46&gt;0,'Invullen groen'!G46,""),"")</f>
        <v/>
      </c>
      <c r="D34" s="537">
        <f>IFERROR(IF('Invullen groen'!L46&gt;0,'Invullen groen'!L46,""),"")</f>
        <v/>
      </c>
      <c r="E34" s="508" t="n"/>
      <c r="F34" s="536">
        <f>IFERROR(IF('Invullen groen'!L106&lt;&gt;0,'Invullen groen'!A106,""),"")</f>
        <v/>
      </c>
      <c r="G34" s="536">
        <f>IFERROR(IF('Invullen groen'!L106&lt;&gt;0,'Invullen groen'!G106,""),"")</f>
        <v/>
      </c>
      <c r="H34" s="537">
        <f>IFERROR(IF('Invullen groen'!L106&lt;&gt;0,'Invullen groen'!L106,""),"")</f>
        <v/>
      </c>
    </row>
    <row r="35" ht="15" customHeight="1">
      <c r="A35" s="534">
        <f>IFERROR(IF('Invullen groen'!L47&gt;0,30,""),"")</f>
        <v/>
      </c>
      <c r="B35" s="534">
        <f>IFERROR(IF('Invullen groen'!L47&gt;0,'Invullen groen'!A47,""),"")</f>
        <v/>
      </c>
      <c r="C35" s="534">
        <f>IFERROR(IF('Invullen groen'!L47&gt;0,'Invullen groen'!G47,""),"")</f>
        <v/>
      </c>
      <c r="D35" s="535">
        <f>IFERROR(IF('Invullen groen'!L47&gt;0,'Invullen groen'!L47,""),"")</f>
        <v/>
      </c>
      <c r="E35" s="526" t="n"/>
      <c r="F35" s="534">
        <f>IFERROR(IF('Invullen groen'!L107&lt;&gt;0,'Invullen groen'!A107,""),"")</f>
        <v/>
      </c>
      <c r="G35" s="534">
        <f>IFERROR(IF('Invullen groen'!L107&lt;&gt;0,'Invullen groen'!G107,""),"")</f>
        <v/>
      </c>
      <c r="H35" s="535">
        <f>IFERROR(IF('Invullen groen'!L107&lt;&gt;0,'Invullen groen'!L107,""),"")</f>
        <v/>
      </c>
    </row>
    <row r="36" ht="15" customHeight="1">
      <c r="A36" s="536">
        <f>IFERROR(IF('Invullen groen'!L48&gt;0,31,""),"")</f>
        <v/>
      </c>
      <c r="B36" s="536">
        <f>IFERROR(IF('Invullen groen'!L48&gt;0,'Invullen groen'!A48,""),"")</f>
        <v/>
      </c>
      <c r="C36" s="536">
        <f>IFERROR(IF('Invullen groen'!L48&gt;0,'Invullen groen'!G48,""),"")</f>
        <v/>
      </c>
      <c r="D36" s="537">
        <f>IFERROR(IF('Invullen groen'!L48&gt;0,'Invullen groen'!L48,""),"")</f>
        <v/>
      </c>
      <c r="E36" s="508" t="n"/>
      <c r="F36" s="536">
        <f>IFERROR(IF('Invullen groen'!L108&lt;&gt;0,'Invullen groen'!A108,""),"")</f>
        <v/>
      </c>
      <c r="G36" s="536">
        <f>IFERROR(IF('Invullen groen'!L108&lt;&gt;0,'Invullen groen'!G108,""),"")</f>
        <v/>
      </c>
      <c r="H36" s="537">
        <f>IFERROR(IF('Invullen groen'!L108&lt;&gt;0,'Invullen groen'!L108,""),"")</f>
        <v/>
      </c>
    </row>
    <row r="37" ht="15" customHeight="1">
      <c r="A37" s="534">
        <f>IFERROR(IF('Invullen groen'!L49&gt;0,32,""),"")</f>
        <v/>
      </c>
      <c r="B37" s="534">
        <f>IFERROR(IF('Invullen groen'!L49&gt;0,'Invullen groen'!A49,""),"")</f>
        <v/>
      </c>
      <c r="C37" s="534">
        <f>IFERROR(IF('Invullen groen'!L49&gt;0,'Invullen groen'!G49,""),"")</f>
        <v/>
      </c>
      <c r="D37" s="535">
        <f>IFERROR(IF('Invullen groen'!L49&gt;0,'Invullen groen'!L49,""),"")</f>
        <v/>
      </c>
      <c r="E37" s="526" t="n"/>
      <c r="F37" s="534">
        <f>IFERROR(IF('Invullen groen'!L109&lt;&gt;0,'Invullen groen'!A109,""),"")</f>
        <v/>
      </c>
      <c r="G37" s="534">
        <f>IFERROR(IF('Invullen groen'!L109&lt;&gt;0,'Invullen groen'!G109,""),"")</f>
        <v/>
      </c>
      <c r="H37" s="535">
        <f>IFERROR(IF('Invullen groen'!L109&lt;&gt;0,'Invullen groen'!L109,""),"")</f>
        <v/>
      </c>
    </row>
    <row r="38" ht="15" customHeight="1">
      <c r="A38" s="536">
        <f>IFERROR(IF('Invullen groen'!L50&gt;0,33,""),"")</f>
        <v/>
      </c>
      <c r="B38" s="536">
        <f>IFERROR(IF('Invullen groen'!L50&gt;0,'Invullen groen'!A50,""),"")</f>
        <v/>
      </c>
      <c r="C38" s="536">
        <f>IFERROR(IF('Invullen groen'!L50&gt;0,'Invullen groen'!G50,""),"")</f>
        <v/>
      </c>
      <c r="D38" s="537">
        <f>IFERROR(IF('Invullen groen'!L50&gt;0,'Invullen groen'!L50,""),"")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groen'!L51&gt;0,34,""),"")</f>
        <v/>
      </c>
      <c r="B39" s="534">
        <f>IFERROR(IF('Invullen groen'!L51&gt;0,'Invullen groen'!A51,""),"")</f>
        <v/>
      </c>
      <c r="C39" s="534">
        <f>IFERROR(IF('Invullen groen'!L51&gt;0,'Invullen groen'!G51,""),"")</f>
        <v/>
      </c>
      <c r="D39" s="535">
        <f>IFERROR(IF('Invullen groen'!L51&gt;0,'Invullen groen'!L51,""),"")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groen'!L52&gt;0,35,""),"")</f>
        <v/>
      </c>
      <c r="B40" s="536">
        <f>IFERROR(IF('Invullen groen'!L52&gt;0,'Invullen groen'!A52,""),"")</f>
        <v/>
      </c>
      <c r="C40" s="536">
        <f>IFERROR(IF('Invullen groen'!L52&gt;0,'Invullen groen'!G52,""),"")</f>
        <v/>
      </c>
      <c r="D40" s="537">
        <f>IFERROR(IF('Invullen groen'!L52&gt;0,'Invullen groen'!L52,""),"")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groen'!L53&gt;0,36,""),"")</f>
        <v/>
      </c>
      <c r="B41" s="534">
        <f>IFERROR(IF('Invullen groen'!L53&gt;0,'Invullen groen'!A53,""),"")</f>
        <v/>
      </c>
      <c r="C41" s="534">
        <f>IFERROR(IF('Invullen groen'!L53&gt;0,'Invullen groen'!G53,""),"")</f>
        <v/>
      </c>
      <c r="D41" s="535">
        <f>IFERROR(IF('Invullen groen'!L53&gt;0,'Invullen groen'!L53,""),"")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groen'!L54&gt;0,37,""),"")</f>
        <v/>
      </c>
      <c r="B42" s="536">
        <f>IFERROR(IF('Invullen groen'!L54&gt;0,'Invullen groen'!A54,""),"")</f>
        <v/>
      </c>
      <c r="C42" s="536">
        <f>IFERROR(IF('Invullen groen'!L54&gt;0,'Invullen groen'!G54,""),"")</f>
        <v/>
      </c>
      <c r="D42" s="537">
        <f>IFERROR(IF('Invullen groen'!L54&gt;0,'Invullen groen'!L54,""),"")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groen'!L55&gt;0,38,""),"")</f>
        <v/>
      </c>
      <c r="B43" s="534">
        <f>IFERROR(IF('Invullen groen'!L55&gt;0,'Invullen groen'!A55,""),"")</f>
        <v/>
      </c>
      <c r="C43" s="534">
        <f>IFERROR(IF('Invullen groen'!L55&gt;0,'Invullen groen'!G55,""),"")</f>
        <v/>
      </c>
      <c r="D43" s="535">
        <f>IFERROR(IF('Invullen groen'!L55&gt;0,'Invullen groen'!L55,""),"")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groen'!L56&gt;0,39,""),"")</f>
        <v/>
      </c>
      <c r="B44" s="536">
        <f>IFERROR(IF('Invullen groen'!L56&gt;0,'Invullen groen'!A56,""),"")</f>
        <v/>
      </c>
      <c r="C44" s="536">
        <f>IFERROR(IF('Invullen groen'!L56&gt;0,'Invullen groen'!G56,""),"")</f>
        <v/>
      </c>
      <c r="D44" s="537">
        <f>IFERROR(IF('Invullen groen'!L56&gt;0,'Invullen groen'!L56,""),"")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groen'!L57&gt;0,40,""),"")</f>
        <v/>
      </c>
      <c r="B45" s="534">
        <f>IFERROR(IF('Invullen groen'!L57&gt;0,'Invullen groen'!A57,""),"")</f>
        <v/>
      </c>
      <c r="C45" s="534">
        <f>IFERROR(IF('Invullen groen'!L57&gt;0,'Invullen groen'!G57,""),"")</f>
        <v/>
      </c>
      <c r="D45" s="535">
        <f>IFERROR(IF('Invullen groen'!L57&gt;0,'Invullen groen'!L57,""),"")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groen'!L58&gt;0,41,""),"")</f>
        <v/>
      </c>
      <c r="B46" s="536">
        <f>IFERROR(IF('Invullen groen'!L58&gt;0,'Invullen groen'!A58,""),"")</f>
        <v/>
      </c>
      <c r="C46" s="536">
        <f>IFERROR(IF('Invullen groen'!L58&gt;0,'Invullen groen'!G58,""),"")</f>
        <v/>
      </c>
      <c r="D46" s="537">
        <f>IFERROR(IF('Invullen groen'!L58&gt;0,'Invullen groen'!L58,""),"")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groen'!L59&gt;0,42,""),"")</f>
        <v/>
      </c>
      <c r="B47" s="534">
        <f>IFERROR(IF('Invullen groen'!L59&gt;0,'Invullen groen'!A59,""),"")</f>
        <v/>
      </c>
      <c r="C47" s="534">
        <f>IFERROR(IF('Invullen groen'!L59&gt;0,'Invullen groen'!G59,""),"")</f>
        <v/>
      </c>
      <c r="D47" s="535">
        <f>IFERROR(IF('Invullen groen'!L59&gt;0,'Invullen groen'!L59,""),"")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groen'!L60&gt;0,43,""),"")</f>
        <v/>
      </c>
      <c r="B48" s="536">
        <f>IFERROR(IF('Invullen groen'!L60&gt;0,'Invullen groen'!A60,""),"")</f>
        <v/>
      </c>
      <c r="C48" s="536">
        <f>IFERROR(IF('Invullen groen'!L60&gt;0,'Invullen groen'!G60,""),"")</f>
        <v/>
      </c>
      <c r="D48" s="537">
        <f>IFERROR(IF('Invullen groen'!L60&gt;0,'Invullen groen'!L60,""),"")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groen'!L61&gt;0,44,""),"")</f>
        <v/>
      </c>
      <c r="B49" s="534">
        <f>IFERROR(IF('Invullen groen'!L61&gt;0,'Invullen groen'!A61,""),"")</f>
        <v/>
      </c>
      <c r="C49" s="534">
        <f>IFERROR(IF('Invullen groen'!L61&gt;0,'Invullen groen'!G61,""),"")</f>
        <v/>
      </c>
      <c r="D49" s="535">
        <f>IFERROR(IF('Invullen groen'!L61&gt;0,'Invullen groen'!L61,""),"")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groen'!L62&gt;0,45,""),"")</f>
        <v/>
      </c>
      <c r="B50" s="536">
        <f>IFERROR(IF('Invullen groen'!L62&gt;0,'Invullen groen'!A62,""),"")</f>
        <v/>
      </c>
      <c r="C50" s="536">
        <f>IFERROR(IF('Invullen groen'!L62&gt;0,'Invullen groen'!G62,""),"")</f>
        <v/>
      </c>
      <c r="D50" s="537">
        <f>IFERROR(IF('Invullen groen'!L62&gt;0,'Invullen groen'!L62,""),"")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groen'!L63&gt;0,46,""),"")</f>
        <v/>
      </c>
      <c r="B51" s="534">
        <f>IFERROR(IF('Invullen groen'!L63&gt;0,'Invullen groen'!A63,""),"")</f>
        <v/>
      </c>
      <c r="C51" s="534">
        <f>IFERROR(IF('Invullen groen'!L63&gt;0,'Invullen groen'!G63,""),"")</f>
        <v/>
      </c>
      <c r="D51" s="535">
        <f>IFERROR(IF('Invullen groen'!L63&gt;0,'Invullen groen'!L63,""),"")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groen'!L64&gt;0,47,""),"")</f>
        <v/>
      </c>
      <c r="B52" s="536">
        <f>IFERROR(IF('Invullen groen'!L64&gt;0,'Invullen groen'!A64,""),"")</f>
        <v/>
      </c>
      <c r="C52" s="536">
        <f>IFERROR(IF('Invullen groen'!L64&gt;0,'Invullen groen'!G64,""),"")</f>
        <v/>
      </c>
      <c r="D52" s="537">
        <f>IFERROR(IF('Invullen groen'!L64&gt;0,'Invullen groen'!L64,""),"")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groen'!L65&gt;0,48,""),"")</f>
        <v/>
      </c>
      <c r="B53" s="534">
        <f>IFERROR(IF('Invullen groen'!L65&gt;0,'Invullen groen'!A65,""),"")</f>
        <v/>
      </c>
      <c r="C53" s="534">
        <f>IFERROR(IF('Invullen groen'!L65&gt;0,'Invullen groen'!G65,""),"")</f>
        <v/>
      </c>
      <c r="D53" s="535">
        <f>IFERROR(IF('Invullen groen'!L65&gt;0,'Invullen groen'!L65,""),"")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groen'!L66&gt;0,49,""),"")</f>
        <v/>
      </c>
      <c r="B54" s="536">
        <f>IFERROR(IF('Invullen groen'!L66&gt;0,'Invullen groen'!A66,""),"")</f>
        <v/>
      </c>
      <c r="C54" s="536">
        <f>IFERROR(IF('Invullen groen'!L66&gt;0,'Invullen groen'!G66,""),"")</f>
        <v/>
      </c>
      <c r="D54" s="537">
        <f>IFERROR(IF('Invullen groen'!L66&gt;0,'Invullen groen'!L66,""),"")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groen'!L67&gt;0,50,""),"")</f>
        <v/>
      </c>
      <c r="B55" s="534">
        <f>IFERROR(IF('Invullen groen'!L67&gt;0,'Invullen groen'!A67,""),"")</f>
        <v/>
      </c>
      <c r="C55" s="534">
        <f>IFERROR(IF('Invullen groen'!L67&gt;0,'Invullen groen'!G67,""),"")</f>
        <v/>
      </c>
      <c r="D55" s="535">
        <f>IFERROR(IF('Invullen groen'!L67&gt;0,'Invullen groen'!L67,""),"")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groen'!L68&gt;0,51,""),"")</f>
        <v/>
      </c>
      <c r="B56" s="536">
        <f>IFERROR(IF('Invullen groen'!L68&gt;0,'Invullen groen'!A68,""),"")</f>
        <v/>
      </c>
      <c r="C56" s="536">
        <f>IFERROR(IF('Invullen groen'!L68&gt;0,'Invullen groen'!G68,""),"")</f>
        <v/>
      </c>
      <c r="D56" s="537">
        <f>IFERROR(IF('Invullen groen'!L68&gt;0,'Invullen groen'!L68,""),"")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groen'!L69&gt;0,52,""),"")</f>
        <v/>
      </c>
      <c r="B57" s="534">
        <f>IFERROR(IF('Invullen groen'!L69&gt;0,'Invullen groen'!A69,""),"")</f>
        <v/>
      </c>
      <c r="C57" s="534">
        <f>IFERROR(IF('Invullen groen'!L69&gt;0,'Invullen groen'!G69,""),"")</f>
        <v/>
      </c>
      <c r="D57" s="535">
        <f>IFERROR(IF('Invullen groen'!L69&gt;0,'Invullen groen'!L69,""),"")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groen'!L70&gt;0,53,""),"")</f>
        <v/>
      </c>
      <c r="B58" s="536">
        <f>IFERROR(IF('Invullen groen'!L70&gt;0,'Invullen groen'!A70,""),"")</f>
        <v/>
      </c>
      <c r="C58" s="536">
        <f>IFERROR(IF('Invullen groen'!L70&gt;0,'Invullen groen'!G70,""),"")</f>
        <v/>
      </c>
      <c r="D58" s="537">
        <f>IFERROR(IF('Invullen groen'!L70&gt;0,'Invullen groen'!L70,""),"")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groen'!L71&gt;0,54,""),"")</f>
        <v/>
      </c>
      <c r="B59" s="534">
        <f>IFERROR(IF('Invullen groen'!L71&gt;0,'Invullen groen'!A71,""),"")</f>
        <v/>
      </c>
      <c r="C59" s="534">
        <f>IFERROR(IF('Invullen groen'!L71&gt;0,'Invullen groen'!G71,""),"")</f>
        <v/>
      </c>
      <c r="D59" s="535">
        <f>IFERROR(IF('Invullen groen'!L71&gt;0,'Invullen groen'!L71,""),"")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groen'!L72&gt;0,55,""),"")</f>
        <v/>
      </c>
      <c r="B60" s="536">
        <f>IFERROR(IF('Invullen groen'!L72&gt;0,'Invullen groen'!A72,""),"")</f>
        <v/>
      </c>
      <c r="C60" s="536">
        <f>IFERROR(IF('Invullen groen'!L72&gt;0,'Invullen groen'!G72,""),"")</f>
        <v/>
      </c>
      <c r="D60" s="537">
        <f>IFERROR(IF('Invullen groen'!L72&gt;0,'Invullen groen'!L72,""),"")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groen'!L73&gt;0,56,""),"")</f>
        <v/>
      </c>
      <c r="B61" s="534">
        <f>IFERROR(IF('Invullen groen'!L73&gt;0,'Invullen groen'!A73,""),"")</f>
        <v/>
      </c>
      <c r="C61" s="534">
        <f>IFERROR(IF('Invullen groen'!L73&gt;0,'Invullen groen'!G73,""),"")</f>
        <v/>
      </c>
      <c r="D61" s="535">
        <f>IFERROR(IF('Invullen groen'!L73&gt;0,'Invullen groen'!L73,""),"")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groen'!L74&gt;0,57,""),"")</f>
        <v/>
      </c>
      <c r="B62" s="536">
        <f>IFERROR(IF('Invullen groen'!L74&gt;0,'Invullen groen'!A74,""),"")</f>
        <v/>
      </c>
      <c r="C62" s="536">
        <f>IFERROR(IF('Invullen groen'!L74&gt;0,'Invullen groen'!G74,""),"")</f>
        <v/>
      </c>
      <c r="D62" s="537">
        <f>IFERROR(IF('Invullen groen'!L74&gt;0,'Invullen groen'!L74,""),"")</f>
        <v/>
      </c>
      <c r="E62" s="508" t="n"/>
      <c r="F62" s="536" t="n"/>
      <c r="G62" s="536" t="n"/>
      <c r="H62" s="537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SUM(D6:D62)</f>
        <v/>
      </c>
      <c r="E64" s="461" t="n"/>
      <c r="F64" s="547" t="inlineStr">
        <is>
          <t>Totaal dekking / baten</t>
        </is>
      </c>
      <c r="G64" s="547" t="n"/>
      <c r="H64" s="548">
        <f>SUM(H6:H62)</f>
        <v/>
      </c>
    </row>
    <row r="65" ht="18" customHeight="1">
      <c r="A65" s="549">
        <f>IF(D64+H64=0,"✓  Budgettair neutraal — saldo = 0","⚠  Niet gedekt — saldo: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2026-06-26T11:18:11Z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