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</fonts>
  <fills count="2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</fills>
  <borders count="28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439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387">
        <f>+'Invullen groen'!A112</f>
        <v/>
      </c>
      <c r="B114" s="388">
        <f>+'Invullen groen'!C114</f>
        <v/>
      </c>
      <c r="C114" s="389">
        <f>+'Invullen groen'!G114</f>
        <v/>
      </c>
      <c r="D114" s="390">
        <f>+'Invullen groen'!I114</f>
        <v/>
      </c>
      <c r="E114" s="391">
        <f>+'Invullen groen'!L112</f>
        <v/>
      </c>
      <c r="F114" s="392">
        <f>+'Invullen groen'!M114</f>
        <v/>
      </c>
      <c r="G114" s="392">
        <f>+'Invullen groen'!N114</f>
        <v/>
      </c>
      <c r="H114" s="392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IFERROR(SUMPRODUCT((IFERROR(VLOOKUP('Invullen groen'!E18:E74,Tabellen!A:D,4,0),"")="bestuur en ondersteuning")*('Invullen groen'!L18:L74&gt;0)*'Invullen groen'!L18:L74),0)</f>
        <v/>
      </c>
      <c r="C5" s="364">
        <f>IFERROR(SUMPRODUCT((IFERROR(VLOOKUP('Invullen groen'!E18:E74,Tabellen!A:D,4,0),"")="bestuur en ondersteuning")*('Invullen groen'!L18:L74&lt;0)*'Invullen groen'!L18:L74),0)</f>
        <v/>
      </c>
      <c r="D5" s="371">
        <f>B5+C5</f>
        <v/>
      </c>
      <c r="E5" s="364">
        <f>IFERROR(SUMPRODUCT((IFERROR(VLOOKUP('Invullen groen'!E18:E74,Tabellen!A:D,4,0),"")="bestuur en ondersteuning")*IFERROR('Invullen groen'!M18:M74*1,0)),0)</f>
        <v/>
      </c>
      <c r="F5" s="364">
        <f>IFERROR(SUMPRODUCT((IFERROR(VLOOKUP('Invullen groen'!E18:E74,Tabellen!A:D,4,0),"")="bestuur en ondersteuning")*IFERROR('Invullen groen'!N18:N74*1,0)),0)</f>
        <v/>
      </c>
      <c r="G5" s="364">
        <f>IFERROR(SUMPRODUCT((IFERROR(VLOOKUP('Invullen groen'!E18:E74,Tabellen!A:D,4,0),"")="bestuur en ondersteuning")*IFERROR('Invullen groen'!O18:O74*1,0)),0)</f>
        <v/>
      </c>
    </row>
    <row r="6" ht="14" customHeight="1">
      <c r="A6" s="287" t="inlineStr">
        <is>
          <t>Veiligheid</t>
        </is>
      </c>
      <c r="B6" s="364">
        <f>IFERROR(SUMPRODUCT((IFERROR(VLOOKUP('Invullen groen'!E18:E74,Tabellen!A:D,4,0),"")="veiligheid")*('Invullen groen'!L18:L74&gt;0)*'Invullen groen'!L18:L74),0)</f>
        <v/>
      </c>
      <c r="C6" s="364">
        <f>IFERROR(SUMPRODUCT((IFERROR(VLOOKUP('Invullen groen'!E18:E74,Tabellen!A:D,4,0),"")="veiligheid")*('Invullen groen'!L18:L74&lt;0)*'Invullen groen'!L18:L74),0)</f>
        <v/>
      </c>
      <c r="D6" s="371">
        <f>B6+C6</f>
        <v/>
      </c>
      <c r="E6" s="364">
        <f>IFERROR(SUMPRODUCT((IFERROR(VLOOKUP('Invullen groen'!E18:E74,Tabellen!A:D,4,0),"")="veiligheid")*IFERROR('Invullen groen'!M18:M74*1,0)),0)</f>
        <v/>
      </c>
      <c r="F6" s="364">
        <f>IFERROR(SUMPRODUCT((IFERROR(VLOOKUP('Invullen groen'!E18:E74,Tabellen!A:D,4,0),"")="veiligheid")*IFERROR('Invullen groen'!N18:N74*1,0)),0)</f>
        <v/>
      </c>
      <c r="G6" s="364">
        <f>IFERROR(SUMPRODUCT((IFERROR(VLOOKUP('Invullen groen'!E18:E74,Tabellen!A:D,4,0),"")="veiligheid")*IFERROR('Invullen groen'!O18:O74*1,0)),0)</f>
        <v/>
      </c>
    </row>
    <row r="7" ht="14" customHeight="1">
      <c r="A7" s="287" t="inlineStr">
        <is>
          <t>Verkeer, Vervoer En Waterstaat</t>
        </is>
      </c>
      <c r="B7" s="364">
        <f>IFERROR(SUMPRODUCT((IFERROR(VLOOKUP('Invullen groen'!E18:E74,Tabellen!A:D,4,0),"")="verkeer, vervoer en waterstaat")*('Invullen groen'!L18:L74&gt;0)*'Invullen groen'!L18:L74),0)</f>
        <v/>
      </c>
      <c r="C7" s="364">
        <f>IFERROR(SUMPRODUCT((IFERROR(VLOOKUP('Invullen groen'!E18:E74,Tabellen!A:D,4,0),"")="verkeer, vervoer en waterstaat")*('Invullen groen'!L18:L74&lt;0)*'Invullen groen'!L18:L74),0)</f>
        <v/>
      </c>
      <c r="D7" s="371">
        <f>B7+C7</f>
        <v/>
      </c>
      <c r="E7" s="364">
        <f>IFERROR(SUMPRODUCT((IFERROR(VLOOKUP('Invullen groen'!E18:E74,Tabellen!A:D,4,0),"")="verkeer, vervoer en waterstaat")*IFERROR('Invullen groen'!M18:M74*1,0)),0)</f>
        <v/>
      </c>
      <c r="F7" s="364">
        <f>IFERROR(SUMPRODUCT((IFERROR(VLOOKUP('Invullen groen'!E18:E74,Tabellen!A:D,4,0),"")="verkeer, vervoer en waterstaat")*IFERROR('Invullen groen'!N18:N74*1,0)),0)</f>
        <v/>
      </c>
      <c r="G7" s="364">
        <f>IFERROR(SUMPRODUCT((IFERROR(VLOOKUP('Invullen groen'!E18:E74,Tabellen!A:D,4,0),"")="verkeer, vervoer en waterstaat")*IFERROR('Invullen groen'!O18:O74*1,0)),0)</f>
        <v/>
      </c>
    </row>
    <row r="8" ht="14" customHeight="1">
      <c r="A8" s="287" t="inlineStr">
        <is>
          <t>Economie</t>
        </is>
      </c>
      <c r="B8" s="364">
        <f>IFERROR(SUMPRODUCT((IFERROR(VLOOKUP('Invullen groen'!E18:E74,Tabellen!A:D,4,0),"")="economie")*('Invullen groen'!L18:L74&gt;0)*'Invullen groen'!L18:L74),0)</f>
        <v/>
      </c>
      <c r="C8" s="364">
        <f>IFERROR(SUMPRODUCT((IFERROR(VLOOKUP('Invullen groen'!E18:E74,Tabellen!A:D,4,0),"")="economie")*('Invullen groen'!L18:L74&lt;0)*'Invullen groen'!L18:L74),0)</f>
        <v/>
      </c>
      <c r="D8" s="371">
        <f>B8+C8</f>
        <v/>
      </c>
      <c r="E8" s="364">
        <f>IFERROR(SUMPRODUCT((IFERROR(VLOOKUP('Invullen groen'!E18:E74,Tabellen!A:D,4,0),"")="economie")*IFERROR('Invullen groen'!M18:M74*1,0)),0)</f>
        <v/>
      </c>
      <c r="F8" s="364">
        <f>IFERROR(SUMPRODUCT((IFERROR(VLOOKUP('Invullen groen'!E18:E74,Tabellen!A:D,4,0),"")="economie")*IFERROR('Invullen groen'!N18:N74*1,0)),0)</f>
        <v/>
      </c>
      <c r="G8" s="364">
        <f>IFERROR(SUMPRODUCT((IFERROR(VLOOKUP('Invullen groen'!E18:E74,Tabellen!A:D,4,0),"")="economie")*IFERROR('Invullen groen'!O18:O74*1,0)),0)</f>
        <v/>
      </c>
    </row>
    <row r="9" ht="14" customHeight="1">
      <c r="A9" s="287" t="inlineStr">
        <is>
          <t>Onderwijs</t>
        </is>
      </c>
      <c r="B9" s="364">
        <f>IFERROR(SUMPRODUCT((IFERROR(VLOOKUP('Invullen groen'!E18:E74,Tabellen!A:D,4,0),"")="onderwijs")*('Invullen groen'!L18:L74&gt;0)*'Invullen groen'!L18:L74),0)</f>
        <v/>
      </c>
      <c r="C9" s="364">
        <f>IFERROR(SUMPRODUCT((IFERROR(VLOOKUP('Invullen groen'!E18:E74,Tabellen!A:D,4,0),"")="onderwijs")*('Invullen groen'!L18:L74&lt;0)*'Invullen groen'!L18:L74),0)</f>
        <v/>
      </c>
      <c r="D9" s="371">
        <f>B9+C9</f>
        <v/>
      </c>
      <c r="E9" s="364">
        <f>IFERROR(SUMPRODUCT((IFERROR(VLOOKUP('Invullen groen'!E18:E74,Tabellen!A:D,4,0),"")="onderwijs")*IFERROR('Invullen groen'!M18:M74*1,0)),0)</f>
        <v/>
      </c>
      <c r="F9" s="364">
        <f>IFERROR(SUMPRODUCT((IFERROR(VLOOKUP('Invullen groen'!E18:E74,Tabellen!A:D,4,0),"")="onderwijs")*IFERROR('Invullen groen'!N18:N74*1,0)),0)</f>
        <v/>
      </c>
      <c r="G9" s="364">
        <f>IFERROR(SUMPRODUCT((IFERROR(VLOOKUP('Invullen groen'!E18:E74,Tabellen!A:D,4,0),"")="onderwijs")*IFERROR('Invullen groen'!O18:O74*1,0)),0)</f>
        <v/>
      </c>
    </row>
    <row r="10" ht="14" customHeight="1">
      <c r="A10" s="287" t="inlineStr">
        <is>
          <t>Sport, Cultuur En Recreatie</t>
        </is>
      </c>
      <c r="B10" s="364">
        <f>IFERROR(SUMPRODUCT((IFERROR(VLOOKUP('Invullen groen'!E18:E74,Tabellen!A:D,4,0),"")="sport, cultuur en recreatie")*('Invullen groen'!L18:L74&gt;0)*'Invullen groen'!L18:L74),0)</f>
        <v/>
      </c>
      <c r="C10" s="364">
        <f>IFERROR(SUMPRODUCT((IFERROR(VLOOKUP('Invullen groen'!E18:E74,Tabellen!A:D,4,0),"")="sport, cultuur en recreatie")*('Invullen groen'!L18:L74&lt;0)*'Invullen groen'!L18:L74),0)</f>
        <v/>
      </c>
      <c r="D10" s="371">
        <f>B10+C10</f>
        <v/>
      </c>
      <c r="E10" s="364">
        <f>IFERROR(SUMPRODUCT((IFERROR(VLOOKUP('Invullen groen'!E18:E74,Tabellen!A:D,4,0),"")="sport, cultuur en recreatie")*IFERROR('Invullen groen'!M18:M74*1,0)),0)</f>
        <v/>
      </c>
      <c r="F10" s="364">
        <f>IFERROR(SUMPRODUCT((IFERROR(VLOOKUP('Invullen groen'!E18:E74,Tabellen!A:D,4,0),"")="sport, cultuur en recreatie")*IFERROR('Invullen groen'!N18:N74*1,0)),0)</f>
        <v/>
      </c>
      <c r="G10" s="364">
        <f>IFERROR(SUMPRODUCT((IFERROR(VLOOKUP('Invullen groen'!E18:E74,Tabellen!A:D,4,0),"")="sport, cultuur en recreatie")*IFERROR('Invullen groen'!O18:O74*1,0)),0)</f>
        <v/>
      </c>
    </row>
    <row r="11" ht="14" customHeight="1">
      <c r="A11" s="287" t="inlineStr">
        <is>
          <t>Sociaal Domein</t>
        </is>
      </c>
      <c r="B11" s="364">
        <f>IFERROR(SUMPRODUCT((IFERROR(VLOOKUP('Invullen groen'!E18:E74,Tabellen!A:D,4,0),"")="sociaal domein")*('Invullen groen'!L18:L74&gt;0)*'Invullen groen'!L18:L74),0)</f>
        <v/>
      </c>
      <c r="C11" s="364">
        <f>IFERROR(SUMPRODUCT((IFERROR(VLOOKUP('Invullen groen'!E18:E74,Tabellen!A:D,4,0),"")="sociaal domein")*('Invullen groen'!L18:L74&lt;0)*'Invullen groen'!L18:L74),0)</f>
        <v/>
      </c>
      <c r="D11" s="371">
        <f>B11+C11</f>
        <v/>
      </c>
      <c r="E11" s="364">
        <f>IFERROR(SUMPRODUCT((IFERROR(VLOOKUP('Invullen groen'!E18:E74,Tabellen!A:D,4,0),"")="sociaal domein")*IFERROR('Invullen groen'!M18:M74*1,0)),0)</f>
        <v/>
      </c>
      <c r="F11" s="364">
        <f>IFERROR(SUMPRODUCT((IFERROR(VLOOKUP('Invullen groen'!E18:E74,Tabellen!A:D,4,0),"")="sociaal domein")*IFERROR('Invullen groen'!N18:N74*1,0)),0)</f>
        <v/>
      </c>
      <c r="G11" s="364">
        <f>IFERROR(SUMPRODUCT((IFERROR(VLOOKUP('Invullen groen'!E18:E74,Tabellen!A:D,4,0),"")="sociaal domein")*IFERROR('Invullen groen'!O18:O74*1,0)),0)</f>
        <v/>
      </c>
    </row>
    <row r="12" ht="14" customHeight="1">
      <c r="A12" s="287" t="inlineStr">
        <is>
          <t>Volksgezondheid En Milieu</t>
        </is>
      </c>
      <c r="B12" s="364">
        <f>IFERROR(SUMPRODUCT((IFERROR(VLOOKUP('Invullen groen'!E18:E74,Tabellen!A:D,4,0),"")="volksgezondheid en milieu")*('Invullen groen'!L18:L74&gt;0)*'Invullen groen'!L18:L74),0)</f>
        <v/>
      </c>
      <c r="C12" s="364">
        <f>IFERROR(SUMPRODUCT((IFERROR(VLOOKUP('Invullen groen'!E18:E74,Tabellen!A:D,4,0),"")="volksgezondheid en milieu")*('Invullen groen'!L18:L74&lt;0)*'Invullen groen'!L18:L74),0)</f>
        <v/>
      </c>
      <c r="D12" s="371">
        <f>B12+C12</f>
        <v/>
      </c>
      <c r="E12" s="364">
        <f>IFERROR(SUMPRODUCT((IFERROR(VLOOKUP('Invullen groen'!E18:E74,Tabellen!A:D,4,0),"")="volksgezondheid en milieu")*IFERROR('Invullen groen'!M18:M74*1,0)),0)</f>
        <v/>
      </c>
      <c r="F12" s="364">
        <f>IFERROR(SUMPRODUCT((IFERROR(VLOOKUP('Invullen groen'!E18:E74,Tabellen!A:D,4,0),"")="volksgezondheid en milieu")*IFERROR('Invullen groen'!N18:N74*1,0)),0)</f>
        <v/>
      </c>
      <c r="G12" s="364">
        <f>IFERROR(SUMPRODUCT((IFERROR(VLOOKUP('Invullen groen'!E18:E74,Tabellen!A:D,4,0),"")="volksgezondheid en milieu")*IFERROR('Invullen groen'!O18:O74*1,0)),0)</f>
        <v/>
      </c>
    </row>
    <row r="13" ht="14" customHeight="1">
      <c r="A13" s="287" t="inlineStr">
        <is>
          <t>Volkshuisv., Ro En Stedelijke Vernieuwing</t>
        </is>
      </c>
      <c r="B13" s="364">
        <f>IFERROR(SUMPRODUCT((IFERROR(VLOOKUP('Invullen groen'!E18:E74,Tabellen!A:D,4,0),"")="volkshuisv., ro en stedelijke vernieuwing")*('Invullen groen'!L18:L74&gt;0)*'Invullen groen'!L18:L74),0)</f>
        <v/>
      </c>
      <c r="C13" s="364">
        <f>IFERROR(SUMPRODUCT((IFERROR(VLOOKUP('Invullen groen'!E18:E74,Tabellen!A:D,4,0),"")="volkshuisv., ro en stedelijke vernieuwing")*('Invullen groen'!L18:L74&lt;0)*'Invullen groen'!L18:L74),0)</f>
        <v/>
      </c>
      <c r="D13" s="371">
        <f>B13+C13</f>
        <v/>
      </c>
      <c r="E13" s="364">
        <f>IFERROR(SUMPRODUCT((IFERROR(VLOOKUP('Invullen groen'!E18:E74,Tabellen!A:D,4,0),"")="volkshuisv., ro en stedelijke vernieuwing")*IFERROR('Invullen groen'!M18:M74*1,0)),0)</f>
        <v/>
      </c>
      <c r="F13" s="364">
        <f>IFERROR(SUMPRODUCT((IFERROR(VLOOKUP('Invullen groen'!E18:E74,Tabellen!A:D,4,0),"")="volkshuisv., ro en stedelijke vernieuwing")*IFERROR('Invullen groen'!N18:N74*1,0)),0)</f>
        <v/>
      </c>
      <c r="G13" s="364">
        <f>IFERROR(SUMPRODUCT((IFERROR(VLOOKUP('Invullen groen'!E18:E74,Tabellen!A:D,4,0),"")="volkshuisv., ro en stedelijke vernieuwing")*IFERROR('Invullen groen'!O18:O74*1,0)),0)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84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37" t="inlineStr">
        <is>
          <t>Begin saldo financiële foto (vóór wijziging)</t>
        </is>
      </c>
      <c r="B16" s="438" t="n"/>
      <c r="C16" s="438" t="n"/>
      <c r="D16" s="438" t="n"/>
      <c r="E16" s="438" t="n"/>
      <c r="F16" s="438" t="n"/>
      <c r="G16" s="438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  <row r="20">
      <c r="A20" s="429" t="inlineStr">
        <is>
          <t>Controle exploitatie (moet 0 zijn)</t>
        </is>
      </c>
      <c r="B20" s="430">
        <f>IFERROR('Invullen groen'!L112,0)</f>
        <v/>
      </c>
      <c r="C20" s="394" t="n"/>
      <c r="D20" s="394" t="n"/>
      <c r="E20" s="394" t="n"/>
      <c r="F20" s="394" t="n"/>
      <c r="G20" s="394" t="n"/>
    </row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groen'!L78&lt;&gt;0,'Invullen groen'!A78,""),"")</f>
        <v/>
      </c>
      <c r="G6" s="287">
        <f>IFERROR(IF('Invullen groen'!L78&lt;&gt;0,'Invullen groen'!G78,""),"")</f>
        <v/>
      </c>
      <c r="H6" s="364">
        <f>IFERROR(IF('Invullen groen'!L78&lt;&gt;0,'Invullen groen'!L78,""),"")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groen'!L79&lt;&gt;0,'Invullen groen'!A79,""),"")</f>
        <v/>
      </c>
      <c r="G7" s="287">
        <f>IFERROR(IF('Invullen groen'!L79&lt;&gt;0,'Invullen groen'!G79,""),"")</f>
        <v/>
      </c>
      <c r="H7" s="364">
        <f>IFERROR(IF('Invullen groen'!L79&lt;&gt;0,'Invullen groen'!L79,""),"")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groen'!L80&lt;&gt;0,'Invullen groen'!A80,""),"")</f>
        <v/>
      </c>
      <c r="G8" s="287">
        <f>IFERROR(IF('Invullen groen'!L80&lt;&gt;0,'Invullen groen'!G80,""),"")</f>
        <v/>
      </c>
      <c r="H8" s="364">
        <f>IFERROR(IF('Invullen groen'!L80&lt;&gt;0,'Invullen groen'!L80,""),"")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groen'!L81&lt;&gt;0,'Invullen groen'!A81,""),"")</f>
        <v/>
      </c>
      <c r="G9" s="287">
        <f>IFERROR(IF('Invullen groen'!L81&lt;&gt;0,'Invullen groen'!G81,""),"")</f>
        <v/>
      </c>
      <c r="H9" s="364">
        <f>IFERROR(IF('Invullen groen'!L81&lt;&gt;0,'Invullen groen'!L81,""),"")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groen'!L82&lt;&gt;0,'Invullen groen'!A82,""),"")</f>
        <v/>
      </c>
      <c r="G10" s="287">
        <f>IFERROR(IF('Invullen groen'!L82&lt;&gt;0,'Invullen groen'!G82,""),"")</f>
        <v/>
      </c>
      <c r="H10" s="364">
        <f>IFERROR(IF('Invullen groen'!L82&lt;&gt;0,'Invullen groen'!L82,""),"")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groen'!L83&lt;&gt;0,'Invullen groen'!A83,""),"")</f>
        <v/>
      </c>
      <c r="G11" s="287">
        <f>IFERROR(IF('Invullen groen'!L83&lt;&gt;0,'Invullen groen'!G83,""),"")</f>
        <v/>
      </c>
      <c r="H11" s="364">
        <f>IFERROR(IF('Invullen groen'!L83&lt;&gt;0,'Invullen groen'!L83,""),"")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groen'!L84&lt;&gt;0,'Invullen groen'!A84,""),"")</f>
        <v/>
      </c>
      <c r="G12" s="287">
        <f>IFERROR(IF('Invullen groen'!L84&lt;&gt;0,'Invullen groen'!G84,""),"")</f>
        <v/>
      </c>
      <c r="H12" s="364">
        <f>IFERROR(IF('Invullen groen'!L84&lt;&gt;0,'Invullen groen'!L84,""),"")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groen'!L85&lt;&gt;0,'Invullen groen'!A85,""),"")</f>
        <v/>
      </c>
      <c r="G13" s="287">
        <f>IFERROR(IF('Invullen groen'!L85&lt;&gt;0,'Invullen groen'!G85,""),"")</f>
        <v/>
      </c>
      <c r="H13" s="364">
        <f>IFERROR(IF('Invullen groen'!L85&lt;&gt;0,'Invullen groen'!L85,""),"")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groen'!L86&lt;&gt;0,'Invullen groen'!A86,""),"")</f>
        <v/>
      </c>
      <c r="G14" s="287">
        <f>IFERROR(IF('Invullen groen'!L86&lt;&gt;0,'Invullen groen'!G86,""),"")</f>
        <v/>
      </c>
      <c r="H14" s="364">
        <f>IFERROR(IF('Invullen groen'!L86&lt;&gt;0,'Invullen groen'!L86,""),"")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groen'!L87&lt;&gt;0,'Invullen groen'!A87,""),"")</f>
        <v/>
      </c>
      <c r="G15" s="287">
        <f>IFERROR(IF('Invullen groen'!L87&lt;&gt;0,'Invullen groen'!G87,""),"")</f>
        <v/>
      </c>
      <c r="H15" s="364">
        <f>IFERROR(IF('Invullen groen'!L87&lt;&gt;0,'Invullen groen'!L87,""),"")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groen'!L88&lt;&gt;0,'Invullen groen'!A88,""),"")</f>
        <v/>
      </c>
      <c r="G16" s="287">
        <f>IFERROR(IF('Invullen groen'!L88&lt;&gt;0,'Invullen groen'!G88,""),"")</f>
        <v/>
      </c>
      <c r="H16" s="364">
        <f>IFERROR(IF('Invullen groen'!L88&lt;&gt;0,'Invullen groen'!L88,""),"")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groen'!L89&lt;&gt;0,'Invullen groen'!A89,""),"")</f>
        <v/>
      </c>
      <c r="G17" s="287">
        <f>IFERROR(IF('Invullen groen'!L89&lt;&gt;0,'Invullen groen'!G89,""),"")</f>
        <v/>
      </c>
      <c r="H17" s="364">
        <f>IFERROR(IF('Invullen groen'!L89&lt;&gt;0,'Invullen groen'!L89,""),"")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groen'!L90&lt;&gt;0,'Invullen groen'!A90,""),"")</f>
        <v/>
      </c>
      <c r="G18" s="287">
        <f>IFERROR(IF('Invullen groen'!L90&lt;&gt;0,'Invullen groen'!G90,""),"")</f>
        <v/>
      </c>
      <c r="H18" s="364">
        <f>IFERROR(IF('Invullen groen'!L90&lt;&gt;0,'Invullen groen'!L90,""),"")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groen'!L91&lt;&gt;0,'Invullen groen'!A91,""),"")</f>
        <v/>
      </c>
      <c r="G19" s="287">
        <f>IFERROR(IF('Invullen groen'!L91&lt;&gt;0,'Invullen groen'!G91,""),"")</f>
        <v/>
      </c>
      <c r="H19" s="364">
        <f>IFERROR(IF('Invullen groen'!L91&lt;&gt;0,'Invullen groen'!L91,""),"")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groen'!L92&lt;&gt;0,'Invullen groen'!A92,""),"")</f>
        <v/>
      </c>
      <c r="G20" s="287">
        <f>IFERROR(IF('Invullen groen'!L92&lt;&gt;0,'Invullen groen'!G92,""),"")</f>
        <v/>
      </c>
      <c r="H20" s="364">
        <f>IFERROR(IF('Invullen groen'!L92&lt;&gt;0,'Invullen groen'!L92,""),"")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groen'!L93&lt;&gt;0,'Invullen groen'!A93,""),"")</f>
        <v/>
      </c>
      <c r="G21" s="287">
        <f>IFERROR(IF('Invullen groen'!L93&lt;&gt;0,'Invullen groen'!G93,""),"")</f>
        <v/>
      </c>
      <c r="H21" s="364">
        <f>IFERROR(IF('Invullen groen'!L93&lt;&gt;0,'Invullen groen'!L93,""),"")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groen'!L94&lt;&gt;0,'Invullen groen'!A94,""),"")</f>
        <v/>
      </c>
      <c r="G22" s="287">
        <f>IFERROR(IF('Invullen groen'!L94&lt;&gt;0,'Invullen groen'!G94,""),"")</f>
        <v/>
      </c>
      <c r="H22" s="364">
        <f>IFERROR(IF('Invullen groen'!L94&lt;&gt;0,'Invullen groen'!L94,""),"")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groen'!L95&lt;&gt;0,'Invullen groen'!A95,""),"")</f>
        <v/>
      </c>
      <c r="G23" s="287">
        <f>IFERROR(IF('Invullen groen'!L95&lt;&gt;0,'Invullen groen'!G95,""),"")</f>
        <v/>
      </c>
      <c r="H23" s="364">
        <f>IFERROR(IF('Invullen groen'!L95&lt;&gt;0,'Invullen groen'!L95,""),"")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groen'!L96&lt;&gt;0,'Invullen groen'!A96,""),"")</f>
        <v/>
      </c>
      <c r="G24" s="287">
        <f>IFERROR(IF('Invullen groen'!L96&lt;&gt;0,'Invullen groen'!G96,""),"")</f>
        <v/>
      </c>
      <c r="H24" s="364">
        <f>IFERROR(IF('Invullen groen'!L96&lt;&gt;0,'Invullen groen'!L96,""),"")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groen'!L97&lt;&gt;0,'Invullen groen'!A97,""),"")</f>
        <v/>
      </c>
      <c r="G25" s="287">
        <f>IFERROR(IF('Invullen groen'!L97&lt;&gt;0,'Invullen groen'!G97,""),"")</f>
        <v/>
      </c>
      <c r="H25" s="364">
        <f>IFERROR(IF('Invullen groen'!L97&lt;&gt;0,'Invullen groen'!L97,""),"")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groen'!L98&lt;&gt;0,'Invullen groen'!A98,""),"")</f>
        <v/>
      </c>
      <c r="G26" s="287">
        <f>IFERROR(IF('Invullen groen'!L98&lt;&gt;0,'Invullen groen'!G98,""),"")</f>
        <v/>
      </c>
      <c r="H26" s="364">
        <f>IFERROR(IF('Invullen groen'!L98&lt;&gt;0,'Invullen groen'!L98,""),"")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groen'!L99&lt;&gt;0,'Invullen groen'!A99,""),"")</f>
        <v/>
      </c>
      <c r="G27" s="287">
        <f>IFERROR(IF('Invullen groen'!L99&lt;&gt;0,'Invullen groen'!G99,""),"")</f>
        <v/>
      </c>
      <c r="H27" s="364">
        <f>IFERROR(IF('Invullen groen'!L99&lt;&gt;0,'Invullen groen'!L99,""),"")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groen'!L100&lt;&gt;0,'Invullen groen'!A100,""),"")</f>
        <v/>
      </c>
      <c r="G28" s="287">
        <f>IFERROR(IF('Invullen groen'!L100&lt;&gt;0,'Invullen groen'!G100,""),"")</f>
        <v/>
      </c>
      <c r="H28" s="364">
        <f>IFERROR(IF('Invullen groen'!L100&lt;&gt;0,'Invullen groen'!L100,""),"")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groen'!L101&lt;&gt;0,'Invullen groen'!A101,""),"")</f>
        <v/>
      </c>
      <c r="G29" s="287">
        <f>IFERROR(IF('Invullen groen'!L101&lt;&gt;0,'Invullen groen'!G101,""),"")</f>
        <v/>
      </c>
      <c r="H29" s="364">
        <f>IFERROR(IF('Invullen groen'!L101&lt;&gt;0,'Invullen groen'!L101,""),"")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groen'!L102&lt;&gt;0,'Invullen groen'!A102,""),"")</f>
        <v/>
      </c>
      <c r="G30" s="287">
        <f>IFERROR(IF('Invullen groen'!L102&lt;&gt;0,'Invullen groen'!G102,""),"")</f>
        <v/>
      </c>
      <c r="H30" s="364">
        <f>IFERROR(IF('Invullen groen'!L102&lt;&gt;0,'Invullen groen'!L102,""),"")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groen'!L103&lt;&gt;0,'Invullen groen'!A103,""),"")</f>
        <v/>
      </c>
      <c r="G31" s="287">
        <f>IFERROR(IF('Invullen groen'!L103&lt;&gt;0,'Invullen groen'!G103,""),"")</f>
        <v/>
      </c>
      <c r="H31" s="364">
        <f>IFERROR(IF('Invullen groen'!L103&lt;&gt;0,'Invullen groen'!L103,""),"")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groen'!L104&lt;&gt;0,'Invullen groen'!A104,""),"")</f>
        <v/>
      </c>
      <c r="G32" s="287">
        <f>IFERROR(IF('Invullen groen'!L104&lt;&gt;0,'Invullen groen'!G104,""),"")</f>
        <v/>
      </c>
      <c r="H32" s="364">
        <f>IFERROR(IF('Invullen groen'!L104&lt;&gt;0,'Invullen groen'!L104,""),"")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groen'!L105&lt;&gt;0,'Invullen groen'!A105,""),"")</f>
        <v/>
      </c>
      <c r="G33" s="287">
        <f>IFERROR(IF('Invullen groen'!L105&lt;&gt;0,'Invullen groen'!G105,""),"")</f>
        <v/>
      </c>
      <c r="H33" s="364">
        <f>IFERROR(IF('Invullen groen'!L105&lt;&gt;0,'Invullen groen'!L105,""),"")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groen'!L106&lt;&gt;0,'Invullen groen'!A106,""),"")</f>
        <v/>
      </c>
      <c r="G34" s="287">
        <f>IFERROR(IF('Invullen groen'!L106&lt;&gt;0,'Invullen groen'!G106,""),"")</f>
        <v/>
      </c>
      <c r="H34" s="364">
        <f>IFERROR(IF('Invullen groen'!L106&lt;&gt;0,'Invullen groen'!L106,""),"")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groen'!L107&lt;&gt;0,'Invullen groen'!A107,""),"")</f>
        <v/>
      </c>
      <c r="G35" s="287">
        <f>IFERROR(IF('Invullen groen'!L107&lt;&gt;0,'Invullen groen'!G107,""),"")</f>
        <v/>
      </c>
      <c r="H35" s="364">
        <f>IFERROR(IF('Invullen groen'!L107&lt;&gt;0,'Invullen groen'!L107,""),"")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groen'!L108&lt;&gt;0,'Invullen groen'!A108,""),"")</f>
        <v/>
      </c>
      <c r="G36" s="287">
        <f>IFERROR(IF('Invullen groen'!L108&lt;&gt;0,'Invullen groen'!G108,""),"")</f>
        <v/>
      </c>
      <c r="H36" s="364">
        <f>IFERROR(IF('Invullen groen'!L108&lt;&gt;0,'Invullen groen'!L108,""),"")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groen'!L109&lt;&gt;0,'Invullen groen'!A109,""),"")</f>
        <v/>
      </c>
      <c r="G37" s="287">
        <f>IFERROR(IF('Invullen groen'!L109&lt;&gt;0,'Invullen groen'!G109,""),"")</f>
        <v/>
      </c>
      <c r="H37" s="364">
        <f>IFERROR(IF('Invullen groen'!L109&lt;&gt;0,'Invullen groen'!L109,""),"")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 t="n"/>
      <c r="G38" s="287" t="n"/>
      <c r="H38" s="364" t="n"/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 t="n"/>
      <c r="G39" s="287" t="n"/>
      <c r="H39" s="364" t="n"/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 t="n"/>
      <c r="G40" s="287" t="n"/>
      <c r="H40" s="364" t="n"/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 t="n"/>
      <c r="G41" s="287" t="n"/>
      <c r="H41" s="364" t="n"/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 t="n"/>
      <c r="G42" s="287" t="n"/>
      <c r="H42" s="364" t="n"/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 t="n"/>
      <c r="G43" s="287" t="n"/>
      <c r="H43" s="364" t="n"/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 t="n"/>
      <c r="G44" s="287" t="n"/>
      <c r="H44" s="364" t="n"/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 t="n"/>
      <c r="G45" s="287" t="n"/>
      <c r="H45" s="364" t="n"/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 t="n"/>
      <c r="G46" s="287" t="n"/>
      <c r="H46" s="364" t="n"/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 t="n"/>
      <c r="G47" s="287" t="n"/>
      <c r="H47" s="364" t="n"/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 t="n"/>
      <c r="G48" s="287" t="n"/>
      <c r="H48" s="364" t="n"/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 t="n"/>
      <c r="G49" s="287" t="n"/>
      <c r="H49" s="364" t="n"/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 t="n"/>
      <c r="G50" s="287" t="n"/>
      <c r="H50" s="364" t="n"/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 t="n"/>
      <c r="G51" s="287" t="n"/>
      <c r="H51" s="364" t="n"/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 t="n"/>
      <c r="G52" s="287" t="n"/>
      <c r="H52" s="364" t="n"/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 t="n"/>
      <c r="G53" s="287" t="n"/>
      <c r="H53" s="364" t="n"/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 t="n"/>
      <c r="G54" s="287" t="n"/>
      <c r="H54" s="364" t="n"/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 t="n"/>
      <c r="G55" s="287" t="n"/>
      <c r="H55" s="364" t="n"/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 t="n"/>
      <c r="G56" s="287" t="n"/>
      <c r="H56" s="364" t="n"/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 t="n"/>
      <c r="G57" s="287" t="n"/>
      <c r="H57" s="364" t="n"/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 t="n"/>
      <c r="G58" s="287" t="n"/>
      <c r="H58" s="364" t="n"/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 t="n"/>
      <c r="G59" s="287" t="n"/>
      <c r="H59" s="364" t="n"/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 t="n"/>
      <c r="G60" s="287" t="n"/>
      <c r="H60" s="364" t="n"/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 t="n"/>
      <c r="G61" s="287" t="n"/>
      <c r="H61" s="364" t="n"/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 t="n"/>
      <c r="G62" s="287" t="n"/>
      <c r="H62" s="364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4" customHeight="1">
      <c r="A64" s="431" t="inlineStr">
        <is>
          <t>Totaal lasten</t>
        </is>
      </c>
      <c r="B64" s="287" t="n"/>
      <c r="C64" s="287" t="n"/>
      <c r="D64" s="432">
        <f>SUM(D6:D62)</f>
        <v/>
      </c>
      <c r="F64" s="431" t="inlineStr">
        <is>
          <t>Totaal dekking / baten</t>
        </is>
      </c>
      <c r="G64" s="287" t="n"/>
      <c r="H64" s="432">
        <f>SUM(H6:H62)</f>
        <v/>
      </c>
    </row>
    <row r="65" ht="14" customHeight="1">
      <c r="A65" s="433">
        <f>IF(D64+H64=0,"✓  Budgettair neutraal — saldo = 0","⚠  Niet gedekt — saldo: "&amp;TEXT(D64+H64,"#.##0"))</f>
        <v/>
      </c>
      <c r="B65" s="434" t="n"/>
      <c r="C65" s="434" t="n"/>
      <c r="D65" s="435" t="n"/>
      <c r="E65" s="394" t="n"/>
      <c r="F65" s="434" t="n"/>
      <c r="G65" s="434" t="n"/>
      <c r="H65" s="435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2026-06-26T10:43:58Z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