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Invullen groen" sheetId="1" state="visible" r:id="rId1"/>
    <sheet name="Coda" sheetId="2" state="visible" r:id="rId2"/>
    <sheet name="Raad" sheetId="3" state="visible" r:id="rId3"/>
    <sheet name="Totaaloverzicht" sheetId="4" state="visible" r:id="rId4"/>
    <sheet name="Samenvatting" sheetId="5" state="visible" r:id="rId5"/>
    <sheet name="Dekking" sheetId="6" state="visible" r:id="rId6"/>
    <sheet name="Tabellen" sheetId="7" state="visible" r:id="rId7"/>
  </sheets>
  <definedNames>
    <definedName name="_xlnm.Print_Area" localSheetId="2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 ;\-0\ "/>
    <numFmt numFmtId="165" formatCode="_-* #,##0.00_-;_-* #,##0.00\-;_-* &quot;-&quot;??_-;_-@_-"/>
  </numFmts>
  <fonts count="54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"/>
      <sz val="10"/>
    </font>
    <font>
      <name val="Arial"/>
      <family val="2"/>
      <color rgb="FF000000"/>
      <sz val="10"/>
    </font>
    <font>
      <name val="Calibri"/>
      <sz val="11"/>
    </font>
    <font>
      <name val="Calibri"/>
      <b val="1"/>
      <color rgb="FFFFFFFF"/>
      <sz val="9"/>
    </font>
    <font>
      <name val="Calibri"/>
      <color rgb="FF0D1E35"/>
      <sz val="9"/>
    </font>
    <font>
      <name val="Calibri"/>
      <b val="1"/>
      <color rgb="FF7A2020"/>
      <sz val="9"/>
    </font>
    <font>
      <name val="Calibri"/>
      <b val="1"/>
      <color rgb="FF1A6448"/>
      <sz val="9"/>
    </font>
    <font>
      <name val="Calibri"/>
      <b val="1"/>
      <color rgb="FFFFFFFF"/>
      <sz val="10"/>
    </font>
    <font>
      <name val="Calibri"/>
      <i val="1"/>
      <color rgb="FF7A94AE"/>
      <sz val="9"/>
    </font>
    <font>
      <name val="Calibri"/>
      <b val="1"/>
      <color rgb="FF0D1E35"/>
      <sz val="9"/>
    </font>
    <font>
      <name val="Calibri"/>
      <color rgb="FF1A5FA8"/>
      <sz val="9"/>
    </font>
    <font>
      <name val="Calibri"/>
      <b val="1"/>
      <color rgb="FF7A5C00"/>
      <sz val="10"/>
    </font>
    <font>
      <name val="Calibri"/>
      <color rgb="FF7A5C00"/>
      <sz val="9"/>
    </font>
    <font>
      <name val="Calibri"/>
      <b val="1"/>
      <color rgb="FF1A5FA8"/>
      <sz val="9"/>
    </font>
    <font>
      <name val="Calibri"/>
      <b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Calibri"/>
      <b val="1"/>
      <sz val="11"/>
    </font>
  </fonts>
  <fills count="3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1A5FA8"/>
      </patternFill>
    </fill>
    <fill>
      <patternFill patternType="solid">
        <fgColor rgb="FFF5E5E5"/>
      </patternFill>
    </fill>
    <fill>
      <patternFill patternType="solid">
        <fgColor rgb="FFE3F2EB"/>
      </patternFill>
    </fill>
    <fill>
      <patternFill patternType="solid">
        <fgColor rgb="FF7A2020"/>
      </patternFill>
    </fill>
    <fill>
      <patternFill patternType="solid">
        <fgColor rgb="FF1A6448"/>
      </patternFill>
    </fill>
    <fill>
      <patternFill patternType="solid">
        <fgColor rgb="FFE4EDF8"/>
      </patternFill>
    </fill>
    <fill>
      <patternFill patternType="solid">
        <fgColor rgb="FFFFF3CD"/>
      </patternFill>
    </fill>
    <fill>
      <patternFill patternType="solid">
        <fgColor rgb="FFFFFF99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E0E0E0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FDE8D8"/>
      </patternFill>
    </fill>
    <fill>
      <patternFill patternType="solid">
        <fgColor theme="3" tint="0.3999755851924192"/>
        <bgColor indexed="64"/>
      </patternFill>
    </fill>
  </fills>
  <borders count="26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/>
      <right/>
      <top/>
      <bottom style="thin">
        <color rgb="FFC8D6E5"/>
      </bottom>
      <diagonal/>
    </border>
    <border>
      <left/>
      <right/>
      <top/>
      <bottom style="thin">
        <color rgb="FF7A2020"/>
      </bottom>
      <diagonal/>
    </border>
    <border>
      <left/>
      <right/>
      <top/>
      <bottom style="thin">
        <color rgb="FF1A6448"/>
      </bottom>
      <diagonal/>
    </border>
    <border>
      <left/>
      <right/>
      <top/>
      <bottom style="thin">
        <color rgb="FFC8D6E5"/>
      </bottom>
      <diagonal/>
    </border>
    <border>
      <left/>
      <right/>
      <top/>
      <bottom style="thin">
        <color rgb="FFC8D6E5"/>
      </bottom>
      <diagonal/>
    </border>
    <border>
      <left/>
      <right/>
      <top style="thin">
        <color rgb="FFC9A227"/>
      </top>
      <bottom/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/>
      <top/>
      <bottom style="thin">
        <color rgb="FF1A5FA8"/>
      </bottom>
      <diagonal/>
    </border>
    <border>
      <left/>
      <right/>
      <top/>
      <bottom style="thin">
        <color rgb="FF1A5FA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14"/>
    <xf numFmtId="0" fontId="2" fillId="5" borderId="14" applyAlignment="1">
      <alignment horizontal="center"/>
    </xf>
    <xf numFmtId="0" fontId="2" fillId="5" borderId="14" applyAlignment="1">
      <alignment horizontal="center"/>
    </xf>
    <xf numFmtId="0" fontId="4" fillId="7" borderId="1" applyAlignment="1" applyProtection="1">
      <alignment horizontal="center"/>
      <protection locked="0" hidden="0"/>
    </xf>
    <xf numFmtId="0" fontId="13" fillId="0" borderId="14"/>
    <xf numFmtId="0" fontId="14" fillId="0" borderId="14"/>
    <xf numFmtId="165" fontId="13" fillId="0" borderId="14"/>
    <xf numFmtId="0" fontId="13" fillId="0" borderId="14"/>
  </cellStyleXfs>
  <cellXfs count="440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0" borderId="0" pivotButton="0" quotePrefix="0" xfId="0"/>
    <xf numFmtId="0" fontId="12" fillId="6" borderId="6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6" borderId="9" pivotButton="0" quotePrefix="0" xfId="0"/>
    <xf numFmtId="0" fontId="12" fillId="6" borderId="11" applyAlignment="1" pivotButton="0" quotePrefix="0" xfId="0">
      <alignment horizontal="center"/>
    </xf>
    <xf numFmtId="0" fontId="12" fillId="6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5" fillId="2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2" fillId="3" borderId="0" applyProtection="1" pivotButton="0" quotePrefix="0" xfId="0">
      <protection locked="0" hidden="0"/>
    </xf>
    <xf numFmtId="0" fontId="3" fillId="4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3" fontId="1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1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4" fillId="4" borderId="0" pivotButton="0" quotePrefix="0" xfId="0"/>
    <xf numFmtId="0" fontId="16" fillId="8" borderId="0" applyAlignment="1" pivotButton="0" quotePrefix="0" xfId="0">
      <alignment horizontal="left"/>
    </xf>
    <xf numFmtId="1" fontId="16" fillId="8" borderId="0" applyAlignment="1" pivotButton="0" quotePrefix="0" xfId="0">
      <alignment horizontal="left"/>
    </xf>
    <xf numFmtId="0" fontId="0" fillId="0" borderId="0" applyAlignment="1" applyProtection="1" pivotButton="0" quotePrefix="0" xfId="0">
      <alignment horizontal="center"/>
      <protection locked="0" hidden="0"/>
    </xf>
    <xf numFmtId="1" fontId="9" fillId="0" borderId="0" applyAlignment="1" applyProtection="1" pivotButton="0" quotePrefix="0" xfId="0">
      <alignment horizontal="center"/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1" fillId="8" borderId="0" applyAlignment="1" pivotButton="0" quotePrefix="0" xfId="0">
      <alignment horizontal="center"/>
    </xf>
    <xf numFmtId="0" fontId="1" fillId="8" borderId="0" pivotButton="0" quotePrefix="0" xfId="0"/>
    <xf numFmtId="0" fontId="2" fillId="8" borderId="0" pivotButton="0" quotePrefix="0" xfId="0"/>
    <xf numFmtId="0" fontId="5" fillId="2" borderId="0" applyAlignment="1" pivotButton="0" quotePrefix="0" xfId="0">
      <alignment horizontal="left"/>
    </xf>
    <xf numFmtId="0" fontId="12" fillId="6" borderId="5" applyAlignment="1" pivotButton="0" quotePrefix="0" xfId="0">
      <alignment horizontal="left"/>
    </xf>
    <xf numFmtId="0" fontId="12" fillId="6" borderId="8" applyAlignment="1" pivotButton="0" quotePrefix="0" xfId="0">
      <alignment horizontal="left"/>
    </xf>
    <xf numFmtId="0" fontId="12" fillId="6" borderId="10" applyAlignment="1" pivotButton="0" quotePrefix="0" xfId="0">
      <alignment horizontal="left"/>
    </xf>
    <xf numFmtId="1" fontId="12" fillId="6" borderId="9" pivotButton="0" quotePrefix="0" xfId="0"/>
    <xf numFmtId="14" fontId="12" fillId="6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0" fillId="0" borderId="0" applyAlignment="1" pivotButton="0" quotePrefix="0" xfId="0">
      <alignment horizontal="left"/>
    </xf>
    <xf numFmtId="1" fontId="10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5" fillId="0" borderId="0" applyAlignment="1" pivotButton="0" quotePrefix="0" xfId="0">
      <alignment horizontal="left"/>
    </xf>
    <xf numFmtId="49" fontId="10" fillId="0" borderId="0" applyAlignment="1" pivotButton="0" quotePrefix="0" xfId="4">
      <alignment horizontal="left" vertical="center"/>
    </xf>
    <xf numFmtId="0" fontId="10" fillId="0" borderId="0" applyAlignment="1" pivotButton="0" quotePrefix="0" xfId="5">
      <alignment horizontal="left"/>
    </xf>
    <xf numFmtId="0" fontId="10" fillId="0" borderId="0" applyAlignment="1" pivotButton="0" quotePrefix="1" xfId="0">
      <alignment horizontal="left"/>
    </xf>
    <xf numFmtId="0" fontId="15" fillId="0" borderId="0" applyAlignment="1" pivotButton="0" quotePrefix="0" xfId="0">
      <alignment horizontal="left"/>
    </xf>
    <xf numFmtId="49" fontId="10" fillId="0" borderId="0" applyAlignment="1" pivotButton="0" quotePrefix="0" xfId="0">
      <alignment horizontal="left"/>
    </xf>
    <xf numFmtId="0" fontId="10" fillId="0" borderId="0" pivotButton="0" quotePrefix="0" xfId="7"/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/>
    </xf>
    <xf numFmtId="0" fontId="17" fillId="0" borderId="0" pivotButton="0" quotePrefix="0" xfId="0"/>
    <xf numFmtId="0" fontId="15" fillId="0" borderId="0" pivotButton="0" quotePrefix="0" xfId="0"/>
    <xf numFmtId="0" fontId="9" fillId="0" borderId="0" applyProtection="1" pivotButton="0" quotePrefix="0" xfId="0">
      <protection locked="0" hidden="0"/>
    </xf>
    <xf numFmtId="0" fontId="18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9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1" fillId="0" borderId="0" applyAlignment="1" applyProtection="1" pivotButton="0" quotePrefix="0" xfId="0">
      <alignment horizontal="left" vertical="top" wrapText="1"/>
      <protection locked="0" hidden="0"/>
    </xf>
    <xf numFmtId="1" fontId="10" fillId="0" borderId="0" applyAlignment="1" applyProtection="1" pivotButton="0" quotePrefix="0" xfId="0">
      <alignment horizontal="center" vertical="top" wrapText="1"/>
      <protection locked="0" hidden="0"/>
    </xf>
    <xf numFmtId="0" fontId="20" fillId="0" borderId="16" applyAlignment="1" pivotButton="0" quotePrefix="0" xfId="0">
      <alignment horizontal="left" vertical="center"/>
    </xf>
    <xf numFmtId="0" fontId="24" fillId="10" borderId="0" applyAlignment="1" pivotButton="0" quotePrefix="0" xfId="0">
      <alignment horizontal="left" vertical="center"/>
    </xf>
    <xf numFmtId="0" fontId="21" fillId="12" borderId="17" applyAlignment="1" pivotButton="0" quotePrefix="0" xfId="0">
      <alignment horizontal="left" vertical="center"/>
    </xf>
    <xf numFmtId="0" fontId="22" fillId="13" borderId="18" applyAlignment="1" pivotButton="0" quotePrefix="0" xfId="0">
      <alignment horizontal="left" vertical="center"/>
    </xf>
    <xf numFmtId="0" fontId="23" fillId="11" borderId="0" applyAlignment="1" pivotButton="0" quotePrefix="0" xfId="0">
      <alignment horizontal="left" vertical="center"/>
    </xf>
    <xf numFmtId="0" fontId="25" fillId="10" borderId="0" pivotButton="0" quotePrefix="0" xfId="0"/>
    <xf numFmtId="0" fontId="27" fillId="17" borderId="22" pivotButton="0" quotePrefix="0" xfId="0"/>
    <xf numFmtId="0" fontId="19" fillId="9" borderId="0" pivotButton="0" quotePrefix="0" xfId="0"/>
    <xf numFmtId="0" fontId="26" fillId="16" borderId="0" pivotButton="0" quotePrefix="0" xfId="0"/>
    <xf numFmtId="0" fontId="25" fillId="10" borderId="0" applyProtection="1" pivotButton="0" quotePrefix="0" xfId="0">
      <protection locked="0" hidden="0"/>
    </xf>
    <xf numFmtId="0" fontId="28" fillId="17" borderId="21" pivotButton="0" quotePrefix="0" xfId="0"/>
    <xf numFmtId="3" fontId="0" fillId="0" borderId="0" pivotButton="0" quotePrefix="0" xfId="0"/>
    <xf numFmtId="3" fontId="20" fillId="0" borderId="16" applyAlignment="1" pivotButton="0" quotePrefix="0" xfId="0">
      <alignment horizontal="right" vertical="center"/>
    </xf>
    <xf numFmtId="0" fontId="21" fillId="12" borderId="20" applyAlignment="1" pivotButton="0" quotePrefix="0" xfId="0">
      <alignment horizontal="left" vertical="center"/>
    </xf>
    <xf numFmtId="3" fontId="21" fillId="12" borderId="16" applyAlignment="1" pivotButton="0" quotePrefix="0" xfId="0">
      <alignment horizontal="right" vertical="center"/>
    </xf>
    <xf numFmtId="0" fontId="22" fillId="13" borderId="20" applyAlignment="1" pivotButton="0" quotePrefix="0" xfId="0">
      <alignment horizontal="left" vertical="center"/>
    </xf>
    <xf numFmtId="3" fontId="22" fillId="13" borderId="16" applyAlignment="1" pivotButton="0" quotePrefix="0" xfId="0">
      <alignment horizontal="right" vertical="center"/>
    </xf>
    <xf numFmtId="3" fontId="21" fillId="12" borderId="17" applyAlignment="1" pivotButton="0" quotePrefix="0" xfId="0">
      <alignment horizontal="right" vertical="center"/>
    </xf>
    <xf numFmtId="3" fontId="22" fillId="13" borderId="18" applyAlignment="1" pivotButton="0" quotePrefix="0" xfId="0">
      <alignment horizontal="right" vertical="center"/>
    </xf>
    <xf numFmtId="0" fontId="2" fillId="21" borderId="0" pivotButton="0" quotePrefix="0" xfId="0"/>
    <xf numFmtId="0" fontId="0" fillId="21" borderId="0" pivotButton="0" quotePrefix="0" xfId="0"/>
    <xf numFmtId="0" fontId="29" fillId="19" borderId="1" applyAlignment="1" pivotButton="0" quotePrefix="0" xfId="0">
      <alignment horizontal="left"/>
    </xf>
    <xf numFmtId="0" fontId="29" fillId="19" borderId="1" applyAlignment="1" pivotButton="0" quotePrefix="0" xfId="0">
      <alignment horizontal="center"/>
    </xf>
    <xf numFmtId="0" fontId="29" fillId="19" borderId="4" pivotButton="0" quotePrefix="0" xfId="0"/>
    <xf numFmtId="0" fontId="29" fillId="19" borderId="1" pivotButton="0" quotePrefix="0" xfId="0"/>
    <xf numFmtId="0" fontId="29" fillId="19" borderId="1" applyAlignment="1" pivotButton="0" quotePrefix="0" xfId="0">
      <alignment horizontal="right"/>
    </xf>
    <xf numFmtId="0" fontId="29" fillId="19" borderId="0" pivotButton="0" quotePrefix="0" xfId="0"/>
    <xf numFmtId="0" fontId="29" fillId="20" borderId="1" applyAlignment="1" pivotButton="0" quotePrefix="0" xfId="0">
      <alignment horizontal="left"/>
    </xf>
    <xf numFmtId="0" fontId="29" fillId="20" borderId="1" applyAlignment="1" pivotButton="0" quotePrefix="0" xfId="0">
      <alignment horizontal="center"/>
    </xf>
    <xf numFmtId="0" fontId="29" fillId="20" borderId="4" pivotButton="0" quotePrefix="0" xfId="0"/>
    <xf numFmtId="0" fontId="29" fillId="20" borderId="1" pivotButton="0" quotePrefix="0" xfId="0"/>
    <xf numFmtId="0" fontId="29" fillId="20" borderId="1" applyAlignment="1" pivotButton="0" quotePrefix="0" xfId="0">
      <alignment horizontal="right"/>
    </xf>
    <xf numFmtId="0" fontId="29" fillId="20" borderId="0" pivotButton="0" quotePrefix="0" xfId="0"/>
    <xf numFmtId="0" fontId="29" fillId="19" borderId="0" applyProtection="1" pivotButton="0" quotePrefix="0" xfId="0">
      <protection locked="0" hidden="0"/>
    </xf>
    <xf numFmtId="0" fontId="29" fillId="20" borderId="0" applyProtection="1" pivotButton="0" quotePrefix="0" xfId="0">
      <protection locked="0" hidden="0"/>
    </xf>
    <xf numFmtId="0" fontId="31" fillId="0" borderId="16" applyAlignment="1" pivotButton="0" quotePrefix="0" xfId="0">
      <alignment horizontal="left" vertical="center"/>
    </xf>
    <xf numFmtId="0" fontId="40" fillId="28" borderId="0" applyProtection="1" pivotButton="0" quotePrefix="0" xfId="0">
      <protection locked="0" hidden="0"/>
    </xf>
    <xf numFmtId="0" fontId="4" fillId="30" borderId="1" applyAlignment="1" applyProtection="1" pivotButton="0" quotePrefix="0" xfId="0">
      <alignment horizontal="right"/>
      <protection locked="0" hidden="0"/>
    </xf>
    <xf numFmtId="0" fontId="4" fillId="30" borderId="2" applyAlignment="1" applyProtection="1" pivotButton="0" quotePrefix="0" xfId="0">
      <alignment horizontal="right"/>
      <protection locked="0" hidden="0"/>
    </xf>
    <xf numFmtId="0" fontId="41" fillId="29" borderId="21" pivotButton="0" quotePrefix="0" xfId="0"/>
    <xf numFmtId="0" fontId="41" fillId="29" borderId="21" applyProtection="1" pivotButton="0" quotePrefix="0" xfId="0">
      <protection locked="0" hidden="0"/>
    </xf>
    <xf numFmtId="0" fontId="33" fillId="22" borderId="0" applyAlignment="1" pivotButton="0" quotePrefix="0" xfId="0">
      <alignment horizontal="left" vertical="center"/>
    </xf>
    <xf numFmtId="0" fontId="32" fillId="22" borderId="0" applyAlignment="1" pivotButton="0" quotePrefix="0" xfId="0">
      <alignment horizontal="left" vertical="center"/>
    </xf>
    <xf numFmtId="0" fontId="34" fillId="23" borderId="0" applyAlignment="1" pivotButton="0" quotePrefix="0" xfId="0">
      <alignment horizontal="left" vertical="center"/>
    </xf>
    <xf numFmtId="0" fontId="0" fillId="24" borderId="0" pivotButton="0" quotePrefix="0" xfId="0"/>
    <xf numFmtId="0" fontId="32" fillId="25" borderId="25" applyAlignment="1" pivotButton="0" quotePrefix="0" xfId="0">
      <alignment horizontal="left" vertical="center"/>
    </xf>
    <xf numFmtId="0" fontId="32" fillId="25" borderId="25" applyAlignment="1" pivotButton="0" quotePrefix="0" xfId="0">
      <alignment horizontal="center" vertical="center"/>
    </xf>
    <xf numFmtId="0" fontId="34" fillId="23" borderId="25" applyAlignment="1" pivotButton="0" quotePrefix="0" xfId="0">
      <alignment horizontal="left" vertical="center"/>
    </xf>
    <xf numFmtId="3" fontId="34" fillId="23" borderId="25" applyAlignment="1" pivotButton="0" quotePrefix="0" xfId="0">
      <alignment horizontal="right" vertical="center"/>
    </xf>
    <xf numFmtId="0" fontId="34" fillId="24" borderId="25" applyAlignment="1" pivotButton="0" quotePrefix="0" xfId="0">
      <alignment horizontal="left" vertical="center"/>
    </xf>
    <xf numFmtId="3" fontId="34" fillId="24" borderId="25" applyAlignment="1" pivotButton="0" quotePrefix="0" xfId="0">
      <alignment horizontal="right" vertical="center"/>
    </xf>
    <xf numFmtId="3" fontId="32" fillId="22" borderId="25" applyAlignment="1" pivotButton="0" quotePrefix="0" xfId="0">
      <alignment horizontal="right" vertical="center"/>
    </xf>
    <xf numFmtId="0" fontId="37" fillId="23" borderId="19" applyAlignment="1" pivotButton="0" quotePrefix="0" xfId="0">
      <alignment horizontal="left" vertical="center"/>
    </xf>
    <xf numFmtId="3" fontId="34" fillId="18" borderId="25" applyAlignment="1" applyProtection="1" pivotButton="0" quotePrefix="0" xfId="0">
      <alignment horizontal="right" vertical="center"/>
      <protection locked="0" hidden="0"/>
    </xf>
    <xf numFmtId="0" fontId="37" fillId="23" borderId="0" applyAlignment="1" pivotButton="0" quotePrefix="0" xfId="0">
      <alignment horizontal="left" vertical="center"/>
    </xf>
    <xf numFmtId="3" fontId="37" fillId="23" borderId="25" applyAlignment="1" pivotButton="0" quotePrefix="0" xfId="0">
      <alignment horizontal="right" vertical="center"/>
    </xf>
    <xf numFmtId="0" fontId="39" fillId="27" borderId="0" applyAlignment="1" pivotButton="0" quotePrefix="0" xfId="0">
      <alignment horizontal="left" vertical="center"/>
    </xf>
    <xf numFmtId="3" fontId="37" fillId="27" borderId="25" applyAlignment="1" pivotButton="0" quotePrefix="0" xfId="0">
      <alignment horizontal="right" vertical="center"/>
    </xf>
    <xf numFmtId="0" fontId="0" fillId="27" borderId="0" pivotButton="0" quotePrefix="0" xfId="0"/>
    <xf numFmtId="0" fontId="42" fillId="22" borderId="0" applyAlignment="1" pivotButton="0" quotePrefix="0" xfId="0">
      <alignment horizontal="left" vertical="center"/>
    </xf>
    <xf numFmtId="0" fontId="45" fillId="22" borderId="0" applyAlignment="1" pivotButton="0" quotePrefix="0" xfId="0">
      <alignment horizontal="left" vertical="center"/>
    </xf>
    <xf numFmtId="0" fontId="43" fillId="23" borderId="0" applyAlignment="1" pivotButton="0" quotePrefix="0" xfId="0">
      <alignment horizontal="left" vertical="center"/>
    </xf>
    <xf numFmtId="0" fontId="32" fillId="25" borderId="1" applyAlignment="1" pivotButton="0" quotePrefix="0" xfId="0">
      <alignment horizontal="left" vertical="center"/>
    </xf>
    <xf numFmtId="0" fontId="32" fillId="25" borderId="1" applyAlignment="1" pivotButton="0" quotePrefix="0" xfId="0">
      <alignment horizontal="center" vertical="center"/>
    </xf>
    <xf numFmtId="0" fontId="32" fillId="25" borderId="4" applyAlignment="1" pivotButton="0" quotePrefix="0" xfId="0">
      <alignment horizontal="center" vertical="center"/>
    </xf>
    <xf numFmtId="0" fontId="36" fillId="26" borderId="1" applyAlignment="1" pivotButton="0" quotePrefix="0" xfId="0">
      <alignment horizontal="left" vertical="center"/>
    </xf>
    <xf numFmtId="0" fontId="36" fillId="26" borderId="4" applyAlignment="1" pivotButton="0" quotePrefix="0" xfId="0">
      <alignment horizontal="left" vertical="center"/>
    </xf>
    <xf numFmtId="0" fontId="44" fillId="23" borderId="1" applyAlignment="1" pivotButton="0" quotePrefix="0" xfId="0">
      <alignment horizontal="left" vertical="center"/>
    </xf>
    <xf numFmtId="0" fontId="44" fillId="23" borderId="4" applyAlignment="1" pivotButton="0" quotePrefix="0" xfId="0">
      <alignment horizontal="left" vertical="center"/>
    </xf>
    <xf numFmtId="3" fontId="44" fillId="23" borderId="1" applyAlignment="1" pivotButton="0" quotePrefix="0" xfId="0">
      <alignment horizontal="right" vertical="center"/>
    </xf>
    <xf numFmtId="0" fontId="44" fillId="24" borderId="1" applyAlignment="1" pivotButton="0" quotePrefix="0" xfId="0">
      <alignment horizontal="left" vertical="center"/>
    </xf>
    <xf numFmtId="0" fontId="44" fillId="24" borderId="4" applyAlignment="1" pivotButton="0" quotePrefix="0" xfId="0">
      <alignment horizontal="left" vertical="center"/>
    </xf>
    <xf numFmtId="3" fontId="44" fillId="24" borderId="1" applyAlignment="1" pivotButton="0" quotePrefix="0" xfId="0">
      <alignment horizontal="right" vertical="center"/>
    </xf>
    <xf numFmtId="3" fontId="44" fillId="24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left" vertical="center"/>
    </xf>
    <xf numFmtId="0" fontId="25" fillId="23" borderId="4" applyAlignment="1" pivotButton="0" quotePrefix="0" xfId="0">
      <alignment horizontal="left" vertical="center"/>
    </xf>
    <xf numFmtId="3" fontId="25" fillId="23" borderId="1" applyAlignment="1" pivotButton="0" quotePrefix="0" xfId="0">
      <alignment horizontal="right" vertical="center"/>
    </xf>
    <xf numFmtId="0" fontId="27" fillId="23" borderId="22" applyAlignment="1" pivotButton="0" quotePrefix="0" xfId="0">
      <alignment horizontal="left" vertical="center"/>
    </xf>
    <xf numFmtId="3" fontId="27" fillId="23" borderId="22" applyAlignment="1" pivotButton="0" quotePrefix="0" xfId="0">
      <alignment horizontal="right" vertical="center"/>
    </xf>
    <xf numFmtId="3" fontId="44" fillId="23" borderId="2" applyAlignment="1" pivotButton="0" quotePrefix="0" xfId="0">
      <alignment horizontal="right" vertical="center"/>
    </xf>
    <xf numFmtId="0" fontId="19" fillId="24" borderId="1" applyAlignment="1" pivotButton="0" quotePrefix="0" xfId="0">
      <alignment horizontal="left" vertical="center"/>
    </xf>
    <xf numFmtId="0" fontId="19" fillId="24" borderId="4" applyAlignment="1" pivotButton="0" quotePrefix="0" xfId="0">
      <alignment horizontal="left" vertical="center"/>
    </xf>
    <xf numFmtId="3" fontId="19" fillId="24" borderId="1" applyAlignment="1" pivotButton="0" quotePrefix="0" xfId="0">
      <alignment horizontal="right" vertical="center"/>
    </xf>
    <xf numFmtId="0" fontId="30" fillId="23" borderId="0" applyAlignment="1" pivotButton="0" quotePrefix="0" xfId="0">
      <alignment horizontal="left" vertical="center"/>
    </xf>
    <xf numFmtId="0" fontId="44" fillId="23" borderId="0" applyAlignment="1" pivotButton="0" quotePrefix="0" xfId="0">
      <alignment horizontal="left" vertical="center"/>
    </xf>
    <xf numFmtId="3" fontId="30" fillId="23" borderId="0" applyAlignment="1" pivotButton="0" quotePrefix="0" xfId="0">
      <alignment horizontal="right" vertical="center"/>
    </xf>
    <xf numFmtId="3" fontId="44" fillId="23" borderId="0" applyAlignment="1" pivotButton="0" quotePrefix="0" xfId="0">
      <alignment horizontal="right" vertical="center"/>
    </xf>
    <xf numFmtId="14" fontId="42" fillId="22" borderId="0" applyAlignment="1" pivotButton="0" quotePrefix="0" xfId="0">
      <alignment horizontal="left" vertical="center"/>
    </xf>
    <xf numFmtId="1" fontId="45" fillId="22" borderId="0" applyAlignment="1" pivotButton="0" quotePrefix="0" xfId="0">
      <alignment horizontal="left" vertical="center"/>
    </xf>
    <xf numFmtId="3" fontId="45" fillId="22" borderId="0" applyAlignment="1" pivotButton="0" quotePrefix="0" xfId="0">
      <alignment horizontal="left" vertical="center"/>
    </xf>
    <xf numFmtId="1" fontId="43" fillId="23" borderId="0" applyAlignment="1" pivotButton="0" quotePrefix="0" xfId="0">
      <alignment horizontal="center" vertical="center"/>
    </xf>
    <xf numFmtId="3" fontId="43" fillId="23" borderId="0" applyAlignment="1" pivotButton="0" quotePrefix="0" xfId="0">
      <alignment horizontal="center" vertical="center"/>
    </xf>
    <xf numFmtId="0" fontId="43" fillId="23" borderId="0" applyAlignment="1" pivotButton="0" quotePrefix="0" xfId="0">
      <alignment horizontal="center" vertical="center"/>
    </xf>
    <xf numFmtId="1" fontId="43" fillId="23" borderId="0" applyAlignment="1" pivotButton="0" quotePrefix="0" xfId="0">
      <alignment horizontal="left" vertical="center"/>
    </xf>
    <xf numFmtId="1" fontId="32" fillId="25" borderId="13" applyAlignment="1" pivotButton="0" quotePrefix="0" xfId="0">
      <alignment horizontal="left" vertical="center"/>
    </xf>
    <xf numFmtId="1" fontId="32" fillId="25" borderId="13" applyAlignment="1" pivotButton="0" quotePrefix="0" xfId="0">
      <alignment horizontal="center" vertical="center"/>
    </xf>
    <xf numFmtId="3" fontId="32" fillId="25" borderId="13" applyAlignment="1" pivotButton="0" quotePrefix="0" xfId="0">
      <alignment horizontal="center" vertical="center"/>
    </xf>
    <xf numFmtId="0" fontId="32" fillId="25" borderId="0" applyAlignment="1" pivotButton="0" quotePrefix="0" xfId="0">
      <alignment horizontal="center" vertical="center"/>
    </xf>
    <xf numFmtId="0" fontId="44" fillId="24" borderId="14" applyAlignment="1" pivotButton="0" quotePrefix="0" xfId="0">
      <alignment horizontal="left" vertical="center"/>
    </xf>
    <xf numFmtId="3" fontId="44" fillId="24" borderId="14" applyAlignment="1" pivotButton="0" quotePrefix="0" xfId="0">
      <alignment horizontal="right" vertical="center"/>
    </xf>
    <xf numFmtId="0" fontId="44" fillId="23" borderId="14" applyAlignment="1" pivotButton="0" quotePrefix="0" xfId="0">
      <alignment horizontal="left" vertical="center"/>
    </xf>
    <xf numFmtId="3" fontId="44" fillId="23" borderId="14" applyAlignment="1" pivotButton="0" quotePrefix="0" xfId="0">
      <alignment horizontal="right" vertical="center"/>
    </xf>
    <xf numFmtId="0" fontId="44" fillId="24" borderId="0" applyAlignment="1" pivotButton="0" quotePrefix="0" xfId="0">
      <alignment horizontal="left" vertical="center"/>
    </xf>
    <xf numFmtId="3" fontId="44" fillId="24" borderId="0" applyAlignment="1" pivotButton="0" quotePrefix="0" xfId="0">
      <alignment horizontal="right" vertical="center"/>
    </xf>
    <xf numFmtId="3" fontId="43" fillId="23" borderId="0" pivotButton="0" quotePrefix="0" xfId="0"/>
    <xf numFmtId="3" fontId="0" fillId="24" borderId="0" pivotButton="0" quotePrefix="0" xfId="0"/>
    <xf numFmtId="0" fontId="32" fillId="25" borderId="15" applyAlignment="1" pivotButton="0" quotePrefix="0" xfId="0">
      <alignment horizontal="left" vertical="center"/>
    </xf>
    <xf numFmtId="0" fontId="32" fillId="25" borderId="15" applyAlignment="1" pivotButton="0" quotePrefix="0" xfId="0">
      <alignment horizontal="center" vertical="center"/>
    </xf>
    <xf numFmtId="3" fontId="32" fillId="25" borderId="15" applyAlignment="1" pivotButton="0" quotePrefix="0" xfId="0">
      <alignment horizontal="center" vertical="center"/>
    </xf>
    <xf numFmtId="0" fontId="44" fillId="24" borderId="16" applyAlignment="1" pivotButton="0" quotePrefix="0" xfId="0">
      <alignment horizontal="left" vertical="center"/>
    </xf>
    <xf numFmtId="3" fontId="44" fillId="24" borderId="16" applyAlignment="1" pivotButton="0" quotePrefix="0" xfId="0">
      <alignment horizontal="right" vertical="center"/>
    </xf>
    <xf numFmtId="0" fontId="44" fillId="23" borderId="16" applyAlignment="1" pivotButton="0" quotePrefix="0" xfId="0">
      <alignment horizontal="left" vertical="center"/>
    </xf>
    <xf numFmtId="3" fontId="44" fillId="23" borderId="16" applyAlignment="1" pivotButton="0" quotePrefix="0" xfId="0">
      <alignment horizontal="right" vertical="center"/>
    </xf>
    <xf numFmtId="0" fontId="21" fillId="23" borderId="20" applyAlignment="1" pivotButton="0" quotePrefix="0" xfId="0">
      <alignment horizontal="left" vertical="center"/>
    </xf>
    <xf numFmtId="3" fontId="21" fillId="23" borderId="16" applyAlignment="1" pivotButton="0" quotePrefix="0" xfId="0">
      <alignment horizontal="right" vertical="center"/>
    </xf>
    <xf numFmtId="0" fontId="22" fillId="24" borderId="20" applyAlignment="1" pivotButton="0" quotePrefix="0" xfId="0">
      <alignment horizontal="left" vertical="center"/>
    </xf>
    <xf numFmtId="3" fontId="22" fillId="24" borderId="16" applyAlignment="1" pivotButton="0" quotePrefix="0" xfId="0">
      <alignment horizontal="right" vertical="center"/>
    </xf>
    <xf numFmtId="0" fontId="23" fillId="23" borderId="20" applyAlignment="1" pivotButton="0" quotePrefix="0" xfId="0">
      <alignment horizontal="left" vertical="center"/>
    </xf>
    <xf numFmtId="3" fontId="23" fillId="23" borderId="16" applyAlignment="1" pivotButton="0" quotePrefix="0" xfId="0">
      <alignment horizontal="right" vertical="center"/>
    </xf>
    <xf numFmtId="3" fontId="43" fillId="23" borderId="0" applyAlignment="1" pivotButton="0" quotePrefix="0" xfId="0">
      <alignment horizontal="left" vertical="center"/>
    </xf>
    <xf numFmtId="0" fontId="32" fillId="22" borderId="16" applyAlignment="1" pivotButton="0" quotePrefix="0" xfId="0">
      <alignment horizontal="left" vertical="center"/>
    </xf>
    <xf numFmtId="3" fontId="32" fillId="22" borderId="16" applyAlignment="1" pivotButton="0" quotePrefix="0" xfId="0">
      <alignment horizontal="right" vertical="center"/>
    </xf>
    <xf numFmtId="0" fontId="46" fillId="27" borderId="16" applyAlignment="1" pivotButton="0" quotePrefix="0" xfId="0">
      <alignment horizontal="left" vertical="center"/>
    </xf>
    <xf numFmtId="3" fontId="46" fillId="27" borderId="16" applyAlignment="1" pivotButton="0" quotePrefix="0" xfId="0">
      <alignment horizontal="left" vertical="center"/>
    </xf>
    <xf numFmtId="0" fontId="46" fillId="27" borderId="0" applyAlignment="1" pivotButton="0" quotePrefix="0" xfId="0">
      <alignment horizontal="left" vertical="center"/>
    </xf>
    <xf numFmtId="0" fontId="42" fillId="22" borderId="0" applyAlignment="1" applyProtection="1" pivotButton="0" quotePrefix="0" xfId="0">
      <alignment horizontal="left" vertical="center"/>
      <protection locked="0" hidden="0"/>
    </xf>
    <xf numFmtId="0" fontId="43" fillId="23" borderId="0" applyAlignment="1" applyProtection="1" pivotButton="0" quotePrefix="0" xfId="0">
      <alignment horizontal="left" vertical="center"/>
      <protection locked="0" hidden="0"/>
    </xf>
    <xf numFmtId="0" fontId="43" fillId="23" borderId="0" applyAlignment="1" applyProtection="1" pivotButton="0" quotePrefix="1" xfId="0">
      <alignment horizontal="left" vertical="center"/>
      <protection locked="0" hidden="0"/>
    </xf>
    <xf numFmtId="0" fontId="47" fillId="24" borderId="0" applyAlignment="1" applyProtection="1" pivotButton="0" quotePrefix="0" xfId="0">
      <alignment horizontal="left" vertical="center"/>
      <protection locked="0" hidden="0"/>
    </xf>
    <xf numFmtId="0" fontId="47" fillId="24" borderId="0" applyAlignment="1" applyProtection="1" pivotButton="0" quotePrefix="1" xfId="0">
      <alignment horizontal="left" vertical="center"/>
      <protection locked="0" hidden="0"/>
    </xf>
    <xf numFmtId="0" fontId="47" fillId="24" borderId="0" applyAlignment="1" pivotButton="0" quotePrefix="0" xfId="0">
      <alignment horizontal="left" vertical="center"/>
    </xf>
    <xf numFmtId="164" fontId="47" fillId="24" borderId="0" applyAlignment="1" applyProtection="1" pivotButton="0" quotePrefix="0" xfId="0">
      <alignment horizontal="left" vertical="center"/>
      <protection locked="0" hidden="0"/>
    </xf>
    <xf numFmtId="0" fontId="33" fillId="22" borderId="0" applyAlignment="1" applyProtection="1" pivotButton="0" quotePrefix="0" xfId="0">
      <alignment horizontal="left" vertical="center"/>
      <protection locked="0" hidden="0"/>
    </xf>
    <xf numFmtId="164" fontId="33" fillId="22" borderId="0" applyAlignment="1" applyProtection="1" pivotButton="0" quotePrefix="0" xfId="0">
      <alignment horizontal="left" vertical="center"/>
      <protection locked="0" hidden="0"/>
    </xf>
    <xf numFmtId="0" fontId="46" fillId="23" borderId="0" applyAlignment="1" applyProtection="1" pivotButton="0" quotePrefix="0" xfId="0">
      <alignment horizontal="left" vertical="center"/>
      <protection locked="0" hidden="0"/>
    </xf>
    <xf numFmtId="0" fontId="44" fillId="23" borderId="0" applyAlignment="1" applyProtection="1" pivotButton="0" quotePrefix="0" xfId="0">
      <alignment horizontal="left" vertical="center"/>
      <protection locked="0" hidden="0"/>
    </xf>
    <xf numFmtId="164" fontId="44" fillId="23" borderId="0" applyAlignment="1" applyProtection="1" pivotButton="0" quotePrefix="0" xfId="0">
      <alignment horizontal="left" vertical="center"/>
      <protection locked="0" hidden="0"/>
    </xf>
    <xf numFmtId="0" fontId="44" fillId="18" borderId="0" applyAlignment="1" applyProtection="1" pivotButton="0" quotePrefix="0" xfId="0">
      <alignment horizontal="left" vertical="center"/>
      <protection locked="0" hidden="0"/>
    </xf>
    <xf numFmtId="0" fontId="46" fillId="18" borderId="0" applyAlignment="1" applyProtection="1" pivotButton="0" quotePrefix="0" xfId="0">
      <alignment horizontal="left" vertical="center"/>
      <protection locked="0" hidden="0"/>
    </xf>
    <xf numFmtId="164" fontId="46" fillId="23" borderId="0" applyAlignment="1" applyProtection="1" pivotButton="0" quotePrefix="0" xfId="0">
      <alignment horizontal="left" vertical="center"/>
      <protection locked="0" hidden="0"/>
    </xf>
    <xf numFmtId="0" fontId="46" fillId="23" borderId="0" applyAlignment="1" pivotButton="0" quotePrefix="0" xfId="0">
      <alignment horizontal="left" vertical="center"/>
    </xf>
    <xf numFmtId="0" fontId="46" fillId="23" borderId="0" applyAlignment="1" applyProtection="1" pivotButton="0" quotePrefix="1" xfId="0">
      <alignment horizontal="left" vertical="center"/>
      <protection locked="0" hidden="0"/>
    </xf>
    <xf numFmtId="0" fontId="4" fillId="24" borderId="0" applyAlignment="1" applyProtection="1" pivotButton="0" quotePrefix="0" xfId="0">
      <alignment horizontal="left"/>
      <protection locked="0" hidden="0"/>
    </xf>
    <xf numFmtId="0" fontId="4" fillId="24" borderId="0" applyAlignment="1" applyProtection="1" pivotButton="0" quotePrefix="0" xfId="0">
      <alignment horizontal="center"/>
      <protection locked="0" hidden="0"/>
    </xf>
    <xf numFmtId="164" fontId="4" fillId="24" borderId="0" applyAlignment="1" applyProtection="1" pivotButton="0" quotePrefix="0" xfId="0">
      <alignment horizontal="left"/>
      <protection locked="0" hidden="0"/>
    </xf>
    <xf numFmtId="0" fontId="4" fillId="24" borderId="0" applyAlignment="1" applyProtection="1" pivotButton="0" quotePrefix="0" xfId="0">
      <alignment horizontal="right"/>
      <protection locked="0" hidden="0"/>
    </xf>
    <xf numFmtId="0" fontId="4" fillId="24" borderId="0" applyProtection="1" pivotButton="0" quotePrefix="0" xfId="0">
      <protection locked="0" hidden="0"/>
    </xf>
    <xf numFmtId="0" fontId="32" fillId="25" borderId="1" applyAlignment="1" applyProtection="1" pivotButton="0" quotePrefix="0" xfId="0">
      <alignment horizontal="left" vertical="center" wrapText="1"/>
      <protection locked="0" hidden="0"/>
    </xf>
    <xf numFmtId="0" fontId="32" fillId="25" borderId="1" applyAlignment="1" applyProtection="1" pivotButton="0" quotePrefix="0" xfId="0">
      <alignment horizontal="center" vertical="center" wrapText="1"/>
      <protection locked="0" hidden="0"/>
    </xf>
    <xf numFmtId="0" fontId="32" fillId="25" borderId="0" applyAlignment="1" applyProtection="1" pivotButton="0" quotePrefix="0" xfId="0">
      <alignment horizontal="center" vertical="center" wrapText="1"/>
      <protection locked="0" hidden="0"/>
    </xf>
    <xf numFmtId="1" fontId="32" fillId="25" borderId="0" applyAlignment="1" applyProtection="1" pivotButton="0" quotePrefix="0" xfId="0">
      <alignment horizontal="center" vertical="center" wrapText="1"/>
      <protection locked="0" hidden="0"/>
    </xf>
    <xf numFmtId="164" fontId="32" fillId="25" borderId="1" applyAlignment="1" applyProtection="1" pivotButton="0" quotePrefix="0" xfId="0">
      <alignment horizontal="center" vertical="center" wrapText="1"/>
      <protection locked="0" hidden="0"/>
    </xf>
    <xf numFmtId="0" fontId="32" fillId="25" borderId="0" applyAlignment="1" pivotButton="0" quotePrefix="0" xfId="0">
      <alignment horizontal="center" vertical="center" wrapText="1"/>
    </xf>
    <xf numFmtId="0" fontId="32" fillId="25" borderId="3" applyAlignment="1" applyProtection="1" pivotButton="0" quotePrefix="0" xfId="0">
      <alignment horizontal="center" vertical="center" wrapText="1"/>
      <protection locked="0" hidden="0"/>
    </xf>
    <xf numFmtId="0" fontId="32" fillId="25" borderId="4" applyAlignment="1" applyProtection="1" pivotButton="0" quotePrefix="0" xfId="0">
      <alignment horizontal="center" vertical="center" wrapText="1"/>
      <protection locked="0" hidden="0"/>
    </xf>
    <xf numFmtId="1" fontId="32" fillId="25" borderId="1" applyAlignment="1" applyProtection="1" pivotButton="0" quotePrefix="0" xfId="0">
      <alignment horizontal="center" vertical="center" wrapText="1"/>
      <protection locked="0" hidden="0"/>
    </xf>
    <xf numFmtId="0" fontId="36" fillId="31" borderId="0" pivotButton="0" quotePrefix="0" xfId="0"/>
    <xf numFmtId="0" fontId="44" fillId="24" borderId="1" applyAlignment="1" applyProtection="1" pivotButton="0" quotePrefix="0" xfId="0">
      <alignment horizontal="left" vertical="center"/>
      <protection locked="0" hidden="0"/>
    </xf>
    <xf numFmtId="0" fontId="44" fillId="30" borderId="1" applyAlignment="1" applyProtection="1" pivotButton="0" quotePrefix="0" xfId="0">
      <alignment horizontal="left" vertical="center"/>
      <protection locked="0" hidden="0"/>
    </xf>
    <xf numFmtId="0" fontId="44" fillId="24" borderId="4" applyAlignment="1" applyProtection="1" pivotButton="0" quotePrefix="0" xfId="0">
      <alignment horizontal="left" vertical="center"/>
      <protection locked="0" hidden="0"/>
    </xf>
    <xf numFmtId="164" fontId="44" fillId="24" borderId="1" applyAlignment="1" applyProtection="1" pivotButton="0" quotePrefix="0" xfId="0">
      <alignment horizontal="left" vertical="center"/>
      <protection locked="0" hidden="0"/>
    </xf>
    <xf numFmtId="3" fontId="44" fillId="30" borderId="1" applyAlignment="1" applyProtection="1" pivotButton="0" quotePrefix="0" xfId="0">
      <alignment horizontal="right" vertical="center"/>
      <protection locked="0" hidden="0"/>
    </xf>
    <xf numFmtId="164" fontId="44" fillId="23" borderId="1" applyAlignment="1" pivotButton="0" quotePrefix="0" xfId="0">
      <alignment horizontal="left" vertical="center"/>
    </xf>
    <xf numFmtId="164" fontId="44" fillId="24" borderId="1" applyAlignment="1" pivotButton="0" quotePrefix="0" xfId="0">
      <alignment horizontal="left" vertical="center"/>
    </xf>
    <xf numFmtId="3" fontId="44" fillId="30" borderId="2" applyAlignment="1" applyProtection="1" pivotButton="0" quotePrefix="0" xfId="0">
      <alignment horizontal="right" vertical="center"/>
      <protection locked="0" hidden="0"/>
    </xf>
    <xf numFmtId="0" fontId="32" fillId="22" borderId="1" applyAlignment="1" applyProtection="1" pivotButton="0" quotePrefix="0" xfId="0">
      <alignment horizontal="left" vertical="center"/>
      <protection locked="0" hidden="0"/>
    </xf>
    <xf numFmtId="0" fontId="32" fillId="22" borderId="3" applyAlignment="1" applyProtection="1" pivotButton="0" quotePrefix="0" xfId="0">
      <alignment horizontal="left" vertical="center"/>
      <protection locked="0" hidden="0"/>
    </xf>
    <xf numFmtId="0" fontId="32" fillId="22" borderId="4" applyAlignment="1" applyProtection="1" pivotButton="0" quotePrefix="0" xfId="0">
      <alignment horizontal="left" vertical="center"/>
      <protection locked="0" hidden="0"/>
    </xf>
    <xf numFmtId="164" fontId="32" fillId="22" borderId="1" applyAlignment="1" applyProtection="1" pivotButton="0" quotePrefix="0" xfId="0">
      <alignment horizontal="left" vertical="center"/>
      <protection locked="0" hidden="0"/>
    </xf>
    <xf numFmtId="3" fontId="32" fillId="22" borderId="1" applyAlignment="1" applyProtection="1" pivotButton="0" quotePrefix="0" xfId="0">
      <alignment horizontal="right" vertical="center"/>
      <protection locked="0" hidden="0"/>
    </xf>
    <xf numFmtId="0" fontId="44" fillId="23" borderId="1" applyAlignment="1" pivotButton="0" quotePrefix="1" xfId="0">
      <alignment horizontal="left" vertical="center"/>
    </xf>
    <xf numFmtId="0" fontId="44" fillId="23" borderId="1" applyAlignment="1" applyProtection="1" pivotButton="0" quotePrefix="0" xfId="0">
      <alignment horizontal="left" vertical="center"/>
      <protection locked="0" hidden="0"/>
    </xf>
    <xf numFmtId="0" fontId="44" fillId="23" borderId="4" applyAlignment="1" applyProtection="1" pivotButton="0" quotePrefix="0" xfId="0">
      <alignment horizontal="left" vertical="center"/>
      <protection locked="0" hidden="0"/>
    </xf>
    <xf numFmtId="0" fontId="44" fillId="24" borderId="1" applyAlignment="1" pivotButton="0" quotePrefix="1" xfId="0">
      <alignment horizontal="left" vertical="center"/>
    </xf>
    <xf numFmtId="0" fontId="49" fillId="27" borderId="0" applyAlignment="1" applyProtection="1" pivotButton="0" quotePrefix="0" xfId="0">
      <alignment horizontal="left" vertical="center"/>
      <protection locked="0" hidden="0"/>
    </xf>
    <xf numFmtId="3" fontId="49" fillId="27" borderId="0" applyAlignment="1" applyProtection="1" pivotButton="0" quotePrefix="0" xfId="0">
      <alignment horizontal="right" vertical="center"/>
      <protection locked="0" hidden="0"/>
    </xf>
    <xf numFmtId="0" fontId="49" fillId="27" borderId="0" applyAlignment="1" pivotButton="0" quotePrefix="0" xfId="0">
      <alignment horizontal="right" vertical="center"/>
    </xf>
    <xf numFmtId="0" fontId="48" fillId="32" borderId="0" pivotButton="0" quotePrefix="0" xfId="0"/>
    <xf numFmtId="0" fontId="40" fillId="33" borderId="0" pivotButton="0" quotePrefix="0" xfId="0"/>
    <xf numFmtId="0" fontId="51" fillId="22" borderId="0" applyAlignment="1" applyProtection="1" pivotButton="0" quotePrefix="0" xfId="0">
      <alignment horizontal="left" vertical="center"/>
      <protection locked="0" hidden="0"/>
    </xf>
    <xf numFmtId="0" fontId="50" fillId="18" borderId="0" applyAlignment="1" applyProtection="1" pivotButton="0" quotePrefix="0" xfId="0">
      <alignment horizontal="left" vertical="center"/>
      <protection locked="0" hidden="0"/>
    </xf>
    <xf numFmtId="0" fontId="36" fillId="31" borderId="1" applyAlignment="1" applyProtection="1" pivotButton="0" quotePrefix="0" xfId="0">
      <alignment horizontal="left" vertical="center"/>
      <protection locked="0" hidden="0"/>
    </xf>
    <xf numFmtId="0" fontId="36" fillId="31" borderId="3" applyAlignment="1" applyProtection="1" pivotButton="0" quotePrefix="0" xfId="0">
      <alignment horizontal="left" vertical="center"/>
      <protection locked="0" hidden="0"/>
    </xf>
    <xf numFmtId="0" fontId="36" fillId="31" borderId="4" applyAlignment="1" applyProtection="1" pivotButton="0" quotePrefix="0" xfId="0">
      <alignment horizontal="left" vertical="center"/>
      <protection locked="0" hidden="0"/>
    </xf>
    <xf numFmtId="1" fontId="36" fillId="31" borderId="1" applyAlignment="1" applyProtection="1" pivotButton="0" quotePrefix="0" xfId="0">
      <alignment horizontal="left" vertical="center"/>
      <protection locked="0" hidden="0"/>
    </xf>
    <xf numFmtId="164" fontId="36" fillId="31" borderId="1" applyAlignment="1" applyProtection="1" pivotButton="0" quotePrefix="0" xfId="0">
      <alignment horizontal="left" vertical="center"/>
      <protection locked="0" hidden="0"/>
    </xf>
    <xf numFmtId="0" fontId="41" fillId="29" borderId="21" applyAlignment="1" applyProtection="1" pivotButton="0" quotePrefix="0" xfId="0">
      <alignment horizontal="left" vertical="center"/>
      <protection locked="0" hidden="0"/>
    </xf>
    <xf numFmtId="1" fontId="41" fillId="29" borderId="21" applyAlignment="1" applyProtection="1" pivotButton="0" quotePrefix="0" xfId="0">
      <alignment horizontal="left" vertical="center"/>
      <protection locked="0" hidden="0"/>
    </xf>
    <xf numFmtId="164" fontId="41" fillId="29" borderId="21" applyAlignment="1" applyProtection="1" pivotButton="0" quotePrefix="0" xfId="0">
      <alignment horizontal="left" vertical="center"/>
      <protection locked="0" hidden="0"/>
    </xf>
    <xf numFmtId="1" fontId="49" fillId="27" borderId="0" applyAlignment="1" applyProtection="1" pivotButton="0" quotePrefix="0" xfId="0">
      <alignment horizontal="left" vertical="center"/>
      <protection locked="0" hidden="0"/>
    </xf>
    <xf numFmtId="164" fontId="49" fillId="27" borderId="0" applyAlignment="1" applyProtection="1" pivotButton="0" quotePrefix="0" xfId="0">
      <alignment horizontal="left" vertical="center"/>
      <protection locked="0" hidden="0"/>
    </xf>
    <xf numFmtId="0" fontId="48" fillId="32" borderId="1" applyAlignment="1" applyProtection="1" pivotButton="0" quotePrefix="0" xfId="0">
      <alignment horizontal="left" vertical="center"/>
      <protection locked="0" hidden="0"/>
    </xf>
    <xf numFmtId="0" fontId="48" fillId="32" borderId="3" applyAlignment="1" applyProtection="1" pivotButton="0" quotePrefix="0" xfId="0">
      <alignment horizontal="left" vertical="center"/>
      <protection locked="0" hidden="0"/>
    </xf>
    <xf numFmtId="0" fontId="48" fillId="32" borderId="4" applyAlignment="1" applyProtection="1" pivotButton="0" quotePrefix="0" xfId="0">
      <alignment horizontal="left" vertical="center"/>
      <protection locked="0" hidden="0"/>
    </xf>
    <xf numFmtId="1" fontId="48" fillId="32" borderId="1" applyAlignment="1" applyProtection="1" pivotButton="0" quotePrefix="0" xfId="0">
      <alignment horizontal="left" vertical="center"/>
      <protection locked="0" hidden="0"/>
    </xf>
    <xf numFmtId="164" fontId="48" fillId="32" borderId="1" applyAlignment="1" applyProtection="1" pivotButton="0" quotePrefix="0" xfId="0">
      <alignment horizontal="left" vertical="center"/>
      <protection locked="0" hidden="0"/>
    </xf>
    <xf numFmtId="0" fontId="44" fillId="30" borderId="1" applyAlignment="1" pivotButton="0" quotePrefix="0" xfId="0">
      <alignment horizontal="left" vertical="center"/>
    </xf>
    <xf numFmtId="0" fontId="40" fillId="33" borderId="1" applyAlignment="1" applyProtection="1" pivotButton="0" quotePrefix="0" xfId="0">
      <alignment horizontal="left" vertical="center"/>
      <protection locked="0" hidden="0"/>
    </xf>
    <xf numFmtId="0" fontId="40" fillId="33" borderId="3" applyAlignment="1" applyProtection="1" pivotButton="0" quotePrefix="0" xfId="0">
      <alignment horizontal="left" vertical="center"/>
      <protection locked="0" hidden="0"/>
    </xf>
    <xf numFmtId="0" fontId="40" fillId="33" borderId="4" applyAlignment="1" applyProtection="1" pivotButton="0" quotePrefix="0" xfId="0">
      <alignment horizontal="left" vertical="center"/>
      <protection locked="0" hidden="0"/>
    </xf>
    <xf numFmtId="1" fontId="40" fillId="33" borderId="1" applyAlignment="1" applyProtection="1" pivotButton="0" quotePrefix="0" xfId="0">
      <alignment horizontal="left" vertical="center"/>
      <protection locked="0" hidden="0"/>
    </xf>
    <xf numFmtId="164" fontId="40" fillId="33" borderId="1" applyAlignment="1" applyProtection="1" pivotButton="0" quotePrefix="0" xfId="0">
      <alignment horizontal="left" vertical="center"/>
      <protection locked="0" hidden="0"/>
    </xf>
    <xf numFmtId="0" fontId="49" fillId="27" borderId="1" applyAlignment="1" applyProtection="1" pivotButton="0" quotePrefix="0" xfId="0">
      <alignment horizontal="left" vertical="center"/>
      <protection locked="0" hidden="0"/>
    </xf>
    <xf numFmtId="0" fontId="49" fillId="27" borderId="3" applyAlignment="1" applyProtection="1" pivotButton="0" quotePrefix="0" xfId="0">
      <alignment horizontal="left" vertical="center"/>
      <protection locked="0" hidden="0"/>
    </xf>
    <xf numFmtId="0" fontId="49" fillId="27" borderId="4" applyAlignment="1" applyProtection="1" pivotButton="0" quotePrefix="0" xfId="0">
      <alignment horizontal="left" vertical="center"/>
      <protection locked="0" hidden="0"/>
    </xf>
    <xf numFmtId="3" fontId="49" fillId="27" borderId="1" applyAlignment="1" applyProtection="1" pivotButton="0" quotePrefix="0" xfId="0">
      <alignment horizontal="right" vertical="center"/>
      <protection locked="0" hidden="0"/>
    </xf>
    <xf numFmtId="1" fontId="49" fillId="27" borderId="1" applyAlignment="1" applyProtection="1" pivotButton="0" quotePrefix="0" xfId="0">
      <alignment horizontal="left" vertical="center"/>
      <protection locked="0" hidden="0"/>
    </xf>
    <xf numFmtId="164" fontId="49" fillId="27" borderId="1" applyAlignment="1" applyProtection="1" pivotButton="0" quotePrefix="0" xfId="0">
      <alignment horizontal="left" vertical="center"/>
      <protection locked="0" hidden="0"/>
    </xf>
    <xf numFmtId="0" fontId="44" fillId="30" borderId="3" applyAlignment="1" applyProtection="1" pivotButton="0" quotePrefix="0" xfId="0">
      <alignment horizontal="left" vertical="center"/>
      <protection locked="0" hidden="0"/>
    </xf>
    <xf numFmtId="1" fontId="32" fillId="22" borderId="1" applyAlignment="1" applyProtection="1" pivotButton="0" quotePrefix="0" xfId="0">
      <alignment horizontal="right" vertical="center"/>
      <protection locked="0" hidden="0"/>
    </xf>
    <xf numFmtId="0" fontId="32" fillId="22" borderId="3" applyAlignment="1" applyProtection="1" pivotButton="0" quotePrefix="0" xfId="0">
      <alignment horizontal="right" vertical="center"/>
      <protection locked="0" hidden="0"/>
    </xf>
    <xf numFmtId="0" fontId="52" fillId="25" borderId="1" applyAlignment="1" applyProtection="1" pivotButton="0" quotePrefix="0" xfId="0">
      <alignment horizontal="center" vertical="center" wrapText="1"/>
      <protection locked="0" hidden="0"/>
    </xf>
    <xf numFmtId="0" fontId="52" fillId="25" borderId="3" applyAlignment="1" applyProtection="1" pivotButton="0" quotePrefix="0" xfId="0">
      <alignment horizontal="center" vertical="center" wrapText="1"/>
      <protection locked="0" hidden="0"/>
    </xf>
    <xf numFmtId="1" fontId="44" fillId="0" borderId="1" applyAlignment="1" applyProtection="1" pivotButton="0" quotePrefix="0" xfId="0">
      <alignment horizontal="left" vertical="center"/>
      <protection locked="0" hidden="0"/>
    </xf>
    <xf numFmtId="0" fontId="44" fillId="30" borderId="3" applyAlignment="1" pivotButton="0" quotePrefix="0" xfId="0">
      <alignment horizontal="left" vertical="center"/>
    </xf>
    <xf numFmtId="1" fontId="44" fillId="0" borderId="3" applyAlignment="1" applyProtection="1" pivotButton="0" quotePrefix="0" xfId="0">
      <alignment horizontal="left" vertical="center"/>
      <protection locked="0" hidden="0"/>
    </xf>
    <xf numFmtId="0" fontId="53" fillId="34" borderId="1" applyAlignment="1" applyProtection="1" pivotButton="0" quotePrefix="0" xfId="0">
      <alignment horizontal="left" vertical="center"/>
      <protection locked="0" hidden="0"/>
    </xf>
    <xf numFmtId="0" fontId="4" fillId="34" borderId="1" applyAlignment="1" pivotButton="0" quotePrefix="0" xfId="0">
      <alignment horizontal="center"/>
    </xf>
    <xf numFmtId="0" fontId="4" fillId="34" borderId="1" applyAlignment="1" pivotButton="0" quotePrefix="0" xfId="0">
      <alignment horizontal="left" vertical="top" wrapText="1"/>
    </xf>
    <xf numFmtId="0" fontId="4" fillId="34" borderId="3" applyAlignment="1" pivotButton="0" quotePrefix="0" xfId="0">
      <alignment horizontal="center"/>
    </xf>
    <xf numFmtId="0" fontId="4" fillId="34" borderId="4" applyAlignment="1" applyProtection="1" pivotButton="0" quotePrefix="0" xfId="0">
      <alignment horizontal="left" vertical="top" wrapText="1"/>
      <protection locked="0" hidden="0"/>
    </xf>
    <xf numFmtId="0" fontId="4" fillId="34" borderId="1" applyAlignment="1" applyProtection="1" pivotButton="0" quotePrefix="0" xfId="0">
      <alignment horizontal="right"/>
      <protection locked="0" hidden="0"/>
    </xf>
    <xf numFmtId="1" fontId="4" fillId="34" borderId="1" applyAlignment="1" applyProtection="1" pivotButton="0" quotePrefix="0" xfId="0">
      <alignment horizontal="center"/>
      <protection locked="0" hidden="0"/>
    </xf>
    <xf numFmtId="164" fontId="7" fillId="34" borderId="1" applyAlignment="1" pivotButton="0" quotePrefix="0" xfId="0">
      <alignment vertical="top" wrapText="1"/>
    </xf>
    <xf numFmtId="0" fontId="7" fillId="34" borderId="3" applyAlignment="1" applyProtection="1" pivotButton="0" quotePrefix="0" xfId="0">
      <alignment horizontal="center"/>
      <protection locked="0" hidden="0"/>
    </xf>
    <xf numFmtId="0" fontId="7" fillId="34" borderId="3" applyAlignment="1" applyProtection="1" pivotButton="0" quotePrefix="0" xfId="0">
      <alignment vertical="top" wrapText="1"/>
      <protection locked="0" hidden="0"/>
    </xf>
    <xf numFmtId="0" fontId="0" fillId="34" borderId="0" pivotButton="0" quotePrefix="0" xfId="0"/>
    <xf numFmtId="0" fontId="2" fillId="34" borderId="0" applyProtection="1" pivotButton="0" quotePrefix="0" xfId="0">
      <protection locked="0" hidden="0"/>
    </xf>
    <xf numFmtId="0" fontId="4" fillId="23" borderId="1" applyAlignment="1" applyProtection="1" pivotButton="0" quotePrefix="0" xfId="0">
      <alignment horizontal="left" vertical="top" wrapText="1"/>
      <protection locked="0" hidden="0"/>
    </xf>
    <xf numFmtId="0" fontId="4" fillId="23" borderId="1" applyAlignment="1" pivotButton="0" quotePrefix="0" xfId="0">
      <alignment horizontal="left" vertical="top" wrapText="1"/>
    </xf>
    <xf numFmtId="0" fontId="4" fillId="18" borderId="1" applyAlignment="1" pivotButton="0" quotePrefix="0" xfId="0">
      <alignment horizontal="center"/>
    </xf>
    <xf numFmtId="0" fontId="4" fillId="30" borderId="3" applyAlignment="1" pivotButton="0" quotePrefix="0" xfId="0">
      <alignment horizontal="center"/>
    </xf>
    <xf numFmtId="0" fontId="4" fillId="23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pivotButton="0" quotePrefix="0" xfId="0">
      <alignment vertical="top" wrapText="1"/>
    </xf>
    <xf numFmtId="0" fontId="7" fillId="30" borderId="3" applyAlignment="1" applyProtection="1" pivotButton="0" quotePrefix="0" xfId="0">
      <alignment horizontal="center"/>
      <protection locked="0" hidden="0"/>
    </xf>
    <xf numFmtId="0" fontId="7" fillId="30" borderId="3" applyAlignment="1" applyProtection="1" pivotButton="0" quotePrefix="0" xfId="0">
      <alignment vertical="top" wrapText="1"/>
      <protection locked="0" hidden="0"/>
    </xf>
    <xf numFmtId="0" fontId="4" fillId="24" borderId="1" applyAlignment="1" applyProtection="1" pivotButton="0" quotePrefix="0" xfId="0">
      <alignment horizontal="left" vertical="top" wrapText="1"/>
      <protection locked="0" hidden="0"/>
    </xf>
    <xf numFmtId="0" fontId="4" fillId="24" borderId="1" applyAlignment="1" pivotButton="0" quotePrefix="0" xfId="0">
      <alignment horizontal="left" vertical="top" wrapText="1"/>
    </xf>
    <xf numFmtId="0" fontId="4" fillId="24" borderId="4" applyAlignment="1" applyProtection="1" pivotButton="0" quotePrefix="0" xfId="0">
      <alignment horizontal="left" vertical="top" wrapText="1"/>
      <protection locked="0" hidden="0"/>
    </xf>
    <xf numFmtId="0" fontId="52" fillId="22" borderId="1" applyAlignment="1" applyProtection="1" pivotButton="0" quotePrefix="0" xfId="0">
      <alignment horizontal="left" vertical="top" wrapText="1"/>
      <protection locked="0" hidden="0"/>
    </xf>
    <xf numFmtId="0" fontId="52" fillId="22" borderId="1" applyAlignment="1" applyProtection="1" pivotButton="0" quotePrefix="0" xfId="0">
      <alignment horizontal="center"/>
      <protection locked="0" hidden="0"/>
    </xf>
    <xf numFmtId="0" fontId="52" fillId="22" borderId="3" applyAlignment="1" applyProtection="1" pivotButton="0" quotePrefix="0" xfId="0">
      <alignment horizontal="center"/>
      <protection locked="0" hidden="0"/>
    </xf>
    <xf numFmtId="0" fontId="52" fillId="22" borderId="4" applyAlignment="1" applyProtection="1" pivotButton="0" quotePrefix="0" xfId="0">
      <alignment horizontal="left" vertical="top" wrapText="1"/>
      <protection locked="0" hidden="0"/>
    </xf>
    <xf numFmtId="0" fontId="52" fillId="22" borderId="1" applyAlignment="1" applyProtection="1" pivotButton="0" quotePrefix="0" xfId="0">
      <alignment horizontal="right"/>
      <protection locked="0" hidden="0"/>
    </xf>
    <xf numFmtId="1" fontId="52" fillId="22" borderId="1" applyAlignment="1" applyProtection="1" pivotButton="0" quotePrefix="0" xfId="0">
      <alignment horizontal="center"/>
      <protection locked="0" hidden="0"/>
    </xf>
    <xf numFmtId="164" fontId="52" fillId="22" borderId="1" applyAlignment="1" applyProtection="1" pivotButton="0" quotePrefix="0" xfId="0">
      <alignment vertical="top" wrapText="1"/>
      <protection locked="0" hidden="0"/>
    </xf>
    <xf numFmtId="0" fontId="52" fillId="22" borderId="3" applyAlignment="1" applyProtection="1" pivotButton="0" quotePrefix="0" xfId="0">
      <alignment vertical="top" wrapText="1"/>
      <protection locked="0" hidden="0"/>
    </xf>
    <xf numFmtId="0" fontId="52" fillId="22" borderId="0" pivotButton="0" quotePrefix="0" xfId="0"/>
    <xf numFmtId="0" fontId="52" fillId="22" borderId="0" applyProtection="1" pivotButton="0" quotePrefix="0" xfId="0">
      <protection locked="0" hidden="0"/>
    </xf>
    <xf numFmtId="0" fontId="52" fillId="22" borderId="1" applyAlignment="1" pivotButton="0" quotePrefix="0" xfId="0">
      <alignment horizontal="left" vertical="top" wrapText="1"/>
    </xf>
    <xf numFmtId="0" fontId="52" fillId="22" borderId="1" applyAlignment="1" pivotButton="0" quotePrefix="1" xfId="0">
      <alignment horizontal="center"/>
    </xf>
    <xf numFmtId="0" fontId="52" fillId="22" borderId="1" applyAlignment="1" pivotButton="0" quotePrefix="0" xfId="0">
      <alignment horizontal="center"/>
    </xf>
    <xf numFmtId="0" fontId="52" fillId="22" borderId="3" applyAlignment="1" pivotButton="0" quotePrefix="0" xfId="0">
      <alignment horizontal="center"/>
    </xf>
    <xf numFmtId="0" fontId="52" fillId="22" borderId="4" applyAlignment="1" pivotButton="0" quotePrefix="0" xfId="0">
      <alignment horizontal="left" vertical="top" wrapText="1"/>
    </xf>
    <xf numFmtId="1" fontId="52" fillId="22" borderId="1" applyAlignment="1" pivotButton="0" quotePrefix="0" xfId="0">
      <alignment horizontal="center"/>
    </xf>
    <xf numFmtId="164" fontId="52" fillId="22" borderId="1" applyAlignment="1" pivotButton="0" quotePrefix="0" xfId="0">
      <alignment vertical="top" wrapText="1"/>
    </xf>
    <xf numFmtId="0" fontId="4" fillId="27" borderId="1" applyAlignment="1" applyProtection="1" pivotButton="0" quotePrefix="0" xfId="0">
      <alignment horizontal="left" vertical="top" wrapText="1"/>
      <protection locked="0" hidden="0"/>
    </xf>
    <xf numFmtId="0" fontId="4" fillId="27" borderId="1" applyAlignment="1" applyProtection="1" pivotButton="0" quotePrefix="0" xfId="0">
      <alignment horizontal="center"/>
      <protection locked="0" hidden="0"/>
    </xf>
    <xf numFmtId="0" fontId="4" fillId="27" borderId="1" applyAlignment="1" applyProtection="1" pivotButton="0" quotePrefix="0" xfId="0">
      <alignment horizontal="left"/>
      <protection locked="0" hidden="0"/>
    </xf>
    <xf numFmtId="0" fontId="4" fillId="27" borderId="3" applyAlignment="1" applyProtection="1" pivotButton="0" quotePrefix="0" xfId="0">
      <alignment horizontal="center"/>
      <protection locked="0" hidden="0"/>
    </xf>
    <xf numFmtId="0" fontId="4" fillId="27" borderId="4" applyAlignment="1" applyProtection="1" pivotButton="0" quotePrefix="0" xfId="0">
      <alignment horizontal="left" vertical="top" wrapText="1"/>
      <protection locked="0" hidden="0"/>
    </xf>
    <xf numFmtId="0" fontId="4" fillId="27" borderId="1" applyAlignment="1" applyProtection="1" pivotButton="0" quotePrefix="0" xfId="0">
      <alignment horizontal="right"/>
      <protection locked="0" hidden="0"/>
    </xf>
    <xf numFmtId="1" fontId="4" fillId="27" borderId="1" applyAlignment="1" applyProtection="1" pivotButton="0" quotePrefix="0" xfId="0">
      <alignment horizontal="center"/>
      <protection locked="0" hidden="0"/>
    </xf>
    <xf numFmtId="164" fontId="7" fillId="27" borderId="1" applyAlignment="1" applyProtection="1" pivotButton="0" quotePrefix="0" xfId="0">
      <alignment vertical="top" wrapText="1"/>
      <protection locked="0" hidden="0"/>
    </xf>
    <xf numFmtId="0" fontId="7" fillId="27" borderId="3" applyAlignment="1" applyProtection="1" pivotButton="0" quotePrefix="0" xfId="0">
      <alignment horizontal="center"/>
      <protection locked="0" hidden="0"/>
    </xf>
    <xf numFmtId="0" fontId="7" fillId="27" borderId="3" applyAlignment="1" applyProtection="1" pivotButton="0" quotePrefix="0" xfId="0">
      <alignment vertical="top" wrapText="1"/>
      <protection locked="0" hidden="0"/>
    </xf>
    <xf numFmtId="0" fontId="2" fillId="27" borderId="0" applyProtection="1" pivotButton="0" quotePrefix="0" xfId="0">
      <protection locked="0" hidden="0"/>
    </xf>
    <xf numFmtId="14" fontId="10" fillId="0" borderId="0" applyAlignment="1" applyProtection="1" pivotButton="0" quotePrefix="0" xfId="0">
      <alignment horizontal="right" vertical="top" wrapText="1"/>
      <protection locked="0" hidden="0"/>
    </xf>
    <xf numFmtId="0" fontId="42" fillId="22" borderId="0" applyAlignment="1" pivotButton="0" quotePrefix="0" xfId="0">
      <alignment horizontal="left" vertical="center"/>
    </xf>
    <xf numFmtId="0" fontId="0" fillId="0" borderId="0" pivotButton="0" quotePrefix="0" xfId="0"/>
    <xf numFmtId="0" fontId="43" fillId="23" borderId="0" pivotButton="0" quotePrefix="0" xfId="0"/>
    <xf numFmtId="0" fontId="33" fillId="22" borderId="0" applyAlignment="1" pivotButton="0" quotePrefix="0" xfId="0">
      <alignment horizontal="left" vertical="center"/>
    </xf>
    <xf numFmtId="0" fontId="38" fillId="24" borderId="0" applyAlignment="1" pivotButton="0" quotePrefix="0" xfId="0">
      <alignment horizontal="left" vertical="center"/>
    </xf>
    <xf numFmtId="0" fontId="36" fillId="26" borderId="24" applyAlignment="1" pivotButton="0" quotePrefix="0" xfId="0">
      <alignment horizontal="left" vertical="center"/>
    </xf>
    <xf numFmtId="0" fontId="0" fillId="0" borderId="23" pivotButton="0" quotePrefix="0" xfId="0"/>
    <xf numFmtId="0" fontId="35" fillId="23" borderId="0" applyAlignment="1" pivotButton="0" quotePrefix="0" xfId="0">
      <alignment horizontal="left" vertical="center"/>
    </xf>
    <xf numFmtId="0" fontId="32" fillId="22" borderId="25" applyAlignment="1" pivotButton="0" quotePrefix="0" xfId="0">
      <alignment horizontal="left" vertical="center"/>
    </xf>
    <xf numFmtId="0" fontId="23" fillId="15" borderId="0" applyAlignment="1" pivotButton="0" quotePrefix="0" xfId="0">
      <alignment horizontal="left" vertical="center"/>
    </xf>
    <xf numFmtId="0" fontId="23" fillId="14" borderId="0" applyAlignment="1" pivotButton="0" quotePrefix="0" xfId="0">
      <alignment horizontal="left" vertical="center"/>
    </xf>
    <xf numFmtId="0" fontId="43" fillId="23" borderId="0" applyAlignment="1" pivotButton="0" quotePrefix="0" xfId="0">
      <alignment horizontal="left" vertical="center"/>
    </xf>
    <xf numFmtId="0" fontId="20" fillId="30" borderId="3" applyAlignment="1" applyProtection="1" pivotButton="0" quotePrefix="0" xfId="0">
      <alignment horizontal="left" vertical="center"/>
      <protection locked="0" hidden="0"/>
    </xf>
    <xf numFmtId="3" fontId="34" fillId="35" borderId="25" applyAlignment="1" applyProtection="1" pivotButton="0" quotePrefix="0" xfId="0">
      <alignment horizontal="right" vertical="center"/>
      <protection locked="0" hidden="0"/>
    </xf>
    <xf numFmtId="0" fontId="42" fillId="22" borderId="14" applyAlignment="1" pivotButton="0" quotePrefix="0" xfId="0">
      <alignment horizontal="left" vertical="center"/>
    </xf>
    <xf numFmtId="0" fontId="43" fillId="23" borderId="14" pivotButton="0" quotePrefix="0" xfId="0"/>
    <xf numFmtId="0" fontId="33" fillId="22" borderId="14" applyAlignment="1" pivotButton="0" quotePrefix="0" xfId="0">
      <alignment horizontal="left" vertical="center"/>
    </xf>
    <xf numFmtId="0" fontId="35" fillId="23" borderId="14" applyAlignment="1" pivotButton="0" quotePrefix="0" xfId="0">
      <alignment horizontal="left" vertical="center"/>
    </xf>
    <xf numFmtId="0" fontId="0" fillId="0" borderId="24" pivotButton="0" quotePrefix="0" xfId="0"/>
    <xf numFmtId="0" fontId="38" fillId="24" borderId="14" applyAlignment="1" pivotButton="0" quotePrefix="0" xfId="0">
      <alignment horizontal="left" vertical="center"/>
    </xf>
    <xf numFmtId="0" fontId="43" fillId="23" borderId="14" applyAlignment="1" pivotButton="0" quotePrefix="0" xfId="0">
      <alignment horizontal="left" vertical="center"/>
    </xf>
    <xf numFmtId="0" fontId="23" fillId="14" borderId="14" applyAlignment="1" pivotButton="0" quotePrefix="0" xfId="0">
      <alignment horizontal="left" vertical="center"/>
    </xf>
    <xf numFmtId="0" fontId="23" fillId="15" borderId="14" applyAlignment="1" pivotButton="0" quotePrefix="0" xfId="0">
      <alignment horizontal="left" vertic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3">
    <tabColor rgb="FF2E7D32"/>
    <outlinePr summaryBelow="1" summaryRight="1"/>
    <pageSetUpPr/>
  </sheetPr>
  <dimension ref="A1:T291"/>
  <sheetViews>
    <sheetView showZeros="0" tabSelected="1" topLeftCell="D1" workbookViewId="0">
      <selection activeCell="N9" sqref="N9"/>
    </sheetView>
  </sheetViews>
  <sheetFormatPr baseColWidth="8" defaultColWidth="0" defaultRowHeight="14.4"/>
  <cols>
    <col width="28" customWidth="1" style="51" min="1" max="1"/>
    <col hidden="1" width="12" customWidth="1" style="50" min="2" max="2"/>
    <col hidden="1" width="10" customWidth="1" style="50" min="3" max="3"/>
    <col width="28" customWidth="1" style="51" min="4" max="4"/>
    <col width="12" customWidth="1" style="51" min="5" max="5"/>
    <col width="12" customWidth="1" style="50" min="6" max="6"/>
    <col width="35" customWidth="1" style="51" min="7" max="7"/>
    <col width="14" customWidth="1" style="43" min="8" max="8"/>
    <col width="12" customWidth="1" style="52" min="9" max="9"/>
    <col width="12" customWidth="1" style="50" min="10" max="10"/>
    <col width="12" customWidth="1" style="51" min="11" max="11"/>
    <col hidden="1" width="8" customWidth="1" style="53" min="12" max="12"/>
    <col hidden="1" width="30" customWidth="1" style="418" min="13" max="13"/>
    <col width="14" customWidth="1" style="418" min="14" max="14"/>
    <col width="28" customWidth="1" style="418" min="15" max="15"/>
    <col hidden="1" width="9" customWidth="1" style="42" min="16" max="16"/>
    <col hidden="1" width="35" customWidth="1" style="42" min="17" max="17"/>
    <col hidden="1" width="40" customWidth="1" style="42" min="18" max="18"/>
    <col hidden="1" width="5" customWidth="1" style="42" min="19" max="19"/>
    <col hidden="1" width="5" customWidth="1" style="42" min="20" max="16384"/>
  </cols>
  <sheetData>
    <row r="1" ht="24" customHeight="1" s="418">
      <c r="A1" s="274" t="inlineStr">
        <is>
          <t>Invullen groen — Begrotingswijziging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</row>
    <row r="2" ht="18" customHeight="1" s="418">
      <c r="A2" s="275">
        <f>A4</f>
        <v/>
      </c>
      <c r="B2" s="276" t="n"/>
      <c r="C2" s="428" t="n"/>
      <c r="D2" s="428" t="n"/>
      <c r="E2" s="428" t="n"/>
      <c r="F2" s="428" t="n"/>
      <c r="G2" s="428" t="n"/>
      <c r="H2" s="428" t="n"/>
      <c r="I2" s="428" t="n"/>
      <c r="J2" s="428" t="n"/>
      <c r="K2" s="428" t="n"/>
      <c r="L2" s="428">
        <f>IFERROR('Invullen groen'!L4,"")</f>
        <v/>
      </c>
      <c r="M2" s="428" t="n"/>
      <c r="N2" s="428" t="n"/>
      <c r="O2" s="428" t="n"/>
      <c r="P2" s="428" t="n"/>
    </row>
    <row r="3" ht="13.95" customHeight="1" s="418">
      <c r="A3" s="277" t="n"/>
      <c r="B3" s="278" t="n"/>
      <c r="C3" s="277" t="n"/>
      <c r="D3" s="277" t="n"/>
      <c r="E3" s="277" t="n"/>
      <c r="F3" s="277" t="n"/>
      <c r="G3" s="277" t="n"/>
      <c r="H3" s="277" t="n"/>
      <c r="I3" s="277" t="n"/>
      <c r="J3" s="277" t="n"/>
      <c r="K3" s="277" t="n"/>
      <c r="L3" s="279" t="n"/>
      <c r="M3" s="280" t="n"/>
      <c r="N3" s="277" t="n"/>
      <c r="O3" s="277" t="n"/>
      <c r="P3" s="279" t="n"/>
    </row>
    <row r="4" ht="22.05" customHeight="1" s="418">
      <c r="A4" s="281" t="inlineStr">
        <is>
          <t>Begrotingswijziging 2026</t>
        </is>
      </c>
      <c r="B4" s="281" t="n"/>
      <c r="C4" s="281" t="n"/>
      <c r="D4" s="281" t="n"/>
      <c r="E4" s="281" t="n"/>
      <c r="F4" s="281" t="n"/>
      <c r="G4" s="328" t="inlineStr">
        <is>
          <t>Nummer wijziging:</t>
        </is>
      </c>
      <c r="H4" s="329" t="inlineStr">
        <is>
          <t>R30-26</t>
        </is>
      </c>
      <c r="I4" s="281" t="n"/>
      <c r="J4" s="281" t="n"/>
      <c r="K4" s="281" t="n"/>
      <c r="L4" s="420" t="n"/>
      <c r="M4" s="282" t="n"/>
      <c r="N4" s="281" t="n"/>
      <c r="O4" s="281" t="n"/>
      <c r="P4" s="420" t="n"/>
    </row>
    <row r="5" ht="16.05" customHeight="1" s="418">
      <c r="A5" s="283" t="inlineStr">
        <is>
          <t>Omschrijving wijziging:</t>
        </is>
      </c>
      <c r="B5" s="284" t="n"/>
      <c r="C5" s="284" t="n"/>
      <c r="D5" s="287" t="n"/>
      <c r="E5" s="284" t="n"/>
      <c r="F5" s="284" t="n"/>
      <c r="G5" s="284" t="n"/>
      <c r="H5" s="284" t="n"/>
      <c r="I5" s="284" t="n"/>
      <c r="J5" s="284" t="n"/>
      <c r="K5" s="284" t="n"/>
      <c r="L5" s="233" t="n"/>
      <c r="M5" s="285" t="n"/>
      <c r="N5" s="284" t="n"/>
      <c r="O5" s="284" t="n"/>
      <c r="P5" s="233" t="n"/>
    </row>
    <row r="6" ht="16.05" customHeight="1" s="418">
      <c r="A6" s="283" t="inlineStr">
        <is>
          <t>Programma / afdeling:</t>
        </is>
      </c>
      <c r="B6" s="286" t="n"/>
      <c r="C6" s="287" t="n"/>
      <c r="D6" s="287" t="n"/>
      <c r="E6" s="283" t="n"/>
      <c r="F6" s="284" t="n"/>
      <c r="G6" s="283" t="inlineStr">
        <is>
          <t>Corsanummer wijziging:</t>
        </is>
      </c>
      <c r="H6" s="287" t="n"/>
      <c r="I6" s="284" t="n"/>
      <c r="J6" s="284" t="n"/>
      <c r="K6" s="284" t="n"/>
      <c r="L6" s="233" t="n"/>
      <c r="M6" s="288" t="n"/>
      <c r="N6" s="283" t="n"/>
      <c r="O6" s="283" t="n"/>
      <c r="P6" s="233" t="n"/>
      <c r="Q6" s="60" t="inlineStr">
        <is>
          <t>Controle budgettair neutrale categorieen</t>
        </is>
      </c>
      <c r="R6" s="60" t="n"/>
      <c r="S6" s="60" t="n"/>
      <c r="T6" s="61" t="n"/>
    </row>
    <row r="7" ht="16.05" customHeight="1" s="418">
      <c r="A7" s="284" t="n"/>
      <c r="B7" s="284" t="n"/>
      <c r="C7" s="286" t="n"/>
      <c r="D7" s="284" t="n"/>
      <c r="E7" s="284" t="n"/>
      <c r="F7" s="284" t="n"/>
      <c r="G7" s="283" t="inlineStr">
        <is>
          <t>Corsanummer raadsvoorstel:</t>
        </is>
      </c>
      <c r="H7" s="287" t="n"/>
      <c r="I7" s="284" t="n"/>
      <c r="J7" s="284" t="n"/>
      <c r="K7" s="284" t="n"/>
      <c r="L7" s="233" t="n"/>
      <c r="M7" s="285" t="n"/>
      <c r="N7" s="284" t="n"/>
      <c r="O7" s="284" t="n"/>
      <c r="P7" s="233" t="n"/>
    </row>
    <row r="8" ht="16.05" customHeight="1" s="418">
      <c r="A8" s="284" t="n"/>
      <c r="B8" s="284" t="n"/>
      <c r="C8" s="286" t="n"/>
      <c r="D8" s="284" t="n"/>
      <c r="E8" s="284" t="n"/>
      <c r="F8" s="284" t="n"/>
      <c r="G8" s="284" t="n"/>
      <c r="H8" s="284" t="n"/>
      <c r="I8" s="284" t="n"/>
      <c r="J8" s="284" t="n"/>
      <c r="K8" s="284" t="n"/>
      <c r="L8" s="233" t="n"/>
      <c r="M8" s="285" t="n"/>
      <c r="N8" s="284" t="n"/>
      <c r="O8" s="284" t="n"/>
      <c r="P8" s="233" t="n"/>
      <c r="Q8" s="58" t="inlineStr">
        <is>
          <t>Nummer wijziging:</t>
        </is>
      </c>
      <c r="R8" s="62" t="n"/>
      <c r="S8" s="54" t="n"/>
      <c r="T8" s="63" t="n"/>
    </row>
    <row r="9" ht="16.05" customHeight="1" s="418">
      <c r="A9" s="283" t="n"/>
      <c r="B9" s="283" t="n"/>
      <c r="C9" s="284" t="n"/>
      <c r="D9" s="283" t="n"/>
      <c r="E9" s="283" t="n"/>
      <c r="F9" s="284" t="n"/>
      <c r="G9" s="284" t="n"/>
      <c r="H9" s="284" t="n"/>
      <c r="I9" s="284" t="n"/>
      <c r="J9" s="284" t="n"/>
      <c r="K9" s="284" t="n"/>
      <c r="L9" s="233" t="n"/>
      <c r="M9" s="285" t="n"/>
      <c r="N9" s="284" t="n"/>
      <c r="O9" s="284" t="n"/>
      <c r="P9" s="233" t="n"/>
    </row>
    <row r="10" ht="16.05" customHeight="1" s="418">
      <c r="A10" s="284" t="n"/>
      <c r="B10" s="284" t="n"/>
      <c r="C10" s="284" t="n"/>
      <c r="D10" s="284" t="n"/>
      <c r="E10" s="284" t="n"/>
      <c r="F10" s="284" t="n"/>
      <c r="G10" s="284" t="n"/>
      <c r="H10" s="284" t="n"/>
      <c r="I10" s="284" t="n"/>
      <c r="J10" s="284" t="n"/>
      <c r="K10" s="284" t="n"/>
      <c r="L10" s="233" t="n"/>
      <c r="M10" s="285" t="n"/>
      <c r="N10" s="284" t="n"/>
      <c r="O10" s="284" t="n"/>
      <c r="P10" s="233" t="n"/>
    </row>
    <row r="11" ht="18" customHeight="1" s="418">
      <c r="A11" s="283" t="inlineStr">
        <is>
          <t>Mutaties in de inkomsten en uitgaven (raming van baten en lasten)</t>
        </is>
      </c>
      <c r="B11" s="283" t="n"/>
      <c r="C11" s="283" t="n"/>
      <c r="D11" s="283" t="n"/>
      <c r="E11" s="283" t="n"/>
      <c r="F11" s="283" t="n"/>
      <c r="G11" s="283" t="n"/>
      <c r="H11" s="290" t="inlineStr">
        <is>
          <t>-/- = baten</t>
        </is>
      </c>
      <c r="I11" s="283" t="n"/>
      <c r="J11" s="283" t="n"/>
      <c r="K11" s="283" t="n"/>
      <c r="L11" s="289" t="n"/>
      <c r="M11" s="288" t="n"/>
      <c r="N11" s="283" t="n"/>
      <c r="O11" s="283" t="n"/>
      <c r="P11" s="289" t="n"/>
    </row>
    <row r="12" ht="6" customHeight="1" s="418">
      <c r="A12" s="291" t="n"/>
      <c r="B12" s="292" t="n"/>
      <c r="C12" s="292" t="n"/>
      <c r="D12" s="291" t="n"/>
      <c r="E12" s="291" t="n"/>
      <c r="F12" s="292" t="n"/>
      <c r="G12" s="291" t="n"/>
      <c r="H12" s="294" t="n"/>
      <c r="I12" s="294" t="n"/>
      <c r="J12" s="294" t="n"/>
      <c r="K12" s="295" t="n"/>
      <c r="L12" s="193" t="n"/>
      <c r="M12" s="293" t="n"/>
      <c r="N12" s="292" t="n"/>
      <c r="O12" s="291" t="n"/>
      <c r="P12" s="193" t="n"/>
    </row>
    <row r="13" ht="19.95" customFormat="1" customHeight="1" s="62">
      <c r="A13" s="296" t="inlineStr">
        <is>
          <t>Programma</t>
        </is>
      </c>
      <c r="B13" s="297" t="inlineStr">
        <is>
          <t>Nr.hoofd-
taakveld</t>
        </is>
      </c>
      <c r="C13" s="297" t="inlineStr">
        <is>
          <t>Nr.
taakveld</t>
        </is>
      </c>
      <c r="D13" s="297" t="inlineStr">
        <is>
          <t>Omschrijving taakveld</t>
        </is>
      </c>
      <c r="E13" s="298" t="inlineStr">
        <is>
          <t>Nr grootboek</t>
        </is>
      </c>
      <c r="F13" s="360" t="inlineStr">
        <is>
          <t>Econ.
categorie</t>
        </is>
      </c>
      <c r="G13" s="297" t="inlineStr">
        <is>
          <t>Omschrijving grootboek</t>
        </is>
      </c>
      <c r="H13" s="297" t="inlineStr">
        <is>
          <t>Bgr 2026</t>
        </is>
      </c>
      <c r="I13" s="297" t="inlineStr">
        <is>
          <t>MJR 2027</t>
        </is>
      </c>
      <c r="J13" s="297" t="inlineStr">
        <is>
          <t>MJR 2028</t>
        </is>
      </c>
      <c r="K13" s="297" t="inlineStr">
        <is>
          <t>MJR 2029</t>
        </is>
      </c>
      <c r="L13" s="299" t="inlineStr">
        <is>
          <t>Bgr w</t>
        </is>
      </c>
      <c r="M13" s="300" t="inlineStr">
        <is>
          <t>Omschr.
kostencat.</t>
        </is>
      </c>
      <c r="N13" s="297" t="inlineStr">
        <is>
          <t>Nr verbijz-</t>
        </is>
      </c>
      <c r="O13" s="297" t="inlineStr">
        <is>
          <t>Omschrijving</t>
        </is>
      </c>
      <c r="P13" s="301" t="n"/>
      <c r="Q13" s="67" t="inlineStr">
        <is>
          <t>Lasten</t>
        </is>
      </c>
      <c r="R13" s="67" t="inlineStr">
        <is>
          <t>Baten</t>
        </is>
      </c>
    </row>
    <row r="14" ht="19.95" customFormat="1" customHeight="1" s="62">
      <c r="A14" s="297" t="n"/>
      <c r="B14" s="297" t="n"/>
      <c r="C14" s="297" t="n"/>
      <c r="D14" s="297" t="n"/>
      <c r="E14" s="298" t="n"/>
      <c r="F14" s="361" t="inlineStr">
        <is>
          <t>nr</t>
        </is>
      </c>
      <c r="G14" s="303" t="n"/>
      <c r="H14" s="297" t="inlineStr">
        <is>
          <t>jaar 2026</t>
        </is>
      </c>
      <c r="I14" s="297" t="inlineStr">
        <is>
          <t>jaar 2027</t>
        </is>
      </c>
      <c r="J14" s="297" t="inlineStr">
        <is>
          <t>jaar 2028</t>
        </is>
      </c>
      <c r="K14" s="297" t="inlineStr">
        <is>
          <t>jaar 2029</t>
        </is>
      </c>
      <c r="L14" s="299" t="n"/>
      <c r="M14" s="300" t="n"/>
      <c r="N14" s="302" t="inlineStr">
        <is>
          <t>ondering</t>
        </is>
      </c>
      <c r="O14" s="302" t="inlineStr">
        <is>
          <t>verbijzondering</t>
        </is>
      </c>
      <c r="P14" s="301" t="n"/>
      <c r="Q14" s="67" t="inlineStr">
        <is>
          <t>47100 / 47200</t>
        </is>
      </c>
      <c r="R14" s="67" t="inlineStr">
        <is>
          <t>87100 / 87201</t>
        </is>
      </c>
    </row>
    <row r="15" ht="19.95" customHeight="1" s="418">
      <c r="A15" s="296" t="n"/>
      <c r="B15" s="297" t="n"/>
      <c r="C15" s="297" t="n"/>
      <c r="D15" s="297" t="n"/>
      <c r="E15" s="297" t="n"/>
      <c r="F15" s="361" t="n"/>
      <c r="G15" s="303" t="n"/>
      <c r="H15" s="297" t="n"/>
      <c r="I15" s="297" t="n"/>
      <c r="J15" s="297" t="n"/>
      <c r="K15" s="297" t="n"/>
      <c r="L15" s="304" t="n"/>
      <c r="M15" s="300" t="n"/>
      <c r="N15" s="302" t="n"/>
      <c r="O15" s="302" t="n"/>
      <c r="P15" s="301" t="n"/>
      <c r="Q15" s="74" t="inlineStr">
        <is>
          <t>47201 / 47500</t>
        </is>
      </c>
      <c r="R15" s="74" t="inlineStr">
        <is>
          <t>87201 / 87500</t>
        </is>
      </c>
    </row>
    <row r="16" ht="18" customHeight="1" s="418">
      <c r="A16" s="330" t="inlineStr">
        <is>
          <t>A. Uitgaven en inkomsten</t>
        </is>
      </c>
      <c r="B16" s="330" t="n"/>
      <c r="C16" s="330" t="n"/>
      <c r="D16" s="330" t="n"/>
      <c r="E16" s="330" t="n"/>
      <c r="F16" s="331" t="n"/>
      <c r="G16" s="332" t="n"/>
      <c r="H16" s="330" t="n"/>
      <c r="I16" s="330" t="n"/>
      <c r="J16" s="330" t="n"/>
      <c r="K16" s="330" t="n"/>
      <c r="L16" s="333" t="n"/>
      <c r="M16" s="334" t="n"/>
      <c r="N16" s="331" t="n"/>
      <c r="O16" s="331" t="n"/>
      <c r="P16" s="305" t="n"/>
      <c r="Q16" s="185" t="inlineStr">
        <is>
          <t>→ alleen directe lasten en baten; reserves/voorzieningen in sectie B</t>
        </is>
      </c>
      <c r="R16" s="185" t="n"/>
      <c r="S16" s="157" t="n"/>
      <c r="T16" s="157" t="n"/>
    </row>
    <row r="17" ht="15" customHeight="1" s="418">
      <c r="A17" s="306">
        <f>IFERROR(VLOOKUP(E17,Tabellen!A:F,4),0)</f>
        <v/>
      </c>
      <c r="B17" s="306" t="n"/>
      <c r="C17" s="306">
        <f>IFERROR(VLOOKUP(E17,Tabellen!A:F,5),0)</f>
        <v/>
      </c>
      <c r="D17" s="306">
        <f>IFERROR(VLOOKUP(E17,Tabellen!A:F,6),0)</f>
        <v/>
      </c>
      <c r="E17" s="307" t="n">
        <v>613013</v>
      </c>
      <c r="F17" s="357" t="n">
        <v>43812</v>
      </c>
      <c r="G17" s="308">
        <f>IFERROR(VLOOKUP(E17,Tabellen!A:F,2),0)</f>
        <v/>
      </c>
      <c r="H17" s="310" t="n">
        <v>6</v>
      </c>
      <c r="I17" s="310" t="n">
        <v>6</v>
      </c>
      <c r="J17" s="310" t="n">
        <v>6</v>
      </c>
      <c r="K17" s="310" t="n">
        <v>6</v>
      </c>
      <c r="L17" s="362">
        <f>IF(E17&gt;0,$H$4,0)</f>
        <v/>
      </c>
      <c r="M17" s="309">
        <f>IFERROR(VLOOKUP(F17,Tabellen!H:I,2),0)</f>
        <v/>
      </c>
      <c r="N17" s="429" t="inlineStr">
        <is>
          <t>R004</t>
        </is>
      </c>
      <c r="O17" s="429" t="inlineStr">
        <is>
          <t xml:space="preserve">begrotingsnummer + hier staat tekst en dat moet bij coda op max 36 posities komen te staan bij omschrijving </t>
        </is>
      </c>
      <c r="P17" s="251">
        <f>IF(E17&gt;0,COUNTIF($E$17:E17,"&gt;0"),0)</f>
        <v/>
      </c>
      <c r="Q17" s="75">
        <f>IF(OR(F17=47201,F17=47100,F17=47200,F17=47500),H17,0)</f>
        <v/>
      </c>
      <c r="R17" s="75">
        <f>IF(OR(F17=87201,F17=87100,F17=87200,F17=87500),H17,0)</f>
        <v/>
      </c>
    </row>
    <row r="18" ht="15" customHeight="1" s="418">
      <c r="A18" s="216">
        <f>IFERROR(VLOOKUP(E18,Tabellen!A:F,4),0)</f>
        <v/>
      </c>
      <c r="B18" s="216" t="n"/>
      <c r="C18" s="216">
        <f>IFERROR(VLOOKUP(E18,Tabellen!A:F,5),0)</f>
        <v/>
      </c>
      <c r="D18" s="216">
        <f>IFERROR(VLOOKUP(E18,Tabellen!A:F,6),0)</f>
        <v/>
      </c>
      <c r="E18" s="307" t="n"/>
      <c r="F18" s="363">
        <f>IFERROR(VLOOKUP(E18,Tabellen!A:H,8),0)</f>
        <v/>
      </c>
      <c r="G18" s="216">
        <f>IFERROR(VLOOKUP(E18,Tabellen!A:F,2),0)</f>
        <v/>
      </c>
      <c r="H18" s="310" t="n"/>
      <c r="I18" s="310" t="n"/>
      <c r="J18" s="310" t="n"/>
      <c r="K18" s="310" t="n"/>
      <c r="L18" s="362">
        <f>IF(E18&gt;0,$H$4,0)</f>
        <v/>
      </c>
      <c r="M18" s="311">
        <f>IFERROR(VLOOKUP(F18,Tabellen!H:I,2),0)</f>
        <v/>
      </c>
      <c r="N18" s="357" t="n"/>
      <c r="O18" s="357" t="n"/>
      <c r="P18" s="233">
        <f>IF(E18&gt;0,COUNTIF($E$17:E18,"&gt;0"),0)</f>
        <v/>
      </c>
      <c r="Q18" s="75">
        <f>IF(OR(F18=47201,F18=47100,F18=47200,F18=47500),H18,0)</f>
        <v/>
      </c>
      <c r="R18" s="75">
        <f>IF(OR(F18=87201,F18=87100,F18=87200,F18=87500),H18,0)</f>
        <v/>
      </c>
    </row>
    <row r="19" ht="15" customHeight="1" s="418">
      <c r="A19" s="219">
        <f>IFERROR(VLOOKUP(E19,Tabellen!A:F,4),0)</f>
        <v/>
      </c>
      <c r="B19" s="219" t="n"/>
      <c r="C19" s="219">
        <f>IFERROR(VLOOKUP(E19,Tabellen!A:F,5),0)</f>
        <v/>
      </c>
      <c r="D19" s="219">
        <f>IFERROR(VLOOKUP(E19,Tabellen!A:F,6),0)</f>
        <v/>
      </c>
      <c r="E19" s="307" t="n"/>
      <c r="F19" s="363">
        <f>IFERROR(VLOOKUP(E19,Tabellen!A:H,8),0)</f>
        <v/>
      </c>
      <c r="G19" s="219">
        <f>IFERROR(VLOOKUP(E19,Tabellen!A:F,2),0)</f>
        <v/>
      </c>
      <c r="H19" s="310" t="n"/>
      <c r="I19" s="310" t="n"/>
      <c r="J19" s="310" t="n"/>
      <c r="K19" s="310" t="n"/>
      <c r="L19" s="362">
        <f>IF(E19&gt;0,$H$4,0)</f>
        <v/>
      </c>
      <c r="M19" s="312">
        <f>IFERROR(VLOOKUP(F19,Tabellen!H:I,2),0)</f>
        <v/>
      </c>
      <c r="N19" s="357" t="n"/>
      <c r="O19" s="357" t="n"/>
      <c r="P19" s="251">
        <f>IF(E19&gt;0,COUNTIF($E$17:E19,"&gt;0"),0)</f>
        <v/>
      </c>
      <c r="Q19" s="75">
        <f>IF(OR(F19=47201,F19=47100,F19=47200,F19=47500),H19,0)</f>
        <v/>
      </c>
      <c r="R19" s="75">
        <f>IF(OR(F19=87201,F19=87100,F19=87200,F19=87500),H19,0)</f>
        <v/>
      </c>
    </row>
    <row r="20" ht="15" customHeight="1" s="418">
      <c r="A20" s="216">
        <f>IFERROR(VLOOKUP(E20,Tabellen!A:F,4),0)</f>
        <v/>
      </c>
      <c r="B20" s="216" t="n"/>
      <c r="C20" s="216">
        <f>IFERROR(VLOOKUP(E20,Tabellen!A:F,5),0)</f>
        <v/>
      </c>
      <c r="D20" s="216">
        <f>IFERROR(VLOOKUP(E20,Tabellen!A:F,6),0)</f>
        <v/>
      </c>
      <c r="E20" s="307" t="n"/>
      <c r="F20" s="363">
        <f>IFERROR(VLOOKUP(E20,Tabellen!A:H,8),0)</f>
        <v/>
      </c>
      <c r="G20" s="216">
        <f>IFERROR(VLOOKUP(E20,Tabellen!A:F,2),0)</f>
        <v/>
      </c>
      <c r="H20" s="310" t="n"/>
      <c r="I20" s="310" t="n"/>
      <c r="J20" s="310" t="n"/>
      <c r="K20" s="310" t="n"/>
      <c r="L20" s="362">
        <f>IF(E20&gt;0,$H$4,0)</f>
        <v/>
      </c>
      <c r="M20" s="311">
        <f>IFERROR(VLOOKUP(F20,Tabellen!H:I,2),0)</f>
        <v/>
      </c>
      <c r="N20" s="357" t="n"/>
      <c r="O20" s="357" t="n"/>
      <c r="P20" s="233">
        <f>IF(E20&gt;0,COUNTIF($E$17:E20,"&gt;0"),0)</f>
        <v/>
      </c>
      <c r="Q20" s="75">
        <f>IF(OR(F20=47201,F20=47100,F20=47200,F20=47500),H20,0)</f>
        <v/>
      </c>
      <c r="R20" s="75">
        <f>IF(OR(F20=87201,F20=87100,F20=87200,F20=87500),H20,0)</f>
        <v/>
      </c>
    </row>
    <row r="21" ht="15" customHeight="1" s="418">
      <c r="A21" s="219">
        <f>IFERROR(VLOOKUP(E21,Tabellen!A:F,4),0)</f>
        <v/>
      </c>
      <c r="B21" s="219" t="n"/>
      <c r="C21" s="219">
        <f>IFERROR(VLOOKUP(E21,Tabellen!A:F,5),0)</f>
        <v/>
      </c>
      <c r="D21" s="219">
        <f>IFERROR(VLOOKUP(E21,Tabellen!A:F,6),0)</f>
        <v/>
      </c>
      <c r="E21" s="307" t="n"/>
      <c r="F21" s="363">
        <f>IFERROR(VLOOKUP(E21,Tabellen!A:H,8),0)</f>
        <v/>
      </c>
      <c r="G21" s="219">
        <f>IFERROR(VLOOKUP(E21,Tabellen!A:F,2),0)</f>
        <v/>
      </c>
      <c r="H21" s="310" t="n"/>
      <c r="I21" s="310" t="n"/>
      <c r="J21" s="310" t="n"/>
      <c r="K21" s="310" t="n"/>
      <c r="L21" s="362">
        <f>IF(E21&gt;0,$H$4,0)</f>
        <v/>
      </c>
      <c r="M21" s="312">
        <f>IFERROR(VLOOKUP(F21,Tabellen!H:I,2),0)</f>
        <v/>
      </c>
      <c r="N21" s="357" t="n"/>
      <c r="O21" s="357" t="n"/>
      <c r="P21" s="251">
        <f>IF(E21&gt;0,COUNTIF($E$17:E21,"&gt;0"),0)</f>
        <v/>
      </c>
      <c r="Q21" s="75">
        <f>IF(OR(F21=47201,F21=47100,F21=47200,F21=47500),H21,0)</f>
        <v/>
      </c>
      <c r="R21" s="75">
        <f>IF(OR(F21=87201,F21=87100,F21=87200,F21=87500),H21,0)</f>
        <v/>
      </c>
    </row>
    <row r="22" ht="15" customHeight="1" s="418">
      <c r="A22" s="216">
        <f>IFERROR(VLOOKUP(E22,Tabellen!A:F,4),0)</f>
        <v/>
      </c>
      <c r="B22" s="216" t="n"/>
      <c r="C22" s="216">
        <f>IFERROR(VLOOKUP(E22,Tabellen!A:F,5),0)</f>
        <v/>
      </c>
      <c r="D22" s="216">
        <f>IFERROR(VLOOKUP(E22,Tabellen!A:F,6),0)</f>
        <v/>
      </c>
      <c r="E22" s="307" t="n"/>
      <c r="F22" s="363">
        <f>IFERROR(VLOOKUP(E22,Tabellen!A:H,8),0)</f>
        <v/>
      </c>
      <c r="G22" s="216">
        <f>IFERROR(VLOOKUP(E22,Tabellen!A:F,2),0)</f>
        <v/>
      </c>
      <c r="H22" s="310" t="n"/>
      <c r="I22" s="310" t="n"/>
      <c r="J22" s="310" t="n"/>
      <c r="K22" s="310" t="n"/>
      <c r="L22" s="362">
        <f>IF(E22&gt;0,$H$4,0)</f>
        <v/>
      </c>
      <c r="M22" s="311">
        <f>IFERROR(VLOOKUP(F22,Tabellen!H:I,2),0)</f>
        <v/>
      </c>
      <c r="N22" s="357" t="n"/>
      <c r="O22" s="357" t="n"/>
      <c r="P22" s="233">
        <f>IF(E22&gt;0,COUNTIF($E$17:E22,"&gt;0"),0)</f>
        <v/>
      </c>
      <c r="Q22" s="75">
        <f>IF(OR(F22=47201,F22=47100,F22=47200,F22=47500),H22,0)</f>
        <v/>
      </c>
      <c r="R22" s="75">
        <f>IF(OR(F22=87201,F22=87100,F22=87200,F22=87500),H22,0)</f>
        <v/>
      </c>
    </row>
    <row r="23" ht="15" customHeight="1" s="418">
      <c r="A23" s="219">
        <f>IFERROR(VLOOKUP(E23,Tabellen!A:F,4),0)</f>
        <v/>
      </c>
      <c r="B23" s="219" t="n"/>
      <c r="C23" s="219">
        <f>IFERROR(VLOOKUP(E23,Tabellen!A:F,5),0)</f>
        <v/>
      </c>
      <c r="D23" s="219">
        <f>IFERROR(VLOOKUP(E23,Tabellen!A:F,6),0)</f>
        <v/>
      </c>
      <c r="E23" s="307" t="n"/>
      <c r="F23" s="363">
        <f>IFERROR(VLOOKUP(E23,Tabellen!A:H,8),0)</f>
        <v/>
      </c>
      <c r="G23" s="219">
        <f>IFERROR(VLOOKUP(E23,Tabellen!A:F,2),0)</f>
        <v/>
      </c>
      <c r="H23" s="310" t="n"/>
      <c r="I23" s="310" t="n"/>
      <c r="J23" s="310" t="n"/>
      <c r="K23" s="310" t="n"/>
      <c r="L23" s="362">
        <f>IF(E23&gt;0,$H$4,0)</f>
        <v/>
      </c>
      <c r="M23" s="312">
        <f>IFERROR(VLOOKUP(F23,Tabellen!H:I,2),0)</f>
        <v/>
      </c>
      <c r="N23" s="357" t="n"/>
      <c r="O23" s="357" t="n"/>
      <c r="P23" s="251">
        <f>IF(E23&gt;0,COUNTIF($E$17:E23,"&gt;0"),0)</f>
        <v/>
      </c>
      <c r="Q23" s="75">
        <f>IF(OR(F23=47201,F23=47100,F23=47200,F23=47500),H23,0)</f>
        <v/>
      </c>
      <c r="R23" s="75">
        <f>IF(OR(F23=87201,F23=87100,F23=87200,F23=87500),H23,0)</f>
        <v/>
      </c>
    </row>
    <row r="24" ht="15" customHeight="1" s="418">
      <c r="A24" s="216">
        <f>IFERROR(VLOOKUP(E24,Tabellen!A:F,4),0)</f>
        <v/>
      </c>
      <c r="B24" s="216" t="n"/>
      <c r="C24" s="216">
        <f>IFERROR(VLOOKUP(E24,Tabellen!A:F,5),0)</f>
        <v/>
      </c>
      <c r="D24" s="216">
        <f>IFERROR(VLOOKUP(E24,Tabellen!A:F,6),0)</f>
        <v/>
      </c>
      <c r="E24" s="307" t="n"/>
      <c r="F24" s="363">
        <f>IFERROR(VLOOKUP(E24,Tabellen!A:H,8),0)</f>
        <v/>
      </c>
      <c r="G24" s="216">
        <f>IFERROR(VLOOKUP(E24,Tabellen!A:F,2),0)</f>
        <v/>
      </c>
      <c r="H24" s="310" t="n"/>
      <c r="I24" s="310" t="n"/>
      <c r="J24" s="310" t="n"/>
      <c r="K24" s="310" t="n"/>
      <c r="L24" s="362">
        <f>IF(E24&gt;0,$H$4,0)</f>
        <v/>
      </c>
      <c r="M24" s="311">
        <f>IFERROR(VLOOKUP(F24,Tabellen!H:I,2),0)</f>
        <v/>
      </c>
      <c r="N24" s="357" t="n"/>
      <c r="O24" s="357" t="n"/>
      <c r="P24" s="233">
        <f>IF(E24&gt;0,COUNTIF($E$17:E24,"&gt;0"),0)</f>
        <v/>
      </c>
      <c r="Q24" s="75">
        <f>IF(OR(F24=47201,F24=47100,F24=47200,F24=47500),H24,0)</f>
        <v/>
      </c>
      <c r="R24" s="75">
        <f>IF(OR(F24=87201,F24=87100,F24=87200,F24=87500),H24,0)</f>
        <v/>
      </c>
    </row>
    <row r="25" ht="15" customHeight="1" s="418">
      <c r="A25" s="219">
        <f>IFERROR(VLOOKUP(E25,Tabellen!A:F,4),0)</f>
        <v/>
      </c>
      <c r="B25" s="219" t="n"/>
      <c r="C25" s="219">
        <f>IFERROR(VLOOKUP(E25,Tabellen!A:F,5),0)</f>
        <v/>
      </c>
      <c r="D25" s="219">
        <f>IFERROR(VLOOKUP(E25,Tabellen!A:F,6),0)</f>
        <v/>
      </c>
      <c r="E25" s="307" t="n"/>
      <c r="F25" s="363">
        <f>IFERROR(VLOOKUP(E25,Tabellen!A:H,8),0)</f>
        <v/>
      </c>
      <c r="G25" s="219">
        <f>IFERROR(VLOOKUP(E25,Tabellen!A:F,2),0)</f>
        <v/>
      </c>
      <c r="H25" s="310" t="n"/>
      <c r="I25" s="310" t="n"/>
      <c r="J25" s="310" t="n"/>
      <c r="K25" s="310" t="n"/>
      <c r="L25" s="362">
        <f>IF(E25&gt;0,$H$4,0)</f>
        <v/>
      </c>
      <c r="M25" s="312">
        <f>IFERROR(VLOOKUP(F25,Tabellen!H:I,2),0)</f>
        <v/>
      </c>
      <c r="N25" s="357" t="n"/>
      <c r="O25" s="357" t="n"/>
      <c r="P25" s="251">
        <f>IF(E25&gt;0,COUNTIF($E$17:E25,"&gt;0"),0)</f>
        <v/>
      </c>
      <c r="Q25" s="75">
        <f>IF(OR(F25=47201,F25=47100,F25=47200,F25=47500),H25,0)</f>
        <v/>
      </c>
      <c r="R25" s="75">
        <f>IF(OR(F25=87201,F25=87100,F25=87200,F25=87500),H25,0)</f>
        <v/>
      </c>
    </row>
    <row r="26" ht="15" customHeight="1" s="418">
      <c r="A26" s="216">
        <f>IFERROR(VLOOKUP(E26,Tabellen!A:F,4),0)</f>
        <v/>
      </c>
      <c r="B26" s="216" t="n"/>
      <c r="C26" s="216">
        <f>IFERROR(VLOOKUP(E26,Tabellen!A:F,5),0)</f>
        <v/>
      </c>
      <c r="D26" s="216">
        <f>IFERROR(VLOOKUP(E26,Tabellen!A:F,6),0)</f>
        <v/>
      </c>
      <c r="E26" s="307" t="n"/>
      <c r="F26" s="363">
        <f>IFERROR(VLOOKUP(E26,Tabellen!A:H,8),0)</f>
        <v/>
      </c>
      <c r="G26" s="216">
        <f>IFERROR(VLOOKUP(E26,Tabellen!A:F,2),0)</f>
        <v/>
      </c>
      <c r="H26" s="310" t="n"/>
      <c r="I26" s="310" t="n"/>
      <c r="J26" s="310" t="n"/>
      <c r="K26" s="310" t="n"/>
      <c r="L26" s="362">
        <f>IF(E26&gt;0,$H$4,0)</f>
        <v/>
      </c>
      <c r="M26" s="311">
        <f>IFERROR(VLOOKUP(F26,Tabellen!H:I,2),0)</f>
        <v/>
      </c>
      <c r="N26" s="357" t="n"/>
      <c r="O26" s="357" t="n"/>
      <c r="P26" s="233">
        <f>IF(E26&gt;0,COUNTIF($E$17:E26,"&gt;0"),0)</f>
        <v/>
      </c>
      <c r="Q26" s="75">
        <f>IF(OR(F26=47201,F26=47100,F26=47200,F26=47500),H26,0)</f>
        <v/>
      </c>
      <c r="R26" s="75">
        <f>IF(OR(F26=87201,F26=87100,F26=87200,F26=87500),H26,0)</f>
        <v/>
      </c>
    </row>
    <row r="27" ht="15" customHeight="1" s="418">
      <c r="A27" s="219">
        <f>IFERROR(VLOOKUP(E27,Tabellen!A:F,4),0)</f>
        <v/>
      </c>
      <c r="B27" s="219" t="n"/>
      <c r="C27" s="219">
        <f>IFERROR(VLOOKUP(E27,Tabellen!A:F,5),0)</f>
        <v/>
      </c>
      <c r="D27" s="219">
        <f>IFERROR(VLOOKUP(E27,Tabellen!A:F,6),0)</f>
        <v/>
      </c>
      <c r="E27" s="307" t="n"/>
      <c r="F27" s="363">
        <f>IFERROR(VLOOKUP(E27,Tabellen!A:H,8),0)</f>
        <v/>
      </c>
      <c r="G27" s="219">
        <f>IFERROR(VLOOKUP(E27,Tabellen!A:F,2),0)</f>
        <v/>
      </c>
      <c r="H27" s="310" t="n"/>
      <c r="I27" s="310" t="n"/>
      <c r="J27" s="310" t="n"/>
      <c r="K27" s="310" t="n"/>
      <c r="L27" s="362">
        <f>IF(E27&gt;0,$H$4,0)</f>
        <v/>
      </c>
      <c r="M27" s="312">
        <f>IFERROR(VLOOKUP(F27,Tabellen!H:I,2),0)</f>
        <v/>
      </c>
      <c r="N27" s="357" t="n"/>
      <c r="O27" s="357" t="n"/>
      <c r="P27" s="251">
        <f>IF(E27&gt;0,COUNTIF($E$17:E27,"&gt;0"),0)</f>
        <v/>
      </c>
      <c r="Q27" s="75">
        <f>IF(OR(F27=47201,F27=47100,F27=47200,F27=47500),H27,0)</f>
        <v/>
      </c>
      <c r="R27" s="75">
        <f>IF(OR(F27=87201,F27=87100,F27=87200,F27=87500),H27,0)</f>
        <v/>
      </c>
    </row>
    <row r="28" ht="15" customHeight="1" s="418">
      <c r="A28" s="216">
        <f>IFERROR(VLOOKUP(E28,Tabellen!A:F,4),0)</f>
        <v/>
      </c>
      <c r="B28" s="216" t="n"/>
      <c r="C28" s="216">
        <f>IFERROR(VLOOKUP(E28,Tabellen!A:F,5),0)</f>
        <v/>
      </c>
      <c r="D28" s="216">
        <f>IFERROR(VLOOKUP(E28,Tabellen!A:F,6),0)</f>
        <v/>
      </c>
      <c r="E28" s="307" t="n"/>
      <c r="F28" s="363">
        <f>IFERROR(VLOOKUP(E28,Tabellen!A:H,8),0)</f>
        <v/>
      </c>
      <c r="G28" s="216">
        <f>IFERROR(VLOOKUP(E28,Tabellen!A:F,2),0)</f>
        <v/>
      </c>
      <c r="H28" s="310" t="n"/>
      <c r="I28" s="310" t="n"/>
      <c r="J28" s="310" t="n"/>
      <c r="K28" s="310" t="n"/>
      <c r="L28" s="362">
        <f>IF(E28&gt;0,$H$4,0)</f>
        <v/>
      </c>
      <c r="M28" s="311">
        <f>IFERROR(VLOOKUP(F28,Tabellen!H:I,2),0)</f>
        <v/>
      </c>
      <c r="N28" s="357" t="n"/>
      <c r="O28" s="357" t="n"/>
      <c r="P28" s="233">
        <f>IF(E28&gt;0,COUNTIF($E$17:E28,"&gt;0"),0)</f>
        <v/>
      </c>
      <c r="Q28" s="75">
        <f>IF(OR(F28=47201,F28=47100,F28=47200,F28=47500),H28,0)</f>
        <v/>
      </c>
      <c r="R28" s="75">
        <f>IF(OR(F28=87201,F28=87100,F28=87200,F28=87500),H28,0)</f>
        <v/>
      </c>
    </row>
    <row r="29" ht="15" customHeight="1" s="418">
      <c r="A29" s="219">
        <f>IFERROR(VLOOKUP(E29,Tabellen!A:F,4),0)</f>
        <v/>
      </c>
      <c r="B29" s="219" t="n"/>
      <c r="C29" s="219">
        <f>IFERROR(VLOOKUP(E29,Tabellen!A:F,5),0)</f>
        <v/>
      </c>
      <c r="D29" s="219">
        <f>IFERROR(VLOOKUP(E29,Tabellen!A:F,6),0)</f>
        <v/>
      </c>
      <c r="E29" s="307" t="n"/>
      <c r="F29" s="363">
        <f>IFERROR(VLOOKUP(E29,Tabellen!A:H,8),0)</f>
        <v/>
      </c>
      <c r="G29" s="219">
        <f>IFERROR(VLOOKUP(E29,Tabellen!A:F,2),0)</f>
        <v/>
      </c>
      <c r="H29" s="310" t="n"/>
      <c r="I29" s="310" t="n"/>
      <c r="J29" s="310" t="n"/>
      <c r="K29" s="310" t="n"/>
      <c r="L29" s="362">
        <f>IF(E29&gt;0,$H$4,0)</f>
        <v/>
      </c>
      <c r="M29" s="312">
        <f>IFERROR(VLOOKUP(F29,Tabellen!H:I,2),0)</f>
        <v/>
      </c>
      <c r="N29" s="357" t="n"/>
      <c r="O29" s="357" t="n"/>
      <c r="P29" s="251">
        <f>IF(E29&gt;0,COUNTIF($E$17:E29,"&gt;0"),0)</f>
        <v/>
      </c>
      <c r="Q29" s="75">
        <f>IF(OR(F29=47201,F29=47100,F29=47200,F29=47500),H29,0)</f>
        <v/>
      </c>
      <c r="R29" s="75">
        <f>IF(OR(F29=87201,F29=87100,F29=87200,F29=87500),H29,0)</f>
        <v/>
      </c>
    </row>
    <row r="30" ht="15" customHeight="1" s="418">
      <c r="A30" s="216">
        <f>IFERROR(VLOOKUP(E30,Tabellen!A:F,4),0)</f>
        <v/>
      </c>
      <c r="B30" s="216" t="n"/>
      <c r="C30" s="216">
        <f>IFERROR(VLOOKUP(E30,Tabellen!A:F,5),0)</f>
        <v/>
      </c>
      <c r="D30" s="216">
        <f>IFERROR(VLOOKUP(E30,Tabellen!A:F,6),0)</f>
        <v/>
      </c>
      <c r="E30" s="307" t="n"/>
      <c r="F30" s="363">
        <f>IFERROR(VLOOKUP(E30,Tabellen!A:H,8),0)</f>
        <v/>
      </c>
      <c r="G30" s="216">
        <f>IFERROR(VLOOKUP(E30,Tabellen!A:F,2),0)</f>
        <v/>
      </c>
      <c r="H30" s="310" t="n"/>
      <c r="I30" s="310" t="n"/>
      <c r="J30" s="310" t="n"/>
      <c r="K30" s="310" t="n"/>
      <c r="L30" s="362">
        <f>IF(E30&gt;0,$H$4,0)</f>
        <v/>
      </c>
      <c r="M30" s="311">
        <f>IFERROR(VLOOKUP(F30,Tabellen!H:I,2),0)</f>
        <v/>
      </c>
      <c r="N30" s="357" t="n"/>
      <c r="O30" s="357" t="n"/>
      <c r="P30" s="233">
        <f>IF(E30&gt;0,COUNTIF($E$17:E30,"&gt;0"),0)</f>
        <v/>
      </c>
      <c r="Q30" s="75">
        <f>IF(OR(F30=47201,F30=47100,F30=47200,F30=47500),H30,0)</f>
        <v/>
      </c>
      <c r="R30" s="75">
        <f>IF(OR(F30=87201,F30=87100,F30=87200,F30=87500),H30,0)</f>
        <v/>
      </c>
    </row>
    <row r="31" ht="15" customHeight="1" s="418">
      <c r="A31" s="219">
        <f>IFERROR(VLOOKUP(E31,Tabellen!A:F,4),0)</f>
        <v/>
      </c>
      <c r="B31" s="219" t="n"/>
      <c r="C31" s="219">
        <f>IFERROR(VLOOKUP(E31,Tabellen!A:F,5),0)</f>
        <v/>
      </c>
      <c r="D31" s="219">
        <f>IFERROR(VLOOKUP(E31,Tabellen!A:F,6),0)</f>
        <v/>
      </c>
      <c r="E31" s="307" t="n"/>
      <c r="F31" s="363">
        <f>IFERROR(VLOOKUP(E31,Tabellen!A:H,8),0)</f>
        <v/>
      </c>
      <c r="G31" s="219">
        <f>IFERROR(VLOOKUP(E31,Tabellen!A:F,2),0)</f>
        <v/>
      </c>
      <c r="H31" s="310" t="n"/>
      <c r="I31" s="310" t="n"/>
      <c r="J31" s="310" t="n"/>
      <c r="K31" s="310" t="n"/>
      <c r="L31" s="362">
        <f>IF(E31&gt;0,$H$4,0)</f>
        <v/>
      </c>
      <c r="M31" s="312">
        <f>IFERROR(VLOOKUP(F31,Tabellen!H:I,2),0)</f>
        <v/>
      </c>
      <c r="N31" s="357" t="n"/>
      <c r="O31" s="357" t="n"/>
      <c r="P31" s="251">
        <f>IF(E31&gt;0,COUNTIF($E$17:E31,"&gt;0"),0)</f>
        <v/>
      </c>
      <c r="Q31" s="75">
        <f>IF(OR(F31=47201,F31=47100,F31=47200,F31=47500),H31,0)</f>
        <v/>
      </c>
      <c r="R31" s="75">
        <f>IF(OR(F31=87201,F31=87100,F31=87200,F31=87500),H31,0)</f>
        <v/>
      </c>
    </row>
    <row r="32" ht="15" customHeight="1" s="418">
      <c r="A32" s="216">
        <f>IFERROR(VLOOKUP(E32,Tabellen!A:F,4),0)</f>
        <v/>
      </c>
      <c r="B32" s="216" t="n"/>
      <c r="C32" s="216">
        <f>IFERROR(VLOOKUP(E32,Tabellen!A:F,5),0)</f>
        <v/>
      </c>
      <c r="D32" s="216">
        <f>IFERROR(VLOOKUP(E32,Tabellen!A:F,6),0)</f>
        <v/>
      </c>
      <c r="E32" s="307" t="n"/>
      <c r="F32" s="363">
        <f>IFERROR(VLOOKUP(E32,Tabellen!A:H,8),0)</f>
        <v/>
      </c>
      <c r="G32" s="216">
        <f>IFERROR(VLOOKUP(E32,Tabellen!A:F,2),0)</f>
        <v/>
      </c>
      <c r="H32" s="310" t="n"/>
      <c r="I32" s="310" t="n"/>
      <c r="J32" s="310" t="n"/>
      <c r="K32" s="310" t="n"/>
      <c r="L32" s="362">
        <f>IF(E32&gt;0,$H$4,0)</f>
        <v/>
      </c>
      <c r="M32" s="311">
        <f>IFERROR(VLOOKUP(F32,Tabellen!H:I,2),0)</f>
        <v/>
      </c>
      <c r="N32" s="357" t="n"/>
      <c r="O32" s="357" t="n"/>
      <c r="P32" s="233">
        <f>IF(E32&gt;0,COUNTIF($E$17:E32,"&gt;0"),0)</f>
        <v/>
      </c>
      <c r="Q32" s="75">
        <f>IF(OR(F32=47201,F32=47100,F32=47200,F32=47500),H32,0)</f>
        <v/>
      </c>
      <c r="R32" s="75">
        <f>IF(OR(F32=87201,F32=87100,F32=87200,F32=87500),H32,0)</f>
        <v/>
      </c>
    </row>
    <row r="33" ht="15" customHeight="1" s="418">
      <c r="A33" s="219">
        <f>IFERROR(VLOOKUP(E33,Tabellen!A:F,4),0)</f>
        <v/>
      </c>
      <c r="B33" s="219" t="n"/>
      <c r="C33" s="219">
        <f>IFERROR(VLOOKUP(E33,Tabellen!A:F,5),0)</f>
        <v/>
      </c>
      <c r="D33" s="219">
        <f>IFERROR(VLOOKUP(E33,Tabellen!A:F,6),0)</f>
        <v/>
      </c>
      <c r="E33" s="307" t="n"/>
      <c r="F33" s="363">
        <f>IFERROR(VLOOKUP(E33,Tabellen!A:H,8),0)</f>
        <v/>
      </c>
      <c r="G33" s="219">
        <f>IFERROR(VLOOKUP(E33,Tabellen!A:F,2),0)</f>
        <v/>
      </c>
      <c r="H33" s="310" t="n"/>
      <c r="I33" s="310" t="n"/>
      <c r="J33" s="310" t="n"/>
      <c r="K33" s="310" t="n"/>
      <c r="L33" s="362">
        <f>IF(E33&gt;0,$H$4,0)</f>
        <v/>
      </c>
      <c r="M33" s="312">
        <f>IFERROR(VLOOKUP(F33,Tabellen!H:I,2),0)</f>
        <v/>
      </c>
      <c r="N33" s="357" t="n"/>
      <c r="O33" s="357" t="n"/>
      <c r="P33" s="251">
        <f>IF(E33&gt;0,COUNTIF($E$17:E33,"&gt;0"),0)</f>
        <v/>
      </c>
      <c r="Q33" s="75">
        <f>IF(OR(F33=47201,F33=47100,F33=47200,F33=47500),H33,0)</f>
        <v/>
      </c>
      <c r="R33" s="75">
        <f>IF(OR(F33=87201,F33=87100,F33=87200,F33=87500),H33,0)</f>
        <v/>
      </c>
    </row>
    <row r="34" ht="15" customHeight="1" s="418">
      <c r="A34" s="216">
        <f>IFERROR(VLOOKUP(E34,Tabellen!A:F,4),0)</f>
        <v/>
      </c>
      <c r="B34" s="216" t="n"/>
      <c r="C34" s="216">
        <f>IFERROR(VLOOKUP(E34,Tabellen!A:F,5),0)</f>
        <v/>
      </c>
      <c r="D34" s="216">
        <f>IFERROR(VLOOKUP(E34,Tabellen!A:F,6),0)</f>
        <v/>
      </c>
      <c r="E34" s="307" t="n"/>
      <c r="F34" s="363">
        <f>IFERROR(VLOOKUP(E34,Tabellen!A:H,8),0)</f>
        <v/>
      </c>
      <c r="G34" s="216">
        <f>IFERROR(VLOOKUP(E34,Tabellen!A:F,2),0)</f>
        <v/>
      </c>
      <c r="H34" s="310" t="n"/>
      <c r="I34" s="310" t="n"/>
      <c r="J34" s="310" t="n"/>
      <c r="K34" s="310" t="n"/>
      <c r="L34" s="362">
        <f>IF(E34&gt;0,$H$4,0)</f>
        <v/>
      </c>
      <c r="M34" s="311">
        <f>IFERROR(VLOOKUP(F34,Tabellen!H:I,2),0)</f>
        <v/>
      </c>
      <c r="N34" s="357" t="n"/>
      <c r="O34" s="357" t="n"/>
      <c r="P34" s="233">
        <f>IF(E34&gt;0,COUNTIF($E$17:E34,"&gt;0"),0)</f>
        <v/>
      </c>
      <c r="Q34" s="75">
        <f>IF(OR(F34=47201,F34=47100,F34=47200,F34=47500),H34,0)</f>
        <v/>
      </c>
      <c r="R34" s="75">
        <f>IF(OR(F34=87201,F34=87100,F34=87200,F34=87500),H34,0)</f>
        <v/>
      </c>
    </row>
    <row r="35" ht="15" customHeight="1" s="418">
      <c r="A35" s="219">
        <f>IFERROR(VLOOKUP(E35,Tabellen!A:F,4),0)</f>
        <v/>
      </c>
      <c r="B35" s="219" t="n"/>
      <c r="C35" s="219">
        <f>IFERROR(VLOOKUP(E35,Tabellen!A:F,5),0)</f>
        <v/>
      </c>
      <c r="D35" s="219">
        <f>IFERROR(VLOOKUP(E35,Tabellen!A:F,6),0)</f>
        <v/>
      </c>
      <c r="E35" s="307" t="n"/>
      <c r="F35" s="363">
        <f>IFERROR(VLOOKUP(E35,Tabellen!A:H,8),0)</f>
        <v/>
      </c>
      <c r="G35" s="219">
        <f>IFERROR(VLOOKUP(E35,Tabellen!A:F,2),0)</f>
        <v/>
      </c>
      <c r="H35" s="310" t="n"/>
      <c r="I35" s="310" t="n"/>
      <c r="J35" s="310" t="n"/>
      <c r="K35" s="310" t="n"/>
      <c r="L35" s="362">
        <f>IF(E35&gt;0,$H$4,0)</f>
        <v/>
      </c>
      <c r="M35" s="312">
        <f>IFERROR(VLOOKUP(F35,Tabellen!H:I,2),0)</f>
        <v/>
      </c>
      <c r="N35" s="357" t="n"/>
      <c r="O35" s="357" t="n"/>
      <c r="P35" s="251">
        <f>IF(E35&gt;0,COUNTIF($E$17:E35,"&gt;0"),0)</f>
        <v/>
      </c>
      <c r="Q35" s="75">
        <f>IF(OR(F35=47201,F35=47100,F35=47200,F35=47500),H35,0)</f>
        <v/>
      </c>
      <c r="R35" s="75">
        <f>IF(OR(F35=87201,F35=87100,F35=87200,F35=87500),H35,0)</f>
        <v/>
      </c>
    </row>
    <row r="36" ht="15" customHeight="1" s="418">
      <c r="A36" s="216">
        <f>IFERROR(VLOOKUP(E36,Tabellen!A:F,4),0)</f>
        <v/>
      </c>
      <c r="B36" s="216" t="n"/>
      <c r="C36" s="216">
        <f>IFERROR(VLOOKUP(E36,Tabellen!A:F,5),0)</f>
        <v/>
      </c>
      <c r="D36" s="216">
        <f>IFERROR(VLOOKUP(E36,Tabellen!A:F,6),0)</f>
        <v/>
      </c>
      <c r="E36" s="307" t="n"/>
      <c r="F36" s="363">
        <f>IFERROR(VLOOKUP(E36,Tabellen!A:H,8),0)</f>
        <v/>
      </c>
      <c r="G36" s="216">
        <f>IFERROR(VLOOKUP(E36,Tabellen!A:F,2),0)</f>
        <v/>
      </c>
      <c r="H36" s="310" t="n"/>
      <c r="I36" s="310" t="n"/>
      <c r="J36" s="310" t="n"/>
      <c r="K36" s="310" t="n"/>
      <c r="L36" s="362">
        <f>IF(E36&gt;0,$H$4,0)</f>
        <v/>
      </c>
      <c r="M36" s="311">
        <f>IFERROR(VLOOKUP(F36,Tabellen!H:I,2),0)</f>
        <v/>
      </c>
      <c r="N36" s="357" t="n"/>
      <c r="O36" s="357" t="n"/>
      <c r="P36" s="233">
        <f>IF(E36&gt;0,COUNTIF($E$17:E36,"&gt;0"),0)</f>
        <v/>
      </c>
      <c r="Q36" s="75">
        <f>IF(OR(F36=47201,F36=47100,F36=47200,F36=47500),H36,0)</f>
        <v/>
      </c>
      <c r="R36" s="75">
        <f>IF(OR(F36=87201,F36=87100,F36=87200,F36=87500),H36,0)</f>
        <v/>
      </c>
    </row>
    <row r="37" ht="15" customHeight="1" s="418">
      <c r="A37" s="219">
        <f>IFERROR(VLOOKUP(E37,Tabellen!A:F,4),0)</f>
        <v/>
      </c>
      <c r="B37" s="219" t="n"/>
      <c r="C37" s="219">
        <f>IFERROR(VLOOKUP(E37,Tabellen!A:F,5),0)</f>
        <v/>
      </c>
      <c r="D37" s="219">
        <f>IFERROR(VLOOKUP(E37,Tabellen!A:F,6),0)</f>
        <v/>
      </c>
      <c r="E37" s="307" t="n"/>
      <c r="F37" s="363">
        <f>IFERROR(VLOOKUP(E37,Tabellen!A:H,8),0)</f>
        <v/>
      </c>
      <c r="G37" s="219">
        <f>IFERROR(VLOOKUP(E37,Tabellen!A:F,2),0)</f>
        <v/>
      </c>
      <c r="H37" s="310" t="n"/>
      <c r="I37" s="310" t="n"/>
      <c r="J37" s="310" t="n"/>
      <c r="K37" s="310" t="n"/>
      <c r="L37" s="362">
        <f>IF(E37&gt;0,$H$4,0)</f>
        <v/>
      </c>
      <c r="M37" s="312">
        <f>IFERROR(VLOOKUP(F37,Tabellen!H:I,2),0)</f>
        <v/>
      </c>
      <c r="N37" s="357" t="n"/>
      <c r="O37" s="357" t="n"/>
      <c r="P37" s="251">
        <f>IF(E37&gt;0,COUNTIF($E$17:E37,"&gt;0"),0)</f>
        <v/>
      </c>
      <c r="Q37" s="75">
        <f>IF(OR(F37=47201,F37=47100,F37=47200,F37=47500),H37,0)</f>
        <v/>
      </c>
      <c r="R37" s="75">
        <f>IF(OR(F37=87201,F37=87100,F37=87200,F37=87500),H37,0)</f>
        <v/>
      </c>
    </row>
    <row r="38" ht="15" customHeight="1" s="418">
      <c r="A38" s="216">
        <f>IFERROR(VLOOKUP(E38,Tabellen!A:F,4),0)</f>
        <v/>
      </c>
      <c r="B38" s="216" t="n"/>
      <c r="C38" s="216">
        <f>IFERROR(VLOOKUP(E38,Tabellen!A:F,5),0)</f>
        <v/>
      </c>
      <c r="D38" s="216">
        <f>IFERROR(VLOOKUP(E38,Tabellen!A:F,6),0)</f>
        <v/>
      </c>
      <c r="E38" s="307" t="n"/>
      <c r="F38" s="363">
        <f>IFERROR(VLOOKUP(E38,Tabellen!A:H,8),0)</f>
        <v/>
      </c>
      <c r="G38" s="216">
        <f>IFERROR(VLOOKUP(E38,Tabellen!A:F,2),0)</f>
        <v/>
      </c>
      <c r="H38" s="310" t="n"/>
      <c r="I38" s="310" t="n"/>
      <c r="J38" s="310" t="n"/>
      <c r="K38" s="310" t="n"/>
      <c r="L38" s="362">
        <f>IF(E38&gt;0,$H$4,0)</f>
        <v/>
      </c>
      <c r="M38" s="311">
        <f>IFERROR(VLOOKUP(F38,Tabellen!H:I,2),0)</f>
        <v/>
      </c>
      <c r="N38" s="357" t="n"/>
      <c r="O38" s="357" t="n"/>
      <c r="P38" s="233">
        <f>IF(E38&gt;0,COUNTIF($E$17:E38,"&gt;0"),0)</f>
        <v/>
      </c>
      <c r="Q38" s="75">
        <f>IF(OR(F38=47201,F38=47100,F38=47200,F38=47500),H38,0)</f>
        <v/>
      </c>
      <c r="R38" s="75">
        <f>IF(OR(F38=87201,F38=87100,F38=87200,F38=87500),H38,0)</f>
        <v/>
      </c>
    </row>
    <row r="39" ht="15" customHeight="1" s="418">
      <c r="A39" s="219">
        <f>IFERROR(VLOOKUP(E39,Tabellen!A:F,4),0)</f>
        <v/>
      </c>
      <c r="B39" s="219" t="n"/>
      <c r="C39" s="219">
        <f>IFERROR(VLOOKUP(E39,Tabellen!A:F,5),0)</f>
        <v/>
      </c>
      <c r="D39" s="219">
        <f>IFERROR(VLOOKUP(E39,Tabellen!A:F,6),0)</f>
        <v/>
      </c>
      <c r="E39" s="307" t="n"/>
      <c r="F39" s="363">
        <f>IFERROR(VLOOKUP(E39,Tabellen!A:H,8),0)</f>
        <v/>
      </c>
      <c r="G39" s="219">
        <f>IFERROR(VLOOKUP(E39,Tabellen!A:F,2),0)</f>
        <v/>
      </c>
      <c r="H39" s="310" t="n"/>
      <c r="I39" s="310" t="n"/>
      <c r="J39" s="310" t="n"/>
      <c r="K39" s="310" t="n"/>
      <c r="L39" s="362">
        <f>IF(E39&gt;0,$H$4,0)</f>
        <v/>
      </c>
      <c r="M39" s="312">
        <f>IFERROR(VLOOKUP(F39,Tabellen!H:I,2),0)</f>
        <v/>
      </c>
      <c r="N39" s="357" t="n"/>
      <c r="O39" s="357" t="n"/>
      <c r="P39" s="251">
        <f>IF(E39&gt;0,COUNTIF($E$17:E39,"&gt;0"),0)</f>
        <v/>
      </c>
      <c r="Q39" s="75">
        <f>IF(OR(F39=47201,F39=47100,F39=47200,F39=47500),H39,0)</f>
        <v/>
      </c>
      <c r="R39" s="75">
        <f>IF(OR(F39=87201,F39=87100,F39=87200,F39=87500),H39,0)</f>
        <v/>
      </c>
    </row>
    <row r="40" ht="15" customHeight="1" s="418">
      <c r="A40" s="216">
        <f>IFERROR(VLOOKUP(E40,Tabellen!A:F,4),0)</f>
        <v/>
      </c>
      <c r="B40" s="216" t="n"/>
      <c r="C40" s="216">
        <f>IFERROR(VLOOKUP(E40,Tabellen!A:F,5),0)</f>
        <v/>
      </c>
      <c r="D40" s="216">
        <f>IFERROR(VLOOKUP(E40,Tabellen!A:F,6),0)</f>
        <v/>
      </c>
      <c r="E40" s="307" t="n"/>
      <c r="F40" s="363">
        <f>IFERROR(VLOOKUP(E40,Tabellen!A:H,8),0)</f>
        <v/>
      </c>
      <c r="G40" s="216">
        <f>IFERROR(VLOOKUP(E40,Tabellen!A:F,2),0)</f>
        <v/>
      </c>
      <c r="H40" s="310" t="n"/>
      <c r="I40" s="310" t="n"/>
      <c r="J40" s="310" t="n"/>
      <c r="K40" s="310" t="n"/>
      <c r="L40" s="362">
        <f>IF(E40&gt;0,$H$4,0)</f>
        <v/>
      </c>
      <c r="M40" s="311">
        <f>IFERROR(VLOOKUP(F40,Tabellen!H:I,2),0)</f>
        <v/>
      </c>
      <c r="N40" s="357" t="n"/>
      <c r="O40" s="357" t="n"/>
      <c r="P40" s="233">
        <f>IF(E40&gt;0,COUNTIF($E$17:E40,"&gt;0"),0)</f>
        <v/>
      </c>
      <c r="Q40" s="75">
        <f>IF(OR(F40=47201,F40=47100,F40=47200,F40=47500),H40,0)</f>
        <v/>
      </c>
      <c r="R40" s="75">
        <f>IF(OR(F40=87201,F40=87100,F40=87200,F40=87500),H40,0)</f>
        <v/>
      </c>
    </row>
    <row r="41" ht="15" customHeight="1" s="418">
      <c r="A41" s="219">
        <f>IFERROR(VLOOKUP(E41,Tabellen!A:F,4),0)</f>
        <v/>
      </c>
      <c r="B41" s="219" t="n"/>
      <c r="C41" s="219">
        <f>IFERROR(VLOOKUP(E41,Tabellen!A:F,5),0)</f>
        <v/>
      </c>
      <c r="D41" s="219">
        <f>IFERROR(VLOOKUP(E41,Tabellen!A:F,6),0)</f>
        <v/>
      </c>
      <c r="E41" s="307" t="n"/>
      <c r="F41" s="363">
        <f>IFERROR(VLOOKUP(E41,Tabellen!A:H,8),0)</f>
        <v/>
      </c>
      <c r="G41" s="219">
        <f>IFERROR(VLOOKUP(E41,Tabellen!A:F,2),0)</f>
        <v/>
      </c>
      <c r="H41" s="310" t="n"/>
      <c r="I41" s="310" t="n"/>
      <c r="J41" s="310" t="n"/>
      <c r="K41" s="310" t="n"/>
      <c r="L41" s="362">
        <f>IF(E41&gt;0,$H$4,0)</f>
        <v/>
      </c>
      <c r="M41" s="312">
        <f>IFERROR(VLOOKUP(F41,Tabellen!H:I,2),0)</f>
        <v/>
      </c>
      <c r="N41" s="357" t="n"/>
      <c r="O41" s="357" t="n"/>
      <c r="P41" s="251">
        <f>IF(E41&gt;0,COUNTIF($E$17:E41,"&gt;0"),0)</f>
        <v/>
      </c>
      <c r="Q41" s="75">
        <f>IF(OR(F41=47201,F41=47100,F41=47200,F41=47500),H41,0)</f>
        <v/>
      </c>
      <c r="R41" s="75">
        <f>IF(OR(F41=87201,F41=87100,F41=87200,F41=87500),H41,0)</f>
        <v/>
      </c>
    </row>
    <row r="42" ht="15" customHeight="1" s="418">
      <c r="A42" s="216">
        <f>IFERROR(VLOOKUP(E42,Tabellen!A:F,4),0)</f>
        <v/>
      </c>
      <c r="B42" s="216" t="n"/>
      <c r="C42" s="216">
        <f>IFERROR(VLOOKUP(E42,Tabellen!A:F,5),0)</f>
        <v/>
      </c>
      <c r="D42" s="216">
        <f>IFERROR(VLOOKUP(E42,Tabellen!A:F,6),0)</f>
        <v/>
      </c>
      <c r="E42" s="307" t="n"/>
      <c r="F42" s="363">
        <f>IFERROR(VLOOKUP(E42,Tabellen!A:H,8),0)</f>
        <v/>
      </c>
      <c r="G42" s="216">
        <f>IFERROR(VLOOKUP(E42,Tabellen!A:F,2),0)</f>
        <v/>
      </c>
      <c r="H42" s="310" t="n"/>
      <c r="I42" s="310" t="n"/>
      <c r="J42" s="310" t="n"/>
      <c r="K42" s="310" t="n"/>
      <c r="L42" s="362">
        <f>IF(E42&gt;0,$H$4,0)</f>
        <v/>
      </c>
      <c r="M42" s="311">
        <f>IFERROR(VLOOKUP(F42,Tabellen!H:I,2),0)</f>
        <v/>
      </c>
      <c r="N42" s="357" t="n"/>
      <c r="O42" s="357" t="n"/>
      <c r="P42" s="233">
        <f>IF(E42&gt;0,COUNTIF($E$17:E42,"&gt;0"),0)</f>
        <v/>
      </c>
      <c r="Q42" s="75">
        <f>IF(OR(F42=47201,F42=47100,F42=47200,F42=47500),H42,0)</f>
        <v/>
      </c>
      <c r="R42" s="75">
        <f>IF(OR(F42=87201,F42=87100,F42=87200,F42=87500),H42,0)</f>
        <v/>
      </c>
    </row>
    <row r="43" ht="15" customHeight="1" s="418">
      <c r="A43" s="219">
        <f>IFERROR(VLOOKUP(E43,Tabellen!A:F,4),0)</f>
        <v/>
      </c>
      <c r="B43" s="219" t="n"/>
      <c r="C43" s="219">
        <f>IFERROR(VLOOKUP(E43,Tabellen!A:F,5),0)</f>
        <v/>
      </c>
      <c r="D43" s="219">
        <f>IFERROR(VLOOKUP(E43,Tabellen!A:F,6),0)</f>
        <v/>
      </c>
      <c r="E43" s="307" t="n"/>
      <c r="F43" s="363">
        <f>IFERROR(VLOOKUP(E43,Tabellen!A:H,8),0)</f>
        <v/>
      </c>
      <c r="G43" s="219">
        <f>IFERROR(VLOOKUP(E43,Tabellen!A:F,2),0)</f>
        <v/>
      </c>
      <c r="H43" s="310" t="n"/>
      <c r="I43" s="310" t="n"/>
      <c r="J43" s="310" t="n"/>
      <c r="K43" s="310" t="n"/>
      <c r="L43" s="362">
        <f>IF(E43&gt;0,$H$4,0)</f>
        <v/>
      </c>
      <c r="M43" s="312">
        <f>IFERROR(VLOOKUP(F43,Tabellen!H:I,2),0)</f>
        <v/>
      </c>
      <c r="N43" s="357" t="n"/>
      <c r="O43" s="357" t="n"/>
      <c r="P43" s="251">
        <f>IF(E43&gt;0,COUNTIF($E$17:E43,"&gt;0"),0)</f>
        <v/>
      </c>
      <c r="Q43" s="75">
        <f>IF(OR(F43=47201,F43=47100,F43=47200,F43=47500),H43,0)</f>
        <v/>
      </c>
      <c r="R43" s="75">
        <f>IF(OR(F43=87201,F43=87100,F43=87200,F43=87500),H43,0)</f>
        <v/>
      </c>
    </row>
    <row r="44" ht="15" customHeight="1" s="418">
      <c r="A44" s="216">
        <f>IFERROR(VLOOKUP(E44,Tabellen!A:F,4),0)</f>
        <v/>
      </c>
      <c r="B44" s="216" t="n"/>
      <c r="C44" s="216">
        <f>IFERROR(VLOOKUP(E44,Tabellen!A:F,5),0)</f>
        <v/>
      </c>
      <c r="D44" s="216">
        <f>IFERROR(VLOOKUP(E44,Tabellen!A:F,6),0)</f>
        <v/>
      </c>
      <c r="E44" s="307" t="n"/>
      <c r="F44" s="363">
        <f>IFERROR(VLOOKUP(E44,Tabellen!A:H,8),0)</f>
        <v/>
      </c>
      <c r="G44" s="216">
        <f>IFERROR(VLOOKUP(E44,Tabellen!A:F,2),0)</f>
        <v/>
      </c>
      <c r="H44" s="310" t="n"/>
      <c r="I44" s="310" t="n"/>
      <c r="J44" s="310" t="n"/>
      <c r="K44" s="310" t="n"/>
      <c r="L44" s="362">
        <f>IF(E44&gt;0,$H$4,0)</f>
        <v/>
      </c>
      <c r="M44" s="311">
        <f>IFERROR(VLOOKUP(F44,Tabellen!H:I,2),0)</f>
        <v/>
      </c>
      <c r="N44" s="357" t="n"/>
      <c r="O44" s="357" t="n"/>
      <c r="P44" s="233">
        <f>IF(E44&gt;0,COUNTIF($E$17:E44,"&gt;0"),0)</f>
        <v/>
      </c>
      <c r="Q44" s="75">
        <f>IF(OR(F44=47201,F44=47100,F44=47200,F44=47500),H44,0)</f>
        <v/>
      </c>
      <c r="R44" s="75">
        <f>IF(OR(F44=87201,F44=87100,F44=87200,F44=87500),H44,0)</f>
        <v/>
      </c>
    </row>
    <row r="45" ht="15" customHeight="1" s="418">
      <c r="A45" s="219">
        <f>IFERROR(VLOOKUP(E45,Tabellen!A:F,4),0)</f>
        <v/>
      </c>
      <c r="B45" s="219" t="n"/>
      <c r="C45" s="219">
        <f>IFERROR(VLOOKUP(E45,Tabellen!A:F,5),0)</f>
        <v/>
      </c>
      <c r="D45" s="219">
        <f>IFERROR(VLOOKUP(E45,Tabellen!A:F,6),0)</f>
        <v/>
      </c>
      <c r="E45" s="307" t="n"/>
      <c r="F45" s="363">
        <f>IFERROR(VLOOKUP(E45,Tabellen!A:H,8),0)</f>
        <v/>
      </c>
      <c r="G45" s="219">
        <f>IFERROR(VLOOKUP(E45,Tabellen!A:F,2),0)</f>
        <v/>
      </c>
      <c r="H45" s="310" t="n"/>
      <c r="I45" s="310" t="n"/>
      <c r="J45" s="310" t="n"/>
      <c r="K45" s="310" t="n"/>
      <c r="L45" s="362">
        <f>IF(E45&gt;0,$H$4,0)</f>
        <v/>
      </c>
      <c r="M45" s="312">
        <f>IFERROR(VLOOKUP(F45,Tabellen!H:I,2),0)</f>
        <v/>
      </c>
      <c r="N45" s="357" t="n"/>
      <c r="O45" s="357" t="n"/>
      <c r="P45" s="251">
        <f>IF(E45&gt;0,COUNTIF($E$17:E45,"&gt;0"),0)</f>
        <v/>
      </c>
      <c r="Q45" s="75">
        <f>IF(OR(F45=47201,F45=47100,F45=47200,F45=47500),H45,0)</f>
        <v/>
      </c>
      <c r="R45" s="75">
        <f>IF(OR(F45=87201,F45=87100,F45=87200,F45=87500),H45,0)</f>
        <v/>
      </c>
    </row>
    <row r="46" ht="15" customHeight="1" s="418">
      <c r="A46" s="216">
        <f>IFERROR(VLOOKUP(E46,Tabellen!A:F,4),0)</f>
        <v/>
      </c>
      <c r="B46" s="216" t="n"/>
      <c r="C46" s="216">
        <f>IFERROR(VLOOKUP(E46,Tabellen!A:F,5),0)</f>
        <v/>
      </c>
      <c r="D46" s="216">
        <f>IFERROR(VLOOKUP(E46,Tabellen!A:F,6),0)</f>
        <v/>
      </c>
      <c r="E46" s="307" t="n"/>
      <c r="F46" s="363">
        <f>IFERROR(VLOOKUP(E46,Tabellen!A:H,8),0)</f>
        <v/>
      </c>
      <c r="G46" s="216">
        <f>IFERROR(VLOOKUP(E46,Tabellen!A:F,2),0)</f>
        <v/>
      </c>
      <c r="H46" s="310" t="n"/>
      <c r="I46" s="310" t="n"/>
      <c r="J46" s="310" t="n"/>
      <c r="K46" s="310" t="n"/>
      <c r="L46" s="362">
        <f>IF(E46&gt;0,$H$4,0)</f>
        <v/>
      </c>
      <c r="M46" s="311">
        <f>IFERROR(VLOOKUP(F46,Tabellen!H:I,2),0)</f>
        <v/>
      </c>
      <c r="N46" s="357" t="n"/>
      <c r="O46" s="357" t="n"/>
      <c r="P46" s="233">
        <f>IF(E46&gt;0,COUNTIF($E$17:E46,"&gt;0"),0)</f>
        <v/>
      </c>
      <c r="Q46" s="75">
        <f>IF(OR(F46=47201,F46=47100,F46=47200,F46=47500),H46,0)</f>
        <v/>
      </c>
      <c r="R46" s="75">
        <f>IF(OR(F46=87201,F46=87100,F46=87200,F46=87500),H46,0)</f>
        <v/>
      </c>
    </row>
    <row r="47" ht="15" customHeight="1" s="418">
      <c r="A47" s="219">
        <f>IFERROR(VLOOKUP(E47,Tabellen!A:F,4),0)</f>
        <v/>
      </c>
      <c r="B47" s="219" t="n"/>
      <c r="C47" s="219">
        <f>IFERROR(VLOOKUP(E47,Tabellen!A:F,5),0)</f>
        <v/>
      </c>
      <c r="D47" s="219">
        <f>IFERROR(VLOOKUP(E47,Tabellen!A:F,6),0)</f>
        <v/>
      </c>
      <c r="E47" s="307" t="n"/>
      <c r="F47" s="363">
        <f>IFERROR(VLOOKUP(E47,Tabellen!A:H,8),0)</f>
        <v/>
      </c>
      <c r="G47" s="219">
        <f>IFERROR(VLOOKUP(E47,Tabellen!A:F,2),0)</f>
        <v/>
      </c>
      <c r="H47" s="310" t="n"/>
      <c r="I47" s="310" t="n"/>
      <c r="J47" s="310" t="n"/>
      <c r="K47" s="310" t="n"/>
      <c r="L47" s="362">
        <f>IF(E47&gt;0,$H$4,0)</f>
        <v/>
      </c>
      <c r="M47" s="312">
        <f>IFERROR(VLOOKUP(F47,Tabellen!H:I,2),0)</f>
        <v/>
      </c>
      <c r="N47" s="357" t="n"/>
      <c r="O47" s="357" t="n"/>
      <c r="P47" s="251">
        <f>IF(E47&gt;0,COUNTIF($E$17:E47,"&gt;0"),0)</f>
        <v/>
      </c>
      <c r="Q47" s="75">
        <f>IF(OR(F47=47201,F47=47100,F47=47200,F47=47500),H47,0)</f>
        <v/>
      </c>
      <c r="R47" s="75">
        <f>IF(OR(F47=87201,F47=87100,F47=87200,F47=87500),H47,0)</f>
        <v/>
      </c>
    </row>
    <row r="48" ht="15" customHeight="1" s="418">
      <c r="A48" s="216">
        <f>IFERROR(VLOOKUP(E48,Tabellen!A:F,4),0)</f>
        <v/>
      </c>
      <c r="B48" s="216" t="n"/>
      <c r="C48" s="216">
        <f>IFERROR(VLOOKUP(E48,Tabellen!A:F,5),0)</f>
        <v/>
      </c>
      <c r="D48" s="216">
        <f>IFERROR(VLOOKUP(E48,Tabellen!A:F,6),0)</f>
        <v/>
      </c>
      <c r="E48" s="307" t="n"/>
      <c r="F48" s="363">
        <f>IFERROR(VLOOKUP(E48,Tabellen!A:H,8),0)</f>
        <v/>
      </c>
      <c r="G48" s="216">
        <f>IFERROR(VLOOKUP(E48,Tabellen!A:F,2),0)</f>
        <v/>
      </c>
      <c r="H48" s="310" t="n"/>
      <c r="I48" s="310" t="n"/>
      <c r="J48" s="310" t="n"/>
      <c r="K48" s="310" t="n"/>
      <c r="L48" s="362">
        <f>IF(E48&gt;0,$H$4,0)</f>
        <v/>
      </c>
      <c r="M48" s="311">
        <f>IFERROR(VLOOKUP(F48,Tabellen!H:I,2),0)</f>
        <v/>
      </c>
      <c r="N48" s="357" t="n"/>
      <c r="O48" s="357" t="n"/>
      <c r="P48" s="233">
        <f>IF(E48&gt;0,COUNTIF($E$17:E48,"&gt;0"),0)</f>
        <v/>
      </c>
      <c r="Q48" s="75">
        <f>IF(OR(F48=47201,F48=47100,F48=47200,F48=47500),H48,0)</f>
        <v/>
      </c>
      <c r="R48" s="75">
        <f>IF(OR(F48=87201,F48=87100,F48=87200,F48=87500),H48,0)</f>
        <v/>
      </c>
    </row>
    <row r="49" ht="15" customHeight="1" s="418">
      <c r="A49" s="219">
        <f>IFERROR(VLOOKUP(E49,Tabellen!A:F,4),0)</f>
        <v/>
      </c>
      <c r="B49" s="219" t="n"/>
      <c r="C49" s="219">
        <f>IFERROR(VLOOKUP(E49,Tabellen!A:F,5),0)</f>
        <v/>
      </c>
      <c r="D49" s="219">
        <f>IFERROR(VLOOKUP(E49,Tabellen!A:F,6),0)</f>
        <v/>
      </c>
      <c r="E49" s="307" t="n"/>
      <c r="F49" s="363">
        <f>IFERROR(VLOOKUP(E49,Tabellen!A:H,8),0)</f>
        <v/>
      </c>
      <c r="G49" s="219">
        <f>IFERROR(VLOOKUP(E49,Tabellen!A:F,2),0)</f>
        <v/>
      </c>
      <c r="H49" s="310" t="n"/>
      <c r="I49" s="310" t="n"/>
      <c r="J49" s="310" t="n"/>
      <c r="K49" s="310" t="n"/>
      <c r="L49" s="362">
        <f>IF(E49&gt;0,$H$4,0)</f>
        <v/>
      </c>
      <c r="M49" s="312">
        <f>IFERROR(VLOOKUP(F49,Tabellen!H:I,2),0)</f>
        <v/>
      </c>
      <c r="N49" s="357" t="n"/>
      <c r="O49" s="357" t="n"/>
      <c r="P49" s="251">
        <f>IF(E49&gt;0,COUNTIF($E$17:E49,"&gt;0"),0)</f>
        <v/>
      </c>
      <c r="Q49" s="75">
        <f>IF(OR(F49=47201,F49=47100,F49=47200,F49=47500),H49,0)</f>
        <v/>
      </c>
      <c r="R49" s="75">
        <f>IF(OR(F49=87201,F49=87100,F49=87200,F49=87500),H49,0)</f>
        <v/>
      </c>
    </row>
    <row r="50" ht="15" customHeight="1" s="418">
      <c r="A50" s="216">
        <f>IFERROR(VLOOKUP(E50,Tabellen!A:F,4),0)</f>
        <v/>
      </c>
      <c r="B50" s="216" t="n"/>
      <c r="C50" s="216">
        <f>IFERROR(VLOOKUP(E50,Tabellen!A:F,5),0)</f>
        <v/>
      </c>
      <c r="D50" s="216">
        <f>IFERROR(VLOOKUP(E50,Tabellen!A:F,6),0)</f>
        <v/>
      </c>
      <c r="E50" s="307" t="n"/>
      <c r="F50" s="363">
        <f>IFERROR(VLOOKUP(E50,Tabellen!A:H,8),0)</f>
        <v/>
      </c>
      <c r="G50" s="216">
        <f>IFERROR(VLOOKUP(E50,Tabellen!A:F,2),0)</f>
        <v/>
      </c>
      <c r="H50" s="310" t="n"/>
      <c r="I50" s="310" t="n"/>
      <c r="J50" s="310" t="n"/>
      <c r="K50" s="310" t="n"/>
      <c r="L50" s="362">
        <f>IF(E50&gt;0,$H$4,0)</f>
        <v/>
      </c>
      <c r="M50" s="311">
        <f>IFERROR(VLOOKUP(F50,Tabellen!H:I,2),0)</f>
        <v/>
      </c>
      <c r="N50" s="357" t="n"/>
      <c r="O50" s="357" t="n"/>
      <c r="P50" s="233">
        <f>IF(E50&gt;0,COUNTIF($E$17:E50,"&gt;0"),0)</f>
        <v/>
      </c>
      <c r="Q50" s="75">
        <f>IF(OR(F50=47201,F50=47100,F50=47200,F50=47500),H50,0)</f>
        <v/>
      </c>
      <c r="R50" s="75">
        <f>IF(OR(F50=87201,F50=87100,F50=87200,F50=87500),H50,0)</f>
        <v/>
      </c>
    </row>
    <row r="51" ht="15" customHeight="1" s="418">
      <c r="A51" s="219">
        <f>IFERROR(VLOOKUP(E51,Tabellen!A:F,4),0)</f>
        <v/>
      </c>
      <c r="B51" s="219" t="n"/>
      <c r="C51" s="219">
        <f>IFERROR(VLOOKUP(E51,Tabellen!A:F,5),0)</f>
        <v/>
      </c>
      <c r="D51" s="219">
        <f>IFERROR(VLOOKUP(E51,Tabellen!A:F,6),0)</f>
        <v/>
      </c>
      <c r="E51" s="307" t="n"/>
      <c r="F51" s="363">
        <f>IFERROR(VLOOKUP(E51,Tabellen!A:H,8),0)</f>
        <v/>
      </c>
      <c r="G51" s="219">
        <f>IFERROR(VLOOKUP(E51,Tabellen!A:F,2),0)</f>
        <v/>
      </c>
      <c r="H51" s="310" t="n"/>
      <c r="I51" s="310" t="n"/>
      <c r="J51" s="310" t="n"/>
      <c r="K51" s="310" t="n"/>
      <c r="L51" s="362">
        <f>IF(E51&gt;0,$H$4,0)</f>
        <v/>
      </c>
      <c r="M51" s="312">
        <f>IFERROR(VLOOKUP(F51,Tabellen!H:I,2),0)</f>
        <v/>
      </c>
      <c r="N51" s="357" t="n"/>
      <c r="O51" s="357" t="n"/>
      <c r="P51" s="251">
        <f>IF(E51&gt;0,COUNTIF($E$17:E51,"&gt;0"),0)</f>
        <v/>
      </c>
      <c r="Q51" s="75">
        <f>IF(OR(F51=47201,F51=47100,F51=47200,F51=47500),H51,0)</f>
        <v/>
      </c>
      <c r="R51" s="75">
        <f>IF(OR(F51=87201,F51=87100,F51=87200,F51=87500),H51,0)</f>
        <v/>
      </c>
    </row>
    <row r="52" ht="15" customHeight="1" s="418">
      <c r="A52" s="216">
        <f>IFERROR(VLOOKUP(E52,Tabellen!A:F,4),0)</f>
        <v/>
      </c>
      <c r="B52" s="216" t="n"/>
      <c r="C52" s="216">
        <f>IFERROR(VLOOKUP(E52,Tabellen!A:F,5),0)</f>
        <v/>
      </c>
      <c r="D52" s="216">
        <f>IFERROR(VLOOKUP(E52,Tabellen!A:F,6),0)</f>
        <v/>
      </c>
      <c r="E52" s="307" t="n"/>
      <c r="F52" s="363">
        <f>IFERROR(VLOOKUP(E52,Tabellen!A:H,8),0)</f>
        <v/>
      </c>
      <c r="G52" s="216">
        <f>IFERROR(VLOOKUP(E52,Tabellen!A:F,2),0)</f>
        <v/>
      </c>
      <c r="H52" s="310" t="n"/>
      <c r="I52" s="310" t="n"/>
      <c r="J52" s="310" t="n"/>
      <c r="K52" s="310" t="n"/>
      <c r="L52" s="362">
        <f>IF(E52&gt;0,$H$4,0)</f>
        <v/>
      </c>
      <c r="M52" s="311">
        <f>IFERROR(VLOOKUP(F52,Tabellen!H:I,2),0)</f>
        <v/>
      </c>
      <c r="N52" s="357" t="n"/>
      <c r="O52" s="357" t="n"/>
      <c r="P52" s="233">
        <f>IF(E52&gt;0,COUNTIF($E$17:E52,"&gt;0"),0)</f>
        <v/>
      </c>
      <c r="Q52" s="75">
        <f>IF(OR(F52=47201,F52=47100,F52=47200,F52=47500),H52,0)</f>
        <v/>
      </c>
      <c r="R52" s="75">
        <f>IF(OR(F52=87201,F52=87100,F52=87200,F52=87500),H52,0)</f>
        <v/>
      </c>
    </row>
    <row r="53" ht="15" customHeight="1" s="418">
      <c r="A53" s="219">
        <f>IFERROR(VLOOKUP(E53,Tabellen!A:F,4),0)</f>
        <v/>
      </c>
      <c r="B53" s="219" t="n"/>
      <c r="C53" s="219">
        <f>IFERROR(VLOOKUP(E53,Tabellen!A:F,5),0)</f>
        <v/>
      </c>
      <c r="D53" s="219">
        <f>IFERROR(VLOOKUP(E53,Tabellen!A:F,6),0)</f>
        <v/>
      </c>
      <c r="E53" s="307" t="n"/>
      <c r="F53" s="363">
        <f>IFERROR(VLOOKUP(E53,Tabellen!A:H,8),0)</f>
        <v/>
      </c>
      <c r="G53" s="219">
        <f>IFERROR(VLOOKUP(E53,Tabellen!A:F,2),0)</f>
        <v/>
      </c>
      <c r="H53" s="310" t="n"/>
      <c r="I53" s="310" t="n"/>
      <c r="J53" s="310" t="n"/>
      <c r="K53" s="310" t="n"/>
      <c r="L53" s="362">
        <f>IF(E53&gt;0,$H$4,0)</f>
        <v/>
      </c>
      <c r="M53" s="312">
        <f>IFERROR(VLOOKUP(F53,Tabellen!H:I,2),0)</f>
        <v/>
      </c>
      <c r="N53" s="357" t="n"/>
      <c r="O53" s="357" t="n"/>
      <c r="P53" s="251">
        <f>IF(E53&gt;0,COUNTIF($E$17:E53,"&gt;0"),0)</f>
        <v/>
      </c>
      <c r="Q53" s="75">
        <f>IF(OR(F53=47201,F53=47100,F53=47200,F53=47500),H53,0)</f>
        <v/>
      </c>
      <c r="R53" s="75">
        <f>IF(OR(F53=87201,F53=87100,F53=87200,F53=87500),H53,0)</f>
        <v/>
      </c>
    </row>
    <row r="54" ht="15" customHeight="1" s="418">
      <c r="A54" s="216">
        <f>IFERROR(VLOOKUP(E54,Tabellen!A:F,4),0)</f>
        <v/>
      </c>
      <c r="B54" s="216" t="n"/>
      <c r="C54" s="216">
        <f>IFERROR(VLOOKUP(E54,Tabellen!A:F,5),0)</f>
        <v/>
      </c>
      <c r="D54" s="216">
        <f>IFERROR(VLOOKUP(E54,Tabellen!A:F,6),0)</f>
        <v/>
      </c>
      <c r="E54" s="307" t="n"/>
      <c r="F54" s="363">
        <f>IFERROR(VLOOKUP(E54,Tabellen!A:H,8),0)</f>
        <v/>
      </c>
      <c r="G54" s="216">
        <f>IFERROR(VLOOKUP(E54,Tabellen!A:F,2),0)</f>
        <v/>
      </c>
      <c r="H54" s="310" t="n"/>
      <c r="I54" s="310" t="n"/>
      <c r="J54" s="310" t="n"/>
      <c r="K54" s="310" t="n"/>
      <c r="L54" s="362">
        <f>IF(E54&gt;0,$H$4,0)</f>
        <v/>
      </c>
      <c r="M54" s="311">
        <f>IFERROR(VLOOKUP(F54,Tabellen!H:I,2),0)</f>
        <v/>
      </c>
      <c r="N54" s="357" t="n"/>
      <c r="O54" s="357" t="n"/>
      <c r="P54" s="233">
        <f>IF(E54&gt;0,COUNTIF($E$17:E54,"&gt;0"),0)</f>
        <v/>
      </c>
      <c r="Q54" s="75">
        <f>IF(OR(F54=47201,F54=47100,F54=47200,F54=47500),H54,0)</f>
        <v/>
      </c>
      <c r="R54" s="75">
        <f>IF(OR(F54=87201,F54=87100,F54=87200,F54=87500),H54,0)</f>
        <v/>
      </c>
    </row>
    <row r="55" ht="15" customHeight="1" s="418">
      <c r="A55" s="219">
        <f>IFERROR(VLOOKUP(E55,Tabellen!A:F,4),0)</f>
        <v/>
      </c>
      <c r="B55" s="219" t="n"/>
      <c r="C55" s="219">
        <f>IFERROR(VLOOKUP(E55,Tabellen!A:F,5),0)</f>
        <v/>
      </c>
      <c r="D55" s="219">
        <f>IFERROR(VLOOKUP(E55,Tabellen!A:F,6),0)</f>
        <v/>
      </c>
      <c r="E55" s="307" t="n"/>
      <c r="F55" s="363">
        <f>IFERROR(VLOOKUP(E55,Tabellen!A:H,8),0)</f>
        <v/>
      </c>
      <c r="G55" s="219">
        <f>IFERROR(VLOOKUP(E55,Tabellen!A:F,2),0)</f>
        <v/>
      </c>
      <c r="H55" s="310" t="n"/>
      <c r="I55" s="310" t="n"/>
      <c r="J55" s="310" t="n"/>
      <c r="K55" s="310" t="n"/>
      <c r="L55" s="362">
        <f>IF(E55&gt;0,$H$4,0)</f>
        <v/>
      </c>
      <c r="M55" s="312">
        <f>IFERROR(VLOOKUP(F55,Tabellen!H:I,2),0)</f>
        <v/>
      </c>
      <c r="N55" s="357" t="n"/>
      <c r="O55" s="357" t="n"/>
      <c r="P55" s="251">
        <f>IF(E55&gt;0,COUNTIF($E$17:E55,"&gt;0"),0)</f>
        <v/>
      </c>
      <c r="Q55" s="75">
        <f>IF(OR(F55=47201,F55=47100,F55=47200,F55=47500),H55,0)</f>
        <v/>
      </c>
      <c r="R55" s="75">
        <f>IF(OR(F55=87201,F55=87100,F55=87200,F55=87500),H55,0)</f>
        <v/>
      </c>
    </row>
    <row r="56" ht="15" customHeight="1" s="418">
      <c r="A56" s="216">
        <f>IFERROR(VLOOKUP(E56,Tabellen!A:F,4),0)</f>
        <v/>
      </c>
      <c r="B56" s="216" t="n"/>
      <c r="C56" s="216">
        <f>IFERROR(VLOOKUP(E56,Tabellen!A:F,5),0)</f>
        <v/>
      </c>
      <c r="D56" s="216">
        <f>IFERROR(VLOOKUP(E56,Tabellen!A:F,6),0)</f>
        <v/>
      </c>
      <c r="E56" s="307" t="n"/>
      <c r="F56" s="363">
        <f>IFERROR(VLOOKUP(E56,Tabellen!A:H,8),0)</f>
        <v/>
      </c>
      <c r="G56" s="216">
        <f>IFERROR(VLOOKUP(E56,Tabellen!A:F,2),0)</f>
        <v/>
      </c>
      <c r="H56" s="310" t="n"/>
      <c r="I56" s="310" t="n"/>
      <c r="J56" s="310" t="n"/>
      <c r="K56" s="310" t="n"/>
      <c r="L56" s="362">
        <f>IF(E56&gt;0,$H$4,0)</f>
        <v/>
      </c>
      <c r="M56" s="311">
        <f>IFERROR(VLOOKUP(F56,Tabellen!H:I,2),0)</f>
        <v/>
      </c>
      <c r="N56" s="357" t="n"/>
      <c r="O56" s="357" t="n"/>
      <c r="P56" s="233">
        <f>IF(E56&gt;0,COUNTIF($E$17:E56,"&gt;0"),0)</f>
        <v/>
      </c>
      <c r="Q56" s="75">
        <f>IF(OR(F56=47201,F56=47100,F56=47200,F56=47500),H56,0)</f>
        <v/>
      </c>
      <c r="R56" s="75">
        <f>IF(OR(F56=87201,F56=87100,F56=87200,F56=87500),H56,0)</f>
        <v/>
      </c>
    </row>
    <row r="57" ht="15" customHeight="1" s="418">
      <c r="A57" s="219">
        <f>IFERROR(VLOOKUP(E57,Tabellen!A:F,4),0)</f>
        <v/>
      </c>
      <c r="B57" s="219" t="n"/>
      <c r="C57" s="219">
        <f>IFERROR(VLOOKUP(E57,Tabellen!A:F,5),0)</f>
        <v/>
      </c>
      <c r="D57" s="219">
        <f>IFERROR(VLOOKUP(E57,Tabellen!A:F,6),0)</f>
        <v/>
      </c>
      <c r="E57" s="307" t="n"/>
      <c r="F57" s="363">
        <f>IFERROR(VLOOKUP(E57,Tabellen!A:H,8),0)</f>
        <v/>
      </c>
      <c r="G57" s="219">
        <f>IFERROR(VLOOKUP(E57,Tabellen!A:F,2),0)</f>
        <v/>
      </c>
      <c r="H57" s="310" t="n"/>
      <c r="I57" s="310" t="n"/>
      <c r="J57" s="310" t="n"/>
      <c r="K57" s="310" t="n"/>
      <c r="L57" s="362">
        <f>IF(E57&gt;0,$H$4,0)</f>
        <v/>
      </c>
      <c r="M57" s="312">
        <f>IFERROR(VLOOKUP(F57,Tabellen!H:I,2),0)</f>
        <v/>
      </c>
      <c r="N57" s="357" t="n"/>
      <c r="O57" s="357" t="n"/>
      <c r="P57" s="251">
        <f>IF(E57&gt;0,COUNTIF($E$17:E57,"&gt;0"),0)</f>
        <v/>
      </c>
      <c r="Q57" s="75">
        <f>IF(OR(F57=47201,F57=47100,F57=47200,F57=47500),H57,0)</f>
        <v/>
      </c>
      <c r="R57" s="75">
        <f>IF(OR(F57=87201,F57=87100,F57=87200,F57=87500),H57,0)</f>
        <v/>
      </c>
    </row>
    <row r="58" ht="15" customHeight="1" s="418">
      <c r="A58" s="216">
        <f>IFERROR(VLOOKUP(E58,Tabellen!A:F,4),0)</f>
        <v/>
      </c>
      <c r="B58" s="216" t="n"/>
      <c r="C58" s="216">
        <f>IFERROR(VLOOKUP(E58,Tabellen!A:F,5),0)</f>
        <v/>
      </c>
      <c r="D58" s="216">
        <f>IFERROR(VLOOKUP(E58,Tabellen!A:F,6),0)</f>
        <v/>
      </c>
      <c r="E58" s="307" t="n"/>
      <c r="F58" s="363">
        <f>IFERROR(VLOOKUP(E58,Tabellen!A:H,8),0)</f>
        <v/>
      </c>
      <c r="G58" s="216">
        <f>IFERROR(VLOOKUP(E58,Tabellen!A:F,2),0)</f>
        <v/>
      </c>
      <c r="H58" s="310" t="n"/>
      <c r="I58" s="310" t="n"/>
      <c r="J58" s="310" t="n"/>
      <c r="K58" s="310" t="n"/>
      <c r="L58" s="362">
        <f>IF(E58&gt;0,$H$4,0)</f>
        <v/>
      </c>
      <c r="M58" s="311">
        <f>IFERROR(VLOOKUP(F58,Tabellen!H:I,2),0)</f>
        <v/>
      </c>
      <c r="N58" s="357" t="n"/>
      <c r="O58" s="357" t="n"/>
      <c r="P58" s="233">
        <f>IF(E58&gt;0,COUNTIF($E$17:E58,"&gt;0"),0)</f>
        <v/>
      </c>
      <c r="Q58" s="75">
        <f>IF(OR(F58=47201,F58=47100,F58=47200,F58=47500),H58,0)</f>
        <v/>
      </c>
      <c r="R58" s="75">
        <f>IF(OR(F58=87201,F58=87100,F58=87200,F58=87500),H58,0)</f>
        <v/>
      </c>
    </row>
    <row r="59" ht="15" customHeight="1" s="418">
      <c r="A59" s="219">
        <f>IFERROR(VLOOKUP(E59,Tabellen!A:F,4),0)</f>
        <v/>
      </c>
      <c r="B59" s="219" t="n"/>
      <c r="C59" s="219">
        <f>IFERROR(VLOOKUP(E59,Tabellen!A:F,5),0)</f>
        <v/>
      </c>
      <c r="D59" s="219">
        <f>IFERROR(VLOOKUP(E59,Tabellen!A:F,6),0)</f>
        <v/>
      </c>
      <c r="E59" s="307" t="n"/>
      <c r="F59" s="363">
        <f>IFERROR(VLOOKUP(E59,Tabellen!A:H,8),0)</f>
        <v/>
      </c>
      <c r="G59" s="219">
        <f>IFERROR(VLOOKUP(E59,Tabellen!A:F,2),0)</f>
        <v/>
      </c>
      <c r="H59" s="310" t="n"/>
      <c r="I59" s="310" t="n"/>
      <c r="J59" s="310" t="n"/>
      <c r="K59" s="310" t="n"/>
      <c r="L59" s="362">
        <f>IF(E59&gt;0,$H$4,0)</f>
        <v/>
      </c>
      <c r="M59" s="312">
        <f>IFERROR(VLOOKUP(F59,Tabellen!H:I,2),0)</f>
        <v/>
      </c>
      <c r="N59" s="357" t="n"/>
      <c r="O59" s="357" t="n"/>
      <c r="P59" s="251">
        <f>IF(E59&gt;0,COUNTIF($E$17:E59,"&gt;0"),0)</f>
        <v/>
      </c>
      <c r="Q59" s="75">
        <f>IF(OR(F59=47201,F59=47100,F59=47200,F59=47500),H59,0)</f>
        <v/>
      </c>
      <c r="R59" s="75">
        <f>IF(OR(F59=87201,F59=87100,F59=87200,F59=87500),H59,0)</f>
        <v/>
      </c>
    </row>
    <row r="60" ht="15" customHeight="1" s="418">
      <c r="A60" s="216">
        <f>IFERROR(VLOOKUP(E60,Tabellen!A:F,4),0)</f>
        <v/>
      </c>
      <c r="B60" s="216" t="n"/>
      <c r="C60" s="216">
        <f>IFERROR(VLOOKUP(E60,Tabellen!A:F,5),0)</f>
        <v/>
      </c>
      <c r="D60" s="216">
        <f>IFERROR(VLOOKUP(E60,Tabellen!A:F,6),0)</f>
        <v/>
      </c>
      <c r="E60" s="307" t="n"/>
      <c r="F60" s="363">
        <f>IFERROR(VLOOKUP(E60,Tabellen!A:H,8),0)</f>
        <v/>
      </c>
      <c r="G60" s="216">
        <f>IFERROR(VLOOKUP(E60,Tabellen!A:F,2),0)</f>
        <v/>
      </c>
      <c r="H60" s="310" t="n"/>
      <c r="I60" s="310" t="n"/>
      <c r="J60" s="310" t="n"/>
      <c r="K60" s="310" t="n"/>
      <c r="L60" s="362">
        <f>IF(E60&gt;0,$H$4,0)</f>
        <v/>
      </c>
      <c r="M60" s="311">
        <f>IFERROR(VLOOKUP(F60,Tabellen!H:I,2),0)</f>
        <v/>
      </c>
      <c r="N60" s="357" t="n"/>
      <c r="O60" s="357" t="n"/>
      <c r="P60" s="233">
        <f>IF(E60&gt;0,COUNTIF($E$17:E60,"&gt;0"),0)</f>
        <v/>
      </c>
      <c r="Q60" s="75">
        <f>IF(OR(F60=47201,F60=47100,F60=47200,F60=47500),H60,0)</f>
        <v/>
      </c>
      <c r="R60" s="75">
        <f>IF(OR(F60=87201,F60=87100,F60=87200,F60=87500),H60,0)</f>
        <v/>
      </c>
    </row>
    <row r="61" ht="15" customHeight="1" s="418">
      <c r="A61" s="219">
        <f>IFERROR(VLOOKUP(E61,Tabellen!A:F,4),0)</f>
        <v/>
      </c>
      <c r="B61" s="219" t="n"/>
      <c r="C61" s="219">
        <f>IFERROR(VLOOKUP(E61,Tabellen!A:F,5),0)</f>
        <v/>
      </c>
      <c r="D61" s="219">
        <f>IFERROR(VLOOKUP(E61,Tabellen!A:F,6),0)</f>
        <v/>
      </c>
      <c r="E61" s="307" t="n"/>
      <c r="F61" s="363">
        <f>IFERROR(VLOOKUP(E61,Tabellen!A:H,8),0)</f>
        <v/>
      </c>
      <c r="G61" s="219">
        <f>IFERROR(VLOOKUP(E61,Tabellen!A:F,2),0)</f>
        <v/>
      </c>
      <c r="H61" s="310" t="n"/>
      <c r="I61" s="310" t="n"/>
      <c r="J61" s="310" t="n"/>
      <c r="K61" s="310" t="n"/>
      <c r="L61" s="362">
        <f>IF(E61&gt;0,$H$4,0)</f>
        <v/>
      </c>
      <c r="M61" s="312">
        <f>IFERROR(VLOOKUP(F61,Tabellen!H:I,2),0)</f>
        <v/>
      </c>
      <c r="N61" s="357" t="n"/>
      <c r="O61" s="357" t="n"/>
      <c r="P61" s="251">
        <f>IF(E61&gt;0,COUNTIF($E$17:E61,"&gt;0"),0)</f>
        <v/>
      </c>
      <c r="Q61" s="75">
        <f>IF(OR(F61=47201,F61=47100,F61=47200,F61=47500),H61,0)</f>
        <v/>
      </c>
      <c r="R61" s="75">
        <f>IF(OR(F61=87201,F61=87100,F61=87200,F61=87500),H61,0)</f>
        <v/>
      </c>
    </row>
    <row r="62" ht="15" customHeight="1" s="418">
      <c r="A62" s="216">
        <f>IFERROR(VLOOKUP(E62,Tabellen!A:F,4),0)</f>
        <v/>
      </c>
      <c r="B62" s="216" t="n"/>
      <c r="C62" s="216">
        <f>IFERROR(VLOOKUP(E62,Tabellen!A:F,5),0)</f>
        <v/>
      </c>
      <c r="D62" s="216">
        <f>IFERROR(VLOOKUP(E62,Tabellen!A:F,6),0)</f>
        <v/>
      </c>
      <c r="E62" s="307" t="n"/>
      <c r="F62" s="363">
        <f>IFERROR(VLOOKUP(E62,Tabellen!A:H,8),0)</f>
        <v/>
      </c>
      <c r="G62" s="216">
        <f>IFERROR(VLOOKUP(E62,Tabellen!A:F,2),0)</f>
        <v/>
      </c>
      <c r="H62" s="310" t="n"/>
      <c r="I62" s="310" t="n"/>
      <c r="J62" s="310" t="n"/>
      <c r="K62" s="310" t="n"/>
      <c r="L62" s="362">
        <f>IF(E62&gt;0,$H$4,0)</f>
        <v/>
      </c>
      <c r="M62" s="311">
        <f>IFERROR(VLOOKUP(F62,Tabellen!H:I,2),0)</f>
        <v/>
      </c>
      <c r="N62" s="357" t="n"/>
      <c r="O62" s="357" t="n"/>
      <c r="P62" s="233">
        <f>IF(E62&gt;0,COUNTIF($E$17:E62,"&gt;0"),0)</f>
        <v/>
      </c>
      <c r="Q62" s="75">
        <f>IF(OR(F62=47201,F62=47100,F62=47200,F62=47500),H62,0)</f>
        <v/>
      </c>
      <c r="R62" s="75">
        <f>IF(OR(F62=87201,F62=87100,F62=87200,F62=87500),H62,0)</f>
        <v/>
      </c>
    </row>
    <row r="63" ht="15" customHeight="1" s="418">
      <c r="A63" s="219">
        <f>IFERROR(VLOOKUP(E63,Tabellen!A:F,4),0)</f>
        <v/>
      </c>
      <c r="B63" s="219" t="n"/>
      <c r="C63" s="219">
        <f>IFERROR(VLOOKUP(E63,Tabellen!A:F,5),0)</f>
        <v/>
      </c>
      <c r="D63" s="219">
        <f>IFERROR(VLOOKUP(E63,Tabellen!A:F,6),0)</f>
        <v/>
      </c>
      <c r="E63" s="307" t="n"/>
      <c r="F63" s="363">
        <f>IFERROR(VLOOKUP(E63,Tabellen!A:H,8),0)</f>
        <v/>
      </c>
      <c r="G63" s="219">
        <f>IFERROR(VLOOKUP(E63,Tabellen!A:F,2),0)</f>
        <v/>
      </c>
      <c r="H63" s="310" t="n"/>
      <c r="I63" s="310" t="n"/>
      <c r="J63" s="310" t="n"/>
      <c r="K63" s="310" t="n"/>
      <c r="L63" s="362">
        <f>IF(E63&gt;0,$H$4,0)</f>
        <v/>
      </c>
      <c r="M63" s="312">
        <f>IFERROR(VLOOKUP(F63,Tabellen!H:I,2),0)</f>
        <v/>
      </c>
      <c r="N63" s="357" t="n"/>
      <c r="O63" s="357" t="n"/>
      <c r="P63" s="251">
        <f>IF(E63&gt;0,COUNTIF($E$17:E63,"&gt;0"),0)</f>
        <v/>
      </c>
      <c r="Q63" s="75">
        <f>IF(OR(F63=47201,F63=47100,F63=47200,F63=47500),H63,0)</f>
        <v/>
      </c>
      <c r="R63" s="75">
        <f>IF(OR(F63=87201,F63=87100,F63=87200,F63=87500),H63,0)</f>
        <v/>
      </c>
    </row>
    <row r="64" ht="15" customHeight="1" s="418">
      <c r="A64" s="216">
        <f>IFERROR(VLOOKUP(E64,Tabellen!A:F,4),0)</f>
        <v/>
      </c>
      <c r="B64" s="216" t="n"/>
      <c r="C64" s="216">
        <f>IFERROR(VLOOKUP(E64,Tabellen!A:F,5),0)</f>
        <v/>
      </c>
      <c r="D64" s="216">
        <f>IFERROR(VLOOKUP(E64,Tabellen!A:F,6),0)</f>
        <v/>
      </c>
      <c r="E64" s="307" t="n"/>
      <c r="F64" s="363">
        <f>IFERROR(VLOOKUP(E64,Tabellen!A:H,8),0)</f>
        <v/>
      </c>
      <c r="G64" s="216">
        <f>IFERROR(VLOOKUP(E64,Tabellen!A:F,2),0)</f>
        <v/>
      </c>
      <c r="H64" s="310" t="n"/>
      <c r="I64" s="310" t="n"/>
      <c r="J64" s="310" t="n"/>
      <c r="K64" s="310" t="n"/>
      <c r="L64" s="362">
        <f>IF(E64&gt;0,$H$4,0)</f>
        <v/>
      </c>
      <c r="M64" s="311">
        <f>IFERROR(VLOOKUP(F64,Tabellen!H:I,2),0)</f>
        <v/>
      </c>
      <c r="N64" s="357" t="n"/>
      <c r="O64" s="357" t="n"/>
      <c r="P64" s="233">
        <f>IF(E64&gt;0,COUNTIF($E$17:E64,"&gt;0"),0)</f>
        <v/>
      </c>
      <c r="Q64" s="75">
        <f>IF(OR(F64=47201,F64=47100,F64=47200,F64=47500),H64,0)</f>
        <v/>
      </c>
      <c r="R64" s="75">
        <f>IF(OR(F64=87201,F64=87100,F64=87200,F64=87500),H64,0)</f>
        <v/>
      </c>
    </row>
    <row r="65" ht="15" customHeight="1" s="418">
      <c r="A65" s="219">
        <f>IFERROR(VLOOKUP(E65,Tabellen!A:F,4),0)</f>
        <v/>
      </c>
      <c r="B65" s="219" t="n"/>
      <c r="C65" s="219">
        <f>IFERROR(VLOOKUP(E65,Tabellen!A:F,5),0)</f>
        <v/>
      </c>
      <c r="D65" s="219">
        <f>IFERROR(VLOOKUP(E65,Tabellen!A:F,6),0)</f>
        <v/>
      </c>
      <c r="E65" s="307" t="n"/>
      <c r="F65" s="363">
        <f>IFERROR(VLOOKUP(E65,Tabellen!A:H,8),0)</f>
        <v/>
      </c>
      <c r="G65" s="219">
        <f>IFERROR(VLOOKUP(E65,Tabellen!A:F,2),0)</f>
        <v/>
      </c>
      <c r="H65" s="310" t="n"/>
      <c r="I65" s="310" t="n"/>
      <c r="J65" s="310" t="n"/>
      <c r="K65" s="310" t="n"/>
      <c r="L65" s="362">
        <f>IF(E65&gt;0,$H$4,0)</f>
        <v/>
      </c>
      <c r="M65" s="312">
        <f>IFERROR(VLOOKUP(F65,Tabellen!H:I,2),0)</f>
        <v/>
      </c>
      <c r="N65" s="357" t="n"/>
      <c r="O65" s="357" t="n"/>
      <c r="P65" s="251">
        <f>IF(E65&gt;0,COUNTIF($E$17:E65,"&gt;0"),0)</f>
        <v/>
      </c>
      <c r="Q65" s="75">
        <f>IF(OR(F65=47201,F65=47100,F65=47200,F65=47500),H65,0)</f>
        <v/>
      </c>
      <c r="R65" s="75">
        <f>IF(OR(F65=87201,F65=87100,F65=87200,F65=87500),H65,0)</f>
        <v/>
      </c>
    </row>
    <row r="66" ht="15" customHeight="1" s="418">
      <c r="A66" s="216">
        <f>IFERROR(VLOOKUP(E66,Tabellen!A:F,4),0)</f>
        <v/>
      </c>
      <c r="B66" s="216" t="n"/>
      <c r="C66" s="216">
        <f>IFERROR(VLOOKUP(E66,Tabellen!A:F,5),0)</f>
        <v/>
      </c>
      <c r="D66" s="216">
        <f>IFERROR(VLOOKUP(E66,Tabellen!A:F,6),0)</f>
        <v/>
      </c>
      <c r="E66" s="307" t="n"/>
      <c r="F66" s="363">
        <f>IFERROR(VLOOKUP(E66,Tabellen!A:H,8),0)</f>
        <v/>
      </c>
      <c r="G66" s="216">
        <f>IFERROR(VLOOKUP(E66,Tabellen!A:F,2),0)</f>
        <v/>
      </c>
      <c r="H66" s="310" t="n"/>
      <c r="I66" s="310" t="n"/>
      <c r="J66" s="310" t="n"/>
      <c r="K66" s="310" t="n"/>
      <c r="L66" s="362">
        <f>IF(E66&gt;0,$H$4,0)</f>
        <v/>
      </c>
      <c r="M66" s="311">
        <f>IFERROR(VLOOKUP(F66,Tabellen!H:I,2),0)</f>
        <v/>
      </c>
      <c r="N66" s="357" t="n"/>
      <c r="O66" s="357" t="n"/>
      <c r="P66" s="233">
        <f>IF(E66&gt;0,COUNTIF($E$17:E66,"&gt;0"),0)</f>
        <v/>
      </c>
      <c r="Q66" s="75">
        <f>IF(OR(F66=47201,F66=47100,F66=47200,F66=47500),H66,0)</f>
        <v/>
      </c>
      <c r="R66" s="75">
        <f>IF(OR(F66=87201,F66=87100,F66=87200,F66=87500),H66,0)</f>
        <v/>
      </c>
    </row>
    <row r="67" ht="15" customHeight="1" s="418">
      <c r="A67" s="219">
        <f>IFERROR(VLOOKUP(E67,Tabellen!A:F,4),0)</f>
        <v/>
      </c>
      <c r="B67" s="219" t="n"/>
      <c r="C67" s="219">
        <f>IFERROR(VLOOKUP(E67,Tabellen!A:F,5),0)</f>
        <v/>
      </c>
      <c r="D67" s="219">
        <f>IFERROR(VLOOKUP(E67,Tabellen!A:F,6),0)</f>
        <v/>
      </c>
      <c r="E67" s="307" t="n"/>
      <c r="F67" s="363">
        <f>IFERROR(VLOOKUP(E67,Tabellen!A:H,8),0)</f>
        <v/>
      </c>
      <c r="G67" s="219">
        <f>IFERROR(VLOOKUP(E67,Tabellen!A:F,2),0)</f>
        <v/>
      </c>
      <c r="H67" s="310" t="n"/>
      <c r="I67" s="310" t="n"/>
      <c r="J67" s="310" t="n"/>
      <c r="K67" s="310" t="n"/>
      <c r="L67" s="362">
        <f>IF(E67&gt;0,$H$4,0)</f>
        <v/>
      </c>
      <c r="M67" s="312">
        <f>IFERROR(VLOOKUP(F67,Tabellen!H:I,2),0)</f>
        <v/>
      </c>
      <c r="N67" s="357" t="n"/>
      <c r="O67" s="357" t="n"/>
      <c r="P67" s="251">
        <f>IF(E67&gt;0,COUNTIF($E$17:E67,"&gt;0"),0)</f>
        <v/>
      </c>
      <c r="Q67" s="75">
        <f>IF(OR(F67=47201,F67=47100,F67=47200,F67=47500),H67,0)</f>
        <v/>
      </c>
      <c r="R67" s="75">
        <f>IF(OR(F67=87201,F67=87100,F67=87200,F67=87500),H67,0)</f>
        <v/>
      </c>
    </row>
    <row r="68" ht="15" customHeight="1" s="418">
      <c r="A68" s="216">
        <f>IFERROR(VLOOKUP(E68,Tabellen!A:F,4),0)</f>
        <v/>
      </c>
      <c r="B68" s="216" t="n"/>
      <c r="C68" s="216">
        <f>IFERROR(VLOOKUP(E68,Tabellen!A:F,5),0)</f>
        <v/>
      </c>
      <c r="D68" s="216">
        <f>IFERROR(VLOOKUP(E68,Tabellen!A:F,6),0)</f>
        <v/>
      </c>
      <c r="E68" s="307" t="n"/>
      <c r="F68" s="363">
        <f>IFERROR(VLOOKUP(E68,Tabellen!A:H,8),0)</f>
        <v/>
      </c>
      <c r="G68" s="216">
        <f>IFERROR(VLOOKUP(E68,Tabellen!A:F,2),0)</f>
        <v/>
      </c>
      <c r="H68" s="310" t="n"/>
      <c r="I68" s="310" t="n"/>
      <c r="J68" s="310" t="n"/>
      <c r="K68" s="310" t="n"/>
      <c r="L68" s="362">
        <f>IF(E68&gt;0,$H$4,0)</f>
        <v/>
      </c>
      <c r="M68" s="311">
        <f>IFERROR(VLOOKUP(F68,Tabellen!H:I,2),0)</f>
        <v/>
      </c>
      <c r="N68" s="357" t="n"/>
      <c r="O68" s="357" t="n"/>
      <c r="P68" s="233">
        <f>IF(E68&gt;0,COUNTIF($E$17:E68,"&gt;0"),0)</f>
        <v/>
      </c>
      <c r="Q68" s="75">
        <f>IF(OR(F68=47201,F68=47100,F68=47200,F68=47500),H68,0)</f>
        <v/>
      </c>
      <c r="R68" s="75">
        <f>IF(OR(F68=87201,F68=87100,F68=87200,F68=87500),H68,0)</f>
        <v/>
      </c>
    </row>
    <row r="69" ht="15" customHeight="1" s="418">
      <c r="A69" s="219">
        <f>IFERROR(VLOOKUP(E69,Tabellen!A:F,4),0)</f>
        <v/>
      </c>
      <c r="B69" s="219" t="n"/>
      <c r="C69" s="219">
        <f>IFERROR(VLOOKUP(E69,Tabellen!A:F,5),0)</f>
        <v/>
      </c>
      <c r="D69" s="219">
        <f>IFERROR(VLOOKUP(E69,Tabellen!A:F,6),0)</f>
        <v/>
      </c>
      <c r="E69" s="307" t="n"/>
      <c r="F69" s="363">
        <f>IFERROR(VLOOKUP(E69,Tabellen!A:H,8),0)</f>
        <v/>
      </c>
      <c r="G69" s="219">
        <f>IFERROR(VLOOKUP(E69,Tabellen!A:F,2),0)</f>
        <v/>
      </c>
      <c r="H69" s="310" t="n"/>
      <c r="I69" s="310" t="n"/>
      <c r="J69" s="310" t="n"/>
      <c r="K69" s="310" t="n"/>
      <c r="L69" s="362">
        <f>IF(E69&gt;0,$H$4,0)</f>
        <v/>
      </c>
      <c r="M69" s="312">
        <f>IFERROR(VLOOKUP(F69,Tabellen!H:I,2),0)</f>
        <v/>
      </c>
      <c r="N69" s="357" t="n"/>
      <c r="O69" s="357" t="n"/>
      <c r="P69" s="251">
        <f>IF(E69&gt;0,COUNTIF($E$17:E69,"&gt;0"),0)</f>
        <v/>
      </c>
      <c r="Q69" s="75">
        <f>IF(OR(F69=47201,F69=47100,F69=47200,F69=47500),H69,0)</f>
        <v/>
      </c>
      <c r="R69" s="75">
        <f>IF(OR(F69=87201,F69=87100,F69=87200,F69=87500),H69,0)</f>
        <v/>
      </c>
    </row>
    <row r="70" ht="15" customHeight="1" s="418">
      <c r="A70" s="216">
        <f>IFERROR(VLOOKUP(E70,Tabellen!A:F,4),0)</f>
        <v/>
      </c>
      <c r="B70" s="216" t="n"/>
      <c r="C70" s="216">
        <f>IFERROR(VLOOKUP(E70,Tabellen!A:F,5),0)</f>
        <v/>
      </c>
      <c r="D70" s="216">
        <f>IFERROR(VLOOKUP(E70,Tabellen!A:F,6),0)</f>
        <v/>
      </c>
      <c r="E70" s="307" t="n"/>
      <c r="F70" s="363">
        <f>IFERROR(VLOOKUP(E70,Tabellen!A:H,8),0)</f>
        <v/>
      </c>
      <c r="G70" s="216">
        <f>IFERROR(VLOOKUP(E70,Tabellen!A:F,2),0)</f>
        <v/>
      </c>
      <c r="H70" s="310" t="n"/>
      <c r="I70" s="310" t="n"/>
      <c r="J70" s="310" t="n"/>
      <c r="K70" s="310" t="n"/>
      <c r="L70" s="362">
        <f>IF(E70&gt;0,$H$4,0)</f>
        <v/>
      </c>
      <c r="M70" s="311">
        <f>IFERROR(VLOOKUP(F70,Tabellen!H:I,2),0)</f>
        <v/>
      </c>
      <c r="N70" s="357" t="n"/>
      <c r="O70" s="357" t="n"/>
      <c r="P70" s="233">
        <f>IF(E70&gt;0,COUNTIF($E$17:E70,"&gt;0"),0)</f>
        <v/>
      </c>
      <c r="Q70" s="75">
        <f>IF(OR(F70=47201,F70=47100,F70=47200,F70=47500),H70,0)</f>
        <v/>
      </c>
      <c r="R70" s="75">
        <f>IF(OR(F70=87201,F70=87100,F70=87200,F70=87500),H70,0)</f>
        <v/>
      </c>
    </row>
    <row r="71" ht="15" customHeight="1" s="418">
      <c r="A71" s="219">
        <f>IFERROR(VLOOKUP(E71,Tabellen!A:F,4),0)</f>
        <v/>
      </c>
      <c r="B71" s="219" t="n"/>
      <c r="C71" s="219">
        <f>IFERROR(VLOOKUP(E71,Tabellen!A:F,5),0)</f>
        <v/>
      </c>
      <c r="D71" s="219">
        <f>IFERROR(VLOOKUP(E71,Tabellen!A:F,6),0)</f>
        <v/>
      </c>
      <c r="E71" s="307" t="n"/>
      <c r="F71" s="363">
        <f>IFERROR(VLOOKUP(E71,Tabellen!A:H,8),0)</f>
        <v/>
      </c>
      <c r="G71" s="219">
        <f>IFERROR(VLOOKUP(E71,Tabellen!A:F,2),0)</f>
        <v/>
      </c>
      <c r="H71" s="310" t="n"/>
      <c r="I71" s="310" t="n"/>
      <c r="J71" s="310" t="n"/>
      <c r="K71" s="310" t="n"/>
      <c r="L71" s="362">
        <f>IF(E71&gt;0,$H$4,0)</f>
        <v/>
      </c>
      <c r="M71" s="312">
        <f>IFERROR(VLOOKUP(F71,Tabellen!H:I,2),0)</f>
        <v/>
      </c>
      <c r="N71" s="357" t="n"/>
      <c r="O71" s="357" t="n"/>
      <c r="P71" s="251">
        <f>IF(E71&gt;0,COUNTIF($E$17:E71,"&gt;0"),0)</f>
        <v/>
      </c>
      <c r="Q71" s="75">
        <f>IF(OR(F71=47201,F71=47100,F71=47200,F71=47500),H71,0)</f>
        <v/>
      </c>
      <c r="R71" s="75">
        <f>IF(OR(F71=87201,F71=87100,F71=87200,F71=87500),H71,0)</f>
        <v/>
      </c>
    </row>
    <row r="72" ht="15" customHeight="1" s="418">
      <c r="A72" s="216">
        <f>IFERROR(VLOOKUP(E72,Tabellen!A:F,4),0)</f>
        <v/>
      </c>
      <c r="B72" s="216" t="n"/>
      <c r="C72" s="216">
        <f>IFERROR(VLOOKUP(E72,Tabellen!A:F,5),0)</f>
        <v/>
      </c>
      <c r="D72" s="216">
        <f>IFERROR(VLOOKUP(E72,Tabellen!A:F,6),0)</f>
        <v/>
      </c>
      <c r="E72" s="307" t="n"/>
      <c r="F72" s="363">
        <f>IFERROR(VLOOKUP(E72,Tabellen!A:H,8),0)</f>
        <v/>
      </c>
      <c r="G72" s="216">
        <f>IFERROR(VLOOKUP(E72,Tabellen!A:F,2),0)</f>
        <v/>
      </c>
      <c r="H72" s="310" t="n"/>
      <c r="I72" s="310" t="n"/>
      <c r="J72" s="310" t="n"/>
      <c r="K72" s="310" t="n"/>
      <c r="L72" s="362">
        <f>IF(E72&gt;0,$H$4,0)</f>
        <v/>
      </c>
      <c r="M72" s="311">
        <f>IFERROR(VLOOKUP(F72,Tabellen!H:I,2),0)</f>
        <v/>
      </c>
      <c r="N72" s="357" t="n"/>
      <c r="O72" s="357" t="n"/>
      <c r="P72" s="233">
        <f>IF(E72&gt;0,COUNTIF($E$17:E72,"&gt;0"),0)</f>
        <v/>
      </c>
      <c r="Q72" s="75">
        <f>IF(OR(F72=47201,F72=47100,F72=47200,F72=47500),H72,0)</f>
        <v/>
      </c>
      <c r="R72" s="75">
        <f>IF(OR(F72=87201,F72=87100,F72=87200,F72=87500),H72,0)</f>
        <v/>
      </c>
    </row>
    <row r="73" ht="15" customHeight="1" s="418">
      <c r="A73" s="219">
        <f>IFERROR(VLOOKUP(E73,Tabellen!A:F,4),0)</f>
        <v/>
      </c>
      <c r="B73" s="219" t="n"/>
      <c r="C73" s="219">
        <f>IFERROR(VLOOKUP(E73,Tabellen!A:F,5),0)</f>
        <v/>
      </c>
      <c r="D73" s="219">
        <f>IFERROR(VLOOKUP(E73,Tabellen!A:F,6),0)</f>
        <v/>
      </c>
      <c r="E73" s="307" t="n"/>
      <c r="F73" s="363">
        <f>IFERROR(VLOOKUP(E73,Tabellen!A:H,8),0)</f>
        <v/>
      </c>
      <c r="G73" s="219">
        <f>IFERROR(VLOOKUP(E73,Tabellen!A:F,2),0)</f>
        <v/>
      </c>
      <c r="H73" s="310" t="n"/>
      <c r="I73" s="310" t="n"/>
      <c r="J73" s="310" t="n"/>
      <c r="K73" s="310" t="n"/>
      <c r="L73" s="362">
        <f>IF(E73&gt;0,$H$4,0)</f>
        <v/>
      </c>
      <c r="M73" s="312">
        <f>IFERROR(VLOOKUP(F73,Tabellen!H:I,2),0)</f>
        <v/>
      </c>
      <c r="N73" s="357" t="n"/>
      <c r="O73" s="357" t="n"/>
      <c r="P73" s="251">
        <f>IF(E73&gt;0,COUNTIF($E$17:E73,"&gt;0"),0)</f>
        <v/>
      </c>
      <c r="Q73" s="75">
        <f>IF(OR(F73=47201,F73=47100,F73=47200,F73=47500),H73,0)</f>
        <v/>
      </c>
      <c r="R73" s="75">
        <f>IF(OR(F73=87201,F73=87100,F73=87200,F73=87500),H73,0)</f>
        <v/>
      </c>
    </row>
    <row r="74" ht="15" customHeight="1" s="418">
      <c r="A74" s="216">
        <f>IFERROR(VLOOKUP(E74,Tabellen!A:F,4),0)</f>
        <v/>
      </c>
      <c r="B74" s="216" t="n"/>
      <c r="C74" s="216">
        <f>IFERROR(VLOOKUP(E74,Tabellen!A:F,5),0)</f>
        <v/>
      </c>
      <c r="D74" s="216">
        <f>IFERROR(VLOOKUP(E74,Tabellen!A:F,6),0)</f>
        <v/>
      </c>
      <c r="E74" s="307" t="n"/>
      <c r="F74" s="363">
        <f>IFERROR(VLOOKUP(E74,Tabellen!A:H,8),0)</f>
        <v/>
      </c>
      <c r="G74" s="216">
        <f>IFERROR(VLOOKUP(E74,Tabellen!A:F,2),0)</f>
        <v/>
      </c>
      <c r="H74" s="313" t="n"/>
      <c r="I74" s="313" t="n"/>
      <c r="J74" s="313" t="n"/>
      <c r="K74" s="313" t="n"/>
      <c r="L74" s="362">
        <f>IF(E74&gt;0,$H$4,0)</f>
        <v/>
      </c>
      <c r="M74" s="311">
        <f>IFERROR(VLOOKUP(F74,Tabellen!H:I,2),0)</f>
        <v/>
      </c>
      <c r="N74" s="357" t="n"/>
      <c r="O74" s="357" t="n"/>
      <c r="P74" s="233">
        <f>IF(E74&gt;0,COUNTIF($E$17:E74,"&gt;0"),0)</f>
        <v/>
      </c>
      <c r="Q74" s="75">
        <f>IF(OR(F74=47201,F74=47100,F74=47200,F74=47500),H74,0)</f>
        <v/>
      </c>
      <c r="R74" s="75">
        <f>IF(OR(F74=87201,F74=87100,F74=87200,F74=87500),H74,0)</f>
        <v/>
      </c>
    </row>
    <row r="75" ht="16.05" customFormat="1" customHeight="1" s="76">
      <c r="A75" s="314" t="inlineStr">
        <is>
          <t>Saldo inkomsten en uitgaven</t>
        </is>
      </c>
      <c r="B75" s="314" t="n"/>
      <c r="C75" s="314" t="n"/>
      <c r="D75" s="314" t="n"/>
      <c r="E75" s="314" t="n"/>
      <c r="F75" s="315" t="n"/>
      <c r="G75" s="316" t="n"/>
      <c r="H75" s="318">
        <f>SUM(H17:H74)</f>
        <v/>
      </c>
      <c r="I75" s="318">
        <f>SUM(I17:I74)</f>
        <v/>
      </c>
      <c r="J75" s="318">
        <f>SUM(J17:J74)</f>
        <v/>
      </c>
      <c r="K75" s="318">
        <f>SUM(K17:K74)</f>
        <v/>
      </c>
      <c r="L75" s="358" t="n"/>
      <c r="M75" s="317" t="n"/>
      <c r="N75" s="359" t="n"/>
      <c r="O75" s="359" t="n"/>
      <c r="P75" s="191">
        <f>IF(E75&gt;0,COUNTIF($E$17:E75,"&gt;0"),0)</f>
        <v/>
      </c>
      <c r="Q75" s="158">
        <f>IF(OR(F75=47201,F75=47100,F75=47200,F75=47500),H75,0)</f>
        <v/>
      </c>
      <c r="R75" s="158">
        <f>IF(OR(F75=87201,F75=87100,F75=87200,F75=87500),H75,0)</f>
        <v/>
      </c>
      <c r="S75" s="154" t="n"/>
      <c r="T75" s="154" t="n"/>
    </row>
    <row r="76" ht="6" customHeight="1" s="418">
      <c r="A76" s="130" t="n"/>
      <c r="B76" s="47" t="n"/>
      <c r="C76" s="47" t="n"/>
      <c r="D76" s="130" t="n"/>
      <c r="E76" s="47" t="n"/>
      <c r="F76" s="72" t="n"/>
      <c r="G76" s="131" t="n"/>
      <c r="H76" s="73" t="n"/>
      <c r="I76" s="73" t="n"/>
      <c r="J76" s="73" t="n"/>
      <c r="K76" s="73" t="n"/>
      <c r="L76" s="45" t="n"/>
      <c r="M76" s="132" t="n"/>
      <c r="N76" s="49" t="n"/>
      <c r="O76" s="133" t="n"/>
      <c r="P76">
        <f>IF(E76&gt;0,COUNTIF($E$17:E76,"&gt;0"),0)</f>
        <v/>
      </c>
      <c r="Q76" s="75">
        <f>IF(OR(L76=47201,L76=47100,L76=47200,L76=47500),H76,0)</f>
        <v/>
      </c>
      <c r="R76" s="75">
        <f>IF(OR(L76=87201,L76=87100,L76=87200,L76=87500),H76,0)</f>
        <v/>
      </c>
    </row>
    <row r="77" ht="18" customHeight="1" s="418">
      <c r="A77" s="335" t="inlineStr">
        <is>
          <t>B. Dekking uitgaven en inkomsten</t>
        </is>
      </c>
      <c r="B77" s="335" t="n"/>
      <c r="C77" s="335" t="n"/>
      <c r="D77" s="335" t="n"/>
      <c r="E77" s="335" t="n"/>
      <c r="F77" s="335" t="n"/>
      <c r="G77" s="335" t="n"/>
      <c r="H77" s="335" t="n"/>
      <c r="I77" s="335" t="n"/>
      <c r="J77" s="335" t="n"/>
      <c r="K77" s="335" t="n"/>
      <c r="L77" s="336" t="n"/>
      <c r="M77" s="337" t="n"/>
      <c r="N77" s="335" t="n"/>
      <c r="O77" s="335" t="n"/>
      <c r="P77" s="188">
        <f>IF(E77&gt;0,COUNTIF($E$17:E77,"&gt;0"),0)</f>
        <v/>
      </c>
      <c r="Q77" s="189" t="inlineStr">
        <is>
          <t>→ reserves, voorzieningen en overige dekkingsbronnen HIER invullen</t>
        </is>
      </c>
      <c r="R77" s="189">
        <f>IF(OR(L77=87201,L77=87100,L77=87200,L77=87500),H77,0)</f>
        <v/>
      </c>
      <c r="S77" s="159" t="n"/>
      <c r="T77" s="159" t="n"/>
    </row>
    <row r="78" ht="15" customHeight="1" s="418">
      <c r="A78" s="216">
        <f>IFERROR(VLOOKUP(E78,Tabellen!A:F,4),0)</f>
        <v/>
      </c>
      <c r="B78" s="319" t="n"/>
      <c r="C78" s="320">
        <f>IFERROR(VLOOKUP(E78,Tabellen!A:F,5),0)</f>
        <v/>
      </c>
      <c r="D78" s="216">
        <f>IFERROR(VLOOKUP(E78,Tabellen!A:F,6),0)</f>
        <v/>
      </c>
      <c r="E78" s="307" t="n">
        <v>638901</v>
      </c>
      <c r="F78" s="363" t="n">
        <v>87100</v>
      </c>
      <c r="G78" s="321">
        <f>IFERROR(VLOOKUP(E78,Tabellen!A:F,2),0)</f>
        <v/>
      </c>
      <c r="H78" s="310" t="n">
        <v>-6</v>
      </c>
      <c r="I78" s="310" t="n">
        <v>-6</v>
      </c>
      <c r="J78" s="310" t="n">
        <v>-6</v>
      </c>
      <c r="K78" s="310" t="n">
        <v>-6</v>
      </c>
      <c r="L78" s="364">
        <f>IF(E78&gt;0,$H$4,0)</f>
        <v/>
      </c>
      <c r="M78" s="311">
        <f>IFERROR(VLOOKUP(F78,Tabellen!H:I,2),0)</f>
        <v/>
      </c>
      <c r="N78" s="357" t="n"/>
      <c r="O78" s="429" t="n"/>
      <c r="P78" s="233">
        <f>IF(E78&gt;0,COUNTIF($E$17:E78,"&gt;0"),0)</f>
        <v/>
      </c>
      <c r="Q78" s="75">
        <f>IF(OR(F78=47201,F78=47100,F78=47200,F78=47500),H78,0)</f>
        <v/>
      </c>
      <c r="R78" s="75">
        <f>IF(OR(F78=87201,F78=87100,F78=87200,F78=87500),H78,0)</f>
        <v/>
      </c>
    </row>
    <row r="79" ht="15" customHeight="1" s="418">
      <c r="A79" s="219">
        <f>IFERROR(VLOOKUP(E79,Tabellen!A:F,4),0)</f>
        <v/>
      </c>
      <c r="B79" s="322" t="n"/>
      <c r="C79" s="306">
        <f>IFERROR(VLOOKUP(E79,Tabellen!A:F,5),0)</f>
        <v/>
      </c>
      <c r="D79" s="219">
        <f>IFERROR(VLOOKUP(E79,Tabellen!A:F,6),0)</f>
        <v/>
      </c>
      <c r="E79" s="307" t="n"/>
      <c r="F79" s="363">
        <f>IFERROR(VLOOKUP(E79,Tabellen!A:H,8),0)</f>
        <v/>
      </c>
      <c r="G79" s="308">
        <f>IFERROR(VLOOKUP(E79,Tabellen!A:F,2),0)</f>
        <v/>
      </c>
      <c r="H79" s="310" t="n"/>
      <c r="I79" s="310" t="n"/>
      <c r="J79" s="310" t="n"/>
      <c r="K79" s="310" t="n"/>
      <c r="L79" s="364">
        <f>IF(E79&gt;0,$H$4,0)</f>
        <v/>
      </c>
      <c r="M79" s="312">
        <f>IFERROR(VLOOKUP(F79,Tabellen!H:I,2),0)</f>
        <v/>
      </c>
      <c r="N79" s="357" t="n"/>
      <c r="O79" s="357" t="n"/>
      <c r="P79" s="251">
        <f>IF(E79&gt;0,COUNTIF($E$17:E79,"&gt;0"),0)</f>
        <v/>
      </c>
      <c r="Q79" s="75">
        <f>IF(OR(F79=47201,F79=47100,F79=47200,F79=47500),H79,0)</f>
        <v/>
      </c>
      <c r="R79" s="75">
        <f>IF(OR(F79=87201,F79=87100,F79=87200,F79=87500),H79,0)</f>
        <v/>
      </c>
    </row>
    <row r="80" ht="15" customHeight="1" s="418">
      <c r="A80" s="216">
        <f>IFERROR(VLOOKUP(E80,Tabellen!A:F,4),0)</f>
        <v/>
      </c>
      <c r="B80" s="319" t="n"/>
      <c r="C80" s="320">
        <f>IFERROR(VLOOKUP(E80,Tabellen!A:F,5),0)</f>
        <v/>
      </c>
      <c r="D80" s="216">
        <f>IFERROR(VLOOKUP(E80,Tabellen!A:F,6),0)</f>
        <v/>
      </c>
      <c r="E80" s="307" t="n"/>
      <c r="F80" s="363">
        <f>IFERROR(VLOOKUP(E80,Tabellen!A:H,8),0)</f>
        <v/>
      </c>
      <c r="G80" s="321">
        <f>IFERROR(VLOOKUP(E80,Tabellen!A:F,2),0)</f>
        <v/>
      </c>
      <c r="H80" s="310" t="n"/>
      <c r="I80" s="310" t="n"/>
      <c r="J80" s="310" t="n"/>
      <c r="K80" s="310" t="n"/>
      <c r="L80" s="364">
        <f>IF(E80&gt;0,$H$4,0)</f>
        <v/>
      </c>
      <c r="M80" s="311">
        <f>IFERROR(VLOOKUP(F80,Tabellen!H:I,2),0)</f>
        <v/>
      </c>
      <c r="N80" s="357" t="n"/>
      <c r="O80" s="357" t="n"/>
      <c r="P80" s="233">
        <f>IF(E80&gt;0,COUNTIF($E$17:E80,"&gt;0"),0)</f>
        <v/>
      </c>
      <c r="Q80" s="75">
        <f>IF(OR(F80=47201,F80=47100,F80=47200,F80=47500),H80,0)</f>
        <v/>
      </c>
      <c r="R80" s="75">
        <f>IF(OR(F80=87201,F80=87100,F80=87200,F80=87500),H80,0)</f>
        <v/>
      </c>
    </row>
    <row r="81" ht="15" customHeight="1" s="418">
      <c r="A81" s="219">
        <f>IFERROR(VLOOKUP(E81,Tabellen!A:F,4),0)</f>
        <v/>
      </c>
      <c r="B81" s="322" t="n"/>
      <c r="C81" s="306">
        <f>IFERROR(VLOOKUP(E81,Tabellen!A:F,5),0)</f>
        <v/>
      </c>
      <c r="D81" s="219">
        <f>IFERROR(VLOOKUP(E81,Tabellen!A:F,6),0)</f>
        <v/>
      </c>
      <c r="E81" s="307" t="n"/>
      <c r="F81" s="363">
        <f>IFERROR(VLOOKUP(E81,Tabellen!A:H,8),0)</f>
        <v/>
      </c>
      <c r="G81" s="308">
        <f>IFERROR(VLOOKUP(E81,Tabellen!A:F,2),0)</f>
        <v/>
      </c>
      <c r="H81" s="310" t="n"/>
      <c r="I81" s="310" t="n"/>
      <c r="J81" s="310" t="n"/>
      <c r="K81" s="310" t="n"/>
      <c r="L81" s="364">
        <f>IF(E81&gt;0,$H$4,0)</f>
        <v/>
      </c>
      <c r="M81" s="312">
        <f>IFERROR(VLOOKUP(F81,Tabellen!H:I,2),0)</f>
        <v/>
      </c>
      <c r="N81" s="357" t="n"/>
      <c r="O81" s="357" t="n"/>
      <c r="P81" s="251">
        <f>IF(E81&gt;0,COUNTIF($E$17:E81,"&gt;0"),0)</f>
        <v/>
      </c>
      <c r="Q81" s="75">
        <f>IF(OR(F81=47201,F81=47100,F81=47200,F81=47500),H81,0)</f>
        <v/>
      </c>
      <c r="R81" s="75">
        <f>IF(OR(F81=87201,F81=87100,F81=87200,F81=87500),H81,0)</f>
        <v/>
      </c>
    </row>
    <row r="82" ht="15" customHeight="1" s="418">
      <c r="A82" s="216">
        <f>IFERROR(VLOOKUP(E82,Tabellen!A:F,4),0)</f>
        <v/>
      </c>
      <c r="B82" s="319" t="n"/>
      <c r="C82" s="320">
        <f>IFERROR(VLOOKUP(E82,Tabellen!A:F,5),0)</f>
        <v/>
      </c>
      <c r="D82" s="216">
        <f>IFERROR(VLOOKUP(E82,Tabellen!A:F,6),0)</f>
        <v/>
      </c>
      <c r="E82" s="307" t="n"/>
      <c r="F82" s="363">
        <f>IFERROR(VLOOKUP(E82,Tabellen!A:H,8),0)</f>
        <v/>
      </c>
      <c r="G82" s="321">
        <f>IFERROR(VLOOKUP(E82,Tabellen!A:F,2),0)</f>
        <v/>
      </c>
      <c r="H82" s="310" t="n"/>
      <c r="I82" s="310" t="n"/>
      <c r="J82" s="310" t="n"/>
      <c r="K82" s="310" t="n"/>
      <c r="L82" s="364">
        <f>IF(E82&gt;0,$H$4,0)</f>
        <v/>
      </c>
      <c r="M82" s="311">
        <f>IFERROR(VLOOKUP(F82,Tabellen!H:I,2),0)</f>
        <v/>
      </c>
      <c r="N82" s="357" t="n"/>
      <c r="O82" s="357" t="n"/>
      <c r="P82" s="233">
        <f>IF(E82&gt;0,COUNTIF($E$17:E82,"&gt;0"),0)</f>
        <v/>
      </c>
      <c r="Q82" s="75">
        <f>IF(OR(F82=47201,F82=47100,F82=47200,F82=47500),H82,0)</f>
        <v/>
      </c>
      <c r="R82" s="75">
        <f>IF(OR(F82=87201,F82=87100,F82=87200,F82=87500),H82,0)</f>
        <v/>
      </c>
    </row>
    <row r="83" ht="15" customHeight="1" s="418">
      <c r="A83" s="219">
        <f>IFERROR(VLOOKUP(E83,Tabellen!A:F,4),0)</f>
        <v/>
      </c>
      <c r="B83" s="219" t="n"/>
      <c r="C83" s="306">
        <f>IFERROR(VLOOKUP(E83,Tabellen!A:F,5),0)</f>
        <v/>
      </c>
      <c r="D83" s="219">
        <f>IFERROR(VLOOKUP(E83,Tabellen!A:F,6),0)</f>
        <v/>
      </c>
      <c r="E83" s="307" t="n"/>
      <c r="F83" s="363">
        <f>IFERROR(VLOOKUP(E83,Tabellen!A:H,8),0)</f>
        <v/>
      </c>
      <c r="G83" s="308">
        <f>IFERROR(VLOOKUP(E83,Tabellen!A:F,2),0)</f>
        <v/>
      </c>
      <c r="H83" s="310" t="n"/>
      <c r="I83" s="310" t="n"/>
      <c r="J83" s="310" t="n"/>
      <c r="K83" s="310" t="n"/>
      <c r="L83" s="364">
        <f>IF(E83&gt;0,$H$4,0)</f>
        <v/>
      </c>
      <c r="M83" s="312">
        <f>IFERROR(VLOOKUP(F83,Tabellen!H:I,2),0)</f>
        <v/>
      </c>
      <c r="N83" s="357" t="n"/>
      <c r="O83" s="357" t="n"/>
      <c r="P83" s="251">
        <f>IF(E83&gt;0,COUNTIF($E$17:E83,"&gt;0"),0)</f>
        <v/>
      </c>
      <c r="Q83" s="75">
        <f>IF(OR(F83=47201,F83=47100,F83=47200,F83=47500),H83,0)</f>
        <v/>
      </c>
      <c r="R83" s="75">
        <f>IF(OR(F83=87201,F83=87100,F83=87200,F83=87500),H83,0)</f>
        <v/>
      </c>
    </row>
    <row r="84" ht="15" customHeight="1" s="418">
      <c r="A84" s="216">
        <f>IFERROR(VLOOKUP(E84,Tabellen!A:F,4),0)</f>
        <v/>
      </c>
      <c r="B84" s="319" t="n"/>
      <c r="C84" s="320">
        <f>IFERROR(VLOOKUP(E84,Tabellen!A:F,5),0)</f>
        <v/>
      </c>
      <c r="D84" s="216">
        <f>IFERROR(VLOOKUP(E84,Tabellen!A:F,6),0)</f>
        <v/>
      </c>
      <c r="E84" s="307" t="n"/>
      <c r="F84" s="363">
        <f>IFERROR(VLOOKUP(E84,Tabellen!A:H,8),0)</f>
        <v/>
      </c>
      <c r="G84" s="321">
        <f>IFERROR(VLOOKUP(E84,Tabellen!A:F,2),0)</f>
        <v/>
      </c>
      <c r="H84" s="310" t="n"/>
      <c r="I84" s="310" t="n"/>
      <c r="J84" s="310" t="n"/>
      <c r="K84" s="310" t="n"/>
      <c r="L84" s="364">
        <f>IF(E84&gt;0,$H$4,0)</f>
        <v/>
      </c>
      <c r="M84" s="311">
        <f>IFERROR(VLOOKUP(F84,Tabellen!H:I,2),0)</f>
        <v/>
      </c>
      <c r="N84" s="357" t="n"/>
      <c r="O84" s="357" t="n"/>
      <c r="P84" s="233">
        <f>IF(E84&gt;0,COUNTIF($E$17:E84,"&gt;0"),0)</f>
        <v/>
      </c>
      <c r="Q84" s="75">
        <f>IF(OR(F84=47201,F84=47100,F84=47200,F84=47500),H84,0)</f>
        <v/>
      </c>
      <c r="R84" s="75">
        <f>IF(OR(F84=87201,F84=87100,F84=87200,F84=87500),H84,0)</f>
        <v/>
      </c>
    </row>
    <row r="85" ht="15" customHeight="1" s="418">
      <c r="A85" s="219">
        <f>IFERROR(VLOOKUP(E85,Tabellen!A:F,4),0)</f>
        <v/>
      </c>
      <c r="B85" s="219" t="n"/>
      <c r="C85" s="306">
        <f>IFERROR(VLOOKUP(E85,Tabellen!A:F,5),0)</f>
        <v/>
      </c>
      <c r="D85" s="219">
        <f>IFERROR(VLOOKUP(E85,Tabellen!A:F,6),0)</f>
        <v/>
      </c>
      <c r="E85" s="307" t="n"/>
      <c r="F85" s="363">
        <f>IFERROR(VLOOKUP(E85,Tabellen!A:H,8),0)</f>
        <v/>
      </c>
      <c r="G85" s="308">
        <f>IFERROR(VLOOKUP(E85,Tabellen!A:F,2),0)</f>
        <v/>
      </c>
      <c r="H85" s="310" t="n"/>
      <c r="I85" s="310" t="n"/>
      <c r="J85" s="310" t="n"/>
      <c r="K85" s="310" t="n"/>
      <c r="L85" s="364">
        <f>IF(E85&gt;0,$H$4,0)</f>
        <v/>
      </c>
      <c r="M85" s="312">
        <f>IFERROR(VLOOKUP(F85,Tabellen!H:I,2),0)</f>
        <v/>
      </c>
      <c r="N85" s="357" t="n"/>
      <c r="O85" s="357" t="n"/>
      <c r="P85" s="251">
        <f>IF(E85&gt;0,COUNTIF($E$17:E85,"&gt;0"),0)</f>
        <v/>
      </c>
      <c r="Q85" s="75">
        <f>IF(OR(F85=47201,F85=47100,F85=47200,F85=47500),H85,0)</f>
        <v/>
      </c>
      <c r="R85" s="75">
        <f>IF(OR(F85=87201,F85=87100,F85=87200,F85=87500),H85,0)</f>
        <v/>
      </c>
    </row>
    <row r="86" ht="15" customHeight="1" s="418">
      <c r="A86" s="216">
        <f>IFERROR(VLOOKUP(E86,Tabellen!A:F,4),0)</f>
        <v/>
      </c>
      <c r="B86" s="216" t="n"/>
      <c r="C86" s="320">
        <f>IFERROR(VLOOKUP(E86,Tabellen!A:F,5),0)</f>
        <v/>
      </c>
      <c r="D86" s="216">
        <f>IFERROR(VLOOKUP(E86,Tabellen!A:F,6),0)</f>
        <v/>
      </c>
      <c r="E86" s="307" t="n"/>
      <c r="F86" s="363">
        <f>IFERROR(VLOOKUP(E86,Tabellen!A:H,8),0)</f>
        <v/>
      </c>
      <c r="G86" s="321">
        <f>IFERROR(VLOOKUP(E86,Tabellen!A:F,2),0)</f>
        <v/>
      </c>
      <c r="H86" s="310" t="n"/>
      <c r="I86" s="310" t="n"/>
      <c r="J86" s="310" t="n"/>
      <c r="K86" s="310" t="n"/>
      <c r="L86" s="364">
        <f>IF(E86&gt;0,$H$4,0)</f>
        <v/>
      </c>
      <c r="M86" s="311">
        <f>IFERROR(VLOOKUP(F86,Tabellen!H:I,2),0)</f>
        <v/>
      </c>
      <c r="N86" s="357" t="n"/>
      <c r="O86" s="357" t="n"/>
      <c r="P86" s="233">
        <f>IF(E86&gt;0,COUNTIF($E$17:E86,"&gt;0"),0)</f>
        <v/>
      </c>
      <c r="Q86" s="75">
        <f>IF(OR(F86=47201,F86=47100,F86=47200,F86=47500),H86,0)</f>
        <v/>
      </c>
      <c r="R86" s="75">
        <f>IF(OR(F86=87201,F86=87100,F86=87200,F86=87500),H86,0)</f>
        <v/>
      </c>
    </row>
    <row r="87" ht="15" customHeight="1" s="418">
      <c r="A87" s="219">
        <f>IFERROR(VLOOKUP(E87,Tabellen!A:F,4),0)</f>
        <v/>
      </c>
      <c r="B87" s="219" t="n"/>
      <c r="C87" s="306">
        <f>IFERROR(VLOOKUP(E87,Tabellen!A:F,5),0)</f>
        <v/>
      </c>
      <c r="D87" s="219">
        <f>IFERROR(VLOOKUP(E87,Tabellen!A:F,6),0)</f>
        <v/>
      </c>
      <c r="E87" s="307" t="n"/>
      <c r="F87" s="363">
        <f>IFERROR(VLOOKUP(E87,Tabellen!A:H,8),0)</f>
        <v/>
      </c>
      <c r="G87" s="308">
        <f>IFERROR(VLOOKUP(E87,Tabellen!A:F,2),0)</f>
        <v/>
      </c>
      <c r="H87" s="310" t="n"/>
      <c r="I87" s="310" t="n"/>
      <c r="J87" s="310" t="n"/>
      <c r="K87" s="310" t="n"/>
      <c r="L87" s="364">
        <f>IF(E87&gt;0,$H$4,0)</f>
        <v/>
      </c>
      <c r="M87" s="312">
        <f>IFERROR(VLOOKUP(F87,Tabellen!H:I,2),0)</f>
        <v/>
      </c>
      <c r="N87" s="357" t="n"/>
      <c r="O87" s="357" t="n"/>
      <c r="P87" s="251">
        <f>IF(E87&gt;0,COUNTIF($E$17:E87,"&gt;0"),0)</f>
        <v/>
      </c>
      <c r="Q87" s="75">
        <f>IF(OR(F87=47201,F87=47100,F87=47200,F87=47500),H87,0)</f>
        <v/>
      </c>
      <c r="R87" s="75">
        <f>IF(OR(F87=87201,F87=87100,F87=87200,F87=87500),H87,0)</f>
        <v/>
      </c>
    </row>
    <row r="88" ht="15" customHeight="1" s="418">
      <c r="A88" s="216">
        <f>IFERROR(VLOOKUP(E88,Tabellen!A:F,4),0)</f>
        <v/>
      </c>
      <c r="B88" s="216" t="n"/>
      <c r="C88" s="320">
        <f>IFERROR(VLOOKUP(E88,Tabellen!A:F,5),0)</f>
        <v/>
      </c>
      <c r="D88" s="216">
        <f>IFERROR(VLOOKUP(E88,Tabellen!A:F,6),0)</f>
        <v/>
      </c>
      <c r="E88" s="307" t="n"/>
      <c r="F88" s="363">
        <f>IFERROR(VLOOKUP(E88,Tabellen!A:H,8),0)</f>
        <v/>
      </c>
      <c r="G88" s="321">
        <f>IFERROR(VLOOKUP(E88,Tabellen!A:F,2),0)</f>
        <v/>
      </c>
      <c r="H88" s="310" t="n"/>
      <c r="I88" s="310" t="n"/>
      <c r="J88" s="310" t="n"/>
      <c r="K88" s="310" t="n"/>
      <c r="L88" s="364">
        <f>IF(E88&gt;0,$H$4,0)</f>
        <v/>
      </c>
      <c r="M88" s="311">
        <f>IFERROR(VLOOKUP(F88,Tabellen!H:I,2),0)</f>
        <v/>
      </c>
      <c r="N88" s="357" t="n"/>
      <c r="O88" s="357" t="n"/>
      <c r="P88" s="233">
        <f>IF(E88&gt;0,COUNTIF($E$17:E88,"&gt;0"),0)</f>
        <v/>
      </c>
      <c r="Q88" s="75">
        <f>IF(OR(F88=47201,F88=47100,F88=47200,F88=47500),H88,0)</f>
        <v/>
      </c>
      <c r="R88" s="75">
        <f>IF(OR(F88=87201,F88=87100,F88=87200,F88=87500),H88,0)</f>
        <v/>
      </c>
    </row>
    <row r="89" ht="15" customHeight="1" s="418">
      <c r="A89" s="219">
        <f>IFERROR(VLOOKUP(E89,Tabellen!A:F,4),0)</f>
        <v/>
      </c>
      <c r="B89" s="219" t="n"/>
      <c r="C89" s="306">
        <f>IFERROR(VLOOKUP(E89,Tabellen!A:F,5),0)</f>
        <v/>
      </c>
      <c r="D89" s="219">
        <f>IFERROR(VLOOKUP(E89,Tabellen!A:F,6),0)</f>
        <v/>
      </c>
      <c r="E89" s="307" t="n"/>
      <c r="F89" s="363">
        <f>IFERROR(VLOOKUP(E89,Tabellen!A:H,8),0)</f>
        <v/>
      </c>
      <c r="G89" s="308">
        <f>IFERROR(VLOOKUP(E89,Tabellen!A:F,2),0)</f>
        <v/>
      </c>
      <c r="H89" s="310" t="n"/>
      <c r="I89" s="310" t="n"/>
      <c r="J89" s="310" t="n"/>
      <c r="K89" s="310" t="n"/>
      <c r="L89" s="364">
        <f>IF(E89&gt;0,$H$4,0)</f>
        <v/>
      </c>
      <c r="M89" s="312">
        <f>IFERROR(VLOOKUP(F89,Tabellen!H:I,2),0)</f>
        <v/>
      </c>
      <c r="N89" s="357" t="n"/>
      <c r="O89" s="357" t="n"/>
      <c r="P89" s="251">
        <f>IF(E89&gt;0,COUNTIF($E$17:E89,"&gt;0"),0)</f>
        <v/>
      </c>
      <c r="Q89" s="75">
        <f>IF(OR(F89=47201,F89=47100,F89=47200,F89=47500),H89,0)</f>
        <v/>
      </c>
      <c r="R89" s="75">
        <f>IF(OR(F89=87201,F89=87100,F89=87200,F89=87500),H89,0)</f>
        <v/>
      </c>
    </row>
    <row r="90" ht="15" customHeight="1" s="418">
      <c r="A90" s="216">
        <f>IFERROR(VLOOKUP(E90,Tabellen!A:F,4),0)</f>
        <v/>
      </c>
      <c r="B90" s="216" t="n"/>
      <c r="C90" s="320">
        <f>IFERROR(VLOOKUP(E90,Tabellen!A:F,5),0)</f>
        <v/>
      </c>
      <c r="D90" s="216">
        <f>IFERROR(VLOOKUP(E90,Tabellen!A:F,6),0)</f>
        <v/>
      </c>
      <c r="E90" s="307" t="n"/>
      <c r="F90" s="363">
        <f>IFERROR(VLOOKUP(E90,Tabellen!A:H,8),0)</f>
        <v/>
      </c>
      <c r="G90" s="321">
        <f>IFERROR(VLOOKUP(E90,Tabellen!A:F,2),0)</f>
        <v/>
      </c>
      <c r="H90" s="310" t="n"/>
      <c r="I90" s="310" t="n"/>
      <c r="J90" s="310" t="n"/>
      <c r="K90" s="310" t="n"/>
      <c r="L90" s="364">
        <f>IF(E90&gt;0,$H$4,0)</f>
        <v/>
      </c>
      <c r="M90" s="311">
        <f>IFERROR(VLOOKUP(F90,Tabellen!H:I,2),0)</f>
        <v/>
      </c>
      <c r="N90" s="357" t="n"/>
      <c r="O90" s="357" t="n"/>
      <c r="P90" s="233">
        <f>IF(E90&gt;0,COUNTIF($E$17:E90,"&gt;0"),0)</f>
        <v/>
      </c>
      <c r="Q90" s="75">
        <f>IF(OR(F90=47201,F90=47100,F90=47200,F90=47500),H90,0)</f>
        <v/>
      </c>
      <c r="R90" s="75">
        <f>IF(OR(F90=87201,F90=87100,F90=87200,F90=87500),H90,0)</f>
        <v/>
      </c>
    </row>
    <row r="91" ht="15" customHeight="1" s="418">
      <c r="A91" s="219">
        <f>IFERROR(VLOOKUP(E91,Tabellen!A:F,4),0)</f>
        <v/>
      </c>
      <c r="B91" s="219" t="n"/>
      <c r="C91" s="306">
        <f>IFERROR(VLOOKUP(E91,Tabellen!A:F,5),0)</f>
        <v/>
      </c>
      <c r="D91" s="219">
        <f>IFERROR(VLOOKUP(E91,Tabellen!A:F,6),0)</f>
        <v/>
      </c>
      <c r="E91" s="307" t="n"/>
      <c r="F91" s="363">
        <f>IFERROR(VLOOKUP(E91,Tabellen!A:H,8),0)</f>
        <v/>
      </c>
      <c r="G91" s="308">
        <f>IFERROR(VLOOKUP(E91,Tabellen!A:F,2),0)</f>
        <v/>
      </c>
      <c r="H91" s="310" t="n"/>
      <c r="I91" s="310" t="n"/>
      <c r="J91" s="310" t="n"/>
      <c r="K91" s="310" t="n"/>
      <c r="L91" s="364">
        <f>IF(E91&gt;0,$H$4,0)</f>
        <v/>
      </c>
      <c r="M91" s="312">
        <f>IFERROR(VLOOKUP(F91,Tabellen!H:I,2),0)</f>
        <v/>
      </c>
      <c r="N91" s="357" t="n"/>
      <c r="O91" s="357" t="n"/>
      <c r="P91" s="251">
        <f>IF(E91&gt;0,COUNTIF($E$17:E91,"&gt;0"),0)</f>
        <v/>
      </c>
      <c r="Q91" s="75">
        <f>IF(OR(F91=47201,F91=47100,F91=47200,F91=47500),H91,0)</f>
        <v/>
      </c>
      <c r="R91" s="75">
        <f>IF(OR(F91=87201,F91=87100,F91=87200,F91=87500),H91,0)</f>
        <v/>
      </c>
    </row>
    <row r="92" ht="15" customHeight="1" s="418">
      <c r="A92" s="216">
        <f>IFERROR(VLOOKUP(E92,Tabellen!A:F,4),0)</f>
        <v/>
      </c>
      <c r="B92" s="216" t="n"/>
      <c r="C92" s="320">
        <f>IFERROR(VLOOKUP(E92,Tabellen!A:F,5),0)</f>
        <v/>
      </c>
      <c r="D92" s="216">
        <f>IFERROR(VLOOKUP(E92,Tabellen!A:F,6),0)</f>
        <v/>
      </c>
      <c r="E92" s="307" t="n"/>
      <c r="F92" s="363">
        <f>IFERROR(VLOOKUP(E92,Tabellen!A:H,8),0)</f>
        <v/>
      </c>
      <c r="G92" s="321">
        <f>IFERROR(VLOOKUP(E92,Tabellen!A:F,2),0)</f>
        <v/>
      </c>
      <c r="H92" s="310" t="n"/>
      <c r="I92" s="310" t="n"/>
      <c r="J92" s="310" t="n"/>
      <c r="K92" s="310" t="n"/>
      <c r="L92" s="364">
        <f>IF(E92&gt;0,$H$4,0)</f>
        <v/>
      </c>
      <c r="M92" s="311">
        <f>IFERROR(VLOOKUP(F92,Tabellen!H:I,2),0)</f>
        <v/>
      </c>
      <c r="N92" s="357" t="n"/>
      <c r="O92" s="357" t="n"/>
      <c r="P92" s="233">
        <f>IF(E92&gt;0,COUNTIF($E$17:E92,"&gt;0"),0)</f>
        <v/>
      </c>
      <c r="Q92" s="75">
        <f>IF(OR(F92=47201,F92=47100,F92=47200,F92=47500),H92,0)</f>
        <v/>
      </c>
      <c r="R92" s="75">
        <f>IF(OR(F92=87201,F92=87100,F92=87200,F92=87500),H92,0)</f>
        <v/>
      </c>
    </row>
    <row r="93" ht="15" customHeight="1" s="418">
      <c r="A93" s="219">
        <f>IFERROR(VLOOKUP(E93,Tabellen!A:F,4),0)</f>
        <v/>
      </c>
      <c r="B93" s="219" t="n"/>
      <c r="C93" s="306">
        <f>IFERROR(VLOOKUP(E93,Tabellen!A:F,5),0)</f>
        <v/>
      </c>
      <c r="D93" s="219">
        <f>IFERROR(VLOOKUP(E93,Tabellen!A:F,6),0)</f>
        <v/>
      </c>
      <c r="E93" s="307" t="n"/>
      <c r="F93" s="363">
        <f>IFERROR(VLOOKUP(E93,Tabellen!A:H,8),0)</f>
        <v/>
      </c>
      <c r="G93" s="308">
        <f>IFERROR(VLOOKUP(E93,Tabellen!A:F,2),0)</f>
        <v/>
      </c>
      <c r="H93" s="310" t="n"/>
      <c r="I93" s="310" t="n"/>
      <c r="J93" s="310" t="n"/>
      <c r="K93" s="310" t="n"/>
      <c r="L93" s="364">
        <f>IF(E93&gt;0,$H$4,0)</f>
        <v/>
      </c>
      <c r="M93" s="312">
        <f>IFERROR(VLOOKUP(F93,Tabellen!H:I,2),0)</f>
        <v/>
      </c>
      <c r="N93" s="357" t="n"/>
      <c r="O93" s="357" t="n"/>
      <c r="P93" s="251">
        <f>IF(E93&gt;0,COUNTIF($E$17:E93,"&gt;0"),0)</f>
        <v/>
      </c>
      <c r="Q93" s="75">
        <f>IF(OR(F93=47201,F93=47100,F93=47200,F93=47500),H93,0)</f>
        <v/>
      </c>
      <c r="R93" s="75">
        <f>IF(OR(F93=87201,F93=87100,F93=87200,F93=87500),H93,0)</f>
        <v/>
      </c>
    </row>
    <row r="94" ht="15" customHeight="1" s="418">
      <c r="A94" s="216">
        <f>IFERROR(VLOOKUP(E94,Tabellen!A:F,4),0)</f>
        <v/>
      </c>
      <c r="B94" s="216" t="n"/>
      <c r="C94" s="320">
        <f>IFERROR(VLOOKUP(E94,Tabellen!A:F,5),0)</f>
        <v/>
      </c>
      <c r="D94" s="216">
        <f>IFERROR(VLOOKUP(E94,Tabellen!A:F,6),0)</f>
        <v/>
      </c>
      <c r="E94" s="307" t="n"/>
      <c r="F94" s="363">
        <f>IFERROR(VLOOKUP(E94,Tabellen!A:H,8),0)</f>
        <v/>
      </c>
      <c r="G94" s="321">
        <f>IFERROR(VLOOKUP(E94,Tabellen!A:F,2),0)</f>
        <v/>
      </c>
      <c r="H94" s="310" t="n"/>
      <c r="I94" s="310" t="n"/>
      <c r="J94" s="310" t="n"/>
      <c r="K94" s="310" t="n"/>
      <c r="L94" s="364">
        <f>IF(E94&gt;0,$H$4,0)</f>
        <v/>
      </c>
      <c r="M94" s="311">
        <f>IFERROR(VLOOKUP(F94,Tabellen!H:I,2),0)</f>
        <v/>
      </c>
      <c r="N94" s="357" t="n"/>
      <c r="O94" s="357" t="n"/>
      <c r="P94" s="233">
        <f>IF(E94&gt;0,COUNTIF($E$17:E94,"&gt;0"),0)</f>
        <v/>
      </c>
      <c r="Q94" s="75">
        <f>IF(OR(F94=47201,F94=47100,F94=47200,F94=47500),H94,0)</f>
        <v/>
      </c>
      <c r="R94" s="75">
        <f>IF(OR(F94=87201,F94=87100,F94=87200,F94=87500),H94,0)</f>
        <v/>
      </c>
    </row>
    <row r="95" ht="15" customHeight="1" s="418">
      <c r="A95" s="219">
        <f>IFERROR(VLOOKUP(E95,Tabellen!A:F,4),0)</f>
        <v/>
      </c>
      <c r="B95" s="219" t="n"/>
      <c r="C95" s="306">
        <f>IFERROR(VLOOKUP(E95,Tabellen!A:F,5),0)</f>
        <v/>
      </c>
      <c r="D95" s="219">
        <f>IFERROR(VLOOKUP(E95,Tabellen!A:F,6),0)</f>
        <v/>
      </c>
      <c r="E95" s="307" t="n"/>
      <c r="F95" s="363">
        <f>IFERROR(VLOOKUP(E95,Tabellen!A:H,8),0)</f>
        <v/>
      </c>
      <c r="G95" s="308">
        <f>IFERROR(VLOOKUP(E95,Tabellen!A:F,2),0)</f>
        <v/>
      </c>
      <c r="H95" s="310" t="n"/>
      <c r="I95" s="310" t="n"/>
      <c r="J95" s="310" t="n"/>
      <c r="K95" s="310" t="n"/>
      <c r="L95" s="364">
        <f>IF(E95&gt;0,$H$4,0)</f>
        <v/>
      </c>
      <c r="M95" s="312">
        <f>IFERROR(VLOOKUP(F95,Tabellen!H:I,2),0)</f>
        <v/>
      </c>
      <c r="N95" s="357" t="n"/>
      <c r="O95" s="357" t="n"/>
      <c r="P95" s="251">
        <f>IF(E95&gt;0,COUNTIF($E$17:E95,"&gt;0"),0)</f>
        <v/>
      </c>
      <c r="Q95" s="75">
        <f>IF(OR(F95=47201,F95=47100,F95=47200,F95=47500),H95,0)</f>
        <v/>
      </c>
      <c r="R95" s="75">
        <f>IF(OR(F95=87201,F95=87100,F95=87200,F95=87500),H95,0)</f>
        <v/>
      </c>
    </row>
    <row r="96" ht="15" customHeight="1" s="418">
      <c r="A96" s="216">
        <f>IFERROR(VLOOKUP(E96,Tabellen!A:F,4),0)</f>
        <v/>
      </c>
      <c r="B96" s="216" t="n"/>
      <c r="C96" s="320">
        <f>IFERROR(VLOOKUP(E96,Tabellen!A:F,5),0)</f>
        <v/>
      </c>
      <c r="D96" s="216">
        <f>IFERROR(VLOOKUP(E96,Tabellen!A:F,6),0)</f>
        <v/>
      </c>
      <c r="E96" s="307" t="n"/>
      <c r="F96" s="363">
        <f>IFERROR(VLOOKUP(E96,Tabellen!A:H,8),0)</f>
        <v/>
      </c>
      <c r="G96" s="321">
        <f>IFERROR(VLOOKUP(E96,Tabellen!A:F,2),0)</f>
        <v/>
      </c>
      <c r="H96" s="310" t="n"/>
      <c r="I96" s="310" t="n"/>
      <c r="J96" s="310" t="n"/>
      <c r="K96" s="310" t="n"/>
      <c r="L96" s="364">
        <f>IF(E96&gt;0,$H$4,0)</f>
        <v/>
      </c>
      <c r="M96" s="311">
        <f>IFERROR(VLOOKUP(F96,Tabellen!H:I,2),0)</f>
        <v/>
      </c>
      <c r="N96" s="357" t="n"/>
      <c r="O96" s="357" t="n"/>
      <c r="P96" s="233">
        <f>IF(E96&gt;0,COUNTIF($E$17:E96,"&gt;0"),0)</f>
        <v/>
      </c>
      <c r="Q96" s="75">
        <f>IF(OR(F96=47201,F96=47100,F96=47200,F96=47500),H96,0)</f>
        <v/>
      </c>
      <c r="R96" s="75">
        <f>IF(OR(F96=87201,F96=87100,F96=87200,F96=87500),H96,0)</f>
        <v/>
      </c>
    </row>
    <row r="97" ht="15" customHeight="1" s="418">
      <c r="A97" s="219">
        <f>IFERROR(VLOOKUP(E97,Tabellen!A:F,4),0)</f>
        <v/>
      </c>
      <c r="B97" s="219" t="n"/>
      <c r="C97" s="306">
        <f>IFERROR(VLOOKUP(E97,Tabellen!A:F,5),0)</f>
        <v/>
      </c>
      <c r="D97" s="219">
        <f>IFERROR(VLOOKUP(E97,Tabellen!A:F,6),0)</f>
        <v/>
      </c>
      <c r="E97" s="307" t="n"/>
      <c r="F97" s="363">
        <f>IFERROR(VLOOKUP(E97,Tabellen!A:H,8),0)</f>
        <v/>
      </c>
      <c r="G97" s="308">
        <f>IFERROR(VLOOKUP(E97,Tabellen!A:F,2),0)</f>
        <v/>
      </c>
      <c r="H97" s="310" t="n"/>
      <c r="I97" s="310" t="n"/>
      <c r="J97" s="310" t="n"/>
      <c r="K97" s="310" t="n"/>
      <c r="L97" s="364">
        <f>IF(E97&gt;0,$H$4,0)</f>
        <v/>
      </c>
      <c r="M97" s="312">
        <f>IFERROR(VLOOKUP(F97,Tabellen!H:I,2),0)</f>
        <v/>
      </c>
      <c r="N97" s="357" t="n"/>
      <c r="O97" s="357" t="n"/>
      <c r="P97" s="251">
        <f>IF(E97&gt;0,COUNTIF($E$17:E97,"&gt;0"),0)</f>
        <v/>
      </c>
      <c r="Q97" s="75">
        <f>IF(OR(F97=47201,F97=47100,F97=47200,F97=47500),H97,0)</f>
        <v/>
      </c>
      <c r="R97" s="75">
        <f>IF(OR(F97=87201,F97=87100,F97=87200,F97=87500),H97,0)</f>
        <v/>
      </c>
    </row>
    <row r="98" ht="15" customHeight="1" s="418">
      <c r="A98" s="216">
        <f>IFERROR(VLOOKUP(E98,Tabellen!A:F,4),0)</f>
        <v/>
      </c>
      <c r="B98" s="216" t="n"/>
      <c r="C98" s="320">
        <f>IFERROR(VLOOKUP(E98,Tabellen!A:F,5),0)</f>
        <v/>
      </c>
      <c r="D98" s="216">
        <f>IFERROR(VLOOKUP(E98,Tabellen!A:F,6),0)</f>
        <v/>
      </c>
      <c r="E98" s="307" t="n"/>
      <c r="F98" s="363">
        <f>IFERROR(VLOOKUP(E98,Tabellen!A:H,8),0)</f>
        <v/>
      </c>
      <c r="G98" s="321">
        <f>IFERROR(VLOOKUP(E98,Tabellen!A:F,2),0)</f>
        <v/>
      </c>
      <c r="H98" s="310" t="n"/>
      <c r="I98" s="310" t="n"/>
      <c r="J98" s="310" t="n"/>
      <c r="K98" s="310" t="n"/>
      <c r="L98" s="364">
        <f>IF(E98&gt;0,$H$4,0)</f>
        <v/>
      </c>
      <c r="M98" s="311">
        <f>IFERROR(VLOOKUP(F98,Tabellen!H:I,2),0)</f>
        <v/>
      </c>
      <c r="N98" s="357" t="n"/>
      <c r="O98" s="357" t="n"/>
      <c r="P98" s="233">
        <f>IF(E98&gt;0,COUNTIF($E$17:E98,"&gt;0"),0)</f>
        <v/>
      </c>
      <c r="Q98" s="75">
        <f>IF(OR(F98=47201,F98=47100,F98=47200,F98=47500),H98,0)</f>
        <v/>
      </c>
      <c r="R98" s="75">
        <f>IF(OR(F98=87201,F98=87100,F98=87200,F98=87500),H98,0)</f>
        <v/>
      </c>
    </row>
    <row r="99" ht="15" customHeight="1" s="418">
      <c r="A99" s="219">
        <f>IFERROR(VLOOKUP(E99,Tabellen!A:F,4),0)</f>
        <v/>
      </c>
      <c r="B99" s="219" t="n"/>
      <c r="C99" s="306">
        <f>IFERROR(VLOOKUP(E99,Tabellen!A:F,5),0)</f>
        <v/>
      </c>
      <c r="D99" s="219">
        <f>IFERROR(VLOOKUP(E99,Tabellen!A:F,6),0)</f>
        <v/>
      </c>
      <c r="E99" s="307" t="n"/>
      <c r="F99" s="363">
        <f>IFERROR(VLOOKUP(E99,Tabellen!A:H,8),0)</f>
        <v/>
      </c>
      <c r="G99" s="308">
        <f>IFERROR(VLOOKUP(E99,Tabellen!A:F,2),0)</f>
        <v/>
      </c>
      <c r="H99" s="310" t="n"/>
      <c r="I99" s="310" t="n"/>
      <c r="J99" s="310" t="n"/>
      <c r="K99" s="310" t="n"/>
      <c r="L99" s="364">
        <f>IF(E99&gt;0,$H$4,0)</f>
        <v/>
      </c>
      <c r="M99" s="312">
        <f>IFERROR(VLOOKUP(F99,Tabellen!H:I,2),0)</f>
        <v/>
      </c>
      <c r="N99" s="357" t="n"/>
      <c r="O99" s="357" t="n"/>
      <c r="P99" s="251">
        <f>IF(E99&gt;0,COUNTIF($E$17:E99,"&gt;0"),0)</f>
        <v/>
      </c>
      <c r="Q99" s="75">
        <f>IF(OR(F99=47201,F99=47100,F99=47200,F99=47500),H99,0)</f>
        <v/>
      </c>
      <c r="R99" s="75">
        <f>IF(OR(F99=87201,F99=87100,F99=87200,F99=87500),H99,0)</f>
        <v/>
      </c>
    </row>
    <row r="100" ht="15" customHeight="1" s="418">
      <c r="A100" s="216">
        <f>IFERROR(VLOOKUP(E100,Tabellen!A:F,4),0)</f>
        <v/>
      </c>
      <c r="B100" s="216" t="n"/>
      <c r="C100" s="320">
        <f>IFERROR(VLOOKUP(E100,Tabellen!A:F,5),0)</f>
        <v/>
      </c>
      <c r="D100" s="216">
        <f>IFERROR(VLOOKUP(E100,Tabellen!A:F,6),0)</f>
        <v/>
      </c>
      <c r="E100" s="307" t="n"/>
      <c r="F100" s="363">
        <f>IFERROR(VLOOKUP(E100,Tabellen!A:H,8),0)</f>
        <v/>
      </c>
      <c r="G100" s="321">
        <f>IFERROR(VLOOKUP(E100,Tabellen!A:F,2),0)</f>
        <v/>
      </c>
      <c r="H100" s="310" t="n"/>
      <c r="I100" s="310" t="n"/>
      <c r="J100" s="310" t="n"/>
      <c r="K100" s="310" t="n"/>
      <c r="L100" s="364">
        <f>IF(E100&gt;0,$H$4,0)</f>
        <v/>
      </c>
      <c r="M100" s="311">
        <f>IFERROR(VLOOKUP(F100,Tabellen!H:I,2),0)</f>
        <v/>
      </c>
      <c r="N100" s="357" t="n"/>
      <c r="O100" s="357" t="n"/>
      <c r="P100" s="233">
        <f>IF(E100&gt;0,COUNTIF($E$17:E100,"&gt;0"),0)</f>
        <v/>
      </c>
      <c r="Q100" s="75">
        <f>IF(OR(F100=47201,F100=47100,F100=47200,F100=47500),H100,0)</f>
        <v/>
      </c>
      <c r="R100" s="75">
        <f>IF(OR(F100=87201,F100=87100,F100=87200,F100=87500),H100,0)</f>
        <v/>
      </c>
    </row>
    <row r="101" ht="15" customHeight="1" s="418">
      <c r="A101" s="219">
        <f>IFERROR(VLOOKUP(E101,Tabellen!A:F,4),0)</f>
        <v/>
      </c>
      <c r="B101" s="219" t="n"/>
      <c r="C101" s="306">
        <f>IFERROR(VLOOKUP(E101,Tabellen!A:F,5),0)</f>
        <v/>
      </c>
      <c r="D101" s="219">
        <f>IFERROR(VLOOKUP(E101,Tabellen!A:F,6),0)</f>
        <v/>
      </c>
      <c r="E101" s="307" t="n"/>
      <c r="F101" s="363">
        <f>IFERROR(VLOOKUP(E101,Tabellen!A:H,8),0)</f>
        <v/>
      </c>
      <c r="G101" s="308">
        <f>IFERROR(VLOOKUP(E101,Tabellen!A:F,2),0)</f>
        <v/>
      </c>
      <c r="H101" s="310" t="n"/>
      <c r="I101" s="310" t="n"/>
      <c r="J101" s="310" t="n"/>
      <c r="K101" s="310" t="n"/>
      <c r="L101" s="364">
        <f>IF(E101&gt;0,$H$4,0)</f>
        <v/>
      </c>
      <c r="M101" s="312">
        <f>IFERROR(VLOOKUP(F101,Tabellen!H:I,2),0)</f>
        <v/>
      </c>
      <c r="N101" s="357" t="n"/>
      <c r="O101" s="357" t="n"/>
      <c r="P101" s="251">
        <f>IF(E101&gt;0,COUNTIF($E$17:E101,"&gt;0"),0)</f>
        <v/>
      </c>
      <c r="Q101" s="75">
        <f>IF(OR(F101=47201,F101=47100,F101=47200,F101=47500),H101,0)</f>
        <v/>
      </c>
      <c r="R101" s="75">
        <f>IF(OR(F101=87201,F101=87100,F101=87200,F101=87500),H101,0)</f>
        <v/>
      </c>
    </row>
    <row r="102" ht="15" customHeight="1" s="418">
      <c r="A102" s="216">
        <f>IFERROR(VLOOKUP(E102,Tabellen!A:F,4),0)</f>
        <v/>
      </c>
      <c r="B102" s="216" t="n"/>
      <c r="C102" s="320">
        <f>IFERROR(VLOOKUP(E102,Tabellen!A:F,5),0)</f>
        <v/>
      </c>
      <c r="D102" s="216">
        <f>IFERROR(VLOOKUP(E102,Tabellen!A:F,6),0)</f>
        <v/>
      </c>
      <c r="E102" s="307" t="n"/>
      <c r="F102" s="363">
        <f>IFERROR(VLOOKUP(E102,Tabellen!A:H,8),0)</f>
        <v/>
      </c>
      <c r="G102" s="321">
        <f>IFERROR(VLOOKUP(E102,Tabellen!A:F,2),0)</f>
        <v/>
      </c>
      <c r="H102" s="310" t="n"/>
      <c r="I102" s="310" t="n"/>
      <c r="J102" s="310" t="n"/>
      <c r="K102" s="310" t="n"/>
      <c r="L102" s="364">
        <f>IF(E102&gt;0,$H$4,0)</f>
        <v/>
      </c>
      <c r="M102" s="311">
        <f>IFERROR(VLOOKUP(F102,Tabellen!H:I,2),0)</f>
        <v/>
      </c>
      <c r="N102" s="357" t="n"/>
      <c r="O102" s="357" t="n"/>
      <c r="P102" s="233">
        <f>IF(E102&gt;0,COUNTIF($E$17:E102,"&gt;0"),0)</f>
        <v/>
      </c>
      <c r="Q102" s="75">
        <f>IF(OR(F102=47201,F102=47100,F102=47200,F102=47500),H102,0)</f>
        <v/>
      </c>
      <c r="R102" s="75">
        <f>IF(OR(F102=87201,F102=87100,F102=87200,F102=87500),H102,0)</f>
        <v/>
      </c>
    </row>
    <row r="103" ht="15" customHeight="1" s="418">
      <c r="A103" s="219">
        <f>IFERROR(VLOOKUP(E103,Tabellen!A:F,4),0)</f>
        <v/>
      </c>
      <c r="B103" s="219" t="n"/>
      <c r="C103" s="306">
        <f>IFERROR(VLOOKUP(E103,Tabellen!A:F,5),0)</f>
        <v/>
      </c>
      <c r="D103" s="219">
        <f>IFERROR(VLOOKUP(E103,Tabellen!A:F,6),0)</f>
        <v/>
      </c>
      <c r="E103" s="307" t="n"/>
      <c r="F103" s="363">
        <f>IFERROR(VLOOKUP(E103,Tabellen!A:H,8),0)</f>
        <v/>
      </c>
      <c r="G103" s="308">
        <f>IFERROR(VLOOKUP(E103,Tabellen!A:F,2),0)</f>
        <v/>
      </c>
      <c r="H103" s="310" t="n"/>
      <c r="I103" s="310" t="n"/>
      <c r="J103" s="310" t="n"/>
      <c r="K103" s="310" t="n"/>
      <c r="L103" s="364">
        <f>IF(E103&gt;0,$H$4,0)</f>
        <v/>
      </c>
      <c r="M103" s="312">
        <f>IFERROR(VLOOKUP(F103,Tabellen!H:I,2),0)</f>
        <v/>
      </c>
      <c r="N103" s="357" t="n"/>
      <c r="O103" s="357" t="n"/>
      <c r="P103" s="251">
        <f>IF(E103&gt;0,COUNTIF($E$17:E103,"&gt;0"),0)</f>
        <v/>
      </c>
      <c r="Q103" s="75">
        <f>IF(OR(F103=47201,F103=47100,F103=47200,F103=47500),H103,0)</f>
        <v/>
      </c>
      <c r="R103" s="75">
        <f>IF(OR(F103=87201,F103=87100,F103=87200,F103=87500),H103,0)</f>
        <v/>
      </c>
    </row>
    <row r="104" ht="15" customHeight="1" s="418">
      <c r="A104" s="216">
        <f>IFERROR(VLOOKUP(E104,Tabellen!A:F,4),0)</f>
        <v/>
      </c>
      <c r="B104" s="216" t="n"/>
      <c r="C104" s="320">
        <f>IFERROR(VLOOKUP(E104,Tabellen!A:F,5),0)</f>
        <v/>
      </c>
      <c r="D104" s="216">
        <f>IFERROR(VLOOKUP(E104,Tabellen!A:F,6),0)</f>
        <v/>
      </c>
      <c r="E104" s="307" t="n"/>
      <c r="F104" s="363">
        <f>IFERROR(VLOOKUP(E104,Tabellen!A:H,8),0)</f>
        <v/>
      </c>
      <c r="G104" s="321">
        <f>IFERROR(VLOOKUP(E104,Tabellen!A:F,2),0)</f>
        <v/>
      </c>
      <c r="H104" s="310" t="n"/>
      <c r="I104" s="310" t="n"/>
      <c r="J104" s="310" t="n"/>
      <c r="K104" s="310" t="n"/>
      <c r="L104" s="364">
        <f>IF(E104&gt;0,$H$4,0)</f>
        <v/>
      </c>
      <c r="M104" s="311">
        <f>IFERROR(VLOOKUP(F104,Tabellen!H:I,2),0)</f>
        <v/>
      </c>
      <c r="N104" s="357" t="n"/>
      <c r="O104" s="357" t="n"/>
      <c r="P104" s="233">
        <f>IF(E104&gt;0,COUNTIF($E$17:E104,"&gt;0"),0)</f>
        <v/>
      </c>
      <c r="Q104" s="75">
        <f>IF(OR(F104=47201,F104=47100,F104=47200,F104=47500),H104,0)</f>
        <v/>
      </c>
      <c r="R104" s="75">
        <f>IF(OR(F104=87201,F104=87100,F104=87200,F104=87500),H104,0)</f>
        <v/>
      </c>
    </row>
    <row r="105" ht="15" customHeight="1" s="418">
      <c r="A105" s="219">
        <f>IFERROR(VLOOKUP(E105,Tabellen!A:F,4),0)</f>
        <v/>
      </c>
      <c r="B105" s="219" t="n"/>
      <c r="C105" s="306">
        <f>IFERROR(VLOOKUP(E105,Tabellen!A:F,5),0)</f>
        <v/>
      </c>
      <c r="D105" s="219">
        <f>IFERROR(VLOOKUP(E105,Tabellen!A:F,6),0)</f>
        <v/>
      </c>
      <c r="E105" s="307" t="n"/>
      <c r="F105" s="363">
        <f>IFERROR(VLOOKUP(E105,Tabellen!A:H,8),0)</f>
        <v/>
      </c>
      <c r="G105" s="308">
        <f>IFERROR(VLOOKUP(E105,Tabellen!A:F,2),0)</f>
        <v/>
      </c>
      <c r="H105" s="310" t="n"/>
      <c r="I105" s="310" t="n"/>
      <c r="J105" s="310" t="n"/>
      <c r="K105" s="310" t="n"/>
      <c r="L105" s="364">
        <f>IF(E105&gt;0,$H$4,0)</f>
        <v/>
      </c>
      <c r="M105" s="312">
        <f>IFERROR(VLOOKUP(F105,Tabellen!H:I,2),0)</f>
        <v/>
      </c>
      <c r="N105" s="357" t="n"/>
      <c r="O105" s="357" t="n"/>
      <c r="P105" s="251">
        <f>IF(E105&gt;0,COUNTIF($E$17:E105,"&gt;0"),0)</f>
        <v/>
      </c>
      <c r="Q105" s="75">
        <f>IF(OR(F105=47201,F105=47100,F105=47200,F105=47500),H105,0)</f>
        <v/>
      </c>
      <c r="R105" s="75">
        <f>IF(OR(F105=87201,F105=87100,F105=87200,F105=87500),H105,0)</f>
        <v/>
      </c>
    </row>
    <row r="106" ht="15" customHeight="1" s="418">
      <c r="A106" s="216">
        <f>IFERROR(VLOOKUP(E106,Tabellen!A:F,4),0)</f>
        <v/>
      </c>
      <c r="B106" s="216" t="n"/>
      <c r="C106" s="320">
        <f>IFERROR(VLOOKUP(E106,Tabellen!A:F,5),0)</f>
        <v/>
      </c>
      <c r="D106" s="216">
        <f>IFERROR(VLOOKUP(E106,Tabellen!A:F,6),0)</f>
        <v/>
      </c>
      <c r="E106" s="307" t="n"/>
      <c r="F106" s="363">
        <f>IFERROR(VLOOKUP(E106,Tabellen!A:H,8),0)</f>
        <v/>
      </c>
      <c r="G106" s="321">
        <f>IFERROR(VLOOKUP(E106,Tabellen!A:F,2),0)</f>
        <v/>
      </c>
      <c r="H106" s="310" t="n"/>
      <c r="I106" s="310" t="n"/>
      <c r="J106" s="310" t="n"/>
      <c r="K106" s="310" t="n"/>
      <c r="L106" s="364">
        <f>IF(E106&gt;0,$H$4,0)</f>
        <v/>
      </c>
      <c r="M106" s="311">
        <f>IFERROR(VLOOKUP(F106,Tabellen!H:I,2),0)</f>
        <v/>
      </c>
      <c r="N106" s="357" t="n"/>
      <c r="O106" s="357" t="n"/>
      <c r="P106" s="233">
        <f>IF(E106&gt;0,COUNTIF($E$17:E106,"&gt;0"),0)</f>
        <v/>
      </c>
      <c r="Q106" s="75">
        <f>IF(OR(F106=47201,F106=47100,F106=47200,F106=47500),H106,0)</f>
        <v/>
      </c>
      <c r="R106" s="75">
        <f>IF(OR(F106=87201,F106=87100,F106=87200,F106=87500),H106,0)</f>
        <v/>
      </c>
    </row>
    <row r="107" ht="15" customHeight="1" s="418">
      <c r="A107" s="219">
        <f>IFERROR(VLOOKUP(E107,Tabellen!A:F,4),0)</f>
        <v/>
      </c>
      <c r="B107" s="219" t="n"/>
      <c r="C107" s="306">
        <f>IFERROR(VLOOKUP(E107,Tabellen!A:F,5),0)</f>
        <v/>
      </c>
      <c r="D107" s="219">
        <f>IFERROR(VLOOKUP(E107,Tabellen!A:F,6),0)</f>
        <v/>
      </c>
      <c r="E107" s="307" t="n"/>
      <c r="F107" s="363">
        <f>IFERROR(VLOOKUP(E107,Tabellen!A:H,8),0)</f>
        <v/>
      </c>
      <c r="G107" s="308">
        <f>IFERROR(VLOOKUP(E107,Tabellen!A:F,2),0)</f>
        <v/>
      </c>
      <c r="H107" s="310" t="n"/>
      <c r="I107" s="310" t="n"/>
      <c r="J107" s="310" t="n"/>
      <c r="K107" s="310" t="n"/>
      <c r="L107" s="364">
        <f>IF(E107&gt;0,$H$4,0)</f>
        <v/>
      </c>
      <c r="M107" s="312">
        <f>IFERROR(VLOOKUP(F107,Tabellen!H:I,2),0)</f>
        <v/>
      </c>
      <c r="N107" s="357" t="n"/>
      <c r="O107" s="357" t="n"/>
      <c r="P107" s="251">
        <f>IF(E107&gt;0,COUNTIF($E$17:E107,"&gt;0"),0)</f>
        <v/>
      </c>
      <c r="Q107" s="75">
        <f>IF(OR(F107=47201,F107=47100,F107=47200,F107=47500),H107,0)</f>
        <v/>
      </c>
      <c r="R107" s="75">
        <f>IF(OR(F107=87201,F107=87100,F107=87200,F107=87500),H107,0)</f>
        <v/>
      </c>
    </row>
    <row r="108" ht="15" customHeight="1" s="418">
      <c r="A108" s="216">
        <f>IFERROR(VLOOKUP(E108,Tabellen!A:F,4),0)</f>
        <v/>
      </c>
      <c r="B108" s="216" t="n"/>
      <c r="C108" s="320">
        <f>IFERROR(VLOOKUP(E108,Tabellen!A:F,5),0)</f>
        <v/>
      </c>
      <c r="D108" s="216">
        <f>IFERROR(VLOOKUP(E108,Tabellen!A:F,6),0)</f>
        <v/>
      </c>
      <c r="E108" s="307" t="n"/>
      <c r="F108" s="363">
        <f>IFERROR(VLOOKUP(E108,Tabellen!A:H,8),0)</f>
        <v/>
      </c>
      <c r="G108" s="321">
        <f>IFERROR(VLOOKUP(E108,Tabellen!A:F,2),0)</f>
        <v/>
      </c>
      <c r="H108" s="310" t="n"/>
      <c r="I108" s="310" t="n"/>
      <c r="J108" s="310" t="n"/>
      <c r="K108" s="310" t="n"/>
      <c r="L108" s="364">
        <f>IF(E108&gt;0,$H$4,0)</f>
        <v/>
      </c>
      <c r="M108" s="311">
        <f>IFERROR(VLOOKUP(F108,Tabellen!H:I,2),0)</f>
        <v/>
      </c>
      <c r="N108" s="357" t="n"/>
      <c r="O108" s="357" t="n"/>
      <c r="P108" s="233">
        <f>IF(E108&gt;0,COUNTIF($E$17:E108,"&gt;0"),0)</f>
        <v/>
      </c>
      <c r="Q108" s="75">
        <f>IF(OR(F108=47201,F108=47100,F108=47200,F108=47500),H108,0)</f>
        <v/>
      </c>
      <c r="R108" s="75">
        <f>IF(OR(F108=87201,F108=87100,F108=87200,F108=87500),H108,0)</f>
        <v/>
      </c>
    </row>
    <row r="109" ht="15" customHeight="1" s="418">
      <c r="A109" s="219">
        <f>IFERROR(VLOOKUP(E109,Tabellen!A:F,4),0)</f>
        <v/>
      </c>
      <c r="B109" s="219" t="n"/>
      <c r="C109" s="306">
        <f>IFERROR(VLOOKUP(E109,Tabellen!A:F,5),0)</f>
        <v/>
      </c>
      <c r="D109" s="219">
        <f>IFERROR(VLOOKUP(E109,Tabellen!A:F,6),0)</f>
        <v/>
      </c>
      <c r="E109" s="307" t="n"/>
      <c r="F109" s="363">
        <f>IFERROR(VLOOKUP(E109,Tabellen!A:H,8),0)</f>
        <v/>
      </c>
      <c r="G109" s="308">
        <f>IFERROR(VLOOKUP(E109,Tabellen!A:F,2),0)</f>
        <v/>
      </c>
      <c r="H109" s="313" t="n"/>
      <c r="I109" s="313" t="n"/>
      <c r="J109" s="313" t="n"/>
      <c r="K109" s="313" t="n"/>
      <c r="L109" s="362">
        <f>IF(E109&gt;0,$H$4,0)</f>
        <v/>
      </c>
      <c r="M109" s="312">
        <f>IFERROR(VLOOKUP(F109,Tabellen!H:I,2),0)</f>
        <v/>
      </c>
      <c r="N109" s="357" t="n"/>
      <c r="O109" s="357" t="n"/>
      <c r="P109" s="251">
        <f>IF(E109&gt;0,COUNTIF($E$17:E109,"&gt;0"),0)</f>
        <v/>
      </c>
      <c r="Q109" s="75">
        <f>IF(OR(F109=47201,F109=47100,F109=47200,F109=47500),H109,0)</f>
        <v/>
      </c>
      <c r="R109" s="75">
        <f>IF(OR(F109=87201,F109=87100,F109=87200,F109=87500),H109,0)</f>
        <v/>
      </c>
    </row>
    <row r="110" ht="16.05" customFormat="1" customHeight="1" s="76">
      <c r="A110" s="314" t="inlineStr">
        <is>
          <t>Saldo inkomsten en uitgavenmutaties, dekking</t>
        </is>
      </c>
      <c r="B110" s="314" t="n"/>
      <c r="C110" s="314" t="n"/>
      <c r="D110" s="314" t="n"/>
      <c r="E110" s="314" t="n"/>
      <c r="F110" s="315" t="n"/>
      <c r="G110" s="316" t="n"/>
      <c r="H110" s="318">
        <f>SUM(H78:H109)</f>
        <v/>
      </c>
      <c r="I110" s="318">
        <f>SUM(I78:I109)</f>
        <v/>
      </c>
      <c r="J110" s="318">
        <f>SUM(J78:J109)</f>
        <v/>
      </c>
      <c r="K110" s="318">
        <f>SUM(K78:K109)</f>
        <v/>
      </c>
      <c r="L110" s="358" t="n"/>
      <c r="M110" s="317" t="n"/>
      <c r="N110" s="359" t="n"/>
      <c r="O110" s="359" t="n"/>
      <c r="P110" s="191">
        <f>IF(E110&gt;0,COUNTIF($E$17:E110,"&gt;0"),0)</f>
        <v/>
      </c>
      <c r="Q110" s="75">
        <f>IF(OR(F110=47201,F110=47100,F110=47200,F110=47500),H110,0)</f>
        <v/>
      </c>
      <c r="R110" s="75">
        <f>IF(OR(F110=87201,F110=87100,F110=87200,F110=87500),H110,0)</f>
        <v/>
      </c>
    </row>
    <row r="111" ht="15" customHeight="1" s="418">
      <c r="A111" s="130" t="n"/>
      <c r="B111" s="47" t="n"/>
      <c r="C111" s="47" t="n"/>
      <c r="D111" s="130" t="n"/>
      <c r="E111" s="47" t="n"/>
      <c r="F111" s="72" t="n"/>
      <c r="G111" s="131" t="n"/>
      <c r="H111" s="73" t="n"/>
      <c r="I111" s="73" t="n"/>
      <c r="J111" s="73" t="n"/>
      <c r="K111" s="73" t="n"/>
      <c r="L111" s="45" t="n"/>
      <c r="M111" s="132" t="n"/>
      <c r="N111" s="49" t="n"/>
      <c r="O111" s="133" t="n"/>
      <c r="P111">
        <f>IF(E111&gt;0,COUNTIF($E$17:E111,"&gt;0"),0)</f>
        <v/>
      </c>
      <c r="Q111" s="75">
        <f>IF(OR(L111=47201,L111=47100,L111=47200,L111=47500),H111,0)</f>
        <v/>
      </c>
      <c r="R111" s="75">
        <f>IF(OR(L111=87201,L111=87100,L111=87200,L111=87500),H111,0)</f>
        <v/>
      </c>
    </row>
    <row r="112" ht="18" customFormat="1" customHeight="1" s="75">
      <c r="A112" s="323" t="inlineStr">
        <is>
          <t>Controle mutatie inkomsten en uitgaven (exploitatiemutaties -/- dekking = leeg)</t>
        </is>
      </c>
      <c r="B112" s="323" t="n"/>
      <c r="C112" s="323" t="n"/>
      <c r="D112" s="323" t="n"/>
      <c r="E112" s="323" t="n"/>
      <c r="F112" s="323" t="n"/>
      <c r="G112" s="323" t="n"/>
      <c r="H112" s="324">
        <f>IF(H75+H110=0,"✓  Saldo = 0",H75+H110)</f>
        <v/>
      </c>
      <c r="I112" s="324">
        <f>I75+I110</f>
        <v/>
      </c>
      <c r="J112" s="324">
        <f>J75+J110</f>
        <v/>
      </c>
      <c r="K112" s="324">
        <f>K75+K110</f>
        <v/>
      </c>
      <c r="L112" s="338" t="n"/>
      <c r="M112" s="339" t="n"/>
      <c r="N112" s="323" t="n"/>
      <c r="O112" s="323" t="n"/>
      <c r="P112" s="325">
        <f>IF(E112&gt;0,COUNTIF($E$17:E112,"&gt;0"),0)</f>
        <v/>
      </c>
      <c r="Q112" s="75">
        <f>IF(OR(L112=47201,L112=47100,L112=47200,L112=47500),H112,0)</f>
        <v/>
      </c>
      <c r="R112" s="75">
        <f>IF(OR(L112=87201,L112=87100,L112=87200,L112=87500),H112,0)</f>
        <v/>
      </c>
    </row>
    <row r="113" ht="15" customHeight="1" s="418">
      <c r="A113" s="134" t="n"/>
      <c r="B113" s="54" t="n"/>
      <c r="C113" s="54" t="n"/>
      <c r="D113" s="134" t="n"/>
      <c r="E113" s="55" t="n"/>
      <c r="F113" s="54" t="n"/>
      <c r="G113" s="134" t="n"/>
      <c r="H113" s="57" t="n"/>
      <c r="I113" s="57" t="n"/>
      <c r="J113" s="57" t="n"/>
      <c r="K113" s="57" t="n"/>
      <c r="L113" s="46" t="n"/>
      <c r="M113" s="135" t="n"/>
      <c r="N113" s="77" t="n"/>
      <c r="O113" s="136" t="n"/>
      <c r="P113">
        <f>IF(E113&gt;0,COUNTIF($E$17:E113,"&gt;0"),0)</f>
        <v/>
      </c>
      <c r="Q113" s="75">
        <f>IF(OR(L113=47201,L113=47100,L113=47200,L113=47500),H113,0)</f>
        <v/>
      </c>
      <c r="R113" s="75">
        <f>IF(OR(L113=87201,L113=87100,L113=87200,L113=87500),H113,0)</f>
        <v/>
      </c>
    </row>
    <row r="114" ht="15" customHeight="1" s="418">
      <c r="A114" s="134" t="n"/>
      <c r="B114" s="54" t="n"/>
      <c r="C114" s="54" t="n"/>
      <c r="D114" s="134" t="n"/>
      <c r="E114" s="55" t="n"/>
      <c r="F114" s="54" t="n"/>
      <c r="G114" s="134" t="n"/>
      <c r="H114" s="57" t="n"/>
      <c r="I114" s="57" t="n"/>
      <c r="J114" s="57" t="n"/>
      <c r="K114" s="57" t="n"/>
      <c r="L114" s="46" t="n"/>
      <c r="M114" s="135" t="n"/>
      <c r="N114" s="77" t="n"/>
      <c r="O114" s="136" t="n"/>
      <c r="P114">
        <f>IF(E114&gt;0,COUNTIF($E$17:E114,"&gt;0"),0)</f>
        <v/>
      </c>
      <c r="Q114" s="75">
        <f>IF(OR(L114=47201,L114=47100,L114=47200,L114=47500),H114,0)</f>
        <v/>
      </c>
      <c r="R114" s="75">
        <f>IF(OR(L114=87201,L114=87100,L114=87200,L114=87500),H114,0)</f>
        <v/>
      </c>
    </row>
    <row r="115" ht="15" customHeight="1" s="418">
      <c r="A115" s="137" t="inlineStr">
        <is>
          <t>Mutaties in de balans (investerings- en financieringsstaat)</t>
        </is>
      </c>
      <c r="B115" s="59" t="n"/>
      <c r="C115" s="54" t="n"/>
      <c r="D115" s="134" t="n"/>
      <c r="E115" s="55" t="n"/>
      <c r="F115" s="54" t="n"/>
      <c r="G115" s="134" t="n"/>
      <c r="H115" s="57" t="n"/>
      <c r="I115" s="57" t="n"/>
      <c r="J115" s="57" t="n"/>
      <c r="K115" s="56" t="n"/>
      <c r="L115" s="46" t="n"/>
      <c r="M115" s="138" t="n"/>
      <c r="N115" s="54" t="n"/>
      <c r="O115" s="139" t="n"/>
      <c r="P115">
        <f>IF(E115&gt;0,COUNTIF($E$17:E115,"&gt;0"),0)</f>
        <v/>
      </c>
      <c r="Q115" s="75">
        <f>IF(OR(L115=47201,L115=47100,L115=47200,L115=47500),H115,0)</f>
        <v/>
      </c>
      <c r="R115" s="75">
        <f>IF(OR(L115=87201,L115=87100,L115=87200,L115=87500),H115,0)</f>
        <v/>
      </c>
    </row>
    <row r="116" ht="15" customHeight="1" s="418">
      <c r="A116" s="134" t="n"/>
      <c r="B116" s="54" t="n"/>
      <c r="C116" s="54" t="n"/>
      <c r="D116" s="134" t="n"/>
      <c r="E116" s="55" t="n"/>
      <c r="F116" s="54" t="n"/>
      <c r="G116" s="134" t="n"/>
      <c r="H116" s="57" t="n"/>
      <c r="I116" s="57" t="n"/>
      <c r="J116" s="57" t="n"/>
      <c r="K116" s="56" t="n"/>
      <c r="L116" s="46" t="n"/>
      <c r="M116" s="135" t="n"/>
      <c r="N116" s="77" t="n"/>
      <c r="O116" s="136" t="n"/>
      <c r="P116">
        <f>IF(E116&gt;0,COUNTIF($E$17:E116,"&gt;0"),0)</f>
        <v/>
      </c>
      <c r="Q116" s="75">
        <f>IF(OR(L116=47201,L116=47100,L116=47200,L116=47500),H116,0)</f>
        <v/>
      </c>
      <c r="R116" s="75">
        <f>IF(OR(L116=87201,L116=87100,L116=87200,L116=87500),H116,0)</f>
        <v/>
      </c>
    </row>
    <row r="117" ht="15" customFormat="1" customHeight="1" s="62">
      <c r="A117" s="125" t="inlineStr">
        <is>
          <t>Omschrjving balanspost</t>
        </is>
      </c>
      <c r="B117" s="64" t="inlineStr">
        <is>
          <t>nvt</t>
        </is>
      </c>
      <c r="C117" s="64" t="inlineStr">
        <is>
          <t>nvt</t>
        </is>
      </c>
      <c r="D117" s="125" t="inlineStr">
        <is>
          <t>nvt</t>
        </is>
      </c>
      <c r="E117" s="65" t="n"/>
      <c r="F117" s="71" t="n"/>
      <c r="G117" s="140" t="inlineStr">
        <is>
          <t>Omschrijving boeking</t>
        </is>
      </c>
      <c r="H117" s="66" t="inlineStr">
        <is>
          <t>Begrotings-</t>
        </is>
      </c>
      <c r="I117" s="66" t="inlineStr">
        <is>
          <t>Mjb</t>
        </is>
      </c>
      <c r="J117" s="66" t="inlineStr">
        <is>
          <t>Mjb</t>
        </is>
      </c>
      <c r="K117" s="66" t="inlineStr">
        <is>
          <t>Mjb</t>
        </is>
      </c>
      <c r="L117" s="44" t="inlineStr">
        <is>
          <t>Kosten</t>
        </is>
      </c>
      <c r="M117" s="126" t="inlineStr">
        <is>
          <t>Omschrijving kostencategorie</t>
        </is>
      </c>
      <c r="N117" s="64" t="inlineStr">
        <is>
          <t>Nr ver-</t>
        </is>
      </c>
      <c r="O117" s="127" t="inlineStr">
        <is>
          <t xml:space="preserve">Omschrijving </t>
        </is>
      </c>
      <c r="P117">
        <f>IF(E117&gt;0,COUNTIF($E$17:E117,"&gt;0"),0)</f>
        <v/>
      </c>
      <c r="Q117" s="75">
        <f>IF(OR(L117=47201,L117=47100,L117=47200,L117=47500),H117,0)</f>
        <v/>
      </c>
      <c r="R117" s="75">
        <f>IF(OR(L117=87201,L117=87100,L117=87200,L117=87500),H117,0)</f>
        <v/>
      </c>
    </row>
    <row r="118" ht="15" customFormat="1" customHeight="1" s="62">
      <c r="A118" s="125" t="n"/>
      <c r="B118" s="64" t="n"/>
      <c r="C118" s="68" t="n"/>
      <c r="D118" s="125" t="n"/>
      <c r="E118" s="65" t="n"/>
      <c r="F118" s="69" t="n"/>
      <c r="G118" s="128" t="n"/>
      <c r="H118" s="66" t="inlineStr">
        <is>
          <t>jaar 2026</t>
        </is>
      </c>
      <c r="I118" s="66" t="inlineStr">
        <is>
          <t>jaar 2027</t>
        </is>
      </c>
      <c r="J118" s="66" t="inlineStr">
        <is>
          <t>jaar 2028</t>
        </is>
      </c>
      <c r="K118" s="66" t="inlineStr">
        <is>
          <t>jaar 2029</t>
        </is>
      </c>
      <c r="L118" s="44" t="inlineStr">
        <is>
          <t>Cat</t>
        </is>
      </c>
      <c r="M118" s="126" t="n"/>
      <c r="N118" s="70" t="inlineStr">
        <is>
          <t>bijzondering</t>
        </is>
      </c>
      <c r="O118" s="129" t="inlineStr">
        <is>
          <t>verbijzondering</t>
        </is>
      </c>
      <c r="P118">
        <f>IF(E118&gt;0,COUNTIF($E$17:E118,"&gt;0"),0)</f>
        <v/>
      </c>
      <c r="Q118" s="75">
        <f>IF(OR(L118=47201,L118=47100,L118=47200,L118=47500),H118,0)</f>
        <v/>
      </c>
      <c r="R118" s="75">
        <f>IF(OR(L118=87201,L118=87100,L118=87200,L118=87500),H118,0)</f>
        <v/>
      </c>
    </row>
    <row r="119" ht="15" customHeight="1" s="418">
      <c r="A119" s="130" t="n"/>
      <c r="B119" s="47" t="n"/>
      <c r="C119" s="47" t="n"/>
      <c r="D119" s="130" t="n"/>
      <c r="E119" s="48" t="n"/>
      <c r="F119" s="72" t="n"/>
      <c r="G119" s="131" t="n"/>
      <c r="H119" s="73" t="n"/>
      <c r="I119" s="73" t="n"/>
      <c r="J119" s="73" t="n"/>
      <c r="K119" s="73" t="n"/>
      <c r="L119" s="45" t="n"/>
      <c r="M119" s="132" t="n"/>
      <c r="N119" s="49" t="n"/>
      <c r="O119" s="133" t="n"/>
      <c r="P119">
        <f>IF(E119&gt;0,COUNTIF($E$17:E119,"&gt;0"),0)</f>
        <v/>
      </c>
      <c r="Q119" s="75">
        <f>IF(OR(L119=47201,L119=47100,L119=47200,L119=47500),H119,0)</f>
        <v/>
      </c>
      <c r="R119" s="75">
        <f>IF(OR(L119=87201,L119=87100,L119=87200,L119=87500),H119,0)</f>
        <v/>
      </c>
    </row>
    <row r="120" ht="18" customHeight="1" s="418">
      <c r="A120" s="340" t="inlineStr">
        <is>
          <t>C. Investeringen</t>
        </is>
      </c>
      <c r="B120" s="340" t="n"/>
      <c r="C120" s="340" t="n"/>
      <c r="D120" s="340" t="n"/>
      <c r="E120" s="340" t="n"/>
      <c r="F120" s="341" t="n"/>
      <c r="G120" s="342" t="n"/>
      <c r="H120" s="340" t="n"/>
      <c r="I120" s="340" t="n"/>
      <c r="J120" s="340" t="n"/>
      <c r="K120" s="340" t="n"/>
      <c r="L120" s="343" t="n"/>
      <c r="M120" s="344" t="n"/>
      <c r="N120" s="341" t="n"/>
      <c r="O120" s="341" t="n"/>
      <c r="P120" s="326">
        <f>IF(E120&gt;0,COUNTIF($E$17:E120,"&gt;0"),0)</f>
        <v/>
      </c>
      <c r="Q120" s="182">
        <f>IF(OR(L120=47201,L120=47100,L120=47200,L120=47500),H120,0)</f>
        <v/>
      </c>
      <c r="R120" s="182">
        <f>IF(OR(L120=87201,L120=87100,L120=87200,L120=87500),H120,0)</f>
        <v/>
      </c>
    </row>
    <row r="121" ht="15" customHeight="1" s="418">
      <c r="A121" s="306" t="n"/>
      <c r="B121" s="306" t="n"/>
      <c r="C121" s="306" t="n"/>
      <c r="D121" s="306" t="n"/>
      <c r="E121" s="307" t="n"/>
      <c r="F121" s="357" t="n"/>
      <c r="G121" s="308" t="n"/>
      <c r="H121" s="310" t="n"/>
      <c r="I121" s="310" t="n"/>
      <c r="J121" s="310" t="n"/>
      <c r="K121" s="310" t="n"/>
      <c r="L121" s="362" t="n"/>
      <c r="M121" s="309" t="n"/>
      <c r="N121" s="357" t="n"/>
      <c r="O121" s="357" t="n"/>
      <c r="P121">
        <f>IF(E121&gt;0,COUNTIF($E$17:E121,"&gt;0"),0)</f>
        <v/>
      </c>
      <c r="Q121" s="75">
        <f>IF(OR(F121=47201,F121=47100,F121=47200,F121=47500),H121,0)</f>
        <v/>
      </c>
      <c r="R121" s="75">
        <f>IF(OR(F121=87201,F121=87100,F121=87200,F121=87500),H121,0)</f>
        <v/>
      </c>
      <c r="S121">
        <f>IF(E121&gt;0,COUNTIF($E$121:E121,"&gt;0"),0)</f>
        <v/>
      </c>
    </row>
    <row r="122" ht="15" customHeight="1" s="418">
      <c r="A122" s="320" t="inlineStr">
        <is>
          <t>Activa</t>
        </is>
      </c>
      <c r="B122" s="216" t="n"/>
      <c r="C122" s="216" t="n"/>
      <c r="D122" s="216" t="n"/>
      <c r="E122" s="345" t="n"/>
      <c r="F122" s="357" t="n"/>
      <c r="G122" s="321" t="n"/>
      <c r="H122" s="310" t="n"/>
      <c r="I122" s="310" t="n"/>
      <c r="J122" s="310" t="n"/>
      <c r="K122" s="310" t="n"/>
      <c r="L122" s="362">
        <f>IF(E122&gt;0,$H$4,0)</f>
        <v/>
      </c>
      <c r="M122" s="311">
        <f>IFERROR(VLOOKUP(F122,Tabellen!H:I,2),0)</f>
        <v/>
      </c>
      <c r="N122" s="357" t="n"/>
      <c r="O122" s="357" t="n"/>
      <c r="P122">
        <f>IF(E122&gt;0,COUNTIF($E$17:E122,"&gt;0"),0)</f>
        <v/>
      </c>
      <c r="Q122" s="75">
        <f>IF(OR(F122=47201,F122=47100,F122=47200,F122=47500),H122,0)</f>
        <v/>
      </c>
      <c r="R122" s="75">
        <f>IF(OR(F122=87201,F122=87100,F122=87200,F122=87500),H122,0)</f>
        <v/>
      </c>
      <c r="S122">
        <f>IF(E122&gt;0,COUNTIF($E$121:E122,"&gt;0"),0)</f>
        <v/>
      </c>
    </row>
    <row r="123" ht="15" customHeight="1" s="418">
      <c r="A123" s="306" t="n"/>
      <c r="B123" s="219" t="n"/>
      <c r="C123" s="219" t="n"/>
      <c r="D123" s="219" t="n"/>
      <c r="E123" s="345" t="n"/>
      <c r="F123" s="357" t="n"/>
      <c r="G123" s="308" t="n"/>
      <c r="H123" s="310" t="n"/>
      <c r="I123" s="310" t="n"/>
      <c r="J123" s="310" t="n"/>
      <c r="K123" s="310" t="n"/>
      <c r="L123" s="362">
        <f>IF(E123&gt;0,$H$4,0)</f>
        <v/>
      </c>
      <c r="M123" s="312">
        <f>IFERROR(VLOOKUP(F123,Tabellen!H:I,2),0)</f>
        <v/>
      </c>
      <c r="N123" s="357" t="n"/>
      <c r="O123" s="357" t="n"/>
      <c r="P123">
        <f>IF(E123&gt;0,COUNTIF($E$17:E123,"&gt;0"),0)</f>
        <v/>
      </c>
      <c r="Q123" s="75">
        <f>IF(OR(F123=47201,F123=47100,F123=47200,F123=47500),H123,0)</f>
        <v/>
      </c>
      <c r="R123" s="75">
        <f>IF(OR(F123=87201,F123=87100,F123=87200,F123=87500),H123,0)</f>
        <v/>
      </c>
      <c r="S123">
        <f>IF(E123&gt;0,COUNTIF($E$121:E123,"&gt;0"),0)</f>
        <v/>
      </c>
    </row>
    <row r="124" ht="15" customHeight="1" s="418">
      <c r="A124" s="320" t="n"/>
      <c r="B124" s="216" t="n"/>
      <c r="C124" s="216" t="n"/>
      <c r="D124" s="216" t="n"/>
      <c r="E124" s="345" t="n"/>
      <c r="F124" s="357" t="n"/>
      <c r="G124" s="321" t="n"/>
      <c r="H124" s="310" t="n"/>
      <c r="I124" s="310" t="n"/>
      <c r="J124" s="310" t="n"/>
      <c r="K124" s="310" t="n"/>
      <c r="L124" s="362">
        <f>IF(E124&gt;0,$H$4,0)</f>
        <v/>
      </c>
      <c r="M124" s="311">
        <f>IFERROR(VLOOKUP(F124,Tabellen!H:I,2),0)</f>
        <v/>
      </c>
      <c r="N124" s="357" t="n"/>
      <c r="O124" s="357" t="n"/>
      <c r="P124">
        <f>IF(E124&gt;0,COUNTIF($E$17:E124,"&gt;0"),0)</f>
        <v/>
      </c>
      <c r="Q124" s="75">
        <f>IF(OR(F124=47201,F124=47100,F124=47200,F124=47500),H124,0)</f>
        <v/>
      </c>
      <c r="R124" s="75">
        <f>IF(OR(F124=87201,F124=87100,F124=87200,F124=87500),H124,0)</f>
        <v/>
      </c>
      <c r="S124">
        <f>IF(E124&gt;0,COUNTIF($E$121:E124,"&gt;0"),0)</f>
        <v/>
      </c>
    </row>
    <row r="125" ht="15" customHeight="1" s="418">
      <c r="A125" s="306" t="n"/>
      <c r="B125" s="219" t="n"/>
      <c r="C125" s="219" t="n"/>
      <c r="D125" s="219" t="n"/>
      <c r="E125" s="345" t="n"/>
      <c r="F125" s="357" t="n"/>
      <c r="G125" s="308" t="n"/>
      <c r="H125" s="310" t="n"/>
      <c r="I125" s="310" t="n"/>
      <c r="J125" s="310" t="n"/>
      <c r="K125" s="310" t="n"/>
      <c r="L125" s="362">
        <f>IF(E125&gt;0,$H$4,0)</f>
        <v/>
      </c>
      <c r="M125" s="312">
        <f>IFERROR(VLOOKUP(F125,Tabellen!H:I,2),0)</f>
        <v/>
      </c>
      <c r="N125" s="357" t="n"/>
      <c r="O125" s="357" t="n"/>
      <c r="P125">
        <f>IF(E125&gt;0,COUNTIF($E$17:E125,"&gt;0"),0)</f>
        <v/>
      </c>
      <c r="Q125" s="75">
        <f>IF(OR(F125=47201,F125=47100,F125=47200,F125=47500),H125,0)</f>
        <v/>
      </c>
      <c r="R125" s="75">
        <f>IF(OR(F125=87201,F125=87100,F125=87200,F125=87500),H125,0)</f>
        <v/>
      </c>
      <c r="S125">
        <f>IF(E125&gt;0,COUNTIF($E$121:E125,"&gt;0"),0)</f>
        <v/>
      </c>
    </row>
    <row r="126" ht="15" customHeight="1" s="418">
      <c r="A126" s="320" t="n"/>
      <c r="B126" s="216" t="n"/>
      <c r="C126" s="216" t="n"/>
      <c r="D126" s="216" t="n"/>
      <c r="E126" s="345" t="n"/>
      <c r="F126" s="357" t="n"/>
      <c r="G126" s="321" t="n"/>
      <c r="H126" s="310" t="n"/>
      <c r="I126" s="310" t="n"/>
      <c r="J126" s="310" t="n"/>
      <c r="K126" s="310" t="n"/>
      <c r="L126" s="362">
        <f>IF(E126&gt;0,$H$4,0)</f>
        <v/>
      </c>
      <c r="M126" s="311">
        <f>IFERROR(VLOOKUP(F126,Tabellen!H:I,2),0)</f>
        <v/>
      </c>
      <c r="N126" s="357" t="n"/>
      <c r="O126" s="357" t="n"/>
      <c r="P126">
        <f>IF(E126&gt;0,COUNTIF($E$17:E126,"&gt;0"),0)</f>
        <v/>
      </c>
      <c r="Q126" s="75">
        <f>IF(OR(F126=47201,F126=47100,F126=47200,F126=47500),H126,0)</f>
        <v/>
      </c>
      <c r="R126" s="75">
        <f>IF(OR(F126=87201,F126=87100,F126=87200,F126=87500),H126,0)</f>
        <v/>
      </c>
      <c r="S126">
        <f>IF(E126&gt;0,COUNTIF($E$121:E126,"&gt;0"),0)</f>
        <v/>
      </c>
    </row>
    <row r="127" ht="15" customHeight="1" s="418">
      <c r="A127" s="306" t="n"/>
      <c r="B127" s="219" t="n"/>
      <c r="C127" s="219" t="n"/>
      <c r="D127" s="219" t="n"/>
      <c r="E127" s="345" t="n"/>
      <c r="F127" s="357" t="n"/>
      <c r="G127" s="308" t="n"/>
      <c r="H127" s="310" t="n"/>
      <c r="I127" s="310" t="n"/>
      <c r="J127" s="310" t="n"/>
      <c r="K127" s="310" t="n"/>
      <c r="L127" s="362">
        <f>IF(E127&gt;0,$H$4,0)</f>
        <v/>
      </c>
      <c r="M127" s="312">
        <f>IFERROR(VLOOKUP(F127,Tabellen!H:I,2),0)</f>
        <v/>
      </c>
      <c r="N127" s="357" t="n"/>
      <c r="O127" s="357" t="n"/>
      <c r="P127">
        <f>IF(E127&gt;0,COUNTIF($E$17:E127,"&gt;0"),0)</f>
        <v/>
      </c>
      <c r="Q127" s="75">
        <f>IF(OR(F127=47201,F127=47100,F127=47200,F127=47500),H127,0)</f>
        <v/>
      </c>
      <c r="R127" s="75">
        <f>IF(OR(F127=87201,F127=87100,F127=87200,F127=87500),H127,0)</f>
        <v/>
      </c>
      <c r="S127">
        <f>IF(E127&gt;0,COUNTIF($E$121:E127,"&gt;0"),0)</f>
        <v/>
      </c>
    </row>
    <row r="128" ht="15" customHeight="1" s="418">
      <c r="A128" s="320" t="n"/>
      <c r="B128" s="216" t="n"/>
      <c r="C128" s="216" t="n"/>
      <c r="D128" s="216" t="n"/>
      <c r="E128" s="345" t="n"/>
      <c r="F128" s="357" t="n"/>
      <c r="G128" s="321" t="n"/>
      <c r="H128" s="310" t="n"/>
      <c r="I128" s="310" t="n"/>
      <c r="J128" s="310" t="n"/>
      <c r="K128" s="310" t="n"/>
      <c r="L128" s="362">
        <f>IF(E128&gt;0,$H$4,0)</f>
        <v/>
      </c>
      <c r="M128" s="311">
        <f>IFERROR(VLOOKUP(F128,Tabellen!H:I,2),0)</f>
        <v/>
      </c>
      <c r="N128" s="357" t="n"/>
      <c r="O128" s="357" t="n"/>
      <c r="P128">
        <f>IF(E128&gt;0,COUNTIF($E$17:E128,"&gt;0"),0)</f>
        <v/>
      </c>
      <c r="Q128" s="75">
        <f>IF(OR(F128=47201,F128=47100,F128=47200,F128=47500),H128,0)</f>
        <v/>
      </c>
      <c r="R128" s="75">
        <f>IF(OR(F128=87201,F128=87100,F128=87200,F128=87500),H128,0)</f>
        <v/>
      </c>
      <c r="S128">
        <f>IF(E128&gt;0,COUNTIF($E$121:E128,"&gt;0"),0)</f>
        <v/>
      </c>
    </row>
    <row r="129" ht="15" customHeight="1" s="418">
      <c r="A129" s="306" t="n"/>
      <c r="B129" s="219" t="n"/>
      <c r="C129" s="219" t="n"/>
      <c r="D129" s="219" t="n"/>
      <c r="E129" s="345" t="n"/>
      <c r="F129" s="357" t="n"/>
      <c r="G129" s="308" t="n"/>
      <c r="H129" s="310" t="n"/>
      <c r="I129" s="310" t="n"/>
      <c r="J129" s="310" t="n"/>
      <c r="K129" s="310" t="n"/>
      <c r="L129" s="362">
        <f>IF(E129&gt;0,$H$4,0)</f>
        <v/>
      </c>
      <c r="M129" s="312">
        <f>IFERROR(VLOOKUP(F129,Tabellen!H:I,2),0)</f>
        <v/>
      </c>
      <c r="N129" s="357" t="n"/>
      <c r="O129" s="357" t="n"/>
      <c r="P129">
        <f>IF(E129&gt;0,COUNTIF($E$17:E129,"&gt;0"),0)</f>
        <v/>
      </c>
      <c r="Q129" s="75">
        <f>IF(OR(F129=47201,F129=47100,F129=47200,F129=47500),H129,0)</f>
        <v/>
      </c>
      <c r="R129" s="75">
        <f>IF(OR(F129=87201,F129=87100,F129=87200,F129=87500),H129,0)</f>
        <v/>
      </c>
      <c r="S129">
        <f>IF(E129&gt;0,COUNTIF($E$121:E129,"&gt;0"),0)</f>
        <v/>
      </c>
    </row>
    <row r="130" ht="15" customHeight="1" s="418">
      <c r="A130" s="320" t="n"/>
      <c r="B130" s="216" t="n"/>
      <c r="C130" s="216" t="n"/>
      <c r="D130" s="216" t="n"/>
      <c r="E130" s="345" t="n"/>
      <c r="F130" s="357" t="n"/>
      <c r="G130" s="321" t="n"/>
      <c r="H130" s="310" t="n"/>
      <c r="I130" s="310" t="n"/>
      <c r="J130" s="310" t="n"/>
      <c r="K130" s="310" t="n"/>
      <c r="L130" s="362">
        <f>IF(E130&gt;0,$H$4,0)</f>
        <v/>
      </c>
      <c r="M130" s="311">
        <f>IFERROR(VLOOKUP(F130,Tabellen!H:I,2),0)</f>
        <v/>
      </c>
      <c r="N130" s="357" t="n"/>
      <c r="O130" s="357" t="n"/>
      <c r="P130">
        <f>IF(E130&gt;0,COUNTIF($E$17:E130,"&gt;0"),0)</f>
        <v/>
      </c>
      <c r="Q130" s="75">
        <f>IF(OR(F130=47201,F130=47100,F130=47200,F130=47500),H130,0)</f>
        <v/>
      </c>
      <c r="R130" s="75">
        <f>IF(OR(F130=87201,F130=87100,F130=87200,F130=87500),H130,0)</f>
        <v/>
      </c>
      <c r="S130">
        <f>IF(E130&gt;0,COUNTIF($E$121:E130,"&gt;0"),0)</f>
        <v/>
      </c>
    </row>
    <row r="131" ht="15" customHeight="1" s="418">
      <c r="A131" s="306" t="n"/>
      <c r="B131" s="219" t="n"/>
      <c r="C131" s="219" t="n"/>
      <c r="D131" s="219" t="n"/>
      <c r="E131" s="345" t="n"/>
      <c r="F131" s="357" t="n"/>
      <c r="G131" s="308" t="n"/>
      <c r="H131" s="310" t="n"/>
      <c r="I131" s="310" t="n"/>
      <c r="J131" s="310" t="n"/>
      <c r="K131" s="310" t="n"/>
      <c r="L131" s="362">
        <f>IF(E131&gt;0,$H$4,0)</f>
        <v/>
      </c>
      <c r="M131" s="312">
        <f>IFERROR(VLOOKUP(F131,Tabellen!H:I,2),0)</f>
        <v/>
      </c>
      <c r="N131" s="357" t="n"/>
      <c r="O131" s="357" t="n"/>
      <c r="P131">
        <f>IF(E131&gt;0,COUNTIF($E$17:E131,"&gt;0"),0)</f>
        <v/>
      </c>
      <c r="Q131" s="75">
        <f>IF(OR(F131=47201,F131=47100,F131=47200,F131=47500),H131,0)</f>
        <v/>
      </c>
      <c r="R131" s="75">
        <f>IF(OR(F131=87201,F131=87100,F131=87200,F131=87500),H131,0)</f>
        <v/>
      </c>
      <c r="S131">
        <f>IF(E131&gt;0,COUNTIF($E$121:E131,"&gt;0"),0)</f>
        <v/>
      </c>
    </row>
    <row r="132" ht="15" customHeight="1" s="418">
      <c r="A132" s="320" t="n"/>
      <c r="B132" s="216" t="n"/>
      <c r="C132" s="216" t="n"/>
      <c r="D132" s="216" t="n"/>
      <c r="E132" s="345" t="n"/>
      <c r="F132" s="357" t="n"/>
      <c r="G132" s="321" t="n"/>
      <c r="H132" s="310" t="n"/>
      <c r="I132" s="310" t="n"/>
      <c r="J132" s="310" t="n"/>
      <c r="K132" s="310" t="n"/>
      <c r="L132" s="362">
        <f>IF(E132&gt;0,$H$4,0)</f>
        <v/>
      </c>
      <c r="M132" s="311">
        <f>IFERROR(VLOOKUP(F132,Tabellen!H:I,2),0)</f>
        <v/>
      </c>
      <c r="N132" s="357" t="n"/>
      <c r="O132" s="357" t="n"/>
      <c r="P132">
        <f>IF(E132&gt;0,COUNTIF($E$17:E132,"&gt;0"),0)</f>
        <v/>
      </c>
      <c r="Q132" s="75">
        <f>IF(OR(F132=47201,F132=47100,F132=47200,F132=47500),H132,0)</f>
        <v/>
      </c>
      <c r="R132" s="75">
        <f>IF(OR(F132=87201,F132=87100,F132=87200,F132=87500),H132,0)</f>
        <v/>
      </c>
      <c r="S132">
        <f>IF(E132&gt;0,COUNTIF($E$121:E132,"&gt;0"),0)</f>
        <v/>
      </c>
    </row>
    <row r="133" ht="15" customHeight="1" s="418">
      <c r="A133" s="306" t="n"/>
      <c r="B133" s="219" t="n"/>
      <c r="C133" s="219" t="n"/>
      <c r="D133" s="219" t="n"/>
      <c r="E133" s="345" t="n"/>
      <c r="F133" s="357" t="n"/>
      <c r="G133" s="308" t="n"/>
      <c r="H133" s="310" t="n"/>
      <c r="I133" s="310" t="n"/>
      <c r="J133" s="310" t="n"/>
      <c r="K133" s="310" t="n"/>
      <c r="L133" s="362">
        <f>IF(E133&gt;0,$H$4,0)</f>
        <v/>
      </c>
      <c r="M133" s="312">
        <f>IFERROR(VLOOKUP(F133,Tabellen!H:I,2),0)</f>
        <v/>
      </c>
      <c r="N133" s="357" t="n"/>
      <c r="O133" s="357" t="n"/>
      <c r="P133">
        <f>IF(E133&gt;0,COUNTIF($E$17:E133,"&gt;0"),0)</f>
        <v/>
      </c>
      <c r="Q133" s="75">
        <f>IF(OR(F133=47201,F133=47100,F133=47200,F133=47500),H133,0)</f>
        <v/>
      </c>
      <c r="R133" s="75">
        <f>IF(OR(F133=87201,F133=87100,F133=87200,F133=87500),H133,0)</f>
        <v/>
      </c>
      <c r="S133">
        <f>IF(E133&gt;0,COUNTIF($E$121:E133,"&gt;0"),0)</f>
        <v/>
      </c>
    </row>
    <row r="134" ht="15" customHeight="1" s="418">
      <c r="A134" s="320" t="n"/>
      <c r="B134" s="216" t="n"/>
      <c r="C134" s="216" t="n"/>
      <c r="D134" s="216" t="n"/>
      <c r="E134" s="345" t="n"/>
      <c r="F134" s="357" t="n"/>
      <c r="G134" s="321" t="n"/>
      <c r="H134" s="310" t="n"/>
      <c r="I134" s="310" t="n"/>
      <c r="J134" s="310" t="n"/>
      <c r="K134" s="310" t="n"/>
      <c r="L134" s="362">
        <f>IF(E134&gt;0,$H$4,0)</f>
        <v/>
      </c>
      <c r="M134" s="311">
        <f>IFERROR(VLOOKUP(F134,Tabellen!H:I,2),0)</f>
        <v/>
      </c>
      <c r="N134" s="357" t="n"/>
      <c r="O134" s="357" t="n"/>
      <c r="P134">
        <f>IF(E134&gt;0,COUNTIF($E$17:E134,"&gt;0"),0)</f>
        <v/>
      </c>
      <c r="Q134" s="75">
        <f>IF(OR(F134=47201,F134=47100,F134=47200,F134=47500),H134,0)</f>
        <v/>
      </c>
      <c r="R134" s="75">
        <f>IF(OR(F134=87201,F134=87100,F134=87200,F134=87500),H134,0)</f>
        <v/>
      </c>
      <c r="S134">
        <f>IF(E134&gt;0,COUNTIF($E$121:E134,"&gt;0"),0)</f>
        <v/>
      </c>
    </row>
    <row r="135" ht="15" customHeight="1" s="418">
      <c r="A135" s="306" t="n"/>
      <c r="B135" s="219" t="n"/>
      <c r="C135" s="219" t="n"/>
      <c r="D135" s="219" t="n"/>
      <c r="E135" s="345" t="n"/>
      <c r="F135" s="357" t="n"/>
      <c r="G135" s="308" t="n"/>
      <c r="H135" s="310" t="n"/>
      <c r="I135" s="310" t="n"/>
      <c r="J135" s="310" t="n"/>
      <c r="K135" s="310" t="n"/>
      <c r="L135" s="362">
        <f>IF(E135&gt;0,$H$4,0)</f>
        <v/>
      </c>
      <c r="M135" s="312">
        <f>IFERROR(VLOOKUP(F135,Tabellen!H:I,2),0)</f>
        <v/>
      </c>
      <c r="N135" s="357" t="n"/>
      <c r="O135" s="357" t="n"/>
      <c r="P135">
        <f>IF(E135&gt;0,COUNTIF($E$17:E135,"&gt;0"),0)</f>
        <v/>
      </c>
      <c r="Q135" s="75">
        <f>IF(OR(F135=47201,F135=47100,F135=47200,F135=47500),H135,0)</f>
        <v/>
      </c>
      <c r="R135" s="75">
        <f>IF(OR(F135=87201,F135=87100,F135=87200,F135=87500),H135,0)</f>
        <v/>
      </c>
      <c r="S135">
        <f>IF(E135&gt;0,COUNTIF($E$121:E135,"&gt;0"),0)</f>
        <v/>
      </c>
    </row>
    <row r="136" ht="15" customHeight="1" s="418">
      <c r="A136" s="320" t="n"/>
      <c r="B136" s="216" t="n"/>
      <c r="C136" s="216" t="n"/>
      <c r="D136" s="216" t="n"/>
      <c r="E136" s="345" t="n"/>
      <c r="F136" s="357" t="n"/>
      <c r="G136" s="321" t="n"/>
      <c r="H136" s="310" t="n"/>
      <c r="I136" s="310" t="n"/>
      <c r="J136" s="310" t="n"/>
      <c r="K136" s="310" t="n"/>
      <c r="L136" s="362">
        <f>IF(E136&gt;0,$H$4,0)</f>
        <v/>
      </c>
      <c r="M136" s="311">
        <f>IFERROR(VLOOKUP(F136,Tabellen!H:I,2),0)</f>
        <v/>
      </c>
      <c r="N136" s="357" t="n"/>
      <c r="O136" s="357" t="n"/>
      <c r="P136">
        <f>IF(E136&gt;0,COUNTIF($E$17:E136,"&gt;0"),0)</f>
        <v/>
      </c>
      <c r="Q136" s="75">
        <f>IF(OR(F136=47201,F136=47100,F136=47200,F136=47500),H136,0)</f>
        <v/>
      </c>
      <c r="R136" s="75">
        <f>IF(OR(F136=87201,F136=87100,F136=87200,F136=87500),H136,0)</f>
        <v/>
      </c>
      <c r="S136">
        <f>IF(E136&gt;0,COUNTIF($E$121:E136,"&gt;0"),0)</f>
        <v/>
      </c>
    </row>
    <row r="137" ht="15" customHeight="1" s="418">
      <c r="A137" s="306" t="n"/>
      <c r="B137" s="219" t="n"/>
      <c r="C137" s="219" t="n"/>
      <c r="D137" s="219" t="n"/>
      <c r="E137" s="345" t="n"/>
      <c r="F137" s="357" t="n"/>
      <c r="G137" s="308" t="n"/>
      <c r="H137" s="310" t="n"/>
      <c r="I137" s="310" t="n"/>
      <c r="J137" s="310" t="n"/>
      <c r="K137" s="310" t="n"/>
      <c r="L137" s="362">
        <f>IF(E137&gt;0,$H$4,0)</f>
        <v/>
      </c>
      <c r="M137" s="312">
        <f>IFERROR(VLOOKUP(F137,Tabellen!H:I,2),0)</f>
        <v/>
      </c>
      <c r="N137" s="357" t="n"/>
      <c r="O137" s="357" t="n"/>
      <c r="P137">
        <f>IF(E137&gt;0,COUNTIF($E$17:E137,"&gt;0"),0)</f>
        <v/>
      </c>
      <c r="Q137" s="75">
        <f>IF(OR(F137=47201,F137=47100,F137=47200,F137=47500),H137,0)</f>
        <v/>
      </c>
      <c r="R137" s="75">
        <f>IF(OR(F137=87201,F137=87100,F137=87200,F137=87500),H137,0)</f>
        <v/>
      </c>
      <c r="S137">
        <f>IF(E137&gt;0,COUNTIF($E$121:E137,"&gt;0"),0)</f>
        <v/>
      </c>
    </row>
    <row r="138" ht="15" customHeight="1" s="418">
      <c r="A138" s="320" t="n"/>
      <c r="B138" s="216" t="n"/>
      <c r="C138" s="216" t="n"/>
      <c r="D138" s="216" t="n"/>
      <c r="E138" s="345" t="n"/>
      <c r="F138" s="357" t="n"/>
      <c r="G138" s="321" t="n"/>
      <c r="H138" s="310" t="n"/>
      <c r="I138" s="310" t="n"/>
      <c r="J138" s="310" t="n"/>
      <c r="K138" s="310" t="n"/>
      <c r="L138" s="362">
        <f>IF(E138&gt;0,$H$4,0)</f>
        <v/>
      </c>
      <c r="M138" s="311">
        <f>IFERROR(VLOOKUP(F138,Tabellen!H:I,2),0)</f>
        <v/>
      </c>
      <c r="N138" s="357" t="n"/>
      <c r="O138" s="357" t="n"/>
      <c r="P138">
        <f>IF(E138&gt;0,COUNTIF($E$17:E138,"&gt;0"),0)</f>
        <v/>
      </c>
      <c r="Q138" s="75">
        <f>IF(OR(F138=47201,F138=47100,F138=47200,F138=47500),H138,0)</f>
        <v/>
      </c>
      <c r="R138" s="75">
        <f>IF(OR(F138=87201,F138=87100,F138=87200,F138=87500),H138,0)</f>
        <v/>
      </c>
      <c r="S138">
        <f>IF(E138&gt;0,COUNTIF($E$121:E138,"&gt;0"),0)</f>
        <v/>
      </c>
    </row>
    <row r="139" ht="15" customHeight="1" s="418">
      <c r="A139" s="306" t="n"/>
      <c r="B139" s="219" t="n"/>
      <c r="C139" s="219" t="n"/>
      <c r="D139" s="219" t="n"/>
      <c r="E139" s="345" t="n"/>
      <c r="F139" s="357" t="n"/>
      <c r="G139" s="308" t="n"/>
      <c r="H139" s="310" t="n"/>
      <c r="I139" s="310" t="n"/>
      <c r="J139" s="310" t="n"/>
      <c r="K139" s="310" t="n"/>
      <c r="L139" s="362">
        <f>IF(E139&gt;0,$H$4,0)</f>
        <v/>
      </c>
      <c r="M139" s="312">
        <f>IFERROR(VLOOKUP(F139,Tabellen!H:I,2),0)</f>
        <v/>
      </c>
      <c r="N139" s="357" t="n"/>
      <c r="O139" s="357" t="n"/>
      <c r="P139">
        <f>IF(E139&gt;0,COUNTIF($E$17:E139,"&gt;0"),0)</f>
        <v/>
      </c>
      <c r="Q139" s="75">
        <f>IF(OR(F139=47201,F139=47100,F139=47200,F139=47500),H139,0)</f>
        <v/>
      </c>
      <c r="R139" s="75">
        <f>IF(OR(F139=87201,F139=87100,F139=87200,F139=87500),H139,0)</f>
        <v/>
      </c>
      <c r="S139">
        <f>IF(E139&gt;0,COUNTIF($E$121:E139,"&gt;0"),0)</f>
        <v/>
      </c>
    </row>
    <row r="140" ht="15" customHeight="1" s="418">
      <c r="A140" s="320" t="n"/>
      <c r="B140" s="216" t="n"/>
      <c r="C140" s="216" t="n"/>
      <c r="D140" s="216" t="n"/>
      <c r="E140" s="345" t="n"/>
      <c r="F140" s="357" t="n"/>
      <c r="G140" s="321" t="n"/>
      <c r="H140" s="310" t="n"/>
      <c r="I140" s="310" t="n"/>
      <c r="J140" s="310" t="n"/>
      <c r="K140" s="310" t="n"/>
      <c r="L140" s="362">
        <f>IF(E140&gt;0,$H$4,0)</f>
        <v/>
      </c>
      <c r="M140" s="311">
        <f>IFERROR(VLOOKUP(F140,Tabellen!H:I,2),0)</f>
        <v/>
      </c>
      <c r="N140" s="357" t="n"/>
      <c r="O140" s="357" t="n"/>
      <c r="P140">
        <f>IF(E140&gt;0,COUNTIF($E$17:E140,"&gt;0"),0)</f>
        <v/>
      </c>
      <c r="Q140" s="75">
        <f>IF(OR(F140=47201,F140=47100,F140=47200,F140=47500),H140,0)</f>
        <v/>
      </c>
      <c r="R140" s="75">
        <f>IF(OR(F140=87201,F140=87100,F140=87200,F140=87500),H140,0)</f>
        <v/>
      </c>
      <c r="S140">
        <f>IF(E140&gt;0,COUNTIF($E$121:E140,"&gt;0"),0)</f>
        <v/>
      </c>
    </row>
    <row r="141" ht="15" customHeight="1" s="418">
      <c r="A141" s="306" t="n"/>
      <c r="B141" s="219" t="n"/>
      <c r="C141" s="219" t="n"/>
      <c r="D141" s="219" t="n"/>
      <c r="E141" s="345" t="n"/>
      <c r="F141" s="357" t="n"/>
      <c r="G141" s="308" t="n"/>
      <c r="H141" s="310" t="n"/>
      <c r="I141" s="310" t="n"/>
      <c r="J141" s="310" t="n"/>
      <c r="K141" s="310" t="n"/>
      <c r="L141" s="362">
        <f>IF(E141&gt;0,$H$4,0)</f>
        <v/>
      </c>
      <c r="M141" s="312">
        <f>IFERROR(VLOOKUP(F141,Tabellen!H:I,2),0)</f>
        <v/>
      </c>
      <c r="N141" s="357" t="n"/>
      <c r="O141" s="357" t="n"/>
      <c r="P141">
        <f>IF(E141&gt;0,COUNTIF($E$17:E141,"&gt;0"),0)</f>
        <v/>
      </c>
      <c r="Q141" s="75">
        <f>IF(OR(F141=47201,F141=47100,F141=47200,F141=47500),H141,0)</f>
        <v/>
      </c>
      <c r="R141" s="75">
        <f>IF(OR(F141=87201,F141=87100,F141=87200,F141=87500),H141,0)</f>
        <v/>
      </c>
      <c r="S141">
        <f>IF(E141&gt;0,COUNTIF($E$121:E141,"&gt;0"),0)</f>
        <v/>
      </c>
    </row>
    <row r="142" ht="15" customHeight="1" s="418">
      <c r="A142" s="320" t="n"/>
      <c r="B142" s="216" t="n"/>
      <c r="C142" s="216" t="n"/>
      <c r="D142" s="216" t="n"/>
      <c r="E142" s="345" t="n"/>
      <c r="F142" s="357" t="n"/>
      <c r="G142" s="321" t="n"/>
      <c r="H142" s="310" t="n"/>
      <c r="I142" s="310" t="n"/>
      <c r="J142" s="310" t="n"/>
      <c r="K142" s="310" t="n"/>
      <c r="L142" s="362">
        <f>IF(E142&gt;0,$H$4,0)</f>
        <v/>
      </c>
      <c r="M142" s="311">
        <f>IFERROR(VLOOKUP(F142,Tabellen!H:I,2),0)</f>
        <v/>
      </c>
      <c r="N142" s="357" t="n"/>
      <c r="O142" s="357" t="n"/>
      <c r="P142">
        <f>IF(E142&gt;0,COUNTIF($E$17:E142,"&gt;0"),0)</f>
        <v/>
      </c>
      <c r="Q142" s="75">
        <f>IF(OR(F142=47201,F142=47100,F142=47200,F142=47500),H142,0)</f>
        <v/>
      </c>
      <c r="R142" s="75">
        <f>IF(OR(F142=87201,F142=87100,F142=87200,F142=87500),H142,0)</f>
        <v/>
      </c>
      <c r="S142">
        <f>IF(E142&gt;0,COUNTIF($E$121:E142,"&gt;0"),0)</f>
        <v/>
      </c>
    </row>
    <row r="143" ht="15" customHeight="1" s="418">
      <c r="A143" s="306" t="n"/>
      <c r="B143" s="219" t="n"/>
      <c r="C143" s="219" t="n"/>
      <c r="D143" s="219" t="n"/>
      <c r="E143" s="345" t="n"/>
      <c r="F143" s="357" t="n"/>
      <c r="G143" s="308" t="n"/>
      <c r="H143" s="310" t="n"/>
      <c r="I143" s="310" t="n"/>
      <c r="J143" s="310" t="n"/>
      <c r="K143" s="310" t="n"/>
      <c r="L143" s="362">
        <f>IF(E143&gt;0,$H$4,0)</f>
        <v/>
      </c>
      <c r="M143" s="312">
        <f>IFERROR(VLOOKUP(F143,Tabellen!H:I,2),0)</f>
        <v/>
      </c>
      <c r="N143" s="357" t="n"/>
      <c r="O143" s="357" t="n"/>
      <c r="P143">
        <f>IF(E143&gt;0,COUNTIF($E$17:E143,"&gt;0"),0)</f>
        <v/>
      </c>
      <c r="Q143" s="75">
        <f>IF(OR(F143=47201,F143=47100,F143=47200,F143=47500),H143,0)</f>
        <v/>
      </c>
      <c r="R143" s="75">
        <f>IF(OR(F143=87201,F143=87100,F143=87200,F143=87500),H143,0)</f>
        <v/>
      </c>
      <c r="S143">
        <f>IF(E143&gt;0,COUNTIF($E$121:E143,"&gt;0"),0)</f>
        <v/>
      </c>
    </row>
    <row r="144" ht="15" customHeight="1" s="418">
      <c r="A144" s="320" t="n"/>
      <c r="B144" s="216" t="n"/>
      <c r="C144" s="216" t="n"/>
      <c r="D144" s="216" t="n"/>
      <c r="E144" s="345" t="n"/>
      <c r="F144" s="357" t="n"/>
      <c r="G144" s="321" t="n"/>
      <c r="H144" s="310" t="n"/>
      <c r="I144" s="310" t="n"/>
      <c r="J144" s="310" t="n"/>
      <c r="K144" s="310" t="n"/>
      <c r="L144" s="362">
        <f>IF(E144&gt;0,$H$4,0)</f>
        <v/>
      </c>
      <c r="M144" s="311">
        <f>IFERROR(VLOOKUP(F144,Tabellen!H:I,2),0)</f>
        <v/>
      </c>
      <c r="N144" s="357" t="n"/>
      <c r="O144" s="357" t="n"/>
      <c r="P144">
        <f>IF(E144&gt;0,COUNTIF($E$17:E144,"&gt;0"),0)</f>
        <v/>
      </c>
      <c r="Q144" s="75">
        <f>IF(OR(F144=47201,F144=47100,F144=47200,F144=47500),H144,0)</f>
        <v/>
      </c>
      <c r="R144" s="75">
        <f>IF(OR(F144=87201,F144=87100,F144=87200,F144=87500),H144,0)</f>
        <v/>
      </c>
      <c r="S144">
        <f>IF(E144&gt;0,COUNTIF($E$121:E144,"&gt;0"),0)</f>
        <v/>
      </c>
    </row>
    <row r="145" ht="15" customHeight="1" s="418">
      <c r="A145" s="306" t="n"/>
      <c r="B145" s="219" t="n"/>
      <c r="C145" s="219" t="n"/>
      <c r="D145" s="219" t="n"/>
      <c r="E145" s="345" t="n"/>
      <c r="F145" s="357" t="n"/>
      <c r="G145" s="308" t="n"/>
      <c r="H145" s="310" t="n"/>
      <c r="I145" s="310" t="n"/>
      <c r="J145" s="310" t="n"/>
      <c r="K145" s="310" t="n"/>
      <c r="L145" s="362">
        <f>IF(E145&gt;0,$H$4,0)</f>
        <v/>
      </c>
      <c r="M145" s="312">
        <f>IFERROR(VLOOKUP(F145,Tabellen!H:I,2),0)</f>
        <v/>
      </c>
      <c r="N145" s="357" t="n"/>
      <c r="O145" s="357" t="n"/>
      <c r="P145">
        <f>IF(E145&gt;0,COUNTIF($E$17:E145,"&gt;0"),0)</f>
        <v/>
      </c>
      <c r="Q145" s="75">
        <f>IF(OR(F145=47201,F145=47100,F145=47200,F145=47500),H145,0)</f>
        <v/>
      </c>
      <c r="R145" s="75">
        <f>IF(OR(F145=87201,F145=87100,F145=87200,F145=87500),H145,0)</f>
        <v/>
      </c>
      <c r="S145">
        <f>IF(E145&gt;0,COUNTIF($E$121:E145,"&gt;0"),0)</f>
        <v/>
      </c>
    </row>
    <row r="146" ht="15" customHeight="1" s="418">
      <c r="A146" s="320" t="n"/>
      <c r="B146" s="216" t="n"/>
      <c r="C146" s="216" t="n"/>
      <c r="D146" s="216" t="n"/>
      <c r="E146" s="345" t="n"/>
      <c r="F146" s="357" t="n"/>
      <c r="G146" s="321" t="n"/>
      <c r="H146" s="310" t="n"/>
      <c r="I146" s="310" t="n"/>
      <c r="J146" s="310" t="n"/>
      <c r="K146" s="310" t="n"/>
      <c r="L146" s="362">
        <f>IF(E146&gt;0,$H$4,0)</f>
        <v/>
      </c>
      <c r="M146" s="311">
        <f>IFERROR(VLOOKUP(F146,Tabellen!H:I,2),0)</f>
        <v/>
      </c>
      <c r="N146" s="357" t="n"/>
      <c r="O146" s="357" t="n"/>
      <c r="P146">
        <f>IF(E146&gt;0,COUNTIF($E$17:E146,"&gt;0"),0)</f>
        <v/>
      </c>
      <c r="Q146" s="75">
        <f>IF(OR(F146=47201,F146=47100,F146=47200,F146=47500),H146,0)</f>
        <v/>
      </c>
      <c r="R146" s="75">
        <f>IF(OR(F146=87201,F146=87100,F146=87200,F146=87500),H146,0)</f>
        <v/>
      </c>
      <c r="S146">
        <f>IF(E146&gt;0,COUNTIF($E$121:E146,"&gt;0"),0)</f>
        <v/>
      </c>
    </row>
    <row r="147" ht="15" customHeight="1" s="418">
      <c r="A147" s="306" t="n"/>
      <c r="B147" s="219" t="n"/>
      <c r="C147" s="219" t="n"/>
      <c r="D147" s="219" t="n"/>
      <c r="E147" s="345" t="n"/>
      <c r="F147" s="357" t="n"/>
      <c r="G147" s="308" t="n"/>
      <c r="H147" s="310" t="n"/>
      <c r="I147" s="310" t="n"/>
      <c r="J147" s="310" t="n"/>
      <c r="K147" s="310" t="n"/>
      <c r="L147" s="362">
        <f>IF(E147&gt;0,$H$4,0)</f>
        <v/>
      </c>
      <c r="M147" s="312">
        <f>IFERROR(VLOOKUP(F147,Tabellen!H:I,2),0)</f>
        <v/>
      </c>
      <c r="N147" s="357" t="n"/>
      <c r="O147" s="357" t="n"/>
      <c r="P147">
        <f>IF(E147&gt;0,COUNTIF($E$17:E147,"&gt;0"),0)</f>
        <v/>
      </c>
      <c r="Q147" s="75">
        <f>IF(OR(F147=47201,F147=47100,F147=47200,F147=47500),H147,0)</f>
        <v/>
      </c>
      <c r="R147" s="75">
        <f>IF(OR(F147=87201,F147=87100,F147=87200,F147=87500),H147,0)</f>
        <v/>
      </c>
      <c r="S147">
        <f>IF(E147&gt;0,COUNTIF($E$121:E147,"&gt;0"),0)</f>
        <v/>
      </c>
    </row>
    <row r="148" ht="15" customHeight="1" s="418">
      <c r="A148" s="320" t="n"/>
      <c r="B148" s="216" t="n"/>
      <c r="C148" s="216" t="n"/>
      <c r="D148" s="216" t="n"/>
      <c r="E148" s="345" t="n"/>
      <c r="F148" s="357" t="n"/>
      <c r="G148" s="321" t="n"/>
      <c r="H148" s="310" t="n"/>
      <c r="I148" s="310" t="n"/>
      <c r="J148" s="310" t="n"/>
      <c r="K148" s="310" t="n"/>
      <c r="L148" s="362">
        <f>IF(E148&gt;0,$H$4,0)</f>
        <v/>
      </c>
      <c r="M148" s="311">
        <f>IFERROR(VLOOKUP(F148,Tabellen!H:I,2),0)</f>
        <v/>
      </c>
      <c r="N148" s="357" t="n"/>
      <c r="O148" s="357" t="n"/>
      <c r="P148">
        <f>IF(E148&gt;0,COUNTIF($E$17:E148,"&gt;0"),0)</f>
        <v/>
      </c>
      <c r="Q148" s="75">
        <f>IF(OR(F148=47201,F148=47100,F148=47200,F148=47500),H148,0)</f>
        <v/>
      </c>
      <c r="R148" s="75">
        <f>IF(OR(F148=87201,F148=87100,F148=87200,F148=87500),H148,0)</f>
        <v/>
      </c>
      <c r="S148">
        <f>IF(E148&gt;0,COUNTIF($E$121:E148,"&gt;0"),0)</f>
        <v/>
      </c>
    </row>
    <row r="149" ht="15" customHeight="1" s="418">
      <c r="A149" s="306" t="n"/>
      <c r="B149" s="219" t="n"/>
      <c r="C149" s="219" t="n"/>
      <c r="D149" s="219" t="n"/>
      <c r="E149" s="345" t="n"/>
      <c r="F149" s="357" t="n"/>
      <c r="G149" s="308" t="n"/>
      <c r="H149" s="310" t="n"/>
      <c r="I149" s="310" t="n"/>
      <c r="J149" s="310" t="n"/>
      <c r="K149" s="310" t="n"/>
      <c r="L149" s="362">
        <f>IF(E149&gt;0,$H$4,0)</f>
        <v/>
      </c>
      <c r="M149" s="312">
        <f>IFERROR(VLOOKUP(F149,Tabellen!H:I,2),0)</f>
        <v/>
      </c>
      <c r="N149" s="357" t="n"/>
      <c r="O149" s="357" t="n"/>
      <c r="P149">
        <f>IF(E149&gt;0,COUNTIF($E$17:E149,"&gt;0"),0)</f>
        <v/>
      </c>
      <c r="Q149" s="75">
        <f>IF(OR(F149=47201,F149=47100,F149=47200,F149=47500),H149,0)</f>
        <v/>
      </c>
      <c r="R149" s="75">
        <f>IF(OR(F149=87201,F149=87100,F149=87200,F149=87500),H149,0)</f>
        <v/>
      </c>
      <c r="S149">
        <f>IF(E149&gt;0,COUNTIF($E$121:E149,"&gt;0"),0)</f>
        <v/>
      </c>
    </row>
    <row r="150" ht="15" customHeight="1" s="418">
      <c r="A150" s="320" t="n"/>
      <c r="B150" s="216" t="n"/>
      <c r="C150" s="216" t="n"/>
      <c r="D150" s="216" t="n"/>
      <c r="E150" s="345" t="n"/>
      <c r="F150" s="357" t="n"/>
      <c r="G150" s="321" t="n"/>
      <c r="H150" s="310" t="n"/>
      <c r="I150" s="310" t="n"/>
      <c r="J150" s="310" t="n"/>
      <c r="K150" s="310" t="n"/>
      <c r="L150" s="362">
        <f>IF(E150&gt;0,$H$4,0)</f>
        <v/>
      </c>
      <c r="M150" s="311">
        <f>IFERROR(VLOOKUP(F150,Tabellen!H:I,2),0)</f>
        <v/>
      </c>
      <c r="N150" s="357" t="n"/>
      <c r="O150" s="357" t="n"/>
      <c r="P150">
        <f>IF(E150&gt;0,COUNTIF($E$17:E150,"&gt;0"),0)</f>
        <v/>
      </c>
      <c r="Q150" s="75">
        <f>IF(OR(F150=47201,F150=47100,F150=47200,F150=47500),H150,0)</f>
        <v/>
      </c>
      <c r="R150" s="75">
        <f>IF(OR(F150=87201,F150=87100,F150=87200,F150=87500),H150,0)</f>
        <v/>
      </c>
      <c r="S150">
        <f>IF(E150&gt;0,COUNTIF($E$121:E150,"&gt;0"),0)</f>
        <v/>
      </c>
    </row>
    <row r="151" ht="15" customHeight="1" s="418">
      <c r="A151" s="306" t="n"/>
      <c r="B151" s="219" t="n"/>
      <c r="C151" s="219" t="n"/>
      <c r="D151" s="219" t="n"/>
      <c r="E151" s="345" t="n"/>
      <c r="F151" s="357" t="n"/>
      <c r="G151" s="308" t="n"/>
      <c r="H151" s="310" t="n"/>
      <c r="I151" s="310" t="n"/>
      <c r="J151" s="310" t="n"/>
      <c r="K151" s="310" t="n"/>
      <c r="L151" s="362">
        <f>IF(E151&gt;0,$H$4,0)</f>
        <v/>
      </c>
      <c r="M151" s="312">
        <f>IFERROR(VLOOKUP(F151,Tabellen!H:I,2),0)</f>
        <v/>
      </c>
      <c r="N151" s="357" t="n"/>
      <c r="O151" s="357" t="n"/>
      <c r="P151">
        <f>IF(E151&gt;0,COUNTIF($E$17:E151,"&gt;0"),0)</f>
        <v/>
      </c>
      <c r="Q151" s="75">
        <f>IF(OR(F151=47201,F151=47100,F151=47200,F151=47500),H151,0)</f>
        <v/>
      </c>
      <c r="R151" s="75">
        <f>IF(OR(F151=87201,F151=87100,F151=87200,F151=87500),H151,0)</f>
        <v/>
      </c>
      <c r="S151">
        <f>IF(E151&gt;0,COUNTIF($E$121:E151,"&gt;0"),0)</f>
        <v/>
      </c>
    </row>
    <row r="152" ht="15" customHeight="1" s="418">
      <c r="A152" s="320" t="n"/>
      <c r="B152" s="216" t="n"/>
      <c r="C152" s="216" t="n"/>
      <c r="D152" s="216" t="n"/>
      <c r="E152" s="345" t="n"/>
      <c r="F152" s="357" t="n"/>
      <c r="G152" s="321" t="n"/>
      <c r="H152" s="310" t="n"/>
      <c r="I152" s="310" t="n"/>
      <c r="J152" s="310" t="n"/>
      <c r="K152" s="310" t="n"/>
      <c r="L152" s="362">
        <f>IF(E152&gt;0,$H$4,0)</f>
        <v/>
      </c>
      <c r="M152" s="311">
        <f>IFERROR(VLOOKUP(F152,Tabellen!H:I,2),0)</f>
        <v/>
      </c>
      <c r="N152" s="357" t="n"/>
      <c r="O152" s="357" t="n"/>
      <c r="P152">
        <f>IF(E152&gt;0,COUNTIF($E$17:E152,"&gt;0"),0)</f>
        <v/>
      </c>
      <c r="Q152" s="75">
        <f>IF(OR(F152=47201,F152=47100,F152=47200,F152=47500),H152,0)</f>
        <v/>
      </c>
      <c r="R152" s="75">
        <f>IF(OR(F152=87201,F152=87100,F152=87200,F152=87500),H152,0)</f>
        <v/>
      </c>
      <c r="S152">
        <f>IF(E152&gt;0,COUNTIF($E$121:E152,"&gt;0"),0)</f>
        <v/>
      </c>
    </row>
    <row r="153" ht="15" customHeight="1" s="418">
      <c r="A153" s="306" t="n"/>
      <c r="B153" s="219" t="n"/>
      <c r="C153" s="219" t="n"/>
      <c r="D153" s="219" t="n"/>
      <c r="E153" s="345" t="n"/>
      <c r="F153" s="357" t="n"/>
      <c r="G153" s="308" t="n"/>
      <c r="H153" s="310" t="n"/>
      <c r="I153" s="310" t="n"/>
      <c r="J153" s="310" t="n"/>
      <c r="K153" s="310" t="n"/>
      <c r="L153" s="362">
        <f>IF(E153&gt;0,$H$4,0)</f>
        <v/>
      </c>
      <c r="M153" s="312">
        <f>IFERROR(VLOOKUP(F153,Tabellen!H:I,2),0)</f>
        <v/>
      </c>
      <c r="N153" s="357" t="n"/>
      <c r="O153" s="357" t="n"/>
      <c r="P153">
        <f>IF(E153&gt;0,COUNTIF($E$17:E153,"&gt;0"),0)</f>
        <v/>
      </c>
      <c r="Q153" s="75">
        <f>IF(OR(F153=47201,F153=47100,F153=47200,F153=47500),H153,0)</f>
        <v/>
      </c>
      <c r="R153" s="75">
        <f>IF(OR(F153=87201,F153=87100,F153=87200,F153=87500),H153,0)</f>
        <v/>
      </c>
      <c r="S153">
        <f>IF(E153&gt;0,COUNTIF($E$121:E153,"&gt;0"),0)</f>
        <v/>
      </c>
    </row>
    <row r="154" ht="15" customHeight="1" s="418">
      <c r="A154" s="320" t="n"/>
      <c r="B154" s="216" t="n"/>
      <c r="C154" s="216" t="n"/>
      <c r="D154" s="216" t="n"/>
      <c r="E154" s="345" t="n"/>
      <c r="F154" s="357" t="n"/>
      <c r="G154" s="321" t="n"/>
      <c r="H154" s="310" t="n"/>
      <c r="I154" s="310" t="n"/>
      <c r="J154" s="310" t="n"/>
      <c r="K154" s="310" t="n"/>
      <c r="L154" s="362">
        <f>IF(E154&gt;0,$H$4,0)</f>
        <v/>
      </c>
      <c r="M154" s="311">
        <f>IFERROR(VLOOKUP(F154,Tabellen!H:I,2),0)</f>
        <v/>
      </c>
      <c r="N154" s="357" t="n"/>
      <c r="O154" s="357" t="n"/>
      <c r="P154">
        <f>IF(E154&gt;0,COUNTIF($E$17:E154,"&gt;0"),0)</f>
        <v/>
      </c>
      <c r="Q154" s="75">
        <f>IF(OR(F154=47201,F154=47100,F154=47200,F154=47500),H154,0)</f>
        <v/>
      </c>
      <c r="R154" s="75">
        <f>IF(OR(F154=87201,F154=87100,F154=87200,F154=87500),H154,0)</f>
        <v/>
      </c>
      <c r="S154">
        <f>IF(E154&gt;0,COUNTIF($E$121:E154,"&gt;0"),0)</f>
        <v/>
      </c>
    </row>
    <row r="155" ht="15" customHeight="1" s="418">
      <c r="A155" s="306" t="n"/>
      <c r="B155" s="219" t="n"/>
      <c r="C155" s="219" t="n"/>
      <c r="D155" s="219" t="n"/>
      <c r="E155" s="345" t="n"/>
      <c r="F155" s="357" t="n"/>
      <c r="G155" s="308" t="n"/>
      <c r="H155" s="310" t="n"/>
      <c r="I155" s="310" t="n"/>
      <c r="J155" s="310" t="n"/>
      <c r="K155" s="310" t="n"/>
      <c r="L155" s="362">
        <f>IF(E155&gt;0,$H$4,0)</f>
        <v/>
      </c>
      <c r="M155" s="312">
        <f>IFERROR(VLOOKUP(F155,Tabellen!H:I,2),0)</f>
        <v/>
      </c>
      <c r="N155" s="357" t="n"/>
      <c r="O155" s="357" t="n"/>
      <c r="P155">
        <f>IF(E155&gt;0,COUNTIF($E$17:E155,"&gt;0"),0)</f>
        <v/>
      </c>
      <c r="Q155" s="75">
        <f>IF(OR(F155=47201,F155=47100,F155=47200,F155=47500),H155,0)</f>
        <v/>
      </c>
      <c r="R155" s="75">
        <f>IF(OR(F155=87201,F155=87100,F155=87200,F155=87500),H155,0)</f>
        <v/>
      </c>
      <c r="S155">
        <f>IF(E155&gt;0,COUNTIF($E$121:E155,"&gt;0"),0)</f>
        <v/>
      </c>
    </row>
    <row r="156" ht="15" customHeight="1" s="418">
      <c r="A156" s="320" t="n"/>
      <c r="B156" s="216" t="n"/>
      <c r="C156" s="216" t="n"/>
      <c r="D156" s="216" t="n"/>
      <c r="E156" s="345" t="n"/>
      <c r="F156" s="357" t="n"/>
      <c r="G156" s="321" t="n"/>
      <c r="H156" s="310" t="n"/>
      <c r="I156" s="310" t="n"/>
      <c r="J156" s="310" t="n"/>
      <c r="K156" s="310" t="n"/>
      <c r="L156" s="362">
        <f>IF(E156&gt;0,$H$4,0)</f>
        <v/>
      </c>
      <c r="M156" s="311">
        <f>IFERROR(VLOOKUP(F156,Tabellen!H:I,2),0)</f>
        <v/>
      </c>
      <c r="N156" s="357" t="n"/>
      <c r="O156" s="357" t="n"/>
      <c r="P156">
        <f>IF(E156&gt;0,COUNTIF($E$17:E156,"&gt;0"),0)</f>
        <v/>
      </c>
      <c r="Q156" s="75">
        <f>IF(OR(F156=47201,F156=47100,F156=47200,F156=47500),H156,0)</f>
        <v/>
      </c>
      <c r="R156" s="75">
        <f>IF(OR(F156=87201,F156=87100,F156=87200,F156=87500),H156,0)</f>
        <v/>
      </c>
      <c r="S156">
        <f>IF(E156&gt;0,COUNTIF($E$121:E156,"&gt;0"),0)</f>
        <v/>
      </c>
    </row>
    <row r="157" ht="15" customHeight="1" s="418">
      <c r="A157" s="306" t="n"/>
      <c r="B157" s="219" t="n"/>
      <c r="C157" s="219" t="n"/>
      <c r="D157" s="219" t="n"/>
      <c r="E157" s="345" t="n"/>
      <c r="F157" s="357" t="n"/>
      <c r="G157" s="308" t="n"/>
      <c r="H157" s="310" t="n"/>
      <c r="I157" s="310" t="n"/>
      <c r="J157" s="310" t="n"/>
      <c r="K157" s="310" t="n"/>
      <c r="L157" s="362">
        <f>IF(E157&gt;0,$H$4,0)</f>
        <v/>
      </c>
      <c r="M157" s="312">
        <f>IFERROR(VLOOKUP(F157,Tabellen!H:I,2),0)</f>
        <v/>
      </c>
      <c r="N157" s="357" t="n"/>
      <c r="O157" s="357" t="n"/>
      <c r="P157">
        <f>IF(E157&gt;0,COUNTIF($E$17:E157,"&gt;0"),0)</f>
        <v/>
      </c>
      <c r="Q157" s="75">
        <f>IF(OR(F157=47201,F157=47100,F157=47200,F157=47500),H157,0)</f>
        <v/>
      </c>
      <c r="R157" s="75">
        <f>IF(OR(F157=87201,F157=87100,F157=87200,F157=87500),H157,0)</f>
        <v/>
      </c>
      <c r="S157">
        <f>IF(E157&gt;0,COUNTIF($E$121:E157,"&gt;0"),0)</f>
        <v/>
      </c>
    </row>
    <row r="158" ht="15" customHeight="1" s="418">
      <c r="A158" s="320" t="n"/>
      <c r="B158" s="216" t="n"/>
      <c r="C158" s="216" t="n"/>
      <c r="D158" s="216" t="n"/>
      <c r="E158" s="345" t="n"/>
      <c r="F158" s="357" t="n"/>
      <c r="G158" s="321" t="n"/>
      <c r="H158" s="310" t="n"/>
      <c r="I158" s="310" t="n"/>
      <c r="J158" s="310" t="n"/>
      <c r="K158" s="310" t="n"/>
      <c r="L158" s="362">
        <f>IF(E158&gt;0,$H$4,0)</f>
        <v/>
      </c>
      <c r="M158" s="311">
        <f>IFERROR(VLOOKUP(F158,Tabellen!H:I,2),0)</f>
        <v/>
      </c>
      <c r="N158" s="357" t="n"/>
      <c r="O158" s="357" t="n"/>
      <c r="P158">
        <f>IF(E158&gt;0,COUNTIF($E$17:E158,"&gt;0"),0)</f>
        <v/>
      </c>
      <c r="Q158" s="75">
        <f>IF(OR(F158=47201,F158=47100,F158=47200,F158=47500),H158,0)</f>
        <v/>
      </c>
      <c r="R158" s="75">
        <f>IF(OR(F158=87201,F158=87100,F158=87200,F158=87500),H158,0)</f>
        <v/>
      </c>
      <c r="S158">
        <f>IF(E158&gt;0,COUNTIF($E$121:E158,"&gt;0"),0)</f>
        <v/>
      </c>
    </row>
    <row r="159" ht="15" customHeight="1" s="418">
      <c r="A159" s="306" t="n"/>
      <c r="B159" s="219" t="n"/>
      <c r="C159" s="219" t="n"/>
      <c r="D159" s="219" t="n"/>
      <c r="E159" s="345" t="n"/>
      <c r="F159" s="357" t="n"/>
      <c r="G159" s="308" t="n"/>
      <c r="H159" s="310" t="n"/>
      <c r="I159" s="310" t="n"/>
      <c r="J159" s="310" t="n"/>
      <c r="K159" s="310" t="n"/>
      <c r="L159" s="362">
        <f>IF(E159&gt;0,$H$4,0)</f>
        <v/>
      </c>
      <c r="M159" s="312">
        <f>IFERROR(VLOOKUP(F159,Tabellen!H:I,2),0)</f>
        <v/>
      </c>
      <c r="N159" s="357" t="n"/>
      <c r="O159" s="357" t="n"/>
      <c r="P159">
        <f>IF(E159&gt;0,COUNTIF($E$17:E159,"&gt;0"),0)</f>
        <v/>
      </c>
      <c r="Q159" s="75">
        <f>IF(OR(F159=47201,F159=47100,F159=47200,F159=47500),H159,0)</f>
        <v/>
      </c>
      <c r="R159" s="75">
        <f>IF(OR(F159=87201,F159=87100,F159=87200,F159=87500),H159,0)</f>
        <v/>
      </c>
      <c r="S159">
        <f>IF(E159&gt;0,COUNTIF($E$121:E159,"&gt;0"),0)</f>
        <v/>
      </c>
    </row>
    <row r="160" ht="15" customHeight="1" s="418">
      <c r="A160" s="320" t="n"/>
      <c r="B160" s="216" t="n"/>
      <c r="C160" s="216" t="n"/>
      <c r="D160" s="216" t="n"/>
      <c r="E160" s="345" t="n"/>
      <c r="F160" s="357" t="n"/>
      <c r="G160" s="321" t="n"/>
      <c r="H160" s="310" t="n"/>
      <c r="I160" s="310" t="n"/>
      <c r="J160" s="310" t="n"/>
      <c r="K160" s="310" t="n"/>
      <c r="L160" s="362">
        <f>IF(E160&gt;0,$H$4,0)</f>
        <v/>
      </c>
      <c r="M160" s="311">
        <f>IFERROR(VLOOKUP(F160,Tabellen!H:I,2),0)</f>
        <v/>
      </c>
      <c r="N160" s="357" t="n"/>
      <c r="O160" s="357" t="n"/>
      <c r="P160">
        <f>IF(E160&gt;0,COUNTIF($E$17:E160,"&gt;0"),0)</f>
        <v/>
      </c>
      <c r="Q160" s="75">
        <f>IF(OR(F160=47201,F160=47100,F160=47200,F160=47500),H160,0)</f>
        <v/>
      </c>
      <c r="R160" s="75">
        <f>IF(OR(F160=87201,F160=87100,F160=87200,F160=87500),H160,0)</f>
        <v/>
      </c>
      <c r="S160">
        <f>IF(E160&gt;0,COUNTIF($E$121:E160,"&gt;0"),0)</f>
        <v/>
      </c>
    </row>
    <row r="161" ht="15" customHeight="1" s="418">
      <c r="A161" s="306" t="n"/>
      <c r="B161" s="219" t="n"/>
      <c r="C161" s="219" t="n"/>
      <c r="D161" s="219" t="n"/>
      <c r="E161" s="345" t="n"/>
      <c r="F161" s="357" t="n"/>
      <c r="G161" s="308" t="n"/>
      <c r="H161" s="310" t="n"/>
      <c r="I161" s="310" t="n"/>
      <c r="J161" s="310" t="n"/>
      <c r="K161" s="310" t="n"/>
      <c r="L161" s="362">
        <f>IF(E161&gt;0,$H$4,0)</f>
        <v/>
      </c>
      <c r="M161" s="312">
        <f>IFERROR(VLOOKUP(F161,Tabellen!H:I,2),0)</f>
        <v/>
      </c>
      <c r="N161" s="357" t="n"/>
      <c r="O161" s="357" t="n"/>
      <c r="P161">
        <f>IF(E161&gt;0,COUNTIF($E$17:E161,"&gt;0"),0)</f>
        <v/>
      </c>
      <c r="Q161" s="75">
        <f>IF(OR(F161=47201,F161=47100,F161=47200,F161=47500),H161,0)</f>
        <v/>
      </c>
      <c r="R161" s="75">
        <f>IF(OR(F161=87201,F161=87100,F161=87200,F161=87500),H161,0)</f>
        <v/>
      </c>
      <c r="S161">
        <f>IF(E161&gt;0,COUNTIF($E$121:E161,"&gt;0"),0)</f>
        <v/>
      </c>
    </row>
    <row r="162" ht="15" customHeight="1" s="418">
      <c r="A162" s="320" t="n"/>
      <c r="B162" s="216" t="n"/>
      <c r="C162" s="216" t="n"/>
      <c r="D162" s="216" t="n"/>
      <c r="E162" s="345" t="n"/>
      <c r="F162" s="357" t="n"/>
      <c r="G162" s="321" t="n"/>
      <c r="H162" s="310" t="n"/>
      <c r="I162" s="310" t="n"/>
      <c r="J162" s="310" t="n"/>
      <c r="K162" s="310" t="n"/>
      <c r="L162" s="362">
        <f>IF(E162&gt;0,$H$4,0)</f>
        <v/>
      </c>
      <c r="M162" s="311">
        <f>IFERROR(VLOOKUP(F162,Tabellen!H:I,2),0)</f>
        <v/>
      </c>
      <c r="N162" s="357" t="n"/>
      <c r="O162" s="357" t="n"/>
      <c r="P162">
        <f>IF(E162&gt;0,COUNTIF($E$17:E162,"&gt;0"),0)</f>
        <v/>
      </c>
      <c r="Q162" s="75">
        <f>IF(OR(F162=47201,F162=47100,F162=47200,F162=47500),H162,0)</f>
        <v/>
      </c>
      <c r="R162" s="75">
        <f>IF(OR(F162=87201,F162=87100,F162=87200,F162=87500),H162,0)</f>
        <v/>
      </c>
      <c r="S162">
        <f>IF(E162&gt;0,COUNTIF($E$121:E162,"&gt;0"),0)</f>
        <v/>
      </c>
    </row>
    <row r="163" ht="15" customHeight="1" s="418">
      <c r="A163" s="306" t="n"/>
      <c r="B163" s="219" t="n"/>
      <c r="C163" s="219" t="n"/>
      <c r="D163" s="219" t="n"/>
      <c r="E163" s="345" t="n"/>
      <c r="F163" s="357" t="n"/>
      <c r="G163" s="308" t="n"/>
      <c r="H163" s="310" t="n"/>
      <c r="I163" s="310" t="n"/>
      <c r="J163" s="310" t="n"/>
      <c r="K163" s="310" t="n"/>
      <c r="L163" s="362">
        <f>IF(E163&gt;0,$H$4,0)</f>
        <v/>
      </c>
      <c r="M163" s="312">
        <f>IFERROR(VLOOKUP(F163,Tabellen!H:I,2),0)</f>
        <v/>
      </c>
      <c r="N163" s="357" t="n"/>
      <c r="O163" s="357" t="n"/>
      <c r="P163">
        <f>IF(E163&gt;0,COUNTIF($E$17:E163,"&gt;0"),0)</f>
        <v/>
      </c>
      <c r="Q163" s="75">
        <f>IF(OR(F163=47201,F163=47100,F163=47200,F163=47500),H163,0)</f>
        <v/>
      </c>
      <c r="R163" s="75">
        <f>IF(OR(F163=87201,F163=87100,F163=87200,F163=87500),H163,0)</f>
        <v/>
      </c>
      <c r="S163">
        <f>IF(E163&gt;0,COUNTIF($E$121:E163,"&gt;0"),0)</f>
        <v/>
      </c>
    </row>
    <row r="164" ht="15" customHeight="1" s="418">
      <c r="A164" s="320" t="n"/>
      <c r="B164" s="216" t="n"/>
      <c r="C164" s="216" t="n"/>
      <c r="D164" s="216" t="n"/>
      <c r="E164" s="345" t="n"/>
      <c r="F164" s="357" t="n"/>
      <c r="G164" s="321" t="n"/>
      <c r="H164" s="310" t="n"/>
      <c r="I164" s="310" t="n"/>
      <c r="J164" s="310" t="n"/>
      <c r="K164" s="310" t="n"/>
      <c r="L164" s="362">
        <f>IF(E164&gt;0,$H$4,0)</f>
        <v/>
      </c>
      <c r="M164" s="311">
        <f>IFERROR(VLOOKUP(F164,Tabellen!H:I,2),0)</f>
        <v/>
      </c>
      <c r="N164" s="357" t="n"/>
      <c r="O164" s="357" t="n"/>
      <c r="P164">
        <f>IF(E164&gt;0,COUNTIF($E$17:E164,"&gt;0"),0)</f>
        <v/>
      </c>
      <c r="Q164" s="75">
        <f>IF(OR(F164=47201,F164=47100,F164=47200,F164=47500),H164,0)</f>
        <v/>
      </c>
      <c r="R164" s="75">
        <f>IF(OR(F164=87201,F164=87100,F164=87200,F164=87500),H164,0)</f>
        <v/>
      </c>
      <c r="S164">
        <f>IF(E164&gt;0,COUNTIF($E$121:E164,"&gt;0"),0)</f>
        <v/>
      </c>
    </row>
    <row r="165" ht="15" customHeight="1" s="418">
      <c r="A165" s="306" t="n"/>
      <c r="B165" s="219" t="n"/>
      <c r="C165" s="219" t="n"/>
      <c r="D165" s="219" t="n"/>
      <c r="E165" s="345" t="n"/>
      <c r="F165" s="357" t="n"/>
      <c r="G165" s="308" t="n"/>
      <c r="H165" s="310" t="n"/>
      <c r="I165" s="310" t="n"/>
      <c r="J165" s="310" t="n"/>
      <c r="K165" s="310" t="n"/>
      <c r="L165" s="362">
        <f>IF(E165&gt;0,$H$4,0)</f>
        <v/>
      </c>
      <c r="M165" s="312">
        <f>IFERROR(VLOOKUP(F165,Tabellen!H:I,2),0)</f>
        <v/>
      </c>
      <c r="N165" s="357" t="n"/>
      <c r="O165" s="357" t="n"/>
      <c r="P165">
        <f>IF(E165&gt;0,COUNTIF($E$17:E165,"&gt;0"),0)</f>
        <v/>
      </c>
      <c r="Q165" s="75">
        <f>IF(OR(F165=47201,F165=47100,F165=47200,F165=47500),H165,0)</f>
        <v/>
      </c>
      <c r="R165" s="75">
        <f>IF(OR(F165=87201,F165=87100,F165=87200,F165=87500),H165,0)</f>
        <v/>
      </c>
      <c r="S165">
        <f>IF(E165&gt;0,COUNTIF($E$121:E165,"&gt;0"),0)</f>
        <v/>
      </c>
    </row>
    <row r="166" ht="15" customHeight="1" s="418">
      <c r="A166" s="320" t="n"/>
      <c r="B166" s="216" t="n"/>
      <c r="C166" s="216" t="n"/>
      <c r="D166" s="216" t="n"/>
      <c r="E166" s="345" t="n"/>
      <c r="F166" s="357" t="n"/>
      <c r="G166" s="321" t="n"/>
      <c r="H166" s="310" t="n"/>
      <c r="I166" s="310" t="n"/>
      <c r="J166" s="310" t="n"/>
      <c r="K166" s="310" t="n"/>
      <c r="L166" s="362">
        <f>IF(E166&gt;0,$H$4,0)</f>
        <v/>
      </c>
      <c r="M166" s="311">
        <f>IFERROR(VLOOKUP(F166,Tabellen!H:I,2),0)</f>
        <v/>
      </c>
      <c r="N166" s="357" t="n"/>
      <c r="O166" s="357" t="n"/>
      <c r="P166">
        <f>IF(E166&gt;0,COUNTIF($E$17:E166,"&gt;0"),0)</f>
        <v/>
      </c>
      <c r="Q166" s="75">
        <f>IF(OR(F166=47201,F166=47100,F166=47200,F166=47500),H166,0)</f>
        <v/>
      </c>
      <c r="R166" s="75">
        <f>IF(OR(F166=87201,F166=87100,F166=87200,F166=87500),H166,0)</f>
        <v/>
      </c>
      <c r="S166">
        <f>IF(E166&gt;0,COUNTIF($E$121:E166,"&gt;0"),0)</f>
        <v/>
      </c>
    </row>
    <row r="167" ht="15" customHeight="1" s="418">
      <c r="A167" s="306" t="n"/>
      <c r="B167" s="219" t="n"/>
      <c r="C167" s="219" t="n"/>
      <c r="D167" s="219" t="n"/>
      <c r="E167" s="345" t="n"/>
      <c r="F167" s="357" t="n"/>
      <c r="G167" s="308" t="n"/>
      <c r="H167" s="313" t="n"/>
      <c r="I167" s="313" t="n"/>
      <c r="J167" s="313" t="n"/>
      <c r="K167" s="313" t="n"/>
      <c r="L167" s="362">
        <f>IF(E167&gt;0,$H$4,0)</f>
        <v/>
      </c>
      <c r="M167" s="312">
        <f>IFERROR(VLOOKUP(F167,Tabellen!H:I,2),0)</f>
        <v/>
      </c>
      <c r="N167" s="357" t="n"/>
      <c r="O167" s="357" t="n"/>
      <c r="P167">
        <f>IF(E167&gt;0,COUNTIF($E$17:E167,"&gt;0"),0)</f>
        <v/>
      </c>
      <c r="Q167" s="75">
        <f>IF(OR(F167=47201,F167=47100,F167=47200,F167=47500),H167,0)</f>
        <v/>
      </c>
      <c r="R167" s="75">
        <f>IF(OR(F167=87201,F167=87100,F167=87200,F167=87500),H167,0)</f>
        <v/>
      </c>
      <c r="S167">
        <f>IF(E167&gt;0,COUNTIF($E$121:E167,"&gt;0"),0)</f>
        <v/>
      </c>
    </row>
    <row r="168" ht="16.05" customFormat="1" customHeight="1" s="76">
      <c r="A168" s="314" t="inlineStr">
        <is>
          <t>Saldo mutaties investeringen</t>
        </is>
      </c>
      <c r="B168" s="314" t="n"/>
      <c r="C168" s="314" t="n"/>
      <c r="D168" s="314" t="n"/>
      <c r="E168" s="314" t="n"/>
      <c r="F168" s="315" t="n"/>
      <c r="G168" s="316" t="n"/>
      <c r="H168" s="318">
        <f>SUM(H122:H167)</f>
        <v/>
      </c>
      <c r="I168" s="318">
        <f>SUM(I122:I167)</f>
        <v/>
      </c>
      <c r="J168" s="318">
        <f>SUM(J122:J167)</f>
        <v/>
      </c>
      <c r="K168" s="318">
        <f>SUM(K122:K167)</f>
        <v/>
      </c>
      <c r="L168" s="358" t="n"/>
      <c r="M168" s="317" t="n"/>
      <c r="N168" s="359" t="n"/>
      <c r="O168" s="359" t="n"/>
      <c r="P168">
        <f>IF(E168&gt;0,COUNTIF($E$17:E168,"&gt;0"),0)</f>
        <v/>
      </c>
      <c r="Q168" s="75">
        <f>IF(OR(F168=47201,F168=47100,F168=47200,F168=47500),H168,0)</f>
        <v/>
      </c>
      <c r="R168" s="75">
        <f>IF(OR(F168=87201,F168=87100,F168=87200,F168=87500),H168,0)</f>
        <v/>
      </c>
      <c r="S168">
        <f>IF(E168&gt;0,COUNTIF($E$121:E168,"&gt;0"),0)</f>
        <v/>
      </c>
    </row>
    <row r="169" ht="15" customHeight="1" s="418">
      <c r="A169" s="130" t="n"/>
      <c r="B169" s="47" t="n"/>
      <c r="C169" s="47" t="n"/>
      <c r="D169" s="130" t="n"/>
      <c r="E169" s="47" t="n"/>
      <c r="F169" s="72" t="n"/>
      <c r="G169" s="131" t="n"/>
      <c r="H169" s="73" t="n"/>
      <c r="I169" s="73" t="n"/>
      <c r="J169" s="73" t="n"/>
      <c r="K169" s="73" t="n"/>
      <c r="L169" s="45" t="n"/>
      <c r="M169" s="132" t="n"/>
      <c r="N169" s="49" t="n"/>
      <c r="O169" s="133" t="n"/>
      <c r="P169">
        <f>IF(E169&gt;0,COUNTIF($E$17:E169,"&gt;0"),0)</f>
        <v/>
      </c>
      <c r="Q169" s="75">
        <f>IF(OR(L169=47201,L169=47100,L169=47200,L169=47500),H169,0)</f>
        <v/>
      </c>
      <c r="R169" s="75">
        <f>IF(OR(L169=87201,L169=87100,L169=87200,L169=87500),H169,0)</f>
        <v/>
      </c>
      <c r="S169">
        <f>IF(E169&gt;0,COUNTIF($E$121:E169,"&gt;0"),0)</f>
        <v/>
      </c>
    </row>
    <row r="170" ht="18" customHeight="1" s="418">
      <c r="A170" s="346" t="inlineStr">
        <is>
          <t>D. Reserves</t>
        </is>
      </c>
      <c r="B170" s="346" t="n"/>
      <c r="C170" s="346" t="n"/>
      <c r="D170" s="346" t="n"/>
      <c r="E170" s="346" t="n"/>
      <c r="F170" s="347" t="n"/>
      <c r="G170" s="348" t="n"/>
      <c r="H170" s="346" t="n"/>
      <c r="I170" s="346" t="n"/>
      <c r="J170" s="346" t="n"/>
      <c r="K170" s="346" t="n"/>
      <c r="L170" s="349" t="n"/>
      <c r="M170" s="350" t="n"/>
      <c r="N170" s="347" t="n"/>
      <c r="O170" s="347" t="n"/>
      <c r="P170" s="327">
        <f>IF(E170&gt;0,COUNTIF($E$17:E170,"&gt;0"),0)</f>
        <v/>
      </c>
      <c r="Q170" s="183">
        <f>IF(OR(L170=47201,L170=47100,L170=47200,L170=47500),H170,0)</f>
        <v/>
      </c>
      <c r="R170" s="183">
        <f>IF(OR(L170=87201,L170=87100,L170=87200,L170=87500),H170,0)</f>
        <v/>
      </c>
      <c r="S170">
        <f>IF(E170&gt;0,COUNTIF($E$121:E170,"&gt;0"),0)</f>
        <v/>
      </c>
    </row>
    <row r="171" ht="15" customHeight="1" s="418">
      <c r="A171" s="130" t="n"/>
      <c r="B171" s="47" t="n"/>
      <c r="C171" s="47" t="n"/>
      <c r="D171" s="130" t="n"/>
      <c r="E171" s="47" t="n"/>
      <c r="F171" s="72" t="n"/>
      <c r="G171" s="131" t="n"/>
      <c r="H171" s="73" t="n"/>
      <c r="I171" s="73" t="n"/>
      <c r="J171" s="73" t="n"/>
      <c r="K171" s="73" t="n"/>
      <c r="L171" s="45" t="n"/>
      <c r="M171" s="132" t="n"/>
      <c r="N171" s="49" t="n"/>
      <c r="O171" s="133" t="n"/>
      <c r="P171">
        <f>IF(E171&gt;0,COUNTIF($E$17:E171,"&gt;0"),0)</f>
        <v/>
      </c>
      <c r="Q171" s="75">
        <f>IF(OR(L171=47201,L171=47100,L171=47200,L171=47500),H171,0)</f>
        <v/>
      </c>
      <c r="R171" s="75">
        <f>IF(OR(L171=87201,L171=87100,L171=87200,L171=87500),H171,0)</f>
        <v/>
      </c>
      <c r="S171">
        <f>IF(E171&gt;0,COUNTIF($E$121:E171,"&gt;0"),0)</f>
        <v/>
      </c>
    </row>
    <row r="172" ht="15" customHeight="1" s="418">
      <c r="A172" s="320" t="n"/>
      <c r="B172" s="216" t="n"/>
      <c r="C172" s="216" t="n"/>
      <c r="D172" s="216" t="n"/>
      <c r="E172" s="345" t="n"/>
      <c r="F172" s="363" t="n"/>
      <c r="G172" s="321" t="n"/>
      <c r="H172" s="310" t="n"/>
      <c r="I172" s="310" t="n"/>
      <c r="J172" s="310" t="n"/>
      <c r="K172" s="310" t="n"/>
      <c r="L172" s="362" t="n"/>
      <c r="M172" s="311">
        <f>IFERROR(VLOOKUP(F172,Tabellen!H:I,2),0)</f>
        <v/>
      </c>
      <c r="N172" s="357" t="n"/>
      <c r="O172" s="357" t="n"/>
      <c r="P172">
        <f>IF(E172&gt;0,COUNTIF($E$17:E172,"&gt;0"),0)</f>
        <v/>
      </c>
      <c r="Q172" s="75">
        <f>IF(OR(F172=47201,F172=47100,F172=47200,F172=47500),H172,0)</f>
        <v/>
      </c>
      <c r="R172" s="75">
        <f>IF(OR(F172=87201,F172=87100,F172=87200,F172=87500),H172,0)</f>
        <v/>
      </c>
      <c r="S172">
        <f>IF(E172&gt;0,COUNTIF($E$121:E172,"&gt;0"),0)</f>
        <v/>
      </c>
    </row>
    <row r="173" ht="15" customHeight="1" s="418">
      <c r="A173" s="306">
        <f>A78</f>
        <v/>
      </c>
      <c r="B173" s="219" t="n"/>
      <c r="C173" s="219">
        <f>C78</f>
        <v/>
      </c>
      <c r="D173" s="219">
        <f>D78</f>
        <v/>
      </c>
      <c r="E173" s="345">
        <f>E78</f>
        <v/>
      </c>
      <c r="F173" s="363">
        <f>L78</f>
        <v/>
      </c>
      <c r="G173" s="308">
        <f>G78</f>
        <v/>
      </c>
      <c r="H173" s="310">
        <f>H78</f>
        <v/>
      </c>
      <c r="I173" s="310">
        <f>I78</f>
        <v/>
      </c>
      <c r="J173" s="310">
        <f>J78</f>
        <v/>
      </c>
      <c r="K173" s="310">
        <f>K78</f>
        <v/>
      </c>
      <c r="L173" s="362">
        <f>IF(E173&gt;0,$H$4,0)</f>
        <v/>
      </c>
      <c r="M173" s="312">
        <f>M78</f>
        <v/>
      </c>
      <c r="N173" s="357" t="n"/>
      <c r="O173" s="357" t="n"/>
      <c r="P173">
        <f>IF(E173&gt;0,COUNTIF($E$17:E173,"&gt;0"),0)</f>
        <v/>
      </c>
      <c r="Q173" s="75">
        <f>IF(OR(F173=47201,F173=47100,F173=47200,F173=47500),H173,0)</f>
        <v/>
      </c>
      <c r="R173" s="75">
        <f>IF(OR(F173=87201,F173=87100,F173=87200,F173=87500),H173,0)</f>
        <v/>
      </c>
      <c r="S173">
        <f>IF(E173&gt;0,COUNTIF($E$121:E173,"&gt;0"),0)</f>
        <v/>
      </c>
    </row>
    <row r="174" ht="15" customHeight="1" s="418">
      <c r="A174" s="320">
        <f>A79</f>
        <v/>
      </c>
      <c r="B174" s="216" t="n"/>
      <c r="C174" s="216">
        <f>C79</f>
        <v/>
      </c>
      <c r="D174" s="216">
        <f>D79</f>
        <v/>
      </c>
      <c r="E174" s="345">
        <f>E79</f>
        <v/>
      </c>
      <c r="F174" s="363">
        <f>L79</f>
        <v/>
      </c>
      <c r="G174" s="321">
        <f>G79</f>
        <v/>
      </c>
      <c r="H174" s="310">
        <f>H79</f>
        <v/>
      </c>
      <c r="I174" s="310">
        <f>I79</f>
        <v/>
      </c>
      <c r="J174" s="310">
        <f>J79</f>
        <v/>
      </c>
      <c r="K174" s="310">
        <f>K79</f>
        <v/>
      </c>
      <c r="L174" s="362">
        <f>IF(E174&gt;0,$H$4,0)</f>
        <v/>
      </c>
      <c r="M174" s="311">
        <f>M79</f>
        <v/>
      </c>
      <c r="N174" s="357" t="n"/>
      <c r="O174" s="357" t="n"/>
      <c r="P174">
        <f>IF(E174&gt;0,COUNTIF($E$17:E174,"&gt;0"),0)</f>
        <v/>
      </c>
      <c r="Q174" s="75">
        <f>IF(OR(F174=47201,F174=47100,F174=47200,F174=47500),H174,0)</f>
        <v/>
      </c>
      <c r="R174" s="75">
        <f>IF(OR(F174=87201,F174=87100,F174=87200,F174=87500),H174,0)</f>
        <v/>
      </c>
      <c r="S174">
        <f>IF(E174&gt;0,COUNTIF($E$121:E174,"&gt;0"),0)</f>
        <v/>
      </c>
    </row>
    <row r="175" ht="15" customHeight="1" s="418">
      <c r="A175" s="306">
        <f>A80</f>
        <v/>
      </c>
      <c r="B175" s="219" t="n"/>
      <c r="C175" s="219">
        <f>C80</f>
        <v/>
      </c>
      <c r="D175" s="219">
        <f>D80</f>
        <v/>
      </c>
      <c r="E175" s="345">
        <f>E80</f>
        <v/>
      </c>
      <c r="F175" s="363">
        <f>L80</f>
        <v/>
      </c>
      <c r="G175" s="308">
        <f>G80</f>
        <v/>
      </c>
      <c r="H175" s="310">
        <f>H80</f>
        <v/>
      </c>
      <c r="I175" s="310">
        <f>I80</f>
        <v/>
      </c>
      <c r="J175" s="310">
        <f>J80</f>
        <v/>
      </c>
      <c r="K175" s="310">
        <f>K80</f>
        <v/>
      </c>
      <c r="L175" s="362">
        <f>IF(E175&gt;0,$H$4,0)</f>
        <v/>
      </c>
      <c r="M175" s="312">
        <f>M80</f>
        <v/>
      </c>
      <c r="N175" s="357" t="n"/>
      <c r="O175" s="357" t="n"/>
      <c r="P175">
        <f>IF(E175&gt;0,COUNTIF($E$17:E175,"&gt;0"),0)</f>
        <v/>
      </c>
      <c r="Q175" s="75">
        <f>IF(OR(F175=47201,F175=47100,F175=47200,F175=47500),H175,0)</f>
        <v/>
      </c>
      <c r="R175" s="75">
        <f>IF(OR(F175=87201,F175=87100,F175=87200,F175=87500),H175,0)</f>
        <v/>
      </c>
      <c r="S175">
        <f>IF(E175&gt;0,COUNTIF($E$121:E175,"&gt;0"),0)</f>
        <v/>
      </c>
    </row>
    <row r="176" ht="15" customHeight="1" s="418">
      <c r="A176" s="320">
        <f>A81</f>
        <v/>
      </c>
      <c r="B176" s="216" t="n"/>
      <c r="C176" s="216">
        <f>C81</f>
        <v/>
      </c>
      <c r="D176" s="216">
        <f>D81</f>
        <v/>
      </c>
      <c r="E176" s="345">
        <f>E81</f>
        <v/>
      </c>
      <c r="F176" s="363">
        <f>L81</f>
        <v/>
      </c>
      <c r="G176" s="321">
        <f>G81</f>
        <v/>
      </c>
      <c r="H176" s="310">
        <f>H81</f>
        <v/>
      </c>
      <c r="I176" s="310">
        <f>I81</f>
        <v/>
      </c>
      <c r="J176" s="310">
        <f>J81</f>
        <v/>
      </c>
      <c r="K176" s="310">
        <f>K81</f>
        <v/>
      </c>
      <c r="L176" s="362">
        <f>IF(E176&gt;0,$H$4,0)</f>
        <v/>
      </c>
      <c r="M176" s="311">
        <f>M81</f>
        <v/>
      </c>
      <c r="N176" s="357" t="n"/>
      <c r="O176" s="357" t="n"/>
      <c r="P176">
        <f>IF(E176&gt;0,COUNTIF($E$17:E176,"&gt;0"),0)</f>
        <v/>
      </c>
      <c r="Q176" s="75">
        <f>IF(OR(F176=47201,F176=47100,F176=47200,F176=47500),H176,0)</f>
        <v/>
      </c>
      <c r="R176" s="75">
        <f>IF(OR(F176=87201,F176=87100,F176=87200,F176=87500),H176,0)</f>
        <v/>
      </c>
      <c r="S176">
        <f>IF(E176&gt;0,COUNTIF($E$121:E176,"&gt;0"),0)</f>
        <v/>
      </c>
    </row>
    <row r="177" ht="15" customHeight="1" s="418">
      <c r="A177" s="306">
        <f>A82</f>
        <v/>
      </c>
      <c r="B177" s="219" t="n"/>
      <c r="C177" s="219">
        <f>C82</f>
        <v/>
      </c>
      <c r="D177" s="219">
        <f>D82</f>
        <v/>
      </c>
      <c r="E177" s="345">
        <f>E82</f>
        <v/>
      </c>
      <c r="F177" s="363">
        <f>L82</f>
        <v/>
      </c>
      <c r="G177" s="308">
        <f>G82</f>
        <v/>
      </c>
      <c r="H177" s="310">
        <f>H82</f>
        <v/>
      </c>
      <c r="I177" s="310">
        <f>I82</f>
        <v/>
      </c>
      <c r="J177" s="310">
        <f>J82</f>
        <v/>
      </c>
      <c r="K177" s="310">
        <f>K82</f>
        <v/>
      </c>
      <c r="L177" s="362">
        <f>IF(E177&gt;0,$H$4,0)</f>
        <v/>
      </c>
      <c r="M177" s="312">
        <f>M82</f>
        <v/>
      </c>
      <c r="N177" s="357" t="n"/>
      <c r="O177" s="357" t="n"/>
      <c r="P177">
        <f>IF(E177&gt;0,COUNTIF($E$17:E177,"&gt;0"),0)</f>
        <v/>
      </c>
      <c r="Q177" s="75">
        <f>IF(OR(F177=47201,F177=47100,F177=47200,F177=47500),H177,0)</f>
        <v/>
      </c>
      <c r="R177" s="75">
        <f>IF(OR(F177=87201,F177=87100,F177=87200,F177=87500),H177,0)</f>
        <v/>
      </c>
      <c r="S177">
        <f>IF(E177&gt;0,COUNTIF($E$121:E177,"&gt;0"),0)</f>
        <v/>
      </c>
    </row>
    <row r="178" ht="15" customHeight="1" s="418">
      <c r="A178" s="320">
        <f>A83</f>
        <v/>
      </c>
      <c r="B178" s="216" t="n"/>
      <c r="C178" s="216">
        <f>C83</f>
        <v/>
      </c>
      <c r="D178" s="216">
        <f>D83</f>
        <v/>
      </c>
      <c r="E178" s="345">
        <f>E83</f>
        <v/>
      </c>
      <c r="F178" s="363">
        <f>L83</f>
        <v/>
      </c>
      <c r="G178" s="321">
        <f>G83</f>
        <v/>
      </c>
      <c r="H178" s="310">
        <f>H83</f>
        <v/>
      </c>
      <c r="I178" s="310">
        <f>I83</f>
        <v/>
      </c>
      <c r="J178" s="310">
        <f>J83</f>
        <v/>
      </c>
      <c r="K178" s="310">
        <f>K83</f>
        <v/>
      </c>
      <c r="L178" s="362">
        <f>IF(E178&gt;0,$H$4,0)</f>
        <v/>
      </c>
      <c r="M178" s="311">
        <f>M83</f>
        <v/>
      </c>
      <c r="N178" s="357" t="n"/>
      <c r="O178" s="357" t="n"/>
      <c r="P178">
        <f>IF(E178&gt;0,COUNTIF($E$17:E178,"&gt;0"),0)</f>
        <v/>
      </c>
      <c r="Q178" s="75">
        <f>IF(OR(F178=47201,F178=47100,F178=47200,F178=47500),H178,0)</f>
        <v/>
      </c>
      <c r="R178" s="75">
        <f>IF(OR(F178=87201,F178=87100,F178=87200,F178=87500),H178,0)</f>
        <v/>
      </c>
      <c r="S178">
        <f>IF(E178&gt;0,COUNTIF($E$121:E178,"&gt;0"),0)</f>
        <v/>
      </c>
    </row>
    <row r="179" ht="15" customHeight="1" s="418">
      <c r="A179" s="306">
        <f>A84</f>
        <v/>
      </c>
      <c r="B179" s="219" t="n"/>
      <c r="C179" s="219">
        <f>C84</f>
        <v/>
      </c>
      <c r="D179" s="219">
        <f>D84</f>
        <v/>
      </c>
      <c r="E179" s="345">
        <f>E84</f>
        <v/>
      </c>
      <c r="F179" s="363">
        <f>L84</f>
        <v/>
      </c>
      <c r="G179" s="308">
        <f>G84</f>
        <v/>
      </c>
      <c r="H179" s="310">
        <f>H84</f>
        <v/>
      </c>
      <c r="I179" s="310">
        <f>I84</f>
        <v/>
      </c>
      <c r="J179" s="310">
        <f>J84</f>
        <v/>
      </c>
      <c r="K179" s="310">
        <f>K84</f>
        <v/>
      </c>
      <c r="L179" s="362">
        <f>IF(E179&gt;0,$H$4,0)</f>
        <v/>
      </c>
      <c r="M179" s="312">
        <f>M84</f>
        <v/>
      </c>
      <c r="N179" s="357" t="n"/>
      <c r="O179" s="357" t="n"/>
      <c r="P179">
        <f>IF(E179&gt;0,COUNTIF($E$17:E179,"&gt;0"),0)</f>
        <v/>
      </c>
      <c r="Q179" s="75">
        <f>IF(OR(F179=47201,F179=47100,F179=47200,F179=47500),H179,0)</f>
        <v/>
      </c>
      <c r="R179" s="75">
        <f>IF(OR(F179=87201,F179=87100,F179=87200,F179=87500),H179,0)</f>
        <v/>
      </c>
      <c r="S179">
        <f>IF(E179&gt;0,COUNTIF($E$121:E179,"&gt;0"),0)</f>
        <v/>
      </c>
    </row>
    <row r="180" ht="15" customHeight="1" s="418">
      <c r="A180" s="320">
        <f>A85</f>
        <v/>
      </c>
      <c r="B180" s="216" t="n"/>
      <c r="C180" s="216">
        <f>C85</f>
        <v/>
      </c>
      <c r="D180" s="216">
        <f>D85</f>
        <v/>
      </c>
      <c r="E180" s="345">
        <f>E85</f>
        <v/>
      </c>
      <c r="F180" s="363">
        <f>L85</f>
        <v/>
      </c>
      <c r="G180" s="321">
        <f>G85</f>
        <v/>
      </c>
      <c r="H180" s="310">
        <f>H85</f>
        <v/>
      </c>
      <c r="I180" s="310">
        <f>I85</f>
        <v/>
      </c>
      <c r="J180" s="310">
        <f>J85</f>
        <v/>
      </c>
      <c r="K180" s="310">
        <f>K85</f>
        <v/>
      </c>
      <c r="L180" s="362">
        <f>IF(E180&gt;0,$H$4,0)</f>
        <v/>
      </c>
      <c r="M180" s="311">
        <f>M85</f>
        <v/>
      </c>
      <c r="N180" s="357" t="n"/>
      <c r="O180" s="357" t="n"/>
      <c r="P180">
        <f>IF(E180&gt;0,COUNTIF($E$17:E180,"&gt;0"),0)</f>
        <v/>
      </c>
      <c r="Q180" s="75">
        <f>IF(OR(F180=47201,F180=47100,F180=47200,F180=47500),H180,0)</f>
        <v/>
      </c>
      <c r="R180" s="75">
        <f>IF(OR(F180=87201,F180=87100,F180=87200,F180=87500),H180,0)</f>
        <v/>
      </c>
      <c r="S180">
        <f>IF(E180&gt;0,COUNTIF($E$121:E180,"&gt;0"),0)</f>
        <v/>
      </c>
    </row>
    <row r="181" ht="15" customHeight="1" s="418">
      <c r="A181" s="306">
        <f>A86</f>
        <v/>
      </c>
      <c r="B181" s="219" t="n"/>
      <c r="C181" s="219">
        <f>C86</f>
        <v/>
      </c>
      <c r="D181" s="219">
        <f>D86</f>
        <v/>
      </c>
      <c r="E181" s="345">
        <f>E86</f>
        <v/>
      </c>
      <c r="F181" s="363">
        <f>L86</f>
        <v/>
      </c>
      <c r="G181" s="308">
        <f>G86</f>
        <v/>
      </c>
      <c r="H181" s="310">
        <f>H86</f>
        <v/>
      </c>
      <c r="I181" s="310">
        <f>I86</f>
        <v/>
      </c>
      <c r="J181" s="310">
        <f>J86</f>
        <v/>
      </c>
      <c r="K181" s="310">
        <f>K86</f>
        <v/>
      </c>
      <c r="L181" s="362">
        <f>IF(E181&gt;0,$H$4,0)</f>
        <v/>
      </c>
      <c r="M181" s="312">
        <f>M86</f>
        <v/>
      </c>
      <c r="N181" s="357" t="n"/>
      <c r="O181" s="357" t="n"/>
      <c r="P181">
        <f>IF(E181&gt;0,COUNTIF($E$17:E181,"&gt;0"),0)</f>
        <v/>
      </c>
      <c r="Q181" s="75">
        <f>IF(OR(F181=47201,F181=47100,F181=47200,F181=47500),H181,0)</f>
        <v/>
      </c>
      <c r="R181" s="75">
        <f>IF(OR(F181=87201,F181=87100,F181=87200,F181=87500),H181,0)</f>
        <v/>
      </c>
      <c r="S181">
        <f>IF(E181&gt;0,COUNTIF($E$121:E181,"&gt;0"),0)</f>
        <v/>
      </c>
    </row>
    <row r="182" ht="15" customHeight="1" s="418">
      <c r="A182" s="320">
        <f>A87</f>
        <v/>
      </c>
      <c r="B182" s="216" t="n"/>
      <c r="C182" s="216">
        <f>C87</f>
        <v/>
      </c>
      <c r="D182" s="216">
        <f>D87</f>
        <v/>
      </c>
      <c r="E182" s="345">
        <f>E87</f>
        <v/>
      </c>
      <c r="F182" s="363">
        <f>L87</f>
        <v/>
      </c>
      <c r="G182" s="321">
        <f>G87</f>
        <v/>
      </c>
      <c r="H182" s="310">
        <f>H87</f>
        <v/>
      </c>
      <c r="I182" s="310">
        <f>I87</f>
        <v/>
      </c>
      <c r="J182" s="310">
        <f>J87</f>
        <v/>
      </c>
      <c r="K182" s="310">
        <f>K87</f>
        <v/>
      </c>
      <c r="L182" s="362">
        <f>IF(E182&gt;0,$H$4,0)</f>
        <v/>
      </c>
      <c r="M182" s="311">
        <f>M87</f>
        <v/>
      </c>
      <c r="N182" s="357" t="n"/>
      <c r="O182" s="357" t="n"/>
      <c r="P182">
        <f>IF(E182&gt;0,COUNTIF($E$17:E182,"&gt;0"),0)</f>
        <v/>
      </c>
      <c r="Q182" s="75">
        <f>IF(OR(F182=47201,F182=47100,F182=47200,F182=47500),H182,0)</f>
        <v/>
      </c>
      <c r="R182" s="75">
        <f>IF(OR(F182=87201,F182=87100,F182=87200,F182=87500),H182,0)</f>
        <v/>
      </c>
      <c r="S182">
        <f>IF(E182&gt;0,COUNTIF($E$121:E182,"&gt;0"),0)</f>
        <v/>
      </c>
    </row>
    <row r="183" ht="15" customHeight="1" s="418">
      <c r="A183" s="306">
        <f>A88</f>
        <v/>
      </c>
      <c r="B183" s="219" t="n"/>
      <c r="C183" s="219">
        <f>C88</f>
        <v/>
      </c>
      <c r="D183" s="219">
        <f>D88</f>
        <v/>
      </c>
      <c r="E183" s="345">
        <f>E88</f>
        <v/>
      </c>
      <c r="F183" s="363">
        <f>L88</f>
        <v/>
      </c>
      <c r="G183" s="308">
        <f>G88</f>
        <v/>
      </c>
      <c r="H183" s="310">
        <f>H88</f>
        <v/>
      </c>
      <c r="I183" s="310">
        <f>I88</f>
        <v/>
      </c>
      <c r="J183" s="310">
        <f>J88</f>
        <v/>
      </c>
      <c r="K183" s="310">
        <f>K88</f>
        <v/>
      </c>
      <c r="L183" s="362">
        <f>IF(E183&gt;0,$H$4,0)</f>
        <v/>
      </c>
      <c r="M183" s="312">
        <f>M88</f>
        <v/>
      </c>
      <c r="N183" s="357" t="n"/>
      <c r="O183" s="357" t="n"/>
      <c r="P183">
        <f>IF(E183&gt;0,COUNTIF($E$17:E183,"&gt;0"),0)</f>
        <v/>
      </c>
      <c r="Q183" s="75">
        <f>IF(OR(F183=47201,F183=47100,F183=47200,F183=47500),H183,0)</f>
        <v/>
      </c>
      <c r="R183" s="75">
        <f>IF(OR(F183=87201,F183=87100,F183=87200,F183=87500),H183,0)</f>
        <v/>
      </c>
      <c r="S183">
        <f>IF(E183&gt;0,COUNTIF($E$121:E183,"&gt;0"),0)</f>
        <v/>
      </c>
    </row>
    <row r="184" ht="15" customHeight="1" s="418">
      <c r="A184" s="320">
        <f>A89</f>
        <v/>
      </c>
      <c r="B184" s="216" t="n"/>
      <c r="C184" s="216">
        <f>C89</f>
        <v/>
      </c>
      <c r="D184" s="216">
        <f>D89</f>
        <v/>
      </c>
      <c r="E184" s="345">
        <f>E89</f>
        <v/>
      </c>
      <c r="F184" s="363">
        <f>L89</f>
        <v/>
      </c>
      <c r="G184" s="321">
        <f>G89</f>
        <v/>
      </c>
      <c r="H184" s="310">
        <f>H89</f>
        <v/>
      </c>
      <c r="I184" s="310">
        <f>I89</f>
        <v/>
      </c>
      <c r="J184" s="310">
        <f>J89</f>
        <v/>
      </c>
      <c r="K184" s="310">
        <f>K89</f>
        <v/>
      </c>
      <c r="L184" s="362">
        <f>IF(E184&gt;0,$H$4,0)</f>
        <v/>
      </c>
      <c r="M184" s="311">
        <f>M89</f>
        <v/>
      </c>
      <c r="N184" s="357" t="n"/>
      <c r="O184" s="357" t="n"/>
      <c r="P184">
        <f>IF(E184&gt;0,COUNTIF($E$17:E184,"&gt;0"),0)</f>
        <v/>
      </c>
      <c r="Q184" s="75">
        <f>IF(OR(F184=47201,F184=47100,F184=47200,F184=47500),H184,0)</f>
        <v/>
      </c>
      <c r="R184" s="75">
        <f>IF(OR(F184=87201,F184=87100,F184=87200,F184=87500),H184,0)</f>
        <v/>
      </c>
      <c r="S184">
        <f>IF(E184&gt;0,COUNTIF($E$121:E184,"&gt;0"),0)</f>
        <v/>
      </c>
    </row>
    <row r="185" ht="15" customHeight="1" s="418">
      <c r="A185" s="306">
        <f>A90</f>
        <v/>
      </c>
      <c r="B185" s="219" t="n"/>
      <c r="C185" s="219">
        <f>C90</f>
        <v/>
      </c>
      <c r="D185" s="219">
        <f>D90</f>
        <v/>
      </c>
      <c r="E185" s="345">
        <f>E90</f>
        <v/>
      </c>
      <c r="F185" s="363">
        <f>L90</f>
        <v/>
      </c>
      <c r="G185" s="308">
        <f>G90</f>
        <v/>
      </c>
      <c r="H185" s="310">
        <f>H90</f>
        <v/>
      </c>
      <c r="I185" s="310">
        <f>I90</f>
        <v/>
      </c>
      <c r="J185" s="310">
        <f>J90</f>
        <v/>
      </c>
      <c r="K185" s="310">
        <f>K90</f>
        <v/>
      </c>
      <c r="L185" s="362">
        <f>IF(E185&gt;0,$H$4,0)</f>
        <v/>
      </c>
      <c r="M185" s="312">
        <f>M90</f>
        <v/>
      </c>
      <c r="N185" s="357" t="n"/>
      <c r="O185" s="357" t="n"/>
      <c r="P185">
        <f>IF(E185&gt;0,COUNTIF($E$17:E185,"&gt;0"),0)</f>
        <v/>
      </c>
      <c r="Q185" s="75">
        <f>IF(OR(F185=47201,F185=47100,F185=47200,F185=47500),H185,0)</f>
        <v/>
      </c>
      <c r="R185" s="75">
        <f>IF(OR(F185=87201,F185=87100,F185=87200,F185=87500),H185,0)</f>
        <v/>
      </c>
      <c r="S185">
        <f>IF(E185&gt;0,COUNTIF($E$121:E185,"&gt;0"),0)</f>
        <v/>
      </c>
    </row>
    <row r="186" ht="15" customHeight="1" s="418">
      <c r="A186" s="320">
        <f>A91</f>
        <v/>
      </c>
      <c r="B186" s="216" t="n"/>
      <c r="C186" s="216">
        <f>C91</f>
        <v/>
      </c>
      <c r="D186" s="216">
        <f>D91</f>
        <v/>
      </c>
      <c r="E186" s="345">
        <f>E91</f>
        <v/>
      </c>
      <c r="F186" s="363">
        <f>L91</f>
        <v/>
      </c>
      <c r="G186" s="321">
        <f>G91</f>
        <v/>
      </c>
      <c r="H186" s="310">
        <f>H91</f>
        <v/>
      </c>
      <c r="I186" s="310">
        <f>I91</f>
        <v/>
      </c>
      <c r="J186" s="310">
        <f>J91</f>
        <v/>
      </c>
      <c r="K186" s="310">
        <f>K91</f>
        <v/>
      </c>
      <c r="L186" s="362">
        <f>IF(E186&gt;0,$H$4,0)</f>
        <v/>
      </c>
      <c r="M186" s="311">
        <f>M91</f>
        <v/>
      </c>
      <c r="N186" s="357" t="n"/>
      <c r="O186" s="357" t="n"/>
      <c r="P186">
        <f>IF(E186&gt;0,COUNTIF($E$17:E186,"&gt;0"),0)</f>
        <v/>
      </c>
      <c r="Q186" s="75">
        <f>IF(OR(F186=47201,F186=47100,F186=47200,F186=47500),H186,0)</f>
        <v/>
      </c>
      <c r="R186" s="75">
        <f>IF(OR(F186=87201,F186=87100,F186=87200,F186=87500),H186,0)</f>
        <v/>
      </c>
      <c r="S186">
        <f>IF(E186&gt;0,COUNTIF($E$121:E186,"&gt;0"),0)</f>
        <v/>
      </c>
    </row>
    <row r="187" ht="15" customHeight="1" s="418">
      <c r="A187" s="306">
        <f>A92</f>
        <v/>
      </c>
      <c r="B187" s="219" t="n"/>
      <c r="C187" s="219">
        <f>C92</f>
        <v/>
      </c>
      <c r="D187" s="219">
        <f>D92</f>
        <v/>
      </c>
      <c r="E187" s="345">
        <f>E92</f>
        <v/>
      </c>
      <c r="F187" s="363">
        <f>L92</f>
        <v/>
      </c>
      <c r="G187" s="308">
        <f>G92</f>
        <v/>
      </c>
      <c r="H187" s="310">
        <f>H92</f>
        <v/>
      </c>
      <c r="I187" s="310">
        <f>I92</f>
        <v/>
      </c>
      <c r="J187" s="310">
        <f>J92</f>
        <v/>
      </c>
      <c r="K187" s="310">
        <f>K92</f>
        <v/>
      </c>
      <c r="L187" s="362">
        <f>IF(E187&gt;0,$H$4,0)</f>
        <v/>
      </c>
      <c r="M187" s="312">
        <f>M92</f>
        <v/>
      </c>
      <c r="N187" s="357" t="n"/>
      <c r="O187" s="357" t="n"/>
      <c r="P187">
        <f>IF(E187&gt;0,COUNTIF($E$17:E187,"&gt;0"),0)</f>
        <v/>
      </c>
      <c r="Q187" s="75">
        <f>IF(OR(F187=47201,F187=47100,F187=47200,F187=47500),H187,0)</f>
        <v/>
      </c>
      <c r="R187" s="75">
        <f>IF(OR(F187=87201,F187=87100,F187=87200,F187=87500),H187,0)</f>
        <v/>
      </c>
      <c r="S187">
        <f>IF(E187&gt;0,COUNTIF($E$121:E187,"&gt;0"),0)</f>
        <v/>
      </c>
    </row>
    <row r="188" ht="15" customHeight="1" s="418">
      <c r="A188" s="320">
        <f>A93</f>
        <v/>
      </c>
      <c r="B188" s="216" t="n"/>
      <c r="C188" s="216">
        <f>C93</f>
        <v/>
      </c>
      <c r="D188" s="216">
        <f>D93</f>
        <v/>
      </c>
      <c r="E188" s="345">
        <f>E93</f>
        <v/>
      </c>
      <c r="F188" s="363">
        <f>L93</f>
        <v/>
      </c>
      <c r="G188" s="321">
        <f>G93</f>
        <v/>
      </c>
      <c r="H188" s="310">
        <f>H93</f>
        <v/>
      </c>
      <c r="I188" s="310">
        <f>I93</f>
        <v/>
      </c>
      <c r="J188" s="310">
        <f>J93</f>
        <v/>
      </c>
      <c r="K188" s="310">
        <f>K93</f>
        <v/>
      </c>
      <c r="L188" s="362">
        <f>IF(E188&gt;0,$H$4,0)</f>
        <v/>
      </c>
      <c r="M188" s="311">
        <f>M93</f>
        <v/>
      </c>
      <c r="N188" s="357" t="n"/>
      <c r="O188" s="357" t="n"/>
      <c r="P188">
        <f>IF(E188&gt;0,COUNTIF($E$17:E188,"&gt;0"),0)</f>
        <v/>
      </c>
      <c r="Q188" s="75">
        <f>IF(OR(F188=47201,F188=47100,F188=47200,F188=47500),H188,0)</f>
        <v/>
      </c>
      <c r="R188" s="75">
        <f>IF(OR(F188=87201,F188=87100,F188=87200,F188=87500),H188,0)</f>
        <v/>
      </c>
      <c r="S188">
        <f>IF(E188&gt;0,COUNTIF($E$121:E188,"&gt;0"),0)</f>
        <v/>
      </c>
    </row>
    <row r="189" ht="15" customHeight="1" s="418">
      <c r="A189" s="306">
        <f>A94</f>
        <v/>
      </c>
      <c r="B189" s="219" t="n"/>
      <c r="C189" s="219">
        <f>C94</f>
        <v/>
      </c>
      <c r="D189" s="219">
        <f>D94</f>
        <v/>
      </c>
      <c r="E189" s="345">
        <f>E94</f>
        <v/>
      </c>
      <c r="F189" s="363">
        <f>L94</f>
        <v/>
      </c>
      <c r="G189" s="308">
        <f>G94</f>
        <v/>
      </c>
      <c r="H189" s="310">
        <f>H94</f>
        <v/>
      </c>
      <c r="I189" s="310">
        <f>I94</f>
        <v/>
      </c>
      <c r="J189" s="310">
        <f>J94</f>
        <v/>
      </c>
      <c r="K189" s="310">
        <f>K94</f>
        <v/>
      </c>
      <c r="L189" s="362">
        <f>IF(E189&gt;0,$H$4,0)</f>
        <v/>
      </c>
      <c r="M189" s="312">
        <f>M94</f>
        <v/>
      </c>
      <c r="N189" s="357" t="n"/>
      <c r="O189" s="357" t="n"/>
      <c r="P189">
        <f>IF(E189&gt;0,COUNTIF($E$17:E189,"&gt;0"),0)</f>
        <v/>
      </c>
      <c r="Q189" s="75">
        <f>IF(OR(F189=47201,F189=47100,F189=47200,F189=47500),H189,0)</f>
        <v/>
      </c>
      <c r="R189" s="75">
        <f>IF(OR(F189=87201,F189=87100,F189=87200,F189=87500),H189,0)</f>
        <v/>
      </c>
      <c r="S189">
        <f>IF(E189&gt;0,COUNTIF($E$121:E189,"&gt;0"),0)</f>
        <v/>
      </c>
    </row>
    <row r="190" ht="15" customHeight="1" s="418">
      <c r="A190" s="320">
        <f>A95</f>
        <v/>
      </c>
      <c r="B190" s="216" t="n"/>
      <c r="C190" s="216">
        <f>C95</f>
        <v/>
      </c>
      <c r="D190" s="216">
        <f>D95</f>
        <v/>
      </c>
      <c r="E190" s="345">
        <f>E95</f>
        <v/>
      </c>
      <c r="F190" s="363">
        <f>L95</f>
        <v/>
      </c>
      <c r="G190" s="321">
        <f>G95</f>
        <v/>
      </c>
      <c r="H190" s="310">
        <f>H95</f>
        <v/>
      </c>
      <c r="I190" s="310">
        <f>I95</f>
        <v/>
      </c>
      <c r="J190" s="310">
        <f>J95</f>
        <v/>
      </c>
      <c r="K190" s="310">
        <f>K95</f>
        <v/>
      </c>
      <c r="L190" s="362">
        <f>IF(E190&gt;0,$H$4,0)</f>
        <v/>
      </c>
      <c r="M190" s="311">
        <f>M95</f>
        <v/>
      </c>
      <c r="N190" s="357" t="n"/>
      <c r="O190" s="357" t="n"/>
      <c r="P190">
        <f>IF(E190&gt;0,COUNTIF($E$17:E190,"&gt;0"),0)</f>
        <v/>
      </c>
      <c r="Q190" s="75">
        <f>IF(OR(F190=47201,F190=47100,F190=47200,F190=47500),H190,0)</f>
        <v/>
      </c>
      <c r="R190" s="75">
        <f>IF(OR(F190=87201,F190=87100,F190=87200,F190=87500),H190,0)</f>
        <v/>
      </c>
      <c r="S190">
        <f>IF(E190&gt;0,COUNTIF($E$121:E190,"&gt;0"),0)</f>
        <v/>
      </c>
    </row>
    <row r="191" ht="15" customHeight="1" s="418">
      <c r="A191" s="306">
        <f>A96</f>
        <v/>
      </c>
      <c r="B191" s="219" t="n"/>
      <c r="C191" s="219">
        <f>C96</f>
        <v/>
      </c>
      <c r="D191" s="219">
        <f>D96</f>
        <v/>
      </c>
      <c r="E191" s="345">
        <f>E96</f>
        <v/>
      </c>
      <c r="F191" s="363">
        <f>L96</f>
        <v/>
      </c>
      <c r="G191" s="308">
        <f>G96</f>
        <v/>
      </c>
      <c r="H191" s="310">
        <f>H96</f>
        <v/>
      </c>
      <c r="I191" s="310">
        <f>I96</f>
        <v/>
      </c>
      <c r="J191" s="310">
        <f>J96</f>
        <v/>
      </c>
      <c r="K191" s="310">
        <f>K96</f>
        <v/>
      </c>
      <c r="L191" s="362">
        <f>IF(E191&gt;0,$H$4,0)</f>
        <v/>
      </c>
      <c r="M191" s="312">
        <f>M96</f>
        <v/>
      </c>
      <c r="N191" s="357" t="n"/>
      <c r="O191" s="357" t="n"/>
      <c r="P191">
        <f>IF(E191&gt;0,COUNTIF($E$17:E191,"&gt;0"),0)</f>
        <v/>
      </c>
      <c r="Q191" s="75">
        <f>IF(OR(F191=47201,F191=47100,F191=47200,F191=47500),H191,0)</f>
        <v/>
      </c>
      <c r="R191" s="75">
        <f>IF(OR(F191=87201,F191=87100,F191=87200,F191=87500),H191,0)</f>
        <v/>
      </c>
      <c r="S191">
        <f>IF(E191&gt;0,COUNTIF($E$121:E191,"&gt;0"),0)</f>
        <v/>
      </c>
    </row>
    <row r="192" ht="15" customHeight="1" s="418">
      <c r="A192" s="320">
        <f>A97</f>
        <v/>
      </c>
      <c r="B192" s="216" t="n"/>
      <c r="C192" s="216">
        <f>C97</f>
        <v/>
      </c>
      <c r="D192" s="216">
        <f>D97</f>
        <v/>
      </c>
      <c r="E192" s="345">
        <f>E97</f>
        <v/>
      </c>
      <c r="F192" s="363">
        <f>L97</f>
        <v/>
      </c>
      <c r="G192" s="321">
        <f>G97</f>
        <v/>
      </c>
      <c r="H192" s="310">
        <f>H97</f>
        <v/>
      </c>
      <c r="I192" s="310">
        <f>I97</f>
        <v/>
      </c>
      <c r="J192" s="310">
        <f>J97</f>
        <v/>
      </c>
      <c r="K192" s="310">
        <f>K97</f>
        <v/>
      </c>
      <c r="L192" s="362">
        <f>IF(E192&gt;0,$H$4,0)</f>
        <v/>
      </c>
      <c r="M192" s="311">
        <f>M97</f>
        <v/>
      </c>
      <c r="N192" s="357" t="n"/>
      <c r="O192" s="357" t="n"/>
      <c r="P192">
        <f>IF(E192&gt;0,COUNTIF($E$17:E192,"&gt;0"),0)</f>
        <v/>
      </c>
      <c r="Q192" s="75">
        <f>IF(OR(F192=47201,F192=47100,F192=47200,F192=47500),H192,0)</f>
        <v/>
      </c>
      <c r="R192" s="75">
        <f>IF(OR(F192=87201,F192=87100,F192=87200,F192=87500),H192,0)</f>
        <v/>
      </c>
      <c r="S192">
        <f>IF(E192&gt;0,COUNTIF($E$121:E192,"&gt;0"),0)</f>
        <v/>
      </c>
    </row>
    <row r="193" ht="15" customHeight="1" s="418">
      <c r="A193" s="306">
        <f>A98</f>
        <v/>
      </c>
      <c r="B193" s="219" t="n"/>
      <c r="C193" s="219">
        <f>C98</f>
        <v/>
      </c>
      <c r="D193" s="219">
        <f>D98</f>
        <v/>
      </c>
      <c r="E193" s="345">
        <f>E98</f>
        <v/>
      </c>
      <c r="F193" s="363">
        <f>L98</f>
        <v/>
      </c>
      <c r="G193" s="308">
        <f>G98</f>
        <v/>
      </c>
      <c r="H193" s="310">
        <f>H98</f>
        <v/>
      </c>
      <c r="I193" s="310">
        <f>I98</f>
        <v/>
      </c>
      <c r="J193" s="310">
        <f>J98</f>
        <v/>
      </c>
      <c r="K193" s="310">
        <f>K98</f>
        <v/>
      </c>
      <c r="L193" s="362">
        <f>IF(E193&gt;0,$H$4,0)</f>
        <v/>
      </c>
      <c r="M193" s="312">
        <f>M98</f>
        <v/>
      </c>
      <c r="N193" s="357" t="n"/>
      <c r="O193" s="357" t="n"/>
      <c r="P193">
        <f>IF(E193&gt;0,COUNTIF($E$17:E193,"&gt;0"),0)</f>
        <v/>
      </c>
      <c r="Q193" s="75">
        <f>IF(OR(F193=47201,F193=47100,F193=47200,F193=47500),H193,0)</f>
        <v/>
      </c>
      <c r="R193" s="75">
        <f>IF(OR(F193=87201,F193=87100,F193=87200,F193=87500),H193,0)</f>
        <v/>
      </c>
      <c r="S193">
        <f>IF(E193&gt;0,COUNTIF($E$121:E193,"&gt;0"),0)</f>
        <v/>
      </c>
    </row>
    <row r="194" ht="15" customHeight="1" s="418">
      <c r="A194" s="320">
        <f>A99</f>
        <v/>
      </c>
      <c r="B194" s="216" t="n"/>
      <c r="C194" s="216">
        <f>C99</f>
        <v/>
      </c>
      <c r="D194" s="216">
        <f>D99</f>
        <v/>
      </c>
      <c r="E194" s="345">
        <f>E99</f>
        <v/>
      </c>
      <c r="F194" s="363">
        <f>L99</f>
        <v/>
      </c>
      <c r="G194" s="321">
        <f>G99</f>
        <v/>
      </c>
      <c r="H194" s="310">
        <f>H99</f>
        <v/>
      </c>
      <c r="I194" s="310">
        <f>I99</f>
        <v/>
      </c>
      <c r="J194" s="310">
        <f>J99</f>
        <v/>
      </c>
      <c r="K194" s="310">
        <f>K99</f>
        <v/>
      </c>
      <c r="L194" s="362">
        <f>IF(E194&gt;0,$H$4,0)</f>
        <v/>
      </c>
      <c r="M194" s="311">
        <f>M99</f>
        <v/>
      </c>
      <c r="N194" s="357" t="n"/>
      <c r="O194" s="357" t="n"/>
      <c r="P194">
        <f>IF(E194&gt;0,COUNTIF($E$17:E194,"&gt;0"),0)</f>
        <v/>
      </c>
      <c r="Q194" s="75">
        <f>IF(OR(F194=47201,F194=47100,F194=47200,F194=47500),H194,0)</f>
        <v/>
      </c>
      <c r="R194" s="75">
        <f>IF(OR(F194=87201,F194=87100,F194=87200,F194=87500),H194,0)</f>
        <v/>
      </c>
      <c r="S194">
        <f>IF(E194&gt;0,COUNTIF($E$121:E194,"&gt;0"),0)</f>
        <v/>
      </c>
    </row>
    <row r="195" ht="15" customHeight="1" s="418">
      <c r="A195" s="306">
        <f>A100</f>
        <v/>
      </c>
      <c r="B195" s="219" t="n"/>
      <c r="C195" s="219">
        <f>C100</f>
        <v/>
      </c>
      <c r="D195" s="219">
        <f>D100</f>
        <v/>
      </c>
      <c r="E195" s="345">
        <f>E100</f>
        <v/>
      </c>
      <c r="F195" s="363">
        <f>L100</f>
        <v/>
      </c>
      <c r="G195" s="308">
        <f>G100</f>
        <v/>
      </c>
      <c r="H195" s="310">
        <f>H100</f>
        <v/>
      </c>
      <c r="I195" s="310">
        <f>I100</f>
        <v/>
      </c>
      <c r="J195" s="310">
        <f>J100</f>
        <v/>
      </c>
      <c r="K195" s="310">
        <f>K100</f>
        <v/>
      </c>
      <c r="L195" s="362">
        <f>IF(E195&gt;0,$H$4,0)</f>
        <v/>
      </c>
      <c r="M195" s="312">
        <f>M100</f>
        <v/>
      </c>
      <c r="N195" s="357" t="n"/>
      <c r="O195" s="357" t="n"/>
      <c r="P195">
        <f>IF(E195&gt;0,COUNTIF($E$17:E195,"&gt;0"),0)</f>
        <v/>
      </c>
      <c r="Q195" s="75">
        <f>IF(OR(F195=47201,F195=47100,F195=47200,F195=47500),H195,0)</f>
        <v/>
      </c>
      <c r="R195" s="75">
        <f>IF(OR(F195=87201,F195=87100,F195=87200,F195=87500),H195,0)</f>
        <v/>
      </c>
      <c r="S195">
        <f>IF(E195&gt;0,COUNTIF($E$121:E195,"&gt;0"),0)</f>
        <v/>
      </c>
    </row>
    <row r="196" ht="15" customHeight="1" s="418">
      <c r="A196" s="320">
        <f>A101</f>
        <v/>
      </c>
      <c r="B196" s="216" t="n"/>
      <c r="C196" s="216">
        <f>C101</f>
        <v/>
      </c>
      <c r="D196" s="216">
        <f>D101</f>
        <v/>
      </c>
      <c r="E196" s="345">
        <f>E101</f>
        <v/>
      </c>
      <c r="F196" s="363">
        <f>L101</f>
        <v/>
      </c>
      <c r="G196" s="321">
        <f>G101</f>
        <v/>
      </c>
      <c r="H196" s="310">
        <f>H101</f>
        <v/>
      </c>
      <c r="I196" s="310">
        <f>I101</f>
        <v/>
      </c>
      <c r="J196" s="310">
        <f>J101</f>
        <v/>
      </c>
      <c r="K196" s="310">
        <f>K101</f>
        <v/>
      </c>
      <c r="L196" s="362">
        <f>IF(E196&gt;0,$H$4,0)</f>
        <v/>
      </c>
      <c r="M196" s="311">
        <f>M101</f>
        <v/>
      </c>
      <c r="N196" s="357" t="n"/>
      <c r="O196" s="357" t="n"/>
      <c r="P196">
        <f>IF(E196&gt;0,COUNTIF($E$17:E196,"&gt;0"),0)</f>
        <v/>
      </c>
      <c r="Q196" s="75">
        <f>IF(OR(F196=47201,F196=47100,F196=47200,F196=47500),H196,0)</f>
        <v/>
      </c>
      <c r="R196" s="75">
        <f>IF(OR(F196=87201,F196=87100,F196=87200,F196=87500),H196,0)</f>
        <v/>
      </c>
      <c r="S196">
        <f>IF(E196&gt;0,COUNTIF($E$121:E196,"&gt;0"),0)</f>
        <v/>
      </c>
    </row>
    <row r="197" ht="15" customHeight="1" s="418">
      <c r="A197" s="306">
        <f>A102</f>
        <v/>
      </c>
      <c r="B197" s="219" t="n"/>
      <c r="C197" s="219">
        <f>C102</f>
        <v/>
      </c>
      <c r="D197" s="219">
        <f>D102</f>
        <v/>
      </c>
      <c r="E197" s="345">
        <f>E102</f>
        <v/>
      </c>
      <c r="F197" s="363">
        <f>L102</f>
        <v/>
      </c>
      <c r="G197" s="308">
        <f>G102</f>
        <v/>
      </c>
      <c r="H197" s="310">
        <f>H102</f>
        <v/>
      </c>
      <c r="I197" s="310">
        <f>I102</f>
        <v/>
      </c>
      <c r="J197" s="310">
        <f>J102</f>
        <v/>
      </c>
      <c r="K197" s="310">
        <f>K102</f>
        <v/>
      </c>
      <c r="L197" s="362">
        <f>IF(E197&gt;0,$H$4,0)</f>
        <v/>
      </c>
      <c r="M197" s="312">
        <f>M102</f>
        <v/>
      </c>
      <c r="N197" s="357" t="n"/>
      <c r="O197" s="357" t="n"/>
      <c r="P197">
        <f>IF(E197&gt;0,COUNTIF($E$17:E197,"&gt;0"),0)</f>
        <v/>
      </c>
      <c r="Q197" s="75">
        <f>IF(OR(F197=47201,F197=47100,F197=47200,F197=47500),H197,0)</f>
        <v/>
      </c>
      <c r="R197" s="75">
        <f>IF(OR(F197=87201,F197=87100,F197=87200,F197=87500),H197,0)</f>
        <v/>
      </c>
      <c r="S197">
        <f>IF(E197&gt;0,COUNTIF($E$121:E197,"&gt;0"),0)</f>
        <v/>
      </c>
    </row>
    <row r="198" ht="15" customHeight="1" s="418">
      <c r="A198" s="320">
        <f>A103</f>
        <v/>
      </c>
      <c r="B198" s="216" t="n"/>
      <c r="C198" s="216">
        <f>C103</f>
        <v/>
      </c>
      <c r="D198" s="216">
        <f>D103</f>
        <v/>
      </c>
      <c r="E198" s="345">
        <f>E103</f>
        <v/>
      </c>
      <c r="F198" s="363">
        <f>L103</f>
        <v/>
      </c>
      <c r="G198" s="321">
        <f>G103</f>
        <v/>
      </c>
      <c r="H198" s="310">
        <f>H103</f>
        <v/>
      </c>
      <c r="I198" s="310">
        <f>I103</f>
        <v/>
      </c>
      <c r="J198" s="310">
        <f>J103</f>
        <v/>
      </c>
      <c r="K198" s="310">
        <f>K103</f>
        <v/>
      </c>
      <c r="L198" s="362">
        <f>IF(E198&gt;0,$H$4,0)</f>
        <v/>
      </c>
      <c r="M198" s="311">
        <f>M103</f>
        <v/>
      </c>
      <c r="N198" s="357" t="n"/>
      <c r="O198" s="357" t="n"/>
      <c r="P198">
        <f>IF(E198&gt;0,COUNTIF($E$17:E198,"&gt;0"),0)</f>
        <v/>
      </c>
      <c r="Q198" s="75">
        <f>IF(OR(F198=47201,F198=47100,F198=47200,F198=47500),H198,0)</f>
        <v/>
      </c>
      <c r="R198" s="75">
        <f>IF(OR(F198=87201,F198=87100,F198=87200,F198=87500),H198,0)</f>
        <v/>
      </c>
      <c r="S198">
        <f>IF(E198&gt;0,COUNTIF($E$121:E198,"&gt;0"),0)</f>
        <v/>
      </c>
    </row>
    <row r="199" ht="15" customHeight="1" s="418">
      <c r="A199" s="306">
        <f>A104</f>
        <v/>
      </c>
      <c r="B199" s="219" t="n"/>
      <c r="C199" s="219">
        <f>C104</f>
        <v/>
      </c>
      <c r="D199" s="219">
        <f>D104</f>
        <v/>
      </c>
      <c r="E199" s="345">
        <f>E104</f>
        <v/>
      </c>
      <c r="F199" s="363">
        <f>L104</f>
        <v/>
      </c>
      <c r="G199" s="308">
        <f>G104</f>
        <v/>
      </c>
      <c r="H199" s="310">
        <f>H104</f>
        <v/>
      </c>
      <c r="I199" s="310">
        <f>I104</f>
        <v/>
      </c>
      <c r="J199" s="310">
        <f>J104</f>
        <v/>
      </c>
      <c r="K199" s="310">
        <f>K104</f>
        <v/>
      </c>
      <c r="L199" s="362">
        <f>IF(E199&gt;0,$H$4,0)</f>
        <v/>
      </c>
      <c r="M199" s="312">
        <f>M104</f>
        <v/>
      </c>
      <c r="N199" s="357" t="n"/>
      <c r="O199" s="357" t="n"/>
      <c r="P199">
        <f>IF(E199&gt;0,COUNTIF($E$17:E199,"&gt;0"),0)</f>
        <v/>
      </c>
      <c r="Q199" s="75">
        <f>IF(OR(F199=47201,F199=47100,F199=47200,F199=47500),H199,0)</f>
        <v/>
      </c>
      <c r="R199" s="75">
        <f>IF(OR(F199=87201,F199=87100,F199=87200,F199=87500),H199,0)</f>
        <v/>
      </c>
      <c r="S199">
        <f>IF(E199&gt;0,COUNTIF($E$121:E199,"&gt;0"),0)</f>
        <v/>
      </c>
    </row>
    <row r="200" ht="15" customHeight="1" s="418">
      <c r="A200" s="320">
        <f>A105</f>
        <v/>
      </c>
      <c r="B200" s="216" t="n"/>
      <c r="C200" s="216">
        <f>C105</f>
        <v/>
      </c>
      <c r="D200" s="216">
        <f>D105</f>
        <v/>
      </c>
      <c r="E200" s="345">
        <f>E105</f>
        <v/>
      </c>
      <c r="F200" s="363">
        <f>L105</f>
        <v/>
      </c>
      <c r="G200" s="321">
        <f>G105</f>
        <v/>
      </c>
      <c r="H200" s="310">
        <f>H105</f>
        <v/>
      </c>
      <c r="I200" s="310">
        <f>I105</f>
        <v/>
      </c>
      <c r="J200" s="310">
        <f>J105</f>
        <v/>
      </c>
      <c r="K200" s="310">
        <f>K105</f>
        <v/>
      </c>
      <c r="L200" s="362">
        <f>IF(E200&gt;0,$H$4,0)</f>
        <v/>
      </c>
      <c r="M200" s="311">
        <f>M105</f>
        <v/>
      </c>
      <c r="N200" s="357" t="n"/>
      <c r="O200" s="357" t="n"/>
      <c r="P200">
        <f>IF(E200&gt;0,COUNTIF($E$17:E200,"&gt;0"),0)</f>
        <v/>
      </c>
      <c r="Q200" s="75">
        <f>IF(OR(F200=47201,F200=47100,F200=47200,F200=47500),H200,0)</f>
        <v/>
      </c>
      <c r="R200" s="75">
        <f>IF(OR(F200=87201,F200=87100,F200=87200,F200=87500),H200,0)</f>
        <v/>
      </c>
      <c r="S200">
        <f>IF(E200&gt;0,COUNTIF($E$121:E200,"&gt;0"),0)</f>
        <v/>
      </c>
    </row>
    <row r="201" ht="15" customHeight="1" s="418">
      <c r="A201" s="306">
        <f>A106</f>
        <v/>
      </c>
      <c r="B201" s="219" t="n"/>
      <c r="C201" s="219">
        <f>C106</f>
        <v/>
      </c>
      <c r="D201" s="219">
        <f>D106</f>
        <v/>
      </c>
      <c r="E201" s="345">
        <f>E106</f>
        <v/>
      </c>
      <c r="F201" s="363">
        <f>L106</f>
        <v/>
      </c>
      <c r="G201" s="308">
        <f>G106</f>
        <v/>
      </c>
      <c r="H201" s="310">
        <f>H106</f>
        <v/>
      </c>
      <c r="I201" s="310">
        <f>I106</f>
        <v/>
      </c>
      <c r="J201" s="310">
        <f>J106</f>
        <v/>
      </c>
      <c r="K201" s="310">
        <f>K106</f>
        <v/>
      </c>
      <c r="L201" s="362">
        <f>IF(E201&gt;0,$H$4,0)</f>
        <v/>
      </c>
      <c r="M201" s="312">
        <f>M106</f>
        <v/>
      </c>
      <c r="N201" s="357" t="n"/>
      <c r="O201" s="357" t="n"/>
      <c r="P201">
        <f>IF(E201&gt;0,COUNTIF($E$17:E201,"&gt;0"),0)</f>
        <v/>
      </c>
      <c r="Q201" s="75">
        <f>IF(OR(F201=47201,F201=47100,F201=47200,F201=47500),H201,0)</f>
        <v/>
      </c>
      <c r="R201" s="75">
        <f>IF(OR(F201=87201,F201=87100,F201=87200,F201=87500),H201,0)</f>
        <v/>
      </c>
      <c r="S201">
        <f>IF(E201&gt;0,COUNTIF($E$121:E201,"&gt;0"),0)</f>
        <v/>
      </c>
    </row>
    <row r="202" ht="15" customHeight="1" s="418">
      <c r="A202" s="320">
        <f>A107</f>
        <v/>
      </c>
      <c r="B202" s="216" t="n"/>
      <c r="C202" s="216">
        <f>C107</f>
        <v/>
      </c>
      <c r="D202" s="216">
        <f>D107</f>
        <v/>
      </c>
      <c r="E202" s="345">
        <f>E107</f>
        <v/>
      </c>
      <c r="F202" s="363">
        <f>L107</f>
        <v/>
      </c>
      <c r="G202" s="321">
        <f>G107</f>
        <v/>
      </c>
      <c r="H202" s="310">
        <f>H107</f>
        <v/>
      </c>
      <c r="I202" s="310">
        <f>I107</f>
        <v/>
      </c>
      <c r="J202" s="310">
        <f>J107</f>
        <v/>
      </c>
      <c r="K202" s="310">
        <f>K107</f>
        <v/>
      </c>
      <c r="L202" s="362">
        <f>IF(E202&gt;0,$H$4,0)</f>
        <v/>
      </c>
      <c r="M202" s="311">
        <f>M107</f>
        <v/>
      </c>
      <c r="N202" s="357" t="n"/>
      <c r="O202" s="357" t="n"/>
      <c r="P202">
        <f>IF(E202&gt;0,COUNTIF($E$17:E202,"&gt;0"),0)</f>
        <v/>
      </c>
      <c r="Q202" s="75">
        <f>IF(OR(F202=47201,F202=47100,F202=47200,F202=47500),H202,0)</f>
        <v/>
      </c>
      <c r="R202" s="75">
        <f>IF(OR(F202=87201,F202=87100,F202=87200,F202=87500),H202,0)</f>
        <v/>
      </c>
      <c r="S202">
        <f>IF(E202&gt;0,COUNTIF($E$121:E202,"&gt;0"),0)</f>
        <v/>
      </c>
    </row>
    <row r="203" ht="15" customHeight="1" s="418">
      <c r="A203" s="306">
        <f>A108</f>
        <v/>
      </c>
      <c r="B203" s="219" t="n"/>
      <c r="C203" s="219">
        <f>C108</f>
        <v/>
      </c>
      <c r="D203" s="219">
        <f>D108</f>
        <v/>
      </c>
      <c r="E203" s="345">
        <f>E108</f>
        <v/>
      </c>
      <c r="F203" s="363">
        <f>L108</f>
        <v/>
      </c>
      <c r="G203" s="308">
        <f>G108</f>
        <v/>
      </c>
      <c r="H203" s="310">
        <f>H108</f>
        <v/>
      </c>
      <c r="I203" s="310">
        <f>I108</f>
        <v/>
      </c>
      <c r="J203" s="310">
        <f>J108</f>
        <v/>
      </c>
      <c r="K203" s="310">
        <f>K108</f>
        <v/>
      </c>
      <c r="L203" s="362">
        <f>IF(E203&gt;0,$H$4,0)</f>
        <v/>
      </c>
      <c r="M203" s="312">
        <f>M108</f>
        <v/>
      </c>
      <c r="N203" s="357" t="n"/>
      <c r="O203" s="357" t="n"/>
      <c r="P203">
        <f>IF(E203&gt;0,COUNTIF($E$17:E203,"&gt;0"),0)</f>
        <v/>
      </c>
      <c r="Q203" s="75">
        <f>IF(OR(F203=47201,F203=47100,F203=47200,F203=47500),H203,0)</f>
        <v/>
      </c>
      <c r="R203" s="75">
        <f>IF(OR(F203=87201,F203=87100,F203=87200,F203=87500),H203,0)</f>
        <v/>
      </c>
      <c r="S203">
        <f>IF(E203&gt;0,COUNTIF($E$121:E203,"&gt;0"),0)</f>
        <v/>
      </c>
    </row>
    <row r="204" ht="15" customHeight="1" s="418">
      <c r="A204" s="320">
        <f>A109</f>
        <v/>
      </c>
      <c r="B204" s="216" t="n"/>
      <c r="C204" s="216">
        <f>C109</f>
        <v/>
      </c>
      <c r="D204" s="216">
        <f>D109</f>
        <v/>
      </c>
      <c r="E204" s="345">
        <f>E109</f>
        <v/>
      </c>
      <c r="F204" s="363">
        <f>L109</f>
        <v/>
      </c>
      <c r="G204" s="321">
        <f>G109</f>
        <v/>
      </c>
      <c r="H204" s="310">
        <f>H109</f>
        <v/>
      </c>
      <c r="I204" s="310">
        <f>I109</f>
        <v/>
      </c>
      <c r="J204" s="310">
        <f>J109</f>
        <v/>
      </c>
      <c r="K204" s="310">
        <f>K109</f>
        <v/>
      </c>
      <c r="L204" s="362">
        <f>IF(E204&gt;0,$H$4,0)</f>
        <v/>
      </c>
      <c r="M204" s="311">
        <f>M109</f>
        <v/>
      </c>
      <c r="N204" s="357" t="n"/>
      <c r="O204" s="357" t="n"/>
      <c r="P204">
        <f>IF(E204&gt;0,COUNTIF($E$17:E204,"&gt;0"),0)</f>
        <v/>
      </c>
      <c r="Q204" s="75">
        <f>IF(OR(F204=47201,F204=47100,F204=47200,F204=47500),H204,0)</f>
        <v/>
      </c>
      <c r="R204" s="75">
        <f>IF(OR(F204=87201,F204=87100,F204=87200,F204=87500),H204,0)</f>
        <v/>
      </c>
      <c r="S204">
        <f>IF(E204&gt;0,COUNTIF($E$121:E204,"&gt;0"),0)</f>
        <v/>
      </c>
    </row>
    <row r="205" ht="15" customHeight="1" s="418">
      <c r="A205" s="306" t="n"/>
      <c r="B205" s="219" t="n"/>
      <c r="C205" s="219" t="n"/>
      <c r="D205" s="219" t="n"/>
      <c r="E205" s="345" t="n"/>
      <c r="F205" s="363" t="n"/>
      <c r="G205" s="308" t="n"/>
      <c r="H205" s="310" t="n"/>
      <c r="I205" s="310" t="n"/>
      <c r="J205" s="310" t="n"/>
      <c r="K205" s="310" t="n"/>
      <c r="L205" s="362">
        <f>IF(E205&gt;0,$H$4,0)</f>
        <v/>
      </c>
      <c r="M205" s="312">
        <f>IFERROR(VLOOKUP(F205,Tabellen!H:I,2),0)</f>
        <v/>
      </c>
      <c r="N205" s="357" t="n"/>
      <c r="O205" s="357" t="n"/>
      <c r="P205">
        <f>IF(E205&gt;0,COUNTIF($E$17:E205,"&gt;0"),0)</f>
        <v/>
      </c>
      <c r="Q205" s="75">
        <f>IF(OR(F205=47201,F205=47100,F205=47200,F205=47500),H205,0)</f>
        <v/>
      </c>
      <c r="R205" s="75">
        <f>IF(OR(F205=87201,F205=87100,F205=87200,F205=87500),H205,0)</f>
        <v/>
      </c>
      <c r="S205">
        <f>IF(E205&gt;0,COUNTIF($E$121:E205,"&gt;0"),0)</f>
        <v/>
      </c>
    </row>
    <row r="206" ht="15" customHeight="1" s="418">
      <c r="A206" s="320" t="n"/>
      <c r="B206" s="216" t="n"/>
      <c r="C206" s="216" t="n"/>
      <c r="D206" s="216" t="n"/>
      <c r="E206" s="345" t="n"/>
      <c r="F206" s="363" t="n"/>
      <c r="G206" s="321" t="n"/>
      <c r="H206" s="310" t="n"/>
      <c r="I206" s="310" t="n"/>
      <c r="J206" s="310" t="n"/>
      <c r="K206" s="310" t="n"/>
      <c r="L206" s="362">
        <f>IF(E206&gt;0,$H$4,0)</f>
        <v/>
      </c>
      <c r="M206" s="311">
        <f>IFERROR(VLOOKUP(F206,Tabellen!H:I,2),0)</f>
        <v/>
      </c>
      <c r="N206" s="357" t="n"/>
      <c r="O206" s="357" t="n"/>
      <c r="P206">
        <f>IF(E206&gt;0,COUNTIF($E$17:E206,"&gt;0"),0)</f>
        <v/>
      </c>
      <c r="Q206" s="75">
        <f>IF(OR(F206=47201,F206=47100,F206=47200,F206=47500),H206,0)</f>
        <v/>
      </c>
      <c r="R206" s="75">
        <f>IF(OR(F206=87201,F206=87100,F206=87200,F206=87500),H206,0)</f>
        <v/>
      </c>
      <c r="S206">
        <f>IF(E206&gt;0,COUNTIF($E$121:E206,"&gt;0"),0)</f>
        <v/>
      </c>
    </row>
    <row r="207" ht="15" customHeight="1" s="418">
      <c r="A207" s="306" t="n"/>
      <c r="B207" s="219" t="n"/>
      <c r="C207" s="219" t="n"/>
      <c r="D207" s="219" t="n"/>
      <c r="E207" s="345" t="n"/>
      <c r="F207" s="363" t="n"/>
      <c r="G207" s="308" t="n"/>
      <c r="H207" s="310" t="n"/>
      <c r="I207" s="310" t="n"/>
      <c r="J207" s="310" t="n"/>
      <c r="K207" s="310" t="n"/>
      <c r="L207" s="362">
        <f>IF(E207&gt;0,$H$4,0)</f>
        <v/>
      </c>
      <c r="M207" s="312">
        <f>IFERROR(VLOOKUP(F207,Tabellen!H:I,2),0)</f>
        <v/>
      </c>
      <c r="N207" s="357" t="n"/>
      <c r="O207" s="357" t="n"/>
      <c r="P207">
        <f>IF(E207&gt;0,COUNTIF($E$17:E207,"&gt;0"),0)</f>
        <v/>
      </c>
      <c r="Q207" s="75">
        <f>IF(OR(F207=47201,F207=47100,F207=47200,F207=47500),H207,0)</f>
        <v/>
      </c>
      <c r="R207" s="75">
        <f>IF(OR(F207=87201,F207=87100,F207=87200,F207=87500),H207,0)</f>
        <v/>
      </c>
      <c r="S207">
        <f>IF(E207&gt;0,COUNTIF($E$121:E207,"&gt;0"),0)</f>
        <v/>
      </c>
    </row>
    <row r="208" ht="15" customHeight="1" s="418">
      <c r="A208" s="320" t="n"/>
      <c r="B208" s="216" t="n"/>
      <c r="C208" s="216" t="n"/>
      <c r="D208" s="216" t="n"/>
      <c r="E208" s="345" t="n"/>
      <c r="F208" s="363" t="n"/>
      <c r="G208" s="321" t="n"/>
      <c r="H208" s="310" t="n"/>
      <c r="I208" s="310" t="n"/>
      <c r="J208" s="310" t="n"/>
      <c r="K208" s="310" t="n"/>
      <c r="L208" s="362">
        <f>IF(E208&gt;0,$H$4,0)</f>
        <v/>
      </c>
      <c r="M208" s="311">
        <f>IFERROR(VLOOKUP(F208,Tabellen!H:I,2),0)</f>
        <v/>
      </c>
      <c r="N208" s="357" t="n"/>
      <c r="O208" s="357" t="n"/>
      <c r="P208">
        <f>IF(E208&gt;0,COUNTIF($E$17:E208,"&gt;0"),0)</f>
        <v/>
      </c>
      <c r="Q208" s="75">
        <f>IF(OR(F208=47201,F208=47100,F208=47200,F208=47500),H208,0)</f>
        <v/>
      </c>
      <c r="R208" s="75">
        <f>IF(OR(F208=87201,F208=87100,F208=87200,F208=87500),H208,0)</f>
        <v/>
      </c>
      <c r="S208">
        <f>IF(E208&gt;0,COUNTIF($E$121:E208,"&gt;0"),0)</f>
        <v/>
      </c>
    </row>
    <row r="209" ht="15" customHeight="1" s="418">
      <c r="A209" s="306" t="n"/>
      <c r="B209" s="219" t="n"/>
      <c r="C209" s="219" t="n"/>
      <c r="D209" s="219" t="n"/>
      <c r="E209" s="345" t="n"/>
      <c r="F209" s="363" t="n"/>
      <c r="G209" s="308" t="n"/>
      <c r="H209" s="310" t="n"/>
      <c r="I209" s="310" t="n"/>
      <c r="J209" s="310" t="n"/>
      <c r="K209" s="310" t="n"/>
      <c r="L209" s="362">
        <f>IF(E209&gt;0,$H$4,0)</f>
        <v/>
      </c>
      <c r="M209" s="312">
        <f>IFERROR(VLOOKUP(F209,Tabellen!H:I,2),0)</f>
        <v/>
      </c>
      <c r="N209" s="357" t="n"/>
      <c r="O209" s="357" t="n"/>
      <c r="P209">
        <f>IF(E209&gt;0,COUNTIF($E$17:E209,"&gt;0"),0)</f>
        <v/>
      </c>
      <c r="Q209" s="75">
        <f>IF(OR(F209=47201,F209=47100,F209=47200,F209=47500),H209,0)</f>
        <v/>
      </c>
      <c r="R209" s="75">
        <f>IF(OR(F209=87201,F209=87100,F209=87200,F209=87500),H209,0)</f>
        <v/>
      </c>
      <c r="S209">
        <f>IF(E209&gt;0,COUNTIF($E$121:E209,"&gt;0"),0)</f>
        <v/>
      </c>
    </row>
    <row r="210" ht="15" customHeight="1" s="418">
      <c r="A210" s="320" t="n"/>
      <c r="B210" s="216" t="n"/>
      <c r="C210" s="216" t="n"/>
      <c r="D210" s="216" t="n"/>
      <c r="E210" s="345" t="n"/>
      <c r="F210" s="363" t="n"/>
      <c r="G210" s="321" t="n"/>
      <c r="H210" s="310" t="n"/>
      <c r="I210" s="310" t="n"/>
      <c r="J210" s="310" t="n"/>
      <c r="K210" s="310" t="n"/>
      <c r="L210" s="362">
        <f>IF(E210&gt;0,$H$4,0)</f>
        <v/>
      </c>
      <c r="M210" s="311">
        <f>IFERROR(VLOOKUP(F210,Tabellen!H:I,2),0)</f>
        <v/>
      </c>
      <c r="N210" s="357" t="n"/>
      <c r="O210" s="357" t="n"/>
      <c r="P210">
        <f>IF(E210&gt;0,COUNTIF($E$17:E210,"&gt;0"),0)</f>
        <v/>
      </c>
      <c r="Q210" s="75">
        <f>IF(OR(F210=47201,F210=47100,F210=47200,F210=47500),H210,0)</f>
        <v/>
      </c>
      <c r="R210" s="75">
        <f>IF(OR(F210=87201,F210=87100,F210=87200,F210=87500),H210,0)</f>
        <v/>
      </c>
      <c r="S210">
        <f>IF(E210&gt;0,COUNTIF($E$121:E210,"&gt;0"),0)</f>
        <v/>
      </c>
    </row>
    <row r="211" ht="15" customHeight="1" s="418">
      <c r="A211" s="306" t="n"/>
      <c r="B211" s="219" t="n"/>
      <c r="C211" s="219" t="n"/>
      <c r="D211" s="219" t="n"/>
      <c r="E211" s="345" t="n"/>
      <c r="F211" s="363" t="n"/>
      <c r="G211" s="308" t="n"/>
      <c r="H211" s="310" t="n"/>
      <c r="I211" s="310" t="n"/>
      <c r="J211" s="310" t="n"/>
      <c r="K211" s="310" t="n"/>
      <c r="L211" s="362">
        <f>IF(E211&gt;0,$H$4,0)</f>
        <v/>
      </c>
      <c r="M211" s="312">
        <f>IFERROR(VLOOKUP(F211,Tabellen!H:I,2),0)</f>
        <v/>
      </c>
      <c r="N211" s="357" t="n"/>
      <c r="O211" s="357" t="n"/>
      <c r="P211">
        <f>IF(E211&gt;0,COUNTIF($E$17:E211,"&gt;0"),0)</f>
        <v/>
      </c>
      <c r="Q211" s="75">
        <f>IF(OR(F211=47201,F211=47100,F211=47200,F211=47500),H211,0)</f>
        <v/>
      </c>
      <c r="R211" s="75">
        <f>IF(OR(F211=87201,F211=87100,F211=87200,F211=87500),H211,0)</f>
        <v/>
      </c>
      <c r="S211">
        <f>IF(E211&gt;0,COUNTIF($E$121:E211,"&gt;0"),0)</f>
        <v/>
      </c>
    </row>
    <row r="212" ht="15" customHeight="1" s="418">
      <c r="A212" s="320" t="n"/>
      <c r="B212" s="216" t="n"/>
      <c r="C212" s="216" t="n"/>
      <c r="D212" s="216" t="n"/>
      <c r="E212" s="345" t="n"/>
      <c r="F212" s="363" t="n"/>
      <c r="G212" s="321" t="n"/>
      <c r="H212" s="310" t="n"/>
      <c r="I212" s="310" t="n"/>
      <c r="J212" s="310" t="n"/>
      <c r="K212" s="310" t="n"/>
      <c r="L212" s="362">
        <f>IF(E212&gt;0,$H$4,0)</f>
        <v/>
      </c>
      <c r="M212" s="311">
        <f>IFERROR(VLOOKUP(F212,Tabellen!H:I,2),0)</f>
        <v/>
      </c>
      <c r="N212" s="357" t="n"/>
      <c r="O212" s="357" t="n"/>
      <c r="P212">
        <f>IF(E212&gt;0,COUNTIF($E$17:E212,"&gt;0"),0)</f>
        <v/>
      </c>
      <c r="Q212" s="75">
        <f>IF(OR(F212=47201,F212=47100,F212=47200,F212=47500),H212,0)</f>
        <v/>
      </c>
      <c r="R212" s="75">
        <f>IF(OR(F212=87201,F212=87100,F212=87200,F212=87500),H212,0)</f>
        <v/>
      </c>
      <c r="S212">
        <f>IF(E212&gt;0,COUNTIF($E$121:E212,"&gt;0"),0)</f>
        <v/>
      </c>
    </row>
    <row r="213" ht="15" customHeight="1" s="418">
      <c r="A213" s="306" t="n"/>
      <c r="B213" s="219" t="n"/>
      <c r="C213" s="219" t="n"/>
      <c r="D213" s="219" t="n"/>
      <c r="E213" s="345" t="n"/>
      <c r="F213" s="363" t="n"/>
      <c r="G213" s="308" t="n"/>
      <c r="H213" s="310" t="n"/>
      <c r="I213" s="310" t="n"/>
      <c r="J213" s="310" t="n"/>
      <c r="K213" s="310" t="n"/>
      <c r="L213" s="362">
        <f>IF(E213&gt;0,$H$4,0)</f>
        <v/>
      </c>
      <c r="M213" s="312">
        <f>IFERROR(VLOOKUP(F213,Tabellen!H:I,2),0)</f>
        <v/>
      </c>
      <c r="N213" s="357" t="n"/>
      <c r="O213" s="357" t="n"/>
      <c r="P213">
        <f>IF(E213&gt;0,COUNTIF($E$17:E213,"&gt;0"),0)</f>
        <v/>
      </c>
      <c r="Q213" s="75">
        <f>IF(OR(F213=47201,F213=47100,F213=47200,F213=47500),H213,0)</f>
        <v/>
      </c>
      <c r="R213" s="75">
        <f>IF(OR(F213=87201,F213=87100,F213=87200,F213=87500),H213,0)</f>
        <v/>
      </c>
      <c r="S213">
        <f>IF(E213&gt;0,COUNTIF($E$121:E213,"&gt;0"),0)</f>
        <v/>
      </c>
    </row>
    <row r="214" ht="15" customHeight="1" s="418">
      <c r="A214" s="320" t="n"/>
      <c r="B214" s="216" t="n"/>
      <c r="C214" s="216" t="n"/>
      <c r="D214" s="216" t="n"/>
      <c r="E214" s="345" t="n"/>
      <c r="F214" s="363" t="n"/>
      <c r="G214" s="321" t="n"/>
      <c r="H214" s="310" t="n"/>
      <c r="I214" s="310" t="n"/>
      <c r="J214" s="310" t="n"/>
      <c r="K214" s="310" t="n"/>
      <c r="L214" s="362">
        <f>IF(E214&gt;0,$H$4,0)</f>
        <v/>
      </c>
      <c r="M214" s="311">
        <f>IFERROR(VLOOKUP(F214,Tabellen!H:I,2),0)</f>
        <v/>
      </c>
      <c r="N214" s="357" t="n"/>
      <c r="O214" s="357" t="n"/>
      <c r="P214">
        <f>IF(E214&gt;0,COUNTIF($E$17:E214,"&gt;0"),0)</f>
        <v/>
      </c>
      <c r="Q214" s="75">
        <f>IF(OR(F214=47201,F214=47100,F214=47200,F214=47500),H214,0)</f>
        <v/>
      </c>
      <c r="R214" s="75">
        <f>IF(OR(F214=87201,F214=87100,F214=87200,F214=87500),H214,0)</f>
        <v/>
      </c>
      <c r="S214">
        <f>IF(E214&gt;0,COUNTIF($E$121:E214,"&gt;0"),0)</f>
        <v/>
      </c>
    </row>
    <row r="215" ht="15" customHeight="1" s="418">
      <c r="A215" s="306" t="n"/>
      <c r="B215" s="219" t="n"/>
      <c r="C215" s="219" t="n"/>
      <c r="D215" s="219" t="n"/>
      <c r="E215" s="345" t="n"/>
      <c r="F215" s="363" t="n"/>
      <c r="G215" s="308" t="n"/>
      <c r="H215" s="310" t="n"/>
      <c r="I215" s="310" t="n"/>
      <c r="J215" s="310" t="n"/>
      <c r="K215" s="310" t="n"/>
      <c r="L215" s="362">
        <f>IF(E215&gt;0,$H$4,0)</f>
        <v/>
      </c>
      <c r="M215" s="312">
        <f>IFERROR(VLOOKUP(F215,Tabellen!H:I,2),0)</f>
        <v/>
      </c>
      <c r="N215" s="357" t="n"/>
      <c r="O215" s="357" t="n"/>
      <c r="P215">
        <f>IF(E215&gt;0,COUNTIF($E$17:E215,"&gt;0"),0)</f>
        <v/>
      </c>
      <c r="Q215" s="75">
        <f>IF(OR(F215=47201,F215=47100,F215=47200,F215=47500),H215,0)</f>
        <v/>
      </c>
      <c r="R215" s="75">
        <f>IF(OR(F215=87201,F215=87100,F215=87200,F215=87500),H215,0)</f>
        <v/>
      </c>
      <c r="S215">
        <f>IF(E215&gt;0,COUNTIF($E$121:E215,"&gt;0"),0)</f>
        <v/>
      </c>
    </row>
    <row r="216" ht="15" customHeight="1" s="418">
      <c r="A216" s="320" t="n"/>
      <c r="B216" s="216" t="n"/>
      <c r="C216" s="216" t="n"/>
      <c r="D216" s="216" t="n"/>
      <c r="E216" s="345" t="n"/>
      <c r="F216" s="363" t="n"/>
      <c r="G216" s="321" t="n"/>
      <c r="H216" s="313" t="n"/>
      <c r="I216" s="313" t="n"/>
      <c r="J216" s="313" t="n"/>
      <c r="K216" s="313" t="n"/>
      <c r="L216" s="362">
        <f>IF(E216&gt;0,$H$4,0)</f>
        <v/>
      </c>
      <c r="M216" s="311">
        <f>IFERROR(VLOOKUP(F216,Tabellen!H:I,2),0)</f>
        <v/>
      </c>
      <c r="N216" s="357" t="n"/>
      <c r="O216" s="357" t="n"/>
      <c r="P216">
        <f>IF(E216&gt;0,COUNTIF($E$17:E216,"&gt;0"),0)</f>
        <v/>
      </c>
      <c r="Q216" s="75">
        <f>IF(OR(F216=47201,F216=47100,F216=47200,F216=47500),H216,0)</f>
        <v/>
      </c>
      <c r="R216" s="75">
        <f>IF(OR(F216=87201,F216=87100,F216=87200,F216=87500),H216,0)</f>
        <v/>
      </c>
      <c r="S216">
        <f>IF(E216&gt;0,COUNTIF($E$121:E216,"&gt;0"),0)</f>
        <v/>
      </c>
    </row>
    <row r="217" ht="16.05" customFormat="1" customHeight="1" s="76">
      <c r="A217" s="314" t="inlineStr">
        <is>
          <t>Saldo mutaties reserves</t>
        </is>
      </c>
      <c r="B217" s="314" t="n"/>
      <c r="C217" s="314" t="n"/>
      <c r="D217" s="314" t="n"/>
      <c r="E217" s="314" t="n"/>
      <c r="F217" s="315" t="n"/>
      <c r="G217" s="316" t="n"/>
      <c r="H217" s="318">
        <f>SUM(H172:H216)</f>
        <v/>
      </c>
      <c r="I217" s="318">
        <f>SUM(I172:I216)</f>
        <v/>
      </c>
      <c r="J217" s="318">
        <f>SUM(J172:J216)</f>
        <v/>
      </c>
      <c r="K217" s="318">
        <f>SUM(K172:K216)</f>
        <v/>
      </c>
      <c r="L217" s="358" t="n"/>
      <c r="M217" s="317" t="n"/>
      <c r="N217" s="359" t="n"/>
      <c r="O217" s="359" t="n"/>
      <c r="P217">
        <f>IF(E217&gt;0,COUNTIF($E$17:E217,"&gt;0"),0)</f>
        <v/>
      </c>
      <c r="Q217" s="75">
        <f>IF(OR(F217=47201,F217=47100,F217=47200,F217=47500),H217,0)</f>
        <v/>
      </c>
      <c r="R217" s="75">
        <f>IF(OR(F217=87201,F217=87100,F217=87200,F217=87500),H217,0)</f>
        <v/>
      </c>
      <c r="S217">
        <f>IF(E217&gt;0,COUNTIF($E$121:E217,"&gt;0"),0)</f>
        <v/>
      </c>
    </row>
    <row r="218" ht="15" customHeight="1" s="418">
      <c r="A218" s="130" t="n"/>
      <c r="B218" s="47" t="n"/>
      <c r="C218" s="47" t="n"/>
      <c r="D218" s="130" t="n"/>
      <c r="E218" s="47" t="n"/>
      <c r="F218" s="72" t="n"/>
      <c r="G218" s="131" t="n"/>
      <c r="H218" s="73" t="n"/>
      <c r="I218" s="73" t="n"/>
      <c r="J218" s="73" t="n"/>
      <c r="K218" s="73" t="n"/>
      <c r="L218" s="45" t="n"/>
      <c r="M218" s="132" t="n"/>
      <c r="N218" s="49" t="n"/>
      <c r="O218" s="133" t="n"/>
      <c r="P218">
        <f>IF(E218&gt;0,COUNTIF($E$17:E218,"&gt;0"),0)</f>
        <v/>
      </c>
      <c r="Q218" s="75">
        <f>IF(OR(L218=47201,L218=47100,L218=47200,L218=47500),H218,0)</f>
        <v/>
      </c>
      <c r="R218" s="75">
        <f>IF(OR(L218=87201,L218=87100,L218=87200,L218=87500),H218,0)</f>
        <v/>
      </c>
      <c r="S218">
        <f>IF(E218&gt;0,COUNTIF($E$121:E218,"&gt;0"),0)</f>
        <v/>
      </c>
    </row>
    <row r="219" ht="18" customHeight="1" s="418">
      <c r="A219" s="351" t="inlineStr">
        <is>
          <t>Controle mutaties balans (investeringen + reserves)</t>
        </is>
      </c>
      <c r="B219" s="351" t="n"/>
      <c r="C219" s="351" t="n"/>
      <c r="D219" s="351" t="n"/>
      <c r="E219" s="351" t="n"/>
      <c r="F219" s="352" t="n"/>
      <c r="G219" s="353" t="n"/>
      <c r="H219" s="354">
        <f>IF(H168+H217=0,"✓  Balans = 0",H168+H217)</f>
        <v/>
      </c>
      <c r="I219" s="354">
        <f>I168+I217</f>
        <v/>
      </c>
      <c r="J219" s="354">
        <f>J168+J217</f>
        <v/>
      </c>
      <c r="K219" s="354">
        <f>K168+K217</f>
        <v/>
      </c>
      <c r="L219" s="355" t="n"/>
      <c r="M219" s="356" t="n"/>
      <c r="N219" s="352" t="n"/>
      <c r="O219" s="352" t="n"/>
      <c r="P219">
        <f>IF(E219&gt;0,COUNTIF($E$17:E219,"&gt;0"),0)</f>
        <v/>
      </c>
      <c r="Q219" s="75">
        <f>IF(OR(L219=47201,L219=47100,L219=47200,L219=47500),H219,0)</f>
        <v/>
      </c>
      <c r="R219" s="75">
        <f>IF(OR(L219=87201,L219=87100,L219=87200,L219=87500),H219,0)</f>
        <v/>
      </c>
      <c r="S219">
        <f>IF(E219&gt;0,COUNTIF($E$121:E219,"&gt;0"),0)</f>
        <v/>
      </c>
    </row>
    <row r="220" ht="15" customHeight="1" s="418">
      <c r="A220" s="365" t="inlineStr">
        <is>
          <t>E. Voorzieningen</t>
        </is>
      </c>
      <c r="B220" s="366" t="n"/>
      <c r="C220" s="366">
        <f>IFERROR(VLOOKUP(E220,Tabellen!A:F,5),0)</f>
        <v/>
      </c>
      <c r="D220" s="367">
        <f>IFERROR(VLOOKUP(E220,Tabellen!A:F,6),0)</f>
        <v/>
      </c>
      <c r="E220" s="366" t="n"/>
      <c r="F220" s="368">
        <f>IFERROR(VLOOKUP(E220,Tabellen!A:H,8),0)</f>
        <v/>
      </c>
      <c r="G220" s="369">
        <f>IFERROR(VLOOKUP(E220,Tabellen!A:F,2),0)</f>
        <v/>
      </c>
      <c r="H220" s="370" t="n"/>
      <c r="I220" s="370" t="n"/>
      <c r="J220" s="370" t="n"/>
      <c r="K220" s="370" t="n"/>
      <c r="L220" s="371">
        <f>IF(E220&gt;0,$H$4,0)</f>
        <v/>
      </c>
      <c r="M220" s="372">
        <f>IFERROR(VLOOKUP(F220,Tabellen!H:I,2),0)</f>
        <v/>
      </c>
      <c r="N220" s="373" t="n"/>
      <c r="O220" s="374" t="n"/>
      <c r="P220" s="375">
        <f>IF(E220&gt;0,COUNTIF($E$17:E220,"&gt;0"),0)</f>
        <v/>
      </c>
      <c r="Q220" s="376">
        <f>IF(OR(F220=47201,F220=47100,F220=47200,F220=47500),H220,0)</f>
        <v/>
      </c>
      <c r="R220" s="376">
        <f>IF(OR(F220=87201,F220=87100,F220=87200,F220=87500),H220,0)</f>
        <v/>
      </c>
      <c r="S220" s="375">
        <f>IF(E220&gt;0,COUNTIF($E$121:E220,"&gt;0"),0)</f>
        <v/>
      </c>
    </row>
    <row r="221" ht="15" customHeight="1" s="418">
      <c r="A221" s="377">
        <f>IFERROR(VLOOKUP(E221,Tabellen!A:F,4),0)</f>
        <v/>
      </c>
      <c r="B221" s="15" t="n"/>
      <c r="C221" s="15">
        <f>IFERROR(VLOOKUP(E221,Tabellen!A:F,5),0)</f>
        <v/>
      </c>
      <c r="D221" s="378">
        <f>IFERROR(VLOOKUP(E221,Tabellen!A:F,6),0)</f>
        <v/>
      </c>
      <c r="E221" s="379" t="n"/>
      <c r="F221" s="380">
        <f>IFERROR(VLOOKUP(E221,Tabellen!A:H,8),0)</f>
        <v/>
      </c>
      <c r="G221" s="381">
        <f>IFERROR(VLOOKUP(E221,Tabellen!A:F,2),0)</f>
        <v/>
      </c>
      <c r="H221" s="186" t="n"/>
      <c r="I221" s="186" t="n"/>
      <c r="J221" s="186" t="n"/>
      <c r="K221" s="186" t="n"/>
      <c r="L221" s="45">
        <f>IF(E221&gt;0,$H$4,0)</f>
        <v/>
      </c>
      <c r="M221" s="382">
        <f>IFERROR(VLOOKUP(F221,Tabellen!H:I,2),0)</f>
        <v/>
      </c>
      <c r="N221" s="383" t="n"/>
      <c r="O221" s="384" t="n"/>
      <c r="P221">
        <f>IF(E221&gt;0,COUNTIF($E$17:E221,"&gt;0"),0)</f>
        <v/>
      </c>
      <c r="Q221" s="42">
        <f>IF(OR(F221=47201,F221=47100,F221=47200,F221=47500),H221,0)</f>
        <v/>
      </c>
      <c r="R221" s="42">
        <f>IF(OR(F221=87201,F221=87100,F221=87200,F221=87500),H221,0)</f>
        <v/>
      </c>
      <c r="S221">
        <f>IF(E221&gt;0,COUNTIF($E$121:E221,"&gt;0"),0)</f>
        <v/>
      </c>
    </row>
    <row r="222" ht="15" customHeight="1" s="418">
      <c r="A222" s="385">
        <f>IFERROR(VLOOKUP(E222,Tabellen!A:F,4),0)</f>
        <v/>
      </c>
      <c r="B222" s="15" t="n"/>
      <c r="C222" s="15">
        <f>IFERROR(VLOOKUP(E222,Tabellen!A:F,5),0)</f>
        <v/>
      </c>
      <c r="D222" s="386">
        <f>IFERROR(VLOOKUP(E222,Tabellen!A:F,6),0)</f>
        <v/>
      </c>
      <c r="E222" s="379" t="n"/>
      <c r="F222" s="380">
        <f>IFERROR(VLOOKUP(E222,Tabellen!A:H,8),0)</f>
        <v/>
      </c>
      <c r="G222" s="387">
        <f>IFERROR(VLOOKUP(E222,Tabellen!A:F,2),0)</f>
        <v/>
      </c>
      <c r="H222" s="186" t="n"/>
      <c r="I222" s="186" t="n"/>
      <c r="J222" s="186" t="n"/>
      <c r="K222" s="186" t="n"/>
      <c r="L222" s="45">
        <f>IF(E222&gt;0,$H$4,0)</f>
        <v/>
      </c>
      <c r="M222" s="382">
        <f>IFERROR(VLOOKUP(F222,Tabellen!H:I,2),0)</f>
        <v/>
      </c>
      <c r="N222" s="383" t="n"/>
      <c r="O222" s="384" t="n"/>
      <c r="P222">
        <f>IF(E222&gt;0,COUNTIF($E$17:E222,"&gt;0"),0)</f>
        <v/>
      </c>
      <c r="Q222" s="42">
        <f>IF(OR(F222=47201,F222=47100,F222=47200,F222=47500),H222,0)</f>
        <v/>
      </c>
      <c r="R222" s="42">
        <f>IF(OR(F222=87201,F222=87100,F222=87200,F222=87500),H222,0)</f>
        <v/>
      </c>
      <c r="S222">
        <f>IF(E222&gt;0,COUNTIF($E$121:E222,"&gt;0"),0)</f>
        <v/>
      </c>
    </row>
    <row r="223" ht="15" customHeight="1" s="418">
      <c r="A223" s="377">
        <f>IFERROR(VLOOKUP(E223,Tabellen!A:F,4),0)</f>
        <v/>
      </c>
      <c r="B223" s="15" t="n"/>
      <c r="C223" s="15">
        <f>IFERROR(VLOOKUP(E223,Tabellen!A:F,5),0)</f>
        <v/>
      </c>
      <c r="D223" s="378">
        <f>IFERROR(VLOOKUP(E223,Tabellen!A:F,6),0)</f>
        <v/>
      </c>
      <c r="E223" s="379" t="n"/>
      <c r="F223" s="380">
        <f>IFERROR(VLOOKUP(E223,Tabellen!A:H,8),0)</f>
        <v/>
      </c>
      <c r="G223" s="381">
        <f>IFERROR(VLOOKUP(E223,Tabellen!A:F,2),0)</f>
        <v/>
      </c>
      <c r="H223" s="186" t="n"/>
      <c r="I223" s="186" t="n"/>
      <c r="J223" s="186" t="n"/>
      <c r="K223" s="186" t="n"/>
      <c r="L223" s="45">
        <f>IF(E223&gt;0,$H$4,0)</f>
        <v/>
      </c>
      <c r="M223" s="382">
        <f>IFERROR(VLOOKUP(F223,Tabellen!H:I,2),0)</f>
        <v/>
      </c>
      <c r="N223" s="383" t="n"/>
      <c r="O223" s="384" t="n"/>
      <c r="P223">
        <f>IF(E223&gt;0,COUNTIF($E$17:E223,"&gt;0"),0)</f>
        <v/>
      </c>
      <c r="Q223" s="42">
        <f>IF(OR(F223=47201,F223=47100,F223=47200,F223=47500),H223,0)</f>
        <v/>
      </c>
      <c r="R223" s="42">
        <f>IF(OR(F223=87201,F223=87100,F223=87200,F223=87500),H223,0)</f>
        <v/>
      </c>
      <c r="S223">
        <f>IF(E223&gt;0,COUNTIF($E$121:E223,"&gt;0"),0)</f>
        <v/>
      </c>
    </row>
    <row r="224" ht="15" customHeight="1" s="418">
      <c r="A224" s="385">
        <f>IFERROR(VLOOKUP(E224,Tabellen!A:F,4),0)</f>
        <v/>
      </c>
      <c r="B224" s="15" t="n"/>
      <c r="C224" s="15">
        <f>IFERROR(VLOOKUP(E224,Tabellen!A:F,5),0)</f>
        <v/>
      </c>
      <c r="D224" s="386">
        <f>IFERROR(VLOOKUP(E224,Tabellen!A:F,6),0)</f>
        <v/>
      </c>
      <c r="E224" s="379" t="n"/>
      <c r="F224" s="380">
        <f>IFERROR(VLOOKUP(E224,Tabellen!A:H,8),0)</f>
        <v/>
      </c>
      <c r="G224" s="387">
        <f>IFERROR(VLOOKUP(E224,Tabellen!A:F,2),0)</f>
        <v/>
      </c>
      <c r="H224" s="186" t="n"/>
      <c r="I224" s="186" t="n"/>
      <c r="J224" s="186" t="n"/>
      <c r="K224" s="186" t="n"/>
      <c r="L224" s="45">
        <f>IF(E224&gt;0,$H$4,0)</f>
        <v/>
      </c>
      <c r="M224" s="382">
        <f>IFERROR(VLOOKUP(F224,Tabellen!H:I,2),0)</f>
        <v/>
      </c>
      <c r="N224" s="383" t="n"/>
      <c r="O224" s="384" t="n"/>
      <c r="P224">
        <f>IF(E224&gt;0,COUNTIF($E$17:E224,"&gt;0"),0)</f>
        <v/>
      </c>
      <c r="Q224" s="42">
        <f>IF(OR(F224=47201,F224=47100,F224=47200,F224=47500),H224,0)</f>
        <v/>
      </c>
      <c r="R224" s="42">
        <f>IF(OR(F224=87201,F224=87100,F224=87200,F224=87500),H224,0)</f>
        <v/>
      </c>
      <c r="S224">
        <f>IF(E224&gt;0,COUNTIF($E$121:E224,"&gt;0"),0)</f>
        <v/>
      </c>
    </row>
    <row r="225" ht="15" customHeight="1" s="418">
      <c r="A225" s="377">
        <f>IFERROR(VLOOKUP(E225,Tabellen!A:F,4),0)</f>
        <v/>
      </c>
      <c r="B225" s="15" t="n"/>
      <c r="C225" s="15">
        <f>IFERROR(VLOOKUP(E225,Tabellen!A:F,5),0)</f>
        <v/>
      </c>
      <c r="D225" s="378">
        <f>IFERROR(VLOOKUP(E225,Tabellen!A:F,6),0)</f>
        <v/>
      </c>
      <c r="E225" s="379" t="n"/>
      <c r="F225" s="380">
        <f>IFERROR(VLOOKUP(E225,Tabellen!A:H,8),0)</f>
        <v/>
      </c>
      <c r="G225" s="381">
        <f>IFERROR(VLOOKUP(E225,Tabellen!A:F,2),0)</f>
        <v/>
      </c>
      <c r="H225" s="186" t="n"/>
      <c r="I225" s="186" t="n"/>
      <c r="J225" s="186" t="n"/>
      <c r="K225" s="186" t="n"/>
      <c r="L225" s="45">
        <f>IF(E225&gt;0,$H$4,0)</f>
        <v/>
      </c>
      <c r="M225" s="382">
        <f>IFERROR(VLOOKUP(F225,Tabellen!H:I,2),0)</f>
        <v/>
      </c>
      <c r="N225" s="383" t="n"/>
      <c r="O225" s="384" t="n"/>
      <c r="P225">
        <f>IF(E225&gt;0,COUNTIF($E$17:E225,"&gt;0"),0)</f>
        <v/>
      </c>
      <c r="Q225" s="42">
        <f>IF(OR(F225=47201,F225=47100,F225=47200,F225=47500),H225,0)</f>
        <v/>
      </c>
      <c r="R225" s="42">
        <f>IF(OR(F225=87201,F225=87100,F225=87200,F225=87500),H225,0)</f>
        <v/>
      </c>
      <c r="S225">
        <f>IF(E225&gt;0,COUNTIF($E$121:E225,"&gt;0"),0)</f>
        <v/>
      </c>
    </row>
    <row r="226" ht="15" customHeight="1" s="418">
      <c r="A226" s="385">
        <f>IFERROR(VLOOKUP(E226,Tabellen!A:F,4),0)</f>
        <v/>
      </c>
      <c r="B226" s="15" t="n"/>
      <c r="C226" s="15">
        <f>IFERROR(VLOOKUP(E226,Tabellen!A:F,5),0)</f>
        <v/>
      </c>
      <c r="D226" s="386">
        <f>IFERROR(VLOOKUP(E226,Tabellen!A:F,6),0)</f>
        <v/>
      </c>
      <c r="E226" s="379" t="n"/>
      <c r="F226" s="380">
        <f>IFERROR(VLOOKUP(E226,Tabellen!A:H,8),0)</f>
        <v/>
      </c>
      <c r="G226" s="387">
        <f>IFERROR(VLOOKUP(E226,Tabellen!A:F,2),0)</f>
        <v/>
      </c>
      <c r="H226" s="186" t="n"/>
      <c r="I226" s="186" t="n"/>
      <c r="J226" s="186" t="n"/>
      <c r="K226" s="186" t="n"/>
      <c r="L226" s="45">
        <f>IF(E226&gt;0,$H$4,0)</f>
        <v/>
      </c>
      <c r="M226" s="382">
        <f>IFERROR(VLOOKUP(F226,Tabellen!H:I,2),0)</f>
        <v/>
      </c>
      <c r="N226" s="383" t="n"/>
      <c r="O226" s="384" t="n"/>
      <c r="P226">
        <f>IF(E226&gt;0,COUNTIF($E$17:E226,"&gt;0"),0)</f>
        <v/>
      </c>
      <c r="Q226" s="42">
        <f>IF(OR(F226=47201,F226=47100,F226=47200,F226=47500),H226,0)</f>
        <v/>
      </c>
      <c r="R226" s="42">
        <f>IF(OR(F226=87201,F226=87100,F226=87200,F226=87500),H226,0)</f>
        <v/>
      </c>
      <c r="S226">
        <f>IF(E226&gt;0,COUNTIF($E$121:E226,"&gt;0"),0)</f>
        <v/>
      </c>
    </row>
    <row r="227" ht="15" customHeight="1" s="418">
      <c r="A227" s="377">
        <f>IFERROR(VLOOKUP(E227,Tabellen!A:F,4),0)</f>
        <v/>
      </c>
      <c r="B227" s="15" t="n"/>
      <c r="C227" s="15">
        <f>IFERROR(VLOOKUP(E227,Tabellen!A:F,5),0)</f>
        <v/>
      </c>
      <c r="D227" s="378">
        <f>IFERROR(VLOOKUP(E227,Tabellen!A:F,6),0)</f>
        <v/>
      </c>
      <c r="E227" s="379" t="n"/>
      <c r="F227" s="380">
        <f>IFERROR(VLOOKUP(E227,Tabellen!A:H,8),0)</f>
        <v/>
      </c>
      <c r="G227" s="381">
        <f>IFERROR(VLOOKUP(E227,Tabellen!A:F,2),0)</f>
        <v/>
      </c>
      <c r="H227" s="186" t="n"/>
      <c r="I227" s="186" t="n"/>
      <c r="J227" s="186" t="n"/>
      <c r="K227" s="186" t="n"/>
      <c r="L227" s="45">
        <f>IF(E227&gt;0,$H$4,0)</f>
        <v/>
      </c>
      <c r="M227" s="382">
        <f>IFERROR(VLOOKUP(F227,Tabellen!H:I,2),0)</f>
        <v/>
      </c>
      <c r="N227" s="383" t="n"/>
      <c r="O227" s="384" t="n"/>
      <c r="P227">
        <f>IF(E227&gt;0,COUNTIF($E$17:E227,"&gt;0"),0)</f>
        <v/>
      </c>
      <c r="Q227" s="42">
        <f>IF(OR(F227=47201,F227=47100,F227=47200,F227=47500),H227,0)</f>
        <v/>
      </c>
      <c r="R227" s="42">
        <f>IF(OR(F227=87201,F227=87100,F227=87200,F227=87500),H227,0)</f>
        <v/>
      </c>
      <c r="S227">
        <f>IF(E227&gt;0,COUNTIF($E$121:E227,"&gt;0"),0)</f>
        <v/>
      </c>
    </row>
    <row r="228" ht="15" customHeight="1" s="418">
      <c r="A228" s="385">
        <f>IFERROR(VLOOKUP(E228,Tabellen!A:F,4),0)</f>
        <v/>
      </c>
      <c r="B228" s="15" t="n"/>
      <c r="C228" s="15">
        <f>IFERROR(VLOOKUP(E228,Tabellen!A:F,5),0)</f>
        <v/>
      </c>
      <c r="D228" s="386">
        <f>IFERROR(VLOOKUP(E228,Tabellen!A:F,6),0)</f>
        <v/>
      </c>
      <c r="E228" s="379" t="n"/>
      <c r="F228" s="380">
        <f>IFERROR(VLOOKUP(E228,Tabellen!A:H,8),0)</f>
        <v/>
      </c>
      <c r="G228" s="387">
        <f>IFERROR(VLOOKUP(E228,Tabellen!A:F,2),0)</f>
        <v/>
      </c>
      <c r="H228" s="186" t="n"/>
      <c r="I228" s="186" t="n"/>
      <c r="J228" s="186" t="n"/>
      <c r="K228" s="186" t="n"/>
      <c r="L228" s="45">
        <f>IF(E228&gt;0,$H$4,0)</f>
        <v/>
      </c>
      <c r="M228" s="382">
        <f>IFERROR(VLOOKUP(F228,Tabellen!H:I,2),0)</f>
        <v/>
      </c>
      <c r="N228" s="383" t="n"/>
      <c r="O228" s="384" t="n"/>
      <c r="P228">
        <f>IF(E228&gt;0,COUNTIF($E$17:E228,"&gt;0"),0)</f>
        <v/>
      </c>
      <c r="Q228" s="42">
        <f>IF(OR(F228=47201,F228=47100,F228=47200,F228=47500),H228,0)</f>
        <v/>
      </c>
      <c r="R228" s="42">
        <f>IF(OR(F228=87201,F228=87100,F228=87200,F228=87500),H228,0)</f>
        <v/>
      </c>
      <c r="S228">
        <f>IF(E228&gt;0,COUNTIF($E$121:E228,"&gt;0"),0)</f>
        <v/>
      </c>
    </row>
    <row r="229" ht="15" customHeight="1" s="418">
      <c r="A229" s="377">
        <f>IFERROR(VLOOKUP(E229,Tabellen!A:F,4),0)</f>
        <v/>
      </c>
      <c r="B229" s="15" t="n"/>
      <c r="C229" s="15">
        <f>IFERROR(VLOOKUP(E229,Tabellen!A:F,5),0)</f>
        <v/>
      </c>
      <c r="D229" s="378">
        <f>IFERROR(VLOOKUP(E229,Tabellen!A:F,6),0)</f>
        <v/>
      </c>
      <c r="E229" s="379" t="n"/>
      <c r="F229" s="380">
        <f>IFERROR(VLOOKUP(E229,Tabellen!A:H,8),0)</f>
        <v/>
      </c>
      <c r="G229" s="381">
        <f>IFERROR(VLOOKUP(E229,Tabellen!A:F,2),0)</f>
        <v/>
      </c>
      <c r="H229" s="186" t="n"/>
      <c r="I229" s="186" t="n"/>
      <c r="J229" s="186" t="n"/>
      <c r="K229" s="186" t="n"/>
      <c r="L229" s="45">
        <f>IF(E229&gt;0,$H$4,0)</f>
        <v/>
      </c>
      <c r="M229" s="382">
        <f>IFERROR(VLOOKUP(F229,Tabellen!H:I,2),0)</f>
        <v/>
      </c>
      <c r="N229" s="383" t="n"/>
      <c r="O229" s="384" t="n"/>
      <c r="P229">
        <f>IF(E229&gt;0,COUNTIF($E$17:E229,"&gt;0"),0)</f>
        <v/>
      </c>
      <c r="Q229" s="42">
        <f>IF(OR(F229=47201,F229=47100,F229=47200,F229=47500),H229,0)</f>
        <v/>
      </c>
      <c r="R229" s="42">
        <f>IF(OR(F229=87201,F229=87100,F229=87200,F229=87500),H229,0)</f>
        <v/>
      </c>
      <c r="S229">
        <f>IF(E229&gt;0,COUNTIF($E$121:E229,"&gt;0"),0)</f>
        <v/>
      </c>
    </row>
    <row r="230" ht="15" customHeight="1" s="418">
      <c r="A230" s="385">
        <f>IFERROR(VLOOKUP(E230,Tabellen!A:F,4),0)</f>
        <v/>
      </c>
      <c r="B230" s="15" t="n"/>
      <c r="C230" s="15">
        <f>IFERROR(VLOOKUP(E230,Tabellen!A:F,5),0)</f>
        <v/>
      </c>
      <c r="D230" s="386">
        <f>IFERROR(VLOOKUP(E230,Tabellen!A:F,6),0)</f>
        <v/>
      </c>
      <c r="E230" s="379" t="n"/>
      <c r="F230" s="380">
        <f>IFERROR(VLOOKUP(E230,Tabellen!A:H,8),0)</f>
        <v/>
      </c>
      <c r="G230" s="387">
        <f>IFERROR(VLOOKUP(E230,Tabellen!A:F,2),0)</f>
        <v/>
      </c>
      <c r="H230" s="186" t="n"/>
      <c r="I230" s="186" t="n"/>
      <c r="J230" s="186" t="n"/>
      <c r="K230" s="186" t="n"/>
      <c r="L230" s="45">
        <f>IF(E230&gt;0,$H$4,0)</f>
        <v/>
      </c>
      <c r="M230" s="382">
        <f>IFERROR(VLOOKUP(F230,Tabellen!H:I,2),0)</f>
        <v/>
      </c>
      <c r="N230" s="383" t="n"/>
      <c r="O230" s="384" t="n"/>
      <c r="P230">
        <f>IF(E230&gt;0,COUNTIF($E$17:E230,"&gt;0"),0)</f>
        <v/>
      </c>
      <c r="Q230" s="42">
        <f>IF(OR(F230=47201,F230=47100,F230=47200,F230=47500),H230,0)</f>
        <v/>
      </c>
      <c r="R230" s="42">
        <f>IF(OR(F230=87201,F230=87100,F230=87200,F230=87500),H230,0)</f>
        <v/>
      </c>
      <c r="S230">
        <f>IF(E230&gt;0,COUNTIF($E$121:E230,"&gt;0"),0)</f>
        <v/>
      </c>
    </row>
    <row r="231" ht="15" customHeight="1" s="418">
      <c r="A231" s="377">
        <f>IFERROR(VLOOKUP(E231,Tabellen!A:F,4),0)</f>
        <v/>
      </c>
      <c r="B231" s="15" t="n"/>
      <c r="C231" s="15">
        <f>IFERROR(VLOOKUP(E231,Tabellen!A:F,5),0)</f>
        <v/>
      </c>
      <c r="D231" s="378">
        <f>IFERROR(VLOOKUP(E231,Tabellen!A:F,6),0)</f>
        <v/>
      </c>
      <c r="E231" s="379" t="n"/>
      <c r="F231" s="380">
        <f>IFERROR(VLOOKUP(E231,Tabellen!A:H,8),0)</f>
        <v/>
      </c>
      <c r="G231" s="381">
        <f>IFERROR(VLOOKUP(E231,Tabellen!A:F,2),0)</f>
        <v/>
      </c>
      <c r="H231" s="186" t="n"/>
      <c r="I231" s="186" t="n"/>
      <c r="J231" s="186" t="n"/>
      <c r="K231" s="186" t="n"/>
      <c r="L231" s="45">
        <f>IF(E231&gt;0,$H$4,0)</f>
        <v/>
      </c>
      <c r="M231" s="382">
        <f>IFERROR(VLOOKUP(F231,Tabellen!H:I,2),0)</f>
        <v/>
      </c>
      <c r="N231" s="383" t="n"/>
      <c r="O231" s="384" t="n"/>
      <c r="P231">
        <f>IF(E231&gt;0,COUNTIF($E$17:E231,"&gt;0"),0)</f>
        <v/>
      </c>
      <c r="Q231" s="42">
        <f>IF(OR(F231=47201,F231=47100,F231=47200,F231=47500),H231,0)</f>
        <v/>
      </c>
      <c r="R231" s="42">
        <f>IF(OR(F231=87201,F231=87100,F231=87200,F231=87500),H231,0)</f>
        <v/>
      </c>
      <c r="S231">
        <f>IF(E231&gt;0,COUNTIF($E$121:E231,"&gt;0"),0)</f>
        <v/>
      </c>
    </row>
    <row r="232" ht="15" customHeight="1" s="418">
      <c r="A232" s="385">
        <f>IFERROR(VLOOKUP(E232,Tabellen!A:F,4),0)</f>
        <v/>
      </c>
      <c r="B232" s="15" t="n"/>
      <c r="C232" s="15">
        <f>IFERROR(VLOOKUP(E232,Tabellen!A:F,5),0)</f>
        <v/>
      </c>
      <c r="D232" s="386">
        <f>IFERROR(VLOOKUP(E232,Tabellen!A:F,6),0)</f>
        <v/>
      </c>
      <c r="E232" s="379" t="n"/>
      <c r="F232" s="380">
        <f>IFERROR(VLOOKUP(E232,Tabellen!A:H,8),0)</f>
        <v/>
      </c>
      <c r="G232" s="387">
        <f>IFERROR(VLOOKUP(E232,Tabellen!A:F,2),0)</f>
        <v/>
      </c>
      <c r="H232" s="186" t="n"/>
      <c r="I232" s="186" t="n"/>
      <c r="J232" s="186" t="n"/>
      <c r="K232" s="186" t="n"/>
      <c r="L232" s="45">
        <f>IF(E232&gt;0,$H$4,0)</f>
        <v/>
      </c>
      <c r="M232" s="382">
        <f>IFERROR(VLOOKUP(F232,Tabellen!H:I,2),0)</f>
        <v/>
      </c>
      <c r="N232" s="383" t="n"/>
      <c r="O232" s="384" t="n"/>
      <c r="P232">
        <f>IF(E232&gt;0,COUNTIF($E$17:E232,"&gt;0"),0)</f>
        <v/>
      </c>
      <c r="Q232" s="42">
        <f>IF(OR(F232=47201,F232=47100,F232=47200,F232=47500),H232,0)</f>
        <v/>
      </c>
      <c r="R232" s="42">
        <f>IF(OR(F232=87201,F232=87100,F232=87200,F232=87500),H232,0)</f>
        <v/>
      </c>
      <c r="S232">
        <f>IF(E232&gt;0,COUNTIF($E$121:E232,"&gt;0"),0)</f>
        <v/>
      </c>
    </row>
    <row r="233" ht="15" customHeight="1" s="418">
      <c r="A233" s="377">
        <f>IFERROR(VLOOKUP(E233,Tabellen!A:F,4),0)</f>
        <v/>
      </c>
      <c r="B233" s="15" t="n"/>
      <c r="C233" s="15">
        <f>IFERROR(VLOOKUP(E233,Tabellen!A:F,5),0)</f>
        <v/>
      </c>
      <c r="D233" s="378">
        <f>IFERROR(VLOOKUP(E233,Tabellen!A:F,6),0)</f>
        <v/>
      </c>
      <c r="E233" s="379" t="n"/>
      <c r="F233" s="380">
        <f>IFERROR(VLOOKUP(E233,Tabellen!A:H,8),0)</f>
        <v/>
      </c>
      <c r="G233" s="381">
        <f>IFERROR(VLOOKUP(E233,Tabellen!A:F,2),0)</f>
        <v/>
      </c>
      <c r="H233" s="186" t="n"/>
      <c r="I233" s="186" t="n"/>
      <c r="J233" s="186" t="n"/>
      <c r="K233" s="186" t="n"/>
      <c r="L233" s="45">
        <f>IF(E233&gt;0,$H$4,0)</f>
        <v/>
      </c>
      <c r="M233" s="382">
        <f>IFERROR(VLOOKUP(F233,Tabellen!H:I,2),0)</f>
        <v/>
      </c>
      <c r="N233" s="383" t="n"/>
      <c r="O233" s="384" t="n"/>
      <c r="P233">
        <f>IF(E233&gt;0,COUNTIF($E$17:E233,"&gt;0"),0)</f>
        <v/>
      </c>
      <c r="Q233" s="42">
        <f>IF(OR(F233=47201,F233=47100,F233=47200,F233=47500),H233,0)</f>
        <v/>
      </c>
      <c r="R233" s="42">
        <f>IF(OR(F233=87201,F233=87100,F233=87200,F233=87500),H233,0)</f>
        <v/>
      </c>
      <c r="S233">
        <f>IF(E233&gt;0,COUNTIF($E$121:E233,"&gt;0"),0)</f>
        <v/>
      </c>
    </row>
    <row r="234" ht="15" customHeight="1" s="418">
      <c r="A234" s="385">
        <f>IFERROR(VLOOKUP(E234,Tabellen!A:F,4),0)</f>
        <v/>
      </c>
      <c r="B234" s="15" t="n"/>
      <c r="C234" s="15">
        <f>IFERROR(VLOOKUP(E234,Tabellen!A:F,5),0)</f>
        <v/>
      </c>
      <c r="D234" s="386">
        <f>IFERROR(VLOOKUP(E234,Tabellen!A:F,6),0)</f>
        <v/>
      </c>
      <c r="E234" s="379" t="n"/>
      <c r="F234" s="380">
        <f>IFERROR(VLOOKUP(E234,Tabellen!A:H,8),0)</f>
        <v/>
      </c>
      <c r="G234" s="387">
        <f>IFERROR(VLOOKUP(E234,Tabellen!A:F,2),0)</f>
        <v/>
      </c>
      <c r="H234" s="186" t="n"/>
      <c r="I234" s="186" t="n"/>
      <c r="J234" s="186" t="n"/>
      <c r="K234" s="186" t="n"/>
      <c r="L234" s="45">
        <f>IF(E234&gt;0,$H$4,0)</f>
        <v/>
      </c>
      <c r="M234" s="382">
        <f>IFERROR(VLOOKUP(F234,Tabellen!H:I,2),0)</f>
        <v/>
      </c>
      <c r="N234" s="383" t="n"/>
      <c r="O234" s="384" t="n"/>
      <c r="P234">
        <f>IF(E234&gt;0,COUNTIF($E$17:E234,"&gt;0"),0)</f>
        <v/>
      </c>
      <c r="Q234" s="42">
        <f>IF(OR(F234=47201,F234=47100,F234=47200,F234=47500),H234,0)</f>
        <v/>
      </c>
      <c r="R234" s="42">
        <f>IF(OR(F234=87201,F234=87100,F234=87200,F234=87500),H234,0)</f>
        <v/>
      </c>
      <c r="S234">
        <f>IF(E234&gt;0,COUNTIF($E$121:E234,"&gt;0"),0)</f>
        <v/>
      </c>
    </row>
    <row r="235" ht="15" customHeight="1" s="418">
      <c r="A235" s="377">
        <f>IFERROR(VLOOKUP(E235,Tabellen!A:F,4),0)</f>
        <v/>
      </c>
      <c r="B235" s="15" t="n"/>
      <c r="C235" s="15">
        <f>IFERROR(VLOOKUP(E235,Tabellen!A:F,5),0)</f>
        <v/>
      </c>
      <c r="D235" s="378">
        <f>IFERROR(VLOOKUP(E235,Tabellen!A:F,6),0)</f>
        <v/>
      </c>
      <c r="E235" s="379" t="n"/>
      <c r="F235" s="380">
        <f>IFERROR(VLOOKUP(E235,Tabellen!A:H,8),0)</f>
        <v/>
      </c>
      <c r="G235" s="381">
        <f>IFERROR(VLOOKUP(E235,Tabellen!A:F,2),0)</f>
        <v/>
      </c>
      <c r="H235" s="186" t="n"/>
      <c r="I235" s="186" t="n"/>
      <c r="J235" s="186" t="n"/>
      <c r="K235" s="186" t="n"/>
      <c r="L235" s="45">
        <f>IF(E235&gt;0,$H$4,0)</f>
        <v/>
      </c>
      <c r="M235" s="382">
        <f>IFERROR(VLOOKUP(F235,Tabellen!H:I,2),0)</f>
        <v/>
      </c>
      <c r="N235" s="383" t="n"/>
      <c r="O235" s="384" t="n"/>
      <c r="P235">
        <f>IF(E235&gt;0,COUNTIF($E$17:E235,"&gt;0"),0)</f>
        <v/>
      </c>
      <c r="Q235" s="42">
        <f>IF(OR(F235=47201,F235=47100,F235=47200,F235=47500),H235,0)</f>
        <v/>
      </c>
      <c r="R235" s="42">
        <f>IF(OR(F235=87201,F235=87100,F235=87200,F235=87500),H235,0)</f>
        <v/>
      </c>
      <c r="S235">
        <f>IF(E235&gt;0,COUNTIF($E$121:E235,"&gt;0"),0)</f>
        <v/>
      </c>
    </row>
    <row r="236" ht="15" customHeight="1" s="418">
      <c r="A236" s="385">
        <f>IFERROR(VLOOKUP(E236,Tabellen!A:F,4),0)</f>
        <v/>
      </c>
      <c r="B236" s="15" t="n"/>
      <c r="C236" s="15">
        <f>IFERROR(VLOOKUP(E236,Tabellen!A:F,5),0)</f>
        <v/>
      </c>
      <c r="D236" s="386">
        <f>IFERROR(VLOOKUP(E236,Tabellen!A:F,6),0)</f>
        <v/>
      </c>
      <c r="E236" s="379" t="n"/>
      <c r="F236" s="380">
        <f>IFERROR(VLOOKUP(E236,Tabellen!A:H,8),0)</f>
        <v/>
      </c>
      <c r="G236" s="387">
        <f>IFERROR(VLOOKUP(E236,Tabellen!A:F,2),0)</f>
        <v/>
      </c>
      <c r="H236" s="186" t="n"/>
      <c r="I236" s="186" t="n"/>
      <c r="J236" s="186" t="n"/>
      <c r="K236" s="186" t="n"/>
      <c r="L236" s="45">
        <f>IF(E236&gt;0,$H$4,0)</f>
        <v/>
      </c>
      <c r="M236" s="382">
        <f>IFERROR(VLOOKUP(F236,Tabellen!H:I,2),0)</f>
        <v/>
      </c>
      <c r="N236" s="383" t="n"/>
      <c r="O236" s="384" t="n"/>
      <c r="P236">
        <f>IF(E236&gt;0,COUNTIF($E$17:E236,"&gt;0"),0)</f>
        <v/>
      </c>
      <c r="Q236" s="42">
        <f>IF(OR(F236=47201,F236=47100,F236=47200,F236=47500),H236,0)</f>
        <v/>
      </c>
      <c r="R236" s="42">
        <f>IF(OR(F236=87201,F236=87100,F236=87200,F236=87500),H236,0)</f>
        <v/>
      </c>
      <c r="S236">
        <f>IF(E236&gt;0,COUNTIF($E$121:E236,"&gt;0"),0)</f>
        <v/>
      </c>
    </row>
    <row r="237" ht="15" customHeight="1" s="418">
      <c r="A237" s="377">
        <f>IFERROR(VLOOKUP(E237,Tabellen!A:F,4),0)</f>
        <v/>
      </c>
      <c r="B237" s="15" t="n"/>
      <c r="C237" s="15">
        <f>IFERROR(VLOOKUP(E237,Tabellen!A:F,5),0)</f>
        <v/>
      </c>
      <c r="D237" s="378">
        <f>IFERROR(VLOOKUP(E237,Tabellen!A:F,6),0)</f>
        <v/>
      </c>
      <c r="E237" s="379" t="n"/>
      <c r="F237" s="380">
        <f>IFERROR(VLOOKUP(E237,Tabellen!A:H,8),0)</f>
        <v/>
      </c>
      <c r="G237" s="381">
        <f>IFERROR(VLOOKUP(E237,Tabellen!A:F,2),0)</f>
        <v/>
      </c>
      <c r="H237" s="186" t="n"/>
      <c r="I237" s="186" t="n"/>
      <c r="J237" s="186" t="n"/>
      <c r="K237" s="186" t="n"/>
      <c r="L237" s="45">
        <f>IF(E237&gt;0,$H$4,0)</f>
        <v/>
      </c>
      <c r="M237" s="382">
        <f>IFERROR(VLOOKUP(F237,Tabellen!H:I,2),0)</f>
        <v/>
      </c>
      <c r="N237" s="383" t="n"/>
      <c r="O237" s="384" t="n"/>
      <c r="P237">
        <f>IF(E237&gt;0,COUNTIF($E$17:E237,"&gt;0"),0)</f>
        <v/>
      </c>
      <c r="Q237" s="42">
        <f>IF(OR(F237=47201,F237=47100,F237=47200,F237=47500),H237,0)</f>
        <v/>
      </c>
      <c r="R237" s="42">
        <f>IF(OR(F237=87201,F237=87100,F237=87200,F237=87500),H237,0)</f>
        <v/>
      </c>
      <c r="S237">
        <f>IF(E237&gt;0,COUNTIF($E$121:E237,"&gt;0"),0)</f>
        <v/>
      </c>
    </row>
    <row r="238" ht="15" customHeight="1" s="418">
      <c r="A238" s="385">
        <f>IFERROR(VLOOKUP(E238,Tabellen!A:F,4),0)</f>
        <v/>
      </c>
      <c r="B238" s="15" t="n"/>
      <c r="C238" s="15">
        <f>IFERROR(VLOOKUP(E238,Tabellen!A:F,5),0)</f>
        <v/>
      </c>
      <c r="D238" s="386">
        <f>IFERROR(VLOOKUP(E238,Tabellen!A:F,6),0)</f>
        <v/>
      </c>
      <c r="E238" s="379" t="n"/>
      <c r="F238" s="380">
        <f>IFERROR(VLOOKUP(E238,Tabellen!A:H,8),0)</f>
        <v/>
      </c>
      <c r="G238" s="387">
        <f>IFERROR(VLOOKUP(E238,Tabellen!A:F,2),0)</f>
        <v/>
      </c>
      <c r="H238" s="186" t="n"/>
      <c r="I238" s="186" t="n"/>
      <c r="J238" s="186" t="n"/>
      <c r="K238" s="186" t="n"/>
      <c r="L238" s="45">
        <f>IF(E238&gt;0,$H$4,0)</f>
        <v/>
      </c>
      <c r="M238" s="382">
        <f>IFERROR(VLOOKUP(F238,Tabellen!H:I,2),0)</f>
        <v/>
      </c>
      <c r="N238" s="383" t="n"/>
      <c r="O238" s="384" t="n"/>
      <c r="P238">
        <f>IF(E238&gt;0,COUNTIF($E$17:E238,"&gt;0"),0)</f>
        <v/>
      </c>
      <c r="Q238" s="42">
        <f>IF(OR(F238=47201,F238=47100,F238=47200,F238=47500),H238,0)</f>
        <v/>
      </c>
      <c r="R238" s="42">
        <f>IF(OR(F238=87201,F238=87100,F238=87200,F238=87500),H238,0)</f>
        <v/>
      </c>
      <c r="S238">
        <f>IF(E238&gt;0,COUNTIF($E$121:E238,"&gt;0"),0)</f>
        <v/>
      </c>
    </row>
    <row r="239" ht="15" customHeight="1" s="418">
      <c r="A239" s="377">
        <f>IFERROR(VLOOKUP(E239,Tabellen!A:F,4),0)</f>
        <v/>
      </c>
      <c r="B239" s="15" t="n"/>
      <c r="C239" s="15">
        <f>IFERROR(VLOOKUP(E239,Tabellen!A:F,5),0)</f>
        <v/>
      </c>
      <c r="D239" s="378">
        <f>IFERROR(VLOOKUP(E239,Tabellen!A:F,6),0)</f>
        <v/>
      </c>
      <c r="E239" s="379" t="n"/>
      <c r="F239" s="380">
        <f>IFERROR(VLOOKUP(E239,Tabellen!A:H,8),0)</f>
        <v/>
      </c>
      <c r="G239" s="381">
        <f>IFERROR(VLOOKUP(E239,Tabellen!A:F,2),0)</f>
        <v/>
      </c>
      <c r="H239" s="186" t="n"/>
      <c r="I239" s="186" t="n"/>
      <c r="J239" s="186" t="n"/>
      <c r="K239" s="186" t="n"/>
      <c r="L239" s="45">
        <f>IF(E239&gt;0,$H$4,0)</f>
        <v/>
      </c>
      <c r="M239" s="382">
        <f>IFERROR(VLOOKUP(F239,Tabellen!H:I,2),0)</f>
        <v/>
      </c>
      <c r="N239" s="383" t="n"/>
      <c r="O239" s="384" t="n"/>
      <c r="P239">
        <f>IF(E239&gt;0,COUNTIF($E$17:E239,"&gt;0"),0)</f>
        <v/>
      </c>
      <c r="Q239" s="42">
        <f>IF(OR(F239=47201,F239=47100,F239=47200,F239=47500),H239,0)</f>
        <v/>
      </c>
      <c r="R239" s="42">
        <f>IF(OR(F239=87201,F239=87100,F239=87200,F239=87500),H239,0)</f>
        <v/>
      </c>
      <c r="S239">
        <f>IF(E239&gt;0,COUNTIF($E$121:E239,"&gt;0"),0)</f>
        <v/>
      </c>
    </row>
    <row r="240" ht="15" customHeight="1" s="418">
      <c r="A240" s="385">
        <f>IFERROR(VLOOKUP(E240,Tabellen!A:F,4),0)</f>
        <v/>
      </c>
      <c r="B240" s="15" t="n"/>
      <c r="C240" s="15">
        <f>IFERROR(VLOOKUP(E240,Tabellen!A:F,5),0)</f>
        <v/>
      </c>
      <c r="D240" s="386">
        <f>IFERROR(VLOOKUP(E240,Tabellen!A:F,6),0)</f>
        <v/>
      </c>
      <c r="E240" s="379" t="n"/>
      <c r="F240" s="380">
        <f>IFERROR(VLOOKUP(E240,Tabellen!A:H,8),0)</f>
        <v/>
      </c>
      <c r="G240" s="387">
        <f>IFERROR(VLOOKUP(E240,Tabellen!A:F,2),0)</f>
        <v/>
      </c>
      <c r="H240" s="186" t="n"/>
      <c r="I240" s="186" t="n"/>
      <c r="J240" s="186" t="n"/>
      <c r="K240" s="186" t="n"/>
      <c r="L240" s="45">
        <f>IF(E240&gt;0,$H$4,0)</f>
        <v/>
      </c>
      <c r="M240" s="382">
        <f>IFERROR(VLOOKUP(F240,Tabellen!H:I,2),0)</f>
        <v/>
      </c>
      <c r="N240" s="383" t="n"/>
      <c r="O240" s="384" t="n"/>
      <c r="P240">
        <f>IF(E240&gt;0,COUNTIF($E$17:E240,"&gt;0"),0)</f>
        <v/>
      </c>
      <c r="Q240" s="42">
        <f>IF(OR(F240=47201,F240=47100,F240=47200,F240=47500),H240,0)</f>
        <v/>
      </c>
      <c r="R240" s="42">
        <f>IF(OR(F240=87201,F240=87100,F240=87200,F240=87500),H240,0)</f>
        <v/>
      </c>
      <c r="S240">
        <f>IF(E240&gt;0,COUNTIF($E$121:E240,"&gt;0"),0)</f>
        <v/>
      </c>
    </row>
    <row r="241" ht="15" customHeight="1" s="418">
      <c r="A241" s="377">
        <f>IFERROR(VLOOKUP(E241,Tabellen!A:F,4),0)</f>
        <v/>
      </c>
      <c r="B241" s="15" t="n"/>
      <c r="C241" s="15">
        <f>IFERROR(VLOOKUP(E241,Tabellen!A:F,5),0)</f>
        <v/>
      </c>
      <c r="D241" s="378">
        <f>IFERROR(VLOOKUP(E241,Tabellen!A:F,6),0)</f>
        <v/>
      </c>
      <c r="E241" s="379" t="n"/>
      <c r="F241" s="380">
        <f>IFERROR(VLOOKUP(E241,Tabellen!A:H,8),0)</f>
        <v/>
      </c>
      <c r="G241" s="381">
        <f>IFERROR(VLOOKUP(E241,Tabellen!A:F,2),0)</f>
        <v/>
      </c>
      <c r="H241" s="186" t="n"/>
      <c r="I241" s="186" t="n"/>
      <c r="J241" s="186" t="n"/>
      <c r="K241" s="186" t="n"/>
      <c r="L241" s="45">
        <f>IF(E241&gt;0,$H$4,0)</f>
        <v/>
      </c>
      <c r="M241" s="382">
        <f>IFERROR(VLOOKUP(F241,Tabellen!H:I,2),0)</f>
        <v/>
      </c>
      <c r="N241" s="383" t="n"/>
      <c r="O241" s="384" t="n"/>
      <c r="P241">
        <f>IF(E241&gt;0,COUNTIF($E$17:E241,"&gt;0"),0)</f>
        <v/>
      </c>
      <c r="Q241" s="42">
        <f>IF(OR(F241=47201,F241=47100,F241=47200,F241=47500),H241,0)</f>
        <v/>
      </c>
      <c r="R241" s="42">
        <f>IF(OR(F241=87201,F241=87100,F241=87200,F241=87500),H241,0)</f>
        <v/>
      </c>
      <c r="S241">
        <f>IF(E241&gt;0,COUNTIF($E$121:E241,"&gt;0"),0)</f>
        <v/>
      </c>
    </row>
    <row r="242" ht="15" customHeight="1" s="418">
      <c r="A242" s="385">
        <f>IFERROR(VLOOKUP(E242,Tabellen!A:F,4),0)</f>
        <v/>
      </c>
      <c r="B242" s="15" t="n"/>
      <c r="C242" s="15">
        <f>IFERROR(VLOOKUP(E242,Tabellen!A:F,5),0)</f>
        <v/>
      </c>
      <c r="D242" s="386">
        <f>IFERROR(VLOOKUP(E242,Tabellen!A:F,6),0)</f>
        <v/>
      </c>
      <c r="E242" s="379" t="n"/>
      <c r="F242" s="380">
        <f>IFERROR(VLOOKUP(E242,Tabellen!A:H,8),0)</f>
        <v/>
      </c>
      <c r="G242" s="387">
        <f>IFERROR(VLOOKUP(E242,Tabellen!A:F,2),0)</f>
        <v/>
      </c>
      <c r="H242" s="186" t="n"/>
      <c r="I242" s="186" t="n"/>
      <c r="J242" s="186" t="n"/>
      <c r="K242" s="186" t="n"/>
      <c r="L242" s="45">
        <f>IF(E242&gt;0,$H$4,0)</f>
        <v/>
      </c>
      <c r="M242" s="382">
        <f>IFERROR(VLOOKUP(F242,Tabellen!H:I,2),0)</f>
        <v/>
      </c>
      <c r="N242" s="383" t="n"/>
      <c r="O242" s="384" t="n"/>
      <c r="P242">
        <f>IF(E242&gt;0,COUNTIF($E$17:E242,"&gt;0"),0)</f>
        <v/>
      </c>
      <c r="Q242" s="42">
        <f>IF(OR(F242=47201,F242=47100,F242=47200,F242=47500),H242,0)</f>
        <v/>
      </c>
      <c r="R242" s="42">
        <f>IF(OR(F242=87201,F242=87100,F242=87200,F242=87500),H242,0)</f>
        <v/>
      </c>
      <c r="S242">
        <f>IF(E242&gt;0,COUNTIF($E$121:E242,"&gt;0"),0)</f>
        <v/>
      </c>
    </row>
    <row r="243" ht="15" customHeight="1" s="418">
      <c r="A243" s="377">
        <f>IFERROR(VLOOKUP(E243,Tabellen!A:F,4),0)</f>
        <v/>
      </c>
      <c r="B243" s="15" t="n"/>
      <c r="C243" s="15">
        <f>IFERROR(VLOOKUP(E243,Tabellen!A:F,5),0)</f>
        <v/>
      </c>
      <c r="D243" s="378">
        <f>IFERROR(VLOOKUP(E243,Tabellen!A:F,6),0)</f>
        <v/>
      </c>
      <c r="E243" s="379" t="n"/>
      <c r="F243" s="380">
        <f>IFERROR(VLOOKUP(E243,Tabellen!A:H,8),0)</f>
        <v/>
      </c>
      <c r="G243" s="381">
        <f>IFERROR(VLOOKUP(E243,Tabellen!A:F,2),0)</f>
        <v/>
      </c>
      <c r="H243" s="186" t="n"/>
      <c r="I243" s="186" t="n"/>
      <c r="J243" s="186" t="n"/>
      <c r="K243" s="186" t="n"/>
      <c r="L243" s="45">
        <f>IF(E243&gt;0,$H$4,0)</f>
        <v/>
      </c>
      <c r="M243" s="382">
        <f>IFERROR(VLOOKUP(F243,Tabellen!H:I,2),0)</f>
        <v/>
      </c>
      <c r="N243" s="383" t="n"/>
      <c r="O243" s="384" t="n"/>
      <c r="P243">
        <f>IF(E243&gt;0,COUNTIF($E$17:E243,"&gt;0"),0)</f>
        <v/>
      </c>
      <c r="Q243" s="42">
        <f>IF(OR(F243=47201,F243=47100,F243=47200,F243=47500),H243,0)</f>
        <v/>
      </c>
      <c r="R243" s="42">
        <f>IF(OR(F243=87201,F243=87100,F243=87200,F243=87500),H243,0)</f>
        <v/>
      </c>
      <c r="S243">
        <f>IF(E243&gt;0,COUNTIF($E$121:E243,"&gt;0"),0)</f>
        <v/>
      </c>
    </row>
    <row r="244" ht="15" customHeight="1" s="418">
      <c r="A244" s="385">
        <f>IFERROR(VLOOKUP(E244,Tabellen!A:F,4),0)</f>
        <v/>
      </c>
      <c r="B244" s="15" t="n"/>
      <c r="C244" s="15">
        <f>IFERROR(VLOOKUP(E244,Tabellen!A:F,5),0)</f>
        <v/>
      </c>
      <c r="D244" s="386">
        <f>IFERROR(VLOOKUP(E244,Tabellen!A:F,6),0)</f>
        <v/>
      </c>
      <c r="E244" s="379" t="n"/>
      <c r="F244" s="380">
        <f>IFERROR(VLOOKUP(E244,Tabellen!A:H,8),0)</f>
        <v/>
      </c>
      <c r="G244" s="387">
        <f>IFERROR(VLOOKUP(E244,Tabellen!A:F,2),0)</f>
        <v/>
      </c>
      <c r="H244" s="186" t="n"/>
      <c r="I244" s="186" t="n"/>
      <c r="J244" s="186" t="n"/>
      <c r="K244" s="186" t="n"/>
      <c r="L244" s="45">
        <f>IF(E244&gt;0,$H$4,0)</f>
        <v/>
      </c>
      <c r="M244" s="382">
        <f>IFERROR(VLOOKUP(F244,Tabellen!H:I,2),0)</f>
        <v/>
      </c>
      <c r="N244" s="383" t="n"/>
      <c r="O244" s="384" t="n"/>
      <c r="P244">
        <f>IF(E244&gt;0,COUNTIF($E$17:E244,"&gt;0"),0)</f>
        <v/>
      </c>
      <c r="Q244" s="42">
        <f>IF(OR(F244=47201,F244=47100,F244=47200,F244=47500),H244,0)</f>
        <v/>
      </c>
      <c r="R244" s="42">
        <f>IF(OR(F244=87201,F244=87100,F244=87200,F244=87500),H244,0)</f>
        <v/>
      </c>
      <c r="S244">
        <f>IF(E244&gt;0,COUNTIF($E$121:E244,"&gt;0"),0)</f>
        <v/>
      </c>
    </row>
    <row r="245" ht="15" customHeight="1" s="418">
      <c r="A245" s="377">
        <f>IFERROR(VLOOKUP(E245,Tabellen!A:F,4),0)</f>
        <v/>
      </c>
      <c r="B245" s="15" t="n"/>
      <c r="C245" s="15">
        <f>IFERROR(VLOOKUP(E245,Tabellen!A:F,5),0)</f>
        <v/>
      </c>
      <c r="D245" s="378">
        <f>IFERROR(VLOOKUP(E245,Tabellen!A:F,6),0)</f>
        <v/>
      </c>
      <c r="E245" s="379" t="n"/>
      <c r="F245" s="380">
        <f>IFERROR(VLOOKUP(E245,Tabellen!A:H,8),0)</f>
        <v/>
      </c>
      <c r="G245" s="381">
        <f>IFERROR(VLOOKUP(E245,Tabellen!A:F,2),0)</f>
        <v/>
      </c>
      <c r="H245" s="186" t="n"/>
      <c r="I245" s="186" t="n"/>
      <c r="J245" s="186" t="n"/>
      <c r="K245" s="186" t="n"/>
      <c r="L245" s="45">
        <f>IF(E245&gt;0,$H$4,0)</f>
        <v/>
      </c>
      <c r="M245" s="382">
        <f>IFERROR(VLOOKUP(F245,Tabellen!H:I,2),0)</f>
        <v/>
      </c>
      <c r="N245" s="383" t="n"/>
      <c r="O245" s="384" t="n"/>
      <c r="P245">
        <f>IF(E245&gt;0,COUNTIF($E$17:E245,"&gt;0"),0)</f>
        <v/>
      </c>
      <c r="Q245" s="42">
        <f>IF(OR(F245=47201,F245=47100,F245=47200,F245=47500),H245,0)</f>
        <v/>
      </c>
      <c r="R245" s="42">
        <f>IF(OR(F245=87201,F245=87100,F245=87200,F245=87500),H245,0)</f>
        <v/>
      </c>
      <c r="S245">
        <f>IF(E245&gt;0,COUNTIF($E$121:E245,"&gt;0"),0)</f>
        <v/>
      </c>
    </row>
    <row r="246" ht="15" customHeight="1" s="418">
      <c r="A246" s="385">
        <f>IFERROR(VLOOKUP(E246,Tabellen!A:F,4),0)</f>
        <v/>
      </c>
      <c r="B246" s="15" t="n"/>
      <c r="C246" s="15">
        <f>IFERROR(VLOOKUP(E246,Tabellen!A:F,5),0)</f>
        <v/>
      </c>
      <c r="D246" s="386">
        <f>IFERROR(VLOOKUP(E246,Tabellen!A:F,6),0)</f>
        <v/>
      </c>
      <c r="E246" s="379" t="n"/>
      <c r="F246" s="380">
        <f>IFERROR(VLOOKUP(E246,Tabellen!A:H,8),0)</f>
        <v/>
      </c>
      <c r="G246" s="387">
        <f>IFERROR(VLOOKUP(E246,Tabellen!A:F,2),0)</f>
        <v/>
      </c>
      <c r="H246" s="186" t="n"/>
      <c r="I246" s="186" t="n"/>
      <c r="J246" s="186" t="n"/>
      <c r="K246" s="186" t="n"/>
      <c r="L246" s="45">
        <f>IF(E246&gt;0,$H$4,0)</f>
        <v/>
      </c>
      <c r="M246" s="382">
        <f>IFERROR(VLOOKUP(F246,Tabellen!H:I,2),0)</f>
        <v/>
      </c>
      <c r="N246" s="383" t="n"/>
      <c r="O246" s="384" t="n"/>
      <c r="P246">
        <f>IF(E246&gt;0,COUNTIF($E$17:E246,"&gt;0"),0)</f>
        <v/>
      </c>
      <c r="Q246" s="42">
        <f>IF(OR(F246=47201,F246=47100,F246=47200,F246=47500),H246,0)</f>
        <v/>
      </c>
      <c r="R246" s="42">
        <f>IF(OR(F246=87201,F246=87100,F246=87200,F246=87500),H246,0)</f>
        <v/>
      </c>
      <c r="S246">
        <f>IF(E246&gt;0,COUNTIF($E$121:E246,"&gt;0"),0)</f>
        <v/>
      </c>
    </row>
    <row r="247" ht="15" customHeight="1" s="418">
      <c r="A247" s="377">
        <f>IFERROR(VLOOKUP(E247,Tabellen!A:F,4),0)</f>
        <v/>
      </c>
      <c r="B247" s="15" t="n"/>
      <c r="C247" s="15">
        <f>IFERROR(VLOOKUP(E247,Tabellen!A:F,5),0)</f>
        <v/>
      </c>
      <c r="D247" s="378">
        <f>IFERROR(VLOOKUP(E247,Tabellen!A:F,6),0)</f>
        <v/>
      </c>
      <c r="E247" s="379" t="n"/>
      <c r="F247" s="380">
        <f>IFERROR(VLOOKUP(E247,Tabellen!A:H,8),0)</f>
        <v/>
      </c>
      <c r="G247" s="381">
        <f>IFERROR(VLOOKUP(E247,Tabellen!A:F,2),0)</f>
        <v/>
      </c>
      <c r="H247" s="186" t="n"/>
      <c r="I247" s="186" t="n"/>
      <c r="J247" s="186" t="n"/>
      <c r="K247" s="186" t="n"/>
      <c r="L247" s="45">
        <f>IF(E247&gt;0,$H$4,0)</f>
        <v/>
      </c>
      <c r="M247" s="382">
        <f>IFERROR(VLOOKUP(F247,Tabellen!H:I,2),0)</f>
        <v/>
      </c>
      <c r="N247" s="383" t="n"/>
      <c r="O247" s="384" t="n"/>
      <c r="P247">
        <f>IF(E247&gt;0,COUNTIF($E$17:E247,"&gt;0"),0)</f>
        <v/>
      </c>
      <c r="Q247" s="42">
        <f>IF(OR(F247=47201,F247=47100,F247=47200,F247=47500),H247,0)</f>
        <v/>
      </c>
      <c r="R247" s="42">
        <f>IF(OR(F247=87201,F247=87100,F247=87200,F247=87500),H247,0)</f>
        <v/>
      </c>
      <c r="S247">
        <f>IF(E247&gt;0,COUNTIF($E$121:E247,"&gt;0"),0)</f>
        <v/>
      </c>
    </row>
    <row r="248" ht="15" customHeight="1" s="418">
      <c r="A248" s="385">
        <f>IFERROR(VLOOKUP(E248,Tabellen!A:F,4),0)</f>
        <v/>
      </c>
      <c r="B248" s="15" t="n"/>
      <c r="C248" s="15">
        <f>IFERROR(VLOOKUP(E248,Tabellen!A:F,5),0)</f>
        <v/>
      </c>
      <c r="D248" s="386">
        <f>IFERROR(VLOOKUP(E248,Tabellen!A:F,6),0)</f>
        <v/>
      </c>
      <c r="E248" s="379" t="n"/>
      <c r="F248" s="380">
        <f>IFERROR(VLOOKUP(E248,Tabellen!A:H,8),0)</f>
        <v/>
      </c>
      <c r="G248" s="387">
        <f>IFERROR(VLOOKUP(E248,Tabellen!A:F,2),0)</f>
        <v/>
      </c>
      <c r="H248" s="186" t="n"/>
      <c r="I248" s="186" t="n"/>
      <c r="J248" s="186" t="n"/>
      <c r="K248" s="186" t="n"/>
      <c r="L248" s="45">
        <f>IF(E248&gt;0,$H$4,0)</f>
        <v/>
      </c>
      <c r="M248" s="382">
        <f>IFERROR(VLOOKUP(F248,Tabellen!H:I,2),0)</f>
        <v/>
      </c>
      <c r="N248" s="383" t="n"/>
      <c r="O248" s="384" t="n"/>
      <c r="P248">
        <f>IF(E248&gt;0,COUNTIF($E$17:E248,"&gt;0"),0)</f>
        <v/>
      </c>
      <c r="Q248" s="42">
        <f>IF(OR(F248=47201,F248=47100,F248=47200,F248=47500),H248,0)</f>
        <v/>
      </c>
      <c r="R248" s="42">
        <f>IF(OR(F248=87201,F248=87100,F248=87200,F248=87500),H248,0)</f>
        <v/>
      </c>
      <c r="S248">
        <f>IF(E248&gt;0,COUNTIF($E$121:E248,"&gt;0"),0)</f>
        <v/>
      </c>
    </row>
    <row r="249" ht="15" customHeight="1" s="418">
      <c r="A249" s="377">
        <f>IFERROR(VLOOKUP(E249,Tabellen!A:F,4),0)</f>
        <v/>
      </c>
      <c r="B249" s="15" t="n"/>
      <c r="C249" s="15">
        <f>IFERROR(VLOOKUP(E249,Tabellen!A:F,5),0)</f>
        <v/>
      </c>
      <c r="D249" s="378">
        <f>IFERROR(VLOOKUP(E249,Tabellen!A:F,6),0)</f>
        <v/>
      </c>
      <c r="E249" s="379" t="n"/>
      <c r="F249" s="380">
        <f>IFERROR(VLOOKUP(E249,Tabellen!A:H,8),0)</f>
        <v/>
      </c>
      <c r="G249" s="381">
        <f>IFERROR(VLOOKUP(E249,Tabellen!A:F,2),0)</f>
        <v/>
      </c>
      <c r="H249" s="186" t="n"/>
      <c r="I249" s="186" t="n"/>
      <c r="J249" s="186" t="n"/>
      <c r="K249" s="186" t="n"/>
      <c r="L249" s="45">
        <f>IF(E249&gt;0,$H$4,0)</f>
        <v/>
      </c>
      <c r="M249" s="382">
        <f>IFERROR(VLOOKUP(F249,Tabellen!H:I,2),0)</f>
        <v/>
      </c>
      <c r="N249" s="383" t="n"/>
      <c r="O249" s="384" t="n"/>
      <c r="P249">
        <f>IF(E249&gt;0,COUNTIF($E$17:E249,"&gt;0"),0)</f>
        <v/>
      </c>
      <c r="Q249" s="42">
        <f>IF(OR(F249=47201,F249=47100,F249=47200,F249=47500),H249,0)</f>
        <v/>
      </c>
      <c r="R249" s="42">
        <f>IF(OR(F249=87201,F249=87100,F249=87200,F249=87500),H249,0)</f>
        <v/>
      </c>
      <c r="S249">
        <f>IF(E249&gt;0,COUNTIF($E$121:E249,"&gt;0"),0)</f>
        <v/>
      </c>
    </row>
    <row r="250" ht="15" customHeight="1" s="418">
      <c r="A250" s="385">
        <f>IFERROR(VLOOKUP(E250,Tabellen!A:F,4),0)</f>
        <v/>
      </c>
      <c r="B250" s="15" t="n"/>
      <c r="C250" s="15">
        <f>IFERROR(VLOOKUP(E250,Tabellen!A:F,5),0)</f>
        <v/>
      </c>
      <c r="D250" s="386">
        <f>IFERROR(VLOOKUP(E250,Tabellen!A:F,6),0)</f>
        <v/>
      </c>
      <c r="E250" s="379" t="n"/>
      <c r="F250" s="380">
        <f>IFERROR(VLOOKUP(E250,Tabellen!A:H,8),0)</f>
        <v/>
      </c>
      <c r="G250" s="387">
        <f>IFERROR(VLOOKUP(E250,Tabellen!A:F,2),0)</f>
        <v/>
      </c>
      <c r="H250" s="186" t="n"/>
      <c r="I250" s="186" t="n"/>
      <c r="J250" s="186" t="n"/>
      <c r="K250" s="186" t="n"/>
      <c r="L250" s="45">
        <f>IF(E250&gt;0,$H$4,0)</f>
        <v/>
      </c>
      <c r="M250" s="382">
        <f>IFERROR(VLOOKUP(F250,Tabellen!H:I,2),0)</f>
        <v/>
      </c>
      <c r="N250" s="383" t="n"/>
      <c r="O250" s="384" t="n"/>
      <c r="P250">
        <f>IF(E250&gt;0,COUNTIF($E$17:E250,"&gt;0"),0)</f>
        <v/>
      </c>
      <c r="Q250" s="42">
        <f>IF(OR(F250=47201,F250=47100,F250=47200,F250=47500),H250,0)</f>
        <v/>
      </c>
      <c r="R250" s="42">
        <f>IF(OR(F250=87201,F250=87100,F250=87200,F250=87500),H250,0)</f>
        <v/>
      </c>
      <c r="S250">
        <f>IF(E250&gt;0,COUNTIF($E$121:E250,"&gt;0"),0)</f>
        <v/>
      </c>
    </row>
    <row r="251" ht="15" customHeight="1" s="418">
      <c r="A251" s="377">
        <f>IFERROR(VLOOKUP(E251,Tabellen!A:F,4),0)</f>
        <v/>
      </c>
      <c r="B251" s="15" t="n"/>
      <c r="C251" s="15">
        <f>IFERROR(VLOOKUP(E251,Tabellen!A:F,5),0)</f>
        <v/>
      </c>
      <c r="D251" s="378">
        <f>IFERROR(VLOOKUP(E251,Tabellen!A:F,6),0)</f>
        <v/>
      </c>
      <c r="E251" s="379" t="n"/>
      <c r="F251" s="380">
        <f>IFERROR(VLOOKUP(E251,Tabellen!A:H,8),0)</f>
        <v/>
      </c>
      <c r="G251" s="381">
        <f>IFERROR(VLOOKUP(E251,Tabellen!A:F,2),0)</f>
        <v/>
      </c>
      <c r="H251" s="186" t="n"/>
      <c r="I251" s="186" t="n"/>
      <c r="J251" s="186" t="n"/>
      <c r="K251" s="186" t="n"/>
      <c r="L251" s="45">
        <f>IF(E251&gt;0,$H$4,0)</f>
        <v/>
      </c>
      <c r="M251" s="382">
        <f>IFERROR(VLOOKUP(F251,Tabellen!H:I,2),0)</f>
        <v/>
      </c>
      <c r="N251" s="383" t="n"/>
      <c r="O251" s="384" t="n"/>
      <c r="P251">
        <f>IF(E251&gt;0,COUNTIF($E$17:E251,"&gt;0"),0)</f>
        <v/>
      </c>
      <c r="Q251" s="42">
        <f>IF(OR(F251=47201,F251=47100,F251=47200,F251=47500),H251,0)</f>
        <v/>
      </c>
      <c r="R251" s="42">
        <f>IF(OR(F251=87201,F251=87100,F251=87200,F251=87500),H251,0)</f>
        <v/>
      </c>
      <c r="S251">
        <f>IF(E251&gt;0,COUNTIF($E$121:E251,"&gt;0"),0)</f>
        <v/>
      </c>
    </row>
    <row r="252" ht="15" customHeight="1" s="418">
      <c r="A252" s="385">
        <f>IFERROR(VLOOKUP(E252,Tabellen!A:F,4),0)</f>
        <v/>
      </c>
      <c r="B252" s="15" t="n"/>
      <c r="C252" s="15">
        <f>IFERROR(VLOOKUP(E252,Tabellen!A:F,5),0)</f>
        <v/>
      </c>
      <c r="D252" s="386">
        <f>IFERROR(VLOOKUP(E252,Tabellen!A:F,6),0)</f>
        <v/>
      </c>
      <c r="E252" s="379" t="n"/>
      <c r="F252" s="380">
        <f>IFERROR(VLOOKUP(E252,Tabellen!A:H,8),0)</f>
        <v/>
      </c>
      <c r="G252" s="387">
        <f>IFERROR(VLOOKUP(E252,Tabellen!A:F,2),0)</f>
        <v/>
      </c>
      <c r="H252" s="186" t="n"/>
      <c r="I252" s="186" t="n"/>
      <c r="J252" s="186" t="n"/>
      <c r="K252" s="186" t="n"/>
      <c r="L252" s="45">
        <f>IF(E252&gt;0,$H$4,0)</f>
        <v/>
      </c>
      <c r="M252" s="382">
        <f>IFERROR(VLOOKUP(F252,Tabellen!H:I,2),0)</f>
        <v/>
      </c>
      <c r="N252" s="383" t="n"/>
      <c r="O252" s="384" t="n"/>
      <c r="P252">
        <f>IF(E252&gt;0,COUNTIF($E$17:E252,"&gt;0"),0)</f>
        <v/>
      </c>
      <c r="Q252" s="42">
        <f>IF(OR(F252=47201,F252=47100,F252=47200,F252=47500),H252,0)</f>
        <v/>
      </c>
      <c r="R252" s="42">
        <f>IF(OR(F252=87201,F252=87100,F252=87200,F252=87500),H252,0)</f>
        <v/>
      </c>
      <c r="S252">
        <f>IF(E252&gt;0,COUNTIF($E$121:E252,"&gt;0"),0)</f>
        <v/>
      </c>
    </row>
    <row r="253" ht="15" customHeight="1" s="418">
      <c r="A253" s="377">
        <f>IFERROR(VLOOKUP(E253,Tabellen!A:F,4),0)</f>
        <v/>
      </c>
      <c r="B253" s="15" t="n"/>
      <c r="C253" s="15">
        <f>IFERROR(VLOOKUP(E253,Tabellen!A:F,5),0)</f>
        <v/>
      </c>
      <c r="D253" s="378">
        <f>IFERROR(VLOOKUP(E253,Tabellen!A:F,6),0)</f>
        <v/>
      </c>
      <c r="E253" s="379" t="n"/>
      <c r="F253" s="380">
        <f>IFERROR(VLOOKUP(E253,Tabellen!A:H,8),0)</f>
        <v/>
      </c>
      <c r="G253" s="381">
        <f>IFERROR(VLOOKUP(E253,Tabellen!A:F,2),0)</f>
        <v/>
      </c>
      <c r="H253" s="186" t="n"/>
      <c r="I253" s="186" t="n"/>
      <c r="J253" s="186" t="n"/>
      <c r="K253" s="186" t="n"/>
      <c r="L253" s="45">
        <f>IF(E253&gt;0,$H$4,0)</f>
        <v/>
      </c>
      <c r="M253" s="382">
        <f>IFERROR(VLOOKUP(F253,Tabellen!H:I,2),0)</f>
        <v/>
      </c>
      <c r="N253" s="383" t="n"/>
      <c r="O253" s="384" t="n"/>
      <c r="P253">
        <f>IF(E253&gt;0,COUNTIF($E$17:E253,"&gt;0"),0)</f>
        <v/>
      </c>
      <c r="Q253" s="42">
        <f>IF(OR(F253=47201,F253=47100,F253=47200,F253=47500),H253,0)</f>
        <v/>
      </c>
      <c r="R253" s="42">
        <f>IF(OR(F253=87201,F253=87100,F253=87200,F253=87500),H253,0)</f>
        <v/>
      </c>
      <c r="S253">
        <f>IF(E253&gt;0,COUNTIF($E$121:E253,"&gt;0"),0)</f>
        <v/>
      </c>
    </row>
    <row r="254" ht="15" customHeight="1" s="418">
      <c r="A254" s="385">
        <f>IFERROR(VLOOKUP(E254,Tabellen!A:F,4),0)</f>
        <v/>
      </c>
      <c r="B254" s="15" t="n"/>
      <c r="C254" s="15">
        <f>IFERROR(VLOOKUP(E254,Tabellen!A:F,5),0)</f>
        <v/>
      </c>
      <c r="D254" s="386">
        <f>IFERROR(VLOOKUP(E254,Tabellen!A:F,6),0)</f>
        <v/>
      </c>
      <c r="E254" s="379" t="n"/>
      <c r="F254" s="380">
        <f>IFERROR(VLOOKUP(E254,Tabellen!A:H,8),0)</f>
        <v/>
      </c>
      <c r="G254" s="387">
        <f>IFERROR(VLOOKUP(E254,Tabellen!A:F,2),0)</f>
        <v/>
      </c>
      <c r="H254" s="186" t="n"/>
      <c r="I254" s="186" t="n"/>
      <c r="J254" s="186" t="n"/>
      <c r="K254" s="186" t="n"/>
      <c r="L254" s="45">
        <f>IF(E254&gt;0,$H$4,0)</f>
        <v/>
      </c>
      <c r="M254" s="382">
        <f>IFERROR(VLOOKUP(F254,Tabellen!H:I,2),0)</f>
        <v/>
      </c>
      <c r="N254" s="383" t="n"/>
      <c r="O254" s="384" t="n"/>
      <c r="P254">
        <f>IF(E254&gt;0,COUNTIF($E$17:E254,"&gt;0"),0)</f>
        <v/>
      </c>
      <c r="Q254" s="42">
        <f>IF(OR(F254=47201,F254=47100,F254=47200,F254=47500),H254,0)</f>
        <v/>
      </c>
      <c r="R254" s="42">
        <f>IF(OR(F254=87201,F254=87100,F254=87200,F254=87500),H254,0)</f>
        <v/>
      </c>
      <c r="S254">
        <f>IF(E254&gt;0,COUNTIF($E$121:E254,"&gt;0"),0)</f>
        <v/>
      </c>
    </row>
    <row r="255" ht="15" customHeight="1" s="418">
      <c r="A255" s="377">
        <f>IFERROR(VLOOKUP(E255,Tabellen!A:F,4),0)</f>
        <v/>
      </c>
      <c r="B255" s="15" t="n"/>
      <c r="C255" s="15">
        <f>IFERROR(VLOOKUP(E255,Tabellen!A:F,5),0)</f>
        <v/>
      </c>
      <c r="D255" s="378">
        <f>IFERROR(VLOOKUP(E255,Tabellen!A:F,6),0)</f>
        <v/>
      </c>
      <c r="E255" s="379" t="n"/>
      <c r="F255" s="380">
        <f>IFERROR(VLOOKUP(E255,Tabellen!A:H,8),0)</f>
        <v/>
      </c>
      <c r="G255" s="381">
        <f>IFERROR(VLOOKUP(E255,Tabellen!A:F,2),0)</f>
        <v/>
      </c>
      <c r="H255" s="186" t="n"/>
      <c r="I255" s="186" t="n"/>
      <c r="J255" s="186" t="n"/>
      <c r="K255" s="186" t="n"/>
      <c r="L255" s="45">
        <f>IF(E255&gt;0,$H$4,0)</f>
        <v/>
      </c>
      <c r="M255" s="382">
        <f>IFERROR(VLOOKUP(F255,Tabellen!H:I,2),0)</f>
        <v/>
      </c>
      <c r="N255" s="383" t="n"/>
      <c r="O255" s="384" t="n"/>
      <c r="P255">
        <f>IF(E255&gt;0,COUNTIF($E$17:E255,"&gt;0"),0)</f>
        <v/>
      </c>
      <c r="Q255" s="42">
        <f>IF(OR(F255=47201,F255=47100,F255=47200,F255=47500),H255,0)</f>
        <v/>
      </c>
      <c r="R255" s="42">
        <f>IF(OR(F255=87201,F255=87100,F255=87200,F255=87500),H255,0)</f>
        <v/>
      </c>
      <c r="S255">
        <f>IF(E255&gt;0,COUNTIF($E$121:E255,"&gt;0"),0)</f>
        <v/>
      </c>
    </row>
    <row r="256" ht="15" customHeight="1" s="418">
      <c r="A256" s="385">
        <f>IFERROR(VLOOKUP(E256,Tabellen!A:F,4),0)</f>
        <v/>
      </c>
      <c r="B256" s="15" t="n"/>
      <c r="C256" s="15">
        <f>IFERROR(VLOOKUP(E256,Tabellen!A:F,5),0)</f>
        <v/>
      </c>
      <c r="D256" s="386">
        <f>IFERROR(VLOOKUP(E256,Tabellen!A:F,6),0)</f>
        <v/>
      </c>
      <c r="E256" s="379" t="n"/>
      <c r="F256" s="380">
        <f>IFERROR(VLOOKUP(E256,Tabellen!A:H,8),0)</f>
        <v/>
      </c>
      <c r="G256" s="387">
        <f>IFERROR(VLOOKUP(E256,Tabellen!A:F,2),0)</f>
        <v/>
      </c>
      <c r="H256" s="186" t="n"/>
      <c r="I256" s="186" t="n"/>
      <c r="J256" s="186" t="n"/>
      <c r="K256" s="186" t="n"/>
      <c r="L256" s="45">
        <f>IF(E256&gt;0,$H$4,0)</f>
        <v/>
      </c>
      <c r="M256" s="382">
        <f>IFERROR(VLOOKUP(F256,Tabellen!H:I,2),0)</f>
        <v/>
      </c>
      <c r="N256" s="383" t="n"/>
      <c r="O256" s="384" t="n"/>
      <c r="P256">
        <f>IF(E256&gt;0,COUNTIF($E$17:E256,"&gt;0"),0)</f>
        <v/>
      </c>
      <c r="Q256" s="42">
        <f>IF(OR(F256=47201,F256=47100,F256=47200,F256=47500),H256,0)</f>
        <v/>
      </c>
      <c r="R256" s="42">
        <f>IF(OR(F256=87201,F256=87100,F256=87200,F256=87500),H256,0)</f>
        <v/>
      </c>
      <c r="S256">
        <f>IF(E256&gt;0,COUNTIF($E$121:E256,"&gt;0"),0)</f>
        <v/>
      </c>
    </row>
    <row r="257" ht="15" customHeight="1" s="418">
      <c r="A257" s="377">
        <f>IFERROR(VLOOKUP(E257,Tabellen!A:F,4),0)</f>
        <v/>
      </c>
      <c r="B257" s="15" t="n"/>
      <c r="C257" s="15">
        <f>IFERROR(VLOOKUP(E257,Tabellen!A:F,5),0)</f>
        <v/>
      </c>
      <c r="D257" s="378">
        <f>IFERROR(VLOOKUP(E257,Tabellen!A:F,6),0)</f>
        <v/>
      </c>
      <c r="E257" s="379" t="n"/>
      <c r="F257" s="380">
        <f>IFERROR(VLOOKUP(E257,Tabellen!A:H,8),0)</f>
        <v/>
      </c>
      <c r="G257" s="381">
        <f>IFERROR(VLOOKUP(E257,Tabellen!A:F,2),0)</f>
        <v/>
      </c>
      <c r="H257" s="186" t="n"/>
      <c r="I257" s="186" t="n"/>
      <c r="J257" s="186" t="n"/>
      <c r="K257" s="186" t="n"/>
      <c r="L257" s="45">
        <f>IF(E257&gt;0,$H$4,0)</f>
        <v/>
      </c>
      <c r="M257" s="382">
        <f>IFERROR(VLOOKUP(F257,Tabellen!H:I,2),0)</f>
        <v/>
      </c>
      <c r="N257" s="383" t="n"/>
      <c r="O257" s="384" t="n"/>
      <c r="P257">
        <f>IF(E257&gt;0,COUNTIF($E$17:E257,"&gt;0"),0)</f>
        <v/>
      </c>
      <c r="Q257" s="42">
        <f>IF(OR(F257=47201,F257=47100,F257=47200,F257=47500),H257,0)</f>
        <v/>
      </c>
      <c r="R257" s="42">
        <f>IF(OR(F257=87201,F257=87100,F257=87200,F257=87500),H257,0)</f>
        <v/>
      </c>
      <c r="S257">
        <f>IF(E257&gt;0,COUNTIF($E$121:E257,"&gt;0"),0)</f>
        <v/>
      </c>
    </row>
    <row r="258" ht="15" customHeight="1" s="418">
      <c r="A258" s="385">
        <f>IFERROR(VLOOKUP(E258,Tabellen!A:F,4),0)</f>
        <v/>
      </c>
      <c r="B258" s="15" t="n"/>
      <c r="C258" s="15">
        <f>IFERROR(VLOOKUP(E258,Tabellen!A:F,5),0)</f>
        <v/>
      </c>
      <c r="D258" s="386">
        <f>IFERROR(VLOOKUP(E258,Tabellen!A:F,6),0)</f>
        <v/>
      </c>
      <c r="E258" s="379" t="n"/>
      <c r="F258" s="380">
        <f>IFERROR(VLOOKUP(E258,Tabellen!A:H,8),0)</f>
        <v/>
      </c>
      <c r="G258" s="387">
        <f>IFERROR(VLOOKUP(E258,Tabellen!A:F,2),0)</f>
        <v/>
      </c>
      <c r="H258" s="186" t="n"/>
      <c r="I258" s="186" t="n"/>
      <c r="J258" s="186" t="n"/>
      <c r="K258" s="186" t="n"/>
      <c r="L258" s="45">
        <f>IF(E258&gt;0,$H$4,0)</f>
        <v/>
      </c>
      <c r="M258" s="382">
        <f>IFERROR(VLOOKUP(F258,Tabellen!H:I,2),0)</f>
        <v/>
      </c>
      <c r="N258" s="383" t="n"/>
      <c r="O258" s="384" t="n"/>
      <c r="P258">
        <f>IF(E258&gt;0,COUNTIF($E$17:E258,"&gt;0"),0)</f>
        <v/>
      </c>
      <c r="Q258" s="42">
        <f>IF(OR(F258=47201,F258=47100,F258=47200,F258=47500),H258,0)</f>
        <v/>
      </c>
      <c r="R258" s="42">
        <f>IF(OR(F258=87201,F258=87100,F258=87200,F258=87500),H258,0)</f>
        <v/>
      </c>
      <c r="S258">
        <f>IF(E258&gt;0,COUNTIF($E$121:E258,"&gt;0"),0)</f>
        <v/>
      </c>
    </row>
    <row r="259" ht="15" customHeight="1" s="418">
      <c r="A259" s="377">
        <f>IFERROR(VLOOKUP(E259,Tabellen!A:F,4),0)</f>
        <v/>
      </c>
      <c r="B259" s="15" t="n"/>
      <c r="C259" s="15">
        <f>IFERROR(VLOOKUP(E259,Tabellen!A:F,5),0)</f>
        <v/>
      </c>
      <c r="D259" s="378">
        <f>IFERROR(VLOOKUP(E259,Tabellen!A:F,6),0)</f>
        <v/>
      </c>
      <c r="E259" s="379" t="n"/>
      <c r="F259" s="380">
        <f>IFERROR(VLOOKUP(E259,Tabellen!A:H,8),0)</f>
        <v/>
      </c>
      <c r="G259" s="381">
        <f>IFERROR(VLOOKUP(E259,Tabellen!A:F,2),0)</f>
        <v/>
      </c>
      <c r="H259" s="186" t="n"/>
      <c r="I259" s="186" t="n"/>
      <c r="J259" s="186" t="n"/>
      <c r="K259" s="186" t="n"/>
      <c r="L259" s="45">
        <f>IF(E259&gt;0,$H$4,0)</f>
        <v/>
      </c>
      <c r="M259" s="382">
        <f>IFERROR(VLOOKUP(F259,Tabellen!H:I,2),0)</f>
        <v/>
      </c>
      <c r="N259" s="383" t="n"/>
      <c r="O259" s="384" t="n"/>
      <c r="P259">
        <f>IF(E259&gt;0,COUNTIF($E$17:E259,"&gt;0"),0)</f>
        <v/>
      </c>
      <c r="Q259" s="42">
        <f>IF(OR(F259=47201,F259=47100,F259=47200,F259=47500),H259,0)</f>
        <v/>
      </c>
      <c r="R259" s="42">
        <f>IF(OR(F259=87201,F259=87100,F259=87200,F259=87500),H259,0)</f>
        <v/>
      </c>
      <c r="S259">
        <f>IF(E259&gt;0,COUNTIF($E$121:E259,"&gt;0"),0)</f>
        <v/>
      </c>
    </row>
    <row r="260" ht="15" customHeight="1" s="418">
      <c r="A260" s="385">
        <f>IFERROR(VLOOKUP(E260,Tabellen!A:F,4),0)</f>
        <v/>
      </c>
      <c r="B260" s="15" t="n"/>
      <c r="C260" s="15">
        <f>IFERROR(VLOOKUP(E260,Tabellen!A:F,5),0)</f>
        <v/>
      </c>
      <c r="D260" s="386">
        <f>IFERROR(VLOOKUP(E260,Tabellen!A:F,6),0)</f>
        <v/>
      </c>
      <c r="E260" s="379" t="n"/>
      <c r="F260" s="380">
        <f>IFERROR(VLOOKUP(E260,Tabellen!A:H,8),0)</f>
        <v/>
      </c>
      <c r="G260" s="387">
        <f>IFERROR(VLOOKUP(E260,Tabellen!A:F,2),0)</f>
        <v/>
      </c>
      <c r="H260" s="186" t="n"/>
      <c r="I260" s="186" t="n"/>
      <c r="J260" s="186" t="n"/>
      <c r="K260" s="186" t="n"/>
      <c r="L260" s="45">
        <f>IF(E260&gt;0,$H$4,0)</f>
        <v/>
      </c>
      <c r="M260" s="382">
        <f>IFERROR(VLOOKUP(F260,Tabellen!H:I,2),0)</f>
        <v/>
      </c>
      <c r="N260" s="383" t="n"/>
      <c r="O260" s="384" t="n"/>
      <c r="P260">
        <f>IF(E260&gt;0,COUNTIF($E$17:E260,"&gt;0"),0)</f>
        <v/>
      </c>
      <c r="Q260" s="42">
        <f>IF(OR(F260=47201,F260=47100,F260=47200,F260=47500),H260,0)</f>
        <v/>
      </c>
      <c r="R260" s="42">
        <f>IF(OR(F260=87201,F260=87100,F260=87200,F260=87500),H260,0)</f>
        <v/>
      </c>
      <c r="S260">
        <f>IF(E260&gt;0,COUNTIF($E$121:E260,"&gt;0"),0)</f>
        <v/>
      </c>
    </row>
    <row r="261" ht="15" customHeight="1" s="418">
      <c r="A261" s="377">
        <f>IFERROR(VLOOKUP(E261,Tabellen!A:F,4),0)</f>
        <v/>
      </c>
      <c r="B261" s="15" t="n"/>
      <c r="C261" s="15">
        <f>IFERROR(VLOOKUP(E261,Tabellen!A:F,5),0)</f>
        <v/>
      </c>
      <c r="D261" s="378">
        <f>IFERROR(VLOOKUP(E261,Tabellen!A:F,6),0)</f>
        <v/>
      </c>
      <c r="E261" s="379" t="n"/>
      <c r="F261" s="380">
        <f>IFERROR(VLOOKUP(E261,Tabellen!A:H,8),0)</f>
        <v/>
      </c>
      <c r="G261" s="381">
        <f>IFERROR(VLOOKUP(E261,Tabellen!A:F,2),0)</f>
        <v/>
      </c>
      <c r="H261" s="186" t="n"/>
      <c r="I261" s="186" t="n"/>
      <c r="J261" s="186" t="n"/>
      <c r="K261" s="186" t="n"/>
      <c r="L261" s="45">
        <f>IF(E261&gt;0,$H$4,0)</f>
        <v/>
      </c>
      <c r="M261" s="382">
        <f>IFERROR(VLOOKUP(F261,Tabellen!H:I,2),0)</f>
        <v/>
      </c>
      <c r="N261" s="383" t="n"/>
      <c r="O261" s="384" t="n"/>
      <c r="P261">
        <f>IF(E261&gt;0,COUNTIF($E$17:E261,"&gt;0"),0)</f>
        <v/>
      </c>
      <c r="Q261" s="42">
        <f>IF(OR(F261=47201,F261=47100,F261=47200,F261=47500),H261,0)</f>
        <v/>
      </c>
      <c r="R261" s="42">
        <f>IF(OR(F261=87201,F261=87100,F261=87200,F261=87500),H261,0)</f>
        <v/>
      </c>
      <c r="S261">
        <f>IF(E261&gt;0,COUNTIF($E$121:E261,"&gt;0"),0)</f>
        <v/>
      </c>
    </row>
    <row r="262" ht="15" customHeight="1" s="418">
      <c r="A262" s="385">
        <f>IFERROR(VLOOKUP(E262,Tabellen!A:F,4),0)</f>
        <v/>
      </c>
      <c r="B262" s="15" t="n"/>
      <c r="C262" s="15">
        <f>IFERROR(VLOOKUP(E262,Tabellen!A:F,5),0)</f>
        <v/>
      </c>
      <c r="D262" s="386">
        <f>IFERROR(VLOOKUP(E262,Tabellen!A:F,6),0)</f>
        <v/>
      </c>
      <c r="E262" s="379" t="n"/>
      <c r="F262" s="380">
        <f>IFERROR(VLOOKUP(E262,Tabellen!A:H,8),0)</f>
        <v/>
      </c>
      <c r="G262" s="387">
        <f>IFERROR(VLOOKUP(E262,Tabellen!A:F,2),0)</f>
        <v/>
      </c>
      <c r="H262" s="186" t="n"/>
      <c r="I262" s="186" t="n"/>
      <c r="J262" s="186" t="n"/>
      <c r="K262" s="186" t="n"/>
      <c r="L262" s="45">
        <f>IF(E262&gt;0,$H$4,0)</f>
        <v/>
      </c>
      <c r="M262" s="382">
        <f>IFERROR(VLOOKUP(F262,Tabellen!H:I,2),0)</f>
        <v/>
      </c>
      <c r="N262" s="383" t="n"/>
      <c r="O262" s="384" t="n"/>
      <c r="P262">
        <f>IF(E262&gt;0,COUNTIF($E$17:E262,"&gt;0"),0)</f>
        <v/>
      </c>
      <c r="Q262" s="42">
        <f>IF(OR(F262=47201,F262=47100,F262=47200,F262=47500),H262,0)</f>
        <v/>
      </c>
      <c r="R262" s="42">
        <f>IF(OR(F262=87201,F262=87100,F262=87200,F262=87500),H262,0)</f>
        <v/>
      </c>
      <c r="S262">
        <f>IF(E262&gt;0,COUNTIF($E$121:E262,"&gt;0"),0)</f>
        <v/>
      </c>
    </row>
    <row r="263" ht="15" customHeight="1" s="418">
      <c r="A263" s="377">
        <f>IFERROR(VLOOKUP(E263,Tabellen!A:F,4),0)</f>
        <v/>
      </c>
      <c r="B263" s="15" t="n"/>
      <c r="C263" s="15">
        <f>IFERROR(VLOOKUP(E263,Tabellen!A:F,5),0)</f>
        <v/>
      </c>
      <c r="D263" s="378">
        <f>IFERROR(VLOOKUP(E263,Tabellen!A:F,6),0)</f>
        <v/>
      </c>
      <c r="E263" s="379" t="n"/>
      <c r="F263" s="380">
        <f>IFERROR(VLOOKUP(E263,Tabellen!A:H,8),0)</f>
        <v/>
      </c>
      <c r="G263" s="381">
        <f>IFERROR(VLOOKUP(E263,Tabellen!A:F,2),0)</f>
        <v/>
      </c>
      <c r="H263" s="186" t="n"/>
      <c r="I263" s="186" t="n"/>
      <c r="J263" s="186" t="n"/>
      <c r="K263" s="186" t="n"/>
      <c r="L263" s="45">
        <f>IF(E263&gt;0,$H$4,0)</f>
        <v/>
      </c>
      <c r="M263" s="382">
        <f>IFERROR(VLOOKUP(F263,Tabellen!H:I,2),0)</f>
        <v/>
      </c>
      <c r="N263" s="383" t="n"/>
      <c r="O263" s="384" t="n"/>
      <c r="P263">
        <f>IF(E263&gt;0,COUNTIF($E$17:E263,"&gt;0"),0)</f>
        <v/>
      </c>
      <c r="Q263" s="42">
        <f>IF(OR(F263=47201,F263=47100,F263=47200,F263=47500),H263,0)</f>
        <v/>
      </c>
      <c r="R263" s="42">
        <f>IF(OR(F263=87201,F263=87100,F263=87200,F263=87500),H263,0)</f>
        <v/>
      </c>
      <c r="S263">
        <f>IF(E263&gt;0,COUNTIF($E$121:E263,"&gt;0"),0)</f>
        <v/>
      </c>
    </row>
    <row r="264" ht="15" customHeight="1" s="418">
      <c r="A264" s="385">
        <f>IFERROR(VLOOKUP(E264,Tabellen!A:F,4),0)</f>
        <v/>
      </c>
      <c r="B264" s="15" t="n"/>
      <c r="C264" s="15">
        <f>IFERROR(VLOOKUP(E264,Tabellen!A:F,5),0)</f>
        <v/>
      </c>
      <c r="D264" s="386">
        <f>IFERROR(VLOOKUP(E264,Tabellen!A:F,6),0)</f>
        <v/>
      </c>
      <c r="E264" s="379" t="n"/>
      <c r="F264" s="380">
        <f>IFERROR(VLOOKUP(E264,Tabellen!A:H,8),0)</f>
        <v/>
      </c>
      <c r="G264" s="387">
        <f>IFERROR(VLOOKUP(E264,Tabellen!A:F,2),0)</f>
        <v/>
      </c>
      <c r="H264" s="186" t="n"/>
      <c r="I264" s="186" t="n"/>
      <c r="J264" s="186" t="n"/>
      <c r="K264" s="186" t="n"/>
      <c r="L264" s="45">
        <f>IF(E264&gt;0,$H$4,0)</f>
        <v/>
      </c>
      <c r="M264" s="382">
        <f>IFERROR(VLOOKUP(F264,Tabellen!H:I,2),0)</f>
        <v/>
      </c>
      <c r="N264" s="383" t="n"/>
      <c r="O264" s="384" t="n"/>
      <c r="P264">
        <f>IF(E264&gt;0,COUNTIF($E$17:E264,"&gt;0"),0)</f>
        <v/>
      </c>
      <c r="Q264" s="42">
        <f>IF(OR(F264=47201,F264=47100,F264=47200,F264=47500),H264,0)</f>
        <v/>
      </c>
      <c r="R264" s="42">
        <f>IF(OR(F264=87201,F264=87100,F264=87200,F264=87500),H264,0)</f>
        <v/>
      </c>
      <c r="S264">
        <f>IF(E264&gt;0,COUNTIF($E$121:E264,"&gt;0"),0)</f>
        <v/>
      </c>
    </row>
    <row r="265" ht="15" customHeight="1" s="418">
      <c r="A265" s="377">
        <f>IFERROR(VLOOKUP(E265,Tabellen!A:F,4),0)</f>
        <v/>
      </c>
      <c r="B265" s="15" t="n"/>
      <c r="C265" s="15">
        <f>IFERROR(VLOOKUP(E265,Tabellen!A:F,5),0)</f>
        <v/>
      </c>
      <c r="D265" s="378">
        <f>IFERROR(VLOOKUP(E265,Tabellen!A:F,6),0)</f>
        <v/>
      </c>
      <c r="E265" s="379" t="n"/>
      <c r="F265" s="380">
        <f>IFERROR(VLOOKUP(E265,Tabellen!A:H,8),0)</f>
        <v/>
      </c>
      <c r="G265" s="381">
        <f>IFERROR(VLOOKUP(E265,Tabellen!A:F,2),0)</f>
        <v/>
      </c>
      <c r="H265" s="186" t="n"/>
      <c r="I265" s="186" t="n"/>
      <c r="J265" s="186" t="n"/>
      <c r="K265" s="186" t="n"/>
      <c r="L265" s="45">
        <f>IF(E265&gt;0,$H$4,0)</f>
        <v/>
      </c>
      <c r="M265" s="382">
        <f>IFERROR(VLOOKUP(F265,Tabellen!H:I,2),0)</f>
        <v/>
      </c>
      <c r="N265" s="383" t="n"/>
      <c r="O265" s="384" t="n"/>
      <c r="P265">
        <f>IF(E265&gt;0,COUNTIF($E$17:E265,"&gt;0"),0)</f>
        <v/>
      </c>
      <c r="Q265" s="42">
        <f>IF(OR(F265=47201,F265=47100,F265=47200,F265=47500),H265,0)</f>
        <v/>
      </c>
      <c r="R265" s="42">
        <f>IF(OR(F265=87201,F265=87100,F265=87200,F265=87500),H265,0)</f>
        <v/>
      </c>
      <c r="S265">
        <f>IF(E265&gt;0,COUNTIF($E$121:E265,"&gt;0"),0)</f>
        <v/>
      </c>
    </row>
    <row r="266" ht="15" customHeight="1" s="418">
      <c r="A266" s="385">
        <f>IFERROR(VLOOKUP(E266,Tabellen!A:F,4),0)</f>
        <v/>
      </c>
      <c r="B266" s="15" t="n"/>
      <c r="C266" s="15">
        <f>IFERROR(VLOOKUP(E266,Tabellen!A:F,5),0)</f>
        <v/>
      </c>
      <c r="D266" s="386">
        <f>IFERROR(VLOOKUP(E266,Tabellen!A:F,6),0)</f>
        <v/>
      </c>
      <c r="E266" s="379" t="n"/>
      <c r="F266" s="380">
        <f>IFERROR(VLOOKUP(E266,Tabellen!A:H,8),0)</f>
        <v/>
      </c>
      <c r="G266" s="387">
        <f>IFERROR(VLOOKUP(E266,Tabellen!A:F,2),0)</f>
        <v/>
      </c>
      <c r="H266" s="186" t="n"/>
      <c r="I266" s="186" t="n"/>
      <c r="J266" s="186" t="n"/>
      <c r="K266" s="186" t="n"/>
      <c r="L266" s="45">
        <f>IF(E266&gt;0,$H$4,0)</f>
        <v/>
      </c>
      <c r="M266" s="382">
        <f>IFERROR(VLOOKUP(F266,Tabellen!H:I,2),0)</f>
        <v/>
      </c>
      <c r="N266" s="383" t="n"/>
      <c r="O266" s="384" t="n"/>
      <c r="P266">
        <f>IF(E266&gt;0,COUNTIF($E$17:E266,"&gt;0"),0)</f>
        <v/>
      </c>
      <c r="Q266" s="42">
        <f>IF(OR(F266=47201,F266=47100,F266=47200,F266=47500),H266,0)</f>
        <v/>
      </c>
      <c r="R266" s="42">
        <f>IF(OR(F266=87201,F266=87100,F266=87200,F266=87500),H266,0)</f>
        <v/>
      </c>
      <c r="S266">
        <f>IF(E266&gt;0,COUNTIF($E$121:E266,"&gt;0"),0)</f>
        <v/>
      </c>
    </row>
    <row r="267" ht="15" customHeight="1" s="418">
      <c r="A267" s="377">
        <f>IFERROR(VLOOKUP(E267,Tabellen!A:F,4),0)</f>
        <v/>
      </c>
      <c r="B267" s="15" t="n"/>
      <c r="C267" s="15">
        <f>IFERROR(VLOOKUP(E267,Tabellen!A:F,5),0)</f>
        <v/>
      </c>
      <c r="D267" s="378">
        <f>IFERROR(VLOOKUP(E267,Tabellen!A:F,6),0)</f>
        <v/>
      </c>
      <c r="E267" s="379" t="n"/>
      <c r="F267" s="380">
        <f>IFERROR(VLOOKUP(E267,Tabellen!A:H,8),0)</f>
        <v/>
      </c>
      <c r="G267" s="381">
        <f>IFERROR(VLOOKUP(E267,Tabellen!A:F,2),0)</f>
        <v/>
      </c>
      <c r="H267" s="186" t="n"/>
      <c r="I267" s="186" t="n"/>
      <c r="J267" s="186" t="n"/>
      <c r="K267" s="186" t="n"/>
      <c r="L267" s="45">
        <f>IF(E267&gt;0,$H$4,0)</f>
        <v/>
      </c>
      <c r="M267" s="382">
        <f>IFERROR(VLOOKUP(F267,Tabellen!H:I,2),0)</f>
        <v/>
      </c>
      <c r="N267" s="383" t="n"/>
      <c r="O267" s="384" t="n"/>
      <c r="P267">
        <f>IF(E267&gt;0,COUNTIF($E$17:E267,"&gt;0"),0)</f>
        <v/>
      </c>
      <c r="Q267" s="42">
        <f>IF(OR(F267=47201,F267=47100,F267=47200,F267=47500),H267,0)</f>
        <v/>
      </c>
      <c r="R267" s="42">
        <f>IF(OR(F267=87201,F267=87100,F267=87200,F267=87500),H267,0)</f>
        <v/>
      </c>
      <c r="S267">
        <f>IF(E267&gt;0,COUNTIF($E$121:E267,"&gt;0"),0)</f>
        <v/>
      </c>
    </row>
    <row r="268" ht="15" customHeight="1" s="418">
      <c r="A268" s="385">
        <f>IFERROR(VLOOKUP(E268,Tabellen!A:F,4),0)</f>
        <v/>
      </c>
      <c r="B268" s="15" t="n"/>
      <c r="C268" s="15">
        <f>IFERROR(VLOOKUP(E268,Tabellen!A:F,5),0)</f>
        <v/>
      </c>
      <c r="D268" s="386">
        <f>IFERROR(VLOOKUP(E268,Tabellen!A:F,6),0)</f>
        <v/>
      </c>
      <c r="E268" s="379" t="n"/>
      <c r="F268" s="380">
        <f>IFERROR(VLOOKUP(E268,Tabellen!A:H,8),0)</f>
        <v/>
      </c>
      <c r="G268" s="387">
        <f>IFERROR(VLOOKUP(E268,Tabellen!A:F,2),0)</f>
        <v/>
      </c>
      <c r="H268" s="186" t="n"/>
      <c r="I268" s="186" t="n"/>
      <c r="J268" s="186" t="n"/>
      <c r="K268" s="186" t="n"/>
      <c r="L268" s="45">
        <f>IF(E268&gt;0,$H$4,0)</f>
        <v/>
      </c>
      <c r="M268" s="382">
        <f>IFERROR(VLOOKUP(F268,Tabellen!H:I,2),0)</f>
        <v/>
      </c>
      <c r="N268" s="383" t="n"/>
      <c r="O268" s="384" t="n"/>
      <c r="P268">
        <f>IF(E268&gt;0,COUNTIF($E$17:E268,"&gt;0"),0)</f>
        <v/>
      </c>
      <c r="Q268" s="42">
        <f>IF(OR(F268=47201,F268=47100,F268=47200,F268=47500),H268,0)</f>
        <v/>
      </c>
      <c r="R268" s="42">
        <f>IF(OR(F268=87201,F268=87100,F268=87200,F268=87500),H268,0)</f>
        <v/>
      </c>
      <c r="S268">
        <f>IF(E268&gt;0,COUNTIF($E$121:E268,"&gt;0"),0)</f>
        <v/>
      </c>
    </row>
    <row r="269" ht="15" customHeight="1" s="418">
      <c r="A269" s="377">
        <f>IFERROR(VLOOKUP(E269,Tabellen!A:F,4),0)</f>
        <v/>
      </c>
      <c r="B269" s="15" t="n"/>
      <c r="C269" s="15">
        <f>IFERROR(VLOOKUP(E269,Tabellen!A:F,5),0)</f>
        <v/>
      </c>
      <c r="D269" s="378">
        <f>IFERROR(VLOOKUP(E269,Tabellen!A:F,6),0)</f>
        <v/>
      </c>
      <c r="E269" s="379" t="n"/>
      <c r="F269" s="380">
        <f>IFERROR(VLOOKUP(E269,Tabellen!A:H,8),0)</f>
        <v/>
      </c>
      <c r="G269" s="381">
        <f>IFERROR(VLOOKUP(E269,Tabellen!A:F,2),0)</f>
        <v/>
      </c>
      <c r="H269" s="186" t="n"/>
      <c r="I269" s="186" t="n"/>
      <c r="J269" s="186" t="n"/>
      <c r="K269" s="186" t="n"/>
      <c r="L269" s="45">
        <f>IF(E269&gt;0,$H$4,0)</f>
        <v/>
      </c>
      <c r="M269" s="382">
        <f>IFERROR(VLOOKUP(F269,Tabellen!H:I,2),0)</f>
        <v/>
      </c>
      <c r="N269" s="383" t="n"/>
      <c r="O269" s="384" t="n"/>
      <c r="P269">
        <f>IF(E269&gt;0,COUNTIF($E$17:E269,"&gt;0"),0)</f>
        <v/>
      </c>
      <c r="Q269" s="42">
        <f>IF(OR(F269=47201,F269=47100,F269=47200,F269=47500),H269,0)</f>
        <v/>
      </c>
      <c r="R269" s="42">
        <f>IF(OR(F269=87201,F269=87100,F269=87200,F269=87500),H269,0)</f>
        <v/>
      </c>
      <c r="S269">
        <f>IF(E269&gt;0,COUNTIF($E$121:E269,"&gt;0"),0)</f>
        <v/>
      </c>
    </row>
    <row r="270" ht="15" customHeight="1" s="418">
      <c r="A270" s="385">
        <f>IFERROR(VLOOKUP(E270,Tabellen!A:F,4),0)</f>
        <v/>
      </c>
      <c r="B270" s="15" t="n"/>
      <c r="C270" s="15">
        <f>IFERROR(VLOOKUP(E270,Tabellen!A:F,5),0)</f>
        <v/>
      </c>
      <c r="D270" s="386">
        <f>IFERROR(VLOOKUP(E270,Tabellen!A:F,6),0)</f>
        <v/>
      </c>
      <c r="E270" s="379" t="n"/>
      <c r="F270" s="380">
        <f>IFERROR(VLOOKUP(E270,Tabellen!A:H,8),0)</f>
        <v/>
      </c>
      <c r="G270" s="387">
        <f>IFERROR(VLOOKUP(E270,Tabellen!A:F,2),0)</f>
        <v/>
      </c>
      <c r="H270" s="186" t="n"/>
      <c r="I270" s="186" t="n"/>
      <c r="J270" s="186" t="n"/>
      <c r="K270" s="186" t="n"/>
      <c r="L270" s="45">
        <f>IF(E270&gt;0,$H$4,0)</f>
        <v/>
      </c>
      <c r="M270" s="382">
        <f>IFERROR(VLOOKUP(F270,Tabellen!H:I,2),0)</f>
        <v/>
      </c>
      <c r="N270" s="383" t="n"/>
      <c r="O270" s="384" t="n"/>
      <c r="P270">
        <f>IF(E270&gt;0,COUNTIF($E$17:E270,"&gt;0"),0)</f>
        <v/>
      </c>
      <c r="Q270" s="42">
        <f>IF(OR(F270=47201,F270=47100,F270=47200,F270=47500),H270,0)</f>
        <v/>
      </c>
      <c r="R270" s="42">
        <f>IF(OR(F270=87201,F270=87100,F270=87200,F270=87500),H270,0)</f>
        <v/>
      </c>
      <c r="S270">
        <f>IF(E270&gt;0,COUNTIF($E$121:E270,"&gt;0"),0)</f>
        <v/>
      </c>
    </row>
    <row r="271" ht="15" customHeight="1" s="418">
      <c r="A271" s="377">
        <f>IFERROR(VLOOKUP(E271,Tabellen!A:F,4),0)</f>
        <v/>
      </c>
      <c r="B271" s="15" t="n"/>
      <c r="C271" s="15">
        <f>IFERROR(VLOOKUP(E271,Tabellen!A:F,5),0)</f>
        <v/>
      </c>
      <c r="D271" s="378">
        <f>IFERROR(VLOOKUP(E271,Tabellen!A:F,6),0)</f>
        <v/>
      </c>
      <c r="E271" s="379" t="n"/>
      <c r="F271" s="380">
        <f>IFERROR(VLOOKUP(E271,Tabellen!A:H,8),0)</f>
        <v/>
      </c>
      <c r="G271" s="381">
        <f>IFERROR(VLOOKUP(E271,Tabellen!A:F,2),0)</f>
        <v/>
      </c>
      <c r="H271" s="186" t="n"/>
      <c r="I271" s="186" t="n"/>
      <c r="J271" s="186" t="n"/>
      <c r="K271" s="186" t="n"/>
      <c r="L271" s="45">
        <f>IF(E271&gt;0,$H$4,0)</f>
        <v/>
      </c>
      <c r="M271" s="382">
        <f>IFERROR(VLOOKUP(F271,Tabellen!H:I,2),0)</f>
        <v/>
      </c>
      <c r="N271" s="383" t="n"/>
      <c r="O271" s="384" t="n"/>
      <c r="P271">
        <f>IF(E271&gt;0,COUNTIF($E$17:E271,"&gt;0"),0)</f>
        <v/>
      </c>
      <c r="Q271" s="42">
        <f>IF(OR(F271=47201,F271=47100,F271=47200,F271=47500),H271,0)</f>
        <v/>
      </c>
      <c r="R271" s="42">
        <f>IF(OR(F271=87201,F271=87100,F271=87200,F271=87500),H271,0)</f>
        <v/>
      </c>
      <c r="S271">
        <f>IF(E271&gt;0,COUNTIF($E$121:E271,"&gt;0"),0)</f>
        <v/>
      </c>
    </row>
    <row r="272" ht="15" customHeight="1" s="418">
      <c r="A272" s="385">
        <f>IFERROR(VLOOKUP(E272,Tabellen!A:F,4),0)</f>
        <v/>
      </c>
      <c r="B272" s="15" t="n"/>
      <c r="C272" s="15">
        <f>IFERROR(VLOOKUP(E272,Tabellen!A:F,5),0)</f>
        <v/>
      </c>
      <c r="D272" s="386">
        <f>IFERROR(VLOOKUP(E272,Tabellen!A:F,6),0)</f>
        <v/>
      </c>
      <c r="E272" s="379" t="n"/>
      <c r="F272" s="380">
        <f>IFERROR(VLOOKUP(E272,Tabellen!A:H,8),0)</f>
        <v/>
      </c>
      <c r="G272" s="387">
        <f>IFERROR(VLOOKUP(E272,Tabellen!A:F,2),0)</f>
        <v/>
      </c>
      <c r="H272" s="187" t="n"/>
      <c r="I272" s="187" t="n"/>
      <c r="J272" s="187" t="n"/>
      <c r="K272" s="187" t="n"/>
      <c r="L272" s="45">
        <f>IF(E272&gt;0,$H$4,0)</f>
        <v/>
      </c>
      <c r="M272" s="382">
        <f>IFERROR(VLOOKUP(F272,Tabellen!H:I,2),0)</f>
        <v/>
      </c>
      <c r="N272" s="383" t="n"/>
      <c r="O272" s="384" t="n"/>
      <c r="P272">
        <f>IF(E272&gt;0,COUNTIF($E$17:E272,"&gt;0"),0)</f>
        <v/>
      </c>
      <c r="Q272" s="42">
        <f>IF(OR(F272=47201,F272=47100,F272=47200,F272=47500),H272,0)</f>
        <v/>
      </c>
      <c r="R272" s="42">
        <f>IF(OR(F272=87201,F272=87100,F272=87200,F272=87500),H272,0)</f>
        <v/>
      </c>
      <c r="S272">
        <f>IF(E272&gt;0,COUNTIF($E$121:E272,"&gt;0"),0)</f>
        <v/>
      </c>
    </row>
    <row r="273" ht="15" customFormat="1" customHeight="1" s="76">
      <c r="A273" s="388" t="inlineStr">
        <is>
          <t>Saldo mutaties voorzieningen</t>
        </is>
      </c>
      <c r="B273" s="389" t="n"/>
      <c r="C273" s="389" t="n"/>
      <c r="D273" s="388" t="n"/>
      <c r="E273" s="389" t="n"/>
      <c r="F273" s="390" t="n"/>
      <c r="G273" s="391" t="n"/>
      <c r="H273" s="392">
        <f>SUM(H220:H272)</f>
        <v/>
      </c>
      <c r="I273" s="392">
        <f>SUM(I220:I272)</f>
        <v/>
      </c>
      <c r="J273" s="392">
        <f>SUM(J220:J272)</f>
        <v/>
      </c>
      <c r="K273" s="392">
        <f>SUM(K220:K272)</f>
        <v/>
      </c>
      <c r="L273" s="393" t="n"/>
      <c r="M273" s="394" t="n"/>
      <c r="N273" s="390" t="n"/>
      <c r="O273" s="395" t="n"/>
      <c r="P273" s="396" t="n"/>
      <c r="Q273" s="397">
        <f>IF(OR(F273=47201,F273=47100,F273=47200,F273=47500),H273,0)</f>
        <v/>
      </c>
      <c r="R273" s="397">
        <f>IF(OR(F273=87201,F273=87100,F273=87200,F273=87500),H273,0)</f>
        <v/>
      </c>
      <c r="S273" s="396" t="n"/>
    </row>
    <row r="274" ht="15" customHeight="1" s="418">
      <c r="A274" s="130" t="n"/>
      <c r="B274" s="47" t="n"/>
      <c r="C274" s="47" t="n"/>
      <c r="D274" s="130" t="n"/>
      <c r="E274" s="47" t="n"/>
      <c r="F274" s="72" t="n"/>
      <c r="G274" s="131" t="n"/>
      <c r="H274" s="73" t="n"/>
      <c r="I274" s="73" t="n"/>
      <c r="J274" s="73" t="n"/>
      <c r="K274" s="73" t="n"/>
      <c r="L274" s="45" t="n"/>
      <c r="M274" s="132" t="n"/>
      <c r="N274" s="49" t="n"/>
      <c r="O274" s="133" t="n"/>
      <c r="Q274" s="75">
        <f>IF(OR(L274=47201,L274=47100,L274=47200,L274=47500),H274,0)</f>
        <v/>
      </c>
      <c r="R274" s="75">
        <f>IF(OR(L274=87201,L274=87100,L274=87200,L274=87500),H274,0)</f>
        <v/>
      </c>
    </row>
    <row r="275" ht="15" customHeight="1" s="418">
      <c r="A275" s="130" t="n"/>
      <c r="B275" s="47" t="n"/>
      <c r="C275" s="47" t="n"/>
      <c r="D275" s="130" t="n"/>
      <c r="E275" s="47" t="n"/>
      <c r="F275" s="72" t="n"/>
      <c r="G275" s="131" t="n"/>
      <c r="H275" s="73" t="n"/>
      <c r="I275" s="73" t="n"/>
      <c r="J275" s="73" t="n"/>
      <c r="K275" s="73" t="n"/>
      <c r="L275" s="45" t="n"/>
      <c r="M275" s="132" t="n"/>
      <c r="N275" s="49" t="n"/>
      <c r="O275" s="133" t="n"/>
      <c r="Q275" s="75">
        <f>IF(OR(L275=47201,L275=47100,L275=47200,L275=47500),H275,0)</f>
        <v/>
      </c>
      <c r="R275" s="75">
        <f>IF(OR(L275=87201,L275=87100,L275=87200,L275=87500),H275,0)</f>
        <v/>
      </c>
    </row>
    <row r="276" ht="15" customHeight="1" s="418">
      <c r="A276" s="398" t="inlineStr">
        <is>
          <t>Sluitrekening balans</t>
        </is>
      </c>
      <c r="B276" s="15" t="n"/>
      <c r="C276" s="399" t="inlineStr">
        <is>
          <t>-</t>
        </is>
      </c>
      <c r="D276" s="141" t="n"/>
      <c r="E276" s="400" t="n"/>
      <c r="F276" s="401">
        <f>IF(E276&gt;0,$H$4,0)</f>
        <v/>
      </c>
      <c r="G276" s="402" t="inlineStr">
        <is>
          <t>Sluitrekening balans</t>
        </is>
      </c>
      <c r="H276" s="73" t="n"/>
      <c r="I276" s="73" t="n">
        <v>0</v>
      </c>
      <c r="J276" s="73" t="n">
        <v>0</v>
      </c>
      <c r="K276" s="73" t="n">
        <v>0</v>
      </c>
      <c r="L276" s="403" t="n">
        <v>86100</v>
      </c>
      <c r="M276" s="404">
        <f>IFERROR(VLOOKUP(L276,Tabellen!H:I,2),0)</f>
        <v/>
      </c>
      <c r="N276" s="401" t="n">
        <v>2999999</v>
      </c>
      <c r="O276" s="133" t="n"/>
      <c r="Q276" s="397">
        <f>IF(OR(L276=47201,L276=47100,L276=47200,L276=47500),H276,0)</f>
        <v/>
      </c>
      <c r="R276" s="397">
        <f>IF(OR(L276=87201,L276=87100,L276=87200,L276=87500),H276,0)</f>
        <v/>
      </c>
    </row>
    <row r="277" ht="15" customHeight="1" s="418">
      <c r="A277" s="130" t="n"/>
      <c r="B277" s="47" t="n"/>
      <c r="C277" s="47" t="n"/>
      <c r="D277" s="130" t="n"/>
      <c r="E277" s="48" t="n"/>
      <c r="F277" s="72" t="n"/>
      <c r="G277" s="131" t="n"/>
      <c r="H277" s="73" t="n"/>
      <c r="I277" s="73" t="n"/>
      <c r="J277" s="73" t="n"/>
      <c r="K277" s="73" t="n"/>
      <c r="L277" s="45" t="n"/>
      <c r="M277" s="132" t="n"/>
      <c r="N277" s="49" t="n"/>
      <c r="O277" s="133" t="n"/>
      <c r="Q277" s="75">
        <f>IF(OR(L277=47201,L277=47100,L277=47200,L277=47500),H277,0)</f>
        <v/>
      </c>
      <c r="R277" s="75">
        <f>IF(OR(L277=87201,L277=87100,L277=87200,L277=87500),H277,0)</f>
        <v/>
      </c>
    </row>
    <row r="278" ht="15" customFormat="1" customHeight="1" s="75">
      <c r="A278" s="405" t="inlineStr">
        <is>
          <t>Controle balansmutaties (saldo mutaties -/- sluitrekening balans = leeg)</t>
        </is>
      </c>
      <c r="B278" s="406" t="n"/>
      <c r="C278" s="406" t="n"/>
      <c r="D278" s="405" t="n"/>
      <c r="E278" s="407" t="n"/>
      <c r="F278" s="408" t="n"/>
      <c r="G278" s="409" t="n"/>
      <c r="H278" s="410">
        <f>IF(H168+H217+H273+H276=0,"✓  Balans = 0",H168+H217+H273+H276+H112)</f>
        <v/>
      </c>
      <c r="I278" s="410">
        <f>I168+I217+I273+I276</f>
        <v/>
      </c>
      <c r="J278" s="410">
        <f>J168+J217+J273+J276</f>
        <v/>
      </c>
      <c r="K278" s="410">
        <f>K168+K217+K273+K276</f>
        <v/>
      </c>
      <c r="L278" s="411" t="n"/>
      <c r="M278" s="412" t="n"/>
      <c r="N278" s="413" t="n"/>
      <c r="O278" s="414" t="n"/>
      <c r="P278" s="207" t="n"/>
      <c r="Q278" s="415" t="inlineStr">
        <is>
          <t>Controle bugettair neutraal (=leeg)</t>
        </is>
      </c>
      <c r="R278" s="415">
        <f>SUM(Q17:R276)</f>
        <v/>
      </c>
      <c r="S278" s="207" t="n"/>
    </row>
    <row r="279" ht="15" customHeight="1" s="418">
      <c r="A279" s="134" t="n"/>
      <c r="B279" s="54" t="n"/>
      <c r="C279" s="54" t="n"/>
      <c r="D279" s="134" t="n"/>
      <c r="E279" s="55" t="n"/>
      <c r="F279" s="54" t="n"/>
      <c r="G279" s="134" t="n"/>
      <c r="H279" s="57" t="n"/>
      <c r="I279" s="57" t="n"/>
      <c r="J279" s="57" t="n"/>
      <c r="K279" s="57" t="n"/>
      <c r="L279" s="57" t="n"/>
      <c r="M279" s="142" t="n"/>
      <c r="N279" s="54" t="n"/>
      <c r="O279" s="134" t="n"/>
    </row>
    <row r="280" ht="15" customHeight="1" s="418">
      <c r="A280" s="134" t="n"/>
      <c r="B280" s="54" t="n"/>
      <c r="C280" s="54" t="n"/>
      <c r="D280" s="134" t="n"/>
      <c r="E280" s="55" t="n"/>
      <c r="F280" s="54" t="n"/>
      <c r="G280" s="134" t="n"/>
      <c r="H280" s="57" t="n"/>
      <c r="I280" s="57" t="n"/>
      <c r="J280" s="57" t="n"/>
      <c r="K280" s="57" t="n"/>
      <c r="L280" s="57" t="n"/>
      <c r="M280" s="142" t="n"/>
      <c r="N280" s="54" t="n"/>
      <c r="O280" s="134" t="n"/>
    </row>
    <row r="281" ht="15" customHeight="1" s="418">
      <c r="A281" s="143" t="n"/>
      <c r="B281" s="78" t="n"/>
      <c r="C281" s="86" t="n"/>
      <c r="D281" s="416" t="n"/>
      <c r="G281" s="111" t="n"/>
      <c r="I281" s="111" t="n"/>
      <c r="K281" s="111" t="n"/>
      <c r="M281" s="111" t="n"/>
      <c r="O281" s="111" t="n"/>
    </row>
    <row r="282" ht="15" customHeight="1" s="418">
      <c r="A282" s="143" t="n"/>
      <c r="B282" s="78" t="n"/>
      <c r="C282" s="82" t="n"/>
      <c r="D282" s="144" t="n"/>
      <c r="G282" s="111" t="n"/>
      <c r="H282" s="53" t="n"/>
      <c r="I282" s="111" t="n"/>
      <c r="K282" s="111" t="n"/>
      <c r="M282" s="111" t="n"/>
      <c r="O282" s="111" t="n"/>
    </row>
    <row r="283" ht="15" customHeight="1" s="418">
      <c r="A283" s="143" t="n"/>
      <c r="B283" s="78" t="n"/>
      <c r="C283" s="82" t="n"/>
      <c r="D283" s="144" t="n"/>
      <c r="G283" s="111" t="n"/>
      <c r="I283" s="111" t="n"/>
      <c r="K283" s="111" t="n"/>
      <c r="M283" s="111" t="n"/>
      <c r="O283" s="111" t="n"/>
    </row>
    <row r="284" ht="15" customHeight="1" s="418">
      <c r="A284" s="145" t="n"/>
      <c r="B284" s="80" t="n"/>
      <c r="C284" s="80" t="n"/>
      <c r="D284" s="144" t="n"/>
      <c r="G284" s="111" t="n"/>
      <c r="I284" s="111" t="n"/>
      <c r="K284" s="111" t="n"/>
      <c r="M284" s="111" t="n"/>
      <c r="O284" s="111" t="n"/>
    </row>
    <row r="285" ht="15" customHeight="1" s="418">
      <c r="A285" s="143" t="n"/>
      <c r="B285" s="78" t="n"/>
      <c r="C285" s="87" t="n"/>
      <c r="D285" s="144" t="n"/>
      <c r="G285" s="111" t="n"/>
      <c r="I285" s="111" t="n"/>
      <c r="K285" s="111" t="n"/>
      <c r="M285" s="111" t="n"/>
      <c r="O285" s="111" t="n"/>
    </row>
    <row r="286" ht="15" customHeight="1" s="418">
      <c r="A286" s="145" t="n"/>
      <c r="B286" s="80" t="n"/>
      <c r="C286" s="80" t="n"/>
      <c r="D286" s="144" t="n"/>
      <c r="G286" s="111" t="n"/>
      <c r="I286" s="111" t="n"/>
      <c r="K286" s="111" t="n"/>
      <c r="M286" s="111" t="n"/>
      <c r="O286" s="111" t="n"/>
    </row>
    <row r="287" ht="15" customHeight="1" s="418">
      <c r="A287" s="146" t="n"/>
      <c r="B287" s="79" t="n"/>
      <c r="C287" s="86" t="n"/>
      <c r="D287" s="144" t="n"/>
      <c r="G287" s="111" t="n"/>
      <c r="I287" s="111" t="n"/>
      <c r="K287" s="111" t="n"/>
      <c r="M287" s="111" t="n"/>
      <c r="O287" s="111" t="n"/>
    </row>
    <row r="288" ht="15" customHeight="1" s="418">
      <c r="A288" s="146" t="n"/>
      <c r="B288" s="79" t="n"/>
      <c r="C288" s="86" t="n"/>
      <c r="D288" s="144" t="n"/>
      <c r="G288" s="111" t="n"/>
      <c r="I288" s="111" t="n"/>
      <c r="K288" s="111" t="n"/>
      <c r="M288" s="111" t="n"/>
      <c r="O288" s="111" t="n"/>
    </row>
    <row r="289" ht="15" customHeight="1" s="418">
      <c r="A289" s="147" t="n"/>
      <c r="B289" s="81" t="n"/>
      <c r="C289" s="88" t="n"/>
      <c r="D289" s="148" t="n"/>
      <c r="G289" s="111" t="n"/>
      <c r="I289" s="111" t="n"/>
      <c r="K289" s="111" t="n"/>
      <c r="M289" s="111" t="n"/>
      <c r="O289" s="111" t="n"/>
    </row>
    <row r="290" ht="15" customHeight="1" s="418">
      <c r="A290" s="143" t="n"/>
      <c r="B290" s="78" t="n"/>
      <c r="C290" s="82" t="n"/>
      <c r="D290" s="144" t="n"/>
      <c r="G290" s="111" t="n"/>
      <c r="I290" s="111" t="n"/>
      <c r="K290" s="111" t="n"/>
      <c r="M290" s="111" t="n"/>
      <c r="O290" s="111" t="n"/>
    </row>
    <row r="291" ht="15" customHeight="1" s="418">
      <c r="A291" s="143" t="n"/>
      <c r="B291" s="78" t="n"/>
      <c r="C291" s="121" t="n"/>
      <c r="D291" s="144" t="n"/>
      <c r="G291" s="111" t="n"/>
      <c r="I291" s="111" t="n"/>
      <c r="K291" s="111" t="n"/>
      <c r="M291" s="111" t="n"/>
      <c r="O291" s="111" t="n"/>
    </row>
  </sheetData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tabColor rgb="FF4A4A4A"/>
    <outlinePr summaryBelow="1" summaryRight="1"/>
    <pageSetUpPr/>
  </sheetPr>
  <dimension ref="A1:N251"/>
  <sheetViews>
    <sheetView workbookViewId="0">
      <pane ySplit="4" topLeftCell="A5" activePane="bottomLeft" state="frozen"/>
      <selection pane="bottomLeft" activeCell="C21" sqref="C21"/>
    </sheetView>
  </sheetViews>
  <sheetFormatPr baseColWidth="8" defaultRowHeight="14.4"/>
  <cols>
    <col width="12" customWidth="1" style="418" min="1" max="1"/>
    <col width="14" customWidth="1" style="418" min="2" max="4"/>
    <col width="40" customWidth="1" style="418" min="5" max="5"/>
    <col width="14" customWidth="1" style="418" min="6" max="9"/>
    <col hidden="1" width="9.109375" customWidth="1" style="418" min="10" max="10"/>
    <col hidden="1" width="10.33203125" customWidth="1" style="418" min="11" max="11"/>
    <col hidden="1" width="5" customWidth="1" style="418" min="12" max="12"/>
    <col width="11.33203125" customWidth="1" style="418" min="13" max="13"/>
    <col width="9.109375" customWidth="1" style="418" min="15" max="15"/>
  </cols>
  <sheetData>
    <row r="1" ht="24" customHeight="1" s="418">
      <c r="A1" s="236" t="inlineStr">
        <is>
          <t>Coda import — Begrotingswijziging</t>
        </is>
      </c>
      <c r="B1" s="237" t="n"/>
      <c r="C1" s="237">
        <f>'Invullen groen'!H4</f>
        <v/>
      </c>
      <c r="D1" s="237" t="n"/>
      <c r="E1" s="237" t="n"/>
      <c r="F1" s="238" t="n"/>
      <c r="G1" s="238" t="n"/>
      <c r="H1" s="238" t="n"/>
      <c r="I1" s="238" t="n"/>
      <c r="J1" s="209" t="n"/>
      <c r="K1" s="209">
        <f>'Invullen groen'!H4</f>
        <v/>
      </c>
      <c r="L1" s="116" t="n"/>
      <c r="M1" s="116" t="n"/>
      <c r="N1" s="116" t="n"/>
    </row>
    <row r="2" ht="16.05" customHeight="1" s="418">
      <c r="A2" s="428" t="n"/>
      <c r="B2" s="239" t="n"/>
      <c r="C2" s="239" t="n"/>
      <c r="D2" s="239" t="n"/>
      <c r="E2" s="239" t="n"/>
      <c r="F2" s="240" t="inlineStr">
        <is>
          <t>Baten en lasten:</t>
        </is>
      </c>
      <c r="G2" s="240" t="inlineStr">
        <is>
          <t>Baten en lasten:</t>
        </is>
      </c>
      <c r="H2" s="240" t="inlineStr">
        <is>
          <t>Baten en lasten:</t>
        </is>
      </c>
      <c r="I2" s="240" t="inlineStr">
        <is>
          <t>Baten en lasten:</t>
        </is>
      </c>
      <c r="J2" s="241" t="n"/>
      <c r="K2" s="241" t="n"/>
      <c r="L2" s="116" t="n"/>
      <c r="M2" s="116" t="n"/>
      <c r="N2" s="116" t="n"/>
    </row>
    <row r="3" ht="16.05" customHeight="1" s="418">
      <c r="A3" s="242" t="n"/>
      <c r="B3" s="239" t="n"/>
      <c r="C3" s="239" t="n"/>
      <c r="D3" s="239" t="n"/>
      <c r="E3" s="239" t="n"/>
      <c r="F3" s="239" t="n">
        <v>2026</v>
      </c>
      <c r="G3" s="239" t="n">
        <v>2027</v>
      </c>
      <c r="H3" s="239" t="n">
        <v>2028</v>
      </c>
      <c r="I3" s="239" t="n">
        <v>2029</v>
      </c>
      <c r="J3" s="241" t="n"/>
      <c r="K3" s="241" t="n"/>
      <c r="L3" s="116" t="n"/>
      <c r="M3" s="116" t="n"/>
      <c r="N3" s="116" t="n"/>
    </row>
    <row r="4" ht="18" customHeight="1" s="418">
      <c r="A4" s="243" t="inlineStr">
        <is>
          <t>Grootboek</t>
        </is>
      </c>
      <c r="B4" s="244" t="inlineStr">
        <is>
          <t>Econ.Categorie</t>
        </is>
      </c>
      <c r="C4" s="244" t="inlineStr">
        <is>
          <t>Verbijzondering</t>
        </is>
      </c>
      <c r="D4" s="244" t="inlineStr">
        <is>
          <t>Verdere verbijz.</t>
        </is>
      </c>
      <c r="E4" s="244" t="inlineStr">
        <is>
          <t>Omschrijving</t>
        </is>
      </c>
      <c r="F4" s="245" t="inlineStr">
        <is>
          <t>Bedrag:</t>
        </is>
      </c>
      <c r="G4" s="245" t="inlineStr">
        <is>
          <t>Bedrag:</t>
        </is>
      </c>
      <c r="H4" s="245" t="inlineStr">
        <is>
          <t>Bedrag:</t>
        </is>
      </c>
      <c r="I4" s="245" t="inlineStr">
        <is>
          <t>Bedrag:</t>
        </is>
      </c>
      <c r="J4" s="246" t="n"/>
      <c r="K4" s="246" t="n"/>
      <c r="L4" s="116" t="n"/>
      <c r="M4" s="116" t="n"/>
      <c r="N4" s="116" t="n"/>
    </row>
    <row r="5" ht="15" customHeight="1" s="418">
      <c r="A5" s="247">
        <f>IFERROR(IF($L5&gt;0,INDEX('Invullen groen'!$E:$E,$L5),""),"")</f>
        <v/>
      </c>
      <c r="B5" s="247">
        <f>IFERROR(IF($L5&gt;0,IF(INDEX('Invullen groen'!$F:$F,$L5)&gt;0,INDEX('Invullen groen'!$F:$F,$L5),""),""),"")</f>
        <v/>
      </c>
      <c r="C5" s="247">
        <f>IFERROR(IF($L5&gt;0,IF(INDEX('Invullen groen'!$N:$N,$L5)&gt;0,INDEX('Invullen groen'!$N:$N,$L5),""),""),"")</f>
        <v/>
      </c>
      <c r="D5" s="247" t="n"/>
      <c r="E5" s="247">
        <f>IFERROR(IF(LEN(J5)&lt;=36,J5,IFERROR(LEFT(J5,FIND(CHAR(1),SUBSTITUTE(LEFT(J5,36)," ",CHAR(1),LEN(LEFT(J5,36))-LEN(SUBSTITUTE(LEFT(J5,36)," ",""))))-1),LEFT(O5,36))),"")</f>
        <v/>
      </c>
      <c r="F5" s="248">
        <f>IFERROR(IF($L5&gt;0,IF(INDEX('Invullen groen'!$H:$H,$L5)=0,"",INT(INDEX('Invullen groen'!$H:$H,$L5))),""),"")</f>
        <v/>
      </c>
      <c r="G5" s="248">
        <f>IFERROR(IF($L5&gt;0,IF(INDEX('Invullen groen'!$I:$I,$L5)=0,"",INT(INDEX('Invullen groen'!$I:$I,$L5))),""),"")</f>
        <v/>
      </c>
      <c r="H5" s="248">
        <f>IFERROR(IF($L5&gt;0,IF(INDEX('Invullen groen'!$J:$J,$L5)=0,"",INT(INDEX('Invullen groen'!$J:$J,$L5))),""),"")</f>
        <v/>
      </c>
      <c r="I5" s="248">
        <f>IFERROR(IF($L5&gt;0,IF(INDEX('Invullen groen'!$K:$K,$L5)=0,"",INT(INDEX('Invullen groen'!$K:$K,$L5))),""),"")</f>
        <v/>
      </c>
      <c r="J5" s="247">
        <f>IF($L5&gt;0,IFERROR($K$1&amp;" "&amp;TRIM(SUBSTITUTE(SUBSTITUTE(SUBSTITUTE(SUBSTITUTE(SUBSTITUTE(SUBSTITUTE(SUBSTITUTE(SUBSTITUTE(SUBSTITUTE(SUBSTITUTE(SUBSTITUTE(SUBSTITUTE(LOWER(INDEX('Invullen groen'!$O:$O,$L5)),"2024",""),"2025",""),"2026",""),"2027",""),"2028",""),"2029",""),"taakveld ",""),"installaties","inst"),"ruwbouw","ruwb"),"afbouw","afb"),"bijstelling","bijst"),"investeringen","invest")),""),"")</f>
        <v/>
      </c>
      <c r="K5" s="247" t="n"/>
      <c r="L5" s="122">
        <f>IFERROR(MATCH(ROW()-4,'Invullen groen'!$P$17:$P$109,0)+16,0)</f>
        <v/>
      </c>
      <c r="M5" s="122" t="n"/>
      <c r="N5" s="122" t="n"/>
    </row>
    <row r="6" ht="15" customHeight="1" s="418">
      <c r="A6" s="249">
        <f>IFERROR(IF($L6&gt;0,INDEX('Invullen groen'!$E:$E,$L6),""),"")</f>
        <v/>
      </c>
      <c r="B6" s="249">
        <f>IFERROR(IF($L6&gt;0,IF(INDEX('Invullen groen'!$F:$F,$L6)&gt;0,INDEX('Invullen groen'!$F:$F,$L6),""),""),"")</f>
        <v/>
      </c>
      <c r="C6" s="249">
        <f>IFERROR(IF($L6&gt;0,IF(INDEX('Invullen groen'!$N:$N,$L6)&gt;0,INDEX('Invullen groen'!$N:$N,$L6),""),""),"")</f>
        <v/>
      </c>
      <c r="D6" s="249" t="n"/>
      <c r="E6" s="249">
        <f>IFERROR(IF(LEN(J6)&lt;=36,J6,IFERROR(LEFT(J6,FIND(CHAR(1),SUBSTITUTE(LEFT(J6,36)," ",CHAR(1),LEN(LEFT(J6,36))-LEN(SUBSTITUTE(LEFT(J6,36)," ",""))))-1),LEFT(J6,36))),"")</f>
        <v/>
      </c>
      <c r="F6" s="250">
        <f>IFERROR(IF($L6&gt;0,IF(INDEX('Invullen groen'!$H:$H,$L6)=0,"",INT(INDEX('Invullen groen'!$H:$H,$L6))),""),"")</f>
        <v/>
      </c>
      <c r="G6" s="250">
        <f>IFERROR(IF($L6&gt;0,IF(INDEX('Invullen groen'!$I:$I,$L6)=0,"",INT(INDEX('Invullen groen'!$I:$I,$L6))),""),"")</f>
        <v/>
      </c>
      <c r="H6" s="250">
        <f>IFERROR(IF($L6&gt;0,IF(INDEX('Invullen groen'!$J:$J,$L6)=0,"",INT(INDEX('Invullen groen'!$J:$J,$L6))),""),"")</f>
        <v/>
      </c>
      <c r="I6" s="250">
        <f>IFERROR(IF($L6&gt;0,IF(INDEX('Invullen groen'!$K:$K,$L6)=0,"",INT(INDEX('Invullen groen'!$K:$K,$L6))),""),"")</f>
        <v/>
      </c>
      <c r="J6" s="249">
        <f>IF($L6&gt;0,IFERROR($K$1&amp;" "&amp;TRIM(SUBSTITUTE(SUBSTITUTE(SUBSTITUTE(SUBSTITUTE(SUBSTITUTE(SUBSTITUTE(SUBSTITUTE(SUBSTITUTE(SUBSTITUTE(SUBSTITUTE(SUBSTITUTE(SUBSTITUTE(LOWER(INDEX('Invullen groen'!$O:$O,$L6)),"2024",""),"2025",""),"2026",""),"2027",""),"2028",""),"2029",""),"taakveld ",""),"installaties","inst"),"ruwbouw","ruwb"),"afbouw","afb"),"bijstelling","bijst"),"investeringen","invest")),""),"")</f>
        <v/>
      </c>
      <c r="K6" s="249" t="n"/>
      <c r="L6" s="122">
        <f>IFERROR(MATCH(ROW()-4,'Invullen groen'!$P$17:$P$109,0)+16,0)</f>
        <v/>
      </c>
      <c r="M6" s="122" t="n"/>
      <c r="N6" s="122" t="n"/>
    </row>
    <row r="7" ht="15" customHeight="1" s="418">
      <c r="A7" s="247">
        <f>IFERROR(IF($L7&gt;0,INDEX('Invullen groen'!$E:$E,$L7),""),"")</f>
        <v/>
      </c>
      <c r="B7" s="247">
        <f>IFERROR(IF($L7&gt;0,IF(INDEX('Invullen groen'!$F:$F,$L7)&gt;0,INDEX('Invullen groen'!$F:$F,$L7),""),""),"")</f>
        <v/>
      </c>
      <c r="C7" s="247">
        <f>IFERROR(IF($L7&gt;0,IF(INDEX('Invullen groen'!$N:$N,$L7)&gt;0,INDEX('Invullen groen'!$N:$N,$L7),""),""),"")</f>
        <v/>
      </c>
      <c r="D7" s="247" t="n"/>
      <c r="E7" s="247">
        <f>IFERROR(IF(LEN(J7)&lt;=36,J7,IFERROR(LEFT(J7,FIND(CHAR(1),SUBSTITUTE(LEFT(J7,36)," ",CHAR(1),LEN(LEFT(J7,36))-LEN(SUBSTITUTE(LEFT(J7,36)," ",""))))-1),LEFT(J7,36))),"")</f>
        <v/>
      </c>
      <c r="F7" s="248">
        <f>IFERROR(IF($L7&gt;0,IF(INDEX('Invullen groen'!$H:$H,$L7)=0,"",INT(INDEX('Invullen groen'!$H:$H,$L7))),""),"")</f>
        <v/>
      </c>
      <c r="G7" s="248">
        <f>IFERROR(IF($L7&gt;0,IF(INDEX('Invullen groen'!$I:$I,$L7)=0,"",INT(INDEX('Invullen groen'!$I:$I,$L7))),""),"")</f>
        <v/>
      </c>
      <c r="H7" s="248">
        <f>IFERROR(IF($L7&gt;0,IF(INDEX('Invullen groen'!$J:$J,$L7)=0,"",INT(INDEX('Invullen groen'!$J:$J,$L7))),""),"")</f>
        <v/>
      </c>
      <c r="I7" s="248">
        <f>IFERROR(IF($L7&gt;0,IF(INDEX('Invullen groen'!$K:$K,$L7)=0,"",INT(INDEX('Invullen groen'!$K:$K,$L7))),""),"")</f>
        <v/>
      </c>
      <c r="J7" s="247">
        <f>IF($L7&gt;0,IFERROR($K$1&amp;" "&amp;TRIM(SUBSTITUTE(SUBSTITUTE(SUBSTITUTE(SUBSTITUTE(SUBSTITUTE(SUBSTITUTE(SUBSTITUTE(SUBSTITUTE(SUBSTITUTE(SUBSTITUTE(SUBSTITUTE(SUBSTITUTE(LOWER(INDEX('Invullen groen'!$O:$O,$L7)),"2024",""),"2025",""),"2026",""),"2027",""),"2028",""),"2029",""),"taakveld ",""),"installaties","inst"),"ruwbouw","ruwb"),"afbouw","afb"),"bijstelling","bijst"),"investeringen","invest")),""),"")</f>
        <v/>
      </c>
      <c r="K7" s="247" t="n"/>
      <c r="L7" s="122">
        <f>IFERROR(MATCH(ROW()-4,'Invullen groen'!$P$17:$P$109,0)+16,0)</f>
        <v/>
      </c>
      <c r="M7" s="122" t="n"/>
      <c r="N7" s="122" t="n"/>
    </row>
    <row r="8" ht="15" customHeight="1" s="418">
      <c r="A8" s="249">
        <f>IFERROR(IF($L8&gt;0,INDEX('Invullen groen'!$E:$E,$L8),""),"")</f>
        <v/>
      </c>
      <c r="B8" s="249">
        <f>IFERROR(IF($L8&gt;0,IF(INDEX('Invullen groen'!$F:$F,$L8)&gt;0,INDEX('Invullen groen'!$F:$F,$L8),""),""),"")</f>
        <v/>
      </c>
      <c r="C8" s="249">
        <f>IFERROR(IF($L8&gt;0,IF(INDEX('Invullen groen'!$N:$N,$L8)&gt;0,INDEX('Invullen groen'!$N:$N,$L8),""),""),"")</f>
        <v/>
      </c>
      <c r="D8" s="249" t="n"/>
      <c r="E8" s="249">
        <f>IFERROR(IF(LEN(J8)&lt;=36,J8,IFERROR(LEFT(J8,FIND(CHAR(1),SUBSTITUTE(LEFT(J8,36)," ",CHAR(1),LEN(LEFT(J8,36))-LEN(SUBSTITUTE(LEFT(J8,36)," ",""))))-1),LEFT(J8,36))),"")</f>
        <v/>
      </c>
      <c r="F8" s="250">
        <f>IFERROR(IF($L8&gt;0,IF(INDEX('Invullen groen'!$H:$H,$L8)=0,"",INT(INDEX('Invullen groen'!$H:$H,$L8))),""),"")</f>
        <v/>
      </c>
      <c r="G8" s="250">
        <f>IFERROR(IF($L8&gt;0,IF(INDEX('Invullen groen'!$I:$I,$L8)=0,"",INT(INDEX('Invullen groen'!$I:$I,$L8))),""),"")</f>
        <v/>
      </c>
      <c r="H8" s="250">
        <f>IFERROR(IF($L8&gt;0,IF(INDEX('Invullen groen'!$J:$J,$L8)=0,"",INT(INDEX('Invullen groen'!$J:$J,$L8))),""),"")</f>
        <v/>
      </c>
      <c r="I8" s="250">
        <f>IFERROR(IF($L8&gt;0,IF(INDEX('Invullen groen'!$K:$K,$L8)=0,"",INT(INDEX('Invullen groen'!$K:$K,$L8))),""),"")</f>
        <v/>
      </c>
      <c r="J8" s="249">
        <f>IF($L8&gt;0,IFERROR($K$1&amp;" "&amp;TRIM(SUBSTITUTE(SUBSTITUTE(SUBSTITUTE(SUBSTITUTE(SUBSTITUTE(SUBSTITUTE(SUBSTITUTE(SUBSTITUTE(SUBSTITUTE(SUBSTITUTE(SUBSTITUTE(SUBSTITUTE(LOWER(INDEX('Invullen groen'!$O:$O,$L8)),"2024",""),"2025",""),"2026",""),"2027",""),"2028",""),"2029",""),"taakveld ",""),"installaties","inst"),"ruwbouw","ruwb"),"afbouw","afb"),"bijstelling","bijst"),"investeringen","invest")),""),"")</f>
        <v/>
      </c>
      <c r="K8" s="249" t="n"/>
      <c r="L8" s="122">
        <f>IFERROR(MATCH(ROW()-4,'Invullen groen'!$P$17:$P$109,0)+16,0)</f>
        <v/>
      </c>
      <c r="M8" s="122" t="n"/>
      <c r="N8" s="122" t="n"/>
    </row>
    <row r="9" ht="15" customHeight="1" s="418">
      <c r="A9" s="247">
        <f>IFERROR(IF($L9&gt;0,INDEX('Invullen groen'!$E:$E,$L9),""),"")</f>
        <v/>
      </c>
      <c r="B9" s="247">
        <f>IFERROR(IF($L9&gt;0,IF(INDEX('Invullen groen'!$F:$F,$L9)&gt;0,INDEX('Invullen groen'!$F:$F,$L9),""),""),"")</f>
        <v/>
      </c>
      <c r="C9" s="247">
        <f>IFERROR(IF($L9&gt;0,IF(INDEX('Invullen groen'!$N:$N,$L9)&gt;0,INDEX('Invullen groen'!$N:$N,$L9),""),""),"")</f>
        <v/>
      </c>
      <c r="D9" s="247" t="n"/>
      <c r="E9" s="247">
        <f>IFERROR(IF(LEN(J9)&lt;=36,J9,IFERROR(LEFT(J9,FIND(CHAR(1),SUBSTITUTE(LEFT(J9,36)," ",CHAR(1),LEN(LEFT(J9,36))-LEN(SUBSTITUTE(LEFT(J9,36)," ",""))))-1),LEFT(J9,36))),"")</f>
        <v/>
      </c>
      <c r="F9" s="248">
        <f>IFERROR(IF($L9&gt;0,IF(INDEX('Invullen groen'!$H:$H,$L9)=0,"",INT(INDEX('Invullen groen'!$H:$H,$L9))),""),"")</f>
        <v/>
      </c>
      <c r="G9" s="248">
        <f>IFERROR(IF($L9&gt;0,IF(INDEX('Invullen groen'!$I:$I,$L9)=0,"",INT(INDEX('Invullen groen'!$I:$I,$L9))),""),"")</f>
        <v/>
      </c>
      <c r="H9" s="248">
        <f>IFERROR(IF($L9&gt;0,IF(INDEX('Invullen groen'!$J:$J,$L9)=0,"",INT(INDEX('Invullen groen'!$J:$J,$L9))),""),"")</f>
        <v/>
      </c>
      <c r="I9" s="248">
        <f>IFERROR(IF($L9&gt;0,IF(INDEX('Invullen groen'!$K:$K,$L9)=0,"",INT(INDEX('Invullen groen'!$K:$K,$L9))),""),"")</f>
        <v/>
      </c>
      <c r="J9" s="247">
        <f>IF($L9&gt;0,IFERROR($K$1&amp;" "&amp;TRIM(SUBSTITUTE(SUBSTITUTE(SUBSTITUTE(SUBSTITUTE(SUBSTITUTE(SUBSTITUTE(SUBSTITUTE(SUBSTITUTE(SUBSTITUTE(SUBSTITUTE(SUBSTITUTE(SUBSTITUTE(LOWER(INDEX('Invullen groen'!$O:$O,$L9)),"2024",""),"2025",""),"2026",""),"2027",""),"2028",""),"2029",""),"taakveld ",""),"installaties","inst"),"ruwbouw","ruwb"),"afbouw","afb"),"bijstelling","bijst"),"investeringen","invest")),""),"")</f>
        <v/>
      </c>
      <c r="K9" s="247" t="n"/>
      <c r="L9" s="122">
        <f>IFERROR(MATCH(ROW()-4,'Invullen groen'!$P$17:$P$109,0)+16,0)</f>
        <v/>
      </c>
      <c r="M9" s="122" t="n"/>
      <c r="N9" s="122" t="n"/>
    </row>
    <row r="10" ht="15" customHeight="1" s="418">
      <c r="A10" s="249">
        <f>IFERROR(IF($L10&gt;0,INDEX('Invullen groen'!$E:$E,$L10),""),"")</f>
        <v/>
      </c>
      <c r="B10" s="249">
        <f>IFERROR(IF($L10&gt;0,IF(INDEX('Invullen groen'!$F:$F,$L10)&gt;0,INDEX('Invullen groen'!$F:$F,$L10),""),""),"")</f>
        <v/>
      </c>
      <c r="C10" s="249">
        <f>IFERROR(IF($L10&gt;0,IF(INDEX('Invullen groen'!$N:$N,$L10)&gt;0,INDEX('Invullen groen'!$N:$N,$L10),""),""),"")</f>
        <v/>
      </c>
      <c r="D10" s="249" t="n"/>
      <c r="E10" s="249">
        <f>IFERROR(IF(LEN(J10)&lt;=36,J10,IFERROR(LEFT(J10,FIND(CHAR(1),SUBSTITUTE(LEFT(J10,36)," ",CHAR(1),LEN(LEFT(J10,36))-LEN(SUBSTITUTE(LEFT(J10,36)," ",""))))-1),LEFT(J10,36))),"")</f>
        <v/>
      </c>
      <c r="F10" s="250">
        <f>IFERROR(IF($L10&gt;0,IF(INDEX('Invullen groen'!$H:$H,$L10)=0,"",INT(INDEX('Invullen groen'!$H:$H,$L10))),""),"")</f>
        <v/>
      </c>
      <c r="G10" s="250">
        <f>IFERROR(IF($L10&gt;0,IF(INDEX('Invullen groen'!$I:$I,$L10)=0,"",INT(INDEX('Invullen groen'!$I:$I,$L10))),""),"")</f>
        <v/>
      </c>
      <c r="H10" s="250">
        <f>IFERROR(IF($L10&gt;0,IF(INDEX('Invullen groen'!$J:$J,$L10)=0,"",INT(INDEX('Invullen groen'!$J:$J,$L10))),""),"")</f>
        <v/>
      </c>
      <c r="I10" s="250">
        <f>IFERROR(IF($L10&gt;0,IF(INDEX('Invullen groen'!$K:$K,$L10)=0,"",INT(INDEX('Invullen groen'!$K:$K,$L10))),""),"")</f>
        <v/>
      </c>
      <c r="J10" s="249">
        <f>IF($L10&gt;0,IFERROR($K$1&amp;" "&amp;TRIM(SUBSTITUTE(SUBSTITUTE(SUBSTITUTE(SUBSTITUTE(SUBSTITUTE(SUBSTITUTE(SUBSTITUTE(SUBSTITUTE(SUBSTITUTE(SUBSTITUTE(SUBSTITUTE(SUBSTITUTE(LOWER(INDEX('Invullen groen'!$O:$O,$L10)),"2024",""),"2025",""),"2026",""),"2027",""),"2028",""),"2029",""),"taakveld ",""),"installaties","inst"),"ruwbouw","ruwb"),"afbouw","afb"),"bijstelling","bijst"),"investeringen","invest")),""),"")</f>
        <v/>
      </c>
      <c r="K10" s="249" t="n"/>
      <c r="L10" s="122">
        <f>IFERROR(MATCH(ROW()-4,'Invullen groen'!$P$17:$P$109,0)+16,0)</f>
        <v/>
      </c>
      <c r="M10" s="122" t="n"/>
      <c r="N10" s="122" t="n"/>
    </row>
    <row r="11" ht="15" customHeight="1" s="418">
      <c r="A11" s="247">
        <f>IFERROR(IF($L11&gt;0,INDEX('Invullen groen'!$E:$E,$L11),""),"")</f>
        <v/>
      </c>
      <c r="B11" s="247">
        <f>IFERROR(IF($L11&gt;0,IF(INDEX('Invullen groen'!$F:$F,$L11)&gt;0,INDEX('Invullen groen'!$F:$F,$L11),""),""),"")</f>
        <v/>
      </c>
      <c r="C11" s="247">
        <f>IFERROR(IF($L11&gt;0,IF(INDEX('Invullen groen'!$N:$N,$L11)&gt;0,INDEX('Invullen groen'!$N:$N,$L11),""),""),"")</f>
        <v/>
      </c>
      <c r="D11" s="247" t="n"/>
      <c r="E11" s="247">
        <f>IFERROR(IF(LEN(J11)&lt;=36,J11,IFERROR(LEFT(J11,FIND(CHAR(1),SUBSTITUTE(LEFT(J11,36)," ",CHAR(1),LEN(LEFT(J11,36))-LEN(SUBSTITUTE(LEFT(J11,36)," ",""))))-1),LEFT(J11,36))),"")</f>
        <v/>
      </c>
      <c r="F11" s="248">
        <f>IFERROR(IF($L11&gt;0,IF(INDEX('Invullen groen'!$H:$H,$L11)=0,"",INT(INDEX('Invullen groen'!$H:$H,$L11))),""),"")</f>
        <v/>
      </c>
      <c r="G11" s="248">
        <f>IFERROR(IF($L11&gt;0,IF(INDEX('Invullen groen'!$I:$I,$L11)=0,"",INT(INDEX('Invullen groen'!$I:$I,$L11))),""),"")</f>
        <v/>
      </c>
      <c r="H11" s="248">
        <f>IFERROR(IF($L11&gt;0,IF(INDEX('Invullen groen'!$J:$J,$L11)=0,"",INT(INDEX('Invullen groen'!$J:$J,$L11))),""),"")</f>
        <v/>
      </c>
      <c r="I11" s="248">
        <f>IFERROR(IF($L11&gt;0,IF(INDEX('Invullen groen'!$K:$K,$L11)=0,"",INT(INDEX('Invullen groen'!$K:$K,$L11))),""),"")</f>
        <v/>
      </c>
      <c r="J11" s="247">
        <f>IF($L11&gt;0,IFERROR($K$1&amp;" "&amp;TRIM(SUBSTITUTE(SUBSTITUTE(SUBSTITUTE(SUBSTITUTE(SUBSTITUTE(SUBSTITUTE(SUBSTITUTE(SUBSTITUTE(SUBSTITUTE(SUBSTITUTE(SUBSTITUTE(SUBSTITUTE(LOWER(INDEX('Invullen groen'!$O:$O,$L11)),"2024",""),"2025",""),"2026",""),"2027",""),"2028",""),"2029",""),"taakveld ",""),"installaties","inst"),"ruwbouw","ruwb"),"afbouw","afb"),"bijstelling","bijst"),"investeringen","invest")),""),"")</f>
        <v/>
      </c>
      <c r="K11" s="247" t="n"/>
      <c r="L11" s="122">
        <f>IFERROR(MATCH(ROW()-4,'Invullen groen'!$P$17:$P$109,0)+16,0)</f>
        <v/>
      </c>
      <c r="M11" s="122" t="n"/>
      <c r="N11" s="122" t="n"/>
    </row>
    <row r="12" ht="15" customHeight="1" s="418">
      <c r="A12" s="249">
        <f>IFERROR(IF($L12&gt;0,INDEX('Invullen groen'!$E:$E,$L12),""),"")</f>
        <v/>
      </c>
      <c r="B12" s="249">
        <f>IFERROR(IF($L12&gt;0,IF(INDEX('Invullen groen'!$F:$F,$L12)&gt;0,INDEX('Invullen groen'!$F:$F,$L12),""),""),"")</f>
        <v/>
      </c>
      <c r="C12" s="249">
        <f>IFERROR(IF($L12&gt;0,IF(INDEX('Invullen groen'!$N:$N,$L12)&gt;0,INDEX('Invullen groen'!$N:$N,$L12),""),""),"")</f>
        <v/>
      </c>
      <c r="D12" s="249" t="n"/>
      <c r="E12" s="249">
        <f>IFERROR(IF(LEN(J12)&lt;=36,J12,IFERROR(LEFT(J12,FIND(CHAR(1),SUBSTITUTE(LEFT(J12,36)," ",CHAR(1),LEN(LEFT(J12,36))-LEN(SUBSTITUTE(LEFT(J12,36)," ",""))))-1),LEFT(J12,36))),"")</f>
        <v/>
      </c>
      <c r="F12" s="250">
        <f>IFERROR(IF($L12&gt;0,IF(INDEX('Invullen groen'!$H:$H,$L12)=0,"",INT(INDEX('Invullen groen'!$H:$H,$L12))),""),"")</f>
        <v/>
      </c>
      <c r="G12" s="250">
        <f>IFERROR(IF($L12&gt;0,IF(INDEX('Invullen groen'!$I:$I,$L12)=0,"",INT(INDEX('Invullen groen'!$I:$I,$L12))),""),"")</f>
        <v/>
      </c>
      <c r="H12" s="250">
        <f>IFERROR(IF($L12&gt;0,IF(INDEX('Invullen groen'!$J:$J,$L12)=0,"",INT(INDEX('Invullen groen'!$J:$J,$L12))),""),"")</f>
        <v/>
      </c>
      <c r="I12" s="250">
        <f>IFERROR(IF($L12&gt;0,IF(INDEX('Invullen groen'!$K:$K,$L12)=0,"",INT(INDEX('Invullen groen'!$K:$K,$L12))),""),"")</f>
        <v/>
      </c>
      <c r="J12" s="249">
        <f>IF($L12&gt;0,IFERROR($K$1&amp;" "&amp;TRIM(SUBSTITUTE(SUBSTITUTE(SUBSTITUTE(SUBSTITUTE(SUBSTITUTE(SUBSTITUTE(SUBSTITUTE(SUBSTITUTE(SUBSTITUTE(SUBSTITUTE(SUBSTITUTE(SUBSTITUTE(LOWER(INDEX('Invullen groen'!$O:$O,$L12)),"2024",""),"2025",""),"2026",""),"2027",""),"2028",""),"2029",""),"taakveld ",""),"installaties","inst"),"ruwbouw","ruwb"),"afbouw","afb"),"bijstelling","bijst"),"investeringen","invest")),""),"")</f>
        <v/>
      </c>
      <c r="K12" s="249" t="n"/>
      <c r="L12" s="122">
        <f>IFERROR(MATCH(ROW()-4,'Invullen groen'!$P$17:$P$109,0)+16,0)</f>
        <v/>
      </c>
      <c r="M12" s="122" t="n"/>
      <c r="N12" s="122" t="n"/>
    </row>
    <row r="13" ht="15" customHeight="1" s="418">
      <c r="A13" s="247">
        <f>IFERROR(IF($L13&gt;0,INDEX('Invullen groen'!$E:$E,$L13),""),"")</f>
        <v/>
      </c>
      <c r="B13" s="247">
        <f>IFERROR(IF($L13&gt;0,IF(INDEX('Invullen groen'!$F:$F,$L13)&gt;0,INDEX('Invullen groen'!$F:$F,$L13),""),""),"")</f>
        <v/>
      </c>
      <c r="C13" s="247">
        <f>IFERROR(IF($L13&gt;0,IF(INDEX('Invullen groen'!$N:$N,$L13)&gt;0,INDEX('Invullen groen'!$N:$N,$L13),""),""),"")</f>
        <v/>
      </c>
      <c r="D13" s="247" t="n"/>
      <c r="E13" s="247">
        <f>IFERROR(IF(LEN(J13)&lt;=36,J13,IFERROR(LEFT(J13,FIND(CHAR(1),SUBSTITUTE(LEFT(J13,36)," ",CHAR(1),LEN(LEFT(J13,36))-LEN(SUBSTITUTE(LEFT(J13,36)," ",""))))-1),LEFT(J13,36))),"")</f>
        <v/>
      </c>
      <c r="F13" s="248">
        <f>IFERROR(IF($L13&gt;0,IF(INDEX('Invullen groen'!$H:$H,$L13)=0,"",INT(INDEX('Invullen groen'!$H:$H,$L13))),""),"")</f>
        <v/>
      </c>
      <c r="G13" s="248">
        <f>IFERROR(IF($L13&gt;0,IF(INDEX('Invullen groen'!$I:$I,$L13)=0,"",INT(INDEX('Invullen groen'!$I:$I,$L13))),""),"")</f>
        <v/>
      </c>
      <c r="H13" s="248">
        <f>IFERROR(IF($L13&gt;0,IF(INDEX('Invullen groen'!$J:$J,$L13)=0,"",INT(INDEX('Invullen groen'!$J:$J,$L13))),""),"")</f>
        <v/>
      </c>
      <c r="I13" s="248">
        <f>IFERROR(IF($L13&gt;0,IF(INDEX('Invullen groen'!$K:$K,$L13)=0,"",INT(INDEX('Invullen groen'!$K:$K,$L13))),""),"")</f>
        <v/>
      </c>
      <c r="J13" s="247">
        <f>IF($L13&gt;0,IFERROR($K$1&amp;" "&amp;TRIM(SUBSTITUTE(SUBSTITUTE(SUBSTITUTE(SUBSTITUTE(SUBSTITUTE(SUBSTITUTE(SUBSTITUTE(SUBSTITUTE(SUBSTITUTE(SUBSTITUTE(SUBSTITUTE(SUBSTITUTE(LOWER(INDEX('Invullen groen'!$O:$O,$L13)),"2024",""),"2025",""),"2026",""),"2027",""),"2028",""),"2029",""),"taakveld ",""),"installaties","inst"),"ruwbouw","ruwb"),"afbouw","afb"),"bijstelling","bijst"),"investeringen","invest")),""),"")</f>
        <v/>
      </c>
      <c r="K13" s="247" t="n"/>
      <c r="L13" s="122">
        <f>IFERROR(MATCH(ROW()-4,'Invullen groen'!$P$17:$P$109,0)+16,0)</f>
        <v/>
      </c>
      <c r="M13" s="122" t="n"/>
      <c r="N13" s="122" t="n"/>
    </row>
    <row r="14" ht="15" customHeight="1" s="418">
      <c r="A14" s="249">
        <f>IFERROR(IF($L14&gt;0,INDEX('Invullen groen'!$E:$E,$L14),""),"")</f>
        <v/>
      </c>
      <c r="B14" s="249">
        <f>IFERROR(IF($L14&gt;0,IF(INDEX('Invullen groen'!$F:$F,$L14)&gt;0,INDEX('Invullen groen'!$F:$F,$L14),""),""),"")</f>
        <v/>
      </c>
      <c r="C14" s="249">
        <f>IFERROR(IF($L14&gt;0,IF(INDEX('Invullen groen'!$N:$N,$L14)&gt;0,INDEX('Invullen groen'!$N:$N,$L14),""),""),"")</f>
        <v/>
      </c>
      <c r="D14" s="249" t="n"/>
      <c r="E14" s="249">
        <f>IFERROR(IF(LEN(J14)&lt;=36,J14,IFERROR(LEFT(J14,FIND(CHAR(1),SUBSTITUTE(LEFT(J14,36)," ",CHAR(1),LEN(LEFT(J14,36))-LEN(SUBSTITUTE(LEFT(J14,36)," ",""))))-1),LEFT(J14,36))),"")</f>
        <v/>
      </c>
      <c r="F14" s="250">
        <f>IFERROR(IF($L14&gt;0,IF(INDEX('Invullen groen'!$H:$H,$L14)=0,"",INT(INDEX('Invullen groen'!$H:$H,$L14))),""),"")</f>
        <v/>
      </c>
      <c r="G14" s="250">
        <f>IFERROR(IF($L14&gt;0,IF(INDEX('Invullen groen'!$I:$I,$L14)=0,"",INT(INDEX('Invullen groen'!$I:$I,$L14))),""),"")</f>
        <v/>
      </c>
      <c r="H14" s="250">
        <f>IFERROR(IF($L14&gt;0,IF(INDEX('Invullen groen'!$J:$J,$L14)=0,"",INT(INDEX('Invullen groen'!$J:$J,$L14))),""),"")</f>
        <v/>
      </c>
      <c r="I14" s="250">
        <f>IFERROR(IF($L14&gt;0,IF(INDEX('Invullen groen'!$K:$K,$L14)=0,"",INT(INDEX('Invullen groen'!$K:$K,$L14))),""),"")</f>
        <v/>
      </c>
      <c r="J14" s="249">
        <f>IF($L14&gt;0,IFERROR($K$1&amp;" "&amp;TRIM(SUBSTITUTE(SUBSTITUTE(SUBSTITUTE(SUBSTITUTE(SUBSTITUTE(SUBSTITUTE(SUBSTITUTE(SUBSTITUTE(SUBSTITUTE(SUBSTITUTE(SUBSTITUTE(SUBSTITUTE(LOWER(INDEX('Invullen groen'!$O:$O,$L14)),"2024",""),"2025",""),"2026",""),"2027",""),"2028",""),"2029",""),"taakveld ",""),"installaties","inst"),"ruwbouw","ruwb"),"afbouw","afb"),"bijstelling","bijst"),"investeringen","invest")),""),"")</f>
        <v/>
      </c>
      <c r="K14" s="249" t="n"/>
      <c r="L14" s="122">
        <f>IFERROR(MATCH(ROW()-4,'Invullen groen'!$P$17:$P$109,0)+16,0)</f>
        <v/>
      </c>
      <c r="M14" s="122" t="n"/>
      <c r="N14" s="122" t="n"/>
    </row>
    <row r="15" ht="15" customHeight="1" s="418">
      <c r="A15" s="247">
        <f>IFERROR(IF($L15&gt;0,INDEX('Invullen groen'!$E:$E,$L15),""),"")</f>
        <v/>
      </c>
      <c r="B15" s="247">
        <f>IFERROR(IF($L15&gt;0,IF(INDEX('Invullen groen'!$F:$F,$L15)&gt;0,INDEX('Invullen groen'!$F:$F,$L15),""),""),"")</f>
        <v/>
      </c>
      <c r="C15" s="247">
        <f>IFERROR(IF($L15&gt;0,IF(INDEX('Invullen groen'!$N:$N,$L15)&gt;0,INDEX('Invullen groen'!$N:$N,$L15),""),""),"")</f>
        <v/>
      </c>
      <c r="D15" s="247" t="n"/>
      <c r="E15" s="247">
        <f>IFERROR(IF(LEN(J15)&lt;=36,J15,IFERROR(LEFT(J15,FIND(CHAR(1),SUBSTITUTE(LEFT(J15,36)," ",CHAR(1),LEN(LEFT(J15,36))-LEN(SUBSTITUTE(LEFT(J15,36)," ",""))))-1),LEFT(J15,36))),"")</f>
        <v/>
      </c>
      <c r="F15" s="248">
        <f>IFERROR(IF($L15&gt;0,IF(INDEX('Invullen groen'!$H:$H,$L15)=0,"",INT(INDEX('Invullen groen'!$H:$H,$L15))),""),"")</f>
        <v/>
      </c>
      <c r="G15" s="248">
        <f>IFERROR(IF($L15&gt;0,IF(INDEX('Invullen groen'!$I:$I,$L15)=0,"",INT(INDEX('Invullen groen'!$I:$I,$L15))),""),"")</f>
        <v/>
      </c>
      <c r="H15" s="248">
        <f>IFERROR(IF($L15&gt;0,IF(INDEX('Invullen groen'!$J:$J,$L15)=0,"",INT(INDEX('Invullen groen'!$J:$J,$L15))),""),"")</f>
        <v/>
      </c>
      <c r="I15" s="248">
        <f>IFERROR(IF($L15&gt;0,IF(INDEX('Invullen groen'!$K:$K,$L15)=0,"",INT(INDEX('Invullen groen'!$K:$K,$L15))),""),"")</f>
        <v/>
      </c>
      <c r="J15" s="247">
        <f>IF($L15&gt;0,IFERROR($K$1&amp;" "&amp;TRIM(SUBSTITUTE(SUBSTITUTE(SUBSTITUTE(SUBSTITUTE(SUBSTITUTE(SUBSTITUTE(SUBSTITUTE(SUBSTITUTE(SUBSTITUTE(SUBSTITUTE(SUBSTITUTE(SUBSTITUTE(LOWER(INDEX('Invullen groen'!$O:$O,$L15)),"2024",""),"2025",""),"2026",""),"2027",""),"2028",""),"2029",""),"taakveld ",""),"installaties","inst"),"ruwbouw","ruwb"),"afbouw","afb"),"bijstelling","bijst"),"investeringen","invest")),""),"")</f>
        <v/>
      </c>
      <c r="K15" s="247" t="n"/>
      <c r="L15" s="122">
        <f>IFERROR(MATCH(ROW()-4,'Invullen groen'!$P$17:$P$109,0)+16,0)</f>
        <v/>
      </c>
      <c r="M15" s="122" t="n"/>
      <c r="N15" s="122" t="n"/>
    </row>
    <row r="16" ht="15" customHeight="1" s="418">
      <c r="A16" s="249">
        <f>IFERROR(IF($L16&gt;0,INDEX('Invullen groen'!$E:$E,$L16),""),"")</f>
        <v/>
      </c>
      <c r="B16" s="249">
        <f>IFERROR(IF($L16&gt;0,IF(INDEX('Invullen groen'!$F:$F,$L16)&gt;0,INDEX('Invullen groen'!$F:$F,$L16),""),""),"")</f>
        <v/>
      </c>
      <c r="C16" s="249">
        <f>IFERROR(IF($L16&gt;0,IF(INDEX('Invullen groen'!$N:$N,$L16)&gt;0,INDEX('Invullen groen'!$N:$N,$L16),""),""),"")</f>
        <v/>
      </c>
      <c r="D16" s="249" t="n"/>
      <c r="E16" s="249">
        <f>IFERROR(IF(LEN(J16)&lt;=36,J16,IFERROR(LEFT(J16,FIND(CHAR(1),SUBSTITUTE(LEFT(J16,36)," ",CHAR(1),LEN(LEFT(J16,36))-LEN(SUBSTITUTE(LEFT(J16,36)," ",""))))-1),LEFT(J16,36))),"")</f>
        <v/>
      </c>
      <c r="F16" s="250">
        <f>IFERROR(IF($L16&gt;0,IF(INDEX('Invullen groen'!$H:$H,$L16)=0,"",INT(INDEX('Invullen groen'!$H:$H,$L16))),""),"")</f>
        <v/>
      </c>
      <c r="G16" s="250">
        <f>IFERROR(IF($L16&gt;0,IF(INDEX('Invullen groen'!$I:$I,$L16)=0,"",INT(INDEX('Invullen groen'!$I:$I,$L16))),""),"")</f>
        <v/>
      </c>
      <c r="H16" s="250">
        <f>IFERROR(IF($L16&gt;0,IF(INDEX('Invullen groen'!$J:$J,$L16)=0,"",INT(INDEX('Invullen groen'!$J:$J,$L16))),""),"")</f>
        <v/>
      </c>
      <c r="I16" s="250">
        <f>IFERROR(IF($L16&gt;0,IF(INDEX('Invullen groen'!$K:$K,$L16)=0,"",INT(INDEX('Invullen groen'!$K:$K,$L16))),""),"")</f>
        <v/>
      </c>
      <c r="J16" s="249">
        <f>IF($L16&gt;0,IFERROR($K$1&amp;" "&amp;TRIM(SUBSTITUTE(SUBSTITUTE(SUBSTITUTE(SUBSTITUTE(SUBSTITUTE(SUBSTITUTE(SUBSTITUTE(SUBSTITUTE(SUBSTITUTE(SUBSTITUTE(SUBSTITUTE(SUBSTITUTE(LOWER(INDEX('Invullen groen'!$O:$O,$L16)),"2024",""),"2025",""),"2026",""),"2027",""),"2028",""),"2029",""),"taakveld ",""),"installaties","inst"),"ruwbouw","ruwb"),"afbouw","afb"),"bijstelling","bijst"),"investeringen","invest")),""),"")</f>
        <v/>
      </c>
      <c r="K16" s="249" t="n"/>
      <c r="L16" s="122">
        <f>IFERROR(MATCH(ROW()-4,'Invullen groen'!$P$17:$P$109,0)+16,0)</f>
        <v/>
      </c>
      <c r="M16" s="122" t="n"/>
      <c r="N16" s="122" t="n"/>
    </row>
    <row r="17" ht="15" customHeight="1" s="418">
      <c r="A17" s="247">
        <f>IFERROR(IF($L17&gt;0,INDEX('Invullen groen'!$E:$E,$L17),""),"")</f>
        <v/>
      </c>
      <c r="B17" s="247">
        <f>IFERROR(IF($L17&gt;0,IF(INDEX('Invullen groen'!$F:$F,$L17)&gt;0,INDEX('Invullen groen'!$F:$F,$L17),""),""),"")</f>
        <v/>
      </c>
      <c r="C17" s="247">
        <f>IFERROR(IF($L17&gt;0,IF(INDEX('Invullen groen'!$N:$N,$L17)&gt;0,INDEX('Invullen groen'!$N:$N,$L17),""),""),"")</f>
        <v/>
      </c>
      <c r="D17" s="247" t="n"/>
      <c r="E17" s="247">
        <f>IFERROR(IF(LEN(J17)&lt;=36,J17,IFERROR(LEFT(J17,FIND(CHAR(1),SUBSTITUTE(LEFT(J17,36)," ",CHAR(1),LEN(LEFT(J17,36))-LEN(SUBSTITUTE(LEFT(J17,36)," ",""))))-1),LEFT(J17,36))),"")</f>
        <v/>
      </c>
      <c r="F17" s="248">
        <f>IFERROR(IF($L17&gt;0,IF(INDEX('Invullen groen'!$H:$H,$L17)=0,"",INT(INDEX('Invullen groen'!$H:$H,$L17))),""),"")</f>
        <v/>
      </c>
      <c r="G17" s="248">
        <f>IFERROR(IF($L17&gt;0,IF(INDEX('Invullen groen'!$I:$I,$L17)=0,"",INT(INDEX('Invullen groen'!$I:$I,$L17))),""),"")</f>
        <v/>
      </c>
      <c r="H17" s="248">
        <f>IFERROR(IF($L17&gt;0,IF(INDEX('Invullen groen'!$J:$J,$L17)=0,"",INT(INDEX('Invullen groen'!$J:$J,$L17))),""),"")</f>
        <v/>
      </c>
      <c r="I17" s="248">
        <f>IFERROR(IF($L17&gt;0,IF(INDEX('Invullen groen'!$K:$K,$L17)=0,"",INT(INDEX('Invullen groen'!$K:$K,$L17))),""),"")</f>
        <v/>
      </c>
      <c r="J17" s="247">
        <f>IF($L17&gt;0,IFERROR($K$1&amp;" "&amp;TRIM(SUBSTITUTE(SUBSTITUTE(SUBSTITUTE(SUBSTITUTE(SUBSTITUTE(SUBSTITUTE(SUBSTITUTE(SUBSTITUTE(SUBSTITUTE(SUBSTITUTE(SUBSTITUTE(SUBSTITUTE(LOWER(INDEX('Invullen groen'!$O:$O,$L17)),"2024",""),"2025",""),"2026",""),"2027",""),"2028",""),"2029",""),"taakveld ",""),"installaties","inst"),"ruwbouw","ruwb"),"afbouw","afb"),"bijstelling","bijst"),"investeringen","invest")),""),"")</f>
        <v/>
      </c>
      <c r="K17" s="247" t="n"/>
      <c r="L17" s="122">
        <f>IFERROR(MATCH(ROW()-4,'Invullen groen'!$P$17:$P$109,0)+16,0)</f>
        <v/>
      </c>
      <c r="M17" s="122" t="n"/>
      <c r="N17" s="122" t="n"/>
    </row>
    <row r="18" ht="15" customHeight="1" s="418">
      <c r="A18" s="249">
        <f>IFERROR(IF($L18&gt;0,INDEX('Invullen groen'!$E:$E,$L18),""),"")</f>
        <v/>
      </c>
      <c r="B18" s="249">
        <f>IFERROR(IF($L18&gt;0,IF(INDEX('Invullen groen'!$F:$F,$L18)&gt;0,INDEX('Invullen groen'!$F:$F,$L18),""),""),"")</f>
        <v/>
      </c>
      <c r="C18" s="249">
        <f>IFERROR(IF($L18&gt;0,IF(INDEX('Invullen groen'!$N:$N,$L18)&gt;0,INDEX('Invullen groen'!$N:$N,$L18),""),""),"")</f>
        <v/>
      </c>
      <c r="D18" s="249" t="n"/>
      <c r="E18" s="249">
        <f>IFERROR(IF(LEN(J18)&lt;=36,J18,IFERROR(LEFT(J18,FIND(CHAR(1),SUBSTITUTE(LEFT(J18,36)," ",CHAR(1),LEN(LEFT(J18,36))-LEN(SUBSTITUTE(LEFT(J18,36)," ",""))))-1),LEFT(J18,36))),"")</f>
        <v/>
      </c>
      <c r="F18" s="250">
        <f>IFERROR(IF($L18&gt;0,IF(INDEX('Invullen groen'!$H:$H,$L18)=0,"",INT(INDEX('Invullen groen'!$H:$H,$L18))),""),"")</f>
        <v/>
      </c>
      <c r="G18" s="250">
        <f>IFERROR(IF($L18&gt;0,IF(INDEX('Invullen groen'!$I:$I,$L18)=0,"",INT(INDEX('Invullen groen'!$I:$I,$L18))),""),"")</f>
        <v/>
      </c>
      <c r="H18" s="250">
        <f>IFERROR(IF($L18&gt;0,IF(INDEX('Invullen groen'!$J:$J,$L18)=0,"",INT(INDEX('Invullen groen'!$J:$J,$L18))),""),"")</f>
        <v/>
      </c>
      <c r="I18" s="250">
        <f>IFERROR(IF($L18&gt;0,IF(INDEX('Invullen groen'!$K:$K,$L18)=0,"",INT(INDEX('Invullen groen'!$K:$K,$L18))),""),"")</f>
        <v/>
      </c>
      <c r="J18" s="249">
        <f>IF($L18&gt;0,IFERROR($K$1&amp;" "&amp;TRIM(SUBSTITUTE(SUBSTITUTE(SUBSTITUTE(SUBSTITUTE(SUBSTITUTE(SUBSTITUTE(SUBSTITUTE(SUBSTITUTE(SUBSTITUTE(SUBSTITUTE(SUBSTITUTE(SUBSTITUTE(LOWER(INDEX('Invullen groen'!$O:$O,$L18)),"2024",""),"2025",""),"2026",""),"2027",""),"2028",""),"2029",""),"taakveld ",""),"installaties","inst"),"ruwbouw","ruwb"),"afbouw","afb"),"bijstelling","bijst"),"investeringen","invest")),""),"")</f>
        <v/>
      </c>
      <c r="K18" s="249" t="n"/>
      <c r="L18" s="122">
        <f>IFERROR(MATCH(ROW()-4,'Invullen groen'!$P$17:$P$109,0)+16,0)</f>
        <v/>
      </c>
      <c r="M18" s="122" t="n"/>
      <c r="N18" s="122" t="n"/>
    </row>
    <row r="19" ht="15" customHeight="1" s="418">
      <c r="A19" s="247">
        <f>IFERROR(IF($L19&gt;0,INDEX('Invullen groen'!$E:$E,$L19),""),"")</f>
        <v/>
      </c>
      <c r="B19" s="247">
        <f>IFERROR(IF($L19&gt;0,IF(INDEX('Invullen groen'!$F:$F,$L19)&gt;0,INDEX('Invullen groen'!$F:$F,$L19),""),""),"")</f>
        <v/>
      </c>
      <c r="C19" s="247">
        <f>IFERROR(IF($L19&gt;0,IF(INDEX('Invullen groen'!$N:$N,$L19)&gt;0,INDEX('Invullen groen'!$N:$N,$L19),""),""),"")</f>
        <v/>
      </c>
      <c r="D19" s="247" t="n"/>
      <c r="E19" s="247">
        <f>IFERROR(IF(LEN(J19)&lt;=36,J19,IFERROR(LEFT(J19,FIND(CHAR(1),SUBSTITUTE(LEFT(J19,36)," ",CHAR(1),LEN(LEFT(J19,36))-LEN(SUBSTITUTE(LEFT(J19,36)," ",""))))-1),LEFT(J19,36))),"")</f>
        <v/>
      </c>
      <c r="F19" s="248">
        <f>IFERROR(IF($L19&gt;0,IF(INDEX('Invullen groen'!$H:$H,$L19)=0,"",INT(INDEX('Invullen groen'!$H:$H,$L19))),""),"")</f>
        <v/>
      </c>
      <c r="G19" s="248">
        <f>IFERROR(IF($L19&gt;0,IF(INDEX('Invullen groen'!$I:$I,$L19)=0,"",INT(INDEX('Invullen groen'!$I:$I,$L19))),""),"")</f>
        <v/>
      </c>
      <c r="H19" s="248">
        <f>IFERROR(IF($L19&gt;0,IF(INDEX('Invullen groen'!$J:$J,$L19)=0,"",INT(INDEX('Invullen groen'!$J:$J,$L19))),""),"")</f>
        <v/>
      </c>
      <c r="I19" s="248">
        <f>IFERROR(IF($L19&gt;0,IF(INDEX('Invullen groen'!$K:$K,$L19)=0,"",INT(INDEX('Invullen groen'!$K:$K,$L19))),""),"")</f>
        <v/>
      </c>
      <c r="J19" s="247">
        <f>IF($L19&gt;0,IFERROR($K$1&amp;" "&amp;TRIM(SUBSTITUTE(SUBSTITUTE(SUBSTITUTE(SUBSTITUTE(SUBSTITUTE(SUBSTITUTE(SUBSTITUTE(SUBSTITUTE(SUBSTITUTE(SUBSTITUTE(SUBSTITUTE(SUBSTITUTE(LOWER(INDEX('Invullen groen'!$O:$O,$L19)),"2024",""),"2025",""),"2026",""),"2027",""),"2028",""),"2029",""),"taakveld ",""),"installaties","inst"),"ruwbouw","ruwb"),"afbouw","afb"),"bijstelling","bijst"),"investeringen","invest")),""),"")</f>
        <v/>
      </c>
      <c r="K19" s="247" t="n"/>
      <c r="L19" s="122">
        <f>IFERROR(MATCH(ROW()-4,'Invullen groen'!$P$17:$P$109,0)+16,0)</f>
        <v/>
      </c>
      <c r="M19" s="122" t="n"/>
      <c r="N19" s="122" t="n"/>
    </row>
    <row r="20" ht="15" customHeight="1" s="418">
      <c r="A20" s="249">
        <f>IFERROR(IF($L20&gt;0,INDEX('Invullen groen'!$E:$E,$L20),""),"")</f>
        <v/>
      </c>
      <c r="B20" s="249">
        <f>IFERROR(IF($L20&gt;0,IF(INDEX('Invullen groen'!$F:$F,$L20)&gt;0,INDEX('Invullen groen'!$F:$F,$L20),""),""),"")</f>
        <v/>
      </c>
      <c r="C20" s="249">
        <f>IFERROR(IF($L20&gt;0,IF(INDEX('Invullen groen'!$N:$N,$L20)&gt;0,INDEX('Invullen groen'!$N:$N,$L20),""),""),"")</f>
        <v/>
      </c>
      <c r="D20" s="249" t="n"/>
      <c r="E20" s="249">
        <f>IFERROR(IF(LEN(J20)&lt;=36,J20,IFERROR(LEFT(J20,FIND(CHAR(1),SUBSTITUTE(LEFT(J20,36)," ",CHAR(1),LEN(LEFT(J20,36))-LEN(SUBSTITUTE(LEFT(J20,36)," ",""))))-1),LEFT(J20,36))),"")</f>
        <v/>
      </c>
      <c r="F20" s="250">
        <f>IFERROR(IF($L20&gt;0,IF(INDEX('Invullen groen'!$H:$H,$L20)=0,"",INT(INDEX('Invullen groen'!$H:$H,$L20))),""),"")</f>
        <v/>
      </c>
      <c r="G20" s="250">
        <f>IFERROR(IF($L20&gt;0,IF(INDEX('Invullen groen'!$I:$I,$L20)=0,"",INT(INDEX('Invullen groen'!$I:$I,$L20))),""),"")</f>
        <v/>
      </c>
      <c r="H20" s="250">
        <f>IFERROR(IF($L20&gt;0,IF(INDEX('Invullen groen'!$J:$J,$L20)=0,"",INT(INDEX('Invullen groen'!$J:$J,$L20))),""),"")</f>
        <v/>
      </c>
      <c r="I20" s="250">
        <f>IFERROR(IF($L20&gt;0,IF(INDEX('Invullen groen'!$K:$K,$L20)=0,"",INT(INDEX('Invullen groen'!$K:$K,$L20))),""),"")</f>
        <v/>
      </c>
      <c r="J20" s="249">
        <f>IF($L20&gt;0,IFERROR($K$1&amp;" "&amp;TRIM(SUBSTITUTE(SUBSTITUTE(SUBSTITUTE(SUBSTITUTE(SUBSTITUTE(SUBSTITUTE(SUBSTITUTE(SUBSTITUTE(SUBSTITUTE(SUBSTITUTE(SUBSTITUTE(SUBSTITUTE(LOWER(INDEX('Invullen groen'!$O:$O,$L20)),"2024",""),"2025",""),"2026",""),"2027",""),"2028",""),"2029",""),"taakveld ",""),"installaties","inst"),"ruwbouw","ruwb"),"afbouw","afb"),"bijstelling","bijst"),"investeringen","invest")),""),"")</f>
        <v/>
      </c>
      <c r="K20" s="249" t="n"/>
      <c r="L20" s="122">
        <f>IFERROR(MATCH(ROW()-4,'Invullen groen'!$P$17:$P$109,0)+16,0)</f>
        <v/>
      </c>
      <c r="M20" s="122" t="n"/>
      <c r="N20" s="122" t="n"/>
    </row>
    <row r="21" ht="15" customHeight="1" s="418">
      <c r="A21" s="247">
        <f>IFERROR(IF($L21&gt;0,INDEX('Invullen groen'!$E:$E,$L21),""),"")</f>
        <v/>
      </c>
      <c r="B21" s="247">
        <f>IFERROR(IF($L21&gt;0,IF(INDEX('Invullen groen'!$F:$F,$L21)&gt;0,INDEX('Invullen groen'!$F:$F,$L21),""),""),"")</f>
        <v/>
      </c>
      <c r="C21" s="247">
        <f>IFERROR(IF($L21&gt;0,IF(INDEX('Invullen groen'!$N:$N,$L21)&gt;0,INDEX('Invullen groen'!$N:$N,$L21),""),""),"")</f>
        <v/>
      </c>
      <c r="D21" s="247" t="n"/>
      <c r="E21" s="247">
        <f>IFERROR(IF(LEN(J21)&lt;=36,J21,IFERROR(LEFT(J21,FIND(CHAR(1),SUBSTITUTE(LEFT(J21,36)," ",CHAR(1),LEN(LEFT(J21,36))-LEN(SUBSTITUTE(LEFT(J21,36)," ",""))))-1),LEFT(J21,36))),"")</f>
        <v/>
      </c>
      <c r="F21" s="248">
        <f>IFERROR(IF($L21&gt;0,IF(INDEX('Invullen groen'!$H:$H,$L21)=0,"",INT(INDEX('Invullen groen'!$H:$H,$L21))),""),"")</f>
        <v/>
      </c>
      <c r="G21" s="248">
        <f>IFERROR(IF($L21&gt;0,IF(INDEX('Invullen groen'!$I:$I,$L21)=0,"",INT(INDEX('Invullen groen'!$I:$I,$L21))),""),"")</f>
        <v/>
      </c>
      <c r="H21" s="248">
        <f>IFERROR(IF($L21&gt;0,IF(INDEX('Invullen groen'!$J:$J,$L21)=0,"",INT(INDEX('Invullen groen'!$J:$J,$L21))),""),"")</f>
        <v/>
      </c>
      <c r="I21" s="248">
        <f>IFERROR(IF($L21&gt;0,IF(INDEX('Invullen groen'!$K:$K,$L21)=0,"",INT(INDEX('Invullen groen'!$K:$K,$L21))),""),"")</f>
        <v/>
      </c>
      <c r="J21" s="247">
        <f>IF($L21&gt;0,IFERROR($K$1&amp;" "&amp;TRIM(SUBSTITUTE(SUBSTITUTE(SUBSTITUTE(SUBSTITUTE(SUBSTITUTE(SUBSTITUTE(SUBSTITUTE(SUBSTITUTE(SUBSTITUTE(SUBSTITUTE(SUBSTITUTE(SUBSTITUTE(LOWER(INDEX('Invullen groen'!$O:$O,$L21)),"2024",""),"2025",""),"2026",""),"2027",""),"2028",""),"2029",""),"taakveld ",""),"installaties","inst"),"ruwbouw","ruwb"),"afbouw","afb"),"bijstelling","bijst"),"investeringen","invest")),""),"")</f>
        <v/>
      </c>
      <c r="K21" s="247" t="n"/>
      <c r="L21" s="122">
        <f>IFERROR(MATCH(ROW()-4,'Invullen groen'!$P$17:$P$109,0)+16,0)</f>
        <v/>
      </c>
      <c r="M21" s="122" t="n"/>
      <c r="N21" s="122" t="n"/>
    </row>
    <row r="22" ht="15" customHeight="1" s="418">
      <c r="A22" s="249">
        <f>IFERROR(IF($L22&gt;0,INDEX('Invullen groen'!$E:$E,$L22),""),"")</f>
        <v/>
      </c>
      <c r="B22" s="249">
        <f>IFERROR(IF($L22&gt;0,IF(INDEX('Invullen groen'!$F:$F,$L22)&gt;0,INDEX('Invullen groen'!$F:$F,$L22),""),""),"")</f>
        <v/>
      </c>
      <c r="C22" s="249">
        <f>IFERROR(IF($L22&gt;0,IF(INDEX('Invullen groen'!$N:$N,$L22)&gt;0,INDEX('Invullen groen'!$N:$N,$L22),""),""),"")</f>
        <v/>
      </c>
      <c r="D22" s="249" t="n"/>
      <c r="E22" s="249">
        <f>IFERROR(IF(LEN(J22)&lt;=36,J22,IFERROR(LEFT(J22,FIND(CHAR(1),SUBSTITUTE(LEFT(J22,36)," ",CHAR(1),LEN(LEFT(J22,36))-LEN(SUBSTITUTE(LEFT(J22,36)," ",""))))-1),LEFT(J22,36))),"")</f>
        <v/>
      </c>
      <c r="F22" s="250">
        <f>IFERROR(IF($L22&gt;0,IF(INDEX('Invullen groen'!$H:$H,$L22)=0,"",INT(INDEX('Invullen groen'!$H:$H,$L22))),""),"")</f>
        <v/>
      </c>
      <c r="G22" s="250">
        <f>IFERROR(IF($L22&gt;0,IF(INDEX('Invullen groen'!$I:$I,$L22)=0,"",INT(INDEX('Invullen groen'!$I:$I,$L22))),""),"")</f>
        <v/>
      </c>
      <c r="H22" s="250">
        <f>IFERROR(IF($L22&gt;0,IF(INDEX('Invullen groen'!$J:$J,$L22)=0,"",INT(INDEX('Invullen groen'!$J:$J,$L22))),""),"")</f>
        <v/>
      </c>
      <c r="I22" s="250">
        <f>IFERROR(IF($L22&gt;0,IF(INDEX('Invullen groen'!$K:$K,$L22)=0,"",INT(INDEX('Invullen groen'!$K:$K,$L22))),""),"")</f>
        <v/>
      </c>
      <c r="J22" s="249">
        <f>IF($L22&gt;0,IFERROR($K$1&amp;" "&amp;TRIM(SUBSTITUTE(SUBSTITUTE(SUBSTITUTE(SUBSTITUTE(SUBSTITUTE(SUBSTITUTE(SUBSTITUTE(SUBSTITUTE(SUBSTITUTE(SUBSTITUTE(SUBSTITUTE(SUBSTITUTE(LOWER(INDEX('Invullen groen'!$O:$O,$L22)),"2024",""),"2025",""),"2026",""),"2027",""),"2028",""),"2029",""),"taakveld ",""),"installaties","inst"),"ruwbouw","ruwb"),"afbouw","afb"),"bijstelling","bijst"),"investeringen","invest")),""),"")</f>
        <v/>
      </c>
      <c r="K22" s="249" t="n"/>
      <c r="L22" s="122">
        <f>IFERROR(MATCH(ROW()-4,'Invullen groen'!$P$17:$P$109,0)+16,0)</f>
        <v/>
      </c>
      <c r="M22" s="122" t="n"/>
      <c r="N22" s="122" t="n"/>
    </row>
    <row r="23" ht="15" customHeight="1" s="418">
      <c r="A23" s="247">
        <f>IFERROR(IF($L23&gt;0,INDEX('Invullen groen'!$E:$E,$L23),""),"")</f>
        <v/>
      </c>
      <c r="B23" s="247">
        <f>IFERROR(IF($L23&gt;0,IF(INDEX('Invullen groen'!$F:$F,$L23)&gt;0,INDEX('Invullen groen'!$F:$F,$L23),""),""),"")</f>
        <v/>
      </c>
      <c r="C23" s="247">
        <f>IFERROR(IF($L23&gt;0,IF(INDEX('Invullen groen'!$N:$N,$L23)&gt;0,INDEX('Invullen groen'!$N:$N,$L23),""),""),"")</f>
        <v/>
      </c>
      <c r="D23" s="247" t="n"/>
      <c r="E23" s="247">
        <f>IFERROR(IF(LEN(J23)&lt;=36,J23,IFERROR(LEFT(J23,FIND(CHAR(1),SUBSTITUTE(LEFT(J23,36)," ",CHAR(1),LEN(LEFT(J23,36))-LEN(SUBSTITUTE(LEFT(J23,36)," ",""))))-1),LEFT(J23,36))),"")</f>
        <v/>
      </c>
      <c r="F23" s="248">
        <f>IFERROR(IF($L23&gt;0,IF(INDEX('Invullen groen'!$H:$H,$L23)=0,"",INT(INDEX('Invullen groen'!$H:$H,$L23))),""),"")</f>
        <v/>
      </c>
      <c r="G23" s="248">
        <f>IFERROR(IF($L23&gt;0,IF(INDEX('Invullen groen'!$I:$I,$L23)=0,"",INT(INDEX('Invullen groen'!$I:$I,$L23))),""),"")</f>
        <v/>
      </c>
      <c r="H23" s="248">
        <f>IFERROR(IF($L23&gt;0,IF(INDEX('Invullen groen'!$J:$J,$L23)=0,"",INT(INDEX('Invullen groen'!$J:$J,$L23))),""),"")</f>
        <v/>
      </c>
      <c r="I23" s="248">
        <f>IFERROR(IF($L23&gt;0,IF(INDEX('Invullen groen'!$K:$K,$L23)=0,"",INT(INDEX('Invullen groen'!$K:$K,$L23))),""),"")</f>
        <v/>
      </c>
      <c r="J23" s="247">
        <f>IF($L23&gt;0,IFERROR($K$1&amp;" "&amp;TRIM(SUBSTITUTE(SUBSTITUTE(SUBSTITUTE(SUBSTITUTE(SUBSTITUTE(SUBSTITUTE(SUBSTITUTE(SUBSTITUTE(SUBSTITUTE(SUBSTITUTE(SUBSTITUTE(SUBSTITUTE(LOWER(INDEX('Invullen groen'!$O:$O,$L23)),"2024",""),"2025",""),"2026",""),"2027",""),"2028",""),"2029",""),"taakveld ",""),"installaties","inst"),"ruwbouw","ruwb"),"afbouw","afb"),"bijstelling","bijst"),"investeringen","invest")),""),"")</f>
        <v/>
      </c>
      <c r="K23" s="247" t="n"/>
      <c r="L23" s="122">
        <f>IFERROR(MATCH(ROW()-4,'Invullen groen'!$P$17:$P$109,0)+16,0)</f>
        <v/>
      </c>
      <c r="M23" s="122" t="n"/>
      <c r="N23" s="122" t="n"/>
    </row>
    <row r="24" ht="15" customHeight="1" s="418">
      <c r="A24" s="249">
        <f>IFERROR(IF($L24&gt;0,INDEX('Invullen groen'!$E:$E,$L24),""),"")</f>
        <v/>
      </c>
      <c r="B24" s="249">
        <f>IFERROR(IF($L24&gt;0,IF(INDEX('Invullen groen'!$F:$F,$L24)&gt;0,INDEX('Invullen groen'!$F:$F,$L24),""),""),"")</f>
        <v/>
      </c>
      <c r="C24" s="249">
        <f>IFERROR(IF($L24&gt;0,IF(INDEX('Invullen groen'!$N:$N,$L24)&gt;0,INDEX('Invullen groen'!$N:$N,$L24),""),""),"")</f>
        <v/>
      </c>
      <c r="D24" s="249" t="n"/>
      <c r="E24" s="249">
        <f>IFERROR(IF(LEN(J24)&lt;=36,J24,IFERROR(LEFT(J24,FIND(CHAR(1),SUBSTITUTE(LEFT(J24,36)," ",CHAR(1),LEN(LEFT(J24,36))-LEN(SUBSTITUTE(LEFT(J24,36)," ",""))))-1),LEFT(J24,36))),"")</f>
        <v/>
      </c>
      <c r="F24" s="250">
        <f>IFERROR(IF($L24&gt;0,IF(INDEX('Invullen groen'!$H:$H,$L24)=0,"",INT(INDEX('Invullen groen'!$H:$H,$L24))),""),"")</f>
        <v/>
      </c>
      <c r="G24" s="250">
        <f>IFERROR(IF($L24&gt;0,IF(INDEX('Invullen groen'!$I:$I,$L24)=0,"",INT(INDEX('Invullen groen'!$I:$I,$L24))),""),"")</f>
        <v/>
      </c>
      <c r="H24" s="250">
        <f>IFERROR(IF($L24&gt;0,IF(INDEX('Invullen groen'!$J:$J,$L24)=0,"",INT(INDEX('Invullen groen'!$J:$J,$L24))),""),"")</f>
        <v/>
      </c>
      <c r="I24" s="250">
        <f>IFERROR(IF($L24&gt;0,IF(INDEX('Invullen groen'!$K:$K,$L24)=0,"",INT(INDEX('Invullen groen'!$K:$K,$L24))),""),"")</f>
        <v/>
      </c>
      <c r="J24" s="249">
        <f>IF($L24&gt;0,IFERROR($K$1&amp;" "&amp;TRIM(SUBSTITUTE(SUBSTITUTE(SUBSTITUTE(SUBSTITUTE(SUBSTITUTE(SUBSTITUTE(SUBSTITUTE(SUBSTITUTE(SUBSTITUTE(SUBSTITUTE(SUBSTITUTE(SUBSTITUTE(LOWER(INDEX('Invullen groen'!$O:$O,$L24)),"2024",""),"2025",""),"2026",""),"2027",""),"2028",""),"2029",""),"taakveld ",""),"installaties","inst"),"ruwbouw","ruwb"),"afbouw","afb"),"bijstelling","bijst"),"investeringen","invest")),""),"")</f>
        <v/>
      </c>
      <c r="K24" s="249" t="n"/>
      <c r="L24" s="122">
        <f>IFERROR(MATCH(ROW()-4,'Invullen groen'!$P$17:$P$109,0)+16,0)</f>
        <v/>
      </c>
      <c r="M24" s="122" t="n"/>
      <c r="N24" s="122" t="n"/>
    </row>
    <row r="25" ht="15" customHeight="1" s="418">
      <c r="A25" s="247">
        <f>IFERROR(IF($L25&gt;0,INDEX('Invullen groen'!$E:$E,$L25),""),"")</f>
        <v/>
      </c>
      <c r="B25" s="247">
        <f>IFERROR(IF($L25&gt;0,IF(INDEX('Invullen groen'!$F:$F,$L25)&gt;0,INDEX('Invullen groen'!$F:$F,$L25),""),""),"")</f>
        <v/>
      </c>
      <c r="C25" s="247">
        <f>IFERROR(IF($L25&gt;0,IF(INDEX('Invullen groen'!$N:$N,$L25)&gt;0,INDEX('Invullen groen'!$N:$N,$L25),""),""),"")</f>
        <v/>
      </c>
      <c r="D25" s="247" t="n"/>
      <c r="E25" s="247">
        <f>IFERROR(IF(LEN(J25)&lt;=36,J25,IFERROR(LEFT(J25,FIND(CHAR(1),SUBSTITUTE(LEFT(J25,36)," ",CHAR(1),LEN(LEFT(J25,36))-LEN(SUBSTITUTE(LEFT(J25,36)," ",""))))-1),LEFT(J25,36))),"")</f>
        <v/>
      </c>
      <c r="F25" s="248">
        <f>IFERROR(IF($L25&gt;0,IF(INDEX('Invullen groen'!$H:$H,$L25)=0,"",INT(INDEX('Invullen groen'!$H:$H,$L25))),""),"")</f>
        <v/>
      </c>
      <c r="G25" s="248">
        <f>IFERROR(IF($L25&gt;0,IF(INDEX('Invullen groen'!$I:$I,$L25)=0,"",INT(INDEX('Invullen groen'!$I:$I,$L25))),""),"")</f>
        <v/>
      </c>
      <c r="H25" s="248">
        <f>IFERROR(IF($L25&gt;0,IF(INDEX('Invullen groen'!$J:$J,$L25)=0,"",INT(INDEX('Invullen groen'!$J:$J,$L25))),""),"")</f>
        <v/>
      </c>
      <c r="I25" s="248">
        <f>IFERROR(IF($L25&gt;0,IF(INDEX('Invullen groen'!$K:$K,$L25)=0,"",INT(INDEX('Invullen groen'!$K:$K,$L25))),""),"")</f>
        <v/>
      </c>
      <c r="J25" s="247">
        <f>IF($L25&gt;0,IFERROR($K$1&amp;" "&amp;TRIM(SUBSTITUTE(SUBSTITUTE(SUBSTITUTE(SUBSTITUTE(SUBSTITUTE(SUBSTITUTE(SUBSTITUTE(SUBSTITUTE(SUBSTITUTE(SUBSTITUTE(SUBSTITUTE(SUBSTITUTE(LOWER(INDEX('Invullen groen'!$O:$O,$L25)),"2024",""),"2025",""),"2026",""),"2027",""),"2028",""),"2029",""),"taakveld ",""),"installaties","inst"),"ruwbouw","ruwb"),"afbouw","afb"),"bijstelling","bijst"),"investeringen","invest")),""),"")</f>
        <v/>
      </c>
      <c r="K25" s="247" t="n"/>
      <c r="L25" s="122">
        <f>IFERROR(MATCH(ROW()-4,'Invullen groen'!$P$17:$P$109,0)+16,0)</f>
        <v/>
      </c>
      <c r="M25" s="122" t="n"/>
      <c r="N25" s="122" t="n"/>
    </row>
    <row r="26" ht="15" customHeight="1" s="418">
      <c r="A26" s="249">
        <f>IFERROR(IF($L26&gt;0,INDEX('Invullen groen'!$E:$E,$L26),""),"")</f>
        <v/>
      </c>
      <c r="B26" s="249">
        <f>IFERROR(IF($L26&gt;0,IF(INDEX('Invullen groen'!$F:$F,$L26)&gt;0,INDEX('Invullen groen'!$F:$F,$L26),""),""),"")</f>
        <v/>
      </c>
      <c r="C26" s="249">
        <f>IFERROR(IF($L26&gt;0,IF(INDEX('Invullen groen'!$N:$N,$L26)&gt;0,INDEX('Invullen groen'!$N:$N,$L26),""),""),"")</f>
        <v/>
      </c>
      <c r="D26" s="249" t="n"/>
      <c r="E26" s="249">
        <f>IFERROR(IF(LEN(J26)&lt;=36,J26,IFERROR(LEFT(J26,FIND(CHAR(1),SUBSTITUTE(LEFT(J26,36)," ",CHAR(1),LEN(LEFT(J26,36))-LEN(SUBSTITUTE(LEFT(J26,36)," ",""))))-1),LEFT(J26,36))),"")</f>
        <v/>
      </c>
      <c r="F26" s="250">
        <f>IFERROR(IF($L26&gt;0,IF(INDEX('Invullen groen'!$H:$H,$L26)=0,"",INT(INDEX('Invullen groen'!$H:$H,$L26))),""),"")</f>
        <v/>
      </c>
      <c r="G26" s="250">
        <f>IFERROR(IF($L26&gt;0,IF(INDEX('Invullen groen'!$I:$I,$L26)=0,"",INT(INDEX('Invullen groen'!$I:$I,$L26))),""),"")</f>
        <v/>
      </c>
      <c r="H26" s="250">
        <f>IFERROR(IF($L26&gt;0,IF(INDEX('Invullen groen'!$J:$J,$L26)=0,"",INT(INDEX('Invullen groen'!$J:$J,$L26))),""),"")</f>
        <v/>
      </c>
      <c r="I26" s="250">
        <f>IFERROR(IF($L26&gt;0,IF(INDEX('Invullen groen'!$K:$K,$L26)=0,"",INT(INDEX('Invullen groen'!$K:$K,$L26))),""),"")</f>
        <v/>
      </c>
      <c r="J26" s="249">
        <f>IF($L26&gt;0,IFERROR($K$1&amp;" "&amp;TRIM(SUBSTITUTE(SUBSTITUTE(SUBSTITUTE(SUBSTITUTE(SUBSTITUTE(SUBSTITUTE(SUBSTITUTE(SUBSTITUTE(SUBSTITUTE(SUBSTITUTE(SUBSTITUTE(SUBSTITUTE(LOWER(INDEX('Invullen groen'!$O:$O,$L26)),"2024",""),"2025",""),"2026",""),"2027",""),"2028",""),"2029",""),"taakveld ",""),"installaties","inst"),"ruwbouw","ruwb"),"afbouw","afb"),"bijstelling","bijst"),"investeringen","invest")),""),"")</f>
        <v/>
      </c>
      <c r="K26" s="249" t="n"/>
      <c r="L26" s="122">
        <f>IFERROR(MATCH(ROW()-4,'Invullen groen'!$P$17:$P$109,0)+16,0)</f>
        <v/>
      </c>
      <c r="M26" s="122" t="n"/>
      <c r="N26" s="122" t="n"/>
    </row>
    <row r="27" ht="15" customHeight="1" s="418">
      <c r="A27" s="247">
        <f>IFERROR(IF($L27&gt;0,INDEX('Invullen groen'!$E:$E,$L27),""),"")</f>
        <v/>
      </c>
      <c r="B27" s="247">
        <f>IFERROR(IF($L27&gt;0,IF(INDEX('Invullen groen'!$F:$F,$L27)&gt;0,INDEX('Invullen groen'!$F:$F,$L27),""),""),"")</f>
        <v/>
      </c>
      <c r="C27" s="247">
        <f>IFERROR(IF($L27&gt;0,IF(INDEX('Invullen groen'!$N:$N,$L27)&gt;0,INDEX('Invullen groen'!$N:$N,$L27),""),""),"")</f>
        <v/>
      </c>
      <c r="D27" s="247" t="n"/>
      <c r="E27" s="247">
        <f>IFERROR(IF(LEN(J27)&lt;=36,J27,IFERROR(LEFT(J27,FIND(CHAR(1),SUBSTITUTE(LEFT(J27,36)," ",CHAR(1),LEN(LEFT(J27,36))-LEN(SUBSTITUTE(LEFT(J27,36)," ",""))))-1),LEFT(J27,36))),"")</f>
        <v/>
      </c>
      <c r="F27" s="248">
        <f>IFERROR(IF($L27&gt;0,IF(INDEX('Invullen groen'!$H:$H,$L27)=0,"",INT(INDEX('Invullen groen'!$H:$H,$L27))),""),"")</f>
        <v/>
      </c>
      <c r="G27" s="248">
        <f>IFERROR(IF($L27&gt;0,IF(INDEX('Invullen groen'!$I:$I,$L27)=0,"",INT(INDEX('Invullen groen'!$I:$I,$L27))),""),"")</f>
        <v/>
      </c>
      <c r="H27" s="248">
        <f>IFERROR(IF($L27&gt;0,IF(INDEX('Invullen groen'!$J:$J,$L27)=0,"",INT(INDEX('Invullen groen'!$J:$J,$L27))),""),"")</f>
        <v/>
      </c>
      <c r="I27" s="248">
        <f>IFERROR(IF($L27&gt;0,IF(INDEX('Invullen groen'!$K:$K,$L27)=0,"",INT(INDEX('Invullen groen'!$K:$K,$L27))),""),"")</f>
        <v/>
      </c>
      <c r="J27" s="247">
        <f>IF($L27&gt;0,IFERROR($K$1&amp;" "&amp;TRIM(SUBSTITUTE(SUBSTITUTE(SUBSTITUTE(SUBSTITUTE(SUBSTITUTE(SUBSTITUTE(SUBSTITUTE(SUBSTITUTE(SUBSTITUTE(SUBSTITUTE(SUBSTITUTE(SUBSTITUTE(LOWER(INDEX('Invullen groen'!$O:$O,$L27)),"2024",""),"2025",""),"2026",""),"2027",""),"2028",""),"2029",""),"taakveld ",""),"installaties","inst"),"ruwbouw","ruwb"),"afbouw","afb"),"bijstelling","bijst"),"investeringen","invest")),""),"")</f>
        <v/>
      </c>
      <c r="K27" s="247" t="n"/>
      <c r="L27" s="122">
        <f>IFERROR(MATCH(ROW()-4,'Invullen groen'!$P$17:$P$109,0)+16,0)</f>
        <v/>
      </c>
      <c r="M27" s="122" t="n"/>
      <c r="N27" s="122" t="n"/>
    </row>
    <row r="28" ht="15" customHeight="1" s="418">
      <c r="A28" s="249">
        <f>IFERROR(IF($L28&gt;0,INDEX('Invullen groen'!$E:$E,$L28),""),"")</f>
        <v/>
      </c>
      <c r="B28" s="249">
        <f>IFERROR(IF($L28&gt;0,IF(INDEX('Invullen groen'!$F:$F,$L28)&gt;0,INDEX('Invullen groen'!$F:$F,$L28),""),""),"")</f>
        <v/>
      </c>
      <c r="C28" s="249">
        <f>IFERROR(IF($L28&gt;0,IF(INDEX('Invullen groen'!$N:$N,$L28)&gt;0,INDEX('Invullen groen'!$N:$N,$L28),""),""),"")</f>
        <v/>
      </c>
      <c r="D28" s="249" t="n"/>
      <c r="E28" s="249">
        <f>IFERROR(IF(LEN(J28)&lt;=36,J28,IFERROR(LEFT(J28,FIND(CHAR(1),SUBSTITUTE(LEFT(J28,36)," ",CHAR(1),LEN(LEFT(J28,36))-LEN(SUBSTITUTE(LEFT(J28,36)," ",""))))-1),LEFT(J28,36))),"")</f>
        <v/>
      </c>
      <c r="F28" s="250">
        <f>IFERROR(IF($L28&gt;0,IF(INDEX('Invullen groen'!$H:$H,$L28)=0,"",INT(INDEX('Invullen groen'!$H:$H,$L28))),""),"")</f>
        <v/>
      </c>
      <c r="G28" s="250">
        <f>IFERROR(IF($L28&gt;0,IF(INDEX('Invullen groen'!$I:$I,$L28)=0,"",INT(INDEX('Invullen groen'!$I:$I,$L28))),""),"")</f>
        <v/>
      </c>
      <c r="H28" s="250">
        <f>IFERROR(IF($L28&gt;0,IF(INDEX('Invullen groen'!$J:$J,$L28)=0,"",INT(INDEX('Invullen groen'!$J:$J,$L28))),""),"")</f>
        <v/>
      </c>
      <c r="I28" s="250">
        <f>IFERROR(IF($L28&gt;0,IF(INDEX('Invullen groen'!$K:$K,$L28)=0,"",INT(INDEX('Invullen groen'!$K:$K,$L28))),""),"")</f>
        <v/>
      </c>
      <c r="J28" s="249">
        <f>IF($L28&gt;0,IFERROR($K$1&amp;" "&amp;TRIM(SUBSTITUTE(SUBSTITUTE(SUBSTITUTE(SUBSTITUTE(SUBSTITUTE(SUBSTITUTE(SUBSTITUTE(SUBSTITUTE(SUBSTITUTE(SUBSTITUTE(SUBSTITUTE(SUBSTITUTE(LOWER(INDEX('Invullen groen'!$O:$O,$L28)),"2024",""),"2025",""),"2026",""),"2027",""),"2028",""),"2029",""),"taakveld ",""),"installaties","inst"),"ruwbouw","ruwb"),"afbouw","afb"),"bijstelling","bijst"),"investeringen","invest")),""),"")</f>
        <v/>
      </c>
      <c r="K28" s="249" t="n"/>
      <c r="L28" s="122">
        <f>IFERROR(MATCH(ROW()-4,'Invullen groen'!$P$17:$P$109,0)+16,0)</f>
        <v/>
      </c>
      <c r="M28" s="122" t="n"/>
      <c r="N28" s="122" t="n"/>
    </row>
    <row r="29" ht="15" customHeight="1" s="418">
      <c r="A29" s="247">
        <f>IFERROR(IF($L29&gt;0,INDEX('Invullen groen'!$E:$E,$L29),""),"")</f>
        <v/>
      </c>
      <c r="B29" s="247">
        <f>IFERROR(IF($L29&gt;0,IF(INDEX('Invullen groen'!$F:$F,$L29)&gt;0,INDEX('Invullen groen'!$F:$F,$L29),""),""),"")</f>
        <v/>
      </c>
      <c r="C29" s="247">
        <f>IFERROR(IF($L29&gt;0,IF(INDEX('Invullen groen'!$N:$N,$L29)&gt;0,INDEX('Invullen groen'!$N:$N,$L29),""),""),"")</f>
        <v/>
      </c>
      <c r="D29" s="247" t="n"/>
      <c r="E29" s="247">
        <f>IFERROR(IF(LEN(J29)&lt;=36,J29,IFERROR(LEFT(J29,FIND(CHAR(1),SUBSTITUTE(LEFT(J29,36)," ",CHAR(1),LEN(LEFT(J29,36))-LEN(SUBSTITUTE(LEFT(J29,36)," ",""))))-1),LEFT(J29,36))),"")</f>
        <v/>
      </c>
      <c r="F29" s="248">
        <f>IFERROR(IF($L29&gt;0,IF(INDEX('Invullen groen'!$H:$H,$L29)=0,"",INT(INDEX('Invullen groen'!$H:$H,$L29))),""),"")</f>
        <v/>
      </c>
      <c r="G29" s="248">
        <f>IFERROR(IF($L29&gt;0,IF(INDEX('Invullen groen'!$I:$I,$L29)=0,"",INT(INDEX('Invullen groen'!$I:$I,$L29))),""),"")</f>
        <v/>
      </c>
      <c r="H29" s="248">
        <f>IFERROR(IF($L29&gt;0,IF(INDEX('Invullen groen'!$J:$J,$L29)=0,"",INT(INDEX('Invullen groen'!$J:$J,$L29))),""),"")</f>
        <v/>
      </c>
      <c r="I29" s="248">
        <f>IFERROR(IF($L29&gt;0,IF(INDEX('Invullen groen'!$K:$K,$L29)=0,"",INT(INDEX('Invullen groen'!$K:$K,$L29))),""),"")</f>
        <v/>
      </c>
      <c r="J29" s="247">
        <f>IF($L29&gt;0,IFERROR($K$1&amp;" "&amp;TRIM(SUBSTITUTE(SUBSTITUTE(SUBSTITUTE(SUBSTITUTE(SUBSTITUTE(SUBSTITUTE(SUBSTITUTE(SUBSTITUTE(SUBSTITUTE(SUBSTITUTE(SUBSTITUTE(SUBSTITUTE(LOWER(INDEX('Invullen groen'!$O:$O,$L29)),"2024",""),"2025",""),"2026",""),"2027",""),"2028",""),"2029",""),"taakveld ",""),"installaties","inst"),"ruwbouw","ruwb"),"afbouw","afb"),"bijstelling","bijst"),"investeringen","invest")),""),"")</f>
        <v/>
      </c>
      <c r="K29" s="247" t="n"/>
      <c r="L29" s="122">
        <f>IFERROR(MATCH(ROW()-4,'Invullen groen'!$P$17:$P$109,0)+16,0)</f>
        <v/>
      </c>
      <c r="M29" s="122" t="n"/>
      <c r="N29" s="122" t="n"/>
    </row>
    <row r="30" ht="15" customHeight="1" s="418">
      <c r="A30" s="249">
        <f>IFERROR(IF($L30&gt;0,INDEX('Invullen groen'!$E:$E,$L30),""),"")</f>
        <v/>
      </c>
      <c r="B30" s="249">
        <f>IFERROR(IF($L30&gt;0,IF(INDEX('Invullen groen'!$F:$F,$L30)&gt;0,INDEX('Invullen groen'!$F:$F,$L30),""),""),"")</f>
        <v/>
      </c>
      <c r="C30" s="249">
        <f>IFERROR(IF($L30&gt;0,IF(INDEX('Invullen groen'!$N:$N,$L30)&gt;0,INDEX('Invullen groen'!$N:$N,$L30),""),""),"")</f>
        <v/>
      </c>
      <c r="D30" s="249" t="n"/>
      <c r="E30" s="249">
        <f>IFERROR(IF(LEN(J30)&lt;=36,J30,IFERROR(LEFT(J30,FIND(CHAR(1),SUBSTITUTE(LEFT(J30,36)," ",CHAR(1),LEN(LEFT(J30,36))-LEN(SUBSTITUTE(LEFT(J30,36)," ",""))))-1),LEFT(J30,36))),"")</f>
        <v/>
      </c>
      <c r="F30" s="250">
        <f>IFERROR(IF($L30&gt;0,IF(INDEX('Invullen groen'!$H:$H,$L30)=0,"",INT(INDEX('Invullen groen'!$H:$H,$L30))),""),"")</f>
        <v/>
      </c>
      <c r="G30" s="250">
        <f>IFERROR(IF($L30&gt;0,IF(INDEX('Invullen groen'!$I:$I,$L30)=0,"",INT(INDEX('Invullen groen'!$I:$I,$L30))),""),"")</f>
        <v/>
      </c>
      <c r="H30" s="250">
        <f>IFERROR(IF($L30&gt;0,IF(INDEX('Invullen groen'!$J:$J,$L30)=0,"",INT(INDEX('Invullen groen'!$J:$J,$L30))),""),"")</f>
        <v/>
      </c>
      <c r="I30" s="250">
        <f>IFERROR(IF($L30&gt;0,IF(INDEX('Invullen groen'!$K:$K,$L30)=0,"",INT(INDEX('Invullen groen'!$K:$K,$L30))),""),"")</f>
        <v/>
      </c>
      <c r="J30" s="249">
        <f>IF($L30&gt;0,IFERROR($K$1&amp;" "&amp;TRIM(SUBSTITUTE(SUBSTITUTE(SUBSTITUTE(SUBSTITUTE(SUBSTITUTE(SUBSTITUTE(SUBSTITUTE(SUBSTITUTE(SUBSTITUTE(SUBSTITUTE(SUBSTITUTE(SUBSTITUTE(LOWER(INDEX('Invullen groen'!$O:$O,$L30)),"2024",""),"2025",""),"2026",""),"2027",""),"2028",""),"2029",""),"taakveld ",""),"installaties","inst"),"ruwbouw","ruwb"),"afbouw","afb"),"bijstelling","bijst"),"investeringen","invest")),""),"")</f>
        <v/>
      </c>
      <c r="K30" s="249" t="n"/>
      <c r="L30" s="122">
        <f>IFERROR(MATCH(ROW()-4,'Invullen groen'!$P$17:$P$109,0)+16,0)</f>
        <v/>
      </c>
      <c r="M30" s="122" t="n"/>
      <c r="N30" s="122" t="n"/>
    </row>
    <row r="31" ht="15" customHeight="1" s="418">
      <c r="A31" s="247">
        <f>IFERROR(IF($L31&gt;0,INDEX('Invullen groen'!$E:$E,$L31),""),"")</f>
        <v/>
      </c>
      <c r="B31" s="247">
        <f>IFERROR(IF($L31&gt;0,IF(INDEX('Invullen groen'!$F:$F,$L31)&gt;0,INDEX('Invullen groen'!$F:$F,$L31),""),""),"")</f>
        <v/>
      </c>
      <c r="C31" s="247">
        <f>IFERROR(IF($L31&gt;0,IF(INDEX('Invullen groen'!$N:$N,$L31)&gt;0,INDEX('Invullen groen'!$N:$N,$L31),""),""),"")</f>
        <v/>
      </c>
      <c r="D31" s="247" t="n"/>
      <c r="E31" s="247">
        <f>IFERROR(IF(LEN(J31)&lt;=36,J31,IFERROR(LEFT(J31,FIND(CHAR(1),SUBSTITUTE(LEFT(J31,36)," ",CHAR(1),LEN(LEFT(J31,36))-LEN(SUBSTITUTE(LEFT(J31,36)," ",""))))-1),LEFT(J31,36))),"")</f>
        <v/>
      </c>
      <c r="F31" s="248">
        <f>IFERROR(IF($L31&gt;0,IF(INDEX('Invullen groen'!$H:$H,$L31)=0,"",INT(INDEX('Invullen groen'!$H:$H,$L31))),""),"")</f>
        <v/>
      </c>
      <c r="G31" s="248">
        <f>IFERROR(IF($L31&gt;0,IF(INDEX('Invullen groen'!$I:$I,$L31)=0,"",INT(INDEX('Invullen groen'!$I:$I,$L31))),""),"")</f>
        <v/>
      </c>
      <c r="H31" s="248">
        <f>IFERROR(IF($L31&gt;0,IF(INDEX('Invullen groen'!$J:$J,$L31)=0,"",INT(INDEX('Invullen groen'!$J:$J,$L31))),""),"")</f>
        <v/>
      </c>
      <c r="I31" s="248">
        <f>IFERROR(IF($L31&gt;0,IF(INDEX('Invullen groen'!$K:$K,$L31)=0,"",INT(INDEX('Invullen groen'!$K:$K,$L31))),""),"")</f>
        <v/>
      </c>
      <c r="J31" s="247">
        <f>IF($L31&gt;0,IFERROR($K$1&amp;" "&amp;TRIM(SUBSTITUTE(SUBSTITUTE(SUBSTITUTE(SUBSTITUTE(SUBSTITUTE(SUBSTITUTE(SUBSTITUTE(SUBSTITUTE(SUBSTITUTE(SUBSTITUTE(SUBSTITUTE(SUBSTITUTE(LOWER(INDEX('Invullen groen'!$O:$O,$L31)),"2024",""),"2025",""),"2026",""),"2027",""),"2028",""),"2029",""),"taakveld ",""),"installaties","inst"),"ruwbouw","ruwb"),"afbouw","afb"),"bijstelling","bijst"),"investeringen","invest")),""),"")</f>
        <v/>
      </c>
      <c r="K31" s="247" t="n"/>
      <c r="L31" s="122">
        <f>IFERROR(MATCH(ROW()-4,'Invullen groen'!$P$17:$P$109,0)+16,0)</f>
        <v/>
      </c>
      <c r="M31" s="122" t="n"/>
      <c r="N31" s="122" t="n"/>
    </row>
    <row r="32" ht="15" customHeight="1" s="418">
      <c r="A32" s="249">
        <f>IFERROR(IF($L32&gt;0,INDEX('Invullen groen'!$E:$E,$L32),""),"")</f>
        <v/>
      </c>
      <c r="B32" s="249">
        <f>IFERROR(IF($L32&gt;0,IF(INDEX('Invullen groen'!$F:$F,$L32)&gt;0,INDEX('Invullen groen'!$F:$F,$L32),""),""),"")</f>
        <v/>
      </c>
      <c r="C32" s="249">
        <f>IFERROR(IF($L32&gt;0,IF(INDEX('Invullen groen'!$N:$N,$L32)&gt;0,INDEX('Invullen groen'!$N:$N,$L32),""),""),"")</f>
        <v/>
      </c>
      <c r="D32" s="249" t="n"/>
      <c r="E32" s="249">
        <f>IFERROR(IF(LEN(J32)&lt;=36,J32,IFERROR(LEFT(J32,FIND(CHAR(1),SUBSTITUTE(LEFT(J32,36)," ",CHAR(1),LEN(LEFT(J32,36))-LEN(SUBSTITUTE(LEFT(J32,36)," ",""))))-1),LEFT(J32,36))),"")</f>
        <v/>
      </c>
      <c r="F32" s="250">
        <f>IFERROR(IF($L32&gt;0,IF(INDEX('Invullen groen'!$H:$H,$L32)=0,"",INT(INDEX('Invullen groen'!$H:$H,$L32))),""),"")</f>
        <v/>
      </c>
      <c r="G32" s="250">
        <f>IFERROR(IF($L32&gt;0,IF(INDEX('Invullen groen'!$I:$I,$L32)=0,"",INT(INDEX('Invullen groen'!$I:$I,$L32))),""),"")</f>
        <v/>
      </c>
      <c r="H32" s="250">
        <f>IFERROR(IF($L32&gt;0,IF(INDEX('Invullen groen'!$J:$J,$L32)=0,"",INT(INDEX('Invullen groen'!$J:$J,$L32))),""),"")</f>
        <v/>
      </c>
      <c r="I32" s="250">
        <f>IFERROR(IF($L32&gt;0,IF(INDEX('Invullen groen'!$K:$K,$L32)=0,"",INT(INDEX('Invullen groen'!$K:$K,$L32))),""),"")</f>
        <v/>
      </c>
      <c r="J32" s="249">
        <f>IF($L32&gt;0,IFERROR($K$1&amp;" "&amp;TRIM(SUBSTITUTE(SUBSTITUTE(SUBSTITUTE(SUBSTITUTE(SUBSTITUTE(SUBSTITUTE(SUBSTITUTE(SUBSTITUTE(SUBSTITUTE(SUBSTITUTE(SUBSTITUTE(SUBSTITUTE(LOWER(INDEX('Invullen groen'!$O:$O,$L32)),"2024",""),"2025",""),"2026",""),"2027",""),"2028",""),"2029",""),"taakveld ",""),"installaties","inst"),"ruwbouw","ruwb"),"afbouw","afb"),"bijstelling","bijst"),"investeringen","invest")),""),"")</f>
        <v/>
      </c>
      <c r="K32" s="249" t="n"/>
      <c r="L32" s="122">
        <f>IFERROR(MATCH(ROW()-4,'Invullen groen'!$P$17:$P$109,0)+16,0)</f>
        <v/>
      </c>
      <c r="M32" s="122" t="n"/>
      <c r="N32" s="122" t="n"/>
    </row>
    <row r="33" ht="15" customHeight="1" s="418">
      <c r="A33" s="247">
        <f>IFERROR(IF($L33&gt;0,INDEX('Invullen groen'!$E:$E,$L33),""),"")</f>
        <v/>
      </c>
      <c r="B33" s="247">
        <f>IFERROR(IF($L33&gt;0,IF(INDEX('Invullen groen'!$F:$F,$L33)&gt;0,INDEX('Invullen groen'!$F:$F,$L33),""),""),"")</f>
        <v/>
      </c>
      <c r="C33" s="247">
        <f>IFERROR(IF($L33&gt;0,IF(INDEX('Invullen groen'!$N:$N,$L33)&gt;0,INDEX('Invullen groen'!$N:$N,$L33),""),""),"")</f>
        <v/>
      </c>
      <c r="D33" s="247" t="n"/>
      <c r="E33" s="247">
        <f>IFERROR(IF(LEN(J33)&lt;=36,J33,IFERROR(LEFT(J33,FIND(CHAR(1),SUBSTITUTE(LEFT(J33,36)," ",CHAR(1),LEN(LEFT(J33,36))-LEN(SUBSTITUTE(LEFT(J33,36)," ",""))))-1),LEFT(J33,36))),"")</f>
        <v/>
      </c>
      <c r="F33" s="248">
        <f>IFERROR(IF($L33&gt;0,IF(INDEX('Invullen groen'!$H:$H,$L33)=0,"",INT(INDEX('Invullen groen'!$H:$H,$L33))),""),"")</f>
        <v/>
      </c>
      <c r="G33" s="248">
        <f>IFERROR(IF($L33&gt;0,IF(INDEX('Invullen groen'!$I:$I,$L33)=0,"",INT(INDEX('Invullen groen'!$I:$I,$L33))),""),"")</f>
        <v/>
      </c>
      <c r="H33" s="248">
        <f>IFERROR(IF($L33&gt;0,IF(INDEX('Invullen groen'!$J:$J,$L33)=0,"",INT(INDEX('Invullen groen'!$J:$J,$L33))),""),"")</f>
        <v/>
      </c>
      <c r="I33" s="248">
        <f>IFERROR(IF($L33&gt;0,IF(INDEX('Invullen groen'!$K:$K,$L33)=0,"",INT(INDEX('Invullen groen'!$K:$K,$L33))),""),"")</f>
        <v/>
      </c>
      <c r="J33" s="247">
        <f>IF($L33&gt;0,IFERROR($K$1&amp;" "&amp;TRIM(SUBSTITUTE(SUBSTITUTE(SUBSTITUTE(SUBSTITUTE(SUBSTITUTE(SUBSTITUTE(SUBSTITUTE(SUBSTITUTE(SUBSTITUTE(SUBSTITUTE(SUBSTITUTE(SUBSTITUTE(LOWER(INDEX('Invullen groen'!$O:$O,$L33)),"2024",""),"2025",""),"2026",""),"2027",""),"2028",""),"2029",""),"taakveld ",""),"installaties","inst"),"ruwbouw","ruwb"),"afbouw","afb"),"bijstelling","bijst"),"investeringen","invest")),""),"")</f>
        <v/>
      </c>
      <c r="K33" s="247" t="n"/>
      <c r="L33" s="122">
        <f>IFERROR(MATCH(ROW()-4,'Invullen groen'!$P$17:$P$109,0)+16,0)</f>
        <v/>
      </c>
      <c r="M33" s="122" t="n"/>
      <c r="N33" s="122" t="n"/>
    </row>
    <row r="34" ht="15" customHeight="1" s="418">
      <c r="A34" s="249">
        <f>IFERROR(IF($L34&gt;0,INDEX('Invullen groen'!$E:$E,$L34),""),"")</f>
        <v/>
      </c>
      <c r="B34" s="249">
        <f>IFERROR(IF($L34&gt;0,IF(INDEX('Invullen groen'!$F:$F,$L34)&gt;0,INDEX('Invullen groen'!$F:$F,$L34),""),""),"")</f>
        <v/>
      </c>
      <c r="C34" s="249">
        <f>IFERROR(IF($L34&gt;0,IF(INDEX('Invullen groen'!$N:$N,$L34)&gt;0,INDEX('Invullen groen'!$N:$N,$L34),""),""),"")</f>
        <v/>
      </c>
      <c r="D34" s="249" t="n"/>
      <c r="E34" s="249">
        <f>IFERROR(IF(LEN(J34)&lt;=36,J34,IFERROR(LEFT(J34,FIND(CHAR(1),SUBSTITUTE(LEFT(J34,36)," ",CHAR(1),LEN(LEFT(J34,36))-LEN(SUBSTITUTE(LEFT(J34,36)," ",""))))-1),LEFT(J34,36))),"")</f>
        <v/>
      </c>
      <c r="F34" s="250">
        <f>IFERROR(IF($L34&gt;0,IF(INDEX('Invullen groen'!$H:$H,$L34)=0,"",INT(INDEX('Invullen groen'!$H:$H,$L34))),""),"")</f>
        <v/>
      </c>
      <c r="G34" s="250">
        <f>IFERROR(IF($L34&gt;0,IF(INDEX('Invullen groen'!$I:$I,$L34)=0,"",INT(INDEX('Invullen groen'!$I:$I,$L34))),""),"")</f>
        <v/>
      </c>
      <c r="H34" s="250">
        <f>IFERROR(IF($L34&gt;0,IF(INDEX('Invullen groen'!$J:$J,$L34)=0,"",INT(INDEX('Invullen groen'!$J:$J,$L34))),""),"")</f>
        <v/>
      </c>
      <c r="I34" s="250">
        <f>IFERROR(IF($L34&gt;0,IF(INDEX('Invullen groen'!$K:$K,$L34)=0,"",INT(INDEX('Invullen groen'!$K:$K,$L34))),""),"")</f>
        <v/>
      </c>
      <c r="J34" s="249">
        <f>IF($L34&gt;0,IFERROR($K$1&amp;" "&amp;TRIM(SUBSTITUTE(SUBSTITUTE(SUBSTITUTE(SUBSTITUTE(SUBSTITUTE(SUBSTITUTE(SUBSTITUTE(SUBSTITUTE(SUBSTITUTE(SUBSTITUTE(SUBSTITUTE(SUBSTITUTE(LOWER(INDEX('Invullen groen'!$O:$O,$L34)),"2024",""),"2025",""),"2026",""),"2027",""),"2028",""),"2029",""),"taakveld ",""),"installaties","inst"),"ruwbouw","ruwb"),"afbouw","afb"),"bijstelling","bijst"),"investeringen","invest")),""),"")</f>
        <v/>
      </c>
      <c r="K34" s="249" t="n"/>
      <c r="L34" s="122">
        <f>IFERROR(MATCH(ROW()-4,'Invullen groen'!$P$17:$P$109,0)+16,0)</f>
        <v/>
      </c>
      <c r="M34" s="122" t="n"/>
      <c r="N34" s="122" t="n"/>
    </row>
    <row r="35" hidden="1" ht="15" customHeight="1" s="418">
      <c r="A35" s="247">
        <f>IFERROR(IF($L35&gt;0,INDEX('Invullen groen'!$E:$E,$L35),""),"")</f>
        <v/>
      </c>
      <c r="B35" s="247">
        <f>IFERROR(IF($L35&gt;0,IF(INDEX('Invullen groen'!$F:$F,$L35)&gt;0,INDEX('Invullen groen'!$F:$F,$L35),""),""),"")</f>
        <v/>
      </c>
      <c r="C35" s="247">
        <f>IFERROR(IF($L35&gt;0,IF(INDEX('Invullen groen'!$N:$N,$L35)&gt;0,INDEX('Invullen groen'!$N:$N,$L35),""),""),"")</f>
        <v/>
      </c>
      <c r="D35" s="247" t="n"/>
      <c r="E35" s="247">
        <f>IFERROR(IF(LEN(J35)&lt;=36,J35,IFERROR(LEFT(J35,FIND(CHAR(1),SUBSTITUTE(LEFT(J35,36)," ",CHAR(1),LEN(LEFT(J35,36))-LEN(SUBSTITUTE(LEFT(J35,36)," ",""))))-1),LEFT(J35,36))),"")</f>
        <v/>
      </c>
      <c r="F35" s="248">
        <f>IFERROR(IF($L35&gt;0,IF(INDEX('Invullen groen'!$H:$H,$L35)=0,"",INT(INDEX('Invullen groen'!$H:$H,$L35))),""),"")</f>
        <v/>
      </c>
      <c r="G35" s="248">
        <f>IFERROR(IF($L35&gt;0,IF(INDEX('Invullen groen'!$I:$I,$L35)=0,"",INT(INDEX('Invullen groen'!$I:$I,$L35))),""),"")</f>
        <v/>
      </c>
      <c r="H35" s="248">
        <f>IFERROR(IF($L35&gt;0,IF(INDEX('Invullen groen'!$J:$J,$L35)=0,"",INT(INDEX('Invullen groen'!$J:$J,$L35))),""),"")</f>
        <v/>
      </c>
      <c r="I35" s="248">
        <f>IFERROR(IF($L35&gt;0,IF(INDEX('Invullen groen'!$K:$K,$L35)=0,"",INT(INDEX('Invullen groen'!$K:$K,$L35))),""),"")</f>
        <v/>
      </c>
      <c r="J35" s="247">
        <f>IF($L35&gt;0,IFERROR($K$1&amp;" "&amp;TRIM(SUBSTITUTE(SUBSTITUTE(SUBSTITUTE(SUBSTITUTE(SUBSTITUTE(SUBSTITUTE(SUBSTITUTE(SUBSTITUTE(SUBSTITUTE(SUBSTITUTE(SUBSTITUTE(SUBSTITUTE(LOWER(INDEX('Invullen groen'!$O:$O,$L35)),"2024",""),"2025",""),"2026",""),"2027",""),"2028",""),"2029",""),"taakveld ",""),"installaties","inst"),"ruwbouw","ruwb"),"afbouw","afb"),"bijstelling","bijst"),"investeringen","invest")),""),"")</f>
        <v/>
      </c>
      <c r="K35" s="247" t="n"/>
      <c r="L35" s="122">
        <f>IFERROR(MATCH(ROW()-4,'Invullen groen'!$P$17:$P$109,0)+16,0)</f>
        <v/>
      </c>
      <c r="M35" s="122" t="n"/>
      <c r="N35" s="122" t="n"/>
    </row>
    <row r="36" hidden="1" ht="15" customHeight="1" s="418">
      <c r="A36" s="249">
        <f>IFERROR(IF($L36&gt;0,INDEX('Invullen groen'!$E:$E,$L36),""),"")</f>
        <v/>
      </c>
      <c r="B36" s="249">
        <f>IFERROR(IF($L36&gt;0,IF(INDEX('Invullen groen'!$F:$F,$L36)&gt;0,INDEX('Invullen groen'!$F:$F,$L36),""),""),"")</f>
        <v/>
      </c>
      <c r="C36" s="249">
        <f>IFERROR(IF($L36&gt;0,IF(INDEX('Invullen groen'!$N:$N,$L36)&gt;0,INDEX('Invullen groen'!$N:$N,$L36),""),""),"")</f>
        <v/>
      </c>
      <c r="D36" s="249" t="n"/>
      <c r="E36" s="249">
        <f>IFERROR(IF(LEN(J36)&lt;=36,J36,IFERROR(LEFT(J36,FIND(CHAR(1),SUBSTITUTE(LEFT(J36,36)," ",CHAR(1),LEN(LEFT(J36,36))-LEN(SUBSTITUTE(LEFT(J36,36)," ",""))))-1),LEFT(J36,36))),"")</f>
        <v/>
      </c>
      <c r="F36" s="250">
        <f>IFERROR(IF($L36&gt;0,IF(INDEX('Invullen groen'!$H:$H,$L36)=0,"",INT(INDEX('Invullen groen'!$H:$H,$L36))),""),"")</f>
        <v/>
      </c>
      <c r="G36" s="250">
        <f>IFERROR(IF($L36&gt;0,IF(INDEX('Invullen groen'!$I:$I,$L36)=0,"",INT(INDEX('Invullen groen'!$I:$I,$L36))),""),"")</f>
        <v/>
      </c>
      <c r="H36" s="250">
        <f>IFERROR(IF($L36&gt;0,IF(INDEX('Invullen groen'!$J:$J,$L36)=0,"",INT(INDEX('Invullen groen'!$J:$J,$L36))),""),"")</f>
        <v/>
      </c>
      <c r="I36" s="250">
        <f>IFERROR(IF($L36&gt;0,IF(INDEX('Invullen groen'!$K:$K,$L36)=0,"",INT(INDEX('Invullen groen'!$K:$K,$L36))),""),"")</f>
        <v/>
      </c>
      <c r="J36" s="249">
        <f>IF($L36&gt;0,IFERROR($K$1&amp;" "&amp;TRIM(SUBSTITUTE(SUBSTITUTE(SUBSTITUTE(SUBSTITUTE(SUBSTITUTE(SUBSTITUTE(SUBSTITUTE(SUBSTITUTE(SUBSTITUTE(SUBSTITUTE(SUBSTITUTE(SUBSTITUTE(LOWER(INDEX('Invullen groen'!$O:$O,$L36)),"2024",""),"2025",""),"2026",""),"2027",""),"2028",""),"2029",""),"taakveld ",""),"installaties","inst"),"ruwbouw","ruwb"),"afbouw","afb"),"bijstelling","bijst"),"investeringen","invest")),""),"")</f>
        <v/>
      </c>
      <c r="K36" s="249" t="n"/>
      <c r="L36" s="122">
        <f>IFERROR(MATCH(ROW()-4,'Invullen groen'!$P$17:$P$109,0)+16,0)</f>
        <v/>
      </c>
      <c r="M36" s="122" t="n"/>
      <c r="N36" s="122" t="n"/>
    </row>
    <row r="37" hidden="1" ht="15" customHeight="1" s="418">
      <c r="A37" s="247">
        <f>IFERROR(IF($L37&gt;0,INDEX('Invullen groen'!$E:$E,$L37),""),"")</f>
        <v/>
      </c>
      <c r="B37" s="247">
        <f>IFERROR(IF($L37&gt;0,IF(INDEX('Invullen groen'!$F:$F,$L37)&gt;0,INDEX('Invullen groen'!$F:$F,$L37),""),""),"")</f>
        <v/>
      </c>
      <c r="C37" s="247">
        <f>IFERROR(IF($L37&gt;0,IF(INDEX('Invullen groen'!$N:$N,$L37)&gt;0,INDEX('Invullen groen'!$N:$N,$L37),""),""),"")</f>
        <v/>
      </c>
      <c r="D37" s="247" t="n"/>
      <c r="E37" s="247">
        <f>IFERROR(IF(LEN(J37)&lt;=36,J37,IFERROR(LEFT(J37,FIND(CHAR(1),SUBSTITUTE(LEFT(J37,36)," ",CHAR(1),LEN(LEFT(J37,36))-LEN(SUBSTITUTE(LEFT(J37,36)," ",""))))-1),LEFT(J37,36))),"")</f>
        <v/>
      </c>
      <c r="F37" s="248">
        <f>IFERROR(IF($L37&gt;0,IF(INDEX('Invullen groen'!$H:$H,$L37)=0,"",INT(INDEX('Invullen groen'!$H:$H,$L37))),""),"")</f>
        <v/>
      </c>
      <c r="G37" s="248">
        <f>IFERROR(IF($L37&gt;0,IF(INDEX('Invullen groen'!$I:$I,$L37)=0,"",INT(INDEX('Invullen groen'!$I:$I,$L37))),""),"")</f>
        <v/>
      </c>
      <c r="H37" s="248">
        <f>IFERROR(IF($L37&gt;0,IF(INDEX('Invullen groen'!$J:$J,$L37)=0,"",INT(INDEX('Invullen groen'!$J:$J,$L37))),""),"")</f>
        <v/>
      </c>
      <c r="I37" s="248">
        <f>IFERROR(IF($L37&gt;0,IF(INDEX('Invullen groen'!$K:$K,$L37)=0,"",INT(INDEX('Invullen groen'!$K:$K,$L37))),""),"")</f>
        <v/>
      </c>
      <c r="J37" s="247">
        <f>IF($L37&gt;0,IFERROR($K$1&amp;" "&amp;TRIM(SUBSTITUTE(SUBSTITUTE(SUBSTITUTE(SUBSTITUTE(SUBSTITUTE(SUBSTITUTE(SUBSTITUTE(SUBSTITUTE(SUBSTITUTE(SUBSTITUTE(SUBSTITUTE(SUBSTITUTE(LOWER(INDEX('Invullen groen'!$O:$O,$L37)),"2024",""),"2025",""),"2026",""),"2027",""),"2028",""),"2029",""),"taakveld ",""),"installaties","inst"),"ruwbouw","ruwb"),"afbouw","afb"),"bijstelling","bijst"),"investeringen","invest")),""),"")</f>
        <v/>
      </c>
      <c r="K37" s="247" t="n"/>
      <c r="L37" s="122">
        <f>IFERROR(MATCH(ROW()-4,'Invullen groen'!$P$17:$P$109,0)+16,0)</f>
        <v/>
      </c>
      <c r="M37" s="122" t="n"/>
      <c r="N37" s="122" t="n"/>
    </row>
    <row r="38" hidden="1" ht="15" customHeight="1" s="418">
      <c r="A38" s="249">
        <f>IFERROR(IF($L38&gt;0,INDEX('Invullen groen'!$E:$E,$L38),""),"")</f>
        <v/>
      </c>
      <c r="B38" s="249">
        <f>IFERROR(IF($L38&gt;0,IF(INDEX('Invullen groen'!$F:$F,$L38)&gt;0,INDEX('Invullen groen'!$F:$F,$L38),""),""),"")</f>
        <v/>
      </c>
      <c r="C38" s="249">
        <f>IFERROR(IF($L38&gt;0,IF(INDEX('Invullen groen'!$N:$N,$L38)&gt;0,INDEX('Invullen groen'!$N:$N,$L38),""),""),"")</f>
        <v/>
      </c>
      <c r="D38" s="249" t="n"/>
      <c r="E38" s="249">
        <f>IFERROR(IF(LEN(J38)&lt;=36,J38,IFERROR(LEFT(J38,FIND(CHAR(1),SUBSTITUTE(LEFT(J38,36)," ",CHAR(1),LEN(LEFT(J38,36))-LEN(SUBSTITUTE(LEFT(J38,36)," ",""))))-1),LEFT(J38,36))),"")</f>
        <v/>
      </c>
      <c r="F38" s="250">
        <f>IFERROR(IF($L38&gt;0,IF(INDEX('Invullen groen'!$H:$H,$L38)=0,"",INT(INDEX('Invullen groen'!$H:$H,$L38))),""),"")</f>
        <v/>
      </c>
      <c r="G38" s="250">
        <f>IFERROR(IF($L38&gt;0,IF(INDEX('Invullen groen'!$I:$I,$L38)=0,"",INT(INDEX('Invullen groen'!$I:$I,$L38))),""),"")</f>
        <v/>
      </c>
      <c r="H38" s="250">
        <f>IFERROR(IF($L38&gt;0,IF(INDEX('Invullen groen'!$J:$J,$L38)=0,"",INT(INDEX('Invullen groen'!$J:$J,$L38))),""),"")</f>
        <v/>
      </c>
      <c r="I38" s="250">
        <f>IFERROR(IF($L38&gt;0,IF(INDEX('Invullen groen'!$K:$K,$L38)=0,"",INT(INDEX('Invullen groen'!$K:$K,$L38))),""),"")</f>
        <v/>
      </c>
      <c r="J38" s="249">
        <f>IF($L38&gt;0,IFERROR($K$1&amp;" "&amp;TRIM(SUBSTITUTE(SUBSTITUTE(SUBSTITUTE(SUBSTITUTE(SUBSTITUTE(SUBSTITUTE(SUBSTITUTE(SUBSTITUTE(SUBSTITUTE(SUBSTITUTE(SUBSTITUTE(SUBSTITUTE(LOWER(INDEX('Invullen groen'!$O:$O,$L38)),"2024",""),"2025",""),"2026",""),"2027",""),"2028",""),"2029",""),"taakveld ",""),"installaties","inst"),"ruwbouw","ruwb"),"afbouw","afb"),"bijstelling","bijst"),"investeringen","invest")),""),"")</f>
        <v/>
      </c>
      <c r="K38" s="249" t="n"/>
      <c r="L38" s="122">
        <f>IFERROR(MATCH(ROW()-4,'Invullen groen'!$P$17:$P$109,0)+16,0)</f>
        <v/>
      </c>
      <c r="M38" s="122" t="n"/>
      <c r="N38" s="122" t="n"/>
    </row>
    <row r="39" hidden="1" ht="15" customHeight="1" s="418">
      <c r="A39" s="247">
        <f>IFERROR(IF($L39&gt;0,INDEX('Invullen groen'!$E:$E,$L39),""),"")</f>
        <v/>
      </c>
      <c r="B39" s="247">
        <f>IFERROR(IF($L39&gt;0,IF(INDEX('Invullen groen'!$F:$F,$L39)&gt;0,INDEX('Invullen groen'!$F:$F,$L39),""),""),"")</f>
        <v/>
      </c>
      <c r="C39" s="247">
        <f>IFERROR(IF($L39&gt;0,IF(INDEX('Invullen groen'!$N:$N,$L39)&gt;0,INDEX('Invullen groen'!$N:$N,$L39),""),""),"")</f>
        <v/>
      </c>
      <c r="D39" s="247" t="n"/>
      <c r="E39" s="247">
        <f>IFERROR(IF(LEN(J39)&lt;=36,J39,IFERROR(LEFT(J39,FIND(CHAR(1),SUBSTITUTE(LEFT(J39,36)," ",CHAR(1),LEN(LEFT(J39,36))-LEN(SUBSTITUTE(LEFT(J39,36)," ",""))))-1),LEFT(J39,36))),"")</f>
        <v/>
      </c>
      <c r="F39" s="248">
        <f>IFERROR(IF($L39&gt;0,IF(INDEX('Invullen groen'!$H:$H,$L39)=0,"",INT(INDEX('Invullen groen'!$H:$H,$L39))),""),"")</f>
        <v/>
      </c>
      <c r="G39" s="248">
        <f>IFERROR(IF($L39&gt;0,IF(INDEX('Invullen groen'!$I:$I,$L39)=0,"",INT(INDEX('Invullen groen'!$I:$I,$L39))),""),"")</f>
        <v/>
      </c>
      <c r="H39" s="248">
        <f>IFERROR(IF($L39&gt;0,IF(INDEX('Invullen groen'!$J:$J,$L39)=0,"",INT(INDEX('Invullen groen'!$J:$J,$L39))),""),"")</f>
        <v/>
      </c>
      <c r="I39" s="248">
        <f>IFERROR(IF($L39&gt;0,IF(INDEX('Invullen groen'!$K:$K,$L39)=0,"",INT(INDEX('Invullen groen'!$K:$K,$L39))),""),"")</f>
        <v/>
      </c>
      <c r="J39" s="247">
        <f>IF($L39&gt;0,IFERROR($K$1&amp;" "&amp;TRIM(SUBSTITUTE(SUBSTITUTE(SUBSTITUTE(SUBSTITUTE(SUBSTITUTE(SUBSTITUTE(SUBSTITUTE(SUBSTITUTE(SUBSTITUTE(SUBSTITUTE(SUBSTITUTE(SUBSTITUTE(LOWER(INDEX('Invullen groen'!$O:$O,$L39)),"2024",""),"2025",""),"2026",""),"2027",""),"2028",""),"2029",""),"taakveld ",""),"installaties","inst"),"ruwbouw","ruwb"),"afbouw","afb"),"bijstelling","bijst"),"investeringen","invest")),""),"")</f>
        <v/>
      </c>
      <c r="K39" s="247" t="n"/>
      <c r="L39" s="122">
        <f>IFERROR(MATCH(ROW()-4,'Invullen groen'!$P$17:$P$109,0)+16,0)</f>
        <v/>
      </c>
      <c r="M39" s="122" t="n"/>
      <c r="N39" s="122" t="n"/>
    </row>
    <row r="40" hidden="1" ht="15" customHeight="1" s="418">
      <c r="A40" s="249">
        <f>IFERROR(IF($L40&gt;0,INDEX('Invullen groen'!$E:$E,$L40),""),"")</f>
        <v/>
      </c>
      <c r="B40" s="249">
        <f>IFERROR(IF($L40&gt;0,IF(INDEX('Invullen groen'!$F:$F,$L40)&gt;0,INDEX('Invullen groen'!$F:$F,$L40),""),""),"")</f>
        <v/>
      </c>
      <c r="C40" s="249">
        <f>IFERROR(IF($L40&gt;0,IF(INDEX('Invullen groen'!$N:$N,$L40)&gt;0,INDEX('Invullen groen'!$N:$N,$L40),""),""),"")</f>
        <v/>
      </c>
      <c r="D40" s="249" t="n"/>
      <c r="E40" s="249">
        <f>IFERROR(IF(LEN(J40)&lt;=36,J40,IFERROR(LEFT(J40,FIND(CHAR(1),SUBSTITUTE(LEFT(J40,36)," ",CHAR(1),LEN(LEFT(J40,36))-LEN(SUBSTITUTE(LEFT(J40,36)," ",""))))-1),LEFT(J40,36))),"")</f>
        <v/>
      </c>
      <c r="F40" s="250">
        <f>IFERROR(IF($L40&gt;0,IF(INDEX('Invullen groen'!$H:$H,$L40)=0,"",INT(INDEX('Invullen groen'!$H:$H,$L40))),""),"")</f>
        <v/>
      </c>
      <c r="G40" s="250">
        <f>IFERROR(IF($L40&gt;0,IF(INDEX('Invullen groen'!$I:$I,$L40)=0,"",INT(INDEX('Invullen groen'!$I:$I,$L40))),""),"")</f>
        <v/>
      </c>
      <c r="H40" s="250">
        <f>IFERROR(IF($L40&gt;0,IF(INDEX('Invullen groen'!$J:$J,$L40)=0,"",INT(INDEX('Invullen groen'!$J:$J,$L40))),""),"")</f>
        <v/>
      </c>
      <c r="I40" s="250">
        <f>IFERROR(IF($L40&gt;0,IF(INDEX('Invullen groen'!$K:$K,$L40)=0,"",INT(INDEX('Invullen groen'!$K:$K,$L40))),""),"")</f>
        <v/>
      </c>
      <c r="J40" s="249">
        <f>IF($L40&gt;0,IFERROR($K$1&amp;" "&amp;TRIM(SUBSTITUTE(SUBSTITUTE(SUBSTITUTE(SUBSTITUTE(SUBSTITUTE(SUBSTITUTE(SUBSTITUTE(SUBSTITUTE(SUBSTITUTE(SUBSTITUTE(SUBSTITUTE(SUBSTITUTE(LOWER(INDEX('Invullen groen'!$O:$O,$L40)),"2024",""),"2025",""),"2026",""),"2027",""),"2028",""),"2029",""),"taakveld ",""),"installaties","inst"),"ruwbouw","ruwb"),"afbouw","afb"),"bijstelling","bijst"),"investeringen","invest")),""),"")</f>
        <v/>
      </c>
      <c r="K40" s="249" t="n"/>
      <c r="L40" s="122">
        <f>IFERROR(MATCH(ROW()-4,'Invullen groen'!$P$17:$P$109,0)+16,0)</f>
        <v/>
      </c>
      <c r="M40" s="122" t="n"/>
      <c r="N40" s="122" t="n"/>
    </row>
    <row r="41" hidden="1" ht="15" customHeight="1" s="418">
      <c r="A41" s="247">
        <f>IFERROR(IF($L41&gt;0,INDEX('Invullen groen'!$E:$E,$L41),""),"")</f>
        <v/>
      </c>
      <c r="B41" s="247">
        <f>IFERROR(IF($L41&gt;0,IF(INDEX('Invullen groen'!$F:$F,$L41)&gt;0,INDEX('Invullen groen'!$F:$F,$L41),""),""),"")</f>
        <v/>
      </c>
      <c r="C41" s="247">
        <f>IFERROR(IF($L41&gt;0,IF(INDEX('Invullen groen'!$N:$N,$L41)&gt;0,INDEX('Invullen groen'!$N:$N,$L41),""),""),"")</f>
        <v/>
      </c>
      <c r="D41" s="247" t="n"/>
      <c r="E41" s="247">
        <f>IFERROR(IF(LEN(J41)&lt;=36,J41,IFERROR(LEFT(J41,FIND(CHAR(1),SUBSTITUTE(LEFT(J41,36)," ",CHAR(1),LEN(LEFT(J41,36))-LEN(SUBSTITUTE(LEFT(J41,36)," ",""))))-1),LEFT(J41,36))),"")</f>
        <v/>
      </c>
      <c r="F41" s="248">
        <f>IFERROR(IF($L41&gt;0,IF(INDEX('Invullen groen'!$H:$H,$L41)=0,"",INT(INDEX('Invullen groen'!$H:$H,$L41))),""),"")</f>
        <v/>
      </c>
      <c r="G41" s="248">
        <f>IFERROR(IF($L41&gt;0,IF(INDEX('Invullen groen'!$I:$I,$L41)=0,"",INT(INDEX('Invullen groen'!$I:$I,$L41))),""),"")</f>
        <v/>
      </c>
      <c r="H41" s="248">
        <f>IFERROR(IF($L41&gt;0,IF(INDEX('Invullen groen'!$J:$J,$L41)=0,"",INT(INDEX('Invullen groen'!$J:$J,$L41))),""),"")</f>
        <v/>
      </c>
      <c r="I41" s="248">
        <f>IFERROR(IF($L41&gt;0,IF(INDEX('Invullen groen'!$K:$K,$L41)=0,"",INT(INDEX('Invullen groen'!$K:$K,$L41))),""),"")</f>
        <v/>
      </c>
      <c r="J41" s="247">
        <f>IF($L41&gt;0,IFERROR($K$1&amp;" "&amp;TRIM(SUBSTITUTE(SUBSTITUTE(SUBSTITUTE(SUBSTITUTE(SUBSTITUTE(SUBSTITUTE(SUBSTITUTE(SUBSTITUTE(SUBSTITUTE(SUBSTITUTE(SUBSTITUTE(SUBSTITUTE(LOWER(INDEX('Invullen groen'!$O:$O,$L41)),"2024",""),"2025",""),"2026",""),"2027",""),"2028",""),"2029",""),"taakveld ",""),"installaties","inst"),"ruwbouw","ruwb"),"afbouw","afb"),"bijstelling","bijst"),"investeringen","invest")),""),"")</f>
        <v/>
      </c>
      <c r="K41" s="247" t="n"/>
      <c r="L41" s="122">
        <f>IFERROR(MATCH(ROW()-4,'Invullen groen'!$P$17:$P$109,0)+16,0)</f>
        <v/>
      </c>
      <c r="M41" s="122" t="n"/>
      <c r="N41" s="122" t="n"/>
    </row>
    <row r="42" hidden="1" ht="15" customHeight="1" s="418">
      <c r="A42" s="249">
        <f>IFERROR(IF($L42&gt;0,INDEX('Invullen groen'!$E:$E,$L42),""),"")</f>
        <v/>
      </c>
      <c r="B42" s="249">
        <f>IFERROR(IF($L42&gt;0,IF(INDEX('Invullen groen'!$F:$F,$L42)&gt;0,INDEX('Invullen groen'!$F:$F,$L42),""),""),"")</f>
        <v/>
      </c>
      <c r="C42" s="249">
        <f>IFERROR(IF($L42&gt;0,IF(INDEX('Invullen groen'!$N:$N,$L42)&gt;0,INDEX('Invullen groen'!$N:$N,$L42),""),""),"")</f>
        <v/>
      </c>
      <c r="D42" s="249" t="n"/>
      <c r="E42" s="249">
        <f>IFERROR(IF(LEN(J42)&lt;=36,J42,IFERROR(LEFT(J42,FIND(CHAR(1),SUBSTITUTE(LEFT(J42,36)," ",CHAR(1),LEN(LEFT(J42,36))-LEN(SUBSTITUTE(LEFT(J42,36)," ",""))))-1),LEFT(J42,36))),"")</f>
        <v/>
      </c>
      <c r="F42" s="250">
        <f>IFERROR(IF($L42&gt;0,IF(INDEX('Invullen groen'!$H:$H,$L42)=0,"",INT(INDEX('Invullen groen'!$H:$H,$L42))),""),"")</f>
        <v/>
      </c>
      <c r="G42" s="250">
        <f>IFERROR(IF($L42&gt;0,IF(INDEX('Invullen groen'!$I:$I,$L42)=0,"",INT(INDEX('Invullen groen'!$I:$I,$L42))),""),"")</f>
        <v/>
      </c>
      <c r="H42" s="250">
        <f>IFERROR(IF($L42&gt;0,IF(INDEX('Invullen groen'!$J:$J,$L42)=0,"",INT(INDEX('Invullen groen'!$J:$J,$L42))),""),"")</f>
        <v/>
      </c>
      <c r="I42" s="250">
        <f>IFERROR(IF($L42&gt;0,IF(INDEX('Invullen groen'!$K:$K,$L42)=0,"",INT(INDEX('Invullen groen'!$K:$K,$L42))),""),"")</f>
        <v/>
      </c>
      <c r="J42" s="249">
        <f>IF($L42&gt;0,IFERROR($K$1&amp;" "&amp;TRIM(SUBSTITUTE(SUBSTITUTE(SUBSTITUTE(SUBSTITUTE(SUBSTITUTE(SUBSTITUTE(SUBSTITUTE(SUBSTITUTE(SUBSTITUTE(SUBSTITUTE(SUBSTITUTE(SUBSTITUTE(LOWER(INDEX('Invullen groen'!$O:$O,$L42)),"2024",""),"2025",""),"2026",""),"2027",""),"2028",""),"2029",""),"taakveld ",""),"installaties","inst"),"ruwbouw","ruwb"),"afbouw","afb"),"bijstelling","bijst"),"investeringen","invest")),""),"")</f>
        <v/>
      </c>
      <c r="K42" s="249" t="n"/>
      <c r="L42" s="122">
        <f>IFERROR(MATCH(ROW()-4,'Invullen groen'!$P$17:$P$109,0)+16,0)</f>
        <v/>
      </c>
      <c r="M42" s="122" t="n"/>
      <c r="N42" s="122" t="n"/>
    </row>
    <row r="43" hidden="1" ht="15" customHeight="1" s="418">
      <c r="A43" s="247">
        <f>IFERROR(IF($L43&gt;0,INDEX('Invullen groen'!$E:$E,$L43),""),"")</f>
        <v/>
      </c>
      <c r="B43" s="247">
        <f>IFERROR(IF($L43&gt;0,IF(INDEX('Invullen groen'!$F:$F,$L43)&gt;0,INDEX('Invullen groen'!$F:$F,$L43),""),""),"")</f>
        <v/>
      </c>
      <c r="C43" s="247">
        <f>IFERROR(IF($L43&gt;0,IF(INDEX('Invullen groen'!$N:$N,$L43)&gt;0,INDEX('Invullen groen'!$N:$N,$L43),""),""),"")</f>
        <v/>
      </c>
      <c r="D43" s="247" t="n"/>
      <c r="E43" s="247">
        <f>IFERROR(IF(LEN(J43)&lt;=36,J43,IFERROR(LEFT(J43,FIND(CHAR(1),SUBSTITUTE(LEFT(J43,36)," ",CHAR(1),LEN(LEFT(J43,36))-LEN(SUBSTITUTE(LEFT(J43,36)," ",""))))-1),LEFT(J43,36))),"")</f>
        <v/>
      </c>
      <c r="F43" s="248">
        <f>IFERROR(IF($L43&gt;0,IF(INDEX('Invullen groen'!$H:$H,$L43)=0,"",INT(INDEX('Invullen groen'!$H:$H,$L43))),""),"")</f>
        <v/>
      </c>
      <c r="G43" s="248">
        <f>IFERROR(IF($L43&gt;0,IF(INDEX('Invullen groen'!$I:$I,$L43)=0,"",INT(INDEX('Invullen groen'!$I:$I,$L43))),""),"")</f>
        <v/>
      </c>
      <c r="H43" s="248">
        <f>IFERROR(IF($L43&gt;0,IF(INDEX('Invullen groen'!$J:$J,$L43)=0,"",INT(INDEX('Invullen groen'!$J:$J,$L43))),""),"")</f>
        <v/>
      </c>
      <c r="I43" s="248">
        <f>IFERROR(IF($L43&gt;0,IF(INDEX('Invullen groen'!$K:$K,$L43)=0,"",INT(INDEX('Invullen groen'!$K:$K,$L43))),""),"")</f>
        <v/>
      </c>
      <c r="J43" s="247">
        <f>IF($L43&gt;0,IFERROR($K$1&amp;" "&amp;TRIM(SUBSTITUTE(SUBSTITUTE(SUBSTITUTE(SUBSTITUTE(SUBSTITUTE(SUBSTITUTE(SUBSTITUTE(SUBSTITUTE(SUBSTITUTE(SUBSTITUTE(SUBSTITUTE(SUBSTITUTE(LOWER(INDEX('Invullen groen'!$O:$O,$L43)),"2024",""),"2025",""),"2026",""),"2027",""),"2028",""),"2029",""),"taakveld ",""),"installaties","inst"),"ruwbouw","ruwb"),"afbouw","afb"),"bijstelling","bijst"),"investeringen","invest")),""),"")</f>
        <v/>
      </c>
      <c r="K43" s="247" t="n"/>
      <c r="L43" s="122">
        <f>IFERROR(MATCH(ROW()-4,'Invullen groen'!$P$17:$P$109,0)+16,0)</f>
        <v/>
      </c>
      <c r="M43" s="122" t="n"/>
      <c r="N43" s="122" t="n"/>
    </row>
    <row r="44" hidden="1" ht="15" customHeight="1" s="418">
      <c r="A44" s="249">
        <f>IFERROR(IF($L44&gt;0,INDEX('Invullen groen'!$E:$E,$L44),""),"")</f>
        <v/>
      </c>
      <c r="B44" s="249">
        <f>IFERROR(IF($L44&gt;0,IF(INDEX('Invullen groen'!$F:$F,$L44)&gt;0,INDEX('Invullen groen'!$F:$F,$L44),""),""),"")</f>
        <v/>
      </c>
      <c r="C44" s="249">
        <f>IFERROR(IF($L44&gt;0,IF(INDEX('Invullen groen'!$N:$N,$L44)&gt;0,INDEX('Invullen groen'!$N:$N,$L44),""),""),"")</f>
        <v/>
      </c>
      <c r="D44" s="249" t="n"/>
      <c r="E44" s="249">
        <f>IFERROR(IF(LEN(J44)&lt;=36,J44,IFERROR(LEFT(J44,FIND(CHAR(1),SUBSTITUTE(LEFT(J44,36)," ",CHAR(1),LEN(LEFT(J44,36))-LEN(SUBSTITUTE(LEFT(J44,36)," ",""))))-1),LEFT(J44,36))),"")</f>
        <v/>
      </c>
      <c r="F44" s="250">
        <f>IFERROR(IF($L44&gt;0,IF(INDEX('Invullen groen'!$H:$H,$L44)=0,"",INT(INDEX('Invullen groen'!$H:$H,$L44))),""),"")</f>
        <v/>
      </c>
      <c r="G44" s="250">
        <f>IFERROR(IF($L44&gt;0,IF(INDEX('Invullen groen'!$I:$I,$L44)=0,"",INT(INDEX('Invullen groen'!$I:$I,$L44))),""),"")</f>
        <v/>
      </c>
      <c r="H44" s="250">
        <f>IFERROR(IF($L44&gt;0,IF(INDEX('Invullen groen'!$J:$J,$L44)=0,"",INT(INDEX('Invullen groen'!$J:$J,$L44))),""),"")</f>
        <v/>
      </c>
      <c r="I44" s="250">
        <f>IFERROR(IF($L44&gt;0,IF(INDEX('Invullen groen'!$K:$K,$L44)=0,"",INT(INDEX('Invullen groen'!$K:$K,$L44))),""),"")</f>
        <v/>
      </c>
      <c r="J44" s="249">
        <f>IF($L44&gt;0,IFERROR($K$1&amp;" "&amp;TRIM(SUBSTITUTE(SUBSTITUTE(SUBSTITUTE(SUBSTITUTE(SUBSTITUTE(SUBSTITUTE(SUBSTITUTE(SUBSTITUTE(SUBSTITUTE(SUBSTITUTE(SUBSTITUTE(SUBSTITUTE(LOWER(INDEX('Invullen groen'!$O:$O,$L44)),"2024",""),"2025",""),"2026",""),"2027",""),"2028",""),"2029",""),"taakveld ",""),"installaties","inst"),"ruwbouw","ruwb"),"afbouw","afb"),"bijstelling","bijst"),"investeringen","invest")),""),"")</f>
        <v/>
      </c>
      <c r="K44" s="249" t="n"/>
      <c r="L44" s="122">
        <f>IFERROR(MATCH(ROW()-4,'Invullen groen'!$P$17:$P$109,0)+16,0)</f>
        <v/>
      </c>
      <c r="M44" s="122" t="n"/>
      <c r="N44" s="122" t="n"/>
    </row>
    <row r="45" hidden="1" ht="15" customHeight="1" s="418">
      <c r="A45" s="247">
        <f>IFERROR(IF($L45&gt;0,INDEX('Invullen groen'!$E:$E,$L45),""),"")</f>
        <v/>
      </c>
      <c r="B45" s="247">
        <f>IFERROR(IF($L45&gt;0,IF(INDEX('Invullen groen'!$F:$F,$L45)&gt;0,INDEX('Invullen groen'!$F:$F,$L45),""),""),"")</f>
        <v/>
      </c>
      <c r="C45" s="247">
        <f>IFERROR(IF($L45&gt;0,IF(INDEX('Invullen groen'!$N:$N,$L45)&gt;0,INDEX('Invullen groen'!$N:$N,$L45),""),""),"")</f>
        <v/>
      </c>
      <c r="D45" s="247" t="n"/>
      <c r="E45" s="247">
        <f>IFERROR(IF(LEN(J45)&lt;=36,J45,IFERROR(LEFT(J45,FIND(CHAR(1),SUBSTITUTE(LEFT(J45,36)," ",CHAR(1),LEN(LEFT(J45,36))-LEN(SUBSTITUTE(LEFT(J45,36)," ",""))))-1),LEFT(J45,36))),"")</f>
        <v/>
      </c>
      <c r="F45" s="248">
        <f>IFERROR(IF($L45&gt;0,IF(INDEX('Invullen groen'!$H:$H,$L45)=0,"",INT(INDEX('Invullen groen'!$H:$H,$L45))),""),"")</f>
        <v/>
      </c>
      <c r="G45" s="248">
        <f>IFERROR(IF($L45&gt;0,IF(INDEX('Invullen groen'!$I:$I,$L45)=0,"",INT(INDEX('Invullen groen'!$I:$I,$L45))),""),"")</f>
        <v/>
      </c>
      <c r="H45" s="248">
        <f>IFERROR(IF($L45&gt;0,IF(INDEX('Invullen groen'!$J:$J,$L45)=0,"",INT(INDEX('Invullen groen'!$J:$J,$L45))),""),"")</f>
        <v/>
      </c>
      <c r="I45" s="248">
        <f>IFERROR(IF($L45&gt;0,IF(INDEX('Invullen groen'!$K:$K,$L45)=0,"",INT(INDEX('Invullen groen'!$K:$K,$L45))),""),"")</f>
        <v/>
      </c>
      <c r="J45" s="247">
        <f>IF($L45&gt;0,IFERROR($K$1&amp;" "&amp;TRIM(SUBSTITUTE(SUBSTITUTE(SUBSTITUTE(SUBSTITUTE(SUBSTITUTE(SUBSTITUTE(SUBSTITUTE(SUBSTITUTE(SUBSTITUTE(SUBSTITUTE(SUBSTITUTE(SUBSTITUTE(LOWER(INDEX('Invullen groen'!$O:$O,$L45)),"2024",""),"2025",""),"2026",""),"2027",""),"2028",""),"2029",""),"taakveld ",""),"installaties","inst"),"ruwbouw","ruwb"),"afbouw","afb"),"bijstelling","bijst"),"investeringen","invest")),""),"")</f>
        <v/>
      </c>
      <c r="K45" s="247" t="n"/>
      <c r="L45" s="122">
        <f>IFERROR(MATCH(ROW()-4,'Invullen groen'!$P$17:$P$109,0)+16,0)</f>
        <v/>
      </c>
      <c r="M45" s="122" t="n"/>
      <c r="N45" s="122" t="n"/>
    </row>
    <row r="46" hidden="1" ht="15" customHeight="1" s="418">
      <c r="A46" s="249">
        <f>IFERROR(IF($L46&gt;0,INDEX('Invullen groen'!$E:$E,$L46),""),"")</f>
        <v/>
      </c>
      <c r="B46" s="249">
        <f>IFERROR(IF($L46&gt;0,IF(INDEX('Invullen groen'!$F:$F,$L46)&gt;0,INDEX('Invullen groen'!$F:$F,$L46),""),""),"")</f>
        <v/>
      </c>
      <c r="C46" s="249">
        <f>IFERROR(IF($L46&gt;0,IF(INDEX('Invullen groen'!$N:$N,$L46)&gt;0,INDEX('Invullen groen'!$N:$N,$L46),""),""),"")</f>
        <v/>
      </c>
      <c r="D46" s="249" t="n"/>
      <c r="E46" s="249">
        <f>IFERROR(IF(LEN(J46)&lt;=36,J46,IFERROR(LEFT(J46,FIND(CHAR(1),SUBSTITUTE(LEFT(J46,36)," ",CHAR(1),LEN(LEFT(J46,36))-LEN(SUBSTITUTE(LEFT(J46,36)," ",""))))-1),LEFT(J46,36))),"")</f>
        <v/>
      </c>
      <c r="F46" s="250">
        <f>IFERROR(IF($L46&gt;0,IF(INDEX('Invullen groen'!$H:$H,$L46)=0,"",INT(INDEX('Invullen groen'!$H:$H,$L46))),""),"")</f>
        <v/>
      </c>
      <c r="G46" s="250">
        <f>IFERROR(IF($L46&gt;0,IF(INDEX('Invullen groen'!$I:$I,$L46)=0,"",INT(INDEX('Invullen groen'!$I:$I,$L46))),""),"")</f>
        <v/>
      </c>
      <c r="H46" s="250">
        <f>IFERROR(IF($L46&gt;0,IF(INDEX('Invullen groen'!$J:$J,$L46)=0,"",INT(INDEX('Invullen groen'!$J:$J,$L46))),""),"")</f>
        <v/>
      </c>
      <c r="I46" s="250">
        <f>IFERROR(IF($L46&gt;0,IF(INDEX('Invullen groen'!$K:$K,$L46)=0,"",INT(INDEX('Invullen groen'!$K:$K,$L46))),""),"")</f>
        <v/>
      </c>
      <c r="J46" s="249">
        <f>IF($L46&gt;0,IFERROR($K$1&amp;" "&amp;TRIM(SUBSTITUTE(SUBSTITUTE(SUBSTITUTE(SUBSTITUTE(SUBSTITUTE(SUBSTITUTE(SUBSTITUTE(SUBSTITUTE(SUBSTITUTE(SUBSTITUTE(SUBSTITUTE(SUBSTITUTE(LOWER(INDEX('Invullen groen'!$O:$O,$L46)),"2024",""),"2025",""),"2026",""),"2027",""),"2028",""),"2029",""),"taakveld ",""),"installaties","inst"),"ruwbouw","ruwb"),"afbouw","afb"),"bijstelling","bijst"),"investeringen","invest")),""),"")</f>
        <v/>
      </c>
      <c r="K46" s="249" t="n"/>
      <c r="L46" s="122">
        <f>IFERROR(MATCH(ROW()-4,'Invullen groen'!$P$17:$P$109,0)+16,0)</f>
        <v/>
      </c>
      <c r="M46" s="122" t="n"/>
      <c r="N46" s="122" t="n"/>
    </row>
    <row r="47" hidden="1" ht="15" customHeight="1" s="418">
      <c r="A47" s="247">
        <f>IFERROR(IF($L47&gt;0,INDEX('Invullen groen'!$E:$E,$L47),""),"")</f>
        <v/>
      </c>
      <c r="B47" s="247">
        <f>IFERROR(IF($L47&gt;0,IF(INDEX('Invullen groen'!$F:$F,$L47)&gt;0,INDEX('Invullen groen'!$F:$F,$L47),""),""),"")</f>
        <v/>
      </c>
      <c r="C47" s="247">
        <f>IFERROR(IF($L47&gt;0,IF(INDEX('Invullen groen'!$N:$N,$L47)&gt;0,INDEX('Invullen groen'!$N:$N,$L47),""),""),"")</f>
        <v/>
      </c>
      <c r="D47" s="247" t="n"/>
      <c r="E47" s="247">
        <f>IFERROR(IF(LEN(J47)&lt;=36,J47,IFERROR(LEFT(J47,FIND(CHAR(1),SUBSTITUTE(LEFT(J47,36)," ",CHAR(1),LEN(LEFT(J47,36))-LEN(SUBSTITUTE(LEFT(J47,36)," ",""))))-1),LEFT(J47,36))),"")</f>
        <v/>
      </c>
      <c r="F47" s="248">
        <f>IFERROR(IF($L47&gt;0,IF(INDEX('Invullen groen'!$H:$H,$L47)=0,"",INT(INDEX('Invullen groen'!$H:$H,$L47))),""),"")</f>
        <v/>
      </c>
      <c r="G47" s="248">
        <f>IFERROR(IF($L47&gt;0,IF(INDEX('Invullen groen'!$I:$I,$L47)=0,"",INT(INDEX('Invullen groen'!$I:$I,$L47))),""),"")</f>
        <v/>
      </c>
      <c r="H47" s="248">
        <f>IFERROR(IF($L47&gt;0,IF(INDEX('Invullen groen'!$J:$J,$L47)=0,"",INT(INDEX('Invullen groen'!$J:$J,$L47))),""),"")</f>
        <v/>
      </c>
      <c r="I47" s="248">
        <f>IFERROR(IF($L47&gt;0,IF(INDEX('Invullen groen'!$K:$K,$L47)=0,"",INT(INDEX('Invullen groen'!$K:$K,$L47))),""),"")</f>
        <v/>
      </c>
      <c r="J47" s="247">
        <f>IF($L47&gt;0,IFERROR($K$1&amp;" "&amp;TRIM(SUBSTITUTE(SUBSTITUTE(SUBSTITUTE(SUBSTITUTE(SUBSTITUTE(SUBSTITUTE(SUBSTITUTE(SUBSTITUTE(SUBSTITUTE(SUBSTITUTE(SUBSTITUTE(SUBSTITUTE(LOWER(INDEX('Invullen groen'!$O:$O,$L47)),"2024",""),"2025",""),"2026",""),"2027",""),"2028",""),"2029",""),"taakveld ",""),"installaties","inst"),"ruwbouw","ruwb"),"afbouw","afb"),"bijstelling","bijst"),"investeringen","invest")),""),"")</f>
        <v/>
      </c>
      <c r="K47" s="247" t="n"/>
      <c r="L47" s="122">
        <f>IFERROR(MATCH(ROW()-4,'Invullen groen'!$P$17:$P$109,0)+16,0)</f>
        <v/>
      </c>
      <c r="M47" s="122" t="n"/>
      <c r="N47" s="122" t="n"/>
    </row>
    <row r="48" hidden="1" ht="15" customHeight="1" s="418">
      <c r="A48" s="249">
        <f>IFERROR(IF($L48&gt;0,INDEX('Invullen groen'!$E:$E,$L48),""),"")</f>
        <v/>
      </c>
      <c r="B48" s="249">
        <f>IFERROR(IF($L48&gt;0,IF(INDEX('Invullen groen'!$F:$F,$L48)&gt;0,INDEX('Invullen groen'!$F:$F,$L48),""),""),"")</f>
        <v/>
      </c>
      <c r="C48" s="249">
        <f>IFERROR(IF($L48&gt;0,IF(INDEX('Invullen groen'!$N:$N,$L48)&gt;0,INDEX('Invullen groen'!$N:$N,$L48),""),""),"")</f>
        <v/>
      </c>
      <c r="D48" s="249" t="n"/>
      <c r="E48" s="249">
        <f>IFERROR(IF(LEN(J48)&lt;=36,J48,IFERROR(LEFT(J48,FIND(CHAR(1),SUBSTITUTE(LEFT(J48,36)," ",CHAR(1),LEN(LEFT(J48,36))-LEN(SUBSTITUTE(LEFT(J48,36)," ",""))))-1),LEFT(J48,36))),"")</f>
        <v/>
      </c>
      <c r="F48" s="250">
        <f>IFERROR(IF($L48&gt;0,IF(INDEX('Invullen groen'!$H:$H,$L48)=0,"",INT(INDEX('Invullen groen'!$H:$H,$L48))),""),"")</f>
        <v/>
      </c>
      <c r="G48" s="250">
        <f>IFERROR(IF($L48&gt;0,IF(INDEX('Invullen groen'!$I:$I,$L48)=0,"",INT(INDEX('Invullen groen'!$I:$I,$L48))),""),"")</f>
        <v/>
      </c>
      <c r="H48" s="250">
        <f>IFERROR(IF($L48&gt;0,IF(INDEX('Invullen groen'!$J:$J,$L48)=0,"",INT(INDEX('Invullen groen'!$J:$J,$L48))),""),"")</f>
        <v/>
      </c>
      <c r="I48" s="250">
        <f>IFERROR(IF($L48&gt;0,IF(INDEX('Invullen groen'!$K:$K,$L48)=0,"",INT(INDEX('Invullen groen'!$K:$K,$L48))),""),"")</f>
        <v/>
      </c>
      <c r="J48" s="249">
        <f>IF($L48&gt;0,IFERROR($K$1&amp;" "&amp;TRIM(SUBSTITUTE(SUBSTITUTE(SUBSTITUTE(SUBSTITUTE(SUBSTITUTE(SUBSTITUTE(SUBSTITUTE(SUBSTITUTE(SUBSTITUTE(SUBSTITUTE(SUBSTITUTE(SUBSTITUTE(LOWER(INDEX('Invullen groen'!$O:$O,$L48)),"2024",""),"2025",""),"2026",""),"2027",""),"2028",""),"2029",""),"taakveld ",""),"installaties","inst"),"ruwbouw","ruwb"),"afbouw","afb"),"bijstelling","bijst"),"investeringen","invest")),""),"")</f>
        <v/>
      </c>
      <c r="K48" s="249" t="n"/>
      <c r="L48" s="122">
        <f>IFERROR(MATCH(ROW()-4,'Invullen groen'!$P$17:$P$109,0)+16,0)</f>
        <v/>
      </c>
      <c r="M48" s="122" t="n"/>
      <c r="N48" s="122" t="n"/>
    </row>
    <row r="49" hidden="1" ht="15" customHeight="1" s="418">
      <c r="A49" s="247">
        <f>IFERROR(IF($L49&gt;0,INDEX('Invullen groen'!$E:$E,$L49),""),"")</f>
        <v/>
      </c>
      <c r="B49" s="247">
        <f>IFERROR(IF($L49&gt;0,IF(INDEX('Invullen groen'!$F:$F,$L49)&gt;0,INDEX('Invullen groen'!$F:$F,$L49),""),""),"")</f>
        <v/>
      </c>
      <c r="C49" s="247">
        <f>IFERROR(IF($L49&gt;0,IF(INDEX('Invullen groen'!$N:$N,$L49)&gt;0,INDEX('Invullen groen'!$N:$N,$L49),""),""),"")</f>
        <v/>
      </c>
      <c r="D49" s="247" t="n"/>
      <c r="E49" s="247">
        <f>IFERROR(IF(LEN(J49)&lt;=36,J49,IFERROR(LEFT(J49,FIND(CHAR(1),SUBSTITUTE(LEFT(J49,36)," ",CHAR(1),LEN(LEFT(J49,36))-LEN(SUBSTITUTE(LEFT(J49,36)," ",""))))-1),LEFT(J49,36))),"")</f>
        <v/>
      </c>
      <c r="F49" s="248">
        <f>IFERROR(IF($L49&gt;0,IF(INDEX('Invullen groen'!$H:$H,$L49)=0,"",INT(INDEX('Invullen groen'!$H:$H,$L49))),""),"")</f>
        <v/>
      </c>
      <c r="G49" s="248">
        <f>IFERROR(IF($L49&gt;0,IF(INDEX('Invullen groen'!$I:$I,$L49)=0,"",INT(INDEX('Invullen groen'!$I:$I,$L49))),""),"")</f>
        <v/>
      </c>
      <c r="H49" s="248">
        <f>IFERROR(IF($L49&gt;0,IF(INDEX('Invullen groen'!$J:$J,$L49)=0,"",INT(INDEX('Invullen groen'!$J:$J,$L49))),""),"")</f>
        <v/>
      </c>
      <c r="I49" s="248">
        <f>IFERROR(IF($L49&gt;0,IF(INDEX('Invullen groen'!$K:$K,$L49)=0,"",INT(INDEX('Invullen groen'!$K:$K,$L49))),""),"")</f>
        <v/>
      </c>
      <c r="J49" s="247">
        <f>IF($L49&gt;0,IFERROR($K$1&amp;" "&amp;TRIM(SUBSTITUTE(SUBSTITUTE(SUBSTITUTE(SUBSTITUTE(SUBSTITUTE(SUBSTITUTE(SUBSTITUTE(SUBSTITUTE(SUBSTITUTE(SUBSTITUTE(SUBSTITUTE(SUBSTITUTE(LOWER(INDEX('Invullen groen'!$O:$O,$L49)),"2024",""),"2025",""),"2026",""),"2027",""),"2028",""),"2029",""),"taakveld ",""),"installaties","inst"),"ruwbouw","ruwb"),"afbouw","afb"),"bijstelling","bijst"),"investeringen","invest")),""),"")</f>
        <v/>
      </c>
      <c r="K49" s="247" t="n"/>
      <c r="L49" s="122">
        <f>IFERROR(MATCH(ROW()-4,'Invullen groen'!$P$17:$P$109,0)+16,0)</f>
        <v/>
      </c>
      <c r="M49" s="122" t="n"/>
      <c r="N49" s="122" t="n"/>
    </row>
    <row r="50" hidden="1" ht="15" customHeight="1" s="418">
      <c r="A50" s="249">
        <f>IFERROR(IF($L50&gt;0,INDEX('Invullen groen'!$E:$E,$L50),""),"")</f>
        <v/>
      </c>
      <c r="B50" s="249">
        <f>IFERROR(IF($L50&gt;0,IF(INDEX('Invullen groen'!$F:$F,$L50)&gt;0,INDEX('Invullen groen'!$F:$F,$L50),""),""),"")</f>
        <v/>
      </c>
      <c r="C50" s="249">
        <f>IFERROR(IF($L50&gt;0,IF(INDEX('Invullen groen'!$N:$N,$L50)&gt;0,INDEX('Invullen groen'!$N:$N,$L50),""),""),"")</f>
        <v/>
      </c>
      <c r="D50" s="249" t="n"/>
      <c r="E50" s="249">
        <f>IFERROR(IF(LEN(J50)&lt;=36,J50,IFERROR(LEFT(J50,FIND(CHAR(1),SUBSTITUTE(LEFT(J50,36)," ",CHAR(1),LEN(LEFT(J50,36))-LEN(SUBSTITUTE(LEFT(J50,36)," ",""))))-1),LEFT(J50,36))),"")</f>
        <v/>
      </c>
      <c r="F50" s="250">
        <f>IFERROR(IF($L50&gt;0,IF(INDEX('Invullen groen'!$H:$H,$L50)=0,"",INT(INDEX('Invullen groen'!$H:$H,$L50))),""),"")</f>
        <v/>
      </c>
      <c r="G50" s="250">
        <f>IFERROR(IF($L50&gt;0,IF(INDEX('Invullen groen'!$I:$I,$L50)=0,"",INT(INDEX('Invullen groen'!$I:$I,$L50))),""),"")</f>
        <v/>
      </c>
      <c r="H50" s="250">
        <f>IFERROR(IF($L50&gt;0,IF(INDEX('Invullen groen'!$J:$J,$L50)=0,"",INT(INDEX('Invullen groen'!$J:$J,$L50))),""),"")</f>
        <v/>
      </c>
      <c r="I50" s="250">
        <f>IFERROR(IF($L50&gt;0,IF(INDEX('Invullen groen'!$K:$K,$L50)=0,"",INT(INDEX('Invullen groen'!$K:$K,$L50))),""),"")</f>
        <v/>
      </c>
      <c r="J50" s="249">
        <f>IF($L50&gt;0,IFERROR($K$1&amp;" "&amp;TRIM(SUBSTITUTE(SUBSTITUTE(SUBSTITUTE(SUBSTITUTE(SUBSTITUTE(SUBSTITUTE(SUBSTITUTE(SUBSTITUTE(SUBSTITUTE(SUBSTITUTE(SUBSTITUTE(SUBSTITUTE(LOWER(INDEX('Invullen groen'!$O:$O,$L50)),"2024",""),"2025",""),"2026",""),"2027",""),"2028",""),"2029",""),"taakveld ",""),"installaties","inst"),"ruwbouw","ruwb"),"afbouw","afb"),"bijstelling","bijst"),"investeringen","invest")),""),"")</f>
        <v/>
      </c>
      <c r="K50" s="249" t="n"/>
      <c r="L50" s="122">
        <f>IFERROR(MATCH(ROW()-4,'Invullen groen'!$P$17:$P$109,0)+16,0)</f>
        <v/>
      </c>
      <c r="M50" s="122" t="n"/>
      <c r="N50" s="122" t="n"/>
    </row>
    <row r="51" hidden="1" ht="15" customHeight="1" s="418">
      <c r="A51" s="247">
        <f>IFERROR(IF($L51&gt;0,INDEX('Invullen groen'!$E:$E,$L51),""),"")</f>
        <v/>
      </c>
      <c r="B51" s="247">
        <f>IFERROR(IF($L51&gt;0,IF(INDEX('Invullen groen'!$F:$F,$L51)&gt;0,INDEX('Invullen groen'!$F:$F,$L51),""),""),"")</f>
        <v/>
      </c>
      <c r="C51" s="247">
        <f>IFERROR(IF($L51&gt;0,IF(INDEX('Invullen groen'!$N:$N,$L51)&gt;0,INDEX('Invullen groen'!$N:$N,$L51),""),""),"")</f>
        <v/>
      </c>
      <c r="D51" s="247" t="n"/>
      <c r="E51" s="247">
        <f>IFERROR(IF(LEN(J51)&lt;=36,J51,IFERROR(LEFT(J51,FIND(CHAR(1),SUBSTITUTE(LEFT(J51,36)," ",CHAR(1),LEN(LEFT(J51,36))-LEN(SUBSTITUTE(LEFT(J51,36)," ",""))))-1),LEFT(J51,36))),"")</f>
        <v/>
      </c>
      <c r="F51" s="248">
        <f>IFERROR(IF($L51&gt;0,IF(INDEX('Invullen groen'!$H:$H,$L51)=0,"",INT(INDEX('Invullen groen'!$H:$H,$L51))),""),"")</f>
        <v/>
      </c>
      <c r="G51" s="248">
        <f>IFERROR(IF($L51&gt;0,IF(INDEX('Invullen groen'!$I:$I,$L51)=0,"",INT(INDEX('Invullen groen'!$I:$I,$L51))),""),"")</f>
        <v/>
      </c>
      <c r="H51" s="248">
        <f>IFERROR(IF($L51&gt;0,IF(INDEX('Invullen groen'!$J:$J,$L51)=0,"",INT(INDEX('Invullen groen'!$J:$J,$L51))),""),"")</f>
        <v/>
      </c>
      <c r="I51" s="248">
        <f>IFERROR(IF($L51&gt;0,IF(INDEX('Invullen groen'!$K:$K,$L51)=0,"",INT(INDEX('Invullen groen'!$K:$K,$L51))),""),"")</f>
        <v/>
      </c>
      <c r="J51" s="247">
        <f>IF($L51&gt;0,IFERROR($K$1&amp;" "&amp;TRIM(SUBSTITUTE(SUBSTITUTE(SUBSTITUTE(SUBSTITUTE(SUBSTITUTE(SUBSTITUTE(SUBSTITUTE(SUBSTITUTE(SUBSTITUTE(SUBSTITUTE(SUBSTITUTE(SUBSTITUTE(LOWER(INDEX('Invullen groen'!$O:$O,$L51)),"2024",""),"2025",""),"2026",""),"2027",""),"2028",""),"2029",""),"taakveld ",""),"installaties","inst"),"ruwbouw","ruwb"),"afbouw","afb"),"bijstelling","bijst"),"investeringen","invest")),""),"")</f>
        <v/>
      </c>
      <c r="K51" s="247" t="n"/>
      <c r="L51" s="122">
        <f>IFERROR(MATCH(ROW()-4,'Invullen groen'!$P$17:$P$109,0)+16,0)</f>
        <v/>
      </c>
      <c r="M51" s="122" t="n"/>
      <c r="N51" s="122" t="n"/>
    </row>
    <row r="52" hidden="1" ht="15" customHeight="1" s="418">
      <c r="A52" s="249">
        <f>IFERROR(IF($L52&gt;0,INDEX('Invullen groen'!$E:$E,$L52),""),"")</f>
        <v/>
      </c>
      <c r="B52" s="249">
        <f>IFERROR(IF($L52&gt;0,IF(INDEX('Invullen groen'!$F:$F,$L52)&gt;0,INDEX('Invullen groen'!$F:$F,$L52),""),""),"")</f>
        <v/>
      </c>
      <c r="C52" s="249">
        <f>IFERROR(IF($L52&gt;0,IF(INDEX('Invullen groen'!$N:$N,$L52)&gt;0,INDEX('Invullen groen'!$N:$N,$L52),""),""),"")</f>
        <v/>
      </c>
      <c r="D52" s="249" t="n"/>
      <c r="E52" s="249">
        <f>IFERROR(IF(LEN(J52)&lt;=36,J52,IFERROR(LEFT(J52,FIND(CHAR(1),SUBSTITUTE(LEFT(J52,36)," ",CHAR(1),LEN(LEFT(J52,36))-LEN(SUBSTITUTE(LEFT(J52,36)," ",""))))-1),LEFT(J52,36))),"")</f>
        <v/>
      </c>
      <c r="F52" s="250">
        <f>IFERROR(IF($L52&gt;0,IF(INDEX('Invullen groen'!$H:$H,$L52)=0,"",INT(INDEX('Invullen groen'!$H:$H,$L52))),""),"")</f>
        <v/>
      </c>
      <c r="G52" s="250">
        <f>IFERROR(IF($L52&gt;0,IF(INDEX('Invullen groen'!$I:$I,$L52)=0,"",INT(INDEX('Invullen groen'!$I:$I,$L52))),""),"")</f>
        <v/>
      </c>
      <c r="H52" s="250">
        <f>IFERROR(IF($L52&gt;0,IF(INDEX('Invullen groen'!$J:$J,$L52)=0,"",INT(INDEX('Invullen groen'!$J:$J,$L52))),""),"")</f>
        <v/>
      </c>
      <c r="I52" s="250">
        <f>IFERROR(IF($L52&gt;0,IF(INDEX('Invullen groen'!$K:$K,$L52)=0,"",INT(INDEX('Invullen groen'!$K:$K,$L52))),""),"")</f>
        <v/>
      </c>
      <c r="J52" s="249">
        <f>IF($L52&gt;0,IFERROR($K$1&amp;" "&amp;TRIM(SUBSTITUTE(SUBSTITUTE(SUBSTITUTE(SUBSTITUTE(SUBSTITUTE(SUBSTITUTE(SUBSTITUTE(SUBSTITUTE(SUBSTITUTE(SUBSTITUTE(SUBSTITUTE(SUBSTITUTE(LOWER(INDEX('Invullen groen'!$O:$O,$L52)),"2024",""),"2025",""),"2026",""),"2027",""),"2028",""),"2029",""),"taakveld ",""),"installaties","inst"),"ruwbouw","ruwb"),"afbouw","afb"),"bijstelling","bijst"),"investeringen","invest")),""),"")</f>
        <v/>
      </c>
      <c r="K52" s="249" t="n"/>
      <c r="L52" s="122">
        <f>IFERROR(MATCH(ROW()-4,'Invullen groen'!$P$17:$P$109,0)+16,0)</f>
        <v/>
      </c>
      <c r="M52" s="122" t="n"/>
      <c r="N52" s="122" t="n"/>
    </row>
    <row r="53" hidden="1" ht="15" customHeight="1" s="418">
      <c r="A53" s="247">
        <f>IFERROR(IF($L53&gt;0,INDEX('Invullen groen'!$E:$E,$L53),""),"")</f>
        <v/>
      </c>
      <c r="B53" s="247">
        <f>IFERROR(IF($L53&gt;0,IF(INDEX('Invullen groen'!$F:$F,$L53)&gt;0,INDEX('Invullen groen'!$F:$F,$L53),""),""),"")</f>
        <v/>
      </c>
      <c r="C53" s="247">
        <f>IFERROR(IF($L53&gt;0,IF(INDEX('Invullen groen'!$N:$N,$L53)&gt;0,INDEX('Invullen groen'!$N:$N,$L53),""),""),"")</f>
        <v/>
      </c>
      <c r="D53" s="247" t="n"/>
      <c r="E53" s="247">
        <f>IFERROR(IF(LEN(J53)&lt;=36,J53,IFERROR(LEFT(J53,FIND(CHAR(1),SUBSTITUTE(LEFT(J53,36)," ",CHAR(1),LEN(LEFT(J53,36))-LEN(SUBSTITUTE(LEFT(J53,36)," ",""))))-1),LEFT(J53,36))),"")</f>
        <v/>
      </c>
      <c r="F53" s="248">
        <f>IFERROR(IF($L53&gt;0,IF(INDEX('Invullen groen'!$H:$H,$L53)=0,"",INT(INDEX('Invullen groen'!$H:$H,$L53))),""),"")</f>
        <v/>
      </c>
      <c r="G53" s="248">
        <f>IFERROR(IF($L53&gt;0,IF(INDEX('Invullen groen'!$I:$I,$L53)=0,"",INT(INDEX('Invullen groen'!$I:$I,$L53))),""),"")</f>
        <v/>
      </c>
      <c r="H53" s="248">
        <f>IFERROR(IF($L53&gt;0,IF(INDEX('Invullen groen'!$J:$J,$L53)=0,"",INT(INDEX('Invullen groen'!$J:$J,$L53))),""),"")</f>
        <v/>
      </c>
      <c r="I53" s="248">
        <f>IFERROR(IF($L53&gt;0,IF(INDEX('Invullen groen'!$K:$K,$L53)=0,"",INT(INDEX('Invullen groen'!$K:$K,$L53))),""),"")</f>
        <v/>
      </c>
      <c r="J53" s="247">
        <f>IF($L53&gt;0,IFERROR($K$1&amp;" "&amp;TRIM(SUBSTITUTE(SUBSTITUTE(SUBSTITUTE(SUBSTITUTE(SUBSTITUTE(SUBSTITUTE(SUBSTITUTE(SUBSTITUTE(SUBSTITUTE(SUBSTITUTE(SUBSTITUTE(SUBSTITUTE(LOWER(INDEX('Invullen groen'!$O:$O,$L53)),"2024",""),"2025",""),"2026",""),"2027",""),"2028",""),"2029",""),"taakveld ",""),"installaties","inst"),"ruwbouw","ruwb"),"afbouw","afb"),"bijstelling","bijst"),"investeringen","invest")),""),"")</f>
        <v/>
      </c>
      <c r="K53" s="247" t="n"/>
      <c r="L53" s="122">
        <f>IFERROR(MATCH(ROW()-4,'Invullen groen'!$P$17:$P$109,0)+16,0)</f>
        <v/>
      </c>
      <c r="M53" s="122" t="n"/>
      <c r="N53" s="122" t="n"/>
    </row>
    <row r="54" hidden="1" ht="15" customHeight="1" s="418">
      <c r="A54" s="249">
        <f>IFERROR(IF($L54&gt;0,INDEX('Invullen groen'!$E:$E,$L54),""),"")</f>
        <v/>
      </c>
      <c r="B54" s="249">
        <f>IFERROR(IF($L54&gt;0,IF(INDEX('Invullen groen'!$F:$F,$L54)&gt;0,INDEX('Invullen groen'!$F:$F,$L54),""),""),"")</f>
        <v/>
      </c>
      <c r="C54" s="249">
        <f>IFERROR(IF($L54&gt;0,IF(INDEX('Invullen groen'!$N:$N,$L54)&gt;0,INDEX('Invullen groen'!$N:$N,$L54),""),""),"")</f>
        <v/>
      </c>
      <c r="D54" s="249" t="n"/>
      <c r="E54" s="249">
        <f>IFERROR(IF(LEN(J54)&lt;=36,J54,IFERROR(LEFT(J54,FIND(CHAR(1),SUBSTITUTE(LEFT(J54,36)," ",CHAR(1),LEN(LEFT(J54,36))-LEN(SUBSTITUTE(LEFT(J54,36)," ",""))))-1),LEFT(J54,36))),"")</f>
        <v/>
      </c>
      <c r="F54" s="250">
        <f>IFERROR(IF($L54&gt;0,IF(INDEX('Invullen groen'!$H:$H,$L54)=0,"",INT(INDEX('Invullen groen'!$H:$H,$L54))),""),"")</f>
        <v/>
      </c>
      <c r="G54" s="250">
        <f>IFERROR(IF($L54&gt;0,IF(INDEX('Invullen groen'!$I:$I,$L54)=0,"",INT(INDEX('Invullen groen'!$I:$I,$L54))),""),"")</f>
        <v/>
      </c>
      <c r="H54" s="250">
        <f>IFERROR(IF($L54&gt;0,IF(INDEX('Invullen groen'!$J:$J,$L54)=0,"",INT(INDEX('Invullen groen'!$J:$J,$L54))),""),"")</f>
        <v/>
      </c>
      <c r="I54" s="250">
        <f>IFERROR(IF($L54&gt;0,IF(INDEX('Invullen groen'!$K:$K,$L54)=0,"",INT(INDEX('Invullen groen'!$K:$K,$L54))),""),"")</f>
        <v/>
      </c>
      <c r="J54" s="249">
        <f>IF($L54&gt;0,IFERROR($K$1&amp;" "&amp;TRIM(SUBSTITUTE(SUBSTITUTE(SUBSTITUTE(SUBSTITUTE(SUBSTITUTE(SUBSTITUTE(SUBSTITUTE(SUBSTITUTE(SUBSTITUTE(SUBSTITUTE(SUBSTITUTE(SUBSTITUTE(LOWER(INDEX('Invullen groen'!$O:$O,$L54)),"2024",""),"2025",""),"2026",""),"2027",""),"2028",""),"2029",""),"taakveld ",""),"installaties","inst"),"ruwbouw","ruwb"),"afbouw","afb"),"bijstelling","bijst"),"investeringen","invest")),""),"")</f>
        <v/>
      </c>
      <c r="K54" s="249" t="n"/>
      <c r="L54" s="122">
        <f>IFERROR(MATCH(ROW()-4,'Invullen groen'!$P$17:$P$109,0)+16,0)</f>
        <v/>
      </c>
      <c r="M54" s="122" t="n"/>
      <c r="N54" s="122" t="n"/>
    </row>
    <row r="55" hidden="1" ht="15" customHeight="1" s="418">
      <c r="A55" s="247">
        <f>IFERROR(IF($L55&gt;0,INDEX('Invullen groen'!$E:$E,$L55),""),"")</f>
        <v/>
      </c>
      <c r="B55" s="247">
        <f>IFERROR(IF($L55&gt;0,IF(INDEX('Invullen groen'!$F:$F,$L55)&gt;0,INDEX('Invullen groen'!$F:$F,$L55),""),""),"")</f>
        <v/>
      </c>
      <c r="C55" s="247">
        <f>IFERROR(IF($L55&gt;0,IF(INDEX('Invullen groen'!$N:$N,$L55)&gt;0,INDEX('Invullen groen'!$N:$N,$L55),""),""),"")</f>
        <v/>
      </c>
      <c r="D55" s="247" t="n"/>
      <c r="E55" s="247">
        <f>IFERROR(IF(LEN(J55)&lt;=36,J55,IFERROR(LEFT(J55,FIND(CHAR(1),SUBSTITUTE(LEFT(J55,36)," ",CHAR(1),LEN(LEFT(J55,36))-LEN(SUBSTITUTE(LEFT(J55,36)," ",""))))-1),LEFT(J55,36))),"")</f>
        <v/>
      </c>
      <c r="F55" s="248">
        <f>IFERROR(IF($L55&gt;0,IF(INDEX('Invullen groen'!$H:$H,$L55)=0,"",INT(INDEX('Invullen groen'!$H:$H,$L55))),""),"")</f>
        <v/>
      </c>
      <c r="G55" s="248">
        <f>IFERROR(IF($L55&gt;0,IF(INDEX('Invullen groen'!$I:$I,$L55)=0,"",INT(INDEX('Invullen groen'!$I:$I,$L55))),""),"")</f>
        <v/>
      </c>
      <c r="H55" s="248">
        <f>IFERROR(IF($L55&gt;0,IF(INDEX('Invullen groen'!$J:$J,$L55)=0,"",INT(INDEX('Invullen groen'!$J:$J,$L55))),""),"")</f>
        <v/>
      </c>
      <c r="I55" s="248">
        <f>IFERROR(IF($L55&gt;0,IF(INDEX('Invullen groen'!$K:$K,$L55)=0,"",INT(INDEX('Invullen groen'!$K:$K,$L55))),""),"")</f>
        <v/>
      </c>
      <c r="J55" s="247">
        <f>IF($L55&gt;0,IFERROR($K$1&amp;" "&amp;TRIM(SUBSTITUTE(SUBSTITUTE(SUBSTITUTE(SUBSTITUTE(SUBSTITUTE(SUBSTITUTE(SUBSTITUTE(SUBSTITUTE(SUBSTITUTE(SUBSTITUTE(SUBSTITUTE(SUBSTITUTE(LOWER(INDEX('Invullen groen'!$O:$O,$L55)),"2024",""),"2025",""),"2026",""),"2027",""),"2028",""),"2029",""),"taakveld ",""),"installaties","inst"),"ruwbouw","ruwb"),"afbouw","afb"),"bijstelling","bijst"),"investeringen","invest")),""),"")</f>
        <v/>
      </c>
      <c r="K55" s="247" t="n"/>
      <c r="L55" s="122">
        <f>IFERROR(MATCH(ROW()-4,'Invullen groen'!$P$17:$P$109,0)+16,0)</f>
        <v/>
      </c>
      <c r="M55" s="122" t="n"/>
      <c r="N55" s="122" t="n"/>
    </row>
    <row r="56" hidden="1" ht="15" customHeight="1" s="418">
      <c r="A56" s="249">
        <f>IFERROR(IF($L56&gt;0,INDEX('Invullen groen'!$E:$E,$L56),""),"")</f>
        <v/>
      </c>
      <c r="B56" s="249">
        <f>IFERROR(IF($L56&gt;0,IF(INDEX('Invullen groen'!$F:$F,$L56)&gt;0,INDEX('Invullen groen'!$F:$F,$L56),""),""),"")</f>
        <v/>
      </c>
      <c r="C56" s="249">
        <f>IFERROR(IF($L56&gt;0,IF(INDEX('Invullen groen'!$N:$N,$L56)&gt;0,INDEX('Invullen groen'!$N:$N,$L56),""),""),"")</f>
        <v/>
      </c>
      <c r="D56" s="249" t="n"/>
      <c r="E56" s="249">
        <f>IFERROR(IF(LEN(J56)&lt;=36,J56,IFERROR(LEFT(J56,FIND(CHAR(1),SUBSTITUTE(LEFT(J56,36)," ",CHAR(1),LEN(LEFT(J56,36))-LEN(SUBSTITUTE(LEFT(J56,36)," ",""))))-1),LEFT(J56,36))),"")</f>
        <v/>
      </c>
      <c r="F56" s="250">
        <f>IFERROR(IF($L56&gt;0,IF(INDEX('Invullen groen'!$H:$H,$L56)=0,"",INT(INDEX('Invullen groen'!$H:$H,$L56))),""),"")</f>
        <v/>
      </c>
      <c r="G56" s="250">
        <f>IFERROR(IF($L56&gt;0,IF(INDEX('Invullen groen'!$I:$I,$L56)=0,"",INT(INDEX('Invullen groen'!$I:$I,$L56))),""),"")</f>
        <v/>
      </c>
      <c r="H56" s="250">
        <f>IFERROR(IF($L56&gt;0,IF(INDEX('Invullen groen'!$J:$J,$L56)=0,"",INT(INDEX('Invullen groen'!$J:$J,$L56))),""),"")</f>
        <v/>
      </c>
      <c r="I56" s="250">
        <f>IFERROR(IF($L56&gt;0,IF(INDEX('Invullen groen'!$K:$K,$L56)=0,"",INT(INDEX('Invullen groen'!$K:$K,$L56))),""),"")</f>
        <v/>
      </c>
      <c r="J56" s="249">
        <f>IF($L56&gt;0,IFERROR($K$1&amp;" "&amp;TRIM(SUBSTITUTE(SUBSTITUTE(SUBSTITUTE(SUBSTITUTE(SUBSTITUTE(SUBSTITUTE(SUBSTITUTE(SUBSTITUTE(SUBSTITUTE(SUBSTITUTE(SUBSTITUTE(SUBSTITUTE(LOWER(INDEX('Invullen groen'!$O:$O,$L56)),"2024",""),"2025",""),"2026",""),"2027",""),"2028",""),"2029",""),"taakveld ",""),"installaties","inst"),"ruwbouw","ruwb"),"afbouw","afb"),"bijstelling","bijst"),"investeringen","invest")),""),"")</f>
        <v/>
      </c>
      <c r="K56" s="249" t="n"/>
      <c r="L56" s="122">
        <f>IFERROR(MATCH(ROW()-4,'Invullen groen'!$P$17:$P$109,0)+16,0)</f>
        <v/>
      </c>
      <c r="M56" s="122" t="n"/>
      <c r="N56" s="122" t="n"/>
    </row>
    <row r="57" hidden="1" ht="15" customHeight="1" s="418">
      <c r="A57" s="247">
        <f>IFERROR(IF($L57&gt;0,INDEX('Invullen groen'!$E:$E,$L57),""),"")</f>
        <v/>
      </c>
      <c r="B57" s="247">
        <f>IFERROR(IF($L57&gt;0,IF(INDEX('Invullen groen'!$F:$F,$L57)&gt;0,INDEX('Invullen groen'!$F:$F,$L57),""),""),"")</f>
        <v/>
      </c>
      <c r="C57" s="247">
        <f>IFERROR(IF($L57&gt;0,IF(INDEX('Invullen groen'!$N:$N,$L57)&gt;0,INDEX('Invullen groen'!$N:$N,$L57),""),""),"")</f>
        <v/>
      </c>
      <c r="D57" s="247" t="n"/>
      <c r="E57" s="247">
        <f>IFERROR(IF(LEN(J57)&lt;=36,J57,IFERROR(LEFT(J57,FIND(CHAR(1),SUBSTITUTE(LEFT(J57,36)," ",CHAR(1),LEN(LEFT(J57,36))-LEN(SUBSTITUTE(LEFT(J57,36)," ",""))))-1),LEFT(J57,36))),"")</f>
        <v/>
      </c>
      <c r="F57" s="248">
        <f>IFERROR(IF($L57&gt;0,IF(INDEX('Invullen groen'!$H:$H,$L57)=0,"",INT(INDEX('Invullen groen'!$H:$H,$L57))),""),"")</f>
        <v/>
      </c>
      <c r="G57" s="248">
        <f>IFERROR(IF($L57&gt;0,IF(INDEX('Invullen groen'!$I:$I,$L57)=0,"",INT(INDEX('Invullen groen'!$I:$I,$L57))),""),"")</f>
        <v/>
      </c>
      <c r="H57" s="248">
        <f>IFERROR(IF($L57&gt;0,IF(INDEX('Invullen groen'!$J:$J,$L57)=0,"",INT(INDEX('Invullen groen'!$J:$J,$L57))),""),"")</f>
        <v/>
      </c>
      <c r="I57" s="248">
        <f>IFERROR(IF($L57&gt;0,IF(INDEX('Invullen groen'!$K:$K,$L57)=0,"",INT(INDEX('Invullen groen'!$K:$K,$L57))),""),"")</f>
        <v/>
      </c>
      <c r="J57" s="247">
        <f>IF($L57&gt;0,IFERROR($K$1&amp;" "&amp;TRIM(SUBSTITUTE(SUBSTITUTE(SUBSTITUTE(SUBSTITUTE(SUBSTITUTE(SUBSTITUTE(SUBSTITUTE(SUBSTITUTE(SUBSTITUTE(SUBSTITUTE(SUBSTITUTE(SUBSTITUTE(LOWER(INDEX('Invullen groen'!$O:$O,$L57)),"2024",""),"2025",""),"2026",""),"2027",""),"2028",""),"2029",""),"taakveld ",""),"installaties","inst"),"ruwbouw","ruwb"),"afbouw","afb"),"bijstelling","bijst"),"investeringen","invest")),""),"")</f>
        <v/>
      </c>
      <c r="K57" s="247" t="n"/>
      <c r="L57" s="122">
        <f>IFERROR(MATCH(ROW()-4,'Invullen groen'!$P$17:$P$109,0)+16,0)</f>
        <v/>
      </c>
      <c r="M57" s="122" t="n"/>
      <c r="N57" s="122" t="n"/>
    </row>
    <row r="58" hidden="1" ht="15" customHeight="1" s="418">
      <c r="A58" s="249">
        <f>IFERROR(IF($L58&gt;0,INDEX('Invullen groen'!$E:$E,$L58),""),"")</f>
        <v/>
      </c>
      <c r="B58" s="249">
        <f>IFERROR(IF($L58&gt;0,IF(INDEX('Invullen groen'!$F:$F,$L58)&gt;0,INDEX('Invullen groen'!$F:$F,$L58),""),""),"")</f>
        <v/>
      </c>
      <c r="C58" s="249">
        <f>IFERROR(IF($L58&gt;0,IF(INDEX('Invullen groen'!$N:$N,$L58)&gt;0,INDEX('Invullen groen'!$N:$N,$L58),""),""),"")</f>
        <v/>
      </c>
      <c r="D58" s="249" t="n"/>
      <c r="E58" s="249">
        <f>IFERROR(IF(LEN(J58)&lt;=36,J58,IFERROR(LEFT(J58,FIND(CHAR(1),SUBSTITUTE(LEFT(J58,36)," ",CHAR(1),LEN(LEFT(J58,36))-LEN(SUBSTITUTE(LEFT(J58,36)," ",""))))-1),LEFT(J58,36))),"")</f>
        <v/>
      </c>
      <c r="F58" s="250">
        <f>IFERROR(IF($L58&gt;0,IF(INDEX('Invullen groen'!$H:$H,$L58)=0,"",INT(INDEX('Invullen groen'!$H:$H,$L58))),""),"")</f>
        <v/>
      </c>
      <c r="G58" s="250">
        <f>IFERROR(IF($L58&gt;0,IF(INDEX('Invullen groen'!$I:$I,$L58)=0,"",INT(INDEX('Invullen groen'!$I:$I,$L58))),""),"")</f>
        <v/>
      </c>
      <c r="H58" s="250">
        <f>IFERROR(IF($L58&gt;0,IF(INDEX('Invullen groen'!$J:$J,$L58)=0,"",INT(INDEX('Invullen groen'!$J:$J,$L58))),""),"")</f>
        <v/>
      </c>
      <c r="I58" s="250">
        <f>IFERROR(IF($L58&gt;0,IF(INDEX('Invullen groen'!$K:$K,$L58)=0,"",INT(INDEX('Invullen groen'!$K:$K,$L58))),""),"")</f>
        <v/>
      </c>
      <c r="J58" s="249">
        <f>IF($L58&gt;0,IFERROR($K$1&amp;" "&amp;TRIM(SUBSTITUTE(SUBSTITUTE(SUBSTITUTE(SUBSTITUTE(SUBSTITUTE(SUBSTITUTE(SUBSTITUTE(SUBSTITUTE(SUBSTITUTE(SUBSTITUTE(SUBSTITUTE(SUBSTITUTE(LOWER(INDEX('Invullen groen'!$O:$O,$L58)),"2024",""),"2025",""),"2026",""),"2027",""),"2028",""),"2029",""),"taakveld ",""),"installaties","inst"),"ruwbouw","ruwb"),"afbouw","afb"),"bijstelling","bijst"),"investeringen","invest")),""),"")</f>
        <v/>
      </c>
      <c r="K58" s="249" t="n"/>
      <c r="L58" s="122">
        <f>IFERROR(MATCH(ROW()-4,'Invullen groen'!$P$17:$P$109,0)+16,0)</f>
        <v/>
      </c>
      <c r="M58" s="122" t="n"/>
      <c r="N58" s="122" t="n"/>
    </row>
    <row r="59" hidden="1" ht="15" customHeight="1" s="418">
      <c r="A59" s="247">
        <f>IFERROR(IF($L59&gt;0,INDEX('Invullen groen'!$E:$E,$L59),""),"")</f>
        <v/>
      </c>
      <c r="B59" s="247">
        <f>IFERROR(IF($L59&gt;0,IF(INDEX('Invullen groen'!$F:$F,$L59)&gt;0,INDEX('Invullen groen'!$F:$F,$L59),""),""),"")</f>
        <v/>
      </c>
      <c r="C59" s="247">
        <f>IFERROR(IF($L59&gt;0,IF(INDEX('Invullen groen'!$N:$N,$L59)&gt;0,INDEX('Invullen groen'!$N:$N,$L59),""),""),"")</f>
        <v/>
      </c>
      <c r="D59" s="247" t="n"/>
      <c r="E59" s="247">
        <f>IFERROR(IF(LEN(J59)&lt;=36,J59,IFERROR(LEFT(J59,FIND(CHAR(1),SUBSTITUTE(LEFT(J59,36)," ",CHAR(1),LEN(LEFT(J59,36))-LEN(SUBSTITUTE(LEFT(J59,36)," ",""))))-1),LEFT(J59,36))),"")</f>
        <v/>
      </c>
      <c r="F59" s="248">
        <f>IFERROR(IF($L59&gt;0,IF(INDEX('Invullen groen'!$H:$H,$L59)=0,"",INT(INDEX('Invullen groen'!$H:$H,$L59))),""),"")</f>
        <v/>
      </c>
      <c r="G59" s="248">
        <f>IFERROR(IF($L59&gt;0,IF(INDEX('Invullen groen'!$I:$I,$L59)=0,"",INT(INDEX('Invullen groen'!$I:$I,$L59))),""),"")</f>
        <v/>
      </c>
      <c r="H59" s="248">
        <f>IFERROR(IF($L59&gt;0,IF(INDEX('Invullen groen'!$J:$J,$L59)=0,"",INT(INDEX('Invullen groen'!$J:$J,$L59))),""),"")</f>
        <v/>
      </c>
      <c r="I59" s="248">
        <f>IFERROR(IF($L59&gt;0,IF(INDEX('Invullen groen'!$K:$K,$L59)=0,"",INT(INDEX('Invullen groen'!$K:$K,$L59))),""),"")</f>
        <v/>
      </c>
      <c r="J59" s="247">
        <f>IF($L59&gt;0,IFERROR($K$1&amp;" "&amp;TRIM(SUBSTITUTE(SUBSTITUTE(SUBSTITUTE(SUBSTITUTE(SUBSTITUTE(SUBSTITUTE(SUBSTITUTE(SUBSTITUTE(SUBSTITUTE(SUBSTITUTE(SUBSTITUTE(SUBSTITUTE(LOWER(INDEX('Invullen groen'!$O:$O,$L59)),"2024",""),"2025",""),"2026",""),"2027",""),"2028",""),"2029",""),"taakveld ",""),"installaties","inst"),"ruwbouw","ruwb"),"afbouw","afb"),"bijstelling","bijst"),"investeringen","invest")),""),"")</f>
        <v/>
      </c>
      <c r="K59" s="247" t="n"/>
      <c r="L59" s="122">
        <f>IFERROR(MATCH(ROW()-4,'Invullen groen'!$P$17:$P$109,0)+16,0)</f>
        <v/>
      </c>
      <c r="M59" s="122" t="n"/>
      <c r="N59" s="122" t="n"/>
    </row>
    <row r="60" hidden="1" ht="15" customHeight="1" s="418">
      <c r="A60" s="249">
        <f>IFERROR(IF($L60&gt;0,INDEX('Invullen groen'!$E:$E,$L60),""),"")</f>
        <v/>
      </c>
      <c r="B60" s="249">
        <f>IFERROR(IF($L60&gt;0,IF(INDEX('Invullen groen'!$F:$F,$L60)&gt;0,INDEX('Invullen groen'!$F:$F,$L60),""),""),"")</f>
        <v/>
      </c>
      <c r="C60" s="249">
        <f>IFERROR(IF($L60&gt;0,IF(INDEX('Invullen groen'!$N:$N,$L60)&gt;0,INDEX('Invullen groen'!$N:$N,$L60),""),""),"")</f>
        <v/>
      </c>
      <c r="D60" s="249" t="n"/>
      <c r="E60" s="249">
        <f>IFERROR(IF(LEN(J60)&lt;=36,J60,IFERROR(LEFT(J60,FIND(CHAR(1),SUBSTITUTE(LEFT(J60,36)," ",CHAR(1),LEN(LEFT(J60,36))-LEN(SUBSTITUTE(LEFT(J60,36)," ",""))))-1),LEFT(J60,36))),"")</f>
        <v/>
      </c>
      <c r="F60" s="250">
        <f>IFERROR(IF($L60&gt;0,IF(INDEX('Invullen groen'!$H:$H,$L60)=0,"",INT(INDEX('Invullen groen'!$H:$H,$L60))),""),"")</f>
        <v/>
      </c>
      <c r="G60" s="250">
        <f>IFERROR(IF($L60&gt;0,IF(INDEX('Invullen groen'!$I:$I,$L60)=0,"",INT(INDEX('Invullen groen'!$I:$I,$L60))),""),"")</f>
        <v/>
      </c>
      <c r="H60" s="250">
        <f>IFERROR(IF($L60&gt;0,IF(INDEX('Invullen groen'!$J:$J,$L60)=0,"",INT(INDEX('Invullen groen'!$J:$J,$L60))),""),"")</f>
        <v/>
      </c>
      <c r="I60" s="250">
        <f>IFERROR(IF($L60&gt;0,IF(INDEX('Invullen groen'!$K:$K,$L60)=0,"",INT(INDEX('Invullen groen'!$K:$K,$L60))),""),"")</f>
        <v/>
      </c>
      <c r="J60" s="249">
        <f>IF($L60&gt;0,IFERROR($K$1&amp;" "&amp;TRIM(SUBSTITUTE(SUBSTITUTE(SUBSTITUTE(SUBSTITUTE(SUBSTITUTE(SUBSTITUTE(SUBSTITUTE(SUBSTITUTE(SUBSTITUTE(SUBSTITUTE(SUBSTITUTE(SUBSTITUTE(LOWER(INDEX('Invullen groen'!$O:$O,$L60)),"2024",""),"2025",""),"2026",""),"2027",""),"2028",""),"2029",""),"taakveld ",""),"installaties","inst"),"ruwbouw","ruwb"),"afbouw","afb"),"bijstelling","bijst"),"investeringen","invest")),""),"")</f>
        <v/>
      </c>
      <c r="K60" s="249" t="n"/>
      <c r="L60" s="122">
        <f>IFERROR(MATCH(ROW()-4,'Invullen groen'!$P$17:$P$109,0)+16,0)</f>
        <v/>
      </c>
      <c r="M60" s="122" t="n"/>
      <c r="N60" s="122" t="n"/>
    </row>
    <row r="61" hidden="1" ht="15" customHeight="1" s="418">
      <c r="A61" s="247">
        <f>IFERROR(IF($L61&gt;0,INDEX('Invullen groen'!$E:$E,$L61),""),"")</f>
        <v/>
      </c>
      <c r="B61" s="247">
        <f>IFERROR(IF($L61&gt;0,IF(INDEX('Invullen groen'!$F:$F,$L61)&gt;0,INDEX('Invullen groen'!$F:$F,$L61),""),""),"")</f>
        <v/>
      </c>
      <c r="C61" s="247">
        <f>IFERROR(IF($L61&gt;0,IF(INDEX('Invullen groen'!$N:$N,$L61)&gt;0,INDEX('Invullen groen'!$N:$N,$L61),""),""),"")</f>
        <v/>
      </c>
      <c r="D61" s="247" t="n"/>
      <c r="E61" s="247">
        <f>IFERROR(IF(LEN(J61)&lt;=36,J61,IFERROR(LEFT(J61,FIND(CHAR(1),SUBSTITUTE(LEFT(J61,36)," ",CHAR(1),LEN(LEFT(J61,36))-LEN(SUBSTITUTE(LEFT(J61,36)," ",""))))-1),LEFT(J61,36))),"")</f>
        <v/>
      </c>
      <c r="F61" s="248">
        <f>IFERROR(IF($L61&gt;0,IF(INDEX('Invullen groen'!$H:$H,$L61)=0,"",INT(INDEX('Invullen groen'!$H:$H,$L61))),""),"")</f>
        <v/>
      </c>
      <c r="G61" s="248">
        <f>IFERROR(IF($L61&gt;0,IF(INDEX('Invullen groen'!$I:$I,$L61)=0,"",INT(INDEX('Invullen groen'!$I:$I,$L61))),""),"")</f>
        <v/>
      </c>
      <c r="H61" s="248">
        <f>IFERROR(IF($L61&gt;0,IF(INDEX('Invullen groen'!$J:$J,$L61)=0,"",INT(INDEX('Invullen groen'!$J:$J,$L61))),""),"")</f>
        <v/>
      </c>
      <c r="I61" s="248">
        <f>IFERROR(IF($L61&gt;0,IF(INDEX('Invullen groen'!$K:$K,$L61)=0,"",INT(INDEX('Invullen groen'!$K:$K,$L61))),""),"")</f>
        <v/>
      </c>
      <c r="J61" s="247">
        <f>IF($L61&gt;0,IFERROR($K$1&amp;" "&amp;TRIM(SUBSTITUTE(SUBSTITUTE(SUBSTITUTE(SUBSTITUTE(SUBSTITUTE(SUBSTITUTE(SUBSTITUTE(SUBSTITUTE(SUBSTITUTE(SUBSTITUTE(SUBSTITUTE(SUBSTITUTE(LOWER(INDEX('Invullen groen'!$O:$O,$L61)),"2024",""),"2025",""),"2026",""),"2027",""),"2028",""),"2029",""),"taakveld ",""),"installaties","inst"),"ruwbouw","ruwb"),"afbouw","afb"),"bijstelling","bijst"),"investeringen","invest")),""),"")</f>
        <v/>
      </c>
      <c r="K61" s="247" t="n"/>
      <c r="L61" s="122">
        <f>IFERROR(MATCH(ROW()-4,'Invullen groen'!$P$17:$P$109,0)+16,0)</f>
        <v/>
      </c>
      <c r="M61" s="122" t="n"/>
      <c r="N61" s="122" t="n"/>
    </row>
    <row r="62" hidden="1" ht="15" customHeight="1" s="418">
      <c r="A62" s="249">
        <f>IFERROR(IF($L62&gt;0,INDEX('Invullen groen'!$E:$E,$L62),""),"")</f>
        <v/>
      </c>
      <c r="B62" s="249">
        <f>IFERROR(IF($L62&gt;0,IF(INDEX('Invullen groen'!$F:$F,$L62)&gt;0,INDEX('Invullen groen'!$F:$F,$L62),""),""),"")</f>
        <v/>
      </c>
      <c r="C62" s="249">
        <f>IFERROR(IF($L62&gt;0,IF(INDEX('Invullen groen'!$N:$N,$L62)&gt;0,INDEX('Invullen groen'!$N:$N,$L62),""),""),"")</f>
        <v/>
      </c>
      <c r="D62" s="249" t="n"/>
      <c r="E62" s="249">
        <f>IFERROR(IF(LEN(J62)&lt;=36,J62,IFERROR(LEFT(J62,FIND(CHAR(1),SUBSTITUTE(LEFT(J62,36)," ",CHAR(1),LEN(LEFT(J62,36))-LEN(SUBSTITUTE(LEFT(J62,36)," ",""))))-1),LEFT(J62,36))),"")</f>
        <v/>
      </c>
      <c r="F62" s="250">
        <f>IFERROR(IF($L62&gt;0,IF(INDEX('Invullen groen'!$H:$H,$L62)=0,"",INT(INDEX('Invullen groen'!$H:$H,$L62))),""),"")</f>
        <v/>
      </c>
      <c r="G62" s="250">
        <f>IFERROR(IF($L62&gt;0,IF(INDEX('Invullen groen'!$I:$I,$L62)=0,"",INT(INDEX('Invullen groen'!$I:$I,$L62))),""),"")</f>
        <v/>
      </c>
      <c r="H62" s="250">
        <f>IFERROR(IF($L62&gt;0,IF(INDEX('Invullen groen'!$J:$J,$L62)=0,"",INT(INDEX('Invullen groen'!$J:$J,$L62))),""),"")</f>
        <v/>
      </c>
      <c r="I62" s="250">
        <f>IFERROR(IF($L62&gt;0,IF(INDEX('Invullen groen'!$K:$K,$L62)=0,"",INT(INDEX('Invullen groen'!$K:$K,$L62))),""),"")</f>
        <v/>
      </c>
      <c r="J62" s="249">
        <f>IF($L62&gt;0,IFERROR($K$1&amp;" "&amp;TRIM(SUBSTITUTE(SUBSTITUTE(SUBSTITUTE(SUBSTITUTE(SUBSTITUTE(SUBSTITUTE(SUBSTITUTE(SUBSTITUTE(SUBSTITUTE(SUBSTITUTE(SUBSTITUTE(SUBSTITUTE(LOWER(INDEX('Invullen groen'!$O:$O,$L62)),"2024",""),"2025",""),"2026",""),"2027",""),"2028",""),"2029",""),"taakveld ",""),"installaties","inst"),"ruwbouw","ruwb"),"afbouw","afb"),"bijstelling","bijst"),"investeringen","invest")),""),"")</f>
        <v/>
      </c>
      <c r="K62" s="249" t="n"/>
      <c r="L62" s="122">
        <f>IFERROR(MATCH(ROW()-4,'Invullen groen'!$P$17:$P$109,0)+16,0)</f>
        <v/>
      </c>
      <c r="M62" s="122" t="n"/>
      <c r="N62" s="122" t="n"/>
    </row>
    <row r="63" hidden="1" ht="15" customHeight="1" s="418">
      <c r="A63" s="247">
        <f>IFERROR(IF($L63&gt;0,INDEX('Invullen groen'!$E:$E,$L63),""),"")</f>
        <v/>
      </c>
      <c r="B63" s="247">
        <f>IFERROR(IF($L63&gt;0,IF(INDEX('Invullen groen'!$F:$F,$L63)&gt;0,INDEX('Invullen groen'!$F:$F,$L63),""),""),"")</f>
        <v/>
      </c>
      <c r="C63" s="247">
        <f>IFERROR(IF($L63&gt;0,IF(INDEX('Invullen groen'!$N:$N,$L63)&gt;0,INDEX('Invullen groen'!$N:$N,$L63),""),""),"")</f>
        <v/>
      </c>
      <c r="D63" s="247" t="n"/>
      <c r="E63" s="247">
        <f>IFERROR(IF(LEN(J63)&lt;=36,J63,IFERROR(LEFT(J63,FIND(CHAR(1),SUBSTITUTE(LEFT(J63,36)," ",CHAR(1),LEN(LEFT(J63,36))-LEN(SUBSTITUTE(LEFT(J63,36)," ",""))))-1),LEFT(J63,36))),"")</f>
        <v/>
      </c>
      <c r="F63" s="248">
        <f>IFERROR(IF($L63&gt;0,IF(INDEX('Invullen groen'!$H:$H,$L63)=0,"",INT(INDEX('Invullen groen'!$H:$H,$L63))),""),"")</f>
        <v/>
      </c>
      <c r="G63" s="248">
        <f>IFERROR(IF($L63&gt;0,IF(INDEX('Invullen groen'!$I:$I,$L63)=0,"",INT(INDEX('Invullen groen'!$I:$I,$L63))),""),"")</f>
        <v/>
      </c>
      <c r="H63" s="248">
        <f>IFERROR(IF($L63&gt;0,IF(INDEX('Invullen groen'!$J:$J,$L63)=0,"",INT(INDEX('Invullen groen'!$J:$J,$L63))),""),"")</f>
        <v/>
      </c>
      <c r="I63" s="248">
        <f>IFERROR(IF($L63&gt;0,IF(INDEX('Invullen groen'!$K:$K,$L63)=0,"",INT(INDEX('Invullen groen'!$K:$K,$L63))),""),"")</f>
        <v/>
      </c>
      <c r="J63" s="247">
        <f>IF($L63&gt;0,IFERROR($K$1&amp;" "&amp;TRIM(SUBSTITUTE(SUBSTITUTE(SUBSTITUTE(SUBSTITUTE(SUBSTITUTE(SUBSTITUTE(SUBSTITUTE(SUBSTITUTE(SUBSTITUTE(SUBSTITUTE(SUBSTITUTE(SUBSTITUTE(LOWER(INDEX('Invullen groen'!$O:$O,$L63)),"2024",""),"2025",""),"2026",""),"2027",""),"2028",""),"2029",""),"taakveld ",""),"installaties","inst"),"ruwbouw","ruwb"),"afbouw","afb"),"bijstelling","bijst"),"investeringen","invest")),""),"")</f>
        <v/>
      </c>
      <c r="K63" s="247" t="n"/>
      <c r="L63" s="122">
        <f>IFERROR(MATCH(ROW()-4,'Invullen groen'!$P$17:$P$109,0)+16,0)</f>
        <v/>
      </c>
      <c r="M63" s="122" t="n"/>
      <c r="N63" s="122" t="n"/>
    </row>
    <row r="64" hidden="1" ht="15" customHeight="1" s="418">
      <c r="A64" s="249">
        <f>IFERROR(IF($L64&gt;0,INDEX('Invullen groen'!$E:$E,$L64),""),"")</f>
        <v/>
      </c>
      <c r="B64" s="249">
        <f>IFERROR(IF($L64&gt;0,IF(INDEX('Invullen groen'!$F:$F,$L64)&gt;0,INDEX('Invullen groen'!$F:$F,$L64),""),""),"")</f>
        <v/>
      </c>
      <c r="C64" s="249">
        <f>IFERROR(IF($L64&gt;0,IF(INDEX('Invullen groen'!$N:$N,$L64)&gt;0,INDEX('Invullen groen'!$N:$N,$L64),""),""),"")</f>
        <v/>
      </c>
      <c r="D64" s="249" t="n"/>
      <c r="E64" s="249">
        <f>IFERROR(IF(LEN(J64)&lt;=36,J64,IFERROR(LEFT(J64,FIND(CHAR(1),SUBSTITUTE(LEFT(J64,36)," ",CHAR(1),LEN(LEFT(J64,36))-LEN(SUBSTITUTE(LEFT(J64,36)," ",""))))-1),LEFT(J64,36))),"")</f>
        <v/>
      </c>
      <c r="F64" s="250">
        <f>IFERROR(IF($L64&gt;0,IF(INDEX('Invullen groen'!$H:$H,$L64)=0,"",INT(INDEX('Invullen groen'!$H:$H,$L64))),""),"")</f>
        <v/>
      </c>
      <c r="G64" s="250">
        <f>IFERROR(IF($L64&gt;0,IF(INDEX('Invullen groen'!$I:$I,$L64)=0,"",INT(INDEX('Invullen groen'!$I:$I,$L64))),""),"")</f>
        <v/>
      </c>
      <c r="H64" s="250">
        <f>IFERROR(IF($L64&gt;0,IF(INDEX('Invullen groen'!$J:$J,$L64)=0,"",INT(INDEX('Invullen groen'!$J:$J,$L64))),""),"")</f>
        <v/>
      </c>
      <c r="I64" s="250">
        <f>IFERROR(IF($L64&gt;0,IF(INDEX('Invullen groen'!$K:$K,$L64)=0,"",INT(INDEX('Invullen groen'!$K:$K,$L64))),""),"")</f>
        <v/>
      </c>
      <c r="J64" s="249">
        <f>IF($L64&gt;0,IFERROR($K$1&amp;" "&amp;TRIM(SUBSTITUTE(SUBSTITUTE(SUBSTITUTE(SUBSTITUTE(SUBSTITUTE(SUBSTITUTE(SUBSTITUTE(SUBSTITUTE(SUBSTITUTE(SUBSTITUTE(SUBSTITUTE(SUBSTITUTE(LOWER(INDEX('Invullen groen'!$O:$O,$L64)),"2024",""),"2025",""),"2026",""),"2027",""),"2028",""),"2029",""),"taakveld ",""),"installaties","inst"),"ruwbouw","ruwb"),"afbouw","afb"),"bijstelling","bijst"),"investeringen","invest")),""),"")</f>
        <v/>
      </c>
      <c r="K64" s="249" t="n"/>
      <c r="L64" s="122">
        <f>IFERROR(MATCH(ROW()-4,'Invullen groen'!$P$17:$P$109,0)+16,0)</f>
        <v/>
      </c>
      <c r="M64" s="122" t="n"/>
      <c r="N64" s="122" t="n"/>
    </row>
    <row r="65" hidden="1" ht="15" customHeight="1" s="418">
      <c r="A65" s="247">
        <f>IFERROR(IF($L65&gt;0,INDEX('Invullen groen'!$E:$E,$L65),""),"")</f>
        <v/>
      </c>
      <c r="B65" s="247">
        <f>IFERROR(IF($L65&gt;0,IF(INDEX('Invullen groen'!$F:$F,$L65)&gt;0,INDEX('Invullen groen'!$F:$F,$L65),""),""),"")</f>
        <v/>
      </c>
      <c r="C65" s="247">
        <f>IFERROR(IF($L65&gt;0,IF(INDEX('Invullen groen'!$N:$N,$L65)&gt;0,INDEX('Invullen groen'!$N:$N,$L65),""),""),"")</f>
        <v/>
      </c>
      <c r="D65" s="247" t="n"/>
      <c r="E65" s="247">
        <f>IFERROR(IF(LEN(J65)&lt;=36,J65,IFERROR(LEFT(J65,FIND(CHAR(1),SUBSTITUTE(LEFT(J65,36)," ",CHAR(1),LEN(LEFT(J65,36))-LEN(SUBSTITUTE(LEFT(J65,36)," ",""))))-1),LEFT(J65,36))),"")</f>
        <v/>
      </c>
      <c r="F65" s="248">
        <f>IFERROR(IF($L65&gt;0,IF(INDEX('Invullen groen'!$H:$H,$L65)=0,"",INT(INDEX('Invullen groen'!$H:$H,$L65))),""),"")</f>
        <v/>
      </c>
      <c r="G65" s="248">
        <f>IFERROR(IF($L65&gt;0,IF(INDEX('Invullen groen'!$I:$I,$L65)=0,"",INT(INDEX('Invullen groen'!$I:$I,$L65))),""),"")</f>
        <v/>
      </c>
      <c r="H65" s="248">
        <f>IFERROR(IF($L65&gt;0,IF(INDEX('Invullen groen'!$J:$J,$L65)=0,"",INT(INDEX('Invullen groen'!$J:$J,$L65))),""),"")</f>
        <v/>
      </c>
      <c r="I65" s="248">
        <f>IFERROR(IF($L65&gt;0,IF(INDEX('Invullen groen'!$K:$K,$L65)=0,"",INT(INDEX('Invullen groen'!$K:$K,$L65))),""),"")</f>
        <v/>
      </c>
      <c r="J65" s="247">
        <f>IF($L65&gt;0,IFERROR($K$1&amp;" "&amp;TRIM(SUBSTITUTE(SUBSTITUTE(SUBSTITUTE(SUBSTITUTE(SUBSTITUTE(SUBSTITUTE(SUBSTITUTE(SUBSTITUTE(SUBSTITUTE(SUBSTITUTE(SUBSTITUTE(SUBSTITUTE(LOWER(INDEX('Invullen groen'!$O:$O,$L65)),"2024",""),"2025",""),"2026",""),"2027",""),"2028",""),"2029",""),"taakveld ",""),"installaties","inst"),"ruwbouw","ruwb"),"afbouw","afb"),"bijstelling","bijst"),"investeringen","invest")),""),"")</f>
        <v/>
      </c>
      <c r="K65" s="247" t="n"/>
      <c r="L65" s="122">
        <f>IFERROR(MATCH(ROW()-4,'Invullen groen'!$P$17:$P$109,0)+16,0)</f>
        <v/>
      </c>
      <c r="M65" s="122" t="n"/>
      <c r="N65" s="122" t="n"/>
    </row>
    <row r="66" hidden="1" ht="15" customHeight="1" s="418">
      <c r="A66" s="249">
        <f>IFERROR(IF($L66&gt;0,INDEX('Invullen groen'!$E:$E,$L66),""),"")</f>
        <v/>
      </c>
      <c r="B66" s="249">
        <f>IFERROR(IF($L66&gt;0,IF(INDEX('Invullen groen'!$F:$F,$L66)&gt;0,INDEX('Invullen groen'!$F:$F,$L66),""),""),"")</f>
        <v/>
      </c>
      <c r="C66" s="249">
        <f>IFERROR(IF($L66&gt;0,IF(INDEX('Invullen groen'!$N:$N,$L66)&gt;0,INDEX('Invullen groen'!$N:$N,$L66),""),""),"")</f>
        <v/>
      </c>
      <c r="D66" s="249" t="n"/>
      <c r="E66" s="249">
        <f>IFERROR(IF(LEN(J66)&lt;=36,J66,IFERROR(LEFT(J66,FIND(CHAR(1),SUBSTITUTE(LEFT(J66,36)," ",CHAR(1),LEN(LEFT(J66,36))-LEN(SUBSTITUTE(LEFT(J66,36)," ",""))))-1),LEFT(J66,36))),"")</f>
        <v/>
      </c>
      <c r="F66" s="250">
        <f>IFERROR(IF($L66&gt;0,IF(INDEX('Invullen groen'!$H:$H,$L66)=0,"",INT(INDEX('Invullen groen'!$H:$H,$L66))),""),"")</f>
        <v/>
      </c>
      <c r="G66" s="250">
        <f>IFERROR(IF($L66&gt;0,IF(INDEX('Invullen groen'!$I:$I,$L66)=0,"",INT(INDEX('Invullen groen'!$I:$I,$L66))),""),"")</f>
        <v/>
      </c>
      <c r="H66" s="250">
        <f>IFERROR(IF($L66&gt;0,IF(INDEX('Invullen groen'!$J:$J,$L66)=0,"",INT(INDEX('Invullen groen'!$J:$J,$L66))),""),"")</f>
        <v/>
      </c>
      <c r="I66" s="250">
        <f>IFERROR(IF($L66&gt;0,IF(INDEX('Invullen groen'!$K:$K,$L66)=0,"",INT(INDEX('Invullen groen'!$K:$K,$L66))),""),"")</f>
        <v/>
      </c>
      <c r="J66" s="249">
        <f>IF($L66&gt;0,IFERROR($K$1&amp;" "&amp;TRIM(SUBSTITUTE(SUBSTITUTE(SUBSTITUTE(SUBSTITUTE(SUBSTITUTE(SUBSTITUTE(SUBSTITUTE(SUBSTITUTE(SUBSTITUTE(SUBSTITUTE(SUBSTITUTE(SUBSTITUTE(LOWER(INDEX('Invullen groen'!$O:$O,$L66)),"2024",""),"2025",""),"2026",""),"2027",""),"2028",""),"2029",""),"taakveld ",""),"installaties","inst"),"ruwbouw","ruwb"),"afbouw","afb"),"bijstelling","bijst"),"investeringen","invest")),""),"")</f>
        <v/>
      </c>
      <c r="K66" s="249" t="n"/>
      <c r="L66" s="122">
        <f>IFERROR(MATCH(ROW()-4,'Invullen groen'!$P$17:$P$109,0)+16,0)</f>
        <v/>
      </c>
      <c r="M66" s="122" t="n"/>
      <c r="N66" s="122" t="n"/>
    </row>
    <row r="67" hidden="1" ht="15" customHeight="1" s="418">
      <c r="A67" s="247">
        <f>IFERROR(IF($L67&gt;0,INDEX('Invullen groen'!$E:$E,$L67),""),"")</f>
        <v/>
      </c>
      <c r="B67" s="247">
        <f>IFERROR(IF($L67&gt;0,IF(INDEX('Invullen groen'!$F:$F,$L67)&gt;0,INDEX('Invullen groen'!$F:$F,$L67),""),""),"")</f>
        <v/>
      </c>
      <c r="C67" s="247">
        <f>IFERROR(IF($L67&gt;0,IF(INDEX('Invullen groen'!$N:$N,$L67)&gt;0,INDEX('Invullen groen'!$N:$N,$L67),""),""),"")</f>
        <v/>
      </c>
      <c r="D67" s="247" t="n"/>
      <c r="E67" s="247">
        <f>IFERROR(IF(LEN(J67)&lt;=36,J67,IFERROR(LEFT(J67,FIND(CHAR(1),SUBSTITUTE(LEFT(J67,36)," ",CHAR(1),LEN(LEFT(J67,36))-LEN(SUBSTITUTE(LEFT(J67,36)," ",""))))-1),LEFT(J67,36))),"")</f>
        <v/>
      </c>
      <c r="F67" s="248">
        <f>IFERROR(IF($L67&gt;0,IF(INDEX('Invullen groen'!$H:$H,$L67)=0,"",INT(INDEX('Invullen groen'!$H:$H,$L67))),""),"")</f>
        <v/>
      </c>
      <c r="G67" s="248">
        <f>IFERROR(IF($L67&gt;0,IF(INDEX('Invullen groen'!$I:$I,$L67)=0,"",INT(INDEX('Invullen groen'!$I:$I,$L67))),""),"")</f>
        <v/>
      </c>
      <c r="H67" s="248">
        <f>IFERROR(IF($L67&gt;0,IF(INDEX('Invullen groen'!$J:$J,$L67)=0,"",INT(INDEX('Invullen groen'!$J:$J,$L67))),""),"")</f>
        <v/>
      </c>
      <c r="I67" s="248">
        <f>IFERROR(IF($L67&gt;0,IF(INDEX('Invullen groen'!$K:$K,$L67)=0,"",INT(INDEX('Invullen groen'!$K:$K,$L67))),""),"")</f>
        <v/>
      </c>
      <c r="J67" s="247">
        <f>IF($L67&gt;0,IFERROR($K$1&amp;" "&amp;TRIM(SUBSTITUTE(SUBSTITUTE(SUBSTITUTE(SUBSTITUTE(SUBSTITUTE(SUBSTITUTE(SUBSTITUTE(SUBSTITUTE(SUBSTITUTE(SUBSTITUTE(SUBSTITUTE(SUBSTITUTE(LOWER(INDEX('Invullen groen'!$O:$O,$L67)),"2024",""),"2025",""),"2026",""),"2027",""),"2028",""),"2029",""),"taakveld ",""),"installaties","inst"),"ruwbouw","ruwb"),"afbouw","afb"),"bijstelling","bijst"),"investeringen","invest")),""),"")</f>
        <v/>
      </c>
      <c r="K67" s="247" t="n"/>
      <c r="L67" s="122">
        <f>IFERROR(MATCH(ROW()-4,'Invullen groen'!$P$17:$P$109,0)+16,0)</f>
        <v/>
      </c>
      <c r="M67" s="122" t="n"/>
      <c r="N67" s="122" t="n"/>
    </row>
    <row r="68" hidden="1" ht="15" customHeight="1" s="418">
      <c r="A68" s="249">
        <f>IFERROR(IF($L68&gt;0,INDEX('Invullen groen'!$E:$E,$L68),""),"")</f>
        <v/>
      </c>
      <c r="B68" s="249">
        <f>IFERROR(IF($L68&gt;0,IF(INDEX('Invullen groen'!$F:$F,$L68)&gt;0,INDEX('Invullen groen'!$F:$F,$L68),""),""),"")</f>
        <v/>
      </c>
      <c r="C68" s="249">
        <f>IFERROR(IF($L68&gt;0,IF(INDEX('Invullen groen'!$N:$N,$L68)&gt;0,INDEX('Invullen groen'!$N:$N,$L68),""),""),"")</f>
        <v/>
      </c>
      <c r="D68" s="249" t="n"/>
      <c r="E68" s="249">
        <f>IFERROR(IF(LEN(J68)&lt;=36,J68,IFERROR(LEFT(J68,FIND(CHAR(1),SUBSTITUTE(LEFT(J68,36)," ",CHAR(1),LEN(LEFT(J68,36))-LEN(SUBSTITUTE(LEFT(J68,36)," ",""))))-1),LEFT(J68,36))),"")</f>
        <v/>
      </c>
      <c r="F68" s="250">
        <f>IFERROR(IF($L68&gt;0,IF(INDEX('Invullen groen'!$H:$H,$L68)=0,"",INT(INDEX('Invullen groen'!$H:$H,$L68))),""),"")</f>
        <v/>
      </c>
      <c r="G68" s="250">
        <f>IFERROR(IF($L68&gt;0,IF(INDEX('Invullen groen'!$I:$I,$L68)=0,"",INT(INDEX('Invullen groen'!$I:$I,$L68))),""),"")</f>
        <v/>
      </c>
      <c r="H68" s="250">
        <f>IFERROR(IF($L68&gt;0,IF(INDEX('Invullen groen'!$J:$J,$L68)=0,"",INT(INDEX('Invullen groen'!$J:$J,$L68))),""),"")</f>
        <v/>
      </c>
      <c r="I68" s="250">
        <f>IFERROR(IF($L68&gt;0,IF(INDEX('Invullen groen'!$K:$K,$L68)=0,"",INT(INDEX('Invullen groen'!$K:$K,$L68))),""),"")</f>
        <v/>
      </c>
      <c r="J68" s="249">
        <f>IF($L68&gt;0,IFERROR($K$1&amp;" "&amp;TRIM(SUBSTITUTE(SUBSTITUTE(SUBSTITUTE(SUBSTITUTE(SUBSTITUTE(SUBSTITUTE(SUBSTITUTE(SUBSTITUTE(SUBSTITUTE(SUBSTITUTE(SUBSTITUTE(SUBSTITUTE(LOWER(INDEX('Invullen groen'!$O:$O,$L68)),"2024",""),"2025",""),"2026",""),"2027",""),"2028",""),"2029",""),"taakveld ",""),"installaties","inst"),"ruwbouw","ruwb"),"afbouw","afb"),"bijstelling","bijst"),"investeringen","invest")),""),"")</f>
        <v/>
      </c>
      <c r="K68" s="249" t="n"/>
      <c r="L68" s="122">
        <f>IFERROR(MATCH(ROW()-4,'Invullen groen'!$P$17:$P$109,0)+16,0)</f>
        <v/>
      </c>
      <c r="M68" s="122" t="n"/>
      <c r="N68" s="122" t="n"/>
    </row>
    <row r="69" hidden="1" ht="15" customHeight="1" s="418">
      <c r="A69" s="247">
        <f>IFERROR(IF($L69&gt;0,INDEX('Invullen groen'!$E:$E,$L69),""),"")</f>
        <v/>
      </c>
      <c r="B69" s="247">
        <f>IFERROR(IF($L69&gt;0,IF(INDEX('Invullen groen'!$F:$F,$L69)&gt;0,INDEX('Invullen groen'!$F:$F,$L69),""),""),"")</f>
        <v/>
      </c>
      <c r="C69" s="247">
        <f>IFERROR(IF($L69&gt;0,IF(INDEX('Invullen groen'!$N:$N,$L69)&gt;0,INDEX('Invullen groen'!$N:$N,$L69),""),""),"")</f>
        <v/>
      </c>
      <c r="D69" s="247" t="n"/>
      <c r="E69" s="247">
        <f>IFERROR(IF(LEN(J69)&lt;=36,J69,IFERROR(LEFT(J69,FIND(CHAR(1),SUBSTITUTE(LEFT(J69,36)," ",CHAR(1),LEN(LEFT(J69,36))-LEN(SUBSTITUTE(LEFT(J69,36)," ",""))))-1),LEFT(J69,36))),"")</f>
        <v/>
      </c>
      <c r="F69" s="248">
        <f>IFERROR(IF($L69&gt;0,IF(INDEX('Invullen groen'!$H:$H,$L69)=0,"",INT(INDEX('Invullen groen'!$H:$H,$L69))),""),"")</f>
        <v/>
      </c>
      <c r="G69" s="248">
        <f>IFERROR(IF($L69&gt;0,IF(INDEX('Invullen groen'!$I:$I,$L69)=0,"",INT(INDEX('Invullen groen'!$I:$I,$L69))),""),"")</f>
        <v/>
      </c>
      <c r="H69" s="248">
        <f>IFERROR(IF($L69&gt;0,IF(INDEX('Invullen groen'!$J:$J,$L69)=0,"",INT(INDEX('Invullen groen'!$J:$J,$L69))),""),"")</f>
        <v/>
      </c>
      <c r="I69" s="248">
        <f>IFERROR(IF($L69&gt;0,IF(INDEX('Invullen groen'!$K:$K,$L69)=0,"",INT(INDEX('Invullen groen'!$K:$K,$L69))),""),"")</f>
        <v/>
      </c>
      <c r="J69" s="247">
        <f>IF($L69&gt;0,IFERROR($K$1&amp;" "&amp;TRIM(SUBSTITUTE(SUBSTITUTE(SUBSTITUTE(SUBSTITUTE(SUBSTITUTE(SUBSTITUTE(SUBSTITUTE(SUBSTITUTE(SUBSTITUTE(SUBSTITUTE(SUBSTITUTE(SUBSTITUTE(LOWER(INDEX('Invullen groen'!$O:$O,$L69)),"2024",""),"2025",""),"2026",""),"2027",""),"2028",""),"2029",""),"taakveld ",""),"installaties","inst"),"ruwbouw","ruwb"),"afbouw","afb"),"bijstelling","bijst"),"investeringen","invest")),""),"")</f>
        <v/>
      </c>
      <c r="K69" s="247" t="n"/>
      <c r="L69" s="122">
        <f>IFERROR(MATCH(ROW()-4,'Invullen groen'!$P$17:$P$109,0)+16,0)</f>
        <v/>
      </c>
      <c r="M69" s="122" t="n"/>
      <c r="N69" s="122" t="n"/>
    </row>
    <row r="70" hidden="1" ht="15" customHeight="1" s="418">
      <c r="A70" s="249">
        <f>IFERROR(IF($L70&gt;0,INDEX('Invullen groen'!$E:$E,$L70),""),"")</f>
        <v/>
      </c>
      <c r="B70" s="249">
        <f>IFERROR(IF($L70&gt;0,IF(INDEX('Invullen groen'!$F:$F,$L70)&gt;0,INDEX('Invullen groen'!$F:$F,$L70),""),""),"")</f>
        <v/>
      </c>
      <c r="C70" s="249">
        <f>IFERROR(IF($L70&gt;0,IF(INDEX('Invullen groen'!$N:$N,$L70)&gt;0,INDEX('Invullen groen'!$N:$N,$L70),""),""),"")</f>
        <v/>
      </c>
      <c r="D70" s="249" t="n"/>
      <c r="E70" s="249">
        <f>IFERROR(IF(LEN(J70)&lt;=36,J70,IFERROR(LEFT(J70,FIND(CHAR(1),SUBSTITUTE(LEFT(J70,36)," ",CHAR(1),LEN(LEFT(J70,36))-LEN(SUBSTITUTE(LEFT(J70,36)," ",""))))-1),LEFT(J70,36))),"")</f>
        <v/>
      </c>
      <c r="F70" s="250">
        <f>IFERROR(IF($L70&gt;0,IF(INDEX('Invullen groen'!$H:$H,$L70)=0,"",INT(INDEX('Invullen groen'!$H:$H,$L70))),""),"")</f>
        <v/>
      </c>
      <c r="G70" s="250">
        <f>IFERROR(IF($L70&gt;0,IF(INDEX('Invullen groen'!$I:$I,$L70)=0,"",INT(INDEX('Invullen groen'!$I:$I,$L70))),""),"")</f>
        <v/>
      </c>
      <c r="H70" s="250">
        <f>IFERROR(IF($L70&gt;0,IF(INDEX('Invullen groen'!$J:$J,$L70)=0,"",INT(INDEX('Invullen groen'!$J:$J,$L70))),""),"")</f>
        <v/>
      </c>
      <c r="I70" s="250">
        <f>IFERROR(IF($L70&gt;0,IF(INDEX('Invullen groen'!$K:$K,$L70)=0,"",INT(INDEX('Invullen groen'!$K:$K,$L70))),""),"")</f>
        <v/>
      </c>
      <c r="J70" s="249">
        <f>IF($L70&gt;0,IFERROR($K$1&amp;" "&amp;TRIM(SUBSTITUTE(SUBSTITUTE(SUBSTITUTE(SUBSTITUTE(SUBSTITUTE(SUBSTITUTE(SUBSTITUTE(SUBSTITUTE(SUBSTITUTE(SUBSTITUTE(SUBSTITUTE(SUBSTITUTE(LOWER(INDEX('Invullen groen'!$O:$O,$L70)),"2024",""),"2025",""),"2026",""),"2027",""),"2028",""),"2029",""),"taakveld ",""),"installaties","inst"),"ruwbouw","ruwb"),"afbouw","afb"),"bijstelling","bijst"),"investeringen","invest")),""),"")</f>
        <v/>
      </c>
      <c r="K70" s="249" t="n"/>
      <c r="L70" s="122">
        <f>IFERROR(MATCH(ROW()-4,'Invullen groen'!$P$17:$P$109,0)+16,0)</f>
        <v/>
      </c>
      <c r="M70" s="122" t="n"/>
      <c r="N70" s="122" t="n"/>
    </row>
    <row r="71" hidden="1" ht="15" customHeight="1" s="418">
      <c r="A71" s="247">
        <f>IFERROR(IF($L71&gt;0,INDEX('Invullen groen'!$E:$E,$L71),""),"")</f>
        <v/>
      </c>
      <c r="B71" s="247">
        <f>IFERROR(IF($L71&gt;0,IF(INDEX('Invullen groen'!$F:$F,$L71)&gt;0,INDEX('Invullen groen'!$F:$F,$L71),""),""),"")</f>
        <v/>
      </c>
      <c r="C71" s="247">
        <f>IFERROR(IF($L71&gt;0,IF(INDEX('Invullen groen'!$N:$N,$L71)&gt;0,INDEX('Invullen groen'!$N:$N,$L71),""),""),"")</f>
        <v/>
      </c>
      <c r="D71" s="247" t="n"/>
      <c r="E71" s="247">
        <f>IFERROR(IF(LEN(J71)&lt;=36,J71,IFERROR(LEFT(J71,FIND(CHAR(1),SUBSTITUTE(LEFT(J71,36)," ",CHAR(1),LEN(LEFT(J71,36))-LEN(SUBSTITUTE(LEFT(J71,36)," ",""))))-1),LEFT(J71,36))),"")</f>
        <v/>
      </c>
      <c r="F71" s="248">
        <f>IFERROR(IF($L71&gt;0,IF(INDEX('Invullen groen'!$H:$H,$L71)=0,"",INT(INDEX('Invullen groen'!$H:$H,$L71))),""),"")</f>
        <v/>
      </c>
      <c r="G71" s="248">
        <f>IFERROR(IF($L71&gt;0,IF(INDEX('Invullen groen'!$I:$I,$L71)=0,"",INT(INDEX('Invullen groen'!$I:$I,$L71))),""),"")</f>
        <v/>
      </c>
      <c r="H71" s="248">
        <f>IFERROR(IF($L71&gt;0,IF(INDEX('Invullen groen'!$J:$J,$L71)=0,"",INT(INDEX('Invullen groen'!$J:$J,$L71))),""),"")</f>
        <v/>
      </c>
      <c r="I71" s="248">
        <f>IFERROR(IF($L71&gt;0,IF(INDEX('Invullen groen'!$K:$K,$L71)=0,"",INT(INDEX('Invullen groen'!$K:$K,$L71))),""),"")</f>
        <v/>
      </c>
      <c r="J71" s="247">
        <f>IF($L71&gt;0,IFERROR($K$1&amp;" "&amp;TRIM(SUBSTITUTE(SUBSTITUTE(SUBSTITUTE(SUBSTITUTE(SUBSTITUTE(SUBSTITUTE(SUBSTITUTE(SUBSTITUTE(SUBSTITUTE(SUBSTITUTE(SUBSTITUTE(SUBSTITUTE(LOWER(INDEX('Invullen groen'!$O:$O,$L71)),"2024",""),"2025",""),"2026",""),"2027",""),"2028",""),"2029",""),"taakveld ",""),"installaties","inst"),"ruwbouw","ruwb"),"afbouw","afb"),"bijstelling","bijst"),"investeringen","invest")),""),"")</f>
        <v/>
      </c>
      <c r="K71" s="247" t="n"/>
      <c r="L71" s="122">
        <f>IFERROR(MATCH(ROW()-4,'Invullen groen'!$P$17:$P$109,0)+16,0)</f>
        <v/>
      </c>
      <c r="M71" s="122" t="n"/>
      <c r="N71" s="122" t="n"/>
    </row>
    <row r="72" hidden="1" ht="15" customHeight="1" s="418">
      <c r="A72" s="249">
        <f>IFERROR(IF($L72&gt;0,INDEX('Invullen groen'!$E:$E,$L72),""),"")</f>
        <v/>
      </c>
      <c r="B72" s="249">
        <f>IFERROR(IF($L72&gt;0,IF(INDEX('Invullen groen'!$F:$F,$L72)&gt;0,INDEX('Invullen groen'!$F:$F,$L72),""),""),"")</f>
        <v/>
      </c>
      <c r="C72" s="249">
        <f>IFERROR(IF($L72&gt;0,IF(INDEX('Invullen groen'!$N:$N,$L72)&gt;0,INDEX('Invullen groen'!$N:$N,$L72),""),""),"")</f>
        <v/>
      </c>
      <c r="D72" s="249" t="n"/>
      <c r="E72" s="249">
        <f>IFERROR(IF(LEN(J72)&lt;=36,J72,IFERROR(LEFT(J72,FIND(CHAR(1),SUBSTITUTE(LEFT(J72,36)," ",CHAR(1),LEN(LEFT(J72,36))-LEN(SUBSTITUTE(LEFT(J72,36)," ",""))))-1),LEFT(J72,36))),"")</f>
        <v/>
      </c>
      <c r="F72" s="250">
        <f>IFERROR(IF($L72&gt;0,IF(INDEX('Invullen groen'!$H:$H,$L72)=0,"",INT(INDEX('Invullen groen'!$H:$H,$L72))),""),"")</f>
        <v/>
      </c>
      <c r="G72" s="250">
        <f>IFERROR(IF($L72&gt;0,IF(INDEX('Invullen groen'!$I:$I,$L72)=0,"",INT(INDEX('Invullen groen'!$I:$I,$L72))),""),"")</f>
        <v/>
      </c>
      <c r="H72" s="250">
        <f>IFERROR(IF($L72&gt;0,IF(INDEX('Invullen groen'!$J:$J,$L72)=0,"",INT(INDEX('Invullen groen'!$J:$J,$L72))),""),"")</f>
        <v/>
      </c>
      <c r="I72" s="250">
        <f>IFERROR(IF($L72&gt;0,IF(INDEX('Invullen groen'!$K:$K,$L72)=0,"",INT(INDEX('Invullen groen'!$K:$K,$L72))),""),"")</f>
        <v/>
      </c>
      <c r="J72" s="249">
        <f>IF($L72&gt;0,IFERROR($K$1&amp;" "&amp;TRIM(SUBSTITUTE(SUBSTITUTE(SUBSTITUTE(SUBSTITUTE(SUBSTITUTE(SUBSTITUTE(SUBSTITUTE(SUBSTITUTE(SUBSTITUTE(SUBSTITUTE(SUBSTITUTE(SUBSTITUTE(LOWER(INDEX('Invullen groen'!$O:$O,$L72)),"2024",""),"2025",""),"2026",""),"2027",""),"2028",""),"2029",""),"taakveld ",""),"installaties","inst"),"ruwbouw","ruwb"),"afbouw","afb"),"bijstelling","bijst"),"investeringen","invest")),""),"")</f>
        <v/>
      </c>
      <c r="K72" s="249" t="n"/>
      <c r="L72" s="122">
        <f>IFERROR(MATCH(ROW()-4,'Invullen groen'!$P$17:$P$109,0)+16,0)</f>
        <v/>
      </c>
      <c r="M72" s="122" t="n"/>
      <c r="N72" s="122" t="n"/>
    </row>
    <row r="73" hidden="1" ht="15" customHeight="1" s="418">
      <c r="A73" s="247">
        <f>IFERROR(IF($L73&gt;0,INDEX('Invullen groen'!$E:$E,$L73),""),"")</f>
        <v/>
      </c>
      <c r="B73" s="247">
        <f>IFERROR(IF($L73&gt;0,IF(INDEX('Invullen groen'!$F:$F,$L73)&gt;0,INDEX('Invullen groen'!$F:$F,$L73),""),""),"")</f>
        <v/>
      </c>
      <c r="C73" s="247">
        <f>IFERROR(IF($L73&gt;0,IF(INDEX('Invullen groen'!$N:$N,$L73)&gt;0,INDEX('Invullen groen'!$N:$N,$L73),""),""),"")</f>
        <v/>
      </c>
      <c r="D73" s="247" t="n"/>
      <c r="E73" s="247">
        <f>IFERROR(IF(LEN(J73)&lt;=36,J73,IFERROR(LEFT(J73,FIND(CHAR(1),SUBSTITUTE(LEFT(J73,36)," ",CHAR(1),LEN(LEFT(J73,36))-LEN(SUBSTITUTE(LEFT(J73,36)," ",""))))-1),LEFT(J73,36))),"")</f>
        <v/>
      </c>
      <c r="F73" s="248">
        <f>IFERROR(IF($L73&gt;0,IF(INDEX('Invullen groen'!$H:$H,$L73)=0,"",INT(INDEX('Invullen groen'!$H:$H,$L73))),""),"")</f>
        <v/>
      </c>
      <c r="G73" s="248">
        <f>IFERROR(IF($L73&gt;0,IF(INDEX('Invullen groen'!$I:$I,$L73)=0,"",INT(INDEX('Invullen groen'!$I:$I,$L73))),""),"")</f>
        <v/>
      </c>
      <c r="H73" s="248">
        <f>IFERROR(IF($L73&gt;0,IF(INDEX('Invullen groen'!$J:$J,$L73)=0,"",INT(INDEX('Invullen groen'!$J:$J,$L73))),""),"")</f>
        <v/>
      </c>
      <c r="I73" s="248">
        <f>IFERROR(IF($L73&gt;0,IF(INDEX('Invullen groen'!$K:$K,$L73)=0,"",INT(INDEX('Invullen groen'!$K:$K,$L73))),""),"")</f>
        <v/>
      </c>
      <c r="J73" s="247">
        <f>IF($L73&gt;0,IFERROR($K$1&amp;" "&amp;TRIM(SUBSTITUTE(SUBSTITUTE(SUBSTITUTE(SUBSTITUTE(SUBSTITUTE(SUBSTITUTE(SUBSTITUTE(SUBSTITUTE(SUBSTITUTE(SUBSTITUTE(SUBSTITUTE(SUBSTITUTE(LOWER(INDEX('Invullen groen'!$O:$O,$L73)),"2024",""),"2025",""),"2026",""),"2027",""),"2028",""),"2029",""),"taakveld ",""),"installaties","inst"),"ruwbouw","ruwb"),"afbouw","afb"),"bijstelling","bijst"),"investeringen","invest")),""),"")</f>
        <v/>
      </c>
      <c r="K73" s="247" t="n"/>
      <c r="L73" s="122">
        <f>IFERROR(MATCH(ROW()-4,'Invullen groen'!$P$17:$P$109,0)+16,0)</f>
        <v/>
      </c>
      <c r="M73" s="122" t="n"/>
      <c r="N73" s="122" t="n"/>
    </row>
    <row r="74" hidden="1" ht="15" customHeight="1" s="418">
      <c r="A74" s="249">
        <f>IFERROR(IF($L74&gt;0,INDEX('Invullen groen'!$E:$E,$L74),""),"")</f>
        <v/>
      </c>
      <c r="B74" s="249">
        <f>IFERROR(IF($L74&gt;0,IF(INDEX('Invullen groen'!$F:$F,$L74)&gt;0,INDEX('Invullen groen'!$F:$F,$L74),""),""),"")</f>
        <v/>
      </c>
      <c r="C74" s="249">
        <f>IFERROR(IF($L74&gt;0,IF(INDEX('Invullen groen'!$N:$N,$L74)&gt;0,INDEX('Invullen groen'!$N:$N,$L74),""),""),"")</f>
        <v/>
      </c>
      <c r="D74" s="249" t="n"/>
      <c r="E74" s="249">
        <f>IFERROR(IF(LEN(J74)&lt;=36,J74,IFERROR(LEFT(J74,FIND(CHAR(1),SUBSTITUTE(LEFT(J74,36)," ",CHAR(1),LEN(LEFT(J74,36))-LEN(SUBSTITUTE(LEFT(J74,36)," ",""))))-1),LEFT(J74,36))),"")</f>
        <v/>
      </c>
      <c r="F74" s="250">
        <f>IFERROR(IF($L74&gt;0,IF(INDEX('Invullen groen'!$H:$H,$L74)=0,"",INT(INDEX('Invullen groen'!$H:$H,$L74))),""),"")</f>
        <v/>
      </c>
      <c r="G74" s="250">
        <f>IFERROR(IF($L74&gt;0,IF(INDEX('Invullen groen'!$I:$I,$L74)=0,"",INT(INDEX('Invullen groen'!$I:$I,$L74))),""),"")</f>
        <v/>
      </c>
      <c r="H74" s="250">
        <f>IFERROR(IF($L74&gt;0,IF(INDEX('Invullen groen'!$J:$J,$L74)=0,"",INT(INDEX('Invullen groen'!$J:$J,$L74))),""),"")</f>
        <v/>
      </c>
      <c r="I74" s="250">
        <f>IFERROR(IF($L74&gt;0,IF(INDEX('Invullen groen'!$K:$K,$L74)=0,"",INT(INDEX('Invullen groen'!$K:$K,$L74))),""),"")</f>
        <v/>
      </c>
      <c r="J74" s="249">
        <f>IF($L74&gt;0,IFERROR($K$1&amp;" "&amp;TRIM(SUBSTITUTE(SUBSTITUTE(SUBSTITUTE(SUBSTITUTE(SUBSTITUTE(SUBSTITUTE(SUBSTITUTE(SUBSTITUTE(SUBSTITUTE(SUBSTITUTE(SUBSTITUTE(SUBSTITUTE(LOWER(INDEX('Invullen groen'!$O:$O,$L74)),"2024",""),"2025",""),"2026",""),"2027",""),"2028",""),"2029",""),"taakveld ",""),"installaties","inst"),"ruwbouw","ruwb"),"afbouw","afb"),"bijstelling","bijst"),"investeringen","invest")),""),"")</f>
        <v/>
      </c>
      <c r="K74" s="249" t="n"/>
      <c r="L74" s="122">
        <f>IFERROR(MATCH(ROW()-4,'Invullen groen'!$P$17:$P$109,0)+16,0)</f>
        <v/>
      </c>
      <c r="M74" s="122" t="n"/>
      <c r="N74" s="122" t="n"/>
    </row>
    <row r="75" hidden="1" ht="15" customHeight="1" s="418">
      <c r="A75" s="247">
        <f>IFERROR(IF($L75&gt;0,INDEX('Invullen groen'!$E:$E,$L75),""),"")</f>
        <v/>
      </c>
      <c r="B75" s="247">
        <f>IFERROR(IF($L75&gt;0,IF(INDEX('Invullen groen'!$F:$F,$L75)&gt;0,INDEX('Invullen groen'!$F:$F,$L75),""),""),"")</f>
        <v/>
      </c>
      <c r="C75" s="247">
        <f>IFERROR(IF($L75&gt;0,IF(INDEX('Invullen groen'!$N:$N,$L75)&gt;0,INDEX('Invullen groen'!$N:$N,$L75),""),""),"")</f>
        <v/>
      </c>
      <c r="D75" s="247" t="n"/>
      <c r="E75" s="247">
        <f>IFERROR(IF(LEN(J75)&lt;=36,J75,IFERROR(LEFT(J75,FIND(CHAR(1),SUBSTITUTE(LEFT(J75,36)," ",CHAR(1),LEN(LEFT(J75,36))-LEN(SUBSTITUTE(LEFT(J75,36)," ",""))))-1),LEFT(J75,36))),"")</f>
        <v/>
      </c>
      <c r="F75" s="248">
        <f>IFERROR(IF($L75&gt;0,IF(INDEX('Invullen groen'!$H:$H,$L75)=0,"",INT(INDEX('Invullen groen'!$H:$H,$L75))),""),"")</f>
        <v/>
      </c>
      <c r="G75" s="248">
        <f>IFERROR(IF($L75&gt;0,IF(INDEX('Invullen groen'!$I:$I,$L75)=0,"",INT(INDEX('Invullen groen'!$I:$I,$L75))),""),"")</f>
        <v/>
      </c>
      <c r="H75" s="248">
        <f>IFERROR(IF($L75&gt;0,IF(INDEX('Invullen groen'!$J:$J,$L75)=0,"",INT(INDEX('Invullen groen'!$J:$J,$L75))),""),"")</f>
        <v/>
      </c>
      <c r="I75" s="248">
        <f>IFERROR(IF($L75&gt;0,IF(INDEX('Invullen groen'!$K:$K,$L75)=0,"",INT(INDEX('Invullen groen'!$K:$K,$L75))),""),"")</f>
        <v/>
      </c>
      <c r="J75" s="247">
        <f>IF($L75&gt;0,IFERROR($K$1&amp;" "&amp;TRIM(SUBSTITUTE(SUBSTITUTE(SUBSTITUTE(SUBSTITUTE(SUBSTITUTE(SUBSTITUTE(SUBSTITUTE(SUBSTITUTE(SUBSTITUTE(SUBSTITUTE(SUBSTITUTE(SUBSTITUTE(LOWER(INDEX('Invullen groen'!$O:$O,$L75)),"2024",""),"2025",""),"2026",""),"2027",""),"2028",""),"2029",""),"taakveld ",""),"installaties","inst"),"ruwbouw","ruwb"),"afbouw","afb"),"bijstelling","bijst"),"investeringen","invest")),""),"")</f>
        <v/>
      </c>
      <c r="K75" s="247" t="n"/>
      <c r="L75" s="122">
        <f>IFERROR(MATCH(ROW()-4,'Invullen groen'!$P$17:$P$109,0)+16,0)</f>
        <v/>
      </c>
      <c r="M75" s="122" t="n"/>
      <c r="N75" s="122" t="n"/>
    </row>
    <row r="76" hidden="1" ht="15" customHeight="1" s="418">
      <c r="A76" s="249">
        <f>IFERROR(IF($L76&gt;0,INDEX('Invullen groen'!$E:$E,$L76),""),"")</f>
        <v/>
      </c>
      <c r="B76" s="249">
        <f>IFERROR(IF($L76&gt;0,IF(INDEX('Invullen groen'!$F:$F,$L76)&gt;0,INDEX('Invullen groen'!$F:$F,$L76),""),""),"")</f>
        <v/>
      </c>
      <c r="C76" s="249">
        <f>IFERROR(IF($L76&gt;0,IF(INDEX('Invullen groen'!$N:$N,$L76)&gt;0,INDEX('Invullen groen'!$N:$N,$L76),""),""),"")</f>
        <v/>
      </c>
      <c r="D76" s="233" t="n"/>
      <c r="E76" s="249">
        <f>IFERROR(IF(LEN(J76)&lt;=36,J76,IFERROR(LEFT(J76,FIND(CHAR(1),SUBSTITUTE(LEFT(J76,36)," ",CHAR(1),LEN(LEFT(J76,36))-LEN(SUBSTITUTE(LEFT(J76,36)," ",""))))-1),LEFT(J76,36))),"")</f>
        <v/>
      </c>
      <c r="F76" s="250">
        <f>IFERROR(IF($L76&gt;0,IF(INDEX('Invullen groen'!$H:$H,$L76)=0,"",INT(INDEX('Invullen groen'!$H:$H,$L76))),""),"")</f>
        <v/>
      </c>
      <c r="G76" s="250">
        <f>IFERROR(IF($L76&gt;0,IF(INDEX('Invullen groen'!$I:$I,$L76)=0,"",INT(INDEX('Invullen groen'!$I:$I,$L76))),""),"")</f>
        <v/>
      </c>
      <c r="H76" s="250">
        <f>IFERROR(IF($L76&gt;0,IF(INDEX('Invullen groen'!$J:$J,$L76)=0,"",INT(INDEX('Invullen groen'!$J:$J,$L76))),""),"")</f>
        <v/>
      </c>
      <c r="I76" s="250">
        <f>IFERROR(IF($L76&gt;0,IF(INDEX('Invullen groen'!$K:$K,$L76)=0,"",INT(INDEX('Invullen groen'!$K:$K,$L76))),""),"")</f>
        <v/>
      </c>
      <c r="J76" s="249">
        <f>IF($L76&gt;0,IFERROR($K$1&amp;" "&amp;TRIM(SUBSTITUTE(SUBSTITUTE(SUBSTITUTE(SUBSTITUTE(SUBSTITUTE(SUBSTITUTE(SUBSTITUTE(SUBSTITUTE(SUBSTITUTE(SUBSTITUTE(SUBSTITUTE(SUBSTITUTE(LOWER(INDEX('Invullen groen'!$O:$O,$L76)),"2024",""),"2025",""),"2026",""),"2027",""),"2028",""),"2029",""),"taakveld ",""),"installaties","inst"),"ruwbouw","ruwb"),"afbouw","afb"),"bijstelling","bijst"),"investeringen","invest")),""),"")</f>
        <v/>
      </c>
      <c r="K76" s="233" t="n"/>
      <c r="L76">
        <f>IFERROR(MATCH(ROW()-4,'Invullen groen'!$P$17:$P$109,0)+16,0)</f>
        <v/>
      </c>
    </row>
    <row r="77" hidden="1" ht="15" customHeight="1" s="418">
      <c r="A77" s="247">
        <f>IFERROR(IF($L77&gt;0,INDEX('Invullen groen'!$E:$E,$L77),""),"")</f>
        <v/>
      </c>
      <c r="B77" s="247">
        <f>IFERROR(IF($L77&gt;0,IF(INDEX('Invullen groen'!$F:$F,$L77)&gt;0,INDEX('Invullen groen'!$F:$F,$L77),""),""),"")</f>
        <v/>
      </c>
      <c r="C77" s="247">
        <f>IFERROR(IF($L77&gt;0,IF(INDEX('Invullen groen'!$N:$N,$L77)&gt;0,INDEX('Invullen groen'!$N:$N,$L77),""),""),"")</f>
        <v/>
      </c>
      <c r="D77" s="251" t="n"/>
      <c r="E77" s="247">
        <f>IFERROR(IF(LEN(J77)&lt;=36,J77,IFERROR(LEFT(J77,FIND(CHAR(1),SUBSTITUTE(LEFT(J77,36)," ",CHAR(1),LEN(LEFT(J77,36))-LEN(SUBSTITUTE(LEFT(J77,36)," ",""))))-1),LEFT(J77,36))),"")</f>
        <v/>
      </c>
      <c r="F77" s="248">
        <f>IFERROR(IF($L77&gt;0,IF(INDEX('Invullen groen'!$H:$H,$L77)=0,"",INT(INDEX('Invullen groen'!$H:$H,$L77))),""),"")</f>
        <v/>
      </c>
      <c r="G77" s="248">
        <f>IFERROR(IF($L77&gt;0,IF(INDEX('Invullen groen'!$I:$I,$L77)=0,"",INT(INDEX('Invullen groen'!$I:$I,$L77))),""),"")</f>
        <v/>
      </c>
      <c r="H77" s="248">
        <f>IFERROR(IF($L77&gt;0,IF(INDEX('Invullen groen'!$J:$J,$L77)=0,"",INT(INDEX('Invullen groen'!$J:$J,$L77))),""),"")</f>
        <v/>
      </c>
      <c r="I77" s="248">
        <f>IFERROR(IF($L77&gt;0,IF(INDEX('Invullen groen'!$K:$K,$L77)=0,"",INT(INDEX('Invullen groen'!$K:$K,$L77))),""),"")</f>
        <v/>
      </c>
      <c r="J77" s="247">
        <f>IF($L77&gt;0,IFERROR($K$1&amp;" "&amp;TRIM(SUBSTITUTE(SUBSTITUTE(SUBSTITUTE(SUBSTITUTE(SUBSTITUTE(SUBSTITUTE(SUBSTITUTE(SUBSTITUTE(SUBSTITUTE(SUBSTITUTE(SUBSTITUTE(SUBSTITUTE(LOWER(INDEX('Invullen groen'!$O:$O,$L77)),"2024",""),"2025",""),"2026",""),"2027",""),"2028",""),"2029",""),"taakveld ",""),"installaties","inst"),"ruwbouw","ruwb"),"afbouw","afb"),"bijstelling","bijst"),"investeringen","invest")),""),"")</f>
        <v/>
      </c>
      <c r="K77" s="251" t="n"/>
      <c r="L77">
        <f>IFERROR(MATCH(ROW()-4,'Invullen groen'!$P$17:$P$109,0)+16,0)</f>
        <v/>
      </c>
    </row>
    <row r="78" hidden="1" ht="15" customHeight="1" s="418">
      <c r="A78" s="249">
        <f>IFERROR(IF($L78&gt;0,INDEX('Invullen groen'!$E:$E,$L78),""),"")</f>
        <v/>
      </c>
      <c r="B78" s="249">
        <f>IFERROR(IF($L78&gt;0,IF(INDEX('Invullen groen'!$F:$F,$L78)&gt;0,INDEX('Invullen groen'!$F:$F,$L78),""),""),"")</f>
        <v/>
      </c>
      <c r="C78" s="249">
        <f>IFERROR(IF($L78&gt;0,IF(INDEX('Invullen groen'!$N:$N,$L78)&gt;0,INDEX('Invullen groen'!$N:$N,$L78),""),""),"")</f>
        <v/>
      </c>
      <c r="D78" s="233" t="n"/>
      <c r="E78" s="249">
        <f>IFERROR(IF(LEN(J78)&lt;=36,J78,IFERROR(LEFT(J78,FIND(CHAR(1),SUBSTITUTE(LEFT(J78,36)," ",CHAR(1),LEN(LEFT(J78,36))-LEN(SUBSTITUTE(LEFT(J78,36)," ",""))))-1),LEFT(J78,36))),"")</f>
        <v/>
      </c>
      <c r="F78" s="250">
        <f>IFERROR(IF($L78&gt;0,IF(INDEX('Invullen groen'!$H:$H,$L78)=0,"",INT(INDEX('Invullen groen'!$H:$H,$L78))),""),"")</f>
        <v/>
      </c>
      <c r="G78" s="250">
        <f>IFERROR(IF($L78&gt;0,IF(INDEX('Invullen groen'!$I:$I,$L78)=0,"",INT(INDEX('Invullen groen'!$I:$I,$L78))),""),"")</f>
        <v/>
      </c>
      <c r="H78" s="250">
        <f>IFERROR(IF($L78&gt;0,IF(INDEX('Invullen groen'!$J:$J,$L78)=0,"",INT(INDEX('Invullen groen'!$J:$J,$L78))),""),"")</f>
        <v/>
      </c>
      <c r="I78" s="250">
        <f>IFERROR(IF($L78&gt;0,IF(INDEX('Invullen groen'!$K:$K,$L78)=0,"",INT(INDEX('Invullen groen'!$K:$K,$L78))),""),"")</f>
        <v/>
      </c>
      <c r="J78" s="249">
        <f>IF($L78&gt;0,IFERROR($K$1&amp;" "&amp;TRIM(SUBSTITUTE(SUBSTITUTE(SUBSTITUTE(SUBSTITUTE(SUBSTITUTE(SUBSTITUTE(SUBSTITUTE(SUBSTITUTE(SUBSTITUTE(SUBSTITUTE(SUBSTITUTE(SUBSTITUTE(LOWER(INDEX('Invullen groen'!$O:$O,$L78)),"2024",""),"2025",""),"2026",""),"2027",""),"2028",""),"2029",""),"taakveld ",""),"installaties","inst"),"ruwbouw","ruwb"),"afbouw","afb"),"bijstelling","bijst"),"investeringen","invest")),""),"")</f>
        <v/>
      </c>
      <c r="K78" s="233" t="n"/>
      <c r="L78">
        <f>IFERROR(MATCH(ROW()-4,'Invullen groen'!$P$17:$P$109,0)+16,0)</f>
        <v/>
      </c>
    </row>
    <row r="79" hidden="1" ht="15" customHeight="1" s="418">
      <c r="A79" s="247">
        <f>IFERROR(IF($L79&gt;0,INDEX('Invullen groen'!$E:$E,$L79),""),"")</f>
        <v/>
      </c>
      <c r="B79" s="247">
        <f>IFERROR(IF($L79&gt;0,IF(INDEX('Invullen groen'!$F:$F,$L79)&gt;0,INDEX('Invullen groen'!$F:$F,$L79),""),""),"")</f>
        <v/>
      </c>
      <c r="C79" s="247">
        <f>IFERROR(IF($L79&gt;0,IF(INDEX('Invullen groen'!$N:$N,$L79)&gt;0,INDEX('Invullen groen'!$N:$N,$L79),""),""),"")</f>
        <v/>
      </c>
      <c r="D79" s="251" t="n"/>
      <c r="E79" s="247">
        <f>IFERROR(IF(LEN(J79)&lt;=36,J79,IFERROR(LEFT(J79,FIND(CHAR(1),SUBSTITUTE(LEFT(J79,36)," ",CHAR(1),LEN(LEFT(J79,36))-LEN(SUBSTITUTE(LEFT(J79,36)," ",""))))-1),LEFT(J79,36))),"")</f>
        <v/>
      </c>
      <c r="F79" s="248">
        <f>IFERROR(IF($L79&gt;0,IF(INDEX('Invullen groen'!$H:$H,$L79)=0,"",INT(INDEX('Invullen groen'!$H:$H,$L79))),""),"")</f>
        <v/>
      </c>
      <c r="G79" s="248">
        <f>IFERROR(IF($L79&gt;0,IF(INDEX('Invullen groen'!$I:$I,$L79)=0,"",INT(INDEX('Invullen groen'!$I:$I,$L79))),""),"")</f>
        <v/>
      </c>
      <c r="H79" s="248">
        <f>IFERROR(IF($L79&gt;0,IF(INDEX('Invullen groen'!$J:$J,$L79)=0,"",INT(INDEX('Invullen groen'!$J:$J,$L79))),""),"")</f>
        <v/>
      </c>
      <c r="I79" s="248">
        <f>IFERROR(IF($L79&gt;0,IF(INDEX('Invullen groen'!$K:$K,$L79)=0,"",INT(INDEX('Invullen groen'!$K:$K,$L79))),""),"")</f>
        <v/>
      </c>
      <c r="J79" s="247">
        <f>IF($L79&gt;0,IFERROR($K$1&amp;" "&amp;TRIM(SUBSTITUTE(SUBSTITUTE(SUBSTITUTE(SUBSTITUTE(SUBSTITUTE(SUBSTITUTE(SUBSTITUTE(SUBSTITUTE(SUBSTITUTE(SUBSTITUTE(SUBSTITUTE(SUBSTITUTE(LOWER(INDEX('Invullen groen'!$O:$O,$L79)),"2024",""),"2025",""),"2026",""),"2027",""),"2028",""),"2029",""),"taakveld ",""),"installaties","inst"),"ruwbouw","ruwb"),"afbouw","afb"),"bijstelling","bijst"),"investeringen","invest")),""),"")</f>
        <v/>
      </c>
      <c r="K79" s="251" t="n"/>
      <c r="L79">
        <f>IFERROR(MATCH(ROW()-4,'Invullen groen'!$P$17:$P$109,0)+16,0)</f>
        <v/>
      </c>
    </row>
    <row r="80" hidden="1" ht="15" customHeight="1" s="418">
      <c r="A80" s="249">
        <f>IFERROR(IF($L80&gt;0,INDEX('Invullen groen'!$E:$E,$L80),""),"")</f>
        <v/>
      </c>
      <c r="B80" s="249">
        <f>IFERROR(IF($L80&gt;0,IF(INDEX('Invullen groen'!$F:$F,$L80)&gt;0,INDEX('Invullen groen'!$F:$F,$L80),""),""),"")</f>
        <v/>
      </c>
      <c r="C80" s="249">
        <f>IFERROR(IF($L80&gt;0,IF(INDEX('Invullen groen'!$N:$N,$L80)&gt;0,INDEX('Invullen groen'!$N:$N,$L80),""),""),"")</f>
        <v/>
      </c>
      <c r="D80" s="233" t="n"/>
      <c r="E80" s="249">
        <f>IFERROR(IF(LEN(J80)&lt;=36,J80,IFERROR(LEFT(J80,FIND(CHAR(1),SUBSTITUTE(LEFT(J80,36)," ",CHAR(1),LEN(LEFT(J80,36))-LEN(SUBSTITUTE(LEFT(J80,36)," ",""))))-1),LEFT(J80,36))),"")</f>
        <v/>
      </c>
      <c r="F80" s="250">
        <f>IFERROR(IF($L80&gt;0,IF(INDEX('Invullen groen'!$H:$H,$L80)=0,"",INT(INDEX('Invullen groen'!$H:$H,$L80))),""),"")</f>
        <v/>
      </c>
      <c r="G80" s="250">
        <f>IFERROR(IF($L80&gt;0,IF(INDEX('Invullen groen'!$I:$I,$L80)=0,"",INT(INDEX('Invullen groen'!$I:$I,$L80))),""),"")</f>
        <v/>
      </c>
      <c r="H80" s="250">
        <f>IFERROR(IF($L80&gt;0,IF(INDEX('Invullen groen'!$J:$J,$L80)=0,"",INT(INDEX('Invullen groen'!$J:$J,$L80))),""),"")</f>
        <v/>
      </c>
      <c r="I80" s="250">
        <f>IFERROR(IF($L80&gt;0,IF(INDEX('Invullen groen'!$K:$K,$L80)=0,"",INT(INDEX('Invullen groen'!$K:$K,$L80))),""),"")</f>
        <v/>
      </c>
      <c r="J80" s="249">
        <f>IF($L80&gt;0,IFERROR($K$1&amp;" "&amp;TRIM(SUBSTITUTE(SUBSTITUTE(SUBSTITUTE(SUBSTITUTE(SUBSTITUTE(SUBSTITUTE(SUBSTITUTE(SUBSTITUTE(SUBSTITUTE(SUBSTITUTE(SUBSTITUTE(SUBSTITUTE(LOWER(INDEX('Invullen groen'!$O:$O,$L80)),"2024",""),"2025",""),"2026",""),"2027",""),"2028",""),"2029",""),"taakveld ",""),"installaties","inst"),"ruwbouw","ruwb"),"afbouw","afb"),"bijstelling","bijst"),"investeringen","invest")),""),"")</f>
        <v/>
      </c>
      <c r="K80" s="233" t="n"/>
      <c r="L80">
        <f>IFERROR(MATCH(ROW()-4,'Invullen groen'!$P$17:$P$109,0)+16,0)</f>
        <v/>
      </c>
    </row>
    <row r="81" hidden="1" ht="15" customHeight="1" s="418">
      <c r="A81" s="247">
        <f>IFERROR(IF($L81&gt;0,INDEX('Invullen groen'!$E:$E,$L81),""),"")</f>
        <v/>
      </c>
      <c r="B81" s="247">
        <f>IFERROR(IF($L81&gt;0,IF(INDEX('Invullen groen'!$F:$F,$L81)&gt;0,INDEX('Invullen groen'!$F:$F,$L81),""),""),"")</f>
        <v/>
      </c>
      <c r="C81" s="247">
        <f>IFERROR(IF($L81&gt;0,IF(INDEX('Invullen groen'!$N:$N,$L81)&gt;0,INDEX('Invullen groen'!$N:$N,$L81),""),""),"")</f>
        <v/>
      </c>
      <c r="D81" s="251" t="n"/>
      <c r="E81" s="247">
        <f>IFERROR(IF(LEN(J81)&lt;=36,J81,IFERROR(LEFT(J81,FIND(CHAR(1),SUBSTITUTE(LEFT(J81,36)," ",CHAR(1),LEN(LEFT(J81,36))-LEN(SUBSTITUTE(LEFT(J81,36)," ",""))))-1),LEFT(J81,36))),"")</f>
        <v/>
      </c>
      <c r="F81" s="248">
        <f>IFERROR(IF($L81&gt;0,IF(INDEX('Invullen groen'!$H:$H,$L81)=0,"",INT(INDEX('Invullen groen'!$H:$H,$L81))),""),"")</f>
        <v/>
      </c>
      <c r="G81" s="248">
        <f>IFERROR(IF($L81&gt;0,IF(INDEX('Invullen groen'!$I:$I,$L81)=0,"",INT(INDEX('Invullen groen'!$I:$I,$L81))),""),"")</f>
        <v/>
      </c>
      <c r="H81" s="248">
        <f>IFERROR(IF($L81&gt;0,IF(INDEX('Invullen groen'!$J:$J,$L81)=0,"",INT(INDEX('Invullen groen'!$J:$J,$L81))),""),"")</f>
        <v/>
      </c>
      <c r="I81" s="248">
        <f>IFERROR(IF($L81&gt;0,IF(INDEX('Invullen groen'!$K:$K,$L81)=0,"",INT(INDEX('Invullen groen'!$K:$K,$L81))),""),"")</f>
        <v/>
      </c>
      <c r="J81" s="247">
        <f>IF($L81&gt;0,IFERROR($K$1&amp;" "&amp;TRIM(SUBSTITUTE(SUBSTITUTE(SUBSTITUTE(SUBSTITUTE(SUBSTITUTE(SUBSTITUTE(SUBSTITUTE(SUBSTITUTE(SUBSTITUTE(SUBSTITUTE(SUBSTITUTE(SUBSTITUTE(LOWER(INDEX('Invullen groen'!$O:$O,$L81)),"2024",""),"2025",""),"2026",""),"2027",""),"2028",""),"2029",""),"taakveld ",""),"installaties","inst"),"ruwbouw","ruwb"),"afbouw","afb"),"bijstelling","bijst"),"investeringen","invest")),""),"")</f>
        <v/>
      </c>
      <c r="K81" s="251" t="n"/>
      <c r="L81">
        <f>IFERROR(MATCH(ROW()-4,'Invullen groen'!$P$17:$P$109,0)+16,0)</f>
        <v/>
      </c>
    </row>
    <row r="82" hidden="1" ht="15" customHeight="1" s="418">
      <c r="A82" s="249">
        <f>IFERROR(IF($L82&gt;0,INDEX('Invullen groen'!$E:$E,$L82),""),"")</f>
        <v/>
      </c>
      <c r="B82" s="249">
        <f>IFERROR(IF($L82&gt;0,IF(INDEX('Invullen groen'!$F:$F,$L82)&gt;0,INDEX('Invullen groen'!$F:$F,$L82),""),""),"")</f>
        <v/>
      </c>
      <c r="C82" s="249">
        <f>IFERROR(IF($L82&gt;0,IF(INDEX('Invullen groen'!$N:$N,$L82)&gt;0,INDEX('Invullen groen'!$N:$N,$L82),""),""),"")</f>
        <v/>
      </c>
      <c r="D82" s="233" t="n"/>
      <c r="E82" s="249">
        <f>IFERROR(IF(LEN(J82)&lt;=36,J82,IFERROR(LEFT(J82,FIND(CHAR(1),SUBSTITUTE(LEFT(J82,36)," ",CHAR(1),LEN(LEFT(J82,36))-LEN(SUBSTITUTE(LEFT(J82,36)," ",""))))-1),LEFT(J82,36))),"")</f>
        <v/>
      </c>
      <c r="F82" s="250">
        <f>IFERROR(IF($L82&gt;0,IF(INDEX('Invullen groen'!$H:$H,$L82)=0,"",INT(INDEX('Invullen groen'!$H:$H,$L82))),""),"")</f>
        <v/>
      </c>
      <c r="G82" s="250">
        <f>IFERROR(IF($L82&gt;0,IF(INDEX('Invullen groen'!$I:$I,$L82)=0,"",INT(INDEX('Invullen groen'!$I:$I,$L82))),""),"")</f>
        <v/>
      </c>
      <c r="H82" s="250">
        <f>IFERROR(IF($L82&gt;0,IF(INDEX('Invullen groen'!$J:$J,$L82)=0,"",INT(INDEX('Invullen groen'!$J:$J,$L82))),""),"")</f>
        <v/>
      </c>
      <c r="I82" s="250">
        <f>IFERROR(IF($L82&gt;0,IF(INDEX('Invullen groen'!$K:$K,$L82)=0,"",INT(INDEX('Invullen groen'!$K:$K,$L82))),""),"")</f>
        <v/>
      </c>
      <c r="J82" s="249">
        <f>IF($L82&gt;0,IFERROR($K$1&amp;" "&amp;TRIM(SUBSTITUTE(SUBSTITUTE(SUBSTITUTE(SUBSTITUTE(SUBSTITUTE(SUBSTITUTE(SUBSTITUTE(SUBSTITUTE(SUBSTITUTE(SUBSTITUTE(SUBSTITUTE(SUBSTITUTE(LOWER(INDEX('Invullen groen'!$O:$O,$L82)),"2024",""),"2025",""),"2026",""),"2027",""),"2028",""),"2029",""),"taakveld ",""),"installaties","inst"),"ruwbouw","ruwb"),"afbouw","afb"),"bijstelling","bijst"),"investeringen","invest")),""),"")</f>
        <v/>
      </c>
      <c r="K82" s="233" t="n"/>
      <c r="L82">
        <f>IFERROR(MATCH(ROW()-4,'Invullen groen'!$P$17:$P$109,0)+16,0)</f>
        <v/>
      </c>
    </row>
    <row r="83" hidden="1" ht="15" customHeight="1" s="418">
      <c r="A83" s="247">
        <f>IFERROR(IF($L83&gt;0,INDEX('Invullen groen'!$E:$E,$L83),""),"")</f>
        <v/>
      </c>
      <c r="B83" s="247">
        <f>IFERROR(IF($L83&gt;0,IF(INDEX('Invullen groen'!$F:$F,$L83)&gt;0,INDEX('Invullen groen'!$F:$F,$L83),""),""),"")</f>
        <v/>
      </c>
      <c r="C83" s="247">
        <f>IFERROR(IF($L83&gt;0,IF(INDEX('Invullen groen'!$N:$N,$L83)&gt;0,INDEX('Invullen groen'!$N:$N,$L83),""),""),"")</f>
        <v/>
      </c>
      <c r="D83" s="251" t="n"/>
      <c r="E83" s="247">
        <f>IFERROR(IF(LEN(J83)&lt;=36,J83,IFERROR(LEFT(J83,FIND(CHAR(1),SUBSTITUTE(LEFT(J83,36)," ",CHAR(1),LEN(LEFT(J83,36))-LEN(SUBSTITUTE(LEFT(J83,36)," ",""))))-1),LEFT(J83,36))),"")</f>
        <v/>
      </c>
      <c r="F83" s="248">
        <f>IFERROR(IF($L83&gt;0,IF(INDEX('Invullen groen'!$H:$H,$L83)=0,"",INT(INDEX('Invullen groen'!$H:$H,$L83))),""),"")</f>
        <v/>
      </c>
      <c r="G83" s="248">
        <f>IFERROR(IF($L83&gt;0,IF(INDEX('Invullen groen'!$I:$I,$L83)=0,"",INT(INDEX('Invullen groen'!$I:$I,$L83))),""),"")</f>
        <v/>
      </c>
      <c r="H83" s="248">
        <f>IFERROR(IF($L83&gt;0,IF(INDEX('Invullen groen'!$J:$J,$L83)=0,"",INT(INDEX('Invullen groen'!$J:$J,$L83))),""),"")</f>
        <v/>
      </c>
      <c r="I83" s="248">
        <f>IFERROR(IF($L83&gt;0,IF(INDEX('Invullen groen'!$K:$K,$L83)=0,"",INT(INDEX('Invullen groen'!$K:$K,$L83))),""),"")</f>
        <v/>
      </c>
      <c r="J83" s="247">
        <f>IF($L83&gt;0,IFERROR($K$1&amp;" "&amp;TRIM(SUBSTITUTE(SUBSTITUTE(SUBSTITUTE(SUBSTITUTE(SUBSTITUTE(SUBSTITUTE(SUBSTITUTE(SUBSTITUTE(SUBSTITUTE(SUBSTITUTE(SUBSTITUTE(SUBSTITUTE(LOWER(INDEX('Invullen groen'!$O:$O,$L83)),"2024",""),"2025",""),"2026",""),"2027",""),"2028",""),"2029",""),"taakveld ",""),"installaties","inst"),"ruwbouw","ruwb"),"afbouw","afb"),"bijstelling","bijst"),"investeringen","invest")),""),"")</f>
        <v/>
      </c>
      <c r="K83" s="251" t="n"/>
      <c r="L83">
        <f>IFERROR(MATCH(ROW()-4,'Invullen groen'!$P$17:$P$109,0)+16,0)</f>
        <v/>
      </c>
    </row>
    <row r="84" hidden="1" ht="15" customHeight="1" s="418">
      <c r="A84" s="249">
        <f>IFERROR(IF($L84&gt;0,INDEX('Invullen groen'!$E:$E,$L84),""),"")</f>
        <v/>
      </c>
      <c r="B84" s="249">
        <f>IFERROR(IF($L84&gt;0,IF(INDEX('Invullen groen'!$F:$F,$L84)&gt;0,INDEX('Invullen groen'!$F:$F,$L84),""),""),"")</f>
        <v/>
      </c>
      <c r="C84" s="249">
        <f>IFERROR(IF($L84&gt;0,IF(INDEX('Invullen groen'!$N:$N,$L84)&gt;0,INDEX('Invullen groen'!$N:$N,$L84),""),""),"")</f>
        <v/>
      </c>
      <c r="D84" s="233" t="n"/>
      <c r="E84" s="249">
        <f>IFERROR(IF(LEN(J84)&lt;=36,J84,IFERROR(LEFT(J84,FIND(CHAR(1),SUBSTITUTE(LEFT(J84,36)," ",CHAR(1),LEN(LEFT(J84,36))-LEN(SUBSTITUTE(LEFT(J84,36)," ",""))))-1),LEFT(J84,36))),"")</f>
        <v/>
      </c>
      <c r="F84" s="250">
        <f>IFERROR(IF($L84&gt;0,IF(INDEX('Invullen groen'!$H:$H,$L84)=0,"",INT(INDEX('Invullen groen'!$H:$H,$L84))),""),"")</f>
        <v/>
      </c>
      <c r="G84" s="250">
        <f>IFERROR(IF($L84&gt;0,IF(INDEX('Invullen groen'!$I:$I,$L84)=0,"",INT(INDEX('Invullen groen'!$I:$I,$L84))),""),"")</f>
        <v/>
      </c>
      <c r="H84" s="250">
        <f>IFERROR(IF($L84&gt;0,IF(INDEX('Invullen groen'!$J:$J,$L84)=0,"",INT(INDEX('Invullen groen'!$J:$J,$L84))),""),"")</f>
        <v/>
      </c>
      <c r="I84" s="250">
        <f>IFERROR(IF($L84&gt;0,IF(INDEX('Invullen groen'!$K:$K,$L84)=0,"",INT(INDEX('Invullen groen'!$K:$K,$L84))),""),"")</f>
        <v/>
      </c>
      <c r="J84" s="249">
        <f>IF($L84&gt;0,IFERROR($K$1&amp;" "&amp;TRIM(SUBSTITUTE(SUBSTITUTE(SUBSTITUTE(SUBSTITUTE(SUBSTITUTE(SUBSTITUTE(SUBSTITUTE(SUBSTITUTE(SUBSTITUTE(SUBSTITUTE(SUBSTITUTE(SUBSTITUTE(LOWER(INDEX('Invullen groen'!$O:$O,$L84)),"2024",""),"2025",""),"2026",""),"2027",""),"2028",""),"2029",""),"taakveld ",""),"installaties","inst"),"ruwbouw","ruwb"),"afbouw","afb"),"bijstelling","bijst"),"investeringen","invest")),""),"")</f>
        <v/>
      </c>
      <c r="K84" s="233" t="n"/>
      <c r="L84">
        <f>IFERROR(MATCH(ROW()-4,'Invullen groen'!$P$17:$P$109,0)+16,0)</f>
        <v/>
      </c>
    </row>
    <row r="85" hidden="1" ht="15" customHeight="1" s="418">
      <c r="A85" s="247">
        <f>IFERROR(IF($L85&gt;0,INDEX('Invullen groen'!$E:$E,$L85),""),"")</f>
        <v/>
      </c>
      <c r="B85" s="247">
        <f>IFERROR(IF($L85&gt;0,IF(INDEX('Invullen groen'!$F:$F,$L85)&gt;0,INDEX('Invullen groen'!$F:$F,$L85),""),""),"")</f>
        <v/>
      </c>
      <c r="C85" s="247">
        <f>IFERROR(IF($L85&gt;0,IF(INDEX('Invullen groen'!$N:$N,$L85)&gt;0,INDEX('Invullen groen'!$N:$N,$L85),""),""),"")</f>
        <v/>
      </c>
      <c r="D85" s="251" t="n"/>
      <c r="E85" s="247">
        <f>IFERROR(IF(LEN(J85)&lt;=36,J85,IFERROR(LEFT(J85,FIND(CHAR(1),SUBSTITUTE(LEFT(J85,36)," ",CHAR(1),LEN(LEFT(J85,36))-LEN(SUBSTITUTE(LEFT(J85,36)," ",""))))-1),LEFT(J85,36))),"")</f>
        <v/>
      </c>
      <c r="F85" s="248">
        <f>IFERROR(IF($L85&gt;0,IF(INDEX('Invullen groen'!$H:$H,$L85)=0,"",INT(INDEX('Invullen groen'!$H:$H,$L85))),""),"")</f>
        <v/>
      </c>
      <c r="G85" s="248">
        <f>IFERROR(IF($L85&gt;0,IF(INDEX('Invullen groen'!$I:$I,$L85)=0,"",INT(INDEX('Invullen groen'!$I:$I,$L85))),""),"")</f>
        <v/>
      </c>
      <c r="H85" s="248">
        <f>IFERROR(IF($L85&gt;0,IF(INDEX('Invullen groen'!$J:$J,$L85)=0,"",INT(INDEX('Invullen groen'!$J:$J,$L85))),""),"")</f>
        <v/>
      </c>
      <c r="I85" s="248">
        <f>IFERROR(IF($L85&gt;0,IF(INDEX('Invullen groen'!$K:$K,$L85)=0,"",INT(INDEX('Invullen groen'!$K:$K,$L85))),""),"")</f>
        <v/>
      </c>
      <c r="J85" s="247">
        <f>IF($L85&gt;0,IFERROR($K$1&amp;" "&amp;TRIM(SUBSTITUTE(SUBSTITUTE(SUBSTITUTE(SUBSTITUTE(SUBSTITUTE(SUBSTITUTE(SUBSTITUTE(SUBSTITUTE(SUBSTITUTE(SUBSTITUTE(SUBSTITUTE(SUBSTITUTE(LOWER(INDEX('Invullen groen'!$O:$O,$L85)),"2024",""),"2025",""),"2026",""),"2027",""),"2028",""),"2029",""),"taakveld ",""),"installaties","inst"),"ruwbouw","ruwb"),"afbouw","afb"),"bijstelling","bijst"),"investeringen","invest")),""),"")</f>
        <v/>
      </c>
      <c r="K85" s="251" t="n"/>
      <c r="L85">
        <f>IFERROR(MATCH(ROW()-4,'Invullen groen'!$P$17:$P$109,0)+16,0)</f>
        <v/>
      </c>
    </row>
    <row r="86" hidden="1" ht="15" customHeight="1" s="418">
      <c r="A86" s="249">
        <f>IFERROR(IF($L86&gt;0,INDEX('Invullen groen'!$E:$E,$L86),""),"")</f>
        <v/>
      </c>
      <c r="B86" s="249">
        <f>IFERROR(IF($L86&gt;0,IF(INDEX('Invullen groen'!$F:$F,$L86)&gt;0,INDEX('Invullen groen'!$F:$F,$L86),""),""),"")</f>
        <v/>
      </c>
      <c r="C86" s="249">
        <f>IFERROR(IF($L86&gt;0,IF(INDEX('Invullen groen'!$N:$N,$L86)&gt;0,INDEX('Invullen groen'!$N:$N,$L86),""),""),"")</f>
        <v/>
      </c>
      <c r="D86" s="233" t="n"/>
      <c r="E86" s="249">
        <f>IFERROR(IF(LEN(J86)&lt;=36,J86,IFERROR(LEFT(J86,FIND(CHAR(1),SUBSTITUTE(LEFT(J86,36)," ",CHAR(1),LEN(LEFT(J86,36))-LEN(SUBSTITUTE(LEFT(J86,36)," ",""))))-1),LEFT(J86,36))),"")</f>
        <v/>
      </c>
      <c r="F86" s="250">
        <f>IFERROR(IF($L86&gt;0,IF(INDEX('Invullen groen'!$H:$H,$L86)=0,"",INT(INDEX('Invullen groen'!$H:$H,$L86))),""),"")</f>
        <v/>
      </c>
      <c r="G86" s="250">
        <f>IFERROR(IF($L86&gt;0,IF(INDEX('Invullen groen'!$I:$I,$L86)=0,"",INT(INDEX('Invullen groen'!$I:$I,$L86))),""),"")</f>
        <v/>
      </c>
      <c r="H86" s="250">
        <f>IFERROR(IF($L86&gt;0,IF(INDEX('Invullen groen'!$J:$J,$L86)=0,"",INT(INDEX('Invullen groen'!$J:$J,$L86))),""),"")</f>
        <v/>
      </c>
      <c r="I86" s="250">
        <f>IFERROR(IF($L86&gt;0,IF(INDEX('Invullen groen'!$K:$K,$L86)=0,"",INT(INDEX('Invullen groen'!$K:$K,$L86))),""),"")</f>
        <v/>
      </c>
      <c r="J86" s="249">
        <f>IF($L86&gt;0,IFERROR($K$1&amp;" "&amp;TRIM(SUBSTITUTE(SUBSTITUTE(SUBSTITUTE(SUBSTITUTE(SUBSTITUTE(SUBSTITUTE(SUBSTITUTE(SUBSTITUTE(SUBSTITUTE(SUBSTITUTE(SUBSTITUTE(SUBSTITUTE(LOWER(INDEX('Invullen groen'!$O:$O,$L86)),"2024",""),"2025",""),"2026",""),"2027",""),"2028",""),"2029",""),"taakveld ",""),"installaties","inst"),"ruwbouw","ruwb"),"afbouw","afb"),"bijstelling","bijst"),"investeringen","invest")),""),"")</f>
        <v/>
      </c>
      <c r="K86" s="233" t="n"/>
      <c r="L86">
        <f>IFERROR(MATCH(ROW()-4,'Invullen groen'!$P$17:$P$109,0)+16,0)</f>
        <v/>
      </c>
    </row>
    <row r="87" hidden="1" ht="15" customHeight="1" s="418">
      <c r="A87" s="247">
        <f>IFERROR(IF($L87&gt;0,INDEX('Invullen groen'!$E:$E,$L87),""),"")</f>
        <v/>
      </c>
      <c r="B87" s="247">
        <f>IFERROR(IF($L87&gt;0,IF(INDEX('Invullen groen'!$F:$F,$L87)&gt;0,INDEX('Invullen groen'!$F:$F,$L87),""),""),"")</f>
        <v/>
      </c>
      <c r="C87" s="247">
        <f>IFERROR(IF($L87&gt;0,IF(INDEX('Invullen groen'!$N:$N,$L87)&gt;0,INDEX('Invullen groen'!$N:$N,$L87),""),""),"")</f>
        <v/>
      </c>
      <c r="D87" s="251" t="n"/>
      <c r="E87" s="247">
        <f>IFERROR(IF(LEN(J87)&lt;=36,J87,IFERROR(LEFT(J87,FIND(CHAR(1),SUBSTITUTE(LEFT(J87,36)," ",CHAR(1),LEN(LEFT(J87,36))-LEN(SUBSTITUTE(LEFT(J87,36)," ",""))))-1),LEFT(J87,36))),"")</f>
        <v/>
      </c>
      <c r="F87" s="248">
        <f>IFERROR(IF($L87&gt;0,IF(INDEX('Invullen groen'!$H:$H,$L87)=0,"",INT(INDEX('Invullen groen'!$H:$H,$L87))),""),"")</f>
        <v/>
      </c>
      <c r="G87" s="248">
        <f>IFERROR(IF($L87&gt;0,IF(INDEX('Invullen groen'!$I:$I,$L87)=0,"",INT(INDEX('Invullen groen'!$I:$I,$L87))),""),"")</f>
        <v/>
      </c>
      <c r="H87" s="248">
        <f>IFERROR(IF($L87&gt;0,IF(INDEX('Invullen groen'!$J:$J,$L87)=0,"",INT(INDEX('Invullen groen'!$J:$J,$L87))),""),"")</f>
        <v/>
      </c>
      <c r="I87" s="248">
        <f>IFERROR(IF($L87&gt;0,IF(INDEX('Invullen groen'!$K:$K,$L87)=0,"",INT(INDEX('Invullen groen'!$K:$K,$L87))),""),"")</f>
        <v/>
      </c>
      <c r="J87" s="247">
        <f>IF($L87&gt;0,IFERROR($K$1&amp;" "&amp;TRIM(SUBSTITUTE(SUBSTITUTE(SUBSTITUTE(SUBSTITUTE(SUBSTITUTE(SUBSTITUTE(SUBSTITUTE(SUBSTITUTE(SUBSTITUTE(SUBSTITUTE(SUBSTITUTE(SUBSTITUTE(LOWER(INDEX('Invullen groen'!$O:$O,$L87)),"2024",""),"2025",""),"2026",""),"2027",""),"2028",""),"2029",""),"taakveld ",""),"installaties","inst"),"ruwbouw","ruwb"),"afbouw","afb"),"bijstelling","bijst"),"investeringen","invest")),""),"")</f>
        <v/>
      </c>
      <c r="K87" s="251" t="n"/>
      <c r="L87">
        <f>IFERROR(MATCH(ROW()-4,'Invullen groen'!$P$17:$P$109,0)+16,0)</f>
        <v/>
      </c>
    </row>
    <row r="88" hidden="1" ht="15" customHeight="1" s="418">
      <c r="A88" s="249">
        <f>IFERROR(IF($L88&gt;0,INDEX('Invullen groen'!$E:$E,$L88),""),"")</f>
        <v/>
      </c>
      <c r="B88" s="249">
        <f>IFERROR(IF($L88&gt;0,IF(INDEX('Invullen groen'!$F:$F,$L88)&gt;0,INDEX('Invullen groen'!$F:$F,$L88),""),""),"")</f>
        <v/>
      </c>
      <c r="C88" s="249">
        <f>IFERROR(IF($L88&gt;0,IF(INDEX('Invullen groen'!$N:$N,$L88)&gt;0,INDEX('Invullen groen'!$N:$N,$L88),""),""),"")</f>
        <v/>
      </c>
      <c r="D88" s="233" t="n"/>
      <c r="E88" s="249">
        <f>IFERROR(IF(LEN(J88)&lt;=36,J88,IFERROR(LEFT(J88,FIND(CHAR(1),SUBSTITUTE(LEFT(J88,36)," ",CHAR(1),LEN(LEFT(J88,36))-LEN(SUBSTITUTE(LEFT(J88,36)," ",""))))-1),LEFT(J88,36))),"")</f>
        <v/>
      </c>
      <c r="F88" s="250">
        <f>IFERROR(IF($L88&gt;0,IF(INDEX('Invullen groen'!$H:$H,$L88)=0,"",INT(INDEX('Invullen groen'!$H:$H,$L88))),""),"")</f>
        <v/>
      </c>
      <c r="G88" s="250">
        <f>IFERROR(IF($L88&gt;0,IF(INDEX('Invullen groen'!$I:$I,$L88)=0,"",INT(INDEX('Invullen groen'!$I:$I,$L88))),""),"")</f>
        <v/>
      </c>
      <c r="H88" s="250">
        <f>IFERROR(IF($L88&gt;0,IF(INDEX('Invullen groen'!$J:$J,$L88)=0,"",INT(INDEX('Invullen groen'!$J:$J,$L88))),""),"")</f>
        <v/>
      </c>
      <c r="I88" s="250">
        <f>IFERROR(IF($L88&gt;0,IF(INDEX('Invullen groen'!$K:$K,$L88)=0,"",INT(INDEX('Invullen groen'!$K:$K,$L88))),""),"")</f>
        <v/>
      </c>
      <c r="J88" s="249">
        <f>IF($L88&gt;0,IFERROR($K$1&amp;" "&amp;TRIM(SUBSTITUTE(SUBSTITUTE(SUBSTITUTE(SUBSTITUTE(SUBSTITUTE(SUBSTITUTE(SUBSTITUTE(SUBSTITUTE(SUBSTITUTE(SUBSTITUTE(SUBSTITUTE(SUBSTITUTE(LOWER(INDEX('Invullen groen'!$O:$O,$L88)),"2024",""),"2025",""),"2026",""),"2027",""),"2028",""),"2029",""),"taakveld ",""),"installaties","inst"),"ruwbouw","ruwb"),"afbouw","afb"),"bijstelling","bijst"),"investeringen","invest")),""),"")</f>
        <v/>
      </c>
      <c r="K88" s="233" t="n"/>
      <c r="L88">
        <f>IFERROR(MATCH(ROW()-4,'Invullen groen'!$P$17:$P$109,0)+16,0)</f>
        <v/>
      </c>
    </row>
    <row r="89" hidden="1" ht="15" customHeight="1" s="418">
      <c r="A89" s="247">
        <f>IFERROR(IF($L89&gt;0,INDEX('Invullen groen'!$E:$E,$L89),""),"")</f>
        <v/>
      </c>
      <c r="B89" s="247">
        <f>IFERROR(IF($L89&gt;0,IF(INDEX('Invullen groen'!$F:$F,$L89)&gt;0,INDEX('Invullen groen'!$F:$F,$L89),""),""),"")</f>
        <v/>
      </c>
      <c r="C89" s="247">
        <f>IFERROR(IF($L89&gt;0,IF(INDEX('Invullen groen'!$N:$N,$L89)&gt;0,INDEX('Invullen groen'!$N:$N,$L89),""),""),"")</f>
        <v/>
      </c>
      <c r="D89" s="251" t="n"/>
      <c r="E89" s="247">
        <f>IFERROR(IF(LEN(J89)&lt;=36,J89,IFERROR(LEFT(J89,FIND(CHAR(1),SUBSTITUTE(LEFT(J89,36)," ",CHAR(1),LEN(LEFT(J89,36))-LEN(SUBSTITUTE(LEFT(J89,36)," ",""))))-1),LEFT(J89,36))),"")</f>
        <v/>
      </c>
      <c r="F89" s="248">
        <f>IFERROR(IF($L89&gt;0,IF(INDEX('Invullen groen'!$H:$H,$L89)=0,"",INT(INDEX('Invullen groen'!$H:$H,$L89))),""),"")</f>
        <v/>
      </c>
      <c r="G89" s="248">
        <f>IFERROR(IF($L89&gt;0,IF(INDEX('Invullen groen'!$I:$I,$L89)=0,"",INT(INDEX('Invullen groen'!$I:$I,$L89))),""),"")</f>
        <v/>
      </c>
      <c r="H89" s="248">
        <f>IFERROR(IF($L89&gt;0,IF(INDEX('Invullen groen'!$J:$J,$L89)=0,"",INT(INDEX('Invullen groen'!$J:$J,$L89))),""),"")</f>
        <v/>
      </c>
      <c r="I89" s="248">
        <f>IFERROR(IF($L89&gt;0,IF(INDEX('Invullen groen'!$K:$K,$L89)=0,"",INT(INDEX('Invullen groen'!$K:$K,$L89))),""),"")</f>
        <v/>
      </c>
      <c r="J89" s="247">
        <f>IF($L89&gt;0,IFERROR($K$1&amp;" "&amp;TRIM(SUBSTITUTE(SUBSTITUTE(SUBSTITUTE(SUBSTITUTE(SUBSTITUTE(SUBSTITUTE(SUBSTITUTE(SUBSTITUTE(SUBSTITUTE(SUBSTITUTE(SUBSTITUTE(SUBSTITUTE(LOWER(INDEX('Invullen groen'!$O:$O,$L89)),"2024",""),"2025",""),"2026",""),"2027",""),"2028",""),"2029",""),"taakveld ",""),"installaties","inst"),"ruwbouw","ruwb"),"afbouw","afb"),"bijstelling","bijst"),"investeringen","invest")),""),"")</f>
        <v/>
      </c>
      <c r="K89" s="251" t="n"/>
      <c r="L89">
        <f>IFERROR(MATCH(ROW()-4,'Invullen groen'!$P$17:$P$109,0)+16,0)</f>
        <v/>
      </c>
    </row>
    <row r="90" hidden="1" ht="15" customHeight="1" s="418">
      <c r="A90" s="249">
        <f>IFERROR(IF($L90&gt;0,INDEX('Invullen groen'!$E:$E,$L90),""),"")</f>
        <v/>
      </c>
      <c r="B90" s="249">
        <f>IFERROR(IF($L90&gt;0,IF(INDEX('Invullen groen'!$F:$F,$L90)&gt;0,INDEX('Invullen groen'!$F:$F,$L90),""),""),"")</f>
        <v/>
      </c>
      <c r="C90" s="249">
        <f>IFERROR(IF($L90&gt;0,IF(INDEX('Invullen groen'!$N:$N,$L90)&gt;0,INDEX('Invullen groen'!$N:$N,$L90),""),""),"")</f>
        <v/>
      </c>
      <c r="D90" s="233" t="n"/>
      <c r="E90" s="249">
        <f>IFERROR(IF(LEN(J90)&lt;=36,J90,IFERROR(LEFT(J90,FIND(CHAR(1),SUBSTITUTE(LEFT(J90,36)," ",CHAR(1),LEN(LEFT(J90,36))-LEN(SUBSTITUTE(LEFT(J90,36)," ",""))))-1),LEFT(J90,36))),"")</f>
        <v/>
      </c>
      <c r="F90" s="250">
        <f>IFERROR(IF($L90&gt;0,IF(INDEX('Invullen groen'!$H:$H,$L90)=0,"",INT(INDEX('Invullen groen'!$H:$H,$L90))),""),"")</f>
        <v/>
      </c>
      <c r="G90" s="250">
        <f>IFERROR(IF($L90&gt;0,IF(INDEX('Invullen groen'!$I:$I,$L90)=0,"",INT(INDEX('Invullen groen'!$I:$I,$L90))),""),"")</f>
        <v/>
      </c>
      <c r="H90" s="250">
        <f>IFERROR(IF($L90&gt;0,IF(INDEX('Invullen groen'!$J:$J,$L90)=0,"",INT(INDEX('Invullen groen'!$J:$J,$L90))),""),"")</f>
        <v/>
      </c>
      <c r="I90" s="250">
        <f>IFERROR(IF($L90&gt;0,IF(INDEX('Invullen groen'!$K:$K,$L90)=0,"",INT(INDEX('Invullen groen'!$K:$K,$L90))),""),"")</f>
        <v/>
      </c>
      <c r="J90" s="249">
        <f>IF($L90&gt;0,IFERROR($K$1&amp;" "&amp;TRIM(SUBSTITUTE(SUBSTITUTE(SUBSTITUTE(SUBSTITUTE(SUBSTITUTE(SUBSTITUTE(SUBSTITUTE(SUBSTITUTE(SUBSTITUTE(SUBSTITUTE(SUBSTITUTE(SUBSTITUTE(LOWER(INDEX('Invullen groen'!$O:$O,$L90)),"2024",""),"2025",""),"2026",""),"2027",""),"2028",""),"2029",""),"taakveld ",""),"installaties","inst"),"ruwbouw","ruwb"),"afbouw","afb"),"bijstelling","bijst"),"investeringen","invest")),""),"")</f>
        <v/>
      </c>
      <c r="K90" s="233" t="n"/>
      <c r="L90">
        <f>IFERROR(MATCH(ROW()-4,'Invullen groen'!$P$17:$P$109,0)+16,0)</f>
        <v/>
      </c>
    </row>
    <row r="91" hidden="1" ht="15" customHeight="1" s="418">
      <c r="A91" s="247">
        <f>IFERROR(IF($L91&gt;0,INDEX('Invullen groen'!$E:$E,$L91),""),"")</f>
        <v/>
      </c>
      <c r="B91" s="247">
        <f>IFERROR(IF($L91&gt;0,IF(INDEX('Invullen groen'!$F:$F,$L91)&gt;0,INDEX('Invullen groen'!$F:$F,$L91),""),""),"")</f>
        <v/>
      </c>
      <c r="C91" s="247">
        <f>IFERROR(IF($L91&gt;0,IF(INDEX('Invullen groen'!$N:$N,$L91)&gt;0,INDEX('Invullen groen'!$N:$N,$L91),""),""),"")</f>
        <v/>
      </c>
      <c r="D91" s="251" t="n"/>
      <c r="E91" s="247">
        <f>IFERROR(IF(LEN(J91)&lt;=36,J91,IFERROR(LEFT(J91,FIND(CHAR(1),SUBSTITUTE(LEFT(J91,36)," ",CHAR(1),LEN(LEFT(J91,36))-LEN(SUBSTITUTE(LEFT(J91,36)," ",""))))-1),LEFT(J91,36))),"")</f>
        <v/>
      </c>
      <c r="F91" s="248">
        <f>IFERROR(IF($L91&gt;0,IF(INDEX('Invullen groen'!$H:$H,$L91)=0,"",INT(INDEX('Invullen groen'!$H:$H,$L91))),""),"")</f>
        <v/>
      </c>
      <c r="G91" s="248">
        <f>IFERROR(IF($L91&gt;0,IF(INDEX('Invullen groen'!$I:$I,$L91)=0,"",INT(INDEX('Invullen groen'!$I:$I,$L91))),""),"")</f>
        <v/>
      </c>
      <c r="H91" s="248">
        <f>IFERROR(IF($L91&gt;0,IF(INDEX('Invullen groen'!$J:$J,$L91)=0,"",INT(INDEX('Invullen groen'!$J:$J,$L91))),""),"")</f>
        <v/>
      </c>
      <c r="I91" s="248">
        <f>IFERROR(IF($L91&gt;0,IF(INDEX('Invullen groen'!$K:$K,$L91)=0,"",INT(INDEX('Invullen groen'!$K:$K,$L91))),""),"")</f>
        <v/>
      </c>
      <c r="J91" s="247">
        <f>IF($L91&gt;0,IFERROR($K$1&amp;" "&amp;TRIM(SUBSTITUTE(SUBSTITUTE(SUBSTITUTE(SUBSTITUTE(SUBSTITUTE(SUBSTITUTE(SUBSTITUTE(SUBSTITUTE(SUBSTITUTE(SUBSTITUTE(SUBSTITUTE(SUBSTITUTE(LOWER(INDEX('Invullen groen'!$O:$O,$L91)),"2024",""),"2025",""),"2026",""),"2027",""),"2028",""),"2029",""),"taakveld ",""),"installaties","inst"),"ruwbouw","ruwb"),"afbouw","afb"),"bijstelling","bijst"),"investeringen","invest")),""),"")</f>
        <v/>
      </c>
      <c r="K91" s="251" t="n"/>
      <c r="L91">
        <f>IFERROR(MATCH(ROW()-4,'Invullen groen'!$P$17:$P$109,0)+16,0)</f>
        <v/>
      </c>
    </row>
    <row r="92" hidden="1" ht="15" customHeight="1" s="418">
      <c r="A92" s="249">
        <f>IFERROR(IF($L92&gt;0,INDEX('Invullen groen'!$E:$E,$L92),""),"")</f>
        <v/>
      </c>
      <c r="B92" s="249">
        <f>IFERROR(IF($L92&gt;0,IF(INDEX('Invullen groen'!$F:$F,$L92)&gt;0,INDEX('Invullen groen'!$F:$F,$L92),""),""),"")</f>
        <v/>
      </c>
      <c r="C92" s="249">
        <f>IFERROR(IF($L92&gt;0,IF(INDEX('Invullen groen'!$N:$N,$L92)&gt;0,INDEX('Invullen groen'!$N:$N,$L92),""),""),"")</f>
        <v/>
      </c>
      <c r="D92" s="233" t="n"/>
      <c r="E92" s="249">
        <f>IFERROR(IF(LEN(J92)&lt;=36,J92,IFERROR(LEFT(J92,FIND(CHAR(1),SUBSTITUTE(LEFT(J92,36)," ",CHAR(1),LEN(LEFT(J92,36))-LEN(SUBSTITUTE(LEFT(J92,36)," ",""))))-1),LEFT(J92,36))),"")</f>
        <v/>
      </c>
      <c r="F92" s="250">
        <f>IFERROR(IF($L92&gt;0,IF(INDEX('Invullen groen'!$H:$H,$L92)=0,"",INT(INDEX('Invullen groen'!$H:$H,$L92))),""),"")</f>
        <v/>
      </c>
      <c r="G92" s="250">
        <f>IFERROR(IF($L92&gt;0,IF(INDEX('Invullen groen'!$I:$I,$L92)=0,"",INT(INDEX('Invullen groen'!$I:$I,$L92))),""),"")</f>
        <v/>
      </c>
      <c r="H92" s="250">
        <f>IFERROR(IF($L92&gt;0,IF(INDEX('Invullen groen'!$J:$J,$L92)=0,"",INT(INDEX('Invullen groen'!$J:$J,$L92))),""),"")</f>
        <v/>
      </c>
      <c r="I92" s="250">
        <f>IFERROR(IF($L92&gt;0,IF(INDEX('Invullen groen'!$K:$K,$L92)=0,"",INT(INDEX('Invullen groen'!$K:$K,$L92))),""),"")</f>
        <v/>
      </c>
      <c r="J92" s="249">
        <f>IF($L92&gt;0,IFERROR($K$1&amp;" "&amp;TRIM(SUBSTITUTE(SUBSTITUTE(SUBSTITUTE(SUBSTITUTE(SUBSTITUTE(SUBSTITUTE(SUBSTITUTE(SUBSTITUTE(SUBSTITUTE(SUBSTITUTE(SUBSTITUTE(SUBSTITUTE(LOWER(INDEX('Invullen groen'!$O:$O,$L92)),"2024",""),"2025",""),"2026",""),"2027",""),"2028",""),"2029",""),"taakveld ",""),"installaties","inst"),"ruwbouw","ruwb"),"afbouw","afb"),"bijstelling","bijst"),"investeringen","invest")),""),"")</f>
        <v/>
      </c>
      <c r="K92" s="233" t="n"/>
      <c r="L92">
        <f>IFERROR(MATCH(ROW()-4,'Invullen groen'!$P$17:$P$109,0)+16,0)</f>
        <v/>
      </c>
    </row>
    <row r="93" hidden="1" ht="15" customHeight="1" s="418">
      <c r="A93" s="247">
        <f>IFERROR(IF($L93&gt;0,INDEX('Invullen groen'!$E:$E,$L93),""),"")</f>
        <v/>
      </c>
      <c r="B93" s="247">
        <f>IFERROR(IF($L93&gt;0,IF(INDEX('Invullen groen'!$F:$F,$L93)&gt;0,INDEX('Invullen groen'!$F:$F,$L93),""),""),"")</f>
        <v/>
      </c>
      <c r="C93" s="247">
        <f>IFERROR(IF($L93&gt;0,IF(INDEX('Invullen groen'!$N:$N,$L93)&gt;0,INDEX('Invullen groen'!$N:$N,$L93),""),""),"")</f>
        <v/>
      </c>
      <c r="D93" s="251" t="n"/>
      <c r="E93" s="247">
        <f>IFERROR(IF(LEN(J93)&lt;=36,J93,IFERROR(LEFT(J93,FIND(CHAR(1),SUBSTITUTE(LEFT(J93,36)," ",CHAR(1),LEN(LEFT(J93,36))-LEN(SUBSTITUTE(LEFT(J93,36)," ",""))))-1),LEFT(J93,36))),"")</f>
        <v/>
      </c>
      <c r="F93" s="248">
        <f>IFERROR(IF($L93&gt;0,IF(INDEX('Invullen groen'!$H:$H,$L93)=0,"",INT(INDEX('Invullen groen'!$H:$H,$L93))),""),"")</f>
        <v/>
      </c>
      <c r="G93" s="248">
        <f>IFERROR(IF($L93&gt;0,IF(INDEX('Invullen groen'!$I:$I,$L93)=0,"",INT(INDEX('Invullen groen'!$I:$I,$L93))),""),"")</f>
        <v/>
      </c>
      <c r="H93" s="248">
        <f>IFERROR(IF($L93&gt;0,IF(INDEX('Invullen groen'!$J:$J,$L93)=0,"",INT(INDEX('Invullen groen'!$J:$J,$L93))),""),"")</f>
        <v/>
      </c>
      <c r="I93" s="248">
        <f>IFERROR(IF($L93&gt;0,IF(INDEX('Invullen groen'!$K:$K,$L93)=0,"",INT(INDEX('Invullen groen'!$K:$K,$L93))),""),"")</f>
        <v/>
      </c>
      <c r="J93" s="247">
        <f>IF($L93&gt;0,IFERROR($K$1&amp;" "&amp;TRIM(SUBSTITUTE(SUBSTITUTE(SUBSTITUTE(SUBSTITUTE(SUBSTITUTE(SUBSTITUTE(SUBSTITUTE(SUBSTITUTE(SUBSTITUTE(SUBSTITUTE(SUBSTITUTE(SUBSTITUTE(LOWER(INDEX('Invullen groen'!$O:$O,$L93)),"2024",""),"2025",""),"2026",""),"2027",""),"2028",""),"2029",""),"taakveld ",""),"installaties","inst"),"ruwbouw","ruwb"),"afbouw","afb"),"bijstelling","bijst"),"investeringen","invest")),""),"")</f>
        <v/>
      </c>
      <c r="K93" s="251" t="n"/>
      <c r="L93">
        <f>IFERROR(MATCH(ROW()-4,'Invullen groen'!$P$17:$P$109,0)+16,0)</f>
        <v/>
      </c>
    </row>
    <row r="94" hidden="1" ht="15" customHeight="1" s="418">
      <c r="A94" s="249">
        <f>IFERROR(IF($L94&gt;0,INDEX('Invullen groen'!$E:$E,$L94),""),"")</f>
        <v/>
      </c>
      <c r="B94" s="249">
        <f>IFERROR(IF($L94&gt;0,IF(INDEX('Invullen groen'!$F:$F,$L94)&gt;0,INDEX('Invullen groen'!$F:$F,$L94),""),""),"")</f>
        <v/>
      </c>
      <c r="C94" s="249">
        <f>IFERROR(IF($L94&gt;0,IF(INDEX('Invullen groen'!$N:$N,$L94)&gt;0,INDEX('Invullen groen'!$N:$N,$L94),""),""),"")</f>
        <v/>
      </c>
      <c r="D94" s="233" t="n"/>
      <c r="E94" s="249">
        <f>IFERROR(IF(LEN(J94)&lt;=36,J94,IFERROR(LEFT(J94,FIND(CHAR(1),SUBSTITUTE(LEFT(J94,36)," ",CHAR(1),LEN(LEFT(J94,36))-LEN(SUBSTITUTE(LEFT(J94,36)," ",""))))-1),LEFT(J94,36))),"")</f>
        <v/>
      </c>
      <c r="F94" s="250">
        <f>IFERROR(IF($L94&gt;0,IF(INDEX('Invullen groen'!$H:$H,$L94)=0,"",INT(INDEX('Invullen groen'!$H:$H,$L94))),""),"")</f>
        <v/>
      </c>
      <c r="G94" s="250">
        <f>IFERROR(IF($L94&gt;0,IF(INDEX('Invullen groen'!$I:$I,$L94)=0,"",INT(INDEX('Invullen groen'!$I:$I,$L94))),""),"")</f>
        <v/>
      </c>
      <c r="H94" s="250">
        <f>IFERROR(IF($L94&gt;0,IF(INDEX('Invullen groen'!$J:$J,$L94)=0,"",INT(INDEX('Invullen groen'!$J:$J,$L94))),""),"")</f>
        <v/>
      </c>
      <c r="I94" s="250">
        <f>IFERROR(IF($L94&gt;0,IF(INDEX('Invullen groen'!$K:$K,$L94)=0,"",INT(INDEX('Invullen groen'!$K:$K,$L94))),""),"")</f>
        <v/>
      </c>
      <c r="J94" s="249">
        <f>IF($L94&gt;0,IFERROR($K$1&amp;" "&amp;TRIM(SUBSTITUTE(SUBSTITUTE(SUBSTITUTE(SUBSTITUTE(SUBSTITUTE(SUBSTITUTE(SUBSTITUTE(SUBSTITUTE(SUBSTITUTE(SUBSTITUTE(SUBSTITUTE(SUBSTITUTE(LOWER(INDEX('Invullen groen'!$O:$O,$L94)),"2024",""),"2025",""),"2026",""),"2027",""),"2028",""),"2029",""),"taakveld ",""),"installaties","inst"),"ruwbouw","ruwb"),"afbouw","afb"),"bijstelling","bijst"),"investeringen","invest")),""),"")</f>
        <v/>
      </c>
      <c r="K94" s="233" t="n"/>
      <c r="L94">
        <f>IFERROR(MATCH(ROW()-4,'Invullen groen'!$P$17:$P$109,0)+16,0)</f>
        <v/>
      </c>
    </row>
    <row r="95" hidden="1" ht="15" customHeight="1" s="418">
      <c r="A95" s="251">
        <f>IFERROR(IF($L95&gt;0,INDEX('Invullen groen'!$E:$E,$L95),""),"")</f>
        <v/>
      </c>
      <c r="B95" s="251">
        <f>IFERROR(IF($L95&gt;0,IF(INDEX('Invullen groen'!$F:$F,$L95)&gt;0,INDEX('Invullen groen'!$F:$F,$L95),""),""),"")</f>
        <v/>
      </c>
      <c r="C95" s="251">
        <f>IFERROR(IF($L95&gt;0,IF(INDEX('Invullen groen'!$N:$N,$L95)&gt;0,INDEX('Invullen groen'!$N:$N,$L95),""),""),"")</f>
        <v/>
      </c>
      <c r="D95" s="251" t="n"/>
      <c r="E95" s="251">
        <f>IFERROR(IF(LEN(J95)&lt;=36,J95,IFERROR(LEFT(J95,FIND(CHAR(1),SUBSTITUTE(LEFT(J95,36)," ",CHAR(1),LEN(LEFT(J95,36))-LEN(SUBSTITUTE(LEFT(J95,36)," ",""))))-1),LEFT(J95,36))),"")</f>
        <v/>
      </c>
      <c r="F95" s="252">
        <f>IFERROR(IF($L95&gt;0,IF(INDEX('Invullen groen'!$H:$H,$L95)=0,"",INT(INDEX('Invullen groen'!$H:$H,$L95))),""),"")</f>
        <v/>
      </c>
      <c r="G95" s="252">
        <f>IFERROR(IF($L95&gt;0,IF(INDEX('Invullen groen'!$I:$I,$L95)=0,"",INT(INDEX('Invullen groen'!$I:$I,$L95))),""),"")</f>
        <v/>
      </c>
      <c r="H95" s="252">
        <f>IFERROR(IF($L95&gt;0,IF(INDEX('Invullen groen'!$J:$J,$L95)=0,"",INT(INDEX('Invullen groen'!$J:$J,$L95))),""),"")</f>
        <v/>
      </c>
      <c r="I95" s="252">
        <f>IFERROR(IF($L95&gt;0,IF(INDEX('Invullen groen'!$K:$K,$L95)=0,"",INT(INDEX('Invullen groen'!$K:$K,$L95))),""),"")</f>
        <v/>
      </c>
      <c r="J95" s="251">
        <f>IF($L95&gt;0,IFERROR($K$1&amp;" "&amp;TRIM(SUBSTITUTE(SUBSTITUTE(SUBSTITUTE(SUBSTITUTE(SUBSTITUTE(SUBSTITUTE(SUBSTITUTE(SUBSTITUTE(SUBSTITUTE(SUBSTITUTE(SUBSTITUTE(SUBSTITUTE(LOWER(INDEX('Invullen groen'!$O:$O,$L95)),"2024",""),"2025",""),"2026",""),"2027",""),"2028",""),"2029",""),"taakveld ",""),"installaties","inst"),"ruwbouw","ruwb"),"afbouw","afb"),"bijstelling","bijst"),"investeringen","invest")),""),"")</f>
        <v/>
      </c>
      <c r="K95" s="251" t="n"/>
      <c r="L95">
        <f>IFERROR(MATCH(ROW()-4,'Invullen groen'!$P$17:$P$109,0)+16,0)</f>
        <v/>
      </c>
    </row>
    <row r="96" hidden="1" s="418">
      <c r="A96" s="124">
        <f>IFERROR(IF($L96&gt;0,INDEX('Invullen groen'!$E:$E,$L96),""),"")</f>
        <v/>
      </c>
      <c r="B96">
        <f>IFERROR(IF($L96&gt;0,IF(INDEX('Invullen groen'!$F:$F,$L96)&gt;0,INDEX('Invullen groen'!$F:$F,$L96),""),""),"")</f>
        <v/>
      </c>
      <c r="C96">
        <f>IFERROR(IF($L96&gt;0,IF(INDEX('Invullen groen'!$N:$N,$L96)&gt;0,INDEX('Invullen groen'!$N:$N,$L96),""),""),"")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123">
        <f>IFERROR(IF($L96&gt;0,IF(INDEX('Invullen groen'!$H:$H,$L96)=0,"",INT(INDEX('Invullen groen'!$H:$H,$L96))),""),"")</f>
        <v/>
      </c>
      <c r="G96" s="123">
        <f>IFERROR(IF($L96&gt;0,IF(INDEX('Invullen groen'!$I:$I,$L96)=0,"",INT(INDEX('Invullen groen'!$I:$I,$L96))),""),"")</f>
        <v/>
      </c>
      <c r="H96" s="123">
        <f>IFERROR(IF($L96&gt;0,IF(INDEX('Invullen groen'!$J:$J,$L96)=0,"",INT(INDEX('Invullen groen'!$J:$J,$L96))),""),"")</f>
        <v/>
      </c>
      <c r="I96" s="123">
        <f>IFERROR(IF($L96&gt;0,IF(INDEX('Invullen groen'!$K:$K,$L96)=0,"",INT(INDEX('Invullen groen'!$K:$K,$L96))),""),"")</f>
        <v/>
      </c>
      <c r="J96">
        <f>IF($L96&gt;0,IFERROR($K$1&amp;" "&amp;TRIM(SUBSTITUTE(SUBSTITUTE(SUBSTITUTE(SUBSTITUTE(SUBSTITUTE(SUBSTITUTE(SUBSTITUTE(SUBSTITUTE(SUBSTITUTE(SUBSTITUTE(SUBSTITUTE(SUBSTITUTE(LOWER(INDEX('Invullen groen'!$O:$O,$L96)),"2024",""),"2025",""),"2026",""),"2027",""),"2028",""),"2029",""),"taakveld ",""),"installaties","inst"),"ruwbouw","ruwb"),"afbouw","afb"),"bijstelling","bijst"),"investeringen","invest")),""),"")</f>
        <v/>
      </c>
      <c r="L96">
        <f>IFERROR(MATCH(ROW()-4,'Invullen groen'!$P$17:$P$109,0)+16,0)</f>
        <v/>
      </c>
    </row>
    <row r="97" hidden="1" s="418">
      <c r="A97" s="124">
        <f>IFERROR(IF($L97&gt;0,INDEX('Invullen groen'!$E:$E,$L97),""),"")</f>
        <v/>
      </c>
      <c r="B97">
        <f>IFERROR(IF($L97&gt;0,IF(INDEX('Invullen groen'!$F:$F,$L97)&gt;0,INDEX('Invullen groen'!$F:$F,$L97),""),""),"")</f>
        <v/>
      </c>
      <c r="C97">
        <f>IFERROR(IF($L97&gt;0,IF(INDEX('Invullen groen'!$N:$N,$L97)&gt;0,INDEX('Invullen groen'!$N:$N,$L97),""),""),"")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123">
        <f>IFERROR(IF($L97&gt;0,IF(INDEX('Invullen groen'!$H:$H,$L97)=0,"",INT(INDEX('Invullen groen'!$H:$H,$L97))),""),"")</f>
        <v/>
      </c>
      <c r="G97" s="123">
        <f>IFERROR(IF($L97&gt;0,IF(INDEX('Invullen groen'!$I:$I,$L97)=0,"",INT(INDEX('Invullen groen'!$I:$I,$L97))),""),"")</f>
        <v/>
      </c>
      <c r="H97" s="123">
        <f>IFERROR(IF($L97&gt;0,IF(INDEX('Invullen groen'!$J:$J,$L97)=0,"",INT(INDEX('Invullen groen'!$J:$J,$L97))),""),"")</f>
        <v/>
      </c>
      <c r="I97" s="123">
        <f>IFERROR(IF($L97&gt;0,IF(INDEX('Invullen groen'!$K:$K,$L97)=0,"",INT(INDEX('Invullen groen'!$K:$K,$L97))),""),"")</f>
        <v/>
      </c>
      <c r="J97">
        <f>IF($L97&gt;0,IFERROR($K$1&amp;" "&amp;TRIM(SUBSTITUTE(SUBSTITUTE(SUBSTITUTE(SUBSTITUTE(SUBSTITUTE(SUBSTITUTE(SUBSTITUTE(SUBSTITUTE(SUBSTITUTE(SUBSTITUTE(SUBSTITUTE(SUBSTITUTE(LOWER(INDEX('Invullen groen'!$O:$O,$L97)),"2024",""),"2025",""),"2026",""),"2027",""),"2028",""),"2029",""),"taakveld ",""),"installaties","inst"),"ruwbouw","ruwb"),"afbouw","afb"),"bijstelling","bijst"),"investeringen","invest")),""),"")</f>
        <v/>
      </c>
      <c r="L97">
        <f>IFERROR(MATCH(ROW()-4,'Invullen groen'!$P$17:$P$109,0)+16,0)</f>
        <v/>
      </c>
    </row>
    <row r="98" hidden="1" s="418">
      <c r="A98" s="124">
        <f>IFERROR(IF($L98&gt;0,INDEX('Invullen groen'!$E:$E,$L98),""),"")</f>
        <v/>
      </c>
      <c r="B98">
        <f>IFERROR(IF($L98&gt;0,IF(INDEX('Invullen groen'!$F:$F,$L98)&gt;0,INDEX('Invullen groen'!$F:$F,$L98),""),""),"")</f>
        <v/>
      </c>
      <c r="C98">
        <f>IFERROR(IF($L98&gt;0,IF(INDEX('Invullen groen'!$N:$N,$L98)&gt;0,INDEX('Invullen groen'!$N:$N,$L98),""),""),"")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123">
        <f>IFERROR(IF($L98&gt;0,IF(INDEX('Invullen groen'!$H:$H,$L98)=0,"",INT(INDEX('Invullen groen'!$H:$H,$L98))),""),"")</f>
        <v/>
      </c>
      <c r="G98" s="123">
        <f>IFERROR(IF($L98&gt;0,IF(INDEX('Invullen groen'!$I:$I,$L98)=0,"",INT(INDEX('Invullen groen'!$I:$I,$L98))),""),"")</f>
        <v/>
      </c>
      <c r="H98" s="123">
        <f>IFERROR(IF($L98&gt;0,IF(INDEX('Invullen groen'!$J:$J,$L98)=0,"",INT(INDEX('Invullen groen'!$J:$J,$L98))),""),"")</f>
        <v/>
      </c>
      <c r="I98" s="123">
        <f>IFERROR(IF($L98&gt;0,IF(INDEX('Invullen groen'!$K:$K,$L98)=0,"",INT(INDEX('Invullen groen'!$K:$K,$L98))),""),"")</f>
        <v/>
      </c>
      <c r="J98">
        <f>IF($L98&gt;0,IFERROR($K$1&amp;" "&amp;TRIM(SUBSTITUTE(SUBSTITUTE(SUBSTITUTE(SUBSTITUTE(SUBSTITUTE(SUBSTITUTE(SUBSTITUTE(SUBSTITUTE(SUBSTITUTE(SUBSTITUTE(SUBSTITUTE(SUBSTITUTE(LOWER(INDEX('Invullen groen'!$O:$O,$L98)),"2024",""),"2025",""),"2026",""),"2027",""),"2028",""),"2029",""),"taakveld ",""),"installaties","inst"),"ruwbouw","ruwb"),"afbouw","afb"),"bijstelling","bijst"),"investeringen","invest")),""),"")</f>
        <v/>
      </c>
      <c r="L98">
        <f>IFERROR(MATCH(ROW()-4,'Invullen groen'!$P$17:$P$109,0)+16,0)</f>
        <v/>
      </c>
    </row>
    <row r="99" hidden="1" s="418">
      <c r="A99" s="124">
        <f>IFERROR(IF($L99&gt;0,INDEX('Invullen groen'!$E:$E,$L99),""),"")</f>
        <v/>
      </c>
      <c r="B99">
        <f>IFERROR(IF($L99&gt;0,IF(INDEX('Invullen groen'!$F:$F,$L99)&gt;0,INDEX('Invullen groen'!$F:$F,$L99),""),""),"")</f>
        <v/>
      </c>
      <c r="C99">
        <f>IFERROR(IF($L99&gt;0,IF(INDEX('Invullen groen'!$N:$N,$L99)&gt;0,INDEX('Invullen groen'!$N:$N,$L99),""),""),"")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123">
        <f>IFERROR(IF($L99&gt;0,IF(INDEX('Invullen groen'!$H:$H,$L99)=0,"",INT(INDEX('Invullen groen'!$H:$H,$L99))),""),"")</f>
        <v/>
      </c>
      <c r="G99" s="123">
        <f>IFERROR(IF($L99&gt;0,IF(INDEX('Invullen groen'!$I:$I,$L99)=0,"",INT(INDEX('Invullen groen'!$I:$I,$L99))),""),"")</f>
        <v/>
      </c>
      <c r="H99" s="123">
        <f>IFERROR(IF($L99&gt;0,IF(INDEX('Invullen groen'!$J:$J,$L99)=0,"",INT(INDEX('Invullen groen'!$J:$J,$L99))),""),"")</f>
        <v/>
      </c>
      <c r="I99" s="123">
        <f>IFERROR(IF($L99&gt;0,IF(INDEX('Invullen groen'!$K:$K,$L99)=0,"",INT(INDEX('Invullen groen'!$K:$K,$L99))),""),"")</f>
        <v/>
      </c>
      <c r="J99">
        <f>IF($L99&gt;0,IFERROR($K$1&amp;" "&amp;TRIM(SUBSTITUTE(SUBSTITUTE(SUBSTITUTE(SUBSTITUTE(SUBSTITUTE(SUBSTITUTE(SUBSTITUTE(SUBSTITUTE(SUBSTITUTE(SUBSTITUTE(SUBSTITUTE(SUBSTITUTE(LOWER(INDEX('Invullen groen'!$O:$O,$L99)),"2024",""),"2025",""),"2026",""),"2027",""),"2028",""),"2029",""),"taakveld ",""),"installaties","inst"),"ruwbouw","ruwb"),"afbouw","afb"),"bijstelling","bijst"),"investeringen","invest")),""),"")</f>
        <v/>
      </c>
      <c r="L99">
        <f>IFERROR(MATCH(ROW()-4,'Invullen groen'!$P$17:$P$109,0)+16,0)</f>
        <v/>
      </c>
    </row>
    <row r="100" hidden="1" s="418">
      <c r="A100" s="124">
        <f>IFERROR(IF($L100&gt;0,INDEX('Invullen groen'!$E:$E,$L100),""),"")</f>
        <v/>
      </c>
      <c r="B100">
        <f>IFERROR(IF($L100&gt;0,IF(INDEX('Invullen groen'!$F:$F,$L100)&gt;0,INDEX('Invullen groen'!$F:$F,$L100),""),""),"")</f>
        <v/>
      </c>
      <c r="C100">
        <f>IFERROR(IF($L100&gt;0,IF(INDEX('Invullen groen'!$N:$N,$L100)&gt;0,INDEX('Invullen groen'!$N:$N,$L100),""),""),"")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123">
        <f>IFERROR(IF($L100&gt;0,IF(INDEX('Invullen groen'!$H:$H,$L100)=0,"",INT(INDEX('Invullen groen'!$H:$H,$L100))),""),"")</f>
        <v/>
      </c>
      <c r="G100" s="123">
        <f>IFERROR(IF($L100&gt;0,IF(INDEX('Invullen groen'!$I:$I,$L100)=0,"",INT(INDEX('Invullen groen'!$I:$I,$L100))),""),"")</f>
        <v/>
      </c>
      <c r="H100" s="123">
        <f>IFERROR(IF($L100&gt;0,IF(INDEX('Invullen groen'!$J:$J,$L100)=0,"",INT(INDEX('Invullen groen'!$J:$J,$L100))),""),"")</f>
        <v/>
      </c>
      <c r="I100" s="123">
        <f>IFERROR(IF($L100&gt;0,IF(INDEX('Invullen groen'!$K:$K,$L100)=0,"",INT(INDEX('Invullen groen'!$K:$K,$L100))),""),"")</f>
        <v/>
      </c>
      <c r="J100">
        <f>IF($L100&gt;0,IFERROR($K$1&amp;" "&amp;TRIM(SUBSTITUTE(SUBSTITUTE(SUBSTITUTE(SUBSTITUTE(SUBSTITUTE(SUBSTITUTE(SUBSTITUTE(SUBSTITUTE(SUBSTITUTE(SUBSTITUTE(SUBSTITUTE(SUBSTITUTE(LOWER(INDEX('Invullen groen'!$O:$O,$L100)),"2024",""),"2025",""),"2026",""),"2027",""),"2028",""),"2029",""),"taakveld ",""),"installaties","inst"),"ruwbouw","ruwb"),"afbouw","afb"),"bijstelling","bijst"),"investeringen","invest")),""),"")</f>
        <v/>
      </c>
      <c r="L100">
        <f>IFERROR(MATCH(ROW()-4,'Invullen groen'!$P$17:$P$109,0)+16,0)</f>
        <v/>
      </c>
    </row>
    <row r="101" hidden="1" s="418">
      <c r="A101" s="124">
        <f>IFERROR(IF($L101&gt;0,INDEX('Invullen groen'!$E:$E,$L101),""),"")</f>
        <v/>
      </c>
      <c r="B101">
        <f>IFERROR(IF($L101&gt;0,IF(INDEX('Invullen groen'!$F:$F,$L101)&gt;0,INDEX('Invullen groen'!$F:$F,$L101),""),""),"")</f>
        <v/>
      </c>
      <c r="C101">
        <f>IFERROR(IF($L101&gt;0,IF(INDEX('Invullen groen'!$N:$N,$L101)&gt;0,INDEX('Invullen groen'!$N:$N,$L101),""),""),"")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123">
        <f>IFERROR(IF($L101&gt;0,IF(INDEX('Invullen groen'!$H:$H,$L101)=0,"",INT(INDEX('Invullen groen'!$H:$H,$L101))),""),"")</f>
        <v/>
      </c>
      <c r="G101" s="123">
        <f>IFERROR(IF($L101&gt;0,IF(INDEX('Invullen groen'!$I:$I,$L101)=0,"",INT(INDEX('Invullen groen'!$I:$I,$L101))),""),"")</f>
        <v/>
      </c>
      <c r="H101" s="123">
        <f>IFERROR(IF($L101&gt;0,IF(INDEX('Invullen groen'!$J:$J,$L101)=0,"",INT(INDEX('Invullen groen'!$J:$J,$L101))),""),"")</f>
        <v/>
      </c>
      <c r="I101" s="123">
        <f>IFERROR(IF($L101&gt;0,IF(INDEX('Invullen groen'!$K:$K,$L101)=0,"",INT(INDEX('Invullen groen'!$K:$K,$L101))),""),"")</f>
        <v/>
      </c>
      <c r="J101">
        <f>IF($L101&gt;0,IFERROR($K$1&amp;" "&amp;TRIM(SUBSTITUTE(SUBSTITUTE(SUBSTITUTE(SUBSTITUTE(SUBSTITUTE(SUBSTITUTE(SUBSTITUTE(SUBSTITUTE(SUBSTITUTE(SUBSTITUTE(SUBSTITUTE(SUBSTITUTE(LOWER(INDEX('Invullen groen'!$O:$O,$L101)),"2024",""),"2025",""),"2026",""),"2027",""),"2028",""),"2029",""),"taakveld ",""),"installaties","inst"),"ruwbouw","ruwb"),"afbouw","afb"),"bijstelling","bijst"),"investeringen","invest")),""),"")</f>
        <v/>
      </c>
      <c r="L101">
        <f>IFERROR(MATCH(ROW()-4,'Invullen groen'!$P$17:$P$109,0)+16,0)</f>
        <v/>
      </c>
    </row>
    <row r="102" hidden="1" s="418">
      <c r="A102" s="124">
        <f>IFERROR(IF($L102&gt;0,INDEX('Invullen groen'!$E:$E,$L102),""),"")</f>
        <v/>
      </c>
      <c r="B102">
        <f>IFERROR(IF($L102&gt;0,IF(INDEX('Invullen groen'!$F:$F,$L102)&gt;0,INDEX('Invullen groen'!$F:$F,$L102),""),""),"")</f>
        <v/>
      </c>
      <c r="C102">
        <f>IFERROR(IF($L102&gt;0,IF(INDEX('Invullen groen'!$N:$N,$L102)&gt;0,INDEX('Invullen groen'!$N:$N,$L102),""),""),"")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123">
        <f>IFERROR(IF($L102&gt;0,IF(INDEX('Invullen groen'!$H:$H,$L102)=0,"",INT(INDEX('Invullen groen'!$H:$H,$L102))),""),"")</f>
        <v/>
      </c>
      <c r="G102" s="123">
        <f>IFERROR(IF($L102&gt;0,IF(INDEX('Invullen groen'!$I:$I,$L102)=0,"",INT(INDEX('Invullen groen'!$I:$I,$L102))),""),"")</f>
        <v/>
      </c>
      <c r="H102" s="123">
        <f>IFERROR(IF($L102&gt;0,IF(INDEX('Invullen groen'!$J:$J,$L102)=0,"",INT(INDEX('Invullen groen'!$J:$J,$L102))),""),"")</f>
        <v/>
      </c>
      <c r="I102" s="123">
        <f>IFERROR(IF($L102&gt;0,IF(INDEX('Invullen groen'!$K:$K,$L102)=0,"",INT(INDEX('Invullen groen'!$K:$K,$L102))),""),"")</f>
        <v/>
      </c>
      <c r="J102">
        <f>IF($L102&gt;0,IFERROR($K$1&amp;" "&amp;TRIM(SUBSTITUTE(SUBSTITUTE(SUBSTITUTE(SUBSTITUTE(SUBSTITUTE(SUBSTITUTE(SUBSTITUTE(SUBSTITUTE(SUBSTITUTE(SUBSTITUTE(SUBSTITUTE(SUBSTITUTE(LOWER(INDEX('Invullen groen'!$O:$O,$L102)),"2024",""),"2025",""),"2026",""),"2027",""),"2028",""),"2029",""),"taakveld ",""),"installaties","inst"),"ruwbouw","ruwb"),"afbouw","afb"),"bijstelling","bijst"),"investeringen","invest")),""),"")</f>
        <v/>
      </c>
      <c r="L102">
        <f>IFERROR(MATCH(ROW()-4,'Invullen groen'!$P$17:$P$109,0)+16,0)</f>
        <v/>
      </c>
    </row>
    <row r="103" hidden="1" s="418">
      <c r="A103" s="124">
        <f>IFERROR(IF($L103&gt;0,INDEX('Invullen groen'!$E:$E,$L103),""),"")</f>
        <v/>
      </c>
      <c r="B103">
        <f>IFERROR(IF($L103&gt;0,IF(INDEX('Invullen groen'!$F:$F,$L103)&gt;0,INDEX('Invullen groen'!$F:$F,$L103),""),""),"")</f>
        <v/>
      </c>
      <c r="C103">
        <f>IFERROR(IF($L103&gt;0,IF(INDEX('Invullen groen'!$N:$N,$L103)&gt;0,INDEX('Invullen groen'!$N:$N,$L103),""),""),"")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123">
        <f>IFERROR(IF($L103&gt;0,IF(INDEX('Invullen groen'!$H:$H,$L103)=0,"",INT(INDEX('Invullen groen'!$H:$H,$L103))),""),"")</f>
        <v/>
      </c>
      <c r="G103" s="123">
        <f>IFERROR(IF($L103&gt;0,IF(INDEX('Invullen groen'!$I:$I,$L103)=0,"",INT(INDEX('Invullen groen'!$I:$I,$L103))),""),"")</f>
        <v/>
      </c>
      <c r="H103" s="123">
        <f>IFERROR(IF($L103&gt;0,IF(INDEX('Invullen groen'!$J:$J,$L103)=0,"",INT(INDEX('Invullen groen'!$J:$J,$L103))),""),"")</f>
        <v/>
      </c>
      <c r="I103" s="123">
        <f>IFERROR(IF($L103&gt;0,IF(INDEX('Invullen groen'!$K:$K,$L103)=0,"",INT(INDEX('Invullen groen'!$K:$K,$L103))),""),"")</f>
        <v/>
      </c>
      <c r="J103">
        <f>IF($L103&gt;0,IFERROR($K$1&amp;" "&amp;TRIM(SUBSTITUTE(SUBSTITUTE(SUBSTITUTE(SUBSTITUTE(SUBSTITUTE(SUBSTITUTE(SUBSTITUTE(SUBSTITUTE(SUBSTITUTE(SUBSTITUTE(SUBSTITUTE(SUBSTITUTE(LOWER(INDEX('Invullen groen'!$O:$O,$L103)),"2024",""),"2025",""),"2026",""),"2027",""),"2028",""),"2029",""),"taakveld ",""),"installaties","inst"),"ruwbouw","ruwb"),"afbouw","afb"),"bijstelling","bijst"),"investeringen","invest")),""),"")</f>
        <v/>
      </c>
      <c r="L103">
        <f>IFERROR(MATCH(ROW()-4,'Invullen groen'!$P$17:$P$109,0)+16,0)</f>
        <v/>
      </c>
    </row>
    <row r="104" hidden="1" s="418">
      <c r="A104" s="124">
        <f>IFERROR(IF($L104&gt;0,INDEX('Invullen groen'!$E:$E,$L104),""),"")</f>
        <v/>
      </c>
      <c r="B104">
        <f>IFERROR(IF($L104&gt;0,IF(INDEX('Invullen groen'!$F:$F,$L104)&gt;0,INDEX('Invullen groen'!$F:$F,$L104),""),""),"")</f>
        <v/>
      </c>
      <c r="C104">
        <f>IFERROR(IF($L104&gt;0,IF(INDEX('Invullen groen'!$N:$N,$L104)&gt;0,INDEX('Invullen groen'!$N:$N,$L104),""),""),"")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123">
        <f>IFERROR(IF($L104&gt;0,IF(INDEX('Invullen groen'!$H:$H,$L104)=0,"",INT(INDEX('Invullen groen'!$H:$H,$L104))),""),"")</f>
        <v/>
      </c>
      <c r="G104" s="123">
        <f>IFERROR(IF($L104&gt;0,IF(INDEX('Invullen groen'!$I:$I,$L104)=0,"",INT(INDEX('Invullen groen'!$I:$I,$L104))),""),"")</f>
        <v/>
      </c>
      <c r="H104" s="123">
        <f>IFERROR(IF($L104&gt;0,IF(INDEX('Invullen groen'!$J:$J,$L104)=0,"",INT(INDEX('Invullen groen'!$J:$J,$L104))),""),"")</f>
        <v/>
      </c>
      <c r="I104" s="123">
        <f>IFERROR(IF($L104&gt;0,IF(INDEX('Invullen groen'!$K:$K,$L104)=0,"",INT(INDEX('Invullen groen'!$K:$K,$L104))),""),"")</f>
        <v/>
      </c>
      <c r="J104">
        <f>IF($L104&gt;0,IFERROR($K$1&amp;" "&amp;TRIM(SUBSTITUTE(SUBSTITUTE(SUBSTITUTE(SUBSTITUTE(SUBSTITUTE(SUBSTITUTE(SUBSTITUTE(SUBSTITUTE(SUBSTITUTE(SUBSTITUTE(SUBSTITUTE(SUBSTITUTE(LOWER(INDEX('Invullen groen'!$O:$O,$L104)),"2024",""),"2025",""),"2026",""),"2027",""),"2028",""),"2029",""),"taakveld ",""),"installaties","inst"),"ruwbouw","ruwb"),"afbouw","afb"),"bijstelling","bijst"),"investeringen","invest")),""),"")</f>
        <v/>
      </c>
      <c r="L104">
        <f>IFERROR(MATCH(ROW()-4,'Invullen groen'!$P$17:$P$109,0)+16,0)</f>
        <v/>
      </c>
    </row>
    <row r="105" hidden="1" s="418">
      <c r="A105" s="124">
        <f>IF($L105&gt;0,"+","")</f>
        <v/>
      </c>
      <c r="B105">
        <f>IFERROR(IF($L105&gt;0,IF(INDEX('Invullen groen'!$F:$F,$L105)&gt;0,INDEX('Invullen groen'!$F:$F,$L105),""),""),"")</f>
        <v/>
      </c>
      <c r="C105">
        <f>IFERROR(IF($L105&gt;0,IF(INDEX('Invullen groen'!$N:$N,$L105)&gt;0,INDEX('Invullen groen'!$N:$N,$L105),""),""),"")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123">
        <f>IFERROR(IF($L105&gt;0,IF(INDEX('Invullen groen'!$H:$H,$L105)=0,"",INT(INDEX('Invullen groen'!$H:$H,$L105))),""),"")</f>
        <v/>
      </c>
      <c r="G105" s="123">
        <f>IFERROR(IF($L105&gt;0,IF(INDEX('Invullen groen'!$I:$I,$L105)=0,"",INT(INDEX('Invullen groen'!$I:$I,$L105))),""),"")</f>
        <v/>
      </c>
      <c r="H105" s="123">
        <f>IFERROR(IF($L105&gt;0,IF(INDEX('Invullen groen'!$J:$J,$L105)=0,"",INT(INDEX('Invullen groen'!$J:$J,$L105))),""),"")</f>
        <v/>
      </c>
      <c r="I105" s="123">
        <f>IFERROR(IF($L105&gt;0,IF(INDEX('Invullen groen'!$K:$K,$L105)=0,"",INT(INDEX('Invullen groen'!$K:$K,$L105))),""),"")</f>
        <v/>
      </c>
      <c r="J105">
        <f>IF($L105&gt;0,IFERROR($K$1&amp;" "&amp;TRIM(SUBSTITUTE(SUBSTITUTE(SUBSTITUTE(SUBSTITUTE(SUBSTITUTE(SUBSTITUTE(SUBSTITUTE(SUBSTITUTE(SUBSTITUTE(SUBSTITUTE(SUBSTITUTE(SUBSTITUTE(LOWER(INDEX('Invullen groen'!$O:$O,$L105)),"2024",""),"2025",""),"2026",""),"2027",""),"2028",""),"2029",""),"taakveld ",""),"installaties","inst"),"ruwbouw","ruwb"),"afbouw","afb"),"bijstelling","bijst"),"investeringen","invest")),""),"")</f>
        <v/>
      </c>
      <c r="L105">
        <f>IFERROR(MATCH(ROW()-104,'Invullen groen'!$S$121:$S$272,0)+120,0)</f>
        <v/>
      </c>
    </row>
    <row r="106" hidden="1" s="418">
      <c r="A106" s="124">
        <f>IF($L106&gt;0,"+","")</f>
        <v/>
      </c>
      <c r="B106">
        <f>IFERROR(IF($L106&gt;0,IF(INDEX('Invullen groen'!$F:$F,$L106)&gt;0,INDEX('Invullen groen'!$F:$F,$L106),""),""),"")</f>
        <v/>
      </c>
      <c r="C106">
        <f>IFERROR(IF($L106&gt;0,IF(INDEX('Invullen groen'!$N:$N,$L106)&gt;0,INDEX('Invullen groen'!$N:$N,$L106),""),""),"")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123">
        <f>IFERROR(IF($L106&gt;0,IF(INDEX('Invullen groen'!$H:$H,$L106)=0,"",INT(INDEX('Invullen groen'!$H:$H,$L106))),""),"")</f>
        <v/>
      </c>
      <c r="G106" s="123">
        <f>IFERROR(IF($L106&gt;0,IF(INDEX('Invullen groen'!$I:$I,$L106)=0,"",INT(INDEX('Invullen groen'!$I:$I,$L106))),""),"")</f>
        <v/>
      </c>
      <c r="H106" s="123">
        <f>IFERROR(IF($L106&gt;0,IF(INDEX('Invullen groen'!$J:$J,$L106)=0,"",INT(INDEX('Invullen groen'!$J:$J,$L106))),""),"")</f>
        <v/>
      </c>
      <c r="I106" s="123">
        <f>IFERROR(IF($L106&gt;0,IF(INDEX('Invullen groen'!$K:$K,$L106)=0,"",INT(INDEX('Invullen groen'!$K:$K,$L106))),""),"")</f>
        <v/>
      </c>
      <c r="J106">
        <f>IF($L106&gt;0,IFERROR($K$1&amp;" "&amp;TRIM(SUBSTITUTE(SUBSTITUTE(SUBSTITUTE(SUBSTITUTE(SUBSTITUTE(SUBSTITUTE(SUBSTITUTE(SUBSTITUTE(SUBSTITUTE(SUBSTITUTE(SUBSTITUTE(SUBSTITUTE(LOWER(INDEX('Invullen groen'!$O:$O,$L106)),"2024",""),"2025",""),"2026",""),"2027",""),"2028",""),"2029",""),"taakveld ",""),"installaties","inst"),"ruwbouw","ruwb"),"afbouw","afb"),"bijstelling","bijst"),"investeringen","invest")),""),"")</f>
        <v/>
      </c>
      <c r="L106">
        <f>IFERROR(MATCH(ROW()-104,'Invullen groen'!$S$121:$S$272,0)+120,0)</f>
        <v/>
      </c>
    </row>
    <row r="107" hidden="1" s="418">
      <c r="A107" s="124">
        <f>IF($L107&gt;0,"+","")</f>
        <v/>
      </c>
      <c r="B107">
        <f>IFERROR(IF($L107&gt;0,IF(INDEX('Invullen groen'!$F:$F,$L107)&gt;0,INDEX('Invullen groen'!$F:$F,$L107),""),""),"")</f>
        <v/>
      </c>
      <c r="C107">
        <f>IFERROR(IF($L107&gt;0,IF(INDEX('Invullen groen'!$N:$N,$L107)&gt;0,INDEX('Invullen groen'!$N:$N,$L107),""),""),"")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123">
        <f>IFERROR(IF($L107&gt;0,IF(INDEX('Invullen groen'!$H:$H,$L107)=0,"",INT(INDEX('Invullen groen'!$H:$H,$L107))),""),"")</f>
        <v/>
      </c>
      <c r="G107" s="123">
        <f>IFERROR(IF($L107&gt;0,IF(INDEX('Invullen groen'!$I:$I,$L107)=0,"",INT(INDEX('Invullen groen'!$I:$I,$L107))),""),"")</f>
        <v/>
      </c>
      <c r="H107" s="123">
        <f>IFERROR(IF($L107&gt;0,IF(INDEX('Invullen groen'!$J:$J,$L107)=0,"",INT(INDEX('Invullen groen'!$J:$J,$L107))),""),"")</f>
        <v/>
      </c>
      <c r="I107" s="123">
        <f>IFERROR(IF($L107&gt;0,IF(INDEX('Invullen groen'!$K:$K,$L107)=0,"",INT(INDEX('Invullen groen'!$K:$K,$L107))),""),"")</f>
        <v/>
      </c>
      <c r="J107">
        <f>IF($L107&gt;0,IFERROR($K$1&amp;" "&amp;TRIM(SUBSTITUTE(SUBSTITUTE(SUBSTITUTE(SUBSTITUTE(SUBSTITUTE(SUBSTITUTE(SUBSTITUTE(SUBSTITUTE(SUBSTITUTE(SUBSTITUTE(SUBSTITUTE(SUBSTITUTE(LOWER(INDEX('Invullen groen'!$O:$O,$L107)),"2024",""),"2025",""),"2026",""),"2027",""),"2028",""),"2029",""),"taakveld ",""),"installaties","inst"),"ruwbouw","ruwb"),"afbouw","afb"),"bijstelling","bijst"),"investeringen","invest")),""),"")</f>
        <v/>
      </c>
      <c r="L107">
        <f>IFERROR(MATCH(ROW()-104,'Invullen groen'!$S$121:$S$272,0)+120,0)</f>
        <v/>
      </c>
    </row>
    <row r="108" hidden="1" s="418">
      <c r="A108" s="124">
        <f>IF($L108&gt;0,"+","")</f>
        <v/>
      </c>
      <c r="B108">
        <f>IFERROR(IF($L108&gt;0,IF(INDEX('Invullen groen'!$F:$F,$L108)&gt;0,INDEX('Invullen groen'!$F:$F,$L108),""),""),"")</f>
        <v/>
      </c>
      <c r="C108">
        <f>IFERROR(IF($L108&gt;0,IF(INDEX('Invullen groen'!$N:$N,$L108)&gt;0,INDEX('Invullen groen'!$N:$N,$L108),""),""),"")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123">
        <f>IFERROR(IF($L108&gt;0,IF(INDEX('Invullen groen'!$H:$H,$L108)=0,"",INT(INDEX('Invullen groen'!$H:$H,$L108))),""),"")</f>
        <v/>
      </c>
      <c r="G108" s="123">
        <f>IFERROR(IF($L108&gt;0,IF(INDEX('Invullen groen'!$I:$I,$L108)=0,"",INT(INDEX('Invullen groen'!$I:$I,$L108))),""),"")</f>
        <v/>
      </c>
      <c r="H108" s="123">
        <f>IFERROR(IF($L108&gt;0,IF(INDEX('Invullen groen'!$J:$J,$L108)=0,"",INT(INDEX('Invullen groen'!$J:$J,$L108))),""),"")</f>
        <v/>
      </c>
      <c r="I108" s="123">
        <f>IFERROR(IF($L108&gt;0,IF(INDEX('Invullen groen'!$K:$K,$L108)=0,"",INT(INDEX('Invullen groen'!$K:$K,$L108))),""),"")</f>
        <v/>
      </c>
      <c r="J108">
        <f>IF($L108&gt;0,IFERROR($K$1&amp;" "&amp;TRIM(SUBSTITUTE(SUBSTITUTE(SUBSTITUTE(SUBSTITUTE(SUBSTITUTE(SUBSTITUTE(SUBSTITUTE(SUBSTITUTE(SUBSTITUTE(SUBSTITUTE(SUBSTITUTE(SUBSTITUTE(LOWER(INDEX('Invullen groen'!$O:$O,$L108)),"2024",""),"2025",""),"2026",""),"2027",""),"2028",""),"2029",""),"taakveld ",""),"installaties","inst"),"ruwbouw","ruwb"),"afbouw","afb"),"bijstelling","bijst"),"investeringen","invest")),""),"")</f>
        <v/>
      </c>
      <c r="L108">
        <f>IFERROR(MATCH(ROW()-104,'Invullen groen'!$S$121:$S$272,0)+120,0)</f>
        <v/>
      </c>
    </row>
    <row r="109" hidden="1" s="418">
      <c r="A109" s="124">
        <f>IF($L109&gt;0,"+","")</f>
        <v/>
      </c>
      <c r="B109">
        <f>IFERROR(IF($L109&gt;0,IF(INDEX('Invullen groen'!$F:$F,$L109)&gt;0,INDEX('Invullen groen'!$F:$F,$L109),""),""),"")</f>
        <v/>
      </c>
      <c r="C109">
        <f>IFERROR(IF($L109&gt;0,IF(INDEX('Invullen groen'!$N:$N,$L109)&gt;0,INDEX('Invullen groen'!$N:$N,$L109),""),""),"")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123">
        <f>IFERROR(IF($L109&gt;0,IF(INDEX('Invullen groen'!$H:$H,$L109)=0,"",INT(INDEX('Invullen groen'!$H:$H,$L109))),""),"")</f>
        <v/>
      </c>
      <c r="G109" s="123">
        <f>IFERROR(IF($L109&gt;0,IF(INDEX('Invullen groen'!$I:$I,$L109)=0,"",INT(INDEX('Invullen groen'!$I:$I,$L109))),""),"")</f>
        <v/>
      </c>
      <c r="H109" s="123">
        <f>IFERROR(IF($L109&gt;0,IF(INDEX('Invullen groen'!$J:$J,$L109)=0,"",INT(INDEX('Invullen groen'!$J:$J,$L109))),""),"")</f>
        <v/>
      </c>
      <c r="I109" s="123">
        <f>IFERROR(IF($L109&gt;0,IF(INDEX('Invullen groen'!$K:$K,$L109)=0,"",INT(INDEX('Invullen groen'!$K:$K,$L109))),""),"")</f>
        <v/>
      </c>
      <c r="J109">
        <f>IF($L109&gt;0,IFERROR($K$1&amp;" "&amp;TRIM(SUBSTITUTE(SUBSTITUTE(SUBSTITUTE(SUBSTITUTE(SUBSTITUTE(SUBSTITUTE(SUBSTITUTE(SUBSTITUTE(SUBSTITUTE(SUBSTITUTE(SUBSTITUTE(SUBSTITUTE(LOWER(INDEX('Invullen groen'!$O:$O,$L109)),"2024",""),"2025",""),"2026",""),"2027",""),"2028",""),"2029",""),"taakveld ",""),"installaties","inst"),"ruwbouw","ruwb"),"afbouw","afb"),"bijstelling","bijst"),"investeringen","invest")),""),"")</f>
        <v/>
      </c>
      <c r="L109">
        <f>IFERROR(MATCH(ROW()-104,'Invullen groen'!$S$121:$S$272,0)+120,0)</f>
        <v/>
      </c>
    </row>
    <row r="110" hidden="1" s="418">
      <c r="A110" s="124">
        <f>IF($L110&gt;0,"+","")</f>
        <v/>
      </c>
      <c r="B110">
        <f>IFERROR(IF($L110&gt;0,IF(INDEX('Invullen groen'!$F:$F,$L110)&gt;0,INDEX('Invullen groen'!$F:$F,$L110),""),""),"")</f>
        <v/>
      </c>
      <c r="C110">
        <f>IFERROR(IF($L110&gt;0,IF(INDEX('Invullen groen'!$N:$N,$L110)&gt;0,INDEX('Invullen groen'!$N:$N,$L110),""),""),"")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123">
        <f>IFERROR(IF($L110&gt;0,IF(INDEX('Invullen groen'!$H:$H,$L110)=0,"",INT(INDEX('Invullen groen'!$H:$H,$L110))),""),"")</f>
        <v/>
      </c>
      <c r="G110" s="123">
        <f>IFERROR(IF($L110&gt;0,IF(INDEX('Invullen groen'!$I:$I,$L110)=0,"",INT(INDEX('Invullen groen'!$I:$I,$L110))),""),"")</f>
        <v/>
      </c>
      <c r="H110" s="123">
        <f>IFERROR(IF($L110&gt;0,IF(INDEX('Invullen groen'!$J:$J,$L110)=0,"",INT(INDEX('Invullen groen'!$J:$J,$L110))),""),"")</f>
        <v/>
      </c>
      <c r="I110" s="123">
        <f>IFERROR(IF($L110&gt;0,IF(INDEX('Invullen groen'!$K:$K,$L110)=0,"",INT(INDEX('Invullen groen'!$K:$K,$L110))),""),"")</f>
        <v/>
      </c>
      <c r="J110">
        <f>IF($L110&gt;0,IFERROR($K$1&amp;" "&amp;TRIM(SUBSTITUTE(SUBSTITUTE(SUBSTITUTE(SUBSTITUTE(SUBSTITUTE(SUBSTITUTE(SUBSTITUTE(SUBSTITUTE(SUBSTITUTE(SUBSTITUTE(SUBSTITUTE(SUBSTITUTE(LOWER(INDEX('Invullen groen'!$O:$O,$L110)),"2024",""),"2025",""),"2026",""),"2027",""),"2028",""),"2029",""),"taakveld ",""),"installaties","inst"),"ruwbouw","ruwb"),"afbouw","afb"),"bijstelling","bijst"),"investeringen","invest")),""),"")</f>
        <v/>
      </c>
      <c r="L110">
        <f>IFERROR(MATCH(ROW()-104,'Invullen groen'!$S$121:$S$272,0)+120,0)</f>
        <v/>
      </c>
    </row>
    <row r="111" hidden="1" s="418">
      <c r="A111" s="124">
        <f>IF($L111&gt;0,"+","")</f>
        <v/>
      </c>
      <c r="B111">
        <f>IFERROR(IF($L111&gt;0,IF(INDEX('Invullen groen'!$F:$F,$L111)&gt;0,INDEX('Invullen groen'!$F:$F,$L111),""),""),"")</f>
        <v/>
      </c>
      <c r="C111">
        <f>IFERROR(IF($L111&gt;0,IF(INDEX('Invullen groen'!$N:$N,$L111)&gt;0,INDEX('Invullen groen'!$N:$N,$L111),""),""),"")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123">
        <f>IFERROR(IF($L111&gt;0,IF(INDEX('Invullen groen'!$H:$H,$L111)=0,"",INT(INDEX('Invullen groen'!$H:$H,$L111))),""),"")</f>
        <v/>
      </c>
      <c r="G111" s="123">
        <f>IFERROR(IF($L111&gt;0,IF(INDEX('Invullen groen'!$I:$I,$L111)=0,"",INT(INDEX('Invullen groen'!$I:$I,$L111))),""),"")</f>
        <v/>
      </c>
      <c r="H111" s="123">
        <f>IFERROR(IF($L111&gt;0,IF(INDEX('Invullen groen'!$J:$J,$L111)=0,"",INT(INDEX('Invullen groen'!$J:$J,$L111))),""),"")</f>
        <v/>
      </c>
      <c r="I111" s="123">
        <f>IFERROR(IF($L111&gt;0,IF(INDEX('Invullen groen'!$K:$K,$L111)=0,"",INT(INDEX('Invullen groen'!$K:$K,$L111))),""),"")</f>
        <v/>
      </c>
      <c r="J111">
        <f>IF($L111&gt;0,IFERROR($K$1&amp;" "&amp;TRIM(SUBSTITUTE(SUBSTITUTE(SUBSTITUTE(SUBSTITUTE(SUBSTITUTE(SUBSTITUTE(SUBSTITUTE(SUBSTITUTE(SUBSTITUTE(SUBSTITUTE(SUBSTITUTE(SUBSTITUTE(LOWER(INDEX('Invullen groen'!$O:$O,$L111)),"2024",""),"2025",""),"2026",""),"2027",""),"2028",""),"2029",""),"taakveld ",""),"installaties","inst"),"ruwbouw","ruwb"),"afbouw","afb"),"bijstelling","bijst"),"investeringen","invest")),""),"")</f>
        <v/>
      </c>
      <c r="L111">
        <f>IFERROR(MATCH(ROW()-104,'Invullen groen'!$S$121:$S$272,0)+120,0)</f>
        <v/>
      </c>
    </row>
    <row r="112" hidden="1" s="418">
      <c r="A112" s="124">
        <f>IF($L112&gt;0,"+","")</f>
        <v/>
      </c>
      <c r="B112">
        <f>IFERROR(IF($L112&gt;0,IF(INDEX('Invullen groen'!$F:$F,$L112)&gt;0,INDEX('Invullen groen'!$F:$F,$L112),""),""),"")</f>
        <v/>
      </c>
      <c r="C112">
        <f>IFERROR(IF($L112&gt;0,IF(INDEX('Invullen groen'!$N:$N,$L112)&gt;0,INDEX('Invullen groen'!$N:$N,$L112),""),""),"")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123">
        <f>IFERROR(IF($L112&gt;0,IF(INDEX('Invullen groen'!$H:$H,$L112)=0,"",INT(INDEX('Invullen groen'!$H:$H,$L112))),""),"")</f>
        <v/>
      </c>
      <c r="G112" s="123">
        <f>IFERROR(IF($L112&gt;0,IF(INDEX('Invullen groen'!$I:$I,$L112)=0,"",INT(INDEX('Invullen groen'!$I:$I,$L112))),""),"")</f>
        <v/>
      </c>
      <c r="H112" s="123">
        <f>IFERROR(IF($L112&gt;0,IF(INDEX('Invullen groen'!$J:$J,$L112)=0,"",INT(INDEX('Invullen groen'!$J:$J,$L112))),""),"")</f>
        <v/>
      </c>
      <c r="I112" s="123">
        <f>IFERROR(IF($L112&gt;0,IF(INDEX('Invullen groen'!$K:$K,$L112)=0,"",INT(INDEX('Invullen groen'!$K:$K,$L112))),""),"")</f>
        <v/>
      </c>
      <c r="J112">
        <f>IF($L112&gt;0,IFERROR($K$1&amp;" "&amp;TRIM(SUBSTITUTE(SUBSTITUTE(SUBSTITUTE(SUBSTITUTE(SUBSTITUTE(SUBSTITUTE(SUBSTITUTE(SUBSTITUTE(SUBSTITUTE(SUBSTITUTE(SUBSTITUTE(SUBSTITUTE(LOWER(INDEX('Invullen groen'!$O:$O,$L112)),"2024",""),"2025",""),"2026",""),"2027",""),"2028",""),"2029",""),"taakveld ",""),"installaties","inst"),"ruwbouw","ruwb"),"afbouw","afb"),"bijstelling","bijst"),"investeringen","invest")),""),"")</f>
        <v/>
      </c>
      <c r="L112">
        <f>IFERROR(MATCH(ROW()-104,'Invullen groen'!$S$121:$S$272,0)+120,0)</f>
        <v/>
      </c>
    </row>
    <row r="113" hidden="1" s="418">
      <c r="A113" s="124">
        <f>IF($L113&gt;0,"+","")</f>
        <v/>
      </c>
      <c r="B113">
        <f>IFERROR(IF($L113&gt;0,IF(INDEX('Invullen groen'!$F:$F,$L113)&gt;0,INDEX('Invullen groen'!$F:$F,$L113),""),""),"")</f>
        <v/>
      </c>
      <c r="C113">
        <f>IFERROR(IF($L113&gt;0,IF(INDEX('Invullen groen'!$N:$N,$L113)&gt;0,INDEX('Invullen groen'!$N:$N,$L113),""),""),"")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123">
        <f>IFERROR(IF($L113&gt;0,IF(INDEX('Invullen groen'!$H:$H,$L113)=0,"",INT(INDEX('Invullen groen'!$H:$H,$L113))),""),"")</f>
        <v/>
      </c>
      <c r="G113" s="123">
        <f>IFERROR(IF($L113&gt;0,IF(INDEX('Invullen groen'!$I:$I,$L113)=0,"",INT(INDEX('Invullen groen'!$I:$I,$L113))),""),"")</f>
        <v/>
      </c>
      <c r="H113" s="123">
        <f>IFERROR(IF($L113&gt;0,IF(INDEX('Invullen groen'!$J:$J,$L113)=0,"",INT(INDEX('Invullen groen'!$J:$J,$L113))),""),"")</f>
        <v/>
      </c>
      <c r="I113" s="123">
        <f>IFERROR(IF($L113&gt;0,IF(INDEX('Invullen groen'!$K:$K,$L113)=0,"",INT(INDEX('Invullen groen'!$K:$K,$L113))),""),"")</f>
        <v/>
      </c>
      <c r="J113">
        <f>IF($L113&gt;0,IFERROR($K$1&amp;" "&amp;TRIM(SUBSTITUTE(SUBSTITUTE(SUBSTITUTE(SUBSTITUTE(SUBSTITUTE(SUBSTITUTE(SUBSTITUTE(SUBSTITUTE(SUBSTITUTE(SUBSTITUTE(SUBSTITUTE(SUBSTITUTE(LOWER(INDEX('Invullen groen'!$O:$O,$L113)),"2024",""),"2025",""),"2026",""),"2027",""),"2028",""),"2029",""),"taakveld ",""),"installaties","inst"),"ruwbouw","ruwb"),"afbouw","afb"),"bijstelling","bijst"),"investeringen","invest")),""),"")</f>
        <v/>
      </c>
      <c r="L113">
        <f>IFERROR(MATCH(ROW()-104,'Invullen groen'!$S$121:$S$272,0)+120,0)</f>
        <v/>
      </c>
    </row>
    <row r="114" hidden="1" s="418">
      <c r="A114" s="124">
        <f>IF($L114&gt;0,"+","")</f>
        <v/>
      </c>
      <c r="B114">
        <f>IFERROR(IF($L114&gt;0,IF(INDEX('Invullen groen'!$F:$F,$L114)&gt;0,INDEX('Invullen groen'!$F:$F,$L114),""),""),"")</f>
        <v/>
      </c>
      <c r="C114">
        <f>IFERROR(IF($L114&gt;0,IF(INDEX('Invullen groen'!$N:$N,$L114)&gt;0,INDEX('Invullen groen'!$N:$N,$L114),""),""),"")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123">
        <f>IFERROR(IF($L114&gt;0,IF(INDEX('Invullen groen'!$H:$H,$L114)=0,"",INT(INDEX('Invullen groen'!$H:$H,$L114))),""),"")</f>
        <v/>
      </c>
      <c r="G114" s="123">
        <f>IFERROR(IF($L114&gt;0,IF(INDEX('Invullen groen'!$I:$I,$L114)=0,"",INT(INDEX('Invullen groen'!$I:$I,$L114))),""),"")</f>
        <v/>
      </c>
      <c r="H114" s="123">
        <f>IFERROR(IF($L114&gt;0,IF(INDEX('Invullen groen'!$J:$J,$L114)=0,"",INT(INDEX('Invullen groen'!$J:$J,$L114))),""),"")</f>
        <v/>
      </c>
      <c r="I114" s="123">
        <f>IFERROR(IF($L114&gt;0,IF(INDEX('Invullen groen'!$K:$K,$L114)=0,"",INT(INDEX('Invullen groen'!$K:$K,$L114))),""),"")</f>
        <v/>
      </c>
      <c r="J114">
        <f>IF($L114&gt;0,IFERROR($K$1&amp;" "&amp;TRIM(SUBSTITUTE(SUBSTITUTE(SUBSTITUTE(SUBSTITUTE(SUBSTITUTE(SUBSTITUTE(SUBSTITUTE(SUBSTITUTE(SUBSTITUTE(SUBSTITUTE(SUBSTITUTE(SUBSTITUTE(LOWER(INDEX('Invullen groen'!$O:$O,$L114)),"2024",""),"2025",""),"2026",""),"2027",""),"2028",""),"2029",""),"taakveld ",""),"installaties","inst"),"ruwbouw","ruwb"),"afbouw","afb"),"bijstelling","bijst"),"investeringen","invest")),""),"")</f>
        <v/>
      </c>
      <c r="L114">
        <f>IFERROR(MATCH(ROW()-104,'Invullen groen'!$S$121:$S$272,0)+120,0)</f>
        <v/>
      </c>
    </row>
    <row r="115" hidden="1" s="418">
      <c r="A115" s="124">
        <f>IF($L115&gt;0,"+","")</f>
        <v/>
      </c>
      <c r="B115">
        <f>IFERROR(IF($L115&gt;0,IF(INDEX('Invullen groen'!$F:$F,$L115)&gt;0,INDEX('Invullen groen'!$F:$F,$L115),""),""),"")</f>
        <v/>
      </c>
      <c r="C115">
        <f>IFERROR(IF($L115&gt;0,IF(INDEX('Invullen groen'!$N:$N,$L115)&gt;0,INDEX('Invullen groen'!$N:$N,$L115),""),""),"")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123">
        <f>IFERROR(IF($L115&gt;0,IF(INDEX('Invullen groen'!$H:$H,$L115)=0,"",INT(INDEX('Invullen groen'!$H:$H,$L115))),""),"")</f>
        <v/>
      </c>
      <c r="G115" s="123">
        <f>IFERROR(IF($L115&gt;0,IF(INDEX('Invullen groen'!$I:$I,$L115)=0,"",INT(INDEX('Invullen groen'!$I:$I,$L115))),""),"")</f>
        <v/>
      </c>
      <c r="H115" s="123">
        <f>IFERROR(IF($L115&gt;0,IF(INDEX('Invullen groen'!$J:$J,$L115)=0,"",INT(INDEX('Invullen groen'!$J:$J,$L115))),""),"")</f>
        <v/>
      </c>
      <c r="I115" s="123">
        <f>IFERROR(IF($L115&gt;0,IF(INDEX('Invullen groen'!$K:$K,$L115)=0,"",INT(INDEX('Invullen groen'!$K:$K,$L115))),""),"")</f>
        <v/>
      </c>
      <c r="J115">
        <f>IF($L115&gt;0,IFERROR($K$1&amp;" "&amp;TRIM(SUBSTITUTE(SUBSTITUTE(SUBSTITUTE(SUBSTITUTE(SUBSTITUTE(SUBSTITUTE(SUBSTITUTE(SUBSTITUTE(SUBSTITUTE(SUBSTITUTE(SUBSTITUTE(SUBSTITUTE(LOWER(INDEX('Invullen groen'!$O:$O,$L115)),"2024",""),"2025",""),"2026",""),"2027",""),"2028",""),"2029",""),"taakveld ",""),"installaties","inst"),"ruwbouw","ruwb"),"afbouw","afb"),"bijstelling","bijst"),"investeringen","invest")),""),"")</f>
        <v/>
      </c>
      <c r="L115">
        <f>IFERROR(MATCH(ROW()-104,'Invullen groen'!$S$121:$S$272,0)+120,0)</f>
        <v/>
      </c>
    </row>
    <row r="116" hidden="1" s="418">
      <c r="A116" s="124">
        <f>IF($L116&gt;0,"+","")</f>
        <v/>
      </c>
      <c r="B116">
        <f>IFERROR(IF($L116&gt;0,IF(INDEX('Invullen groen'!$F:$F,$L116)&gt;0,INDEX('Invullen groen'!$F:$F,$L116),""),""),"")</f>
        <v/>
      </c>
      <c r="C116">
        <f>IFERROR(IF($L116&gt;0,IF(INDEX('Invullen groen'!$N:$N,$L116)&gt;0,INDEX('Invullen groen'!$N:$N,$L116),""),""),"")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123">
        <f>IFERROR(IF($L116&gt;0,IF(INDEX('Invullen groen'!$H:$H,$L116)=0,"",INT(INDEX('Invullen groen'!$H:$H,$L116))),""),"")</f>
        <v/>
      </c>
      <c r="G116" s="123">
        <f>IFERROR(IF($L116&gt;0,IF(INDEX('Invullen groen'!$I:$I,$L116)=0,"",INT(INDEX('Invullen groen'!$I:$I,$L116))),""),"")</f>
        <v/>
      </c>
      <c r="H116" s="123">
        <f>IFERROR(IF($L116&gt;0,IF(INDEX('Invullen groen'!$J:$J,$L116)=0,"",INT(INDEX('Invullen groen'!$J:$J,$L116))),""),"")</f>
        <v/>
      </c>
      <c r="I116" s="123">
        <f>IFERROR(IF($L116&gt;0,IF(INDEX('Invullen groen'!$K:$K,$L116)=0,"",INT(INDEX('Invullen groen'!$K:$K,$L116))),""),"")</f>
        <v/>
      </c>
      <c r="J116">
        <f>IF($L116&gt;0,IFERROR($K$1&amp;" "&amp;TRIM(SUBSTITUTE(SUBSTITUTE(SUBSTITUTE(SUBSTITUTE(SUBSTITUTE(SUBSTITUTE(SUBSTITUTE(SUBSTITUTE(SUBSTITUTE(SUBSTITUTE(SUBSTITUTE(SUBSTITUTE(LOWER(INDEX('Invullen groen'!$O:$O,$L116)),"2024",""),"2025",""),"2026",""),"2027",""),"2028",""),"2029",""),"taakveld ",""),"installaties","inst"),"ruwbouw","ruwb"),"afbouw","afb"),"bijstelling","bijst"),"investeringen","invest")),""),"")</f>
        <v/>
      </c>
      <c r="L116">
        <f>IFERROR(MATCH(ROW()-104,'Invullen groen'!$S$121:$S$272,0)+120,0)</f>
        <v/>
      </c>
    </row>
    <row r="117" hidden="1" s="418">
      <c r="A117" s="124">
        <f>IF($L117&gt;0,"+","")</f>
        <v/>
      </c>
      <c r="B117">
        <f>IFERROR(IF($L117&gt;0,IF(INDEX('Invullen groen'!$F:$F,$L117)&gt;0,INDEX('Invullen groen'!$F:$F,$L117),""),""),"")</f>
        <v/>
      </c>
      <c r="C117">
        <f>IFERROR(IF($L117&gt;0,IF(INDEX('Invullen groen'!$N:$N,$L117)&gt;0,INDEX('Invullen groen'!$N:$N,$L117),""),""),"")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123">
        <f>IFERROR(IF($L117&gt;0,IF(INDEX('Invullen groen'!$H:$H,$L117)=0,"",INT(INDEX('Invullen groen'!$H:$H,$L117))),""),"")</f>
        <v/>
      </c>
      <c r="G117" s="123">
        <f>IFERROR(IF($L117&gt;0,IF(INDEX('Invullen groen'!$I:$I,$L117)=0,"",INT(INDEX('Invullen groen'!$I:$I,$L117))),""),"")</f>
        <v/>
      </c>
      <c r="H117" s="123">
        <f>IFERROR(IF($L117&gt;0,IF(INDEX('Invullen groen'!$J:$J,$L117)=0,"",INT(INDEX('Invullen groen'!$J:$J,$L117))),""),"")</f>
        <v/>
      </c>
      <c r="I117" s="123">
        <f>IFERROR(IF($L117&gt;0,IF(INDEX('Invullen groen'!$K:$K,$L117)=0,"",INT(INDEX('Invullen groen'!$K:$K,$L117))),""),"")</f>
        <v/>
      </c>
      <c r="J117">
        <f>IF($L117&gt;0,IFERROR($K$1&amp;" "&amp;TRIM(SUBSTITUTE(SUBSTITUTE(SUBSTITUTE(SUBSTITUTE(SUBSTITUTE(SUBSTITUTE(SUBSTITUTE(SUBSTITUTE(SUBSTITUTE(SUBSTITUTE(SUBSTITUTE(SUBSTITUTE(LOWER(INDEX('Invullen groen'!$O:$O,$L117)),"2024",""),"2025",""),"2026",""),"2027",""),"2028",""),"2029",""),"taakveld ",""),"installaties","inst"),"ruwbouw","ruwb"),"afbouw","afb"),"bijstelling","bijst"),"investeringen","invest")),""),"")</f>
        <v/>
      </c>
      <c r="L117">
        <f>IFERROR(MATCH(ROW()-104,'Invullen groen'!$S$121:$S$272,0)+120,0)</f>
        <v/>
      </c>
    </row>
    <row r="118" hidden="1" s="418">
      <c r="A118" s="124">
        <f>IF($L118&gt;0,"+","")</f>
        <v/>
      </c>
      <c r="B118">
        <f>IFERROR(IF($L118&gt;0,IF(INDEX('Invullen groen'!$F:$F,$L118)&gt;0,INDEX('Invullen groen'!$F:$F,$L118),""),""),"")</f>
        <v/>
      </c>
      <c r="C118">
        <f>IFERROR(IF($L118&gt;0,IF(INDEX('Invullen groen'!$N:$N,$L118)&gt;0,INDEX('Invullen groen'!$N:$N,$L118),""),""),"")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123">
        <f>IFERROR(IF($L118&gt;0,IF(INDEX('Invullen groen'!$H:$H,$L118)=0,"",INT(INDEX('Invullen groen'!$H:$H,$L118))),""),"")</f>
        <v/>
      </c>
      <c r="G118" s="123">
        <f>IFERROR(IF($L118&gt;0,IF(INDEX('Invullen groen'!$I:$I,$L118)=0,"",INT(INDEX('Invullen groen'!$I:$I,$L118))),""),"")</f>
        <v/>
      </c>
      <c r="H118" s="123">
        <f>IFERROR(IF($L118&gt;0,IF(INDEX('Invullen groen'!$J:$J,$L118)=0,"",INT(INDEX('Invullen groen'!$J:$J,$L118))),""),"")</f>
        <v/>
      </c>
      <c r="I118" s="123">
        <f>IFERROR(IF($L118&gt;0,IF(INDEX('Invullen groen'!$K:$K,$L118)=0,"",INT(INDEX('Invullen groen'!$K:$K,$L118))),""),"")</f>
        <v/>
      </c>
      <c r="J118">
        <f>IF($L118&gt;0,IFERROR($K$1&amp;" "&amp;TRIM(SUBSTITUTE(SUBSTITUTE(SUBSTITUTE(SUBSTITUTE(SUBSTITUTE(SUBSTITUTE(SUBSTITUTE(SUBSTITUTE(SUBSTITUTE(SUBSTITUTE(SUBSTITUTE(SUBSTITUTE(LOWER(INDEX('Invullen groen'!$O:$O,$L118)),"2024",""),"2025",""),"2026",""),"2027",""),"2028",""),"2029",""),"taakveld ",""),"installaties","inst"),"ruwbouw","ruwb"),"afbouw","afb"),"bijstelling","bijst"),"investeringen","invest")),""),"")</f>
        <v/>
      </c>
      <c r="L118">
        <f>IFERROR(MATCH(ROW()-104,'Invullen groen'!$S$121:$S$272,0)+120,0)</f>
        <v/>
      </c>
    </row>
    <row r="119" hidden="1" s="418">
      <c r="A119" s="124">
        <f>IF($L119&gt;0,"+","")</f>
        <v/>
      </c>
      <c r="B119">
        <f>IFERROR(IF($L119&gt;0,IF(INDEX('Invullen groen'!$F:$F,$L119)&gt;0,INDEX('Invullen groen'!$F:$F,$L119),""),""),"")</f>
        <v/>
      </c>
      <c r="C119">
        <f>IFERROR(IF($L119&gt;0,IF(INDEX('Invullen groen'!$N:$N,$L119)&gt;0,INDEX('Invullen groen'!$N:$N,$L119),""),""),"")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123">
        <f>IFERROR(IF($L119&gt;0,IF(INDEX('Invullen groen'!$H:$H,$L119)=0,"",INT(INDEX('Invullen groen'!$H:$H,$L119))),""),"")</f>
        <v/>
      </c>
      <c r="G119" s="123">
        <f>IFERROR(IF($L119&gt;0,IF(INDEX('Invullen groen'!$I:$I,$L119)=0,"",INT(INDEX('Invullen groen'!$I:$I,$L119))),""),"")</f>
        <v/>
      </c>
      <c r="H119" s="123">
        <f>IFERROR(IF($L119&gt;0,IF(INDEX('Invullen groen'!$J:$J,$L119)=0,"",INT(INDEX('Invullen groen'!$J:$J,$L119))),""),"")</f>
        <v/>
      </c>
      <c r="I119" s="123">
        <f>IFERROR(IF($L119&gt;0,IF(INDEX('Invullen groen'!$K:$K,$L119)=0,"",INT(INDEX('Invullen groen'!$K:$K,$L119))),""),"")</f>
        <v/>
      </c>
      <c r="J119">
        <f>IF($L119&gt;0,IFERROR($K$1&amp;" "&amp;TRIM(SUBSTITUTE(SUBSTITUTE(SUBSTITUTE(SUBSTITUTE(SUBSTITUTE(SUBSTITUTE(SUBSTITUTE(SUBSTITUTE(SUBSTITUTE(SUBSTITUTE(SUBSTITUTE(SUBSTITUTE(LOWER(INDEX('Invullen groen'!$O:$O,$L119)),"2024",""),"2025",""),"2026",""),"2027",""),"2028",""),"2029",""),"taakveld ",""),"installaties","inst"),"ruwbouw","ruwb"),"afbouw","afb"),"bijstelling","bijst"),"investeringen","invest")),""),"")</f>
        <v/>
      </c>
      <c r="L119">
        <f>IFERROR(MATCH(ROW()-104,'Invullen groen'!$S$121:$S$272,0)+120,0)</f>
        <v/>
      </c>
    </row>
    <row r="120" hidden="1" s="418">
      <c r="A120" s="124">
        <f>IF($L120&gt;0,"+","")</f>
        <v/>
      </c>
      <c r="B120">
        <f>IFERROR(IF($L120&gt;0,IF(INDEX('Invullen groen'!$F:$F,$L120)&gt;0,INDEX('Invullen groen'!$F:$F,$L120),""),""),"")</f>
        <v/>
      </c>
      <c r="C120">
        <f>IFERROR(IF($L120&gt;0,IF(INDEX('Invullen groen'!$N:$N,$L120)&gt;0,INDEX('Invullen groen'!$N:$N,$L120),""),""),"")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123">
        <f>IFERROR(IF($L120&gt;0,IF(INDEX('Invullen groen'!$H:$H,$L120)=0,"",INT(INDEX('Invullen groen'!$H:$H,$L120))),""),"")</f>
        <v/>
      </c>
      <c r="G120" s="123">
        <f>IFERROR(IF($L120&gt;0,IF(INDEX('Invullen groen'!$I:$I,$L120)=0,"",INT(INDEX('Invullen groen'!$I:$I,$L120))),""),"")</f>
        <v/>
      </c>
      <c r="H120" s="123">
        <f>IFERROR(IF($L120&gt;0,IF(INDEX('Invullen groen'!$J:$J,$L120)=0,"",INT(INDEX('Invullen groen'!$J:$J,$L120))),""),"")</f>
        <v/>
      </c>
      <c r="I120" s="123">
        <f>IFERROR(IF($L120&gt;0,IF(INDEX('Invullen groen'!$K:$K,$L120)=0,"",INT(INDEX('Invullen groen'!$K:$K,$L120))),""),"")</f>
        <v/>
      </c>
      <c r="J120">
        <f>IF($L120&gt;0,IFERROR($K$1&amp;" "&amp;TRIM(SUBSTITUTE(SUBSTITUTE(SUBSTITUTE(SUBSTITUTE(SUBSTITUTE(SUBSTITUTE(SUBSTITUTE(SUBSTITUTE(SUBSTITUTE(SUBSTITUTE(SUBSTITUTE(SUBSTITUTE(LOWER(INDEX('Invullen groen'!$O:$O,$L120)),"2024",""),"2025",""),"2026",""),"2027",""),"2028",""),"2029",""),"taakveld ",""),"installaties","inst"),"ruwbouw","ruwb"),"afbouw","afb"),"bijstelling","bijst"),"investeringen","invest")),""),"")</f>
        <v/>
      </c>
      <c r="L120">
        <f>IFERROR(MATCH(ROW()-104,'Invullen groen'!$S$121:$S$272,0)+120,0)</f>
        <v/>
      </c>
    </row>
    <row r="121" hidden="1" s="418">
      <c r="A121" s="124">
        <f>IF($L121&gt;0,"+","")</f>
        <v/>
      </c>
      <c r="B121">
        <f>IFERROR(IF($L121&gt;0,IF(INDEX('Invullen groen'!$F:$F,$L121)&gt;0,INDEX('Invullen groen'!$F:$F,$L121),""),""),"")</f>
        <v/>
      </c>
      <c r="C121">
        <f>IFERROR(IF($L121&gt;0,IF(INDEX('Invullen groen'!$N:$N,$L121)&gt;0,INDEX('Invullen groen'!$N:$N,$L121),""),""),"")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123">
        <f>IFERROR(IF($L121&gt;0,IF(INDEX('Invullen groen'!$H:$H,$L121)=0,"",INT(INDEX('Invullen groen'!$H:$H,$L121))),""),"")</f>
        <v/>
      </c>
      <c r="G121" s="123">
        <f>IFERROR(IF($L121&gt;0,IF(INDEX('Invullen groen'!$I:$I,$L121)=0,"",INT(INDEX('Invullen groen'!$I:$I,$L121))),""),"")</f>
        <v/>
      </c>
      <c r="H121" s="123">
        <f>IFERROR(IF($L121&gt;0,IF(INDEX('Invullen groen'!$J:$J,$L121)=0,"",INT(INDEX('Invullen groen'!$J:$J,$L121))),""),"")</f>
        <v/>
      </c>
      <c r="I121" s="123">
        <f>IFERROR(IF($L121&gt;0,IF(INDEX('Invullen groen'!$K:$K,$L121)=0,"",INT(INDEX('Invullen groen'!$K:$K,$L121))),""),"")</f>
        <v/>
      </c>
      <c r="J121">
        <f>IF($L121&gt;0,IFERROR($K$1&amp;" "&amp;TRIM(SUBSTITUTE(SUBSTITUTE(SUBSTITUTE(SUBSTITUTE(SUBSTITUTE(SUBSTITUTE(SUBSTITUTE(SUBSTITUTE(SUBSTITUTE(SUBSTITUTE(SUBSTITUTE(SUBSTITUTE(LOWER(INDEX('Invullen groen'!$O:$O,$L121)),"2024",""),"2025",""),"2026",""),"2027",""),"2028",""),"2029",""),"taakveld ",""),"installaties","inst"),"ruwbouw","ruwb"),"afbouw","afb"),"bijstelling","bijst"),"investeringen","invest")),""),"")</f>
        <v/>
      </c>
      <c r="L121">
        <f>IFERROR(MATCH(ROW()-104,'Invullen groen'!$S$121:$S$272,0)+120,0)</f>
        <v/>
      </c>
    </row>
    <row r="122" hidden="1" s="418">
      <c r="A122" s="124">
        <f>IF($L122&gt;0,"+","")</f>
        <v/>
      </c>
      <c r="B122">
        <f>IFERROR(IF($L122&gt;0,IF(INDEX('Invullen groen'!$F:$F,$L122)&gt;0,INDEX('Invullen groen'!$F:$F,$L122),""),""),"")</f>
        <v/>
      </c>
      <c r="C122">
        <f>IFERROR(IF($L122&gt;0,IF(INDEX('Invullen groen'!$N:$N,$L122)&gt;0,INDEX('Invullen groen'!$N:$N,$L122),""),""),"")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123">
        <f>IFERROR(IF($L122&gt;0,IF(INDEX('Invullen groen'!$H:$H,$L122)=0,"",INT(INDEX('Invullen groen'!$H:$H,$L122))),""),"")</f>
        <v/>
      </c>
      <c r="G122" s="123">
        <f>IFERROR(IF($L122&gt;0,IF(INDEX('Invullen groen'!$I:$I,$L122)=0,"",INT(INDEX('Invullen groen'!$I:$I,$L122))),""),"")</f>
        <v/>
      </c>
      <c r="H122" s="123">
        <f>IFERROR(IF($L122&gt;0,IF(INDEX('Invullen groen'!$J:$J,$L122)=0,"",INT(INDEX('Invullen groen'!$J:$J,$L122))),""),"")</f>
        <v/>
      </c>
      <c r="I122" s="123">
        <f>IFERROR(IF($L122&gt;0,IF(INDEX('Invullen groen'!$K:$K,$L122)=0,"",INT(INDEX('Invullen groen'!$K:$K,$L122))),""),"")</f>
        <v/>
      </c>
      <c r="J122">
        <f>IF($L122&gt;0,IFERROR($K$1&amp;" "&amp;TRIM(SUBSTITUTE(SUBSTITUTE(SUBSTITUTE(SUBSTITUTE(SUBSTITUTE(SUBSTITUTE(SUBSTITUTE(SUBSTITUTE(SUBSTITUTE(SUBSTITUTE(SUBSTITUTE(SUBSTITUTE(LOWER(INDEX('Invullen groen'!$O:$O,$L122)),"2024",""),"2025",""),"2026",""),"2027",""),"2028",""),"2029",""),"taakveld ",""),"installaties","inst"),"ruwbouw","ruwb"),"afbouw","afb"),"bijstelling","bijst"),"investeringen","invest")),""),"")</f>
        <v/>
      </c>
      <c r="L122">
        <f>IFERROR(MATCH(ROW()-104,'Invullen groen'!$S$121:$S$272,0)+120,0)</f>
        <v/>
      </c>
    </row>
    <row r="123" hidden="1" s="418">
      <c r="A123" s="124">
        <f>IF($L123&gt;0,"+","")</f>
        <v/>
      </c>
      <c r="B123">
        <f>IFERROR(IF($L123&gt;0,IF(INDEX('Invullen groen'!$F:$F,$L123)&gt;0,INDEX('Invullen groen'!$F:$F,$L123),""),""),"")</f>
        <v/>
      </c>
      <c r="C123">
        <f>IFERROR(IF($L123&gt;0,IF(INDEX('Invullen groen'!$N:$N,$L123)&gt;0,INDEX('Invullen groen'!$N:$N,$L123),""),""),"")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123">
        <f>IFERROR(IF($L123&gt;0,IF(INDEX('Invullen groen'!$H:$H,$L123)=0,"",INT(INDEX('Invullen groen'!$H:$H,$L123))),""),"")</f>
        <v/>
      </c>
      <c r="G123" s="123">
        <f>IFERROR(IF($L123&gt;0,IF(INDEX('Invullen groen'!$I:$I,$L123)=0,"",INT(INDEX('Invullen groen'!$I:$I,$L123))),""),"")</f>
        <v/>
      </c>
      <c r="H123" s="123">
        <f>IFERROR(IF($L123&gt;0,IF(INDEX('Invullen groen'!$J:$J,$L123)=0,"",INT(INDEX('Invullen groen'!$J:$J,$L123))),""),"")</f>
        <v/>
      </c>
      <c r="I123" s="123">
        <f>IFERROR(IF($L123&gt;0,IF(INDEX('Invullen groen'!$K:$K,$L123)=0,"",INT(INDEX('Invullen groen'!$K:$K,$L123))),""),"")</f>
        <v/>
      </c>
      <c r="J123">
        <f>IF($L123&gt;0,IFERROR($K$1&amp;" "&amp;TRIM(SUBSTITUTE(SUBSTITUTE(SUBSTITUTE(SUBSTITUTE(SUBSTITUTE(SUBSTITUTE(SUBSTITUTE(SUBSTITUTE(SUBSTITUTE(SUBSTITUTE(SUBSTITUTE(SUBSTITUTE(LOWER(INDEX('Invullen groen'!$O:$O,$L123)),"2024",""),"2025",""),"2026",""),"2027",""),"2028",""),"2029",""),"taakveld ",""),"installaties","inst"),"ruwbouw","ruwb"),"afbouw","afb"),"bijstelling","bijst"),"investeringen","invest")),""),"")</f>
        <v/>
      </c>
      <c r="L123">
        <f>IFERROR(MATCH(ROW()-104,'Invullen groen'!$S$121:$S$272,0)+120,0)</f>
        <v/>
      </c>
    </row>
    <row r="124" hidden="1" s="418">
      <c r="A124" s="124">
        <f>IF($L124&gt;0,"+","")</f>
        <v/>
      </c>
      <c r="B124">
        <f>IFERROR(IF($L124&gt;0,IF(INDEX('Invullen groen'!$F:$F,$L124)&gt;0,INDEX('Invullen groen'!$F:$F,$L124),""),""),"")</f>
        <v/>
      </c>
      <c r="C124">
        <f>IFERROR(IF($L124&gt;0,IF(INDEX('Invullen groen'!$N:$N,$L124)&gt;0,INDEX('Invullen groen'!$N:$N,$L124),""),""),"")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123">
        <f>IFERROR(IF($L124&gt;0,IF(INDEX('Invullen groen'!$H:$H,$L124)=0,"",INT(INDEX('Invullen groen'!$H:$H,$L124))),""),"")</f>
        <v/>
      </c>
      <c r="G124" s="123">
        <f>IFERROR(IF($L124&gt;0,IF(INDEX('Invullen groen'!$I:$I,$L124)=0,"",INT(INDEX('Invullen groen'!$I:$I,$L124))),""),"")</f>
        <v/>
      </c>
      <c r="H124" s="123">
        <f>IFERROR(IF($L124&gt;0,IF(INDEX('Invullen groen'!$J:$J,$L124)=0,"",INT(INDEX('Invullen groen'!$J:$J,$L124))),""),"")</f>
        <v/>
      </c>
      <c r="I124" s="123">
        <f>IFERROR(IF($L124&gt;0,IF(INDEX('Invullen groen'!$K:$K,$L124)=0,"",INT(INDEX('Invullen groen'!$K:$K,$L124))),""),"")</f>
        <v/>
      </c>
      <c r="J124">
        <f>IF($L124&gt;0,IFERROR($K$1&amp;" "&amp;TRIM(SUBSTITUTE(SUBSTITUTE(SUBSTITUTE(SUBSTITUTE(SUBSTITUTE(SUBSTITUTE(SUBSTITUTE(SUBSTITUTE(SUBSTITUTE(SUBSTITUTE(SUBSTITUTE(SUBSTITUTE(LOWER(INDEX('Invullen groen'!$O:$O,$L124)),"2024",""),"2025",""),"2026",""),"2027",""),"2028",""),"2029",""),"taakveld ",""),"installaties","inst"),"ruwbouw","ruwb"),"afbouw","afb"),"bijstelling","bijst"),"investeringen","invest")),""),"")</f>
        <v/>
      </c>
      <c r="L124">
        <f>IFERROR(MATCH(ROW()-104,'Invullen groen'!$S$121:$S$272,0)+120,0)</f>
        <v/>
      </c>
    </row>
    <row r="125" hidden="1" s="418">
      <c r="A125" s="124">
        <f>IF($L125&gt;0,"+","")</f>
        <v/>
      </c>
      <c r="B125">
        <f>IFERROR(IF($L125&gt;0,IF(INDEX('Invullen groen'!$F:$F,$L125)&gt;0,INDEX('Invullen groen'!$F:$F,$L125),""),""),"")</f>
        <v/>
      </c>
      <c r="C125">
        <f>IFERROR(IF($L125&gt;0,IF(INDEX('Invullen groen'!$N:$N,$L125)&gt;0,INDEX('Invullen groen'!$N:$N,$L125),""),""),"")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123">
        <f>IFERROR(IF($L125&gt;0,IF(INDEX('Invullen groen'!$H:$H,$L125)=0,"",INT(INDEX('Invullen groen'!$H:$H,$L125))),""),"")</f>
        <v/>
      </c>
      <c r="G125" s="123">
        <f>IFERROR(IF($L125&gt;0,IF(INDEX('Invullen groen'!$I:$I,$L125)=0,"",INT(INDEX('Invullen groen'!$I:$I,$L125))),""),"")</f>
        <v/>
      </c>
      <c r="H125" s="123">
        <f>IFERROR(IF($L125&gt;0,IF(INDEX('Invullen groen'!$J:$J,$L125)=0,"",INT(INDEX('Invullen groen'!$J:$J,$L125))),""),"")</f>
        <v/>
      </c>
      <c r="I125" s="123">
        <f>IFERROR(IF($L125&gt;0,IF(INDEX('Invullen groen'!$K:$K,$L125)=0,"",INT(INDEX('Invullen groen'!$K:$K,$L125))),""),"")</f>
        <v/>
      </c>
      <c r="J125">
        <f>IF($L125&gt;0,IFERROR($K$1&amp;" "&amp;TRIM(SUBSTITUTE(SUBSTITUTE(SUBSTITUTE(SUBSTITUTE(SUBSTITUTE(SUBSTITUTE(SUBSTITUTE(SUBSTITUTE(SUBSTITUTE(SUBSTITUTE(SUBSTITUTE(SUBSTITUTE(LOWER(INDEX('Invullen groen'!$O:$O,$L125)),"2024",""),"2025",""),"2026",""),"2027",""),"2028",""),"2029",""),"taakveld ",""),"installaties","inst"),"ruwbouw","ruwb"),"afbouw","afb"),"bijstelling","bijst"),"investeringen","invest")),""),"")</f>
        <v/>
      </c>
      <c r="L125">
        <f>IFERROR(MATCH(ROW()-104,'Invullen groen'!$S$121:$S$272,0)+120,0)</f>
        <v/>
      </c>
    </row>
    <row r="126" hidden="1" s="418">
      <c r="A126" s="124">
        <f>IF($L126&gt;0,"+","")</f>
        <v/>
      </c>
      <c r="B126">
        <f>IFERROR(IF($L126&gt;0,IF(INDEX('Invullen groen'!$F:$F,$L126)&gt;0,INDEX('Invullen groen'!$F:$F,$L126),""),""),"")</f>
        <v/>
      </c>
      <c r="C126">
        <f>IFERROR(IF($L126&gt;0,IF(INDEX('Invullen groen'!$N:$N,$L126)&gt;0,INDEX('Invullen groen'!$N:$N,$L126),""),""),"")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123">
        <f>IFERROR(IF($L126&gt;0,IF(INDEX('Invullen groen'!$H:$H,$L126)=0,"",INT(INDEX('Invullen groen'!$H:$H,$L126))),""),"")</f>
        <v/>
      </c>
      <c r="G126" s="123">
        <f>IFERROR(IF($L126&gt;0,IF(INDEX('Invullen groen'!$I:$I,$L126)=0,"",INT(INDEX('Invullen groen'!$I:$I,$L126))),""),"")</f>
        <v/>
      </c>
      <c r="H126" s="123">
        <f>IFERROR(IF($L126&gt;0,IF(INDEX('Invullen groen'!$J:$J,$L126)=0,"",INT(INDEX('Invullen groen'!$J:$J,$L126))),""),"")</f>
        <v/>
      </c>
      <c r="I126" s="123">
        <f>IFERROR(IF($L126&gt;0,IF(INDEX('Invullen groen'!$K:$K,$L126)=0,"",INT(INDEX('Invullen groen'!$K:$K,$L126))),""),"")</f>
        <v/>
      </c>
      <c r="J126">
        <f>IF($L126&gt;0,IFERROR($K$1&amp;" "&amp;TRIM(SUBSTITUTE(SUBSTITUTE(SUBSTITUTE(SUBSTITUTE(SUBSTITUTE(SUBSTITUTE(SUBSTITUTE(SUBSTITUTE(SUBSTITUTE(SUBSTITUTE(SUBSTITUTE(SUBSTITUTE(LOWER(INDEX('Invullen groen'!$O:$O,$L126)),"2024",""),"2025",""),"2026",""),"2027",""),"2028",""),"2029",""),"taakveld ",""),"installaties","inst"),"ruwbouw","ruwb"),"afbouw","afb"),"bijstelling","bijst"),"investeringen","invest")),""),"")</f>
        <v/>
      </c>
      <c r="L126">
        <f>IFERROR(MATCH(ROW()-104,'Invullen groen'!$S$121:$S$272,0)+120,0)</f>
        <v/>
      </c>
    </row>
    <row r="127" hidden="1" s="418">
      <c r="A127" s="124">
        <f>IF($L127&gt;0,"+","")</f>
        <v/>
      </c>
      <c r="B127">
        <f>IFERROR(IF($L127&gt;0,IF(INDEX('Invullen groen'!$F:$F,$L127)&gt;0,INDEX('Invullen groen'!$F:$F,$L127),""),""),"")</f>
        <v/>
      </c>
      <c r="C127">
        <f>IFERROR(IF($L127&gt;0,IF(INDEX('Invullen groen'!$N:$N,$L127)&gt;0,INDEX('Invullen groen'!$N:$N,$L127),""),""),"")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123">
        <f>IFERROR(IF($L127&gt;0,IF(INDEX('Invullen groen'!$H:$H,$L127)=0,"",INT(INDEX('Invullen groen'!$H:$H,$L127))),""),"")</f>
        <v/>
      </c>
      <c r="G127" s="123">
        <f>IFERROR(IF($L127&gt;0,IF(INDEX('Invullen groen'!$I:$I,$L127)=0,"",INT(INDEX('Invullen groen'!$I:$I,$L127))),""),"")</f>
        <v/>
      </c>
      <c r="H127" s="123">
        <f>IFERROR(IF($L127&gt;0,IF(INDEX('Invullen groen'!$J:$J,$L127)=0,"",INT(INDEX('Invullen groen'!$J:$J,$L127))),""),"")</f>
        <v/>
      </c>
      <c r="I127" s="123">
        <f>IFERROR(IF($L127&gt;0,IF(INDEX('Invullen groen'!$K:$K,$L127)=0,"",INT(INDEX('Invullen groen'!$K:$K,$L127))),""),"")</f>
        <v/>
      </c>
      <c r="J127">
        <f>IF($L127&gt;0,IFERROR($K$1&amp;" "&amp;TRIM(SUBSTITUTE(SUBSTITUTE(SUBSTITUTE(SUBSTITUTE(SUBSTITUTE(SUBSTITUTE(SUBSTITUTE(SUBSTITUTE(SUBSTITUTE(SUBSTITUTE(SUBSTITUTE(SUBSTITUTE(LOWER(INDEX('Invullen groen'!$O:$O,$L127)),"2024",""),"2025",""),"2026",""),"2027",""),"2028",""),"2029",""),"taakveld ",""),"installaties","inst"),"ruwbouw","ruwb"),"afbouw","afb"),"bijstelling","bijst"),"investeringen","invest")),""),"")</f>
        <v/>
      </c>
      <c r="L127">
        <f>IFERROR(MATCH(ROW()-104,'Invullen groen'!$S$121:$S$272,0)+120,0)</f>
        <v/>
      </c>
    </row>
    <row r="128" hidden="1" s="418">
      <c r="A128" s="124">
        <f>IF($L128&gt;0,"+","")</f>
        <v/>
      </c>
      <c r="B128">
        <f>IFERROR(IF($L128&gt;0,IF(INDEX('Invullen groen'!$F:$F,$L128)&gt;0,INDEX('Invullen groen'!$F:$F,$L128),""),""),"")</f>
        <v/>
      </c>
      <c r="C128">
        <f>IFERROR(IF($L128&gt;0,IF(INDEX('Invullen groen'!$N:$N,$L128)&gt;0,INDEX('Invullen groen'!$N:$N,$L128),""),""),"")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123">
        <f>IFERROR(IF($L128&gt;0,IF(INDEX('Invullen groen'!$H:$H,$L128)=0,"",INT(INDEX('Invullen groen'!$H:$H,$L128))),""),"")</f>
        <v/>
      </c>
      <c r="G128" s="123">
        <f>IFERROR(IF($L128&gt;0,IF(INDEX('Invullen groen'!$I:$I,$L128)=0,"",INT(INDEX('Invullen groen'!$I:$I,$L128))),""),"")</f>
        <v/>
      </c>
      <c r="H128" s="123">
        <f>IFERROR(IF($L128&gt;0,IF(INDEX('Invullen groen'!$J:$J,$L128)=0,"",INT(INDEX('Invullen groen'!$J:$J,$L128))),""),"")</f>
        <v/>
      </c>
      <c r="I128" s="123">
        <f>IFERROR(IF($L128&gt;0,IF(INDEX('Invullen groen'!$K:$K,$L128)=0,"",INT(INDEX('Invullen groen'!$K:$K,$L128))),""),"")</f>
        <v/>
      </c>
      <c r="J128">
        <f>IF($L128&gt;0,IFERROR($K$1&amp;" "&amp;TRIM(SUBSTITUTE(SUBSTITUTE(SUBSTITUTE(SUBSTITUTE(SUBSTITUTE(SUBSTITUTE(SUBSTITUTE(SUBSTITUTE(SUBSTITUTE(SUBSTITUTE(SUBSTITUTE(SUBSTITUTE(LOWER(INDEX('Invullen groen'!$O:$O,$L128)),"2024",""),"2025",""),"2026",""),"2027",""),"2028",""),"2029",""),"taakveld ",""),"installaties","inst"),"ruwbouw","ruwb"),"afbouw","afb"),"bijstelling","bijst"),"investeringen","invest")),""),"")</f>
        <v/>
      </c>
      <c r="L128">
        <f>IFERROR(MATCH(ROW()-104,'Invullen groen'!$S$121:$S$272,0)+120,0)</f>
        <v/>
      </c>
    </row>
    <row r="129" hidden="1" s="418">
      <c r="A129" s="124">
        <f>IF($L129&gt;0,"+","")</f>
        <v/>
      </c>
      <c r="B129">
        <f>IFERROR(IF($L129&gt;0,IF(INDEX('Invullen groen'!$F:$F,$L129)&gt;0,INDEX('Invullen groen'!$F:$F,$L129),""),""),"")</f>
        <v/>
      </c>
      <c r="C129">
        <f>IFERROR(IF($L129&gt;0,IF(INDEX('Invullen groen'!$N:$N,$L129)&gt;0,INDEX('Invullen groen'!$N:$N,$L129),""),""),"")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123">
        <f>IFERROR(IF($L129&gt;0,IF(INDEX('Invullen groen'!$H:$H,$L129)=0,"",INT(INDEX('Invullen groen'!$H:$H,$L129))),""),"")</f>
        <v/>
      </c>
      <c r="G129" s="123">
        <f>IFERROR(IF($L129&gt;0,IF(INDEX('Invullen groen'!$I:$I,$L129)=0,"",INT(INDEX('Invullen groen'!$I:$I,$L129))),""),"")</f>
        <v/>
      </c>
      <c r="H129" s="123">
        <f>IFERROR(IF($L129&gt;0,IF(INDEX('Invullen groen'!$J:$J,$L129)=0,"",INT(INDEX('Invullen groen'!$J:$J,$L129))),""),"")</f>
        <v/>
      </c>
      <c r="I129" s="123">
        <f>IFERROR(IF($L129&gt;0,IF(INDEX('Invullen groen'!$K:$K,$L129)=0,"",INT(INDEX('Invullen groen'!$K:$K,$L129))),""),"")</f>
        <v/>
      </c>
      <c r="J129">
        <f>IF($L129&gt;0,IFERROR($K$1&amp;" "&amp;TRIM(SUBSTITUTE(SUBSTITUTE(SUBSTITUTE(SUBSTITUTE(SUBSTITUTE(SUBSTITUTE(SUBSTITUTE(SUBSTITUTE(SUBSTITUTE(SUBSTITUTE(SUBSTITUTE(SUBSTITUTE(LOWER(INDEX('Invullen groen'!$O:$O,$L129)),"2024",""),"2025",""),"2026",""),"2027",""),"2028",""),"2029",""),"taakveld ",""),"installaties","inst"),"ruwbouw","ruwb"),"afbouw","afb"),"bijstelling","bijst"),"investeringen","invest")),""),"")</f>
        <v/>
      </c>
      <c r="L129">
        <f>IFERROR(MATCH(ROW()-104,'Invullen groen'!$S$121:$S$272,0)+120,0)</f>
        <v/>
      </c>
    </row>
    <row r="130" hidden="1" s="418">
      <c r="A130" s="124">
        <f>IF($L130&gt;0,"+","")</f>
        <v/>
      </c>
      <c r="B130">
        <f>IFERROR(IF($L130&gt;0,IF(INDEX('Invullen groen'!$F:$F,$L130)&gt;0,INDEX('Invullen groen'!$F:$F,$L130),""),""),"")</f>
        <v/>
      </c>
      <c r="C130">
        <f>IFERROR(IF($L130&gt;0,IF(INDEX('Invullen groen'!$N:$N,$L130)&gt;0,INDEX('Invullen groen'!$N:$N,$L130),""),""),"")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123">
        <f>IFERROR(IF($L130&gt;0,IF(INDEX('Invullen groen'!$H:$H,$L130)=0,"",INT(INDEX('Invullen groen'!$H:$H,$L130))),""),"")</f>
        <v/>
      </c>
      <c r="G130" s="123">
        <f>IFERROR(IF($L130&gt;0,IF(INDEX('Invullen groen'!$I:$I,$L130)=0,"",INT(INDEX('Invullen groen'!$I:$I,$L130))),""),"")</f>
        <v/>
      </c>
      <c r="H130" s="123">
        <f>IFERROR(IF($L130&gt;0,IF(INDEX('Invullen groen'!$J:$J,$L130)=0,"",INT(INDEX('Invullen groen'!$J:$J,$L130))),""),"")</f>
        <v/>
      </c>
      <c r="I130" s="123">
        <f>IFERROR(IF($L130&gt;0,IF(INDEX('Invullen groen'!$K:$K,$L130)=0,"",INT(INDEX('Invullen groen'!$K:$K,$L130))),""),"")</f>
        <v/>
      </c>
      <c r="J130">
        <f>IF($L130&gt;0,IFERROR($K$1&amp;" "&amp;TRIM(SUBSTITUTE(SUBSTITUTE(SUBSTITUTE(SUBSTITUTE(SUBSTITUTE(SUBSTITUTE(SUBSTITUTE(SUBSTITUTE(SUBSTITUTE(SUBSTITUTE(SUBSTITUTE(SUBSTITUTE(LOWER(INDEX('Invullen groen'!$O:$O,$L130)),"2024",""),"2025",""),"2026",""),"2027",""),"2028",""),"2029",""),"taakveld ",""),"installaties","inst"),"ruwbouw","ruwb"),"afbouw","afb"),"bijstelling","bijst"),"investeringen","invest")),""),"")</f>
        <v/>
      </c>
      <c r="L130">
        <f>IFERROR(MATCH(ROW()-104,'Invullen groen'!$S$121:$S$272,0)+120,0)</f>
        <v/>
      </c>
    </row>
    <row r="131" hidden="1" s="418">
      <c r="A131" s="124">
        <f>IF($L131&gt;0,"+","")</f>
        <v/>
      </c>
      <c r="B131">
        <f>IFERROR(IF($L131&gt;0,IF(INDEX('Invullen groen'!$F:$F,$L131)&gt;0,INDEX('Invullen groen'!$F:$F,$L131),""),""),"")</f>
        <v/>
      </c>
      <c r="C131">
        <f>IFERROR(IF($L131&gt;0,IF(INDEX('Invullen groen'!$N:$N,$L131)&gt;0,INDEX('Invullen groen'!$N:$N,$L131),""),""),"")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123">
        <f>IFERROR(IF($L131&gt;0,IF(INDEX('Invullen groen'!$H:$H,$L131)=0,"",INT(INDEX('Invullen groen'!$H:$H,$L131))),""),"")</f>
        <v/>
      </c>
      <c r="G131" s="123">
        <f>IFERROR(IF($L131&gt;0,IF(INDEX('Invullen groen'!$I:$I,$L131)=0,"",INT(INDEX('Invullen groen'!$I:$I,$L131))),""),"")</f>
        <v/>
      </c>
      <c r="H131" s="123">
        <f>IFERROR(IF($L131&gt;0,IF(INDEX('Invullen groen'!$J:$J,$L131)=0,"",INT(INDEX('Invullen groen'!$J:$J,$L131))),""),"")</f>
        <v/>
      </c>
      <c r="I131" s="123">
        <f>IFERROR(IF($L131&gt;0,IF(INDEX('Invullen groen'!$K:$K,$L131)=0,"",INT(INDEX('Invullen groen'!$K:$K,$L131))),""),"")</f>
        <v/>
      </c>
      <c r="J131">
        <f>IF($L131&gt;0,IFERROR($K$1&amp;" "&amp;TRIM(SUBSTITUTE(SUBSTITUTE(SUBSTITUTE(SUBSTITUTE(SUBSTITUTE(SUBSTITUTE(SUBSTITUTE(SUBSTITUTE(SUBSTITUTE(SUBSTITUTE(SUBSTITUTE(SUBSTITUTE(LOWER(INDEX('Invullen groen'!$O:$O,$L131)),"2024",""),"2025",""),"2026",""),"2027",""),"2028",""),"2029",""),"taakveld ",""),"installaties","inst"),"ruwbouw","ruwb"),"afbouw","afb"),"bijstelling","bijst"),"investeringen","invest")),""),"")</f>
        <v/>
      </c>
      <c r="L131">
        <f>IFERROR(MATCH(ROW()-104,'Invullen groen'!$S$121:$S$272,0)+120,0)</f>
        <v/>
      </c>
    </row>
    <row r="132" hidden="1" s="418">
      <c r="A132" s="124">
        <f>IF($L132&gt;0,"+","")</f>
        <v/>
      </c>
      <c r="B132">
        <f>IFERROR(IF($L132&gt;0,IF(INDEX('Invullen groen'!$F:$F,$L132)&gt;0,INDEX('Invullen groen'!$F:$F,$L132),""),""),"")</f>
        <v/>
      </c>
      <c r="C132">
        <f>IFERROR(IF($L132&gt;0,IF(INDEX('Invullen groen'!$N:$N,$L132)&gt;0,INDEX('Invullen groen'!$N:$N,$L132),""),""),"")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123">
        <f>IFERROR(IF($L132&gt;0,IF(INDEX('Invullen groen'!$H:$H,$L132)=0,"",INT(INDEX('Invullen groen'!$H:$H,$L132))),""),"")</f>
        <v/>
      </c>
      <c r="G132" s="123">
        <f>IFERROR(IF($L132&gt;0,IF(INDEX('Invullen groen'!$I:$I,$L132)=0,"",INT(INDEX('Invullen groen'!$I:$I,$L132))),""),"")</f>
        <v/>
      </c>
      <c r="H132" s="123">
        <f>IFERROR(IF($L132&gt;0,IF(INDEX('Invullen groen'!$J:$J,$L132)=0,"",INT(INDEX('Invullen groen'!$J:$J,$L132))),""),"")</f>
        <v/>
      </c>
      <c r="I132" s="123">
        <f>IFERROR(IF($L132&gt;0,IF(INDEX('Invullen groen'!$K:$K,$L132)=0,"",INT(INDEX('Invullen groen'!$K:$K,$L132))),""),"")</f>
        <v/>
      </c>
      <c r="J132">
        <f>IF($L132&gt;0,IFERROR($K$1&amp;" "&amp;TRIM(SUBSTITUTE(SUBSTITUTE(SUBSTITUTE(SUBSTITUTE(SUBSTITUTE(SUBSTITUTE(SUBSTITUTE(SUBSTITUTE(SUBSTITUTE(SUBSTITUTE(SUBSTITUTE(SUBSTITUTE(LOWER(INDEX('Invullen groen'!$O:$O,$L132)),"2024",""),"2025",""),"2026",""),"2027",""),"2028",""),"2029",""),"taakveld ",""),"installaties","inst"),"ruwbouw","ruwb"),"afbouw","afb"),"bijstelling","bijst"),"investeringen","invest")),""),"")</f>
        <v/>
      </c>
      <c r="L132">
        <f>IFERROR(MATCH(ROW()-104,'Invullen groen'!$S$121:$S$272,0)+120,0)</f>
        <v/>
      </c>
    </row>
    <row r="133" hidden="1" s="418">
      <c r="A133" s="124">
        <f>IF($L133&gt;0,"+","")</f>
        <v/>
      </c>
      <c r="B133">
        <f>IFERROR(IF($L133&gt;0,IF(INDEX('Invullen groen'!$F:$F,$L133)&gt;0,INDEX('Invullen groen'!$F:$F,$L133),""),""),"")</f>
        <v/>
      </c>
      <c r="C133">
        <f>IFERROR(IF($L133&gt;0,IF(INDEX('Invullen groen'!$N:$N,$L133)&gt;0,INDEX('Invullen groen'!$N:$N,$L133),""),""),"")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123">
        <f>IFERROR(IF($L133&gt;0,IF(INDEX('Invullen groen'!$H:$H,$L133)=0,"",INT(INDEX('Invullen groen'!$H:$H,$L133))),""),"")</f>
        <v/>
      </c>
      <c r="G133" s="123">
        <f>IFERROR(IF($L133&gt;0,IF(INDEX('Invullen groen'!$I:$I,$L133)=0,"",INT(INDEX('Invullen groen'!$I:$I,$L133))),""),"")</f>
        <v/>
      </c>
      <c r="H133" s="123">
        <f>IFERROR(IF($L133&gt;0,IF(INDEX('Invullen groen'!$J:$J,$L133)=0,"",INT(INDEX('Invullen groen'!$J:$J,$L133))),""),"")</f>
        <v/>
      </c>
      <c r="I133" s="123">
        <f>IFERROR(IF($L133&gt;0,IF(INDEX('Invullen groen'!$K:$K,$L133)=0,"",INT(INDEX('Invullen groen'!$K:$K,$L133))),""),"")</f>
        <v/>
      </c>
      <c r="J133">
        <f>IF($L133&gt;0,IFERROR($K$1&amp;" "&amp;TRIM(SUBSTITUTE(SUBSTITUTE(SUBSTITUTE(SUBSTITUTE(SUBSTITUTE(SUBSTITUTE(SUBSTITUTE(SUBSTITUTE(SUBSTITUTE(SUBSTITUTE(SUBSTITUTE(SUBSTITUTE(LOWER(INDEX('Invullen groen'!$O:$O,$L133)),"2024",""),"2025",""),"2026",""),"2027",""),"2028",""),"2029",""),"taakveld ",""),"installaties","inst"),"ruwbouw","ruwb"),"afbouw","afb"),"bijstelling","bijst"),"investeringen","invest")),""),"")</f>
        <v/>
      </c>
      <c r="L133">
        <f>IFERROR(MATCH(ROW()-104,'Invullen groen'!$S$121:$S$272,0)+120,0)</f>
        <v/>
      </c>
    </row>
    <row r="134" hidden="1" s="418">
      <c r="A134" s="124">
        <f>IF($L134&gt;0,"+","")</f>
        <v/>
      </c>
      <c r="B134">
        <f>IFERROR(IF($L134&gt;0,IF(INDEX('Invullen groen'!$F:$F,$L134)&gt;0,INDEX('Invullen groen'!$F:$F,$L134),""),""),"")</f>
        <v/>
      </c>
      <c r="C134">
        <f>IFERROR(IF($L134&gt;0,IF(INDEX('Invullen groen'!$N:$N,$L134)&gt;0,INDEX('Invullen groen'!$N:$N,$L134),""),""),"")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123">
        <f>IFERROR(IF($L134&gt;0,IF(INDEX('Invullen groen'!$H:$H,$L134)=0,"",INT(INDEX('Invullen groen'!$H:$H,$L134))),""),"")</f>
        <v/>
      </c>
      <c r="G134" s="123">
        <f>IFERROR(IF($L134&gt;0,IF(INDEX('Invullen groen'!$I:$I,$L134)=0,"",INT(INDEX('Invullen groen'!$I:$I,$L134))),""),"")</f>
        <v/>
      </c>
      <c r="H134" s="123">
        <f>IFERROR(IF($L134&gt;0,IF(INDEX('Invullen groen'!$J:$J,$L134)=0,"",INT(INDEX('Invullen groen'!$J:$J,$L134))),""),"")</f>
        <v/>
      </c>
      <c r="I134" s="123">
        <f>IFERROR(IF($L134&gt;0,IF(INDEX('Invullen groen'!$K:$K,$L134)=0,"",INT(INDEX('Invullen groen'!$K:$K,$L134))),""),"")</f>
        <v/>
      </c>
      <c r="J134">
        <f>IF($L134&gt;0,IFERROR($K$1&amp;" "&amp;TRIM(SUBSTITUTE(SUBSTITUTE(SUBSTITUTE(SUBSTITUTE(SUBSTITUTE(SUBSTITUTE(SUBSTITUTE(SUBSTITUTE(SUBSTITUTE(SUBSTITUTE(SUBSTITUTE(SUBSTITUTE(LOWER(INDEX('Invullen groen'!$O:$O,$L134)),"2024",""),"2025",""),"2026",""),"2027",""),"2028",""),"2029",""),"taakveld ",""),"installaties","inst"),"ruwbouw","ruwb"),"afbouw","afb"),"bijstelling","bijst"),"investeringen","invest")),""),"")</f>
        <v/>
      </c>
      <c r="L134">
        <f>IFERROR(MATCH(ROW()-104,'Invullen groen'!$S$121:$S$272,0)+120,0)</f>
        <v/>
      </c>
    </row>
    <row r="135" hidden="1" s="418">
      <c r="A135" s="124">
        <f>IF($L135&gt;0,"+","")</f>
        <v/>
      </c>
      <c r="B135">
        <f>IFERROR(IF($L135&gt;0,IF(INDEX('Invullen groen'!$F:$F,$L135)&gt;0,INDEX('Invullen groen'!$F:$F,$L135),""),""),"")</f>
        <v/>
      </c>
      <c r="C135">
        <f>IFERROR(IF($L135&gt;0,IF(INDEX('Invullen groen'!$N:$N,$L135)&gt;0,INDEX('Invullen groen'!$N:$N,$L135),""),""),"")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123">
        <f>IFERROR(IF($L135&gt;0,IF(INDEX('Invullen groen'!$H:$H,$L135)=0,"",INT(INDEX('Invullen groen'!$H:$H,$L135))),""),"")</f>
        <v/>
      </c>
      <c r="G135" s="123">
        <f>IFERROR(IF($L135&gt;0,IF(INDEX('Invullen groen'!$I:$I,$L135)=0,"",INT(INDEX('Invullen groen'!$I:$I,$L135))),""),"")</f>
        <v/>
      </c>
      <c r="H135" s="123">
        <f>IFERROR(IF($L135&gt;0,IF(INDEX('Invullen groen'!$J:$J,$L135)=0,"",INT(INDEX('Invullen groen'!$J:$J,$L135))),""),"")</f>
        <v/>
      </c>
      <c r="I135" s="123">
        <f>IFERROR(IF($L135&gt;0,IF(INDEX('Invullen groen'!$K:$K,$L135)=0,"",INT(INDEX('Invullen groen'!$K:$K,$L135))),""),"")</f>
        <v/>
      </c>
      <c r="J135">
        <f>IF($L135&gt;0,IFERROR($K$1&amp;" "&amp;TRIM(SUBSTITUTE(SUBSTITUTE(SUBSTITUTE(SUBSTITUTE(SUBSTITUTE(SUBSTITUTE(SUBSTITUTE(SUBSTITUTE(SUBSTITUTE(SUBSTITUTE(SUBSTITUTE(SUBSTITUTE(LOWER(INDEX('Invullen groen'!$O:$O,$L135)),"2024",""),"2025",""),"2026",""),"2027",""),"2028",""),"2029",""),"taakveld ",""),"installaties","inst"),"ruwbouw","ruwb"),"afbouw","afb"),"bijstelling","bijst"),"investeringen","invest")),""),"")</f>
        <v/>
      </c>
      <c r="L135">
        <f>IFERROR(MATCH(ROW()-104,'Invullen groen'!$S$121:$S$272,0)+120,0)</f>
        <v/>
      </c>
    </row>
    <row r="136" hidden="1" s="418">
      <c r="A136" s="124">
        <f>IF($L136&gt;0,"+","")</f>
        <v/>
      </c>
      <c r="B136">
        <f>IFERROR(IF($L136&gt;0,IF(INDEX('Invullen groen'!$F:$F,$L136)&gt;0,INDEX('Invullen groen'!$F:$F,$L136),""),""),"")</f>
        <v/>
      </c>
      <c r="C136">
        <f>IFERROR(IF($L136&gt;0,IF(INDEX('Invullen groen'!$N:$N,$L136)&gt;0,INDEX('Invullen groen'!$N:$N,$L136),""),""),"")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123">
        <f>IFERROR(IF($L136&gt;0,IF(INDEX('Invullen groen'!$H:$H,$L136)=0,"",INT(INDEX('Invullen groen'!$H:$H,$L136))),""),"")</f>
        <v/>
      </c>
      <c r="G136" s="123">
        <f>IFERROR(IF($L136&gt;0,IF(INDEX('Invullen groen'!$I:$I,$L136)=0,"",INT(INDEX('Invullen groen'!$I:$I,$L136))),""),"")</f>
        <v/>
      </c>
      <c r="H136" s="123">
        <f>IFERROR(IF($L136&gt;0,IF(INDEX('Invullen groen'!$J:$J,$L136)=0,"",INT(INDEX('Invullen groen'!$J:$J,$L136))),""),"")</f>
        <v/>
      </c>
      <c r="I136" s="123">
        <f>IFERROR(IF($L136&gt;0,IF(INDEX('Invullen groen'!$K:$K,$L136)=0,"",INT(INDEX('Invullen groen'!$K:$K,$L136))),""),"")</f>
        <v/>
      </c>
      <c r="J136">
        <f>IF($L136&gt;0,IFERROR($K$1&amp;" "&amp;TRIM(SUBSTITUTE(SUBSTITUTE(SUBSTITUTE(SUBSTITUTE(SUBSTITUTE(SUBSTITUTE(SUBSTITUTE(SUBSTITUTE(SUBSTITUTE(SUBSTITUTE(SUBSTITUTE(SUBSTITUTE(LOWER(INDEX('Invullen groen'!$O:$O,$L136)),"2024",""),"2025",""),"2026",""),"2027",""),"2028",""),"2029",""),"taakveld ",""),"installaties","inst"),"ruwbouw","ruwb"),"afbouw","afb"),"bijstelling","bijst"),"investeringen","invest")),""),"")</f>
        <v/>
      </c>
      <c r="L136">
        <f>IFERROR(MATCH(ROW()-104,'Invullen groen'!$S$121:$S$272,0)+120,0)</f>
        <v/>
      </c>
    </row>
    <row r="137" hidden="1" s="418">
      <c r="A137" s="124">
        <f>IF($L137&gt;0,"+","")</f>
        <v/>
      </c>
      <c r="B137">
        <f>IFERROR(IF($L137&gt;0,IF(INDEX('Invullen groen'!$F:$F,$L137)&gt;0,INDEX('Invullen groen'!$F:$F,$L137),""),""),"")</f>
        <v/>
      </c>
      <c r="C137">
        <f>IFERROR(IF($L137&gt;0,IF(INDEX('Invullen groen'!$N:$N,$L137)&gt;0,INDEX('Invullen groen'!$N:$N,$L137),""),""),"")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123">
        <f>IFERROR(IF($L137&gt;0,IF(INDEX('Invullen groen'!$H:$H,$L137)=0,"",INT(INDEX('Invullen groen'!$H:$H,$L137))),""),"")</f>
        <v/>
      </c>
      <c r="G137" s="123">
        <f>IFERROR(IF($L137&gt;0,IF(INDEX('Invullen groen'!$I:$I,$L137)=0,"",INT(INDEX('Invullen groen'!$I:$I,$L137))),""),"")</f>
        <v/>
      </c>
      <c r="H137" s="123">
        <f>IFERROR(IF($L137&gt;0,IF(INDEX('Invullen groen'!$J:$J,$L137)=0,"",INT(INDEX('Invullen groen'!$J:$J,$L137))),""),"")</f>
        <v/>
      </c>
      <c r="I137" s="123">
        <f>IFERROR(IF($L137&gt;0,IF(INDEX('Invullen groen'!$K:$K,$L137)=0,"",INT(INDEX('Invullen groen'!$K:$K,$L137))),""),"")</f>
        <v/>
      </c>
      <c r="J137">
        <f>IF($L137&gt;0,IFERROR($K$1&amp;" "&amp;TRIM(SUBSTITUTE(SUBSTITUTE(SUBSTITUTE(SUBSTITUTE(SUBSTITUTE(SUBSTITUTE(SUBSTITUTE(SUBSTITUTE(SUBSTITUTE(SUBSTITUTE(SUBSTITUTE(SUBSTITUTE(LOWER(INDEX('Invullen groen'!$O:$O,$L137)),"2024",""),"2025",""),"2026",""),"2027",""),"2028",""),"2029",""),"taakveld ",""),"installaties","inst"),"ruwbouw","ruwb"),"afbouw","afb"),"bijstelling","bijst"),"investeringen","invest")),""),"")</f>
        <v/>
      </c>
      <c r="L137">
        <f>IFERROR(MATCH(ROW()-104,'Invullen groen'!$S$121:$S$272,0)+120,0)</f>
        <v/>
      </c>
    </row>
    <row r="138" hidden="1" s="418">
      <c r="A138" s="124">
        <f>IF($L138&gt;0,"+","")</f>
        <v/>
      </c>
      <c r="B138">
        <f>IFERROR(IF($L138&gt;0,IF(INDEX('Invullen groen'!$F:$F,$L138)&gt;0,INDEX('Invullen groen'!$F:$F,$L138),""),""),"")</f>
        <v/>
      </c>
      <c r="C138">
        <f>IFERROR(IF($L138&gt;0,IF(INDEX('Invullen groen'!$N:$N,$L138)&gt;0,INDEX('Invullen groen'!$N:$N,$L138),""),""),"")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123">
        <f>IFERROR(IF($L138&gt;0,IF(INDEX('Invullen groen'!$H:$H,$L138)=0,"",INT(INDEX('Invullen groen'!$H:$H,$L138))),""),"")</f>
        <v/>
      </c>
      <c r="G138" s="123">
        <f>IFERROR(IF($L138&gt;0,IF(INDEX('Invullen groen'!$I:$I,$L138)=0,"",INT(INDEX('Invullen groen'!$I:$I,$L138))),""),"")</f>
        <v/>
      </c>
      <c r="H138" s="123">
        <f>IFERROR(IF($L138&gt;0,IF(INDEX('Invullen groen'!$J:$J,$L138)=0,"",INT(INDEX('Invullen groen'!$J:$J,$L138))),""),"")</f>
        <v/>
      </c>
      <c r="I138" s="123">
        <f>IFERROR(IF($L138&gt;0,IF(INDEX('Invullen groen'!$K:$K,$L138)=0,"",INT(INDEX('Invullen groen'!$K:$K,$L138))),""),"")</f>
        <v/>
      </c>
      <c r="J138">
        <f>IF($L138&gt;0,IFERROR($K$1&amp;" "&amp;TRIM(SUBSTITUTE(SUBSTITUTE(SUBSTITUTE(SUBSTITUTE(SUBSTITUTE(SUBSTITUTE(SUBSTITUTE(SUBSTITUTE(SUBSTITUTE(SUBSTITUTE(SUBSTITUTE(SUBSTITUTE(LOWER(INDEX('Invullen groen'!$O:$O,$L138)),"2024",""),"2025",""),"2026",""),"2027",""),"2028",""),"2029",""),"taakveld ",""),"installaties","inst"),"ruwbouw","ruwb"),"afbouw","afb"),"bijstelling","bijst"),"investeringen","invest")),""),"")</f>
        <v/>
      </c>
      <c r="L138">
        <f>IFERROR(MATCH(ROW()-104,'Invullen groen'!$S$121:$S$272,0)+120,0)</f>
        <v/>
      </c>
    </row>
    <row r="139" hidden="1" s="418">
      <c r="A139" s="124">
        <f>IF($L139&gt;0,"+","")</f>
        <v/>
      </c>
      <c r="B139">
        <f>IFERROR(IF($L139&gt;0,IF(INDEX('Invullen groen'!$F:$F,$L139)&gt;0,INDEX('Invullen groen'!$F:$F,$L139),""),""),"")</f>
        <v/>
      </c>
      <c r="C139">
        <f>IFERROR(IF($L139&gt;0,IF(INDEX('Invullen groen'!$N:$N,$L139)&gt;0,INDEX('Invullen groen'!$N:$N,$L139),""),""),"")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123">
        <f>IFERROR(IF($L139&gt;0,IF(INDEX('Invullen groen'!$H:$H,$L139)=0,"",INT(INDEX('Invullen groen'!$H:$H,$L139))),""),"")</f>
        <v/>
      </c>
      <c r="G139" s="123">
        <f>IFERROR(IF($L139&gt;0,IF(INDEX('Invullen groen'!$I:$I,$L139)=0,"",INT(INDEX('Invullen groen'!$I:$I,$L139))),""),"")</f>
        <v/>
      </c>
      <c r="H139" s="123">
        <f>IFERROR(IF($L139&gt;0,IF(INDEX('Invullen groen'!$J:$J,$L139)=0,"",INT(INDEX('Invullen groen'!$J:$J,$L139))),""),"")</f>
        <v/>
      </c>
      <c r="I139" s="123">
        <f>IFERROR(IF($L139&gt;0,IF(INDEX('Invullen groen'!$K:$K,$L139)=0,"",INT(INDEX('Invullen groen'!$K:$K,$L139))),""),"")</f>
        <v/>
      </c>
      <c r="J139">
        <f>IF($L139&gt;0,IFERROR($K$1&amp;" "&amp;TRIM(SUBSTITUTE(SUBSTITUTE(SUBSTITUTE(SUBSTITUTE(SUBSTITUTE(SUBSTITUTE(SUBSTITUTE(SUBSTITUTE(SUBSTITUTE(SUBSTITUTE(SUBSTITUTE(SUBSTITUTE(LOWER(INDEX('Invullen groen'!$O:$O,$L139)),"2024",""),"2025",""),"2026",""),"2027",""),"2028",""),"2029",""),"taakveld ",""),"installaties","inst"),"ruwbouw","ruwb"),"afbouw","afb"),"bijstelling","bijst"),"investeringen","invest")),""),"")</f>
        <v/>
      </c>
      <c r="L139">
        <f>IFERROR(MATCH(ROW()-104,'Invullen groen'!$S$121:$S$272,0)+120,0)</f>
        <v/>
      </c>
    </row>
    <row r="140" hidden="1" s="418">
      <c r="A140" s="124">
        <f>IF($L140&gt;0,"+","")</f>
        <v/>
      </c>
      <c r="B140">
        <f>IFERROR(IF($L140&gt;0,IF(INDEX('Invullen groen'!$F:$F,$L140)&gt;0,INDEX('Invullen groen'!$F:$F,$L140),""),""),"")</f>
        <v/>
      </c>
      <c r="C140">
        <f>IFERROR(IF($L140&gt;0,IF(INDEX('Invullen groen'!$N:$N,$L140)&gt;0,INDEX('Invullen groen'!$N:$N,$L140),""),""),"")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123">
        <f>IFERROR(IF($L140&gt;0,IF(INDEX('Invullen groen'!$H:$H,$L140)=0,"",INT(INDEX('Invullen groen'!$H:$H,$L140))),""),"")</f>
        <v/>
      </c>
      <c r="G140" s="123">
        <f>IFERROR(IF($L140&gt;0,IF(INDEX('Invullen groen'!$I:$I,$L140)=0,"",INT(INDEX('Invullen groen'!$I:$I,$L140))),""),"")</f>
        <v/>
      </c>
      <c r="H140" s="123">
        <f>IFERROR(IF($L140&gt;0,IF(INDEX('Invullen groen'!$J:$J,$L140)=0,"",INT(INDEX('Invullen groen'!$J:$J,$L140))),""),"")</f>
        <v/>
      </c>
      <c r="I140" s="123">
        <f>IFERROR(IF($L140&gt;0,IF(INDEX('Invullen groen'!$K:$K,$L140)=0,"",INT(INDEX('Invullen groen'!$K:$K,$L140))),""),"")</f>
        <v/>
      </c>
      <c r="J140">
        <f>IF($L140&gt;0,IFERROR($K$1&amp;" "&amp;TRIM(SUBSTITUTE(SUBSTITUTE(SUBSTITUTE(SUBSTITUTE(SUBSTITUTE(SUBSTITUTE(SUBSTITUTE(SUBSTITUTE(SUBSTITUTE(SUBSTITUTE(SUBSTITUTE(SUBSTITUTE(LOWER(INDEX('Invullen groen'!$O:$O,$L140)),"2024",""),"2025",""),"2026",""),"2027",""),"2028",""),"2029",""),"taakveld ",""),"installaties","inst"),"ruwbouw","ruwb"),"afbouw","afb"),"bijstelling","bijst"),"investeringen","invest")),""),"")</f>
        <v/>
      </c>
      <c r="L140">
        <f>IFERROR(MATCH(ROW()-104,'Invullen groen'!$S$121:$S$272,0)+120,0)</f>
        <v/>
      </c>
    </row>
    <row r="141" hidden="1" s="418">
      <c r="A141" s="124">
        <f>IF($L141&gt;0,"+","")</f>
        <v/>
      </c>
      <c r="B141">
        <f>IFERROR(IF($L141&gt;0,IF(INDEX('Invullen groen'!$F:$F,$L141)&gt;0,INDEX('Invullen groen'!$F:$F,$L141),""),""),"")</f>
        <v/>
      </c>
      <c r="C141">
        <f>IFERROR(IF($L141&gt;0,IF(INDEX('Invullen groen'!$N:$N,$L141)&gt;0,INDEX('Invullen groen'!$N:$N,$L141),""),""),"")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123">
        <f>IFERROR(IF($L141&gt;0,IF(INDEX('Invullen groen'!$H:$H,$L141)=0,"",INT(INDEX('Invullen groen'!$H:$H,$L141))),""),"")</f>
        <v/>
      </c>
      <c r="G141" s="123">
        <f>IFERROR(IF($L141&gt;0,IF(INDEX('Invullen groen'!$I:$I,$L141)=0,"",INT(INDEX('Invullen groen'!$I:$I,$L141))),""),"")</f>
        <v/>
      </c>
      <c r="H141" s="123">
        <f>IFERROR(IF($L141&gt;0,IF(INDEX('Invullen groen'!$J:$J,$L141)=0,"",INT(INDEX('Invullen groen'!$J:$J,$L141))),""),"")</f>
        <v/>
      </c>
      <c r="I141" s="123">
        <f>IFERROR(IF($L141&gt;0,IF(INDEX('Invullen groen'!$K:$K,$L141)=0,"",INT(INDEX('Invullen groen'!$K:$K,$L141))),""),"")</f>
        <v/>
      </c>
      <c r="J141">
        <f>IF($L141&gt;0,IFERROR($K$1&amp;" "&amp;TRIM(SUBSTITUTE(SUBSTITUTE(SUBSTITUTE(SUBSTITUTE(SUBSTITUTE(SUBSTITUTE(SUBSTITUTE(SUBSTITUTE(SUBSTITUTE(SUBSTITUTE(SUBSTITUTE(SUBSTITUTE(LOWER(INDEX('Invullen groen'!$O:$O,$L141)),"2024",""),"2025",""),"2026",""),"2027",""),"2028",""),"2029",""),"taakveld ",""),"installaties","inst"),"ruwbouw","ruwb"),"afbouw","afb"),"bijstelling","bijst"),"investeringen","invest")),""),"")</f>
        <v/>
      </c>
      <c r="L141">
        <f>IFERROR(MATCH(ROW()-104,'Invullen groen'!$S$121:$S$272,0)+120,0)</f>
        <v/>
      </c>
    </row>
    <row r="142" hidden="1" s="418">
      <c r="A142" s="124">
        <f>IF($L142&gt;0,"+","")</f>
        <v/>
      </c>
      <c r="B142">
        <f>IFERROR(IF($L142&gt;0,IF(INDEX('Invullen groen'!$F:$F,$L142)&gt;0,INDEX('Invullen groen'!$F:$F,$L142),""),""),"")</f>
        <v/>
      </c>
      <c r="C142">
        <f>IFERROR(IF($L142&gt;0,IF(INDEX('Invullen groen'!$N:$N,$L142)&gt;0,INDEX('Invullen groen'!$N:$N,$L142),""),""),"")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123">
        <f>IFERROR(IF($L142&gt;0,IF(INDEX('Invullen groen'!$H:$H,$L142)=0,"",INT(INDEX('Invullen groen'!$H:$H,$L142))),""),"")</f>
        <v/>
      </c>
      <c r="G142" s="123">
        <f>IFERROR(IF($L142&gt;0,IF(INDEX('Invullen groen'!$I:$I,$L142)=0,"",INT(INDEX('Invullen groen'!$I:$I,$L142))),""),"")</f>
        <v/>
      </c>
      <c r="H142" s="123">
        <f>IFERROR(IF($L142&gt;0,IF(INDEX('Invullen groen'!$J:$J,$L142)=0,"",INT(INDEX('Invullen groen'!$J:$J,$L142))),""),"")</f>
        <v/>
      </c>
      <c r="I142" s="123">
        <f>IFERROR(IF($L142&gt;0,IF(INDEX('Invullen groen'!$K:$K,$L142)=0,"",INT(INDEX('Invullen groen'!$K:$K,$L142))),""),"")</f>
        <v/>
      </c>
      <c r="J142">
        <f>IF($L142&gt;0,IFERROR($K$1&amp;" "&amp;TRIM(SUBSTITUTE(SUBSTITUTE(SUBSTITUTE(SUBSTITUTE(SUBSTITUTE(SUBSTITUTE(SUBSTITUTE(SUBSTITUTE(SUBSTITUTE(SUBSTITUTE(SUBSTITUTE(SUBSTITUTE(LOWER(INDEX('Invullen groen'!$O:$O,$L142)),"2024",""),"2025",""),"2026",""),"2027",""),"2028",""),"2029",""),"taakveld ",""),"installaties","inst"),"ruwbouw","ruwb"),"afbouw","afb"),"bijstelling","bijst"),"investeringen","invest")),""),"")</f>
        <v/>
      </c>
      <c r="L142">
        <f>IFERROR(MATCH(ROW()-104,'Invullen groen'!$S$121:$S$272,0)+120,0)</f>
        <v/>
      </c>
    </row>
    <row r="143" hidden="1" s="418">
      <c r="A143" s="124">
        <f>IF($L143&gt;0,"+","")</f>
        <v/>
      </c>
      <c r="B143">
        <f>IFERROR(IF($L143&gt;0,IF(INDEX('Invullen groen'!$F:$F,$L143)&gt;0,INDEX('Invullen groen'!$F:$F,$L143),""),""),"")</f>
        <v/>
      </c>
      <c r="C143">
        <f>IFERROR(IF($L143&gt;0,IF(INDEX('Invullen groen'!$N:$N,$L143)&gt;0,INDEX('Invullen groen'!$N:$N,$L143),""),""),"")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123">
        <f>IFERROR(IF($L143&gt;0,IF(INDEX('Invullen groen'!$H:$H,$L143)=0,"",INT(INDEX('Invullen groen'!$H:$H,$L143))),""),"")</f>
        <v/>
      </c>
      <c r="G143" s="123">
        <f>IFERROR(IF($L143&gt;0,IF(INDEX('Invullen groen'!$I:$I,$L143)=0,"",INT(INDEX('Invullen groen'!$I:$I,$L143))),""),"")</f>
        <v/>
      </c>
      <c r="H143" s="123">
        <f>IFERROR(IF($L143&gt;0,IF(INDEX('Invullen groen'!$J:$J,$L143)=0,"",INT(INDEX('Invullen groen'!$J:$J,$L143))),""),"")</f>
        <v/>
      </c>
      <c r="I143" s="123">
        <f>IFERROR(IF($L143&gt;0,IF(INDEX('Invullen groen'!$K:$K,$L143)=0,"",INT(INDEX('Invullen groen'!$K:$K,$L143))),""),"")</f>
        <v/>
      </c>
      <c r="J143">
        <f>IF($L143&gt;0,IFERROR($K$1&amp;" "&amp;TRIM(SUBSTITUTE(SUBSTITUTE(SUBSTITUTE(SUBSTITUTE(SUBSTITUTE(SUBSTITUTE(SUBSTITUTE(SUBSTITUTE(SUBSTITUTE(SUBSTITUTE(SUBSTITUTE(SUBSTITUTE(LOWER(INDEX('Invullen groen'!$O:$O,$L143)),"2024",""),"2025",""),"2026",""),"2027",""),"2028",""),"2029",""),"taakveld ",""),"installaties","inst"),"ruwbouw","ruwb"),"afbouw","afb"),"bijstelling","bijst"),"investeringen","invest")),""),"")</f>
        <v/>
      </c>
      <c r="L143">
        <f>IFERROR(MATCH(ROW()-104,'Invullen groen'!$S$121:$S$272,0)+120,0)</f>
        <v/>
      </c>
    </row>
    <row r="144" hidden="1" s="418">
      <c r="A144" s="124">
        <f>IF($L144&gt;0,"+","")</f>
        <v/>
      </c>
      <c r="B144">
        <f>IFERROR(IF($L144&gt;0,IF(INDEX('Invullen groen'!$F:$F,$L144)&gt;0,INDEX('Invullen groen'!$F:$F,$L144),""),""),"")</f>
        <v/>
      </c>
      <c r="C144">
        <f>IFERROR(IF($L144&gt;0,IF(INDEX('Invullen groen'!$N:$N,$L144)&gt;0,INDEX('Invullen groen'!$N:$N,$L144),""),""),"")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123">
        <f>IFERROR(IF($L144&gt;0,IF(INDEX('Invullen groen'!$H:$H,$L144)=0,"",INT(INDEX('Invullen groen'!$H:$H,$L144))),""),"")</f>
        <v/>
      </c>
      <c r="G144" s="123">
        <f>IFERROR(IF($L144&gt;0,IF(INDEX('Invullen groen'!$I:$I,$L144)=0,"",INT(INDEX('Invullen groen'!$I:$I,$L144))),""),"")</f>
        <v/>
      </c>
      <c r="H144" s="123">
        <f>IFERROR(IF($L144&gt;0,IF(INDEX('Invullen groen'!$J:$J,$L144)=0,"",INT(INDEX('Invullen groen'!$J:$J,$L144))),""),"")</f>
        <v/>
      </c>
      <c r="I144" s="123">
        <f>IFERROR(IF($L144&gt;0,IF(INDEX('Invullen groen'!$K:$K,$L144)=0,"",INT(INDEX('Invullen groen'!$K:$K,$L144))),""),"")</f>
        <v/>
      </c>
      <c r="J144">
        <f>IF($L144&gt;0,IFERROR($K$1&amp;" "&amp;TRIM(SUBSTITUTE(SUBSTITUTE(SUBSTITUTE(SUBSTITUTE(SUBSTITUTE(SUBSTITUTE(SUBSTITUTE(SUBSTITUTE(SUBSTITUTE(SUBSTITUTE(SUBSTITUTE(SUBSTITUTE(LOWER(INDEX('Invullen groen'!$O:$O,$L144)),"2024",""),"2025",""),"2026",""),"2027",""),"2028",""),"2029",""),"taakveld ",""),"installaties","inst"),"ruwbouw","ruwb"),"afbouw","afb"),"bijstelling","bijst"),"investeringen","invest")),""),"")</f>
        <v/>
      </c>
      <c r="L144">
        <f>IFERROR(MATCH(ROW()-104,'Invullen groen'!$S$121:$S$272,0)+120,0)</f>
        <v/>
      </c>
    </row>
    <row r="145" hidden="1" s="418">
      <c r="A145" s="124">
        <f>IF($L145&gt;0,"+","")</f>
        <v/>
      </c>
      <c r="B145">
        <f>IFERROR(IF($L145&gt;0,IF(INDEX('Invullen groen'!$F:$F,$L145)&gt;0,INDEX('Invullen groen'!$F:$F,$L145),""),""),"")</f>
        <v/>
      </c>
      <c r="C145">
        <f>IFERROR(IF($L145&gt;0,IF(INDEX('Invullen groen'!$N:$N,$L145)&gt;0,INDEX('Invullen groen'!$N:$N,$L145),""),""),"")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123">
        <f>IFERROR(IF($L145&gt;0,IF(INDEX('Invullen groen'!$H:$H,$L145)=0,"",INT(INDEX('Invullen groen'!$H:$H,$L145))),""),"")</f>
        <v/>
      </c>
      <c r="G145" s="123">
        <f>IFERROR(IF($L145&gt;0,IF(INDEX('Invullen groen'!$I:$I,$L145)=0,"",INT(INDEX('Invullen groen'!$I:$I,$L145))),""),"")</f>
        <v/>
      </c>
      <c r="H145" s="123">
        <f>IFERROR(IF($L145&gt;0,IF(INDEX('Invullen groen'!$J:$J,$L145)=0,"",INT(INDEX('Invullen groen'!$J:$J,$L145))),""),"")</f>
        <v/>
      </c>
      <c r="I145" s="123">
        <f>IFERROR(IF($L145&gt;0,IF(INDEX('Invullen groen'!$K:$K,$L145)=0,"",INT(INDEX('Invullen groen'!$K:$K,$L145))),""),"")</f>
        <v/>
      </c>
      <c r="J145">
        <f>IF($L145&gt;0,IFERROR($K$1&amp;" "&amp;TRIM(SUBSTITUTE(SUBSTITUTE(SUBSTITUTE(SUBSTITUTE(SUBSTITUTE(SUBSTITUTE(SUBSTITUTE(SUBSTITUTE(SUBSTITUTE(SUBSTITUTE(SUBSTITUTE(SUBSTITUTE(LOWER(INDEX('Invullen groen'!$O:$O,$L145)),"2024",""),"2025",""),"2026",""),"2027",""),"2028",""),"2029",""),"taakveld ",""),"installaties","inst"),"ruwbouw","ruwb"),"afbouw","afb"),"bijstelling","bijst"),"investeringen","invest")),""),"")</f>
        <v/>
      </c>
      <c r="L145">
        <f>IFERROR(MATCH(ROW()-104,'Invullen groen'!$S$121:$S$272,0)+120,0)</f>
        <v/>
      </c>
    </row>
    <row r="146" hidden="1" s="418">
      <c r="A146" s="124">
        <f>IF($L146&gt;0,"+","")</f>
        <v/>
      </c>
      <c r="B146">
        <f>IFERROR(IF($L146&gt;0,IF(INDEX('Invullen groen'!$F:$F,$L146)&gt;0,INDEX('Invullen groen'!$F:$F,$L146),""),""),"")</f>
        <v/>
      </c>
      <c r="C146">
        <f>IFERROR(IF($L146&gt;0,IF(INDEX('Invullen groen'!$N:$N,$L146)&gt;0,INDEX('Invullen groen'!$N:$N,$L146),""),""),"")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123">
        <f>IFERROR(IF($L146&gt;0,IF(INDEX('Invullen groen'!$H:$H,$L146)=0,"",INT(INDEX('Invullen groen'!$H:$H,$L146))),""),"")</f>
        <v/>
      </c>
      <c r="G146" s="123">
        <f>IFERROR(IF($L146&gt;0,IF(INDEX('Invullen groen'!$I:$I,$L146)=0,"",INT(INDEX('Invullen groen'!$I:$I,$L146))),""),"")</f>
        <v/>
      </c>
      <c r="H146" s="123">
        <f>IFERROR(IF($L146&gt;0,IF(INDEX('Invullen groen'!$J:$J,$L146)=0,"",INT(INDEX('Invullen groen'!$J:$J,$L146))),""),"")</f>
        <v/>
      </c>
      <c r="I146" s="123">
        <f>IFERROR(IF($L146&gt;0,IF(INDEX('Invullen groen'!$K:$K,$L146)=0,"",INT(INDEX('Invullen groen'!$K:$K,$L146))),""),"")</f>
        <v/>
      </c>
      <c r="J146">
        <f>IF($L146&gt;0,IFERROR($K$1&amp;" "&amp;TRIM(SUBSTITUTE(SUBSTITUTE(SUBSTITUTE(SUBSTITUTE(SUBSTITUTE(SUBSTITUTE(SUBSTITUTE(SUBSTITUTE(SUBSTITUTE(SUBSTITUTE(SUBSTITUTE(SUBSTITUTE(LOWER(INDEX('Invullen groen'!$O:$O,$L146)),"2024",""),"2025",""),"2026",""),"2027",""),"2028",""),"2029",""),"taakveld ",""),"installaties","inst"),"ruwbouw","ruwb"),"afbouw","afb"),"bijstelling","bijst"),"investeringen","invest")),""),"")</f>
        <v/>
      </c>
      <c r="L146">
        <f>IFERROR(MATCH(ROW()-104,'Invullen groen'!$S$121:$S$272,0)+120,0)</f>
        <v/>
      </c>
    </row>
    <row r="147" hidden="1" s="418">
      <c r="A147" s="124">
        <f>IF($L147&gt;0,"+","")</f>
        <v/>
      </c>
      <c r="B147">
        <f>IFERROR(IF($L147&gt;0,IF(INDEX('Invullen groen'!$F:$F,$L147)&gt;0,INDEX('Invullen groen'!$F:$F,$L147),""),""),"")</f>
        <v/>
      </c>
      <c r="C147">
        <f>IFERROR(IF($L147&gt;0,IF(INDEX('Invullen groen'!$N:$N,$L147)&gt;0,INDEX('Invullen groen'!$N:$N,$L147),""),""),"")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123">
        <f>IFERROR(IF($L147&gt;0,IF(INDEX('Invullen groen'!$H:$H,$L147)=0,"",INT(INDEX('Invullen groen'!$H:$H,$L147))),""),"")</f>
        <v/>
      </c>
      <c r="G147" s="123">
        <f>IFERROR(IF($L147&gt;0,IF(INDEX('Invullen groen'!$I:$I,$L147)=0,"",INT(INDEX('Invullen groen'!$I:$I,$L147))),""),"")</f>
        <v/>
      </c>
      <c r="H147" s="123">
        <f>IFERROR(IF($L147&gt;0,IF(INDEX('Invullen groen'!$J:$J,$L147)=0,"",INT(INDEX('Invullen groen'!$J:$J,$L147))),""),"")</f>
        <v/>
      </c>
      <c r="I147" s="123">
        <f>IFERROR(IF($L147&gt;0,IF(INDEX('Invullen groen'!$K:$K,$L147)=0,"",INT(INDEX('Invullen groen'!$K:$K,$L147))),""),"")</f>
        <v/>
      </c>
      <c r="J147">
        <f>IF($L147&gt;0,IFERROR($K$1&amp;" "&amp;TRIM(SUBSTITUTE(SUBSTITUTE(SUBSTITUTE(SUBSTITUTE(SUBSTITUTE(SUBSTITUTE(SUBSTITUTE(SUBSTITUTE(SUBSTITUTE(SUBSTITUTE(SUBSTITUTE(SUBSTITUTE(LOWER(INDEX('Invullen groen'!$O:$O,$L147)),"2024",""),"2025",""),"2026",""),"2027",""),"2028",""),"2029",""),"taakveld ",""),"installaties","inst"),"ruwbouw","ruwb"),"afbouw","afb"),"bijstelling","bijst"),"investeringen","invest")),""),"")</f>
        <v/>
      </c>
      <c r="L147">
        <f>IFERROR(MATCH(ROW()-104,'Invullen groen'!$S$121:$S$272,0)+120,0)</f>
        <v/>
      </c>
    </row>
    <row r="148" hidden="1" s="418">
      <c r="A148" s="124">
        <f>IF($L148&gt;0,"+","")</f>
        <v/>
      </c>
      <c r="B148">
        <f>IFERROR(IF($L148&gt;0,IF(INDEX('Invullen groen'!$F:$F,$L148)&gt;0,INDEX('Invullen groen'!$F:$F,$L148),""),""),"")</f>
        <v/>
      </c>
      <c r="C148">
        <f>IFERROR(IF($L148&gt;0,IF(INDEX('Invullen groen'!$N:$N,$L148)&gt;0,INDEX('Invullen groen'!$N:$N,$L148),""),""),"")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123">
        <f>IFERROR(IF($L148&gt;0,IF(INDEX('Invullen groen'!$H:$H,$L148)=0,"",INT(INDEX('Invullen groen'!$H:$H,$L148))),""),"")</f>
        <v/>
      </c>
      <c r="G148" s="123">
        <f>IFERROR(IF($L148&gt;0,IF(INDEX('Invullen groen'!$I:$I,$L148)=0,"",INT(INDEX('Invullen groen'!$I:$I,$L148))),""),"")</f>
        <v/>
      </c>
      <c r="H148" s="123">
        <f>IFERROR(IF($L148&gt;0,IF(INDEX('Invullen groen'!$J:$J,$L148)=0,"",INT(INDEX('Invullen groen'!$J:$J,$L148))),""),"")</f>
        <v/>
      </c>
      <c r="I148" s="123">
        <f>IFERROR(IF($L148&gt;0,IF(INDEX('Invullen groen'!$K:$K,$L148)=0,"",INT(INDEX('Invullen groen'!$K:$K,$L148))),""),"")</f>
        <v/>
      </c>
      <c r="J148">
        <f>IF($L148&gt;0,IFERROR($K$1&amp;" "&amp;TRIM(SUBSTITUTE(SUBSTITUTE(SUBSTITUTE(SUBSTITUTE(SUBSTITUTE(SUBSTITUTE(SUBSTITUTE(SUBSTITUTE(SUBSTITUTE(SUBSTITUTE(SUBSTITUTE(SUBSTITUTE(LOWER(INDEX('Invullen groen'!$O:$O,$L148)),"2024",""),"2025",""),"2026",""),"2027",""),"2028",""),"2029",""),"taakveld ",""),"installaties","inst"),"ruwbouw","ruwb"),"afbouw","afb"),"bijstelling","bijst"),"investeringen","invest")),""),"")</f>
        <v/>
      </c>
      <c r="L148">
        <f>IFERROR(MATCH(ROW()-104,'Invullen groen'!$S$121:$S$272,0)+120,0)</f>
        <v/>
      </c>
    </row>
    <row r="149" hidden="1" s="418">
      <c r="A149" s="124">
        <f>IF($L149&gt;0,"+","")</f>
        <v/>
      </c>
      <c r="B149">
        <f>IFERROR(IF($L149&gt;0,IF(INDEX('Invullen groen'!$F:$F,$L149)&gt;0,INDEX('Invullen groen'!$F:$F,$L149),""),""),"")</f>
        <v/>
      </c>
      <c r="C149">
        <f>IFERROR(IF($L149&gt;0,IF(INDEX('Invullen groen'!$N:$N,$L149)&gt;0,INDEX('Invullen groen'!$N:$N,$L149),""),""),"")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123">
        <f>IFERROR(IF($L149&gt;0,IF(INDEX('Invullen groen'!$H:$H,$L149)=0,"",INT(INDEX('Invullen groen'!$H:$H,$L149))),""),"")</f>
        <v/>
      </c>
      <c r="G149" s="123">
        <f>IFERROR(IF($L149&gt;0,IF(INDEX('Invullen groen'!$I:$I,$L149)=0,"",INT(INDEX('Invullen groen'!$I:$I,$L149))),""),"")</f>
        <v/>
      </c>
      <c r="H149" s="123">
        <f>IFERROR(IF($L149&gt;0,IF(INDEX('Invullen groen'!$J:$J,$L149)=0,"",INT(INDEX('Invullen groen'!$J:$J,$L149))),""),"")</f>
        <v/>
      </c>
      <c r="I149" s="123">
        <f>IFERROR(IF($L149&gt;0,IF(INDEX('Invullen groen'!$K:$K,$L149)=0,"",INT(INDEX('Invullen groen'!$K:$K,$L149))),""),"")</f>
        <v/>
      </c>
      <c r="J149">
        <f>IF($L149&gt;0,IFERROR($K$1&amp;" "&amp;TRIM(SUBSTITUTE(SUBSTITUTE(SUBSTITUTE(SUBSTITUTE(SUBSTITUTE(SUBSTITUTE(SUBSTITUTE(SUBSTITUTE(SUBSTITUTE(SUBSTITUTE(SUBSTITUTE(SUBSTITUTE(LOWER(INDEX('Invullen groen'!$O:$O,$L149)),"2024",""),"2025",""),"2026",""),"2027",""),"2028",""),"2029",""),"taakveld ",""),"installaties","inst"),"ruwbouw","ruwb"),"afbouw","afb"),"bijstelling","bijst"),"investeringen","invest")),""),"")</f>
        <v/>
      </c>
      <c r="L149">
        <f>IFERROR(MATCH(ROW()-104,'Invullen groen'!$S$121:$S$272,0)+120,0)</f>
        <v/>
      </c>
    </row>
    <row r="150" hidden="1" s="418">
      <c r="A150" s="124">
        <f>IF($L150&gt;0,"+","")</f>
        <v/>
      </c>
      <c r="B150">
        <f>IFERROR(IF($L150&gt;0,IF(INDEX('Invullen groen'!$F:$F,$L150)&gt;0,INDEX('Invullen groen'!$F:$F,$L150),""),""),"")</f>
        <v/>
      </c>
      <c r="C150">
        <f>IFERROR(IF($L150&gt;0,IF(INDEX('Invullen groen'!$N:$N,$L150)&gt;0,INDEX('Invullen groen'!$N:$N,$L150),""),""),"")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123">
        <f>IFERROR(IF($L150&gt;0,IF(INDEX('Invullen groen'!$H:$H,$L150)=0,"",INT(INDEX('Invullen groen'!$H:$H,$L150))),""),"")</f>
        <v/>
      </c>
      <c r="G150" s="123">
        <f>IFERROR(IF($L150&gt;0,IF(INDEX('Invullen groen'!$I:$I,$L150)=0,"",INT(INDEX('Invullen groen'!$I:$I,$L150))),""),"")</f>
        <v/>
      </c>
      <c r="H150" s="123">
        <f>IFERROR(IF($L150&gt;0,IF(INDEX('Invullen groen'!$J:$J,$L150)=0,"",INT(INDEX('Invullen groen'!$J:$J,$L150))),""),"")</f>
        <v/>
      </c>
      <c r="I150" s="123">
        <f>IFERROR(IF($L150&gt;0,IF(INDEX('Invullen groen'!$K:$K,$L150)=0,"",INT(INDEX('Invullen groen'!$K:$K,$L150))),""),"")</f>
        <v/>
      </c>
      <c r="J150">
        <f>IF($L150&gt;0,IFERROR($K$1&amp;" "&amp;TRIM(SUBSTITUTE(SUBSTITUTE(SUBSTITUTE(SUBSTITUTE(SUBSTITUTE(SUBSTITUTE(SUBSTITUTE(SUBSTITUTE(SUBSTITUTE(SUBSTITUTE(SUBSTITUTE(SUBSTITUTE(LOWER(INDEX('Invullen groen'!$O:$O,$L150)),"2024",""),"2025",""),"2026",""),"2027",""),"2028",""),"2029",""),"taakveld ",""),"installaties","inst"),"ruwbouw","ruwb"),"afbouw","afb"),"bijstelling","bijst"),"investeringen","invest")),""),"")</f>
        <v/>
      </c>
      <c r="L150">
        <f>IFERROR(MATCH(ROW()-104,'Invullen groen'!$S$121:$S$272,0)+120,0)</f>
        <v/>
      </c>
    </row>
    <row r="151" hidden="1" s="418">
      <c r="A151" s="124">
        <f>IF($L151&gt;0,"+","")</f>
        <v/>
      </c>
      <c r="B151">
        <f>IFERROR(IF($L151&gt;0,IF(INDEX('Invullen groen'!$F:$F,$L151)&gt;0,INDEX('Invullen groen'!$F:$F,$L151),""),""),"")</f>
        <v/>
      </c>
      <c r="C151">
        <f>IFERROR(IF($L151&gt;0,IF(INDEX('Invullen groen'!$N:$N,$L151)&gt;0,INDEX('Invullen groen'!$N:$N,$L151),""),""),"")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123">
        <f>IFERROR(IF($L151&gt;0,IF(INDEX('Invullen groen'!$H:$H,$L151)=0,"",INT(INDEX('Invullen groen'!$H:$H,$L151))),""),"")</f>
        <v/>
      </c>
      <c r="G151" s="123">
        <f>IFERROR(IF($L151&gt;0,IF(INDEX('Invullen groen'!$I:$I,$L151)=0,"",INT(INDEX('Invullen groen'!$I:$I,$L151))),""),"")</f>
        <v/>
      </c>
      <c r="H151" s="123">
        <f>IFERROR(IF($L151&gt;0,IF(INDEX('Invullen groen'!$J:$J,$L151)=0,"",INT(INDEX('Invullen groen'!$J:$J,$L151))),""),"")</f>
        <v/>
      </c>
      <c r="I151" s="123">
        <f>IFERROR(IF($L151&gt;0,IF(INDEX('Invullen groen'!$K:$K,$L151)=0,"",INT(INDEX('Invullen groen'!$K:$K,$L151))),""),"")</f>
        <v/>
      </c>
      <c r="J151">
        <f>IF($L151&gt;0,IFERROR($K$1&amp;" "&amp;TRIM(SUBSTITUTE(SUBSTITUTE(SUBSTITUTE(SUBSTITUTE(SUBSTITUTE(SUBSTITUTE(SUBSTITUTE(SUBSTITUTE(SUBSTITUTE(SUBSTITUTE(SUBSTITUTE(SUBSTITUTE(LOWER(INDEX('Invullen groen'!$O:$O,$L151)),"2024",""),"2025",""),"2026",""),"2027",""),"2028",""),"2029",""),"taakveld ",""),"installaties","inst"),"ruwbouw","ruwb"),"afbouw","afb"),"bijstelling","bijst"),"investeringen","invest")),""),"")</f>
        <v/>
      </c>
      <c r="L151">
        <f>IFERROR(MATCH(ROW()-104,'Invullen groen'!$S$121:$S$272,0)+120,0)</f>
        <v/>
      </c>
    </row>
    <row r="152" hidden="1" s="418">
      <c r="A152" s="124">
        <f>IF($L152&gt;0,"+","")</f>
        <v/>
      </c>
      <c r="B152">
        <f>IFERROR(IF($L152&gt;0,IF(INDEX('Invullen groen'!$F:$F,$L152)&gt;0,INDEX('Invullen groen'!$F:$F,$L152),""),""),"")</f>
        <v/>
      </c>
      <c r="C152">
        <f>IFERROR(IF($L152&gt;0,IF(INDEX('Invullen groen'!$N:$N,$L152)&gt;0,INDEX('Invullen groen'!$N:$N,$L152),""),""),"")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123">
        <f>IFERROR(IF($L152&gt;0,IF(INDEX('Invullen groen'!$H:$H,$L152)=0,"",INT(INDEX('Invullen groen'!$H:$H,$L152))),""),"")</f>
        <v/>
      </c>
      <c r="G152" s="123">
        <f>IFERROR(IF($L152&gt;0,IF(INDEX('Invullen groen'!$I:$I,$L152)=0,"",INT(INDEX('Invullen groen'!$I:$I,$L152))),""),"")</f>
        <v/>
      </c>
      <c r="H152" s="123">
        <f>IFERROR(IF($L152&gt;0,IF(INDEX('Invullen groen'!$J:$J,$L152)=0,"",INT(INDEX('Invullen groen'!$J:$J,$L152))),""),"")</f>
        <v/>
      </c>
      <c r="I152" s="123">
        <f>IFERROR(IF($L152&gt;0,IF(INDEX('Invullen groen'!$K:$K,$L152)=0,"",INT(INDEX('Invullen groen'!$K:$K,$L152))),""),"")</f>
        <v/>
      </c>
      <c r="J152">
        <f>IF($L152&gt;0,IFERROR($K$1&amp;" "&amp;TRIM(SUBSTITUTE(SUBSTITUTE(SUBSTITUTE(SUBSTITUTE(SUBSTITUTE(SUBSTITUTE(SUBSTITUTE(SUBSTITUTE(SUBSTITUTE(SUBSTITUTE(SUBSTITUTE(SUBSTITUTE(LOWER(INDEX('Invullen groen'!$O:$O,$L152)),"2024",""),"2025",""),"2026",""),"2027",""),"2028",""),"2029",""),"taakveld ",""),"installaties","inst"),"ruwbouw","ruwb"),"afbouw","afb"),"bijstelling","bijst"),"investeringen","invest")),""),"")</f>
        <v/>
      </c>
      <c r="L152">
        <f>IFERROR(MATCH(ROW()-104,'Invullen groen'!$S$121:$S$272,0)+120,0)</f>
        <v/>
      </c>
    </row>
    <row r="153" hidden="1" s="418">
      <c r="A153" s="124">
        <f>IF($L153&gt;0,"+","")</f>
        <v/>
      </c>
      <c r="B153">
        <f>IFERROR(IF($L153&gt;0,IF(INDEX('Invullen groen'!$F:$F,$L153)&gt;0,INDEX('Invullen groen'!$F:$F,$L153),""),""),"")</f>
        <v/>
      </c>
      <c r="C153">
        <f>IFERROR(IF($L153&gt;0,IF(INDEX('Invullen groen'!$N:$N,$L153)&gt;0,INDEX('Invullen groen'!$N:$N,$L153),""),""),"")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123">
        <f>IFERROR(IF($L153&gt;0,IF(INDEX('Invullen groen'!$H:$H,$L153)=0,"",INT(INDEX('Invullen groen'!$H:$H,$L153))),""),"")</f>
        <v/>
      </c>
      <c r="G153" s="123">
        <f>IFERROR(IF($L153&gt;0,IF(INDEX('Invullen groen'!$I:$I,$L153)=0,"",INT(INDEX('Invullen groen'!$I:$I,$L153))),""),"")</f>
        <v/>
      </c>
      <c r="H153" s="123">
        <f>IFERROR(IF($L153&gt;0,IF(INDEX('Invullen groen'!$J:$J,$L153)=0,"",INT(INDEX('Invullen groen'!$J:$J,$L153))),""),"")</f>
        <v/>
      </c>
      <c r="I153" s="123">
        <f>IFERROR(IF($L153&gt;0,IF(INDEX('Invullen groen'!$K:$K,$L153)=0,"",INT(INDEX('Invullen groen'!$K:$K,$L153))),""),"")</f>
        <v/>
      </c>
      <c r="J153">
        <f>IF($L153&gt;0,IFERROR($K$1&amp;" "&amp;TRIM(SUBSTITUTE(SUBSTITUTE(SUBSTITUTE(SUBSTITUTE(SUBSTITUTE(SUBSTITUTE(SUBSTITUTE(SUBSTITUTE(SUBSTITUTE(SUBSTITUTE(SUBSTITUTE(SUBSTITUTE(LOWER(INDEX('Invullen groen'!$O:$O,$L153)),"2024",""),"2025",""),"2026",""),"2027",""),"2028",""),"2029",""),"taakveld ",""),"installaties","inst"),"ruwbouw","ruwb"),"afbouw","afb"),"bijstelling","bijst"),"investeringen","invest")),""),"")</f>
        <v/>
      </c>
      <c r="L153">
        <f>IFERROR(MATCH(ROW()-104,'Invullen groen'!$S$121:$S$272,0)+120,0)</f>
        <v/>
      </c>
    </row>
    <row r="154" hidden="1" s="418">
      <c r="A154" s="124">
        <f>IF($L154&gt;0,"+","")</f>
        <v/>
      </c>
      <c r="B154">
        <f>IFERROR(IF($L154&gt;0,IF(INDEX('Invullen groen'!$F:$F,$L154)&gt;0,INDEX('Invullen groen'!$F:$F,$L154),""),""),"")</f>
        <v/>
      </c>
      <c r="C154">
        <f>IFERROR(IF($L154&gt;0,IF(INDEX('Invullen groen'!$N:$N,$L154)&gt;0,INDEX('Invullen groen'!$N:$N,$L154),""),""),"")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123">
        <f>IFERROR(IF($L154&gt;0,IF(INDEX('Invullen groen'!$H:$H,$L154)=0,"",INT(INDEX('Invullen groen'!$H:$H,$L154))),""),"")</f>
        <v/>
      </c>
      <c r="G154" s="123">
        <f>IFERROR(IF($L154&gt;0,IF(INDEX('Invullen groen'!$I:$I,$L154)=0,"",INT(INDEX('Invullen groen'!$I:$I,$L154))),""),"")</f>
        <v/>
      </c>
      <c r="H154" s="123">
        <f>IFERROR(IF($L154&gt;0,IF(INDEX('Invullen groen'!$J:$J,$L154)=0,"",INT(INDEX('Invullen groen'!$J:$J,$L154))),""),"")</f>
        <v/>
      </c>
      <c r="I154" s="123">
        <f>IFERROR(IF($L154&gt;0,IF(INDEX('Invullen groen'!$K:$K,$L154)=0,"",INT(INDEX('Invullen groen'!$K:$K,$L154))),""),"")</f>
        <v/>
      </c>
      <c r="J154">
        <f>IF($L154&gt;0,IFERROR($K$1&amp;" "&amp;TRIM(SUBSTITUTE(SUBSTITUTE(SUBSTITUTE(SUBSTITUTE(SUBSTITUTE(SUBSTITUTE(SUBSTITUTE(SUBSTITUTE(SUBSTITUTE(SUBSTITUTE(SUBSTITUTE(SUBSTITUTE(LOWER(INDEX('Invullen groen'!$O:$O,$L154)),"2024",""),"2025",""),"2026",""),"2027",""),"2028",""),"2029",""),"taakveld ",""),"installaties","inst"),"ruwbouw","ruwb"),"afbouw","afb"),"bijstelling","bijst"),"investeringen","invest")),""),"")</f>
        <v/>
      </c>
      <c r="L154">
        <f>IFERROR(MATCH(ROW()-104,'Invullen groen'!$S$121:$S$272,0)+120,0)</f>
        <v/>
      </c>
    </row>
    <row r="155" hidden="1" s="418">
      <c r="A155" s="124">
        <f>IF($L155&gt;0,"+","")</f>
        <v/>
      </c>
      <c r="B155">
        <f>IFERROR(IF($L155&gt;0,IF(INDEX('Invullen groen'!$F:$F,$L155)&gt;0,INDEX('Invullen groen'!$F:$F,$L155),""),""),"")</f>
        <v/>
      </c>
      <c r="C155">
        <f>IFERROR(IF($L155&gt;0,IF(INDEX('Invullen groen'!$N:$N,$L155)&gt;0,INDEX('Invullen groen'!$N:$N,$L155),""),""),"")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123">
        <f>IFERROR(IF($L155&gt;0,IF(INDEX('Invullen groen'!$H:$H,$L155)=0,"",INT(INDEX('Invullen groen'!$H:$H,$L155))),""),"")</f>
        <v/>
      </c>
      <c r="G155" s="123">
        <f>IFERROR(IF($L155&gt;0,IF(INDEX('Invullen groen'!$I:$I,$L155)=0,"",INT(INDEX('Invullen groen'!$I:$I,$L155))),""),"")</f>
        <v/>
      </c>
      <c r="H155" s="123">
        <f>IFERROR(IF($L155&gt;0,IF(INDEX('Invullen groen'!$J:$J,$L155)=0,"",INT(INDEX('Invullen groen'!$J:$J,$L155))),""),"")</f>
        <v/>
      </c>
      <c r="I155" s="123">
        <f>IFERROR(IF($L155&gt;0,IF(INDEX('Invullen groen'!$K:$K,$L155)=0,"",INT(INDEX('Invullen groen'!$K:$K,$L155))),""),"")</f>
        <v/>
      </c>
      <c r="J155">
        <f>IF($L155&gt;0,IFERROR($K$1&amp;" "&amp;TRIM(SUBSTITUTE(SUBSTITUTE(SUBSTITUTE(SUBSTITUTE(SUBSTITUTE(SUBSTITUTE(SUBSTITUTE(SUBSTITUTE(SUBSTITUTE(SUBSTITUTE(SUBSTITUTE(SUBSTITUTE(LOWER(INDEX('Invullen groen'!$O:$O,$L155)),"2024",""),"2025",""),"2026",""),"2027",""),"2028",""),"2029",""),"taakveld ",""),"installaties","inst"),"ruwbouw","ruwb"),"afbouw","afb"),"bijstelling","bijst"),"investeringen","invest")),""),"")</f>
        <v/>
      </c>
      <c r="L155">
        <f>IFERROR(MATCH(ROW()-104,'Invullen groen'!$S$121:$S$272,0)+120,0)</f>
        <v/>
      </c>
    </row>
    <row r="156" hidden="1" s="418">
      <c r="A156" s="124">
        <f>IF($L156&gt;0,"+","")</f>
        <v/>
      </c>
      <c r="B156">
        <f>IFERROR(IF($L156&gt;0,IF(INDEX('Invullen groen'!$F:$F,$L156)&gt;0,INDEX('Invullen groen'!$F:$F,$L156),""),""),"")</f>
        <v/>
      </c>
      <c r="C156">
        <f>IFERROR(IF($L156&gt;0,IF(INDEX('Invullen groen'!$N:$N,$L156)&gt;0,INDEX('Invullen groen'!$N:$N,$L156),""),""),"")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123">
        <f>IFERROR(IF($L156&gt;0,IF(INDEX('Invullen groen'!$H:$H,$L156)=0,"",INT(INDEX('Invullen groen'!$H:$H,$L156))),""),"")</f>
        <v/>
      </c>
      <c r="G156" s="123">
        <f>IFERROR(IF($L156&gt;0,IF(INDEX('Invullen groen'!$I:$I,$L156)=0,"",INT(INDEX('Invullen groen'!$I:$I,$L156))),""),"")</f>
        <v/>
      </c>
      <c r="H156" s="123">
        <f>IFERROR(IF($L156&gt;0,IF(INDEX('Invullen groen'!$J:$J,$L156)=0,"",INT(INDEX('Invullen groen'!$J:$J,$L156))),""),"")</f>
        <v/>
      </c>
      <c r="I156" s="123">
        <f>IFERROR(IF($L156&gt;0,IF(INDEX('Invullen groen'!$K:$K,$L156)=0,"",INT(INDEX('Invullen groen'!$K:$K,$L156))),""),"")</f>
        <v/>
      </c>
      <c r="J156">
        <f>IF($L156&gt;0,IFERROR($K$1&amp;" "&amp;TRIM(SUBSTITUTE(SUBSTITUTE(SUBSTITUTE(SUBSTITUTE(SUBSTITUTE(SUBSTITUTE(SUBSTITUTE(SUBSTITUTE(SUBSTITUTE(SUBSTITUTE(SUBSTITUTE(SUBSTITUTE(LOWER(INDEX('Invullen groen'!$O:$O,$L156)),"2024",""),"2025",""),"2026",""),"2027",""),"2028",""),"2029",""),"taakveld ",""),"installaties","inst"),"ruwbouw","ruwb"),"afbouw","afb"),"bijstelling","bijst"),"investeringen","invest")),""),"")</f>
        <v/>
      </c>
      <c r="L156">
        <f>IFERROR(MATCH(ROW()-104,'Invullen groen'!$S$121:$S$272,0)+120,0)</f>
        <v/>
      </c>
    </row>
    <row r="157" hidden="1" s="418">
      <c r="A157" s="124">
        <f>IF($L157&gt;0,"+","")</f>
        <v/>
      </c>
      <c r="B157">
        <f>IFERROR(IF($L157&gt;0,IF(INDEX('Invullen groen'!$F:$F,$L157)&gt;0,INDEX('Invullen groen'!$F:$F,$L157),""),""),"")</f>
        <v/>
      </c>
      <c r="C157">
        <f>IFERROR(IF($L157&gt;0,IF(INDEX('Invullen groen'!$N:$N,$L157)&gt;0,INDEX('Invullen groen'!$N:$N,$L157),""),""),"")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123">
        <f>IFERROR(IF($L157&gt;0,IF(INDEX('Invullen groen'!$H:$H,$L157)=0,"",INT(INDEX('Invullen groen'!$H:$H,$L157))),""),"")</f>
        <v/>
      </c>
      <c r="G157" s="123">
        <f>IFERROR(IF($L157&gt;0,IF(INDEX('Invullen groen'!$I:$I,$L157)=0,"",INT(INDEX('Invullen groen'!$I:$I,$L157))),""),"")</f>
        <v/>
      </c>
      <c r="H157" s="123">
        <f>IFERROR(IF($L157&gt;0,IF(INDEX('Invullen groen'!$J:$J,$L157)=0,"",INT(INDEX('Invullen groen'!$J:$J,$L157))),""),"")</f>
        <v/>
      </c>
      <c r="I157" s="123">
        <f>IFERROR(IF($L157&gt;0,IF(INDEX('Invullen groen'!$K:$K,$L157)=0,"",INT(INDEX('Invullen groen'!$K:$K,$L157))),""),"")</f>
        <v/>
      </c>
      <c r="J157">
        <f>IF($L157&gt;0,IFERROR($K$1&amp;" "&amp;TRIM(SUBSTITUTE(SUBSTITUTE(SUBSTITUTE(SUBSTITUTE(SUBSTITUTE(SUBSTITUTE(SUBSTITUTE(SUBSTITUTE(SUBSTITUTE(SUBSTITUTE(SUBSTITUTE(SUBSTITUTE(LOWER(INDEX('Invullen groen'!$O:$O,$L157)),"2024",""),"2025",""),"2026",""),"2027",""),"2028",""),"2029",""),"taakveld ",""),"installaties","inst"),"ruwbouw","ruwb"),"afbouw","afb"),"bijstelling","bijst"),"investeringen","invest")),""),"")</f>
        <v/>
      </c>
      <c r="L157">
        <f>IFERROR(MATCH(ROW()-104,'Invullen groen'!$S$121:$S$272,0)+120,0)</f>
        <v/>
      </c>
    </row>
    <row r="158" hidden="1" s="418">
      <c r="A158" s="124">
        <f>IF($L158&gt;0,"+","")</f>
        <v/>
      </c>
      <c r="B158">
        <f>IFERROR(IF($L158&gt;0,IF(INDEX('Invullen groen'!$F:$F,$L158)&gt;0,INDEX('Invullen groen'!$F:$F,$L158),""),""),"")</f>
        <v/>
      </c>
      <c r="C158">
        <f>IFERROR(IF($L158&gt;0,IF(INDEX('Invullen groen'!$N:$N,$L158)&gt;0,INDEX('Invullen groen'!$N:$N,$L158),""),""),"")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123">
        <f>IFERROR(IF($L158&gt;0,IF(INDEX('Invullen groen'!$H:$H,$L158)=0,"",INT(INDEX('Invullen groen'!$H:$H,$L158))),""),"")</f>
        <v/>
      </c>
      <c r="G158" s="123">
        <f>IFERROR(IF($L158&gt;0,IF(INDEX('Invullen groen'!$I:$I,$L158)=0,"",INT(INDEX('Invullen groen'!$I:$I,$L158))),""),"")</f>
        <v/>
      </c>
      <c r="H158" s="123">
        <f>IFERROR(IF($L158&gt;0,IF(INDEX('Invullen groen'!$J:$J,$L158)=0,"",INT(INDEX('Invullen groen'!$J:$J,$L158))),""),"")</f>
        <v/>
      </c>
      <c r="I158" s="123">
        <f>IFERROR(IF($L158&gt;0,IF(INDEX('Invullen groen'!$K:$K,$L158)=0,"",INT(INDEX('Invullen groen'!$K:$K,$L158))),""),"")</f>
        <v/>
      </c>
      <c r="J158">
        <f>IF($L158&gt;0,IFERROR($K$1&amp;" "&amp;TRIM(SUBSTITUTE(SUBSTITUTE(SUBSTITUTE(SUBSTITUTE(SUBSTITUTE(SUBSTITUTE(SUBSTITUTE(SUBSTITUTE(SUBSTITUTE(SUBSTITUTE(SUBSTITUTE(SUBSTITUTE(LOWER(INDEX('Invullen groen'!$O:$O,$L158)),"2024",""),"2025",""),"2026",""),"2027",""),"2028",""),"2029",""),"taakveld ",""),"installaties","inst"),"ruwbouw","ruwb"),"afbouw","afb"),"bijstelling","bijst"),"investeringen","invest")),""),"")</f>
        <v/>
      </c>
      <c r="L158">
        <f>IFERROR(MATCH(ROW()-104,'Invullen groen'!$S$121:$S$272,0)+120,0)</f>
        <v/>
      </c>
    </row>
    <row r="159" hidden="1" s="418">
      <c r="A159" s="124">
        <f>IF($L159&gt;0,"+","")</f>
        <v/>
      </c>
      <c r="B159">
        <f>IFERROR(IF($L159&gt;0,IF(INDEX('Invullen groen'!$F:$F,$L159)&gt;0,INDEX('Invullen groen'!$F:$F,$L159),""),""),"")</f>
        <v/>
      </c>
      <c r="C159">
        <f>IFERROR(IF($L159&gt;0,IF(INDEX('Invullen groen'!$N:$N,$L159)&gt;0,INDEX('Invullen groen'!$N:$N,$L159),""),""),"")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123">
        <f>IFERROR(IF($L159&gt;0,IF(INDEX('Invullen groen'!$H:$H,$L159)=0,"",INT(INDEX('Invullen groen'!$H:$H,$L159))),""),"")</f>
        <v/>
      </c>
      <c r="G159" s="123">
        <f>IFERROR(IF($L159&gt;0,IF(INDEX('Invullen groen'!$I:$I,$L159)=0,"",INT(INDEX('Invullen groen'!$I:$I,$L159))),""),"")</f>
        <v/>
      </c>
      <c r="H159" s="123">
        <f>IFERROR(IF($L159&gt;0,IF(INDEX('Invullen groen'!$J:$J,$L159)=0,"",INT(INDEX('Invullen groen'!$J:$J,$L159))),""),"")</f>
        <v/>
      </c>
      <c r="I159" s="123">
        <f>IFERROR(IF($L159&gt;0,IF(INDEX('Invullen groen'!$K:$K,$L159)=0,"",INT(INDEX('Invullen groen'!$K:$K,$L159))),""),"")</f>
        <v/>
      </c>
      <c r="J159">
        <f>IF($L159&gt;0,IFERROR($K$1&amp;" "&amp;TRIM(SUBSTITUTE(SUBSTITUTE(SUBSTITUTE(SUBSTITUTE(SUBSTITUTE(SUBSTITUTE(SUBSTITUTE(SUBSTITUTE(SUBSTITUTE(SUBSTITUTE(SUBSTITUTE(SUBSTITUTE(LOWER(INDEX('Invullen groen'!$O:$O,$L159)),"2024",""),"2025",""),"2026",""),"2027",""),"2028",""),"2029",""),"taakveld ",""),"installaties","inst"),"ruwbouw","ruwb"),"afbouw","afb"),"bijstelling","bijst"),"investeringen","invest")),""),"")</f>
        <v/>
      </c>
      <c r="L159">
        <f>IFERROR(MATCH(ROW()-104,'Invullen groen'!$S$121:$S$272,0)+120,0)</f>
        <v/>
      </c>
    </row>
    <row r="160" hidden="1" s="418">
      <c r="A160" s="124">
        <f>IF($L160&gt;0,"+","")</f>
        <v/>
      </c>
      <c r="B160">
        <f>IFERROR(IF($L160&gt;0,IF(INDEX('Invullen groen'!$F:$F,$L160)&gt;0,INDEX('Invullen groen'!$F:$F,$L160),""),""),"")</f>
        <v/>
      </c>
      <c r="C160">
        <f>IFERROR(IF($L160&gt;0,IF(INDEX('Invullen groen'!$N:$N,$L160)&gt;0,INDEX('Invullen groen'!$N:$N,$L160),""),""),"")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123">
        <f>IFERROR(IF($L160&gt;0,IF(INDEX('Invullen groen'!$H:$H,$L160)=0,"",INT(INDEX('Invullen groen'!$H:$H,$L160))),""),"")</f>
        <v/>
      </c>
      <c r="G160" s="123">
        <f>IFERROR(IF($L160&gt;0,IF(INDEX('Invullen groen'!$I:$I,$L160)=0,"",INT(INDEX('Invullen groen'!$I:$I,$L160))),""),"")</f>
        <v/>
      </c>
      <c r="H160" s="123">
        <f>IFERROR(IF($L160&gt;0,IF(INDEX('Invullen groen'!$J:$J,$L160)=0,"",INT(INDEX('Invullen groen'!$J:$J,$L160))),""),"")</f>
        <v/>
      </c>
      <c r="I160" s="123">
        <f>IFERROR(IF($L160&gt;0,IF(INDEX('Invullen groen'!$K:$K,$L160)=0,"",INT(INDEX('Invullen groen'!$K:$K,$L160))),""),"")</f>
        <v/>
      </c>
      <c r="J160">
        <f>IF($L160&gt;0,IFERROR($K$1&amp;" "&amp;TRIM(SUBSTITUTE(SUBSTITUTE(SUBSTITUTE(SUBSTITUTE(SUBSTITUTE(SUBSTITUTE(SUBSTITUTE(SUBSTITUTE(SUBSTITUTE(SUBSTITUTE(SUBSTITUTE(SUBSTITUTE(LOWER(INDEX('Invullen groen'!$O:$O,$L160)),"2024",""),"2025",""),"2026",""),"2027",""),"2028",""),"2029",""),"taakveld ",""),"installaties","inst"),"ruwbouw","ruwb"),"afbouw","afb"),"bijstelling","bijst"),"investeringen","invest")),""),"")</f>
        <v/>
      </c>
      <c r="L160">
        <f>IFERROR(MATCH(ROW()-104,'Invullen groen'!$S$121:$S$272,0)+120,0)</f>
        <v/>
      </c>
    </row>
    <row r="161" hidden="1" s="418">
      <c r="A161" s="124">
        <f>IF($L161&gt;0,"+","")</f>
        <v/>
      </c>
      <c r="B161">
        <f>IFERROR(IF($L161&gt;0,IF(INDEX('Invullen groen'!$F:$F,$L161)&gt;0,INDEX('Invullen groen'!$F:$F,$L161),""),""),"")</f>
        <v/>
      </c>
      <c r="C161">
        <f>IFERROR(IF($L161&gt;0,IF(INDEX('Invullen groen'!$N:$N,$L161)&gt;0,INDEX('Invullen groen'!$N:$N,$L161),""),""),"")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123">
        <f>IFERROR(IF($L161&gt;0,IF(INDEX('Invullen groen'!$H:$H,$L161)=0,"",INT(INDEX('Invullen groen'!$H:$H,$L161))),""),"")</f>
        <v/>
      </c>
      <c r="G161" s="123">
        <f>IFERROR(IF($L161&gt;0,IF(INDEX('Invullen groen'!$I:$I,$L161)=0,"",INT(INDEX('Invullen groen'!$I:$I,$L161))),""),"")</f>
        <v/>
      </c>
      <c r="H161" s="123">
        <f>IFERROR(IF($L161&gt;0,IF(INDEX('Invullen groen'!$J:$J,$L161)=0,"",INT(INDEX('Invullen groen'!$J:$J,$L161))),""),"")</f>
        <v/>
      </c>
      <c r="I161" s="123">
        <f>IFERROR(IF($L161&gt;0,IF(INDEX('Invullen groen'!$K:$K,$L161)=0,"",INT(INDEX('Invullen groen'!$K:$K,$L161))),""),"")</f>
        <v/>
      </c>
      <c r="J161">
        <f>IF($L161&gt;0,IFERROR($K$1&amp;" "&amp;TRIM(SUBSTITUTE(SUBSTITUTE(SUBSTITUTE(SUBSTITUTE(SUBSTITUTE(SUBSTITUTE(SUBSTITUTE(SUBSTITUTE(SUBSTITUTE(SUBSTITUTE(SUBSTITUTE(SUBSTITUTE(LOWER(INDEX('Invullen groen'!$O:$O,$L161)),"2024",""),"2025",""),"2026",""),"2027",""),"2028",""),"2029",""),"taakveld ",""),"installaties","inst"),"ruwbouw","ruwb"),"afbouw","afb"),"bijstelling","bijst"),"investeringen","invest")),""),"")</f>
        <v/>
      </c>
      <c r="L161">
        <f>IFERROR(MATCH(ROW()-104,'Invullen groen'!$S$121:$S$272,0)+120,0)</f>
        <v/>
      </c>
    </row>
    <row r="162" hidden="1" s="418">
      <c r="A162" s="124">
        <f>IF($L162&gt;0,"+","")</f>
        <v/>
      </c>
      <c r="B162">
        <f>IFERROR(IF($L162&gt;0,IF(INDEX('Invullen groen'!$F:$F,$L162)&gt;0,INDEX('Invullen groen'!$F:$F,$L162),""),""),"")</f>
        <v/>
      </c>
      <c r="C162">
        <f>IFERROR(IF($L162&gt;0,IF(INDEX('Invullen groen'!$N:$N,$L162)&gt;0,INDEX('Invullen groen'!$N:$N,$L162),""),""),"")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123">
        <f>IFERROR(IF($L162&gt;0,IF(INDEX('Invullen groen'!$H:$H,$L162)=0,"",INT(INDEX('Invullen groen'!$H:$H,$L162))),""),"")</f>
        <v/>
      </c>
      <c r="G162" s="123">
        <f>IFERROR(IF($L162&gt;0,IF(INDEX('Invullen groen'!$I:$I,$L162)=0,"",INT(INDEX('Invullen groen'!$I:$I,$L162))),""),"")</f>
        <v/>
      </c>
      <c r="H162" s="123">
        <f>IFERROR(IF($L162&gt;0,IF(INDEX('Invullen groen'!$J:$J,$L162)=0,"",INT(INDEX('Invullen groen'!$J:$J,$L162))),""),"")</f>
        <v/>
      </c>
      <c r="I162" s="123">
        <f>IFERROR(IF($L162&gt;0,IF(INDEX('Invullen groen'!$K:$K,$L162)=0,"",INT(INDEX('Invullen groen'!$K:$K,$L162))),""),"")</f>
        <v/>
      </c>
      <c r="J162">
        <f>IF($L162&gt;0,IFERROR($K$1&amp;" "&amp;TRIM(SUBSTITUTE(SUBSTITUTE(SUBSTITUTE(SUBSTITUTE(SUBSTITUTE(SUBSTITUTE(SUBSTITUTE(SUBSTITUTE(SUBSTITUTE(SUBSTITUTE(SUBSTITUTE(SUBSTITUTE(LOWER(INDEX('Invullen groen'!$O:$O,$L162)),"2024",""),"2025",""),"2026",""),"2027",""),"2028",""),"2029",""),"taakveld ",""),"installaties","inst"),"ruwbouw","ruwb"),"afbouw","afb"),"bijstelling","bijst"),"investeringen","invest")),""),"")</f>
        <v/>
      </c>
      <c r="L162">
        <f>IFERROR(MATCH(ROW()-104,'Invullen groen'!$S$121:$S$272,0)+120,0)</f>
        <v/>
      </c>
    </row>
    <row r="163" hidden="1" s="418">
      <c r="A163" s="124">
        <f>IF($L163&gt;0,"+","")</f>
        <v/>
      </c>
      <c r="B163">
        <f>IFERROR(IF($L163&gt;0,IF(INDEX('Invullen groen'!$F:$F,$L163)&gt;0,INDEX('Invullen groen'!$F:$F,$L163),""),""),"")</f>
        <v/>
      </c>
      <c r="C163">
        <f>IFERROR(IF($L163&gt;0,IF(INDEX('Invullen groen'!$N:$N,$L163)&gt;0,INDEX('Invullen groen'!$N:$N,$L163),""),""),"")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123">
        <f>IFERROR(IF($L163&gt;0,IF(INDEX('Invullen groen'!$H:$H,$L163)=0,"",INT(INDEX('Invullen groen'!$H:$H,$L163))),""),"")</f>
        <v/>
      </c>
      <c r="G163" s="123">
        <f>IFERROR(IF($L163&gt;0,IF(INDEX('Invullen groen'!$I:$I,$L163)=0,"",INT(INDEX('Invullen groen'!$I:$I,$L163))),""),"")</f>
        <v/>
      </c>
      <c r="H163" s="123">
        <f>IFERROR(IF($L163&gt;0,IF(INDEX('Invullen groen'!$J:$J,$L163)=0,"",INT(INDEX('Invullen groen'!$J:$J,$L163))),""),"")</f>
        <v/>
      </c>
      <c r="I163" s="123">
        <f>IFERROR(IF($L163&gt;0,IF(INDEX('Invullen groen'!$K:$K,$L163)=0,"",INT(INDEX('Invullen groen'!$K:$K,$L163))),""),"")</f>
        <v/>
      </c>
      <c r="J163">
        <f>IF($L163&gt;0,IFERROR($K$1&amp;" "&amp;TRIM(SUBSTITUTE(SUBSTITUTE(SUBSTITUTE(SUBSTITUTE(SUBSTITUTE(SUBSTITUTE(SUBSTITUTE(SUBSTITUTE(SUBSTITUTE(SUBSTITUTE(SUBSTITUTE(SUBSTITUTE(LOWER(INDEX('Invullen groen'!$O:$O,$L163)),"2024",""),"2025",""),"2026",""),"2027",""),"2028",""),"2029",""),"taakveld ",""),"installaties","inst"),"ruwbouw","ruwb"),"afbouw","afb"),"bijstelling","bijst"),"investeringen","invest")),""),"")</f>
        <v/>
      </c>
      <c r="L163">
        <f>IFERROR(MATCH(ROW()-104,'Invullen groen'!$S$121:$S$272,0)+120,0)</f>
        <v/>
      </c>
    </row>
    <row r="164" hidden="1" s="418">
      <c r="A164" s="124">
        <f>IF($L164&gt;0,"+","")</f>
        <v/>
      </c>
      <c r="B164">
        <f>IFERROR(IF($L164&gt;0,IF(INDEX('Invullen groen'!$F:$F,$L164)&gt;0,INDEX('Invullen groen'!$F:$F,$L164),""),""),"")</f>
        <v/>
      </c>
      <c r="C164">
        <f>IFERROR(IF($L164&gt;0,IF(INDEX('Invullen groen'!$N:$N,$L164)&gt;0,INDEX('Invullen groen'!$N:$N,$L164),""),""),"")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123">
        <f>IFERROR(IF($L164&gt;0,IF(INDEX('Invullen groen'!$H:$H,$L164)=0,"",INT(INDEX('Invullen groen'!$H:$H,$L164))),""),"")</f>
        <v/>
      </c>
      <c r="G164" s="123">
        <f>IFERROR(IF($L164&gt;0,IF(INDEX('Invullen groen'!$I:$I,$L164)=0,"",INT(INDEX('Invullen groen'!$I:$I,$L164))),""),"")</f>
        <v/>
      </c>
      <c r="H164" s="123">
        <f>IFERROR(IF($L164&gt;0,IF(INDEX('Invullen groen'!$J:$J,$L164)=0,"",INT(INDEX('Invullen groen'!$J:$J,$L164))),""),"")</f>
        <v/>
      </c>
      <c r="I164" s="123">
        <f>IFERROR(IF($L164&gt;0,IF(INDEX('Invullen groen'!$K:$K,$L164)=0,"",INT(INDEX('Invullen groen'!$K:$K,$L164))),""),"")</f>
        <v/>
      </c>
      <c r="J164">
        <f>IF($L164&gt;0,IFERROR($K$1&amp;" "&amp;TRIM(SUBSTITUTE(SUBSTITUTE(SUBSTITUTE(SUBSTITUTE(SUBSTITUTE(SUBSTITUTE(SUBSTITUTE(SUBSTITUTE(SUBSTITUTE(SUBSTITUTE(SUBSTITUTE(SUBSTITUTE(LOWER(INDEX('Invullen groen'!$O:$O,$L164)),"2024",""),"2025",""),"2026",""),"2027",""),"2028",""),"2029",""),"taakveld ",""),"installaties","inst"),"ruwbouw","ruwb"),"afbouw","afb"),"bijstelling","bijst"),"investeringen","invest")),""),"")</f>
        <v/>
      </c>
      <c r="L164">
        <f>IFERROR(MATCH(ROW()-104,'Invullen groen'!$S$121:$S$272,0)+120,0)</f>
        <v/>
      </c>
    </row>
    <row r="165" hidden="1" s="418">
      <c r="A165" s="124">
        <f>IF($L165&gt;0,"+","")</f>
        <v/>
      </c>
      <c r="B165">
        <f>IFERROR(IF($L165&gt;0,IF(INDEX('Invullen groen'!$F:$F,$L165)&gt;0,INDEX('Invullen groen'!$F:$F,$L165),""),""),"")</f>
        <v/>
      </c>
      <c r="C165">
        <f>IFERROR(IF($L165&gt;0,IF(INDEX('Invullen groen'!$N:$N,$L165)&gt;0,INDEX('Invullen groen'!$N:$N,$L165),""),""),"")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123">
        <f>IFERROR(IF($L165&gt;0,IF(INDEX('Invullen groen'!$H:$H,$L165)=0,"",INT(INDEX('Invullen groen'!$H:$H,$L165))),""),"")</f>
        <v/>
      </c>
      <c r="G165" s="123">
        <f>IFERROR(IF($L165&gt;0,IF(INDEX('Invullen groen'!$I:$I,$L165)=0,"",INT(INDEX('Invullen groen'!$I:$I,$L165))),""),"")</f>
        <v/>
      </c>
      <c r="H165" s="123">
        <f>IFERROR(IF($L165&gt;0,IF(INDEX('Invullen groen'!$J:$J,$L165)=0,"",INT(INDEX('Invullen groen'!$J:$J,$L165))),""),"")</f>
        <v/>
      </c>
      <c r="I165" s="123">
        <f>IFERROR(IF($L165&gt;0,IF(INDEX('Invullen groen'!$K:$K,$L165)=0,"",INT(INDEX('Invullen groen'!$K:$K,$L165))),""),"")</f>
        <v/>
      </c>
      <c r="J165">
        <f>IF($L165&gt;0,IFERROR($K$1&amp;" "&amp;TRIM(SUBSTITUTE(SUBSTITUTE(SUBSTITUTE(SUBSTITUTE(SUBSTITUTE(SUBSTITUTE(SUBSTITUTE(SUBSTITUTE(SUBSTITUTE(SUBSTITUTE(SUBSTITUTE(SUBSTITUTE(LOWER(INDEX('Invullen groen'!$O:$O,$L165)),"2024",""),"2025",""),"2026",""),"2027",""),"2028",""),"2029",""),"taakveld ",""),"installaties","inst"),"ruwbouw","ruwb"),"afbouw","afb"),"bijstelling","bijst"),"investeringen","invest")),""),"")</f>
        <v/>
      </c>
      <c r="L165">
        <f>IFERROR(MATCH(ROW()-104,'Invullen groen'!$S$121:$S$272,0)+120,0)</f>
        <v/>
      </c>
    </row>
    <row r="166" hidden="1" s="418">
      <c r="A166" s="124">
        <f>IF($L166&gt;0,"+","")</f>
        <v/>
      </c>
      <c r="B166">
        <f>IFERROR(IF($L166&gt;0,IF(INDEX('Invullen groen'!$F:$F,$L166)&gt;0,INDEX('Invullen groen'!$F:$F,$L166),""),""),"")</f>
        <v/>
      </c>
      <c r="C166">
        <f>IFERROR(IF($L166&gt;0,IF(INDEX('Invullen groen'!$N:$N,$L166)&gt;0,INDEX('Invullen groen'!$N:$N,$L166),""),""),"")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123">
        <f>IFERROR(IF($L166&gt;0,IF(INDEX('Invullen groen'!$H:$H,$L166)=0,"",INT(INDEX('Invullen groen'!$H:$H,$L166))),""),"")</f>
        <v/>
      </c>
      <c r="G166" s="123">
        <f>IFERROR(IF($L166&gt;0,IF(INDEX('Invullen groen'!$I:$I,$L166)=0,"",INT(INDEX('Invullen groen'!$I:$I,$L166))),""),"")</f>
        <v/>
      </c>
      <c r="H166" s="123">
        <f>IFERROR(IF($L166&gt;0,IF(INDEX('Invullen groen'!$J:$J,$L166)=0,"",INT(INDEX('Invullen groen'!$J:$J,$L166))),""),"")</f>
        <v/>
      </c>
      <c r="I166" s="123">
        <f>IFERROR(IF($L166&gt;0,IF(INDEX('Invullen groen'!$K:$K,$L166)=0,"",INT(INDEX('Invullen groen'!$K:$K,$L166))),""),"")</f>
        <v/>
      </c>
      <c r="J166">
        <f>IF($L166&gt;0,IFERROR($K$1&amp;" "&amp;TRIM(SUBSTITUTE(SUBSTITUTE(SUBSTITUTE(SUBSTITUTE(SUBSTITUTE(SUBSTITUTE(SUBSTITUTE(SUBSTITUTE(SUBSTITUTE(SUBSTITUTE(SUBSTITUTE(SUBSTITUTE(LOWER(INDEX('Invullen groen'!$O:$O,$L166)),"2024",""),"2025",""),"2026",""),"2027",""),"2028",""),"2029",""),"taakveld ",""),"installaties","inst"),"ruwbouw","ruwb"),"afbouw","afb"),"bijstelling","bijst"),"investeringen","invest")),""),"")</f>
        <v/>
      </c>
      <c r="L166">
        <f>IFERROR(MATCH(ROW()-104,'Invullen groen'!$S$121:$S$272,0)+120,0)</f>
        <v/>
      </c>
    </row>
    <row r="167" hidden="1" s="418">
      <c r="A167" s="124">
        <f>IF($L167&gt;0,"+","")</f>
        <v/>
      </c>
      <c r="B167">
        <f>IFERROR(IF($L167&gt;0,IF(INDEX('Invullen groen'!$F:$F,$L167)&gt;0,INDEX('Invullen groen'!$F:$F,$L167),""),""),"")</f>
        <v/>
      </c>
      <c r="C167">
        <f>IFERROR(IF($L167&gt;0,IF(INDEX('Invullen groen'!$N:$N,$L167)&gt;0,INDEX('Invullen groen'!$N:$N,$L167),""),""),"")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123">
        <f>IFERROR(IF($L167&gt;0,IF(INDEX('Invullen groen'!$H:$H,$L167)=0,"",INT(INDEX('Invullen groen'!$H:$H,$L167))),""),"")</f>
        <v/>
      </c>
      <c r="G167" s="123">
        <f>IFERROR(IF($L167&gt;0,IF(INDEX('Invullen groen'!$I:$I,$L167)=0,"",INT(INDEX('Invullen groen'!$I:$I,$L167))),""),"")</f>
        <v/>
      </c>
      <c r="H167" s="123">
        <f>IFERROR(IF($L167&gt;0,IF(INDEX('Invullen groen'!$J:$J,$L167)=0,"",INT(INDEX('Invullen groen'!$J:$J,$L167))),""),"")</f>
        <v/>
      </c>
      <c r="I167" s="123">
        <f>IFERROR(IF($L167&gt;0,IF(INDEX('Invullen groen'!$K:$K,$L167)=0,"",INT(INDEX('Invullen groen'!$K:$K,$L167))),""),"")</f>
        <v/>
      </c>
      <c r="J167">
        <f>IF($L167&gt;0,IFERROR($K$1&amp;" "&amp;TRIM(SUBSTITUTE(SUBSTITUTE(SUBSTITUTE(SUBSTITUTE(SUBSTITUTE(SUBSTITUTE(SUBSTITUTE(SUBSTITUTE(SUBSTITUTE(SUBSTITUTE(SUBSTITUTE(SUBSTITUTE(LOWER(INDEX('Invullen groen'!$O:$O,$L167)),"2024",""),"2025",""),"2026",""),"2027",""),"2028",""),"2029",""),"taakveld ",""),"installaties","inst"),"ruwbouw","ruwb"),"afbouw","afb"),"bijstelling","bijst"),"investeringen","invest")),""),"")</f>
        <v/>
      </c>
      <c r="L167">
        <f>IFERROR(MATCH(ROW()-104,'Invullen groen'!$S$121:$S$272,0)+120,0)</f>
        <v/>
      </c>
    </row>
    <row r="168" hidden="1" s="418">
      <c r="A168" s="124">
        <f>IF($L168&gt;0,"+","")</f>
        <v/>
      </c>
      <c r="B168">
        <f>IFERROR(IF($L168&gt;0,IF(INDEX('Invullen groen'!$F:$F,$L168)&gt;0,INDEX('Invullen groen'!$F:$F,$L168),""),""),"")</f>
        <v/>
      </c>
      <c r="C168">
        <f>IFERROR(IF($L168&gt;0,IF(INDEX('Invullen groen'!$N:$N,$L168)&gt;0,INDEX('Invullen groen'!$N:$N,$L168),""),""),"")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123">
        <f>IFERROR(IF($L168&gt;0,IF(INDEX('Invullen groen'!$H:$H,$L168)=0,"",INT(INDEX('Invullen groen'!$H:$H,$L168))),""),"")</f>
        <v/>
      </c>
      <c r="G168" s="123">
        <f>IFERROR(IF($L168&gt;0,IF(INDEX('Invullen groen'!$I:$I,$L168)=0,"",INT(INDEX('Invullen groen'!$I:$I,$L168))),""),"")</f>
        <v/>
      </c>
      <c r="H168" s="123">
        <f>IFERROR(IF($L168&gt;0,IF(INDEX('Invullen groen'!$J:$J,$L168)=0,"",INT(INDEX('Invullen groen'!$J:$J,$L168))),""),"")</f>
        <v/>
      </c>
      <c r="I168" s="123">
        <f>IFERROR(IF($L168&gt;0,IF(INDEX('Invullen groen'!$K:$K,$L168)=0,"",INT(INDEX('Invullen groen'!$K:$K,$L168))),""),"")</f>
        <v/>
      </c>
      <c r="J168">
        <f>IF($L168&gt;0,IFERROR($K$1&amp;" "&amp;TRIM(SUBSTITUTE(SUBSTITUTE(SUBSTITUTE(SUBSTITUTE(SUBSTITUTE(SUBSTITUTE(SUBSTITUTE(SUBSTITUTE(SUBSTITUTE(SUBSTITUTE(SUBSTITUTE(SUBSTITUTE(LOWER(INDEX('Invullen groen'!$O:$O,$L168)),"2024",""),"2025",""),"2026",""),"2027",""),"2028",""),"2029",""),"taakveld ",""),"installaties","inst"),"ruwbouw","ruwb"),"afbouw","afb"),"bijstelling","bijst"),"investeringen","invest")),""),"")</f>
        <v/>
      </c>
      <c r="L168">
        <f>IFERROR(MATCH(ROW()-104,'Invullen groen'!$S$121:$S$272,0)+120,0)</f>
        <v/>
      </c>
    </row>
    <row r="169" hidden="1" s="418">
      <c r="A169" s="124">
        <f>IF($L169&gt;0,"+","")</f>
        <v/>
      </c>
      <c r="B169">
        <f>IFERROR(IF($L169&gt;0,IF(INDEX('Invullen groen'!$F:$F,$L169)&gt;0,INDEX('Invullen groen'!$F:$F,$L169),""),""),"")</f>
        <v/>
      </c>
      <c r="C169">
        <f>IFERROR(IF($L169&gt;0,IF(INDEX('Invullen groen'!$N:$N,$L169)&gt;0,INDEX('Invullen groen'!$N:$N,$L169),""),""),"")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123">
        <f>IFERROR(IF($L169&gt;0,IF(INDEX('Invullen groen'!$H:$H,$L169)=0,"",INT(INDEX('Invullen groen'!$H:$H,$L169))),""),"")</f>
        <v/>
      </c>
      <c r="G169" s="123">
        <f>IFERROR(IF($L169&gt;0,IF(INDEX('Invullen groen'!$I:$I,$L169)=0,"",INT(INDEX('Invullen groen'!$I:$I,$L169))),""),"")</f>
        <v/>
      </c>
      <c r="H169" s="123">
        <f>IFERROR(IF($L169&gt;0,IF(INDEX('Invullen groen'!$J:$J,$L169)=0,"",INT(INDEX('Invullen groen'!$J:$J,$L169))),""),"")</f>
        <v/>
      </c>
      <c r="I169" s="123">
        <f>IFERROR(IF($L169&gt;0,IF(INDEX('Invullen groen'!$K:$K,$L169)=0,"",INT(INDEX('Invullen groen'!$K:$K,$L169))),""),"")</f>
        <v/>
      </c>
      <c r="J169">
        <f>IF($L169&gt;0,IFERROR($K$1&amp;" "&amp;TRIM(SUBSTITUTE(SUBSTITUTE(SUBSTITUTE(SUBSTITUTE(SUBSTITUTE(SUBSTITUTE(SUBSTITUTE(SUBSTITUTE(SUBSTITUTE(SUBSTITUTE(SUBSTITUTE(SUBSTITUTE(LOWER(INDEX('Invullen groen'!$O:$O,$L169)),"2024",""),"2025",""),"2026",""),"2027",""),"2028",""),"2029",""),"taakveld ",""),"installaties","inst"),"ruwbouw","ruwb"),"afbouw","afb"),"bijstelling","bijst"),"investeringen","invest")),""),"")</f>
        <v/>
      </c>
      <c r="L169">
        <f>IFERROR(MATCH(ROW()-104,'Invullen groen'!$S$121:$S$272,0)+120,0)</f>
        <v/>
      </c>
    </row>
    <row r="170" hidden="1" s="418">
      <c r="A170" s="124">
        <f>IF($L170&gt;0,"+","")</f>
        <v/>
      </c>
      <c r="B170">
        <f>IFERROR(IF($L170&gt;0,IF(INDEX('Invullen groen'!$F:$F,$L170)&gt;0,INDEX('Invullen groen'!$F:$F,$L170),""),""),"")</f>
        <v/>
      </c>
      <c r="C170">
        <f>IFERROR(IF($L170&gt;0,IF(INDEX('Invullen groen'!$N:$N,$L170)&gt;0,INDEX('Invullen groen'!$N:$N,$L170),""),""),"")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123">
        <f>IFERROR(IF($L170&gt;0,IF(INDEX('Invullen groen'!$H:$H,$L170)=0,"",INT(INDEX('Invullen groen'!$H:$H,$L170))),""),"")</f>
        <v/>
      </c>
      <c r="G170" s="123">
        <f>IFERROR(IF($L170&gt;0,IF(INDEX('Invullen groen'!$I:$I,$L170)=0,"",INT(INDEX('Invullen groen'!$I:$I,$L170))),""),"")</f>
        <v/>
      </c>
      <c r="H170" s="123">
        <f>IFERROR(IF($L170&gt;0,IF(INDEX('Invullen groen'!$J:$J,$L170)=0,"",INT(INDEX('Invullen groen'!$J:$J,$L170))),""),"")</f>
        <v/>
      </c>
      <c r="I170" s="123">
        <f>IFERROR(IF($L170&gt;0,IF(INDEX('Invullen groen'!$K:$K,$L170)=0,"",INT(INDEX('Invullen groen'!$K:$K,$L170))),""),"")</f>
        <v/>
      </c>
      <c r="J170">
        <f>IF($L170&gt;0,IFERROR($K$1&amp;" "&amp;TRIM(SUBSTITUTE(SUBSTITUTE(SUBSTITUTE(SUBSTITUTE(SUBSTITUTE(SUBSTITUTE(SUBSTITUTE(SUBSTITUTE(SUBSTITUTE(SUBSTITUTE(SUBSTITUTE(SUBSTITUTE(LOWER(INDEX('Invullen groen'!$O:$O,$L170)),"2024",""),"2025",""),"2026",""),"2027",""),"2028",""),"2029",""),"taakveld ",""),"installaties","inst"),"ruwbouw","ruwb"),"afbouw","afb"),"bijstelling","bijst"),"investeringen","invest")),""),"")</f>
        <v/>
      </c>
      <c r="L170">
        <f>IFERROR(MATCH(ROW()-104,'Invullen groen'!$S$121:$S$272,0)+120,0)</f>
        <v/>
      </c>
    </row>
    <row r="171" hidden="1" s="418">
      <c r="A171" s="124">
        <f>IF($L171&gt;0,"+","")</f>
        <v/>
      </c>
      <c r="B171">
        <f>IFERROR(IF($L171&gt;0,IF(INDEX('Invullen groen'!$F:$F,$L171)&gt;0,INDEX('Invullen groen'!$F:$F,$L171),""),""),"")</f>
        <v/>
      </c>
      <c r="C171">
        <f>IFERROR(IF($L171&gt;0,IF(INDEX('Invullen groen'!$N:$N,$L171)&gt;0,INDEX('Invullen groen'!$N:$N,$L171),""),""),"")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123">
        <f>IFERROR(IF($L171&gt;0,IF(INDEX('Invullen groen'!$H:$H,$L171)=0,"",INT(INDEX('Invullen groen'!$H:$H,$L171))),""),"")</f>
        <v/>
      </c>
      <c r="G171" s="123">
        <f>IFERROR(IF($L171&gt;0,IF(INDEX('Invullen groen'!$I:$I,$L171)=0,"",INT(INDEX('Invullen groen'!$I:$I,$L171))),""),"")</f>
        <v/>
      </c>
      <c r="H171" s="123">
        <f>IFERROR(IF($L171&gt;0,IF(INDEX('Invullen groen'!$J:$J,$L171)=0,"",INT(INDEX('Invullen groen'!$J:$J,$L171))),""),"")</f>
        <v/>
      </c>
      <c r="I171" s="123">
        <f>IFERROR(IF($L171&gt;0,IF(INDEX('Invullen groen'!$K:$K,$L171)=0,"",INT(INDEX('Invullen groen'!$K:$K,$L171))),""),"")</f>
        <v/>
      </c>
      <c r="J171">
        <f>IF($L171&gt;0,IFERROR($K$1&amp;" "&amp;TRIM(SUBSTITUTE(SUBSTITUTE(SUBSTITUTE(SUBSTITUTE(SUBSTITUTE(SUBSTITUTE(SUBSTITUTE(SUBSTITUTE(SUBSTITUTE(SUBSTITUTE(SUBSTITUTE(SUBSTITUTE(LOWER(INDEX('Invullen groen'!$O:$O,$L171)),"2024",""),"2025",""),"2026",""),"2027",""),"2028",""),"2029",""),"taakveld ",""),"installaties","inst"),"ruwbouw","ruwb"),"afbouw","afb"),"bijstelling","bijst"),"investeringen","invest")),""),"")</f>
        <v/>
      </c>
      <c r="L171">
        <f>IFERROR(MATCH(ROW()-104,'Invullen groen'!$S$121:$S$272,0)+120,0)</f>
        <v/>
      </c>
    </row>
    <row r="172" hidden="1" s="418">
      <c r="A172" s="124">
        <f>IF($L172&gt;0,"+","")</f>
        <v/>
      </c>
      <c r="B172">
        <f>IFERROR(IF($L172&gt;0,IF(INDEX('Invullen groen'!$F:$F,$L172)&gt;0,INDEX('Invullen groen'!$F:$F,$L172),""),""),"")</f>
        <v/>
      </c>
      <c r="C172">
        <f>IFERROR(IF($L172&gt;0,IF(INDEX('Invullen groen'!$N:$N,$L172)&gt;0,INDEX('Invullen groen'!$N:$N,$L172),""),""),"")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123">
        <f>IFERROR(IF($L172&gt;0,IF(INDEX('Invullen groen'!$H:$H,$L172)=0,"",INT(INDEX('Invullen groen'!$H:$H,$L172))),""),"")</f>
        <v/>
      </c>
      <c r="G172" s="123">
        <f>IFERROR(IF($L172&gt;0,IF(INDEX('Invullen groen'!$I:$I,$L172)=0,"",INT(INDEX('Invullen groen'!$I:$I,$L172))),""),"")</f>
        <v/>
      </c>
      <c r="H172" s="123">
        <f>IFERROR(IF($L172&gt;0,IF(INDEX('Invullen groen'!$J:$J,$L172)=0,"",INT(INDEX('Invullen groen'!$J:$J,$L172))),""),"")</f>
        <v/>
      </c>
      <c r="I172" s="123">
        <f>IFERROR(IF($L172&gt;0,IF(INDEX('Invullen groen'!$K:$K,$L172)=0,"",INT(INDEX('Invullen groen'!$K:$K,$L172))),""),"")</f>
        <v/>
      </c>
      <c r="J172">
        <f>IF($L172&gt;0,IFERROR($K$1&amp;" "&amp;TRIM(SUBSTITUTE(SUBSTITUTE(SUBSTITUTE(SUBSTITUTE(SUBSTITUTE(SUBSTITUTE(SUBSTITUTE(SUBSTITUTE(SUBSTITUTE(SUBSTITUTE(SUBSTITUTE(SUBSTITUTE(LOWER(INDEX('Invullen groen'!$O:$O,$L172)),"2024",""),"2025",""),"2026",""),"2027",""),"2028",""),"2029",""),"taakveld ",""),"installaties","inst"),"ruwbouw","ruwb"),"afbouw","afb"),"bijstelling","bijst"),"investeringen","invest")),""),"")</f>
        <v/>
      </c>
      <c r="L172">
        <f>IFERROR(MATCH(ROW()-104,'Invullen groen'!$S$121:$S$272,0)+120,0)</f>
        <v/>
      </c>
    </row>
    <row r="173" hidden="1" s="418">
      <c r="A173" s="124">
        <f>IF($L173&gt;0,"+","")</f>
        <v/>
      </c>
      <c r="B173">
        <f>IFERROR(IF($L173&gt;0,IF(INDEX('Invullen groen'!$F:$F,$L173)&gt;0,INDEX('Invullen groen'!$F:$F,$L173),""),""),"")</f>
        <v/>
      </c>
      <c r="C173">
        <f>IFERROR(IF($L173&gt;0,IF(INDEX('Invullen groen'!$N:$N,$L173)&gt;0,INDEX('Invullen groen'!$N:$N,$L173),""),""),"")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123">
        <f>IFERROR(IF($L173&gt;0,IF(INDEX('Invullen groen'!$H:$H,$L173)=0,"",INT(INDEX('Invullen groen'!$H:$H,$L173))),""),"")</f>
        <v/>
      </c>
      <c r="G173" s="123">
        <f>IFERROR(IF($L173&gt;0,IF(INDEX('Invullen groen'!$I:$I,$L173)=0,"",INT(INDEX('Invullen groen'!$I:$I,$L173))),""),"")</f>
        <v/>
      </c>
      <c r="H173" s="123">
        <f>IFERROR(IF($L173&gt;0,IF(INDEX('Invullen groen'!$J:$J,$L173)=0,"",INT(INDEX('Invullen groen'!$J:$J,$L173))),""),"")</f>
        <v/>
      </c>
      <c r="I173" s="123">
        <f>IFERROR(IF($L173&gt;0,IF(INDEX('Invullen groen'!$K:$K,$L173)=0,"",INT(INDEX('Invullen groen'!$K:$K,$L173))),""),"")</f>
        <v/>
      </c>
      <c r="J173">
        <f>IF($L173&gt;0,IFERROR($K$1&amp;" "&amp;TRIM(SUBSTITUTE(SUBSTITUTE(SUBSTITUTE(SUBSTITUTE(SUBSTITUTE(SUBSTITUTE(SUBSTITUTE(SUBSTITUTE(SUBSTITUTE(SUBSTITUTE(SUBSTITUTE(SUBSTITUTE(LOWER(INDEX('Invullen groen'!$O:$O,$L173)),"2024",""),"2025",""),"2026",""),"2027",""),"2028",""),"2029",""),"taakveld ",""),"installaties","inst"),"ruwbouw","ruwb"),"afbouw","afb"),"bijstelling","bijst"),"investeringen","invest")),""),"")</f>
        <v/>
      </c>
      <c r="L173">
        <f>IFERROR(MATCH(ROW()-104,'Invullen groen'!$S$121:$S$272,0)+120,0)</f>
        <v/>
      </c>
    </row>
    <row r="174" hidden="1" s="418">
      <c r="A174" s="124">
        <f>IF($L174&gt;0,"+","")</f>
        <v/>
      </c>
      <c r="B174">
        <f>IFERROR(IF($L174&gt;0,IF(INDEX('Invullen groen'!$F:$F,$L174)&gt;0,INDEX('Invullen groen'!$F:$F,$L174),""),""),"")</f>
        <v/>
      </c>
      <c r="C174">
        <f>IFERROR(IF($L174&gt;0,IF(INDEX('Invullen groen'!$N:$N,$L174)&gt;0,INDEX('Invullen groen'!$N:$N,$L174),""),""),"")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123">
        <f>IFERROR(IF($L174&gt;0,IF(INDEX('Invullen groen'!$H:$H,$L174)=0,"",INT(INDEX('Invullen groen'!$H:$H,$L174))),""),"")</f>
        <v/>
      </c>
      <c r="G174" s="123">
        <f>IFERROR(IF($L174&gt;0,IF(INDEX('Invullen groen'!$I:$I,$L174)=0,"",INT(INDEX('Invullen groen'!$I:$I,$L174))),""),"")</f>
        <v/>
      </c>
      <c r="H174" s="123">
        <f>IFERROR(IF($L174&gt;0,IF(INDEX('Invullen groen'!$J:$J,$L174)=0,"",INT(INDEX('Invullen groen'!$J:$J,$L174))),""),"")</f>
        <v/>
      </c>
      <c r="I174" s="123">
        <f>IFERROR(IF($L174&gt;0,IF(INDEX('Invullen groen'!$K:$K,$L174)=0,"",INT(INDEX('Invullen groen'!$K:$K,$L174))),""),"")</f>
        <v/>
      </c>
      <c r="J174">
        <f>IF($L174&gt;0,IFERROR($K$1&amp;" "&amp;TRIM(SUBSTITUTE(SUBSTITUTE(SUBSTITUTE(SUBSTITUTE(SUBSTITUTE(SUBSTITUTE(SUBSTITUTE(SUBSTITUTE(SUBSTITUTE(SUBSTITUTE(SUBSTITUTE(SUBSTITUTE(LOWER(INDEX('Invullen groen'!$O:$O,$L174)),"2024",""),"2025",""),"2026",""),"2027",""),"2028",""),"2029",""),"taakveld ",""),"installaties","inst"),"ruwbouw","ruwb"),"afbouw","afb"),"bijstelling","bijst"),"investeringen","invest")),""),"")</f>
        <v/>
      </c>
      <c r="L174">
        <f>IFERROR(MATCH(ROW()-104,'Invullen groen'!$S$121:$S$272,0)+120,0)</f>
        <v/>
      </c>
    </row>
    <row r="175" hidden="1" s="418">
      <c r="A175" s="124">
        <f>IF($L175&gt;0,"+","")</f>
        <v/>
      </c>
      <c r="B175">
        <f>IFERROR(IF($L175&gt;0,IF(INDEX('Invullen groen'!$F:$F,$L175)&gt;0,INDEX('Invullen groen'!$F:$F,$L175),""),""),"")</f>
        <v/>
      </c>
      <c r="C175">
        <f>IFERROR(IF($L175&gt;0,IF(INDEX('Invullen groen'!$N:$N,$L175)&gt;0,INDEX('Invullen groen'!$N:$N,$L175),""),""),"")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123">
        <f>IFERROR(IF($L175&gt;0,IF(INDEX('Invullen groen'!$H:$H,$L175)=0,"",INT(INDEX('Invullen groen'!$H:$H,$L175))),""),"")</f>
        <v/>
      </c>
      <c r="G175" s="123">
        <f>IFERROR(IF($L175&gt;0,IF(INDEX('Invullen groen'!$I:$I,$L175)=0,"",INT(INDEX('Invullen groen'!$I:$I,$L175))),""),"")</f>
        <v/>
      </c>
      <c r="H175" s="123">
        <f>IFERROR(IF($L175&gt;0,IF(INDEX('Invullen groen'!$J:$J,$L175)=0,"",INT(INDEX('Invullen groen'!$J:$J,$L175))),""),"")</f>
        <v/>
      </c>
      <c r="I175" s="123">
        <f>IFERROR(IF($L175&gt;0,IF(INDEX('Invullen groen'!$K:$K,$L175)=0,"",INT(INDEX('Invullen groen'!$K:$K,$L175))),""),"")</f>
        <v/>
      </c>
      <c r="J175">
        <f>IF($L175&gt;0,IFERROR($K$1&amp;" "&amp;TRIM(SUBSTITUTE(SUBSTITUTE(SUBSTITUTE(SUBSTITUTE(SUBSTITUTE(SUBSTITUTE(SUBSTITUTE(SUBSTITUTE(SUBSTITUTE(SUBSTITUTE(SUBSTITUTE(SUBSTITUTE(LOWER(INDEX('Invullen groen'!$O:$O,$L175)),"2024",""),"2025",""),"2026",""),"2027",""),"2028",""),"2029",""),"taakveld ",""),"installaties","inst"),"ruwbouw","ruwb"),"afbouw","afb"),"bijstelling","bijst"),"investeringen","invest")),""),"")</f>
        <v/>
      </c>
      <c r="L175">
        <f>IFERROR(MATCH(ROW()-104,'Invullen groen'!$S$121:$S$272,0)+120,0)</f>
        <v/>
      </c>
    </row>
    <row r="176" hidden="1" s="418">
      <c r="A176" s="124">
        <f>IF($L176&gt;0,"+","")</f>
        <v/>
      </c>
      <c r="B176">
        <f>IFERROR(IF($L176&gt;0,IF(INDEX('Invullen groen'!$F:$F,$L176)&gt;0,INDEX('Invullen groen'!$F:$F,$L176),""),""),"")</f>
        <v/>
      </c>
      <c r="C176">
        <f>IFERROR(IF($L176&gt;0,IF(INDEX('Invullen groen'!$N:$N,$L176)&gt;0,INDEX('Invullen groen'!$N:$N,$L176),""),""),"")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123">
        <f>IFERROR(IF($L176&gt;0,IF(INDEX('Invullen groen'!$H:$H,$L176)=0,"",INT(INDEX('Invullen groen'!$H:$H,$L176))),""),"")</f>
        <v/>
      </c>
      <c r="G176" s="123">
        <f>IFERROR(IF($L176&gt;0,IF(INDEX('Invullen groen'!$I:$I,$L176)=0,"",INT(INDEX('Invullen groen'!$I:$I,$L176))),""),"")</f>
        <v/>
      </c>
      <c r="H176" s="123">
        <f>IFERROR(IF($L176&gt;0,IF(INDEX('Invullen groen'!$J:$J,$L176)=0,"",INT(INDEX('Invullen groen'!$J:$J,$L176))),""),"")</f>
        <v/>
      </c>
      <c r="I176" s="123">
        <f>IFERROR(IF($L176&gt;0,IF(INDEX('Invullen groen'!$K:$K,$L176)=0,"",INT(INDEX('Invullen groen'!$K:$K,$L176))),""),"")</f>
        <v/>
      </c>
      <c r="J176">
        <f>IF($L176&gt;0,IFERROR($K$1&amp;" "&amp;TRIM(SUBSTITUTE(SUBSTITUTE(SUBSTITUTE(SUBSTITUTE(SUBSTITUTE(SUBSTITUTE(SUBSTITUTE(SUBSTITUTE(SUBSTITUTE(SUBSTITUTE(SUBSTITUTE(SUBSTITUTE(LOWER(INDEX('Invullen groen'!$O:$O,$L176)),"2024",""),"2025",""),"2026",""),"2027",""),"2028",""),"2029",""),"taakveld ",""),"installaties","inst"),"ruwbouw","ruwb"),"afbouw","afb"),"bijstelling","bijst"),"investeringen","invest")),""),"")</f>
        <v/>
      </c>
      <c r="L176">
        <f>IFERROR(MATCH(ROW()-104,'Invullen groen'!$S$121:$S$272,0)+120,0)</f>
        <v/>
      </c>
    </row>
    <row r="177" hidden="1" s="418">
      <c r="A177" s="124">
        <f>IF($L177&gt;0,"+","")</f>
        <v/>
      </c>
      <c r="B177">
        <f>IFERROR(IF($L177&gt;0,IF(INDEX('Invullen groen'!$F:$F,$L177)&gt;0,INDEX('Invullen groen'!$F:$F,$L177),""),""),"")</f>
        <v/>
      </c>
      <c r="C177">
        <f>IFERROR(IF($L177&gt;0,IF(INDEX('Invullen groen'!$N:$N,$L177)&gt;0,INDEX('Invullen groen'!$N:$N,$L177),""),""),"")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123">
        <f>IFERROR(IF($L177&gt;0,IF(INDEX('Invullen groen'!$H:$H,$L177)=0,"",INT(INDEX('Invullen groen'!$H:$H,$L177))),""),"")</f>
        <v/>
      </c>
      <c r="G177" s="123">
        <f>IFERROR(IF($L177&gt;0,IF(INDEX('Invullen groen'!$I:$I,$L177)=0,"",INT(INDEX('Invullen groen'!$I:$I,$L177))),""),"")</f>
        <v/>
      </c>
      <c r="H177" s="123">
        <f>IFERROR(IF($L177&gt;0,IF(INDEX('Invullen groen'!$J:$J,$L177)=0,"",INT(INDEX('Invullen groen'!$J:$J,$L177))),""),"")</f>
        <v/>
      </c>
      <c r="I177" s="123">
        <f>IFERROR(IF($L177&gt;0,IF(INDEX('Invullen groen'!$K:$K,$L177)=0,"",INT(INDEX('Invullen groen'!$K:$K,$L177))),""),"")</f>
        <v/>
      </c>
      <c r="J177">
        <f>IF($L177&gt;0,IFERROR($K$1&amp;" "&amp;TRIM(SUBSTITUTE(SUBSTITUTE(SUBSTITUTE(SUBSTITUTE(SUBSTITUTE(SUBSTITUTE(SUBSTITUTE(SUBSTITUTE(SUBSTITUTE(SUBSTITUTE(SUBSTITUTE(SUBSTITUTE(LOWER(INDEX('Invullen groen'!$O:$O,$L177)),"2024",""),"2025",""),"2026",""),"2027",""),"2028",""),"2029",""),"taakveld ",""),"installaties","inst"),"ruwbouw","ruwb"),"afbouw","afb"),"bijstelling","bijst"),"investeringen","invest")),""),"")</f>
        <v/>
      </c>
      <c r="L177">
        <f>IFERROR(MATCH(ROW()-104,'Invullen groen'!$S$121:$S$272,0)+120,0)</f>
        <v/>
      </c>
    </row>
    <row r="178" hidden="1" s="418">
      <c r="A178" s="124">
        <f>IF($L178&gt;0,"+","")</f>
        <v/>
      </c>
      <c r="B178">
        <f>IFERROR(IF($L178&gt;0,IF(INDEX('Invullen groen'!$F:$F,$L178)&gt;0,INDEX('Invullen groen'!$F:$F,$L178),""),""),"")</f>
        <v/>
      </c>
      <c r="C178">
        <f>IFERROR(IF($L178&gt;0,IF(INDEX('Invullen groen'!$N:$N,$L178)&gt;0,INDEX('Invullen groen'!$N:$N,$L178),""),""),"")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123">
        <f>IFERROR(IF($L178&gt;0,IF(INDEX('Invullen groen'!$H:$H,$L178)=0,"",INT(INDEX('Invullen groen'!$H:$H,$L178))),""),"")</f>
        <v/>
      </c>
      <c r="G178" s="123">
        <f>IFERROR(IF($L178&gt;0,IF(INDEX('Invullen groen'!$I:$I,$L178)=0,"",INT(INDEX('Invullen groen'!$I:$I,$L178))),""),"")</f>
        <v/>
      </c>
      <c r="H178" s="123">
        <f>IFERROR(IF($L178&gt;0,IF(INDEX('Invullen groen'!$J:$J,$L178)=0,"",INT(INDEX('Invullen groen'!$J:$J,$L178))),""),"")</f>
        <v/>
      </c>
      <c r="I178" s="123">
        <f>IFERROR(IF($L178&gt;0,IF(INDEX('Invullen groen'!$K:$K,$L178)=0,"",INT(INDEX('Invullen groen'!$K:$K,$L178))),""),"")</f>
        <v/>
      </c>
      <c r="J178">
        <f>IF($L178&gt;0,IFERROR($K$1&amp;" "&amp;TRIM(SUBSTITUTE(SUBSTITUTE(SUBSTITUTE(SUBSTITUTE(SUBSTITUTE(SUBSTITUTE(SUBSTITUTE(SUBSTITUTE(SUBSTITUTE(SUBSTITUTE(SUBSTITUTE(SUBSTITUTE(LOWER(INDEX('Invullen groen'!$O:$O,$L178)),"2024",""),"2025",""),"2026",""),"2027",""),"2028",""),"2029",""),"taakveld ",""),"installaties","inst"),"ruwbouw","ruwb"),"afbouw","afb"),"bijstelling","bijst"),"investeringen","invest")),""),"")</f>
        <v/>
      </c>
      <c r="L178">
        <f>IFERROR(MATCH(ROW()-104,'Invullen groen'!$S$121:$S$272,0)+120,0)</f>
        <v/>
      </c>
    </row>
    <row r="179" hidden="1" s="418">
      <c r="A179" s="124">
        <f>IF($L179&gt;0,"+","")</f>
        <v/>
      </c>
      <c r="B179">
        <f>IFERROR(IF($L179&gt;0,IF(INDEX('Invullen groen'!$F:$F,$L179)&gt;0,INDEX('Invullen groen'!$F:$F,$L179),""),""),"")</f>
        <v/>
      </c>
      <c r="C179">
        <f>IFERROR(IF($L179&gt;0,IF(INDEX('Invullen groen'!$N:$N,$L179)&gt;0,INDEX('Invullen groen'!$N:$N,$L179),""),""),"")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123">
        <f>IFERROR(IF($L179&gt;0,IF(INDEX('Invullen groen'!$H:$H,$L179)=0,"",INT(INDEX('Invullen groen'!$H:$H,$L179))),""),"")</f>
        <v/>
      </c>
      <c r="G179" s="123">
        <f>IFERROR(IF($L179&gt;0,IF(INDEX('Invullen groen'!$I:$I,$L179)=0,"",INT(INDEX('Invullen groen'!$I:$I,$L179))),""),"")</f>
        <v/>
      </c>
      <c r="H179" s="123">
        <f>IFERROR(IF($L179&gt;0,IF(INDEX('Invullen groen'!$J:$J,$L179)=0,"",INT(INDEX('Invullen groen'!$J:$J,$L179))),""),"")</f>
        <v/>
      </c>
      <c r="I179" s="123">
        <f>IFERROR(IF($L179&gt;0,IF(INDEX('Invullen groen'!$K:$K,$L179)=0,"",INT(INDEX('Invullen groen'!$K:$K,$L179))),""),"")</f>
        <v/>
      </c>
      <c r="J179">
        <f>IF($L179&gt;0,IFERROR($K$1&amp;" "&amp;TRIM(SUBSTITUTE(SUBSTITUTE(SUBSTITUTE(SUBSTITUTE(SUBSTITUTE(SUBSTITUTE(SUBSTITUTE(SUBSTITUTE(SUBSTITUTE(SUBSTITUTE(SUBSTITUTE(SUBSTITUTE(LOWER(INDEX('Invullen groen'!$O:$O,$L179)),"2024",""),"2025",""),"2026",""),"2027",""),"2028",""),"2029",""),"taakveld ",""),"installaties","inst"),"ruwbouw","ruwb"),"afbouw","afb"),"bijstelling","bijst"),"investeringen","invest")),""),"")</f>
        <v/>
      </c>
      <c r="L179">
        <f>IFERROR(MATCH(ROW()-104,'Invullen groen'!$S$121:$S$272,0)+120,0)</f>
        <v/>
      </c>
    </row>
    <row r="180" hidden="1" s="418">
      <c r="A180" s="124">
        <f>IF($L180&gt;0,"+","")</f>
        <v/>
      </c>
      <c r="B180">
        <f>IFERROR(IF($L180&gt;0,IF(INDEX('Invullen groen'!$F:$F,$L180)&gt;0,INDEX('Invullen groen'!$F:$F,$L180),""),""),"")</f>
        <v/>
      </c>
      <c r="C180">
        <f>IFERROR(IF($L180&gt;0,IF(INDEX('Invullen groen'!$N:$N,$L180)&gt;0,INDEX('Invullen groen'!$N:$N,$L180),""),""),"")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123">
        <f>IFERROR(IF($L180&gt;0,IF(INDEX('Invullen groen'!$H:$H,$L180)=0,"",INT(INDEX('Invullen groen'!$H:$H,$L180))),""),"")</f>
        <v/>
      </c>
      <c r="G180" s="123">
        <f>IFERROR(IF($L180&gt;0,IF(INDEX('Invullen groen'!$I:$I,$L180)=0,"",INT(INDEX('Invullen groen'!$I:$I,$L180))),""),"")</f>
        <v/>
      </c>
      <c r="H180" s="123">
        <f>IFERROR(IF($L180&gt;0,IF(INDEX('Invullen groen'!$J:$J,$L180)=0,"",INT(INDEX('Invullen groen'!$J:$J,$L180))),""),"")</f>
        <v/>
      </c>
      <c r="I180" s="123">
        <f>IFERROR(IF($L180&gt;0,IF(INDEX('Invullen groen'!$K:$K,$L180)=0,"",INT(INDEX('Invullen groen'!$K:$K,$L180))),""),"")</f>
        <v/>
      </c>
      <c r="J180">
        <f>IF($L180&gt;0,IFERROR($K$1&amp;" "&amp;TRIM(SUBSTITUTE(SUBSTITUTE(SUBSTITUTE(SUBSTITUTE(SUBSTITUTE(SUBSTITUTE(SUBSTITUTE(SUBSTITUTE(SUBSTITUTE(SUBSTITUTE(SUBSTITUTE(SUBSTITUTE(LOWER(INDEX('Invullen groen'!$O:$O,$L180)),"2024",""),"2025",""),"2026",""),"2027",""),"2028",""),"2029",""),"taakveld ",""),"installaties","inst"),"ruwbouw","ruwb"),"afbouw","afb"),"bijstelling","bijst"),"investeringen","invest")),""),"")</f>
        <v/>
      </c>
      <c r="L180">
        <f>IFERROR(MATCH(ROW()-104,'Invullen groen'!$S$121:$S$272,0)+120,0)</f>
        <v/>
      </c>
    </row>
    <row r="181" hidden="1" s="418">
      <c r="A181" s="124">
        <f>IF($L181&gt;0,"+","")</f>
        <v/>
      </c>
      <c r="B181">
        <f>IFERROR(IF($L181&gt;0,IF(INDEX('Invullen groen'!$F:$F,$L181)&gt;0,INDEX('Invullen groen'!$F:$F,$L181),""),""),"")</f>
        <v/>
      </c>
      <c r="C181">
        <f>IFERROR(IF($L181&gt;0,IF(INDEX('Invullen groen'!$N:$N,$L181)&gt;0,INDEX('Invullen groen'!$N:$N,$L181),""),""),"")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123">
        <f>IFERROR(IF($L181&gt;0,IF(INDEX('Invullen groen'!$H:$H,$L181)=0,"",INT(INDEX('Invullen groen'!$H:$H,$L181))),""),"")</f>
        <v/>
      </c>
      <c r="G181" s="123">
        <f>IFERROR(IF($L181&gt;0,IF(INDEX('Invullen groen'!$I:$I,$L181)=0,"",INT(INDEX('Invullen groen'!$I:$I,$L181))),""),"")</f>
        <v/>
      </c>
      <c r="H181" s="123">
        <f>IFERROR(IF($L181&gt;0,IF(INDEX('Invullen groen'!$J:$J,$L181)=0,"",INT(INDEX('Invullen groen'!$J:$J,$L181))),""),"")</f>
        <v/>
      </c>
      <c r="I181" s="123">
        <f>IFERROR(IF($L181&gt;0,IF(INDEX('Invullen groen'!$K:$K,$L181)=0,"",INT(INDEX('Invullen groen'!$K:$K,$L181))),""),"")</f>
        <v/>
      </c>
      <c r="J181">
        <f>IF($L181&gt;0,IFERROR($K$1&amp;" "&amp;TRIM(SUBSTITUTE(SUBSTITUTE(SUBSTITUTE(SUBSTITUTE(SUBSTITUTE(SUBSTITUTE(SUBSTITUTE(SUBSTITUTE(SUBSTITUTE(SUBSTITUTE(SUBSTITUTE(SUBSTITUTE(LOWER(INDEX('Invullen groen'!$O:$O,$L181)),"2024",""),"2025",""),"2026",""),"2027",""),"2028",""),"2029",""),"taakveld ",""),"installaties","inst"),"ruwbouw","ruwb"),"afbouw","afb"),"bijstelling","bijst"),"investeringen","invest")),""),"")</f>
        <v/>
      </c>
      <c r="L181">
        <f>IFERROR(MATCH(ROW()-104,'Invullen groen'!$S$121:$S$272,0)+120,0)</f>
        <v/>
      </c>
    </row>
    <row r="182" hidden="1" s="418">
      <c r="A182" s="124">
        <f>IF($L182&gt;0,"+","")</f>
        <v/>
      </c>
      <c r="B182">
        <f>IFERROR(IF($L182&gt;0,IF(INDEX('Invullen groen'!$F:$F,$L182)&gt;0,INDEX('Invullen groen'!$F:$F,$L182),""),""),"")</f>
        <v/>
      </c>
      <c r="C182">
        <f>IFERROR(IF($L182&gt;0,IF(INDEX('Invullen groen'!$N:$N,$L182)&gt;0,INDEX('Invullen groen'!$N:$N,$L182),""),""),"")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123">
        <f>IFERROR(IF($L182&gt;0,IF(INDEX('Invullen groen'!$H:$H,$L182)=0,"",INT(INDEX('Invullen groen'!$H:$H,$L182))),""),"")</f>
        <v/>
      </c>
      <c r="G182" s="123">
        <f>IFERROR(IF($L182&gt;0,IF(INDEX('Invullen groen'!$I:$I,$L182)=0,"",INT(INDEX('Invullen groen'!$I:$I,$L182))),""),"")</f>
        <v/>
      </c>
      <c r="H182" s="123">
        <f>IFERROR(IF($L182&gt;0,IF(INDEX('Invullen groen'!$J:$J,$L182)=0,"",INT(INDEX('Invullen groen'!$J:$J,$L182))),""),"")</f>
        <v/>
      </c>
      <c r="I182" s="123">
        <f>IFERROR(IF($L182&gt;0,IF(INDEX('Invullen groen'!$K:$K,$L182)=0,"",INT(INDEX('Invullen groen'!$K:$K,$L182))),""),"")</f>
        <v/>
      </c>
      <c r="J182">
        <f>IF($L182&gt;0,IFERROR($K$1&amp;" "&amp;TRIM(SUBSTITUTE(SUBSTITUTE(SUBSTITUTE(SUBSTITUTE(SUBSTITUTE(SUBSTITUTE(SUBSTITUTE(SUBSTITUTE(SUBSTITUTE(SUBSTITUTE(SUBSTITUTE(SUBSTITUTE(LOWER(INDEX('Invullen groen'!$O:$O,$L182)),"2024",""),"2025",""),"2026",""),"2027",""),"2028",""),"2029",""),"taakveld ",""),"installaties","inst"),"ruwbouw","ruwb"),"afbouw","afb"),"bijstelling","bijst"),"investeringen","invest")),""),"")</f>
        <v/>
      </c>
      <c r="L182">
        <f>IFERROR(MATCH(ROW()-104,'Invullen groen'!$S$121:$S$272,0)+120,0)</f>
        <v/>
      </c>
    </row>
    <row r="183" hidden="1" s="418">
      <c r="A183" s="124">
        <f>IF($L183&gt;0,"+","")</f>
        <v/>
      </c>
      <c r="B183">
        <f>IFERROR(IF($L183&gt;0,IF(INDEX('Invullen groen'!$F:$F,$L183)&gt;0,INDEX('Invullen groen'!$F:$F,$L183),""),""),"")</f>
        <v/>
      </c>
      <c r="C183">
        <f>IFERROR(IF($L183&gt;0,IF(INDEX('Invullen groen'!$N:$N,$L183)&gt;0,INDEX('Invullen groen'!$N:$N,$L183),""),""),"")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123">
        <f>IFERROR(IF($L183&gt;0,IF(INDEX('Invullen groen'!$H:$H,$L183)=0,"",INT(INDEX('Invullen groen'!$H:$H,$L183))),""),"")</f>
        <v/>
      </c>
      <c r="G183" s="123">
        <f>IFERROR(IF($L183&gt;0,IF(INDEX('Invullen groen'!$I:$I,$L183)=0,"",INT(INDEX('Invullen groen'!$I:$I,$L183))),""),"")</f>
        <v/>
      </c>
      <c r="H183" s="123">
        <f>IFERROR(IF($L183&gt;0,IF(INDEX('Invullen groen'!$J:$J,$L183)=0,"",INT(INDEX('Invullen groen'!$J:$J,$L183))),""),"")</f>
        <v/>
      </c>
      <c r="I183" s="123">
        <f>IFERROR(IF($L183&gt;0,IF(INDEX('Invullen groen'!$K:$K,$L183)=0,"",INT(INDEX('Invullen groen'!$K:$K,$L183))),""),"")</f>
        <v/>
      </c>
      <c r="J183">
        <f>IF($L183&gt;0,IFERROR($K$1&amp;" "&amp;TRIM(SUBSTITUTE(SUBSTITUTE(SUBSTITUTE(SUBSTITUTE(SUBSTITUTE(SUBSTITUTE(SUBSTITUTE(SUBSTITUTE(SUBSTITUTE(SUBSTITUTE(SUBSTITUTE(SUBSTITUTE(LOWER(INDEX('Invullen groen'!$O:$O,$L183)),"2024",""),"2025",""),"2026",""),"2027",""),"2028",""),"2029",""),"taakveld ",""),"installaties","inst"),"ruwbouw","ruwb"),"afbouw","afb"),"bijstelling","bijst"),"investeringen","invest")),""),"")</f>
        <v/>
      </c>
      <c r="L183">
        <f>IFERROR(MATCH(ROW()-104,'Invullen groen'!$S$121:$S$272,0)+120,0)</f>
        <v/>
      </c>
    </row>
    <row r="184" hidden="1" s="418">
      <c r="A184" s="124">
        <f>IF($L184&gt;0,"+","")</f>
        <v/>
      </c>
      <c r="B184">
        <f>IFERROR(IF($L184&gt;0,IF(INDEX('Invullen groen'!$F:$F,$L184)&gt;0,INDEX('Invullen groen'!$F:$F,$L184),""),""),"")</f>
        <v/>
      </c>
      <c r="C184">
        <f>IFERROR(IF($L184&gt;0,IF(INDEX('Invullen groen'!$N:$N,$L184)&gt;0,INDEX('Invullen groen'!$N:$N,$L184),""),""),"")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123">
        <f>IFERROR(IF($L184&gt;0,IF(INDEX('Invullen groen'!$H:$H,$L184)=0,"",INT(INDEX('Invullen groen'!$H:$H,$L184))),""),"")</f>
        <v/>
      </c>
      <c r="G184" s="123">
        <f>IFERROR(IF($L184&gt;0,IF(INDEX('Invullen groen'!$I:$I,$L184)=0,"",INT(INDEX('Invullen groen'!$I:$I,$L184))),""),"")</f>
        <v/>
      </c>
      <c r="H184" s="123">
        <f>IFERROR(IF($L184&gt;0,IF(INDEX('Invullen groen'!$J:$J,$L184)=0,"",INT(INDEX('Invullen groen'!$J:$J,$L184))),""),"")</f>
        <v/>
      </c>
      <c r="I184" s="123">
        <f>IFERROR(IF($L184&gt;0,IF(INDEX('Invullen groen'!$K:$K,$L184)=0,"",INT(INDEX('Invullen groen'!$K:$K,$L184))),""),"")</f>
        <v/>
      </c>
      <c r="J184">
        <f>IF($L184&gt;0,IFERROR($K$1&amp;" "&amp;TRIM(SUBSTITUTE(SUBSTITUTE(SUBSTITUTE(SUBSTITUTE(SUBSTITUTE(SUBSTITUTE(SUBSTITUTE(SUBSTITUTE(SUBSTITUTE(SUBSTITUTE(SUBSTITUTE(SUBSTITUTE(LOWER(INDEX('Invullen groen'!$O:$O,$L184)),"2024",""),"2025",""),"2026",""),"2027",""),"2028",""),"2029",""),"taakveld ",""),"installaties","inst"),"ruwbouw","ruwb"),"afbouw","afb"),"bijstelling","bijst"),"investeringen","invest")),""),"")</f>
        <v/>
      </c>
      <c r="L184">
        <f>IFERROR(MATCH(ROW()-104,'Invullen groen'!$S$121:$S$272,0)+120,0)</f>
        <v/>
      </c>
    </row>
    <row r="185" hidden="1" s="418">
      <c r="A185" s="124">
        <f>IF($L185&gt;0,"+","")</f>
        <v/>
      </c>
      <c r="B185">
        <f>IFERROR(IF($L185&gt;0,IF(INDEX('Invullen groen'!$F:$F,$L185)&gt;0,INDEX('Invullen groen'!$F:$F,$L185),""),""),"")</f>
        <v/>
      </c>
      <c r="C185">
        <f>IFERROR(IF($L185&gt;0,IF(INDEX('Invullen groen'!$N:$N,$L185)&gt;0,INDEX('Invullen groen'!$N:$N,$L185),""),""),"")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123">
        <f>IFERROR(IF($L185&gt;0,IF(INDEX('Invullen groen'!$H:$H,$L185)=0,"",INT(INDEX('Invullen groen'!$H:$H,$L185))),""),"")</f>
        <v/>
      </c>
      <c r="G185" s="123">
        <f>IFERROR(IF($L185&gt;0,IF(INDEX('Invullen groen'!$I:$I,$L185)=0,"",INT(INDEX('Invullen groen'!$I:$I,$L185))),""),"")</f>
        <v/>
      </c>
      <c r="H185" s="123">
        <f>IFERROR(IF($L185&gt;0,IF(INDEX('Invullen groen'!$J:$J,$L185)=0,"",INT(INDEX('Invullen groen'!$J:$J,$L185))),""),"")</f>
        <v/>
      </c>
      <c r="I185" s="123">
        <f>IFERROR(IF($L185&gt;0,IF(INDEX('Invullen groen'!$K:$K,$L185)=0,"",INT(INDEX('Invullen groen'!$K:$K,$L185))),""),"")</f>
        <v/>
      </c>
      <c r="J185">
        <f>IF($L185&gt;0,IFERROR($K$1&amp;" "&amp;TRIM(SUBSTITUTE(SUBSTITUTE(SUBSTITUTE(SUBSTITUTE(SUBSTITUTE(SUBSTITUTE(SUBSTITUTE(SUBSTITUTE(SUBSTITUTE(SUBSTITUTE(SUBSTITUTE(SUBSTITUTE(LOWER(INDEX('Invullen groen'!$O:$O,$L185)),"2024",""),"2025",""),"2026",""),"2027",""),"2028",""),"2029",""),"taakveld ",""),"installaties","inst"),"ruwbouw","ruwb"),"afbouw","afb"),"bijstelling","bijst"),"investeringen","invest")),""),"")</f>
        <v/>
      </c>
      <c r="L185">
        <f>IFERROR(MATCH(ROW()-104,'Invullen groen'!$S$121:$S$272,0)+120,0)</f>
        <v/>
      </c>
    </row>
    <row r="186" hidden="1" s="418">
      <c r="A186" s="124">
        <f>IF($L186&gt;0,"+","")</f>
        <v/>
      </c>
      <c r="B186">
        <f>IFERROR(IF($L186&gt;0,IF(INDEX('Invullen groen'!$F:$F,$L186)&gt;0,INDEX('Invullen groen'!$F:$F,$L186),""),""),"")</f>
        <v/>
      </c>
      <c r="C186">
        <f>IFERROR(IF($L186&gt;0,IF(INDEX('Invullen groen'!$N:$N,$L186)&gt;0,INDEX('Invullen groen'!$N:$N,$L186),""),""),"")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123">
        <f>IFERROR(IF($L186&gt;0,IF(INDEX('Invullen groen'!$H:$H,$L186)=0,"",INT(INDEX('Invullen groen'!$H:$H,$L186))),""),"")</f>
        <v/>
      </c>
      <c r="G186" s="123">
        <f>IFERROR(IF($L186&gt;0,IF(INDEX('Invullen groen'!$I:$I,$L186)=0,"",INT(INDEX('Invullen groen'!$I:$I,$L186))),""),"")</f>
        <v/>
      </c>
      <c r="H186" s="123">
        <f>IFERROR(IF($L186&gt;0,IF(INDEX('Invullen groen'!$J:$J,$L186)=0,"",INT(INDEX('Invullen groen'!$J:$J,$L186))),""),"")</f>
        <v/>
      </c>
      <c r="I186" s="123">
        <f>IFERROR(IF($L186&gt;0,IF(INDEX('Invullen groen'!$K:$K,$L186)=0,"",INT(INDEX('Invullen groen'!$K:$K,$L186))),""),"")</f>
        <v/>
      </c>
      <c r="J186">
        <f>IF($L186&gt;0,IFERROR($K$1&amp;" "&amp;TRIM(SUBSTITUTE(SUBSTITUTE(SUBSTITUTE(SUBSTITUTE(SUBSTITUTE(SUBSTITUTE(SUBSTITUTE(SUBSTITUTE(SUBSTITUTE(SUBSTITUTE(SUBSTITUTE(SUBSTITUTE(LOWER(INDEX('Invullen groen'!$O:$O,$L186)),"2024",""),"2025",""),"2026",""),"2027",""),"2028",""),"2029",""),"taakveld ",""),"installaties","inst"),"ruwbouw","ruwb"),"afbouw","afb"),"bijstelling","bijst"),"investeringen","invest")),""),"")</f>
        <v/>
      </c>
      <c r="L186">
        <f>IFERROR(MATCH(ROW()-104,'Invullen groen'!$S$121:$S$272,0)+120,0)</f>
        <v/>
      </c>
    </row>
    <row r="187" hidden="1" s="418">
      <c r="A187" s="124">
        <f>IF($L187&gt;0,"+","")</f>
        <v/>
      </c>
      <c r="B187">
        <f>IFERROR(IF($L187&gt;0,IF(INDEX('Invullen groen'!$F:$F,$L187)&gt;0,INDEX('Invullen groen'!$F:$F,$L187),""),""),"")</f>
        <v/>
      </c>
      <c r="C187">
        <f>IFERROR(IF($L187&gt;0,IF(INDEX('Invullen groen'!$N:$N,$L187)&gt;0,INDEX('Invullen groen'!$N:$N,$L187),""),""),"")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123">
        <f>IFERROR(IF($L187&gt;0,IF(INDEX('Invullen groen'!$H:$H,$L187)=0,"",INT(INDEX('Invullen groen'!$H:$H,$L187))),""),"")</f>
        <v/>
      </c>
      <c r="G187" s="123">
        <f>IFERROR(IF($L187&gt;0,IF(INDEX('Invullen groen'!$I:$I,$L187)=0,"",INT(INDEX('Invullen groen'!$I:$I,$L187))),""),"")</f>
        <v/>
      </c>
      <c r="H187" s="123">
        <f>IFERROR(IF($L187&gt;0,IF(INDEX('Invullen groen'!$J:$J,$L187)=0,"",INT(INDEX('Invullen groen'!$J:$J,$L187))),""),"")</f>
        <v/>
      </c>
      <c r="I187" s="123">
        <f>IFERROR(IF($L187&gt;0,IF(INDEX('Invullen groen'!$K:$K,$L187)=0,"",INT(INDEX('Invullen groen'!$K:$K,$L187))),""),"")</f>
        <v/>
      </c>
      <c r="J187">
        <f>IF($L187&gt;0,IFERROR($K$1&amp;" "&amp;TRIM(SUBSTITUTE(SUBSTITUTE(SUBSTITUTE(SUBSTITUTE(SUBSTITUTE(SUBSTITUTE(SUBSTITUTE(SUBSTITUTE(SUBSTITUTE(SUBSTITUTE(SUBSTITUTE(SUBSTITUTE(LOWER(INDEX('Invullen groen'!$O:$O,$L187)),"2024",""),"2025",""),"2026",""),"2027",""),"2028",""),"2029",""),"taakveld ",""),"installaties","inst"),"ruwbouw","ruwb"),"afbouw","afb"),"bijstelling","bijst"),"investeringen","invest")),""),"")</f>
        <v/>
      </c>
      <c r="L187">
        <f>IFERROR(MATCH(ROW()-104,'Invullen groen'!$S$121:$S$272,0)+120,0)</f>
        <v/>
      </c>
    </row>
    <row r="188" hidden="1" s="418">
      <c r="A188" s="124">
        <f>IF($L188&gt;0,"+","")</f>
        <v/>
      </c>
      <c r="B188">
        <f>IFERROR(IF($L188&gt;0,IF(INDEX('Invullen groen'!$F:$F,$L188)&gt;0,INDEX('Invullen groen'!$F:$F,$L188),""),""),"")</f>
        <v/>
      </c>
      <c r="C188">
        <f>IFERROR(IF($L188&gt;0,IF(INDEX('Invullen groen'!$N:$N,$L188)&gt;0,INDEX('Invullen groen'!$N:$N,$L188),""),""),"")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123">
        <f>IFERROR(IF($L188&gt;0,IF(INDEX('Invullen groen'!$H:$H,$L188)=0,"",INT(INDEX('Invullen groen'!$H:$H,$L188))),""),"")</f>
        <v/>
      </c>
      <c r="G188" s="123">
        <f>IFERROR(IF($L188&gt;0,IF(INDEX('Invullen groen'!$I:$I,$L188)=0,"",INT(INDEX('Invullen groen'!$I:$I,$L188))),""),"")</f>
        <v/>
      </c>
      <c r="H188" s="123">
        <f>IFERROR(IF($L188&gt;0,IF(INDEX('Invullen groen'!$J:$J,$L188)=0,"",INT(INDEX('Invullen groen'!$J:$J,$L188))),""),"")</f>
        <v/>
      </c>
      <c r="I188" s="123">
        <f>IFERROR(IF($L188&gt;0,IF(INDEX('Invullen groen'!$K:$K,$L188)=0,"",INT(INDEX('Invullen groen'!$K:$K,$L188))),""),"")</f>
        <v/>
      </c>
      <c r="J188">
        <f>IF($L188&gt;0,IFERROR($K$1&amp;" "&amp;TRIM(SUBSTITUTE(SUBSTITUTE(SUBSTITUTE(SUBSTITUTE(SUBSTITUTE(SUBSTITUTE(SUBSTITUTE(SUBSTITUTE(SUBSTITUTE(SUBSTITUTE(SUBSTITUTE(SUBSTITUTE(LOWER(INDEX('Invullen groen'!$O:$O,$L188)),"2024",""),"2025",""),"2026",""),"2027",""),"2028",""),"2029",""),"taakveld ",""),"installaties","inst"),"ruwbouw","ruwb"),"afbouw","afb"),"bijstelling","bijst"),"investeringen","invest")),""),"")</f>
        <v/>
      </c>
      <c r="L188">
        <f>IFERROR(MATCH(ROW()-104,'Invullen groen'!$S$121:$S$272,0)+120,0)</f>
        <v/>
      </c>
    </row>
    <row r="189" hidden="1" s="418">
      <c r="A189" s="124">
        <f>IF($L189&gt;0,"+","")</f>
        <v/>
      </c>
      <c r="B189">
        <f>IFERROR(IF($L189&gt;0,IF(INDEX('Invullen groen'!$F:$F,$L189)&gt;0,INDEX('Invullen groen'!$F:$F,$L189),""),""),"")</f>
        <v/>
      </c>
      <c r="C189">
        <f>IFERROR(IF($L189&gt;0,IF(INDEX('Invullen groen'!$N:$N,$L189)&gt;0,INDEX('Invullen groen'!$N:$N,$L189),""),""),"")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123">
        <f>IFERROR(IF($L189&gt;0,IF(INDEX('Invullen groen'!$H:$H,$L189)=0,"",INT(INDEX('Invullen groen'!$H:$H,$L189))),""),"")</f>
        <v/>
      </c>
      <c r="G189" s="123">
        <f>IFERROR(IF($L189&gt;0,IF(INDEX('Invullen groen'!$I:$I,$L189)=0,"",INT(INDEX('Invullen groen'!$I:$I,$L189))),""),"")</f>
        <v/>
      </c>
      <c r="H189" s="123">
        <f>IFERROR(IF($L189&gt;0,IF(INDEX('Invullen groen'!$J:$J,$L189)=0,"",INT(INDEX('Invullen groen'!$J:$J,$L189))),""),"")</f>
        <v/>
      </c>
      <c r="I189" s="123">
        <f>IFERROR(IF($L189&gt;0,IF(INDEX('Invullen groen'!$K:$K,$L189)=0,"",INT(INDEX('Invullen groen'!$K:$K,$L189))),""),"")</f>
        <v/>
      </c>
      <c r="J189">
        <f>IF($L189&gt;0,IFERROR($K$1&amp;" "&amp;TRIM(SUBSTITUTE(SUBSTITUTE(SUBSTITUTE(SUBSTITUTE(SUBSTITUTE(SUBSTITUTE(SUBSTITUTE(SUBSTITUTE(SUBSTITUTE(SUBSTITUTE(SUBSTITUTE(SUBSTITUTE(LOWER(INDEX('Invullen groen'!$O:$O,$L189)),"2024",""),"2025",""),"2026",""),"2027",""),"2028",""),"2029",""),"taakveld ",""),"installaties","inst"),"ruwbouw","ruwb"),"afbouw","afb"),"bijstelling","bijst"),"investeringen","invest")),""),"")</f>
        <v/>
      </c>
      <c r="L189">
        <f>IFERROR(MATCH(ROW()-104,'Invullen groen'!$S$121:$S$272,0)+120,0)</f>
        <v/>
      </c>
    </row>
    <row r="190" hidden="1" s="418">
      <c r="A190" s="124">
        <f>IF($L190&gt;0,"+","")</f>
        <v/>
      </c>
      <c r="B190">
        <f>IFERROR(IF($L190&gt;0,IF(INDEX('Invullen groen'!$F:$F,$L190)&gt;0,INDEX('Invullen groen'!$F:$F,$L190),""),""),"")</f>
        <v/>
      </c>
      <c r="C190">
        <f>IFERROR(IF($L190&gt;0,IF(INDEX('Invullen groen'!$N:$N,$L190)&gt;0,INDEX('Invullen groen'!$N:$N,$L190),""),""),"")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123">
        <f>IFERROR(IF($L190&gt;0,IF(INDEX('Invullen groen'!$H:$H,$L190)=0,"",INT(INDEX('Invullen groen'!$H:$H,$L190))),""),"")</f>
        <v/>
      </c>
      <c r="G190" s="123">
        <f>IFERROR(IF($L190&gt;0,IF(INDEX('Invullen groen'!$I:$I,$L190)=0,"",INT(INDEX('Invullen groen'!$I:$I,$L190))),""),"")</f>
        <v/>
      </c>
      <c r="H190" s="123">
        <f>IFERROR(IF($L190&gt;0,IF(INDEX('Invullen groen'!$J:$J,$L190)=0,"",INT(INDEX('Invullen groen'!$J:$J,$L190))),""),"")</f>
        <v/>
      </c>
      <c r="I190" s="123">
        <f>IFERROR(IF($L190&gt;0,IF(INDEX('Invullen groen'!$K:$K,$L190)=0,"",INT(INDEX('Invullen groen'!$K:$K,$L190))),""),"")</f>
        <v/>
      </c>
      <c r="J190">
        <f>IF($L190&gt;0,IFERROR($K$1&amp;" "&amp;TRIM(SUBSTITUTE(SUBSTITUTE(SUBSTITUTE(SUBSTITUTE(SUBSTITUTE(SUBSTITUTE(SUBSTITUTE(SUBSTITUTE(SUBSTITUTE(SUBSTITUTE(SUBSTITUTE(SUBSTITUTE(LOWER(INDEX('Invullen groen'!$O:$O,$L190)),"2024",""),"2025",""),"2026",""),"2027",""),"2028",""),"2029",""),"taakveld ",""),"installaties","inst"),"ruwbouw","ruwb"),"afbouw","afb"),"bijstelling","bijst"),"investeringen","invest")),""),"")</f>
        <v/>
      </c>
      <c r="L190">
        <f>IFERROR(MATCH(ROW()-104,'Invullen groen'!$S$121:$S$272,0)+120,0)</f>
        <v/>
      </c>
    </row>
    <row r="191" hidden="1" s="418">
      <c r="A191" s="124">
        <f>IF($L191&gt;0,"+","")</f>
        <v/>
      </c>
      <c r="B191">
        <f>IFERROR(IF($L191&gt;0,IF(INDEX('Invullen groen'!$F:$F,$L191)&gt;0,INDEX('Invullen groen'!$F:$F,$L191),""),""),"")</f>
        <v/>
      </c>
      <c r="C191">
        <f>IFERROR(IF($L191&gt;0,IF(INDEX('Invullen groen'!$N:$N,$L191)&gt;0,INDEX('Invullen groen'!$N:$N,$L191),""),""),"")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123">
        <f>IFERROR(IF($L191&gt;0,IF(INDEX('Invullen groen'!$H:$H,$L191)=0,"",INT(INDEX('Invullen groen'!$H:$H,$L191))),""),"")</f>
        <v/>
      </c>
      <c r="G191" s="123">
        <f>IFERROR(IF($L191&gt;0,IF(INDEX('Invullen groen'!$I:$I,$L191)=0,"",INT(INDEX('Invullen groen'!$I:$I,$L191))),""),"")</f>
        <v/>
      </c>
      <c r="H191" s="123">
        <f>IFERROR(IF($L191&gt;0,IF(INDEX('Invullen groen'!$J:$J,$L191)=0,"",INT(INDEX('Invullen groen'!$J:$J,$L191))),""),"")</f>
        <v/>
      </c>
      <c r="I191" s="123">
        <f>IFERROR(IF($L191&gt;0,IF(INDEX('Invullen groen'!$K:$K,$L191)=0,"",INT(INDEX('Invullen groen'!$K:$K,$L191))),""),"")</f>
        <v/>
      </c>
      <c r="J191">
        <f>IF($L191&gt;0,IFERROR($K$1&amp;" "&amp;TRIM(SUBSTITUTE(SUBSTITUTE(SUBSTITUTE(SUBSTITUTE(SUBSTITUTE(SUBSTITUTE(SUBSTITUTE(SUBSTITUTE(SUBSTITUTE(SUBSTITUTE(SUBSTITUTE(SUBSTITUTE(LOWER(INDEX('Invullen groen'!$O:$O,$L191)),"2024",""),"2025",""),"2026",""),"2027",""),"2028",""),"2029",""),"taakveld ",""),"installaties","inst"),"ruwbouw","ruwb"),"afbouw","afb"),"bijstelling","bijst"),"investeringen","invest")),""),"")</f>
        <v/>
      </c>
      <c r="L191">
        <f>IFERROR(MATCH(ROW()-104,'Invullen groen'!$S$121:$S$272,0)+120,0)</f>
        <v/>
      </c>
    </row>
    <row r="192" hidden="1" s="418">
      <c r="A192" s="124">
        <f>IF($L192&gt;0,"+","")</f>
        <v/>
      </c>
      <c r="B192">
        <f>IFERROR(IF($L192&gt;0,IF(INDEX('Invullen groen'!$F:$F,$L192)&gt;0,INDEX('Invullen groen'!$F:$F,$L192),""),""),"")</f>
        <v/>
      </c>
      <c r="C192">
        <f>IFERROR(IF($L192&gt;0,IF(INDEX('Invullen groen'!$N:$N,$L192)&gt;0,INDEX('Invullen groen'!$N:$N,$L192),""),""),"")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123">
        <f>IFERROR(IF($L192&gt;0,IF(INDEX('Invullen groen'!$H:$H,$L192)=0,"",INT(INDEX('Invullen groen'!$H:$H,$L192))),""),"")</f>
        <v/>
      </c>
      <c r="G192" s="123">
        <f>IFERROR(IF($L192&gt;0,IF(INDEX('Invullen groen'!$I:$I,$L192)=0,"",INT(INDEX('Invullen groen'!$I:$I,$L192))),""),"")</f>
        <v/>
      </c>
      <c r="H192" s="123">
        <f>IFERROR(IF($L192&gt;0,IF(INDEX('Invullen groen'!$J:$J,$L192)=0,"",INT(INDEX('Invullen groen'!$J:$J,$L192))),""),"")</f>
        <v/>
      </c>
      <c r="I192" s="123">
        <f>IFERROR(IF($L192&gt;0,IF(INDEX('Invullen groen'!$K:$K,$L192)=0,"",INT(INDEX('Invullen groen'!$K:$K,$L192))),""),"")</f>
        <v/>
      </c>
      <c r="J192">
        <f>IF($L192&gt;0,IFERROR($K$1&amp;" "&amp;TRIM(SUBSTITUTE(SUBSTITUTE(SUBSTITUTE(SUBSTITUTE(SUBSTITUTE(SUBSTITUTE(SUBSTITUTE(SUBSTITUTE(SUBSTITUTE(SUBSTITUTE(SUBSTITUTE(SUBSTITUTE(LOWER(INDEX('Invullen groen'!$O:$O,$L192)),"2024",""),"2025",""),"2026",""),"2027",""),"2028",""),"2029",""),"taakveld ",""),"installaties","inst"),"ruwbouw","ruwb"),"afbouw","afb"),"bijstelling","bijst"),"investeringen","invest")),""),"")</f>
        <v/>
      </c>
      <c r="L192">
        <f>IFERROR(MATCH(ROW()-104,'Invullen groen'!$S$121:$S$272,0)+120,0)</f>
        <v/>
      </c>
    </row>
    <row r="193" hidden="1" s="418">
      <c r="A193" s="124">
        <f>IF($L193&gt;0,"+","")</f>
        <v/>
      </c>
      <c r="B193">
        <f>IFERROR(IF($L193&gt;0,IF(INDEX('Invullen groen'!$F:$F,$L193)&gt;0,INDEX('Invullen groen'!$F:$F,$L193),""),""),"")</f>
        <v/>
      </c>
      <c r="C193">
        <f>IFERROR(IF($L193&gt;0,IF(INDEX('Invullen groen'!$N:$N,$L193)&gt;0,INDEX('Invullen groen'!$N:$N,$L193),""),""),"")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123">
        <f>IFERROR(IF($L193&gt;0,IF(INDEX('Invullen groen'!$H:$H,$L193)=0,"",INT(INDEX('Invullen groen'!$H:$H,$L193))),""),"")</f>
        <v/>
      </c>
      <c r="G193" s="123">
        <f>IFERROR(IF($L193&gt;0,IF(INDEX('Invullen groen'!$I:$I,$L193)=0,"",INT(INDEX('Invullen groen'!$I:$I,$L193))),""),"")</f>
        <v/>
      </c>
      <c r="H193" s="123">
        <f>IFERROR(IF($L193&gt;0,IF(INDEX('Invullen groen'!$J:$J,$L193)=0,"",INT(INDEX('Invullen groen'!$J:$J,$L193))),""),"")</f>
        <v/>
      </c>
      <c r="I193" s="123">
        <f>IFERROR(IF($L193&gt;0,IF(INDEX('Invullen groen'!$K:$K,$L193)=0,"",INT(INDEX('Invullen groen'!$K:$K,$L193))),""),"")</f>
        <v/>
      </c>
      <c r="J193">
        <f>IF($L193&gt;0,IFERROR($K$1&amp;" "&amp;TRIM(SUBSTITUTE(SUBSTITUTE(SUBSTITUTE(SUBSTITUTE(SUBSTITUTE(SUBSTITUTE(SUBSTITUTE(SUBSTITUTE(SUBSTITUTE(SUBSTITUTE(SUBSTITUTE(SUBSTITUTE(LOWER(INDEX('Invullen groen'!$O:$O,$L193)),"2024",""),"2025",""),"2026",""),"2027",""),"2028",""),"2029",""),"taakveld ",""),"installaties","inst"),"ruwbouw","ruwb"),"afbouw","afb"),"bijstelling","bijst"),"investeringen","invest")),""),"")</f>
        <v/>
      </c>
      <c r="L193">
        <f>IFERROR(MATCH(ROW()-104,'Invullen groen'!$S$121:$S$272,0)+120,0)</f>
        <v/>
      </c>
    </row>
    <row r="194" hidden="1" s="418">
      <c r="A194" s="124">
        <f>IF($L194&gt;0,"+","")</f>
        <v/>
      </c>
      <c r="B194">
        <f>IFERROR(IF($L194&gt;0,IF(INDEX('Invullen groen'!$F:$F,$L194)&gt;0,INDEX('Invullen groen'!$F:$F,$L194),""),""),"")</f>
        <v/>
      </c>
      <c r="C194">
        <f>IFERROR(IF($L194&gt;0,IF(INDEX('Invullen groen'!$N:$N,$L194)&gt;0,INDEX('Invullen groen'!$N:$N,$L194),""),""),"")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123">
        <f>IFERROR(IF($L194&gt;0,IF(INDEX('Invullen groen'!$H:$H,$L194)=0,"",INT(INDEX('Invullen groen'!$H:$H,$L194))),""),"")</f>
        <v/>
      </c>
      <c r="G194" s="123">
        <f>IFERROR(IF($L194&gt;0,IF(INDEX('Invullen groen'!$I:$I,$L194)=0,"",INT(INDEX('Invullen groen'!$I:$I,$L194))),""),"")</f>
        <v/>
      </c>
      <c r="H194" s="123">
        <f>IFERROR(IF($L194&gt;0,IF(INDEX('Invullen groen'!$J:$J,$L194)=0,"",INT(INDEX('Invullen groen'!$J:$J,$L194))),""),"")</f>
        <v/>
      </c>
      <c r="I194" s="123">
        <f>IFERROR(IF($L194&gt;0,IF(INDEX('Invullen groen'!$K:$K,$L194)=0,"",INT(INDEX('Invullen groen'!$K:$K,$L194))),""),"")</f>
        <v/>
      </c>
      <c r="J194">
        <f>IF($L194&gt;0,IFERROR($K$1&amp;" "&amp;TRIM(SUBSTITUTE(SUBSTITUTE(SUBSTITUTE(SUBSTITUTE(SUBSTITUTE(SUBSTITUTE(SUBSTITUTE(SUBSTITUTE(SUBSTITUTE(SUBSTITUTE(SUBSTITUTE(SUBSTITUTE(LOWER(INDEX('Invullen groen'!$O:$O,$L194)),"2024",""),"2025",""),"2026",""),"2027",""),"2028",""),"2029",""),"taakveld ",""),"installaties","inst"),"ruwbouw","ruwb"),"afbouw","afb"),"bijstelling","bijst"),"investeringen","invest")),""),"")</f>
        <v/>
      </c>
      <c r="L194">
        <f>IFERROR(MATCH(ROW()-104,'Invullen groen'!$S$121:$S$272,0)+120,0)</f>
        <v/>
      </c>
    </row>
    <row r="195" hidden="1" s="418">
      <c r="A195" s="124">
        <f>IF($L195&gt;0,"+","")</f>
        <v/>
      </c>
      <c r="B195">
        <f>IFERROR(IF($L195&gt;0,IF(INDEX('Invullen groen'!$F:$F,$L195)&gt;0,INDEX('Invullen groen'!$F:$F,$L195),""),""),"")</f>
        <v/>
      </c>
      <c r="C195">
        <f>IFERROR(IF($L195&gt;0,IF(INDEX('Invullen groen'!$N:$N,$L195)&gt;0,INDEX('Invullen groen'!$N:$N,$L195),""),""),"")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123">
        <f>IFERROR(IF($L195&gt;0,IF(INDEX('Invullen groen'!$H:$H,$L195)=0,"",INT(INDEX('Invullen groen'!$H:$H,$L195))),""),"")</f>
        <v/>
      </c>
      <c r="G195" s="123">
        <f>IFERROR(IF($L195&gt;0,IF(INDEX('Invullen groen'!$I:$I,$L195)=0,"",INT(INDEX('Invullen groen'!$I:$I,$L195))),""),"")</f>
        <v/>
      </c>
      <c r="H195" s="123">
        <f>IFERROR(IF($L195&gt;0,IF(INDEX('Invullen groen'!$J:$J,$L195)=0,"",INT(INDEX('Invullen groen'!$J:$J,$L195))),""),"")</f>
        <v/>
      </c>
      <c r="I195" s="123">
        <f>IFERROR(IF($L195&gt;0,IF(INDEX('Invullen groen'!$K:$K,$L195)=0,"",INT(INDEX('Invullen groen'!$K:$K,$L195))),""),"")</f>
        <v/>
      </c>
      <c r="J195">
        <f>IF($L195&gt;0,IFERROR($K$1&amp;" "&amp;TRIM(SUBSTITUTE(SUBSTITUTE(SUBSTITUTE(SUBSTITUTE(SUBSTITUTE(SUBSTITUTE(SUBSTITUTE(SUBSTITUTE(SUBSTITUTE(SUBSTITUTE(SUBSTITUTE(SUBSTITUTE(LOWER(INDEX('Invullen groen'!$O:$O,$L195)),"2024",""),"2025",""),"2026",""),"2027",""),"2028",""),"2029",""),"taakveld ",""),"installaties","inst"),"ruwbouw","ruwb"),"afbouw","afb"),"bijstelling","bijst"),"investeringen","invest")),""),"")</f>
        <v/>
      </c>
      <c r="L195">
        <f>IFERROR(MATCH(ROW()-104,'Invullen groen'!$S$121:$S$272,0)+120,0)</f>
        <v/>
      </c>
    </row>
    <row r="196" hidden="1" s="418">
      <c r="A196" s="124">
        <f>IF($L196&gt;0,"+","")</f>
        <v/>
      </c>
      <c r="B196">
        <f>IFERROR(IF($L196&gt;0,IF(INDEX('Invullen groen'!$F:$F,$L196)&gt;0,INDEX('Invullen groen'!$F:$F,$L196),""),""),"")</f>
        <v/>
      </c>
      <c r="C196">
        <f>IFERROR(IF($L196&gt;0,IF(INDEX('Invullen groen'!$N:$N,$L196)&gt;0,INDEX('Invullen groen'!$N:$N,$L196),""),""),"")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123">
        <f>IFERROR(IF($L196&gt;0,IF(INDEX('Invullen groen'!$H:$H,$L196)=0,"",INT(INDEX('Invullen groen'!$H:$H,$L196))),""),"")</f>
        <v/>
      </c>
      <c r="G196" s="123">
        <f>IFERROR(IF($L196&gt;0,IF(INDEX('Invullen groen'!$I:$I,$L196)=0,"",INT(INDEX('Invullen groen'!$I:$I,$L196))),""),"")</f>
        <v/>
      </c>
      <c r="H196" s="123">
        <f>IFERROR(IF($L196&gt;0,IF(INDEX('Invullen groen'!$J:$J,$L196)=0,"",INT(INDEX('Invullen groen'!$J:$J,$L196))),""),"")</f>
        <v/>
      </c>
      <c r="I196" s="123">
        <f>IFERROR(IF($L196&gt;0,IF(INDEX('Invullen groen'!$K:$K,$L196)=0,"",INT(INDEX('Invullen groen'!$K:$K,$L196))),""),"")</f>
        <v/>
      </c>
      <c r="J196">
        <f>IF($L196&gt;0,IFERROR($K$1&amp;" "&amp;TRIM(SUBSTITUTE(SUBSTITUTE(SUBSTITUTE(SUBSTITUTE(SUBSTITUTE(SUBSTITUTE(SUBSTITUTE(SUBSTITUTE(SUBSTITUTE(SUBSTITUTE(SUBSTITUTE(SUBSTITUTE(LOWER(INDEX('Invullen groen'!$O:$O,$L196)),"2024",""),"2025",""),"2026",""),"2027",""),"2028",""),"2029",""),"taakveld ",""),"installaties","inst"),"ruwbouw","ruwb"),"afbouw","afb"),"bijstelling","bijst"),"investeringen","invest")),""),"")</f>
        <v/>
      </c>
      <c r="L196">
        <f>IFERROR(MATCH(ROW()-104,'Invullen groen'!$S$121:$S$272,0)+120,0)</f>
        <v/>
      </c>
    </row>
    <row r="197" hidden="1" s="418">
      <c r="A197" s="124">
        <f>IF($L197&gt;0,"+","")</f>
        <v/>
      </c>
      <c r="B197">
        <f>IFERROR(IF($L197&gt;0,IF(INDEX('Invullen groen'!$F:$F,$L197)&gt;0,INDEX('Invullen groen'!$F:$F,$L197),""),""),"")</f>
        <v/>
      </c>
      <c r="C197">
        <f>IFERROR(IF($L197&gt;0,IF(INDEX('Invullen groen'!$N:$N,$L197)&gt;0,INDEX('Invullen groen'!$N:$N,$L197),""),""),"")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123">
        <f>IFERROR(IF($L197&gt;0,IF(INDEX('Invullen groen'!$H:$H,$L197)=0,"",INT(INDEX('Invullen groen'!$H:$H,$L197))),""),"")</f>
        <v/>
      </c>
      <c r="G197" s="123">
        <f>IFERROR(IF($L197&gt;0,IF(INDEX('Invullen groen'!$I:$I,$L197)=0,"",INT(INDEX('Invullen groen'!$I:$I,$L197))),""),"")</f>
        <v/>
      </c>
      <c r="H197" s="123">
        <f>IFERROR(IF($L197&gt;0,IF(INDEX('Invullen groen'!$J:$J,$L197)=0,"",INT(INDEX('Invullen groen'!$J:$J,$L197))),""),"")</f>
        <v/>
      </c>
      <c r="I197" s="123">
        <f>IFERROR(IF($L197&gt;0,IF(INDEX('Invullen groen'!$K:$K,$L197)=0,"",INT(INDEX('Invullen groen'!$K:$K,$L197))),""),"")</f>
        <v/>
      </c>
      <c r="J197">
        <f>IF($L197&gt;0,IFERROR($K$1&amp;" "&amp;TRIM(SUBSTITUTE(SUBSTITUTE(SUBSTITUTE(SUBSTITUTE(SUBSTITUTE(SUBSTITUTE(SUBSTITUTE(SUBSTITUTE(SUBSTITUTE(SUBSTITUTE(SUBSTITUTE(SUBSTITUTE(LOWER(INDEX('Invullen groen'!$O:$O,$L197)),"2024",""),"2025",""),"2026",""),"2027",""),"2028",""),"2029",""),"taakveld ",""),"installaties","inst"),"ruwbouw","ruwb"),"afbouw","afb"),"bijstelling","bijst"),"investeringen","invest")),""),"")</f>
        <v/>
      </c>
      <c r="L197">
        <f>IFERROR(MATCH(ROW()-104,'Invullen groen'!$S$121:$S$272,0)+120,0)</f>
        <v/>
      </c>
    </row>
    <row r="198" hidden="1" s="418">
      <c r="A198" s="124">
        <f>IF($L198&gt;0,"+","")</f>
        <v/>
      </c>
      <c r="B198">
        <f>IFERROR(IF($L198&gt;0,IF(INDEX('Invullen groen'!$F:$F,$L198)&gt;0,INDEX('Invullen groen'!$F:$F,$L198),""),""),"")</f>
        <v/>
      </c>
      <c r="C198">
        <f>IFERROR(IF($L198&gt;0,IF(INDEX('Invullen groen'!$N:$N,$L198)&gt;0,INDEX('Invullen groen'!$N:$N,$L198),""),""),"")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123">
        <f>IFERROR(IF($L198&gt;0,IF(INDEX('Invullen groen'!$H:$H,$L198)=0,"",INT(INDEX('Invullen groen'!$H:$H,$L198))),""),"")</f>
        <v/>
      </c>
      <c r="G198" s="123">
        <f>IFERROR(IF($L198&gt;0,IF(INDEX('Invullen groen'!$I:$I,$L198)=0,"",INT(INDEX('Invullen groen'!$I:$I,$L198))),""),"")</f>
        <v/>
      </c>
      <c r="H198" s="123">
        <f>IFERROR(IF($L198&gt;0,IF(INDEX('Invullen groen'!$J:$J,$L198)=0,"",INT(INDEX('Invullen groen'!$J:$J,$L198))),""),"")</f>
        <v/>
      </c>
      <c r="I198" s="123">
        <f>IFERROR(IF($L198&gt;0,IF(INDEX('Invullen groen'!$K:$K,$L198)=0,"",INT(INDEX('Invullen groen'!$K:$K,$L198))),""),"")</f>
        <v/>
      </c>
      <c r="J198">
        <f>IF($L198&gt;0,IFERROR($K$1&amp;" "&amp;TRIM(SUBSTITUTE(SUBSTITUTE(SUBSTITUTE(SUBSTITUTE(SUBSTITUTE(SUBSTITUTE(SUBSTITUTE(SUBSTITUTE(SUBSTITUTE(SUBSTITUTE(SUBSTITUTE(SUBSTITUTE(LOWER(INDEX('Invullen groen'!$O:$O,$L198)),"2024",""),"2025",""),"2026",""),"2027",""),"2028",""),"2029",""),"taakveld ",""),"installaties","inst"),"ruwbouw","ruwb"),"afbouw","afb"),"bijstelling","bijst"),"investeringen","invest")),""),"")</f>
        <v/>
      </c>
      <c r="L198">
        <f>IFERROR(MATCH(ROW()-104,'Invullen groen'!$S$121:$S$272,0)+120,0)</f>
        <v/>
      </c>
    </row>
    <row r="199" hidden="1" s="418">
      <c r="A199" s="124">
        <f>IF($L199&gt;0,"+","")</f>
        <v/>
      </c>
      <c r="B199">
        <f>IFERROR(IF($L199&gt;0,IF(INDEX('Invullen groen'!$F:$F,$L199)&gt;0,INDEX('Invullen groen'!$F:$F,$L199),""),""),"")</f>
        <v/>
      </c>
      <c r="C199">
        <f>IFERROR(IF($L199&gt;0,IF(INDEX('Invullen groen'!$N:$N,$L199)&gt;0,INDEX('Invullen groen'!$N:$N,$L199),""),""),"")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123">
        <f>IFERROR(IF($L199&gt;0,IF(INDEX('Invullen groen'!$H:$H,$L199)=0,"",INT(INDEX('Invullen groen'!$H:$H,$L199))),""),"")</f>
        <v/>
      </c>
      <c r="G199" s="123">
        <f>IFERROR(IF($L199&gt;0,IF(INDEX('Invullen groen'!$I:$I,$L199)=0,"",INT(INDEX('Invullen groen'!$I:$I,$L199))),""),"")</f>
        <v/>
      </c>
      <c r="H199" s="123">
        <f>IFERROR(IF($L199&gt;0,IF(INDEX('Invullen groen'!$J:$J,$L199)=0,"",INT(INDEX('Invullen groen'!$J:$J,$L199))),""),"")</f>
        <v/>
      </c>
      <c r="I199" s="123">
        <f>IFERROR(IF($L199&gt;0,IF(INDEX('Invullen groen'!$K:$K,$L199)=0,"",INT(INDEX('Invullen groen'!$K:$K,$L199))),""),"")</f>
        <v/>
      </c>
      <c r="J199">
        <f>IF($L199&gt;0,IFERROR($K$1&amp;" "&amp;TRIM(SUBSTITUTE(SUBSTITUTE(SUBSTITUTE(SUBSTITUTE(SUBSTITUTE(SUBSTITUTE(SUBSTITUTE(SUBSTITUTE(SUBSTITUTE(SUBSTITUTE(SUBSTITUTE(SUBSTITUTE(LOWER(INDEX('Invullen groen'!$O:$O,$L199)),"2024",""),"2025",""),"2026",""),"2027",""),"2028",""),"2029",""),"taakveld ",""),"installaties","inst"),"ruwbouw","ruwb"),"afbouw","afb"),"bijstelling","bijst"),"investeringen","invest")),""),"")</f>
        <v/>
      </c>
      <c r="L199">
        <f>IFERROR(MATCH(ROW()-104,'Invullen groen'!$S$121:$S$272,0)+120,0)</f>
        <v/>
      </c>
    </row>
    <row r="200" hidden="1" s="418">
      <c r="A200" s="124">
        <f>IF($L200&gt;0,"+","")</f>
        <v/>
      </c>
      <c r="B200">
        <f>IFERROR(IF($L200&gt;0,IF(INDEX('Invullen groen'!$F:$F,$L200)&gt;0,INDEX('Invullen groen'!$F:$F,$L200),""),""),"")</f>
        <v/>
      </c>
      <c r="C200">
        <f>IFERROR(IF($L200&gt;0,IF(INDEX('Invullen groen'!$N:$N,$L200)&gt;0,INDEX('Invullen groen'!$N:$N,$L200),""),""),"")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123">
        <f>IFERROR(IF($L200&gt;0,IF(INDEX('Invullen groen'!$H:$H,$L200)=0,"",INT(INDEX('Invullen groen'!$H:$H,$L200))),""),"")</f>
        <v/>
      </c>
      <c r="G200" s="123">
        <f>IFERROR(IF($L200&gt;0,IF(INDEX('Invullen groen'!$I:$I,$L200)=0,"",INT(INDEX('Invullen groen'!$I:$I,$L200))),""),"")</f>
        <v/>
      </c>
      <c r="H200" s="123">
        <f>IFERROR(IF($L200&gt;0,IF(INDEX('Invullen groen'!$J:$J,$L200)=0,"",INT(INDEX('Invullen groen'!$J:$J,$L200))),""),"")</f>
        <v/>
      </c>
      <c r="I200" s="123">
        <f>IFERROR(IF($L200&gt;0,IF(INDEX('Invullen groen'!$K:$K,$L200)=0,"",INT(INDEX('Invullen groen'!$K:$K,$L200))),""),"")</f>
        <v/>
      </c>
      <c r="J200">
        <f>IF($L200&gt;0,IFERROR($K$1&amp;" "&amp;TRIM(SUBSTITUTE(SUBSTITUTE(SUBSTITUTE(SUBSTITUTE(SUBSTITUTE(SUBSTITUTE(SUBSTITUTE(SUBSTITUTE(SUBSTITUTE(SUBSTITUTE(SUBSTITUTE(SUBSTITUTE(LOWER(INDEX('Invullen groen'!$O:$O,$L200)),"2024",""),"2025",""),"2026",""),"2027",""),"2028",""),"2029",""),"taakveld ",""),"installaties","inst"),"ruwbouw","ruwb"),"afbouw","afb"),"bijstelling","bijst"),"investeringen","invest")),""),"")</f>
        <v/>
      </c>
      <c r="L200">
        <f>IFERROR(MATCH(ROW()-104,'Invullen groen'!$S$121:$S$272,0)+120,0)</f>
        <v/>
      </c>
    </row>
    <row r="201" hidden="1" s="418">
      <c r="A201" s="124">
        <f>IF($L201&gt;0,"+","")</f>
        <v/>
      </c>
      <c r="B201">
        <f>IFERROR(IF($L201&gt;0,IF(INDEX('Invullen groen'!$F:$F,$L201)&gt;0,INDEX('Invullen groen'!$F:$F,$L201),""),""),"")</f>
        <v/>
      </c>
      <c r="C201">
        <f>IFERROR(IF($L201&gt;0,IF(INDEX('Invullen groen'!$N:$N,$L201)&gt;0,INDEX('Invullen groen'!$N:$N,$L201),""),""),"")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123">
        <f>IFERROR(IF($L201&gt;0,IF(INDEX('Invullen groen'!$H:$H,$L201)=0,"",INT(INDEX('Invullen groen'!$H:$H,$L201))),""),"")</f>
        <v/>
      </c>
      <c r="G201" s="123">
        <f>IFERROR(IF($L201&gt;0,IF(INDEX('Invullen groen'!$I:$I,$L201)=0,"",INT(INDEX('Invullen groen'!$I:$I,$L201))),""),"")</f>
        <v/>
      </c>
      <c r="H201" s="123">
        <f>IFERROR(IF($L201&gt;0,IF(INDEX('Invullen groen'!$J:$J,$L201)=0,"",INT(INDEX('Invullen groen'!$J:$J,$L201))),""),"")</f>
        <v/>
      </c>
      <c r="I201" s="123">
        <f>IFERROR(IF($L201&gt;0,IF(INDEX('Invullen groen'!$K:$K,$L201)=0,"",INT(INDEX('Invullen groen'!$K:$K,$L201))),""),"")</f>
        <v/>
      </c>
      <c r="J201">
        <f>IF($L201&gt;0,IFERROR($K$1&amp;" "&amp;TRIM(SUBSTITUTE(SUBSTITUTE(SUBSTITUTE(SUBSTITUTE(SUBSTITUTE(SUBSTITUTE(SUBSTITUTE(SUBSTITUTE(SUBSTITUTE(SUBSTITUTE(SUBSTITUTE(SUBSTITUTE(LOWER(INDEX('Invullen groen'!$O:$O,$L201)),"2024",""),"2025",""),"2026",""),"2027",""),"2028",""),"2029",""),"taakveld ",""),"installaties","inst"),"ruwbouw","ruwb"),"afbouw","afb"),"bijstelling","bijst"),"investeringen","invest")),""),"")</f>
        <v/>
      </c>
      <c r="L201">
        <f>IFERROR(MATCH(ROW()-104,'Invullen groen'!$S$121:$S$272,0)+120,0)</f>
        <v/>
      </c>
    </row>
    <row r="202" hidden="1" s="418">
      <c r="A202" s="124">
        <f>IF($L202&gt;0,"+","")</f>
        <v/>
      </c>
      <c r="B202">
        <f>IFERROR(IF($L202&gt;0,IF(INDEX('Invullen groen'!$F:$F,$L202)&gt;0,INDEX('Invullen groen'!$F:$F,$L202),""),""),"")</f>
        <v/>
      </c>
      <c r="C202">
        <f>IFERROR(IF($L202&gt;0,IF(INDEX('Invullen groen'!$N:$N,$L202)&gt;0,INDEX('Invullen groen'!$N:$N,$L202),""),""),"")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123">
        <f>IFERROR(IF($L202&gt;0,IF(INDEX('Invullen groen'!$H:$H,$L202)=0,"",INT(INDEX('Invullen groen'!$H:$H,$L202))),""),"")</f>
        <v/>
      </c>
      <c r="G202" s="123">
        <f>IFERROR(IF($L202&gt;0,IF(INDEX('Invullen groen'!$I:$I,$L202)=0,"",INT(INDEX('Invullen groen'!$I:$I,$L202))),""),"")</f>
        <v/>
      </c>
      <c r="H202" s="123">
        <f>IFERROR(IF($L202&gt;0,IF(INDEX('Invullen groen'!$J:$J,$L202)=0,"",INT(INDEX('Invullen groen'!$J:$J,$L202))),""),"")</f>
        <v/>
      </c>
      <c r="I202" s="123">
        <f>IFERROR(IF($L202&gt;0,IF(INDEX('Invullen groen'!$K:$K,$L202)=0,"",INT(INDEX('Invullen groen'!$K:$K,$L202))),""),"")</f>
        <v/>
      </c>
      <c r="J202">
        <f>IF($L202&gt;0,IFERROR($K$1&amp;" "&amp;TRIM(SUBSTITUTE(SUBSTITUTE(SUBSTITUTE(SUBSTITUTE(SUBSTITUTE(SUBSTITUTE(SUBSTITUTE(SUBSTITUTE(SUBSTITUTE(SUBSTITUTE(SUBSTITUTE(SUBSTITUTE(LOWER(INDEX('Invullen groen'!$O:$O,$L202)),"2024",""),"2025",""),"2026",""),"2027",""),"2028",""),"2029",""),"taakveld ",""),"installaties","inst"),"ruwbouw","ruwb"),"afbouw","afb"),"bijstelling","bijst"),"investeringen","invest")),""),"")</f>
        <v/>
      </c>
      <c r="L202">
        <f>IFERROR(MATCH(ROW()-104,'Invullen groen'!$S$121:$S$272,0)+120,0)</f>
        <v/>
      </c>
    </row>
    <row r="203" hidden="1" s="418">
      <c r="A203" s="124">
        <f>IF($L203&gt;0,"+","")</f>
        <v/>
      </c>
      <c r="B203">
        <f>IFERROR(IF($L203&gt;0,IF(INDEX('Invullen groen'!$F:$F,$L203)&gt;0,INDEX('Invullen groen'!$F:$F,$L203),""),""),"")</f>
        <v/>
      </c>
      <c r="C203">
        <f>IFERROR(IF($L203&gt;0,IF(INDEX('Invullen groen'!$N:$N,$L203)&gt;0,INDEX('Invullen groen'!$N:$N,$L203),""),""),"")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123">
        <f>IFERROR(IF($L203&gt;0,IF(INDEX('Invullen groen'!$H:$H,$L203)=0,"",INT(INDEX('Invullen groen'!$H:$H,$L203))),""),"")</f>
        <v/>
      </c>
      <c r="G203" s="123">
        <f>IFERROR(IF($L203&gt;0,IF(INDEX('Invullen groen'!$I:$I,$L203)=0,"",INT(INDEX('Invullen groen'!$I:$I,$L203))),""),"")</f>
        <v/>
      </c>
      <c r="H203" s="123">
        <f>IFERROR(IF($L203&gt;0,IF(INDEX('Invullen groen'!$J:$J,$L203)=0,"",INT(INDEX('Invullen groen'!$J:$J,$L203))),""),"")</f>
        <v/>
      </c>
      <c r="I203" s="123">
        <f>IFERROR(IF($L203&gt;0,IF(INDEX('Invullen groen'!$K:$K,$L203)=0,"",INT(INDEX('Invullen groen'!$K:$K,$L203))),""),"")</f>
        <v/>
      </c>
      <c r="J203">
        <f>IF($L203&gt;0,IFERROR($K$1&amp;" "&amp;TRIM(SUBSTITUTE(SUBSTITUTE(SUBSTITUTE(SUBSTITUTE(SUBSTITUTE(SUBSTITUTE(SUBSTITUTE(SUBSTITUTE(SUBSTITUTE(SUBSTITUTE(SUBSTITUTE(SUBSTITUTE(LOWER(INDEX('Invullen groen'!$O:$O,$L203)),"2024",""),"2025",""),"2026",""),"2027",""),"2028",""),"2029",""),"taakveld ",""),"installaties","inst"),"ruwbouw","ruwb"),"afbouw","afb"),"bijstelling","bijst"),"investeringen","invest")),""),"")</f>
        <v/>
      </c>
      <c r="L203">
        <f>IFERROR(MATCH(ROW()-104,'Invullen groen'!$S$121:$S$272,0)+120,0)</f>
        <v/>
      </c>
    </row>
    <row r="204" hidden="1" s="418">
      <c r="A204" s="124">
        <f>IF($L204&gt;0,"+","")</f>
        <v/>
      </c>
      <c r="B204">
        <f>IFERROR(IF($L204&gt;0,IF(INDEX('Invullen groen'!$F:$F,$L204)&gt;0,INDEX('Invullen groen'!$F:$F,$L204),""),""),"")</f>
        <v/>
      </c>
      <c r="C204">
        <f>IFERROR(IF($L204&gt;0,IF(INDEX('Invullen groen'!$N:$N,$L204)&gt;0,INDEX('Invullen groen'!$N:$N,$L204),""),""),"")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123">
        <f>IFERROR(IF($L204&gt;0,IF(INDEX('Invullen groen'!$H:$H,$L204)=0,"",INT(INDEX('Invullen groen'!$H:$H,$L204))),""),"")</f>
        <v/>
      </c>
      <c r="G204" s="123">
        <f>IFERROR(IF($L204&gt;0,IF(INDEX('Invullen groen'!$I:$I,$L204)=0,"",INT(INDEX('Invullen groen'!$I:$I,$L204))),""),"")</f>
        <v/>
      </c>
      <c r="H204" s="123">
        <f>IFERROR(IF($L204&gt;0,IF(INDEX('Invullen groen'!$J:$J,$L204)=0,"",INT(INDEX('Invullen groen'!$J:$J,$L204))),""),"")</f>
        <v/>
      </c>
      <c r="I204" s="123">
        <f>IFERROR(IF($L204&gt;0,IF(INDEX('Invullen groen'!$K:$K,$L204)=0,"",INT(INDEX('Invullen groen'!$K:$K,$L204))),""),"")</f>
        <v/>
      </c>
      <c r="J204">
        <f>IF($L204&gt;0,IFERROR($K$1&amp;" "&amp;TRIM(SUBSTITUTE(SUBSTITUTE(SUBSTITUTE(SUBSTITUTE(SUBSTITUTE(SUBSTITUTE(SUBSTITUTE(SUBSTITUTE(SUBSTITUTE(SUBSTITUTE(SUBSTITUTE(SUBSTITUTE(LOWER(INDEX('Invullen groen'!$O:$O,$L204)),"2024",""),"2025",""),"2026",""),"2027",""),"2028",""),"2029",""),"taakveld ",""),"installaties","inst"),"ruwbouw","ruwb"),"afbouw","afb"),"bijstelling","bijst"),"investeringen","invest")),""),"")</f>
        <v/>
      </c>
      <c r="L204">
        <f>IFERROR(MATCH(ROW()-104,'Invullen groen'!$S$121:$S$272,0)+120,0)</f>
        <v/>
      </c>
    </row>
    <row r="205" hidden="1" s="418">
      <c r="A205" s="124">
        <f>IF($L205&gt;0,"+","")</f>
        <v/>
      </c>
      <c r="B205">
        <f>IFERROR(IF($L205&gt;0,IF(INDEX('Invullen groen'!$F:$F,$L205)&gt;0,INDEX('Invullen groen'!$F:$F,$L205),""),""),"")</f>
        <v/>
      </c>
      <c r="C205">
        <f>IFERROR(IF($L205&gt;0,IF(INDEX('Invullen groen'!$N:$N,$L205)&gt;0,INDEX('Invullen groen'!$N:$N,$L205),""),""),"")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123">
        <f>IFERROR(IF($L205&gt;0,IF(INDEX('Invullen groen'!$H:$H,$L205)=0,"",INT(INDEX('Invullen groen'!$H:$H,$L205))),""),"")</f>
        <v/>
      </c>
      <c r="G205" s="123">
        <f>IFERROR(IF($L205&gt;0,IF(INDEX('Invullen groen'!$I:$I,$L205)=0,"",INT(INDEX('Invullen groen'!$I:$I,$L205))),""),"")</f>
        <v/>
      </c>
      <c r="H205" s="123">
        <f>IFERROR(IF($L205&gt;0,IF(INDEX('Invullen groen'!$J:$J,$L205)=0,"",INT(INDEX('Invullen groen'!$J:$J,$L205))),""),"")</f>
        <v/>
      </c>
      <c r="I205" s="123">
        <f>IFERROR(IF($L205&gt;0,IF(INDEX('Invullen groen'!$K:$K,$L205)=0,"",INT(INDEX('Invullen groen'!$K:$K,$L205))),""),"")</f>
        <v/>
      </c>
      <c r="J205">
        <f>IF($L205&gt;0,IFERROR($K$1&amp;" "&amp;TRIM(SUBSTITUTE(SUBSTITUTE(SUBSTITUTE(SUBSTITUTE(SUBSTITUTE(SUBSTITUTE(SUBSTITUTE(SUBSTITUTE(SUBSTITUTE(SUBSTITUTE(SUBSTITUTE(SUBSTITUTE(LOWER(INDEX('Invullen groen'!$O:$O,$L205)),"2024",""),"2025",""),"2026",""),"2027",""),"2028",""),"2029",""),"taakveld ",""),"installaties","inst"),"ruwbouw","ruwb"),"afbouw","afb"),"bijstelling","bijst"),"investeringen","invest")),""),"")</f>
        <v/>
      </c>
      <c r="L205">
        <f>IFERROR(MATCH(ROW()-104,'Invullen groen'!$S$121:$S$272,0)+120,0)</f>
        <v/>
      </c>
    </row>
    <row r="206" hidden="1" s="418">
      <c r="A206" s="124">
        <f>IF($L206&gt;0,"+","")</f>
        <v/>
      </c>
      <c r="B206">
        <f>IFERROR(IF($L206&gt;0,IF(INDEX('Invullen groen'!$F:$F,$L206)&gt;0,INDEX('Invullen groen'!$F:$F,$L206),""),""),"")</f>
        <v/>
      </c>
      <c r="C206">
        <f>IFERROR(IF($L206&gt;0,IF(INDEX('Invullen groen'!$N:$N,$L206)&gt;0,INDEX('Invullen groen'!$N:$N,$L206),""),""),"")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123">
        <f>IFERROR(IF($L206&gt;0,IF(INDEX('Invullen groen'!$H:$H,$L206)=0,"",INT(INDEX('Invullen groen'!$H:$H,$L206))),""),"")</f>
        <v/>
      </c>
      <c r="G206" s="123">
        <f>IFERROR(IF($L206&gt;0,IF(INDEX('Invullen groen'!$I:$I,$L206)=0,"",INT(INDEX('Invullen groen'!$I:$I,$L206))),""),"")</f>
        <v/>
      </c>
      <c r="H206" s="123">
        <f>IFERROR(IF($L206&gt;0,IF(INDEX('Invullen groen'!$J:$J,$L206)=0,"",INT(INDEX('Invullen groen'!$J:$J,$L206))),""),"")</f>
        <v/>
      </c>
      <c r="I206" s="123">
        <f>IFERROR(IF($L206&gt;0,IF(INDEX('Invullen groen'!$K:$K,$L206)=0,"",INT(INDEX('Invullen groen'!$K:$K,$L206))),""),"")</f>
        <v/>
      </c>
      <c r="J206">
        <f>IF($L206&gt;0,IFERROR($K$1&amp;" "&amp;TRIM(SUBSTITUTE(SUBSTITUTE(SUBSTITUTE(SUBSTITUTE(SUBSTITUTE(SUBSTITUTE(SUBSTITUTE(SUBSTITUTE(SUBSTITUTE(SUBSTITUTE(SUBSTITUTE(SUBSTITUTE(LOWER(INDEX('Invullen groen'!$O:$O,$L206)),"2024",""),"2025",""),"2026",""),"2027",""),"2028",""),"2029",""),"taakveld ",""),"installaties","inst"),"ruwbouw","ruwb"),"afbouw","afb"),"bijstelling","bijst"),"investeringen","invest")),""),"")</f>
        <v/>
      </c>
      <c r="L206">
        <f>IFERROR(MATCH(ROW()-104,'Invullen groen'!$S$121:$S$272,0)+120,0)</f>
        <v/>
      </c>
    </row>
    <row r="207" hidden="1" s="418">
      <c r="A207" s="124">
        <f>IF($L207&gt;0,"+","")</f>
        <v/>
      </c>
      <c r="B207">
        <f>IFERROR(IF($L207&gt;0,IF(INDEX('Invullen groen'!$F:$F,$L207)&gt;0,INDEX('Invullen groen'!$F:$F,$L207),""),""),"")</f>
        <v/>
      </c>
      <c r="C207">
        <f>IFERROR(IF($L207&gt;0,IF(INDEX('Invullen groen'!$N:$N,$L207)&gt;0,INDEX('Invullen groen'!$N:$N,$L207),""),""),"")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123">
        <f>IFERROR(IF($L207&gt;0,IF(INDEX('Invullen groen'!$H:$H,$L207)=0,"",INT(INDEX('Invullen groen'!$H:$H,$L207))),""),"")</f>
        <v/>
      </c>
      <c r="G207" s="123">
        <f>IFERROR(IF($L207&gt;0,IF(INDEX('Invullen groen'!$I:$I,$L207)=0,"",INT(INDEX('Invullen groen'!$I:$I,$L207))),""),"")</f>
        <v/>
      </c>
      <c r="H207" s="123">
        <f>IFERROR(IF($L207&gt;0,IF(INDEX('Invullen groen'!$J:$J,$L207)=0,"",INT(INDEX('Invullen groen'!$J:$J,$L207))),""),"")</f>
        <v/>
      </c>
      <c r="I207" s="123">
        <f>IFERROR(IF($L207&gt;0,IF(INDEX('Invullen groen'!$K:$K,$L207)=0,"",INT(INDEX('Invullen groen'!$K:$K,$L207))),""),"")</f>
        <v/>
      </c>
      <c r="J207">
        <f>IF($L207&gt;0,IFERROR($K$1&amp;" "&amp;TRIM(SUBSTITUTE(SUBSTITUTE(SUBSTITUTE(SUBSTITUTE(SUBSTITUTE(SUBSTITUTE(SUBSTITUTE(SUBSTITUTE(SUBSTITUTE(SUBSTITUTE(SUBSTITUTE(SUBSTITUTE(LOWER(INDEX('Invullen groen'!$O:$O,$L207)),"2024",""),"2025",""),"2026",""),"2027",""),"2028",""),"2029",""),"taakveld ",""),"installaties","inst"),"ruwbouw","ruwb"),"afbouw","afb"),"bijstelling","bijst"),"investeringen","invest")),""),"")</f>
        <v/>
      </c>
      <c r="L207">
        <f>IFERROR(MATCH(ROW()-104,'Invullen groen'!$S$121:$S$272,0)+120,0)</f>
        <v/>
      </c>
    </row>
    <row r="208" hidden="1" s="418">
      <c r="A208" s="124">
        <f>IF($L208&gt;0,"+","")</f>
        <v/>
      </c>
      <c r="B208">
        <f>IFERROR(IF($L208&gt;0,IF(INDEX('Invullen groen'!$F:$F,$L208)&gt;0,INDEX('Invullen groen'!$F:$F,$L208),""),""),"")</f>
        <v/>
      </c>
      <c r="C208">
        <f>IFERROR(IF($L208&gt;0,IF(INDEX('Invullen groen'!$N:$N,$L208)&gt;0,INDEX('Invullen groen'!$N:$N,$L208),""),""),"")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123">
        <f>IFERROR(IF($L208&gt;0,IF(INDEX('Invullen groen'!$H:$H,$L208)=0,"",INT(INDEX('Invullen groen'!$H:$H,$L208))),""),"")</f>
        <v/>
      </c>
      <c r="G208" s="123">
        <f>IFERROR(IF($L208&gt;0,IF(INDEX('Invullen groen'!$I:$I,$L208)=0,"",INT(INDEX('Invullen groen'!$I:$I,$L208))),""),"")</f>
        <v/>
      </c>
      <c r="H208" s="123">
        <f>IFERROR(IF($L208&gt;0,IF(INDEX('Invullen groen'!$J:$J,$L208)=0,"",INT(INDEX('Invullen groen'!$J:$J,$L208))),""),"")</f>
        <v/>
      </c>
      <c r="I208" s="123">
        <f>IFERROR(IF($L208&gt;0,IF(INDEX('Invullen groen'!$K:$K,$L208)=0,"",INT(INDEX('Invullen groen'!$K:$K,$L208))),""),"")</f>
        <v/>
      </c>
      <c r="J208">
        <f>IF($L208&gt;0,IFERROR($K$1&amp;" "&amp;TRIM(SUBSTITUTE(SUBSTITUTE(SUBSTITUTE(SUBSTITUTE(SUBSTITUTE(SUBSTITUTE(SUBSTITUTE(SUBSTITUTE(SUBSTITUTE(SUBSTITUTE(SUBSTITUTE(SUBSTITUTE(LOWER(INDEX('Invullen groen'!$O:$O,$L208)),"2024",""),"2025",""),"2026",""),"2027",""),"2028",""),"2029",""),"taakveld ",""),"installaties","inst"),"ruwbouw","ruwb"),"afbouw","afb"),"bijstelling","bijst"),"investeringen","invest")),""),"")</f>
        <v/>
      </c>
      <c r="L208">
        <f>IFERROR(MATCH(ROW()-104,'Invullen groen'!$S$121:$S$272,0)+120,0)</f>
        <v/>
      </c>
    </row>
    <row r="209" hidden="1" s="418">
      <c r="A209" s="124">
        <f>IF($L209&gt;0,"+","")</f>
        <v/>
      </c>
      <c r="B209">
        <f>IFERROR(IF($L209&gt;0,IF(INDEX('Invullen groen'!$F:$F,$L209)&gt;0,INDEX('Invullen groen'!$F:$F,$L209),""),""),"")</f>
        <v/>
      </c>
      <c r="C209">
        <f>IFERROR(IF($L209&gt;0,IF(INDEX('Invullen groen'!$N:$N,$L209)&gt;0,INDEX('Invullen groen'!$N:$N,$L209),""),""),"")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123">
        <f>IFERROR(IF($L209&gt;0,IF(INDEX('Invullen groen'!$H:$H,$L209)=0,"",INT(INDEX('Invullen groen'!$H:$H,$L209))),""),"")</f>
        <v/>
      </c>
      <c r="G209" s="123">
        <f>IFERROR(IF($L209&gt;0,IF(INDEX('Invullen groen'!$I:$I,$L209)=0,"",INT(INDEX('Invullen groen'!$I:$I,$L209))),""),"")</f>
        <v/>
      </c>
      <c r="H209" s="123">
        <f>IFERROR(IF($L209&gt;0,IF(INDEX('Invullen groen'!$J:$J,$L209)=0,"",INT(INDEX('Invullen groen'!$J:$J,$L209))),""),"")</f>
        <v/>
      </c>
      <c r="I209" s="123">
        <f>IFERROR(IF($L209&gt;0,IF(INDEX('Invullen groen'!$K:$K,$L209)=0,"",INT(INDEX('Invullen groen'!$K:$K,$L209))),""),"")</f>
        <v/>
      </c>
      <c r="J209">
        <f>IF($L209&gt;0,IFERROR($K$1&amp;" "&amp;TRIM(SUBSTITUTE(SUBSTITUTE(SUBSTITUTE(SUBSTITUTE(SUBSTITUTE(SUBSTITUTE(SUBSTITUTE(SUBSTITUTE(SUBSTITUTE(SUBSTITUTE(SUBSTITUTE(SUBSTITUTE(LOWER(INDEX('Invullen groen'!$O:$O,$L209)),"2024",""),"2025",""),"2026",""),"2027",""),"2028",""),"2029",""),"taakveld ",""),"installaties","inst"),"ruwbouw","ruwb"),"afbouw","afb"),"bijstelling","bijst"),"investeringen","invest")),""),"")</f>
        <v/>
      </c>
      <c r="L209">
        <f>IFERROR(MATCH(ROW()-104,'Invullen groen'!$S$121:$S$272,0)+120,0)</f>
        <v/>
      </c>
    </row>
    <row r="210" hidden="1" s="418">
      <c r="A210" s="124">
        <f>IF($L210&gt;0,"+","")</f>
        <v/>
      </c>
      <c r="B210">
        <f>IFERROR(IF($L210&gt;0,IF(INDEX('Invullen groen'!$F:$F,$L210)&gt;0,INDEX('Invullen groen'!$F:$F,$L210),""),""),"")</f>
        <v/>
      </c>
      <c r="C210">
        <f>IFERROR(IF($L210&gt;0,IF(INDEX('Invullen groen'!$N:$N,$L210)&gt;0,INDEX('Invullen groen'!$N:$N,$L210),""),""),"")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123">
        <f>IFERROR(IF($L210&gt;0,IF(INDEX('Invullen groen'!$H:$H,$L210)=0,"",INT(INDEX('Invullen groen'!$H:$H,$L210))),""),"")</f>
        <v/>
      </c>
      <c r="G210" s="123">
        <f>IFERROR(IF($L210&gt;0,IF(INDEX('Invullen groen'!$I:$I,$L210)=0,"",INT(INDEX('Invullen groen'!$I:$I,$L210))),""),"")</f>
        <v/>
      </c>
      <c r="H210" s="123">
        <f>IFERROR(IF($L210&gt;0,IF(INDEX('Invullen groen'!$J:$J,$L210)=0,"",INT(INDEX('Invullen groen'!$J:$J,$L210))),""),"")</f>
        <v/>
      </c>
      <c r="I210" s="123">
        <f>IFERROR(IF($L210&gt;0,IF(INDEX('Invullen groen'!$K:$K,$L210)=0,"",INT(INDEX('Invullen groen'!$K:$K,$L210))),""),"")</f>
        <v/>
      </c>
      <c r="J210">
        <f>IF($L210&gt;0,IFERROR($K$1&amp;" "&amp;TRIM(SUBSTITUTE(SUBSTITUTE(SUBSTITUTE(SUBSTITUTE(SUBSTITUTE(SUBSTITUTE(SUBSTITUTE(SUBSTITUTE(SUBSTITUTE(SUBSTITUTE(SUBSTITUTE(SUBSTITUTE(LOWER(INDEX('Invullen groen'!$O:$O,$L210)),"2024",""),"2025",""),"2026",""),"2027",""),"2028",""),"2029",""),"taakveld ",""),"installaties","inst"),"ruwbouw","ruwb"),"afbouw","afb"),"bijstelling","bijst"),"investeringen","invest")),""),"")</f>
        <v/>
      </c>
      <c r="L210">
        <f>IFERROR(MATCH(ROW()-104,'Invullen groen'!$S$121:$S$272,0)+120,0)</f>
        <v/>
      </c>
    </row>
    <row r="211" hidden="1" s="418">
      <c r="A211" s="124">
        <f>IF($L211&gt;0,"+","")</f>
        <v/>
      </c>
      <c r="B211">
        <f>IFERROR(IF($L211&gt;0,IF(INDEX('Invullen groen'!$F:$F,$L211)&gt;0,INDEX('Invullen groen'!$F:$F,$L211),""),""),"")</f>
        <v/>
      </c>
      <c r="C211">
        <f>IFERROR(IF($L211&gt;0,IF(INDEX('Invullen groen'!$N:$N,$L211)&gt;0,INDEX('Invullen groen'!$N:$N,$L211),""),""),"")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123">
        <f>IFERROR(IF($L211&gt;0,IF(INDEX('Invullen groen'!$H:$H,$L211)=0,"",INT(INDEX('Invullen groen'!$H:$H,$L211))),""),"")</f>
        <v/>
      </c>
      <c r="G211" s="123">
        <f>IFERROR(IF($L211&gt;0,IF(INDEX('Invullen groen'!$I:$I,$L211)=0,"",INT(INDEX('Invullen groen'!$I:$I,$L211))),""),"")</f>
        <v/>
      </c>
      <c r="H211" s="123">
        <f>IFERROR(IF($L211&gt;0,IF(INDEX('Invullen groen'!$J:$J,$L211)=0,"",INT(INDEX('Invullen groen'!$J:$J,$L211))),""),"")</f>
        <v/>
      </c>
      <c r="I211" s="123">
        <f>IFERROR(IF($L211&gt;0,IF(INDEX('Invullen groen'!$K:$K,$L211)=0,"",INT(INDEX('Invullen groen'!$K:$K,$L211))),""),"")</f>
        <v/>
      </c>
      <c r="J211">
        <f>IF($L211&gt;0,IFERROR($K$1&amp;" "&amp;TRIM(SUBSTITUTE(SUBSTITUTE(SUBSTITUTE(SUBSTITUTE(SUBSTITUTE(SUBSTITUTE(SUBSTITUTE(SUBSTITUTE(SUBSTITUTE(SUBSTITUTE(SUBSTITUTE(SUBSTITUTE(LOWER(INDEX('Invullen groen'!$O:$O,$L211)),"2024",""),"2025",""),"2026",""),"2027",""),"2028",""),"2029",""),"taakveld ",""),"installaties","inst"),"ruwbouw","ruwb"),"afbouw","afb"),"bijstelling","bijst"),"investeringen","invest")),""),"")</f>
        <v/>
      </c>
      <c r="L211">
        <f>IFERROR(MATCH(ROW()-104,'Invullen groen'!$S$121:$S$272,0)+120,0)</f>
        <v/>
      </c>
    </row>
    <row r="212" hidden="1" s="418">
      <c r="A212" s="124">
        <f>IF($L212&gt;0,"+","")</f>
        <v/>
      </c>
      <c r="B212">
        <f>IFERROR(IF($L212&gt;0,IF(INDEX('Invullen groen'!$F:$F,$L212)&gt;0,INDEX('Invullen groen'!$F:$F,$L212),""),""),"")</f>
        <v/>
      </c>
      <c r="C212">
        <f>IFERROR(IF($L212&gt;0,IF(INDEX('Invullen groen'!$N:$N,$L212)&gt;0,INDEX('Invullen groen'!$N:$N,$L212),""),""),"")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123">
        <f>IFERROR(IF($L212&gt;0,IF(INDEX('Invullen groen'!$H:$H,$L212)=0,"",INT(INDEX('Invullen groen'!$H:$H,$L212))),""),"")</f>
        <v/>
      </c>
      <c r="G212" s="123">
        <f>IFERROR(IF($L212&gt;0,IF(INDEX('Invullen groen'!$I:$I,$L212)=0,"",INT(INDEX('Invullen groen'!$I:$I,$L212))),""),"")</f>
        <v/>
      </c>
      <c r="H212" s="123">
        <f>IFERROR(IF($L212&gt;0,IF(INDEX('Invullen groen'!$J:$J,$L212)=0,"",INT(INDEX('Invullen groen'!$J:$J,$L212))),""),"")</f>
        <v/>
      </c>
      <c r="I212" s="123">
        <f>IFERROR(IF($L212&gt;0,IF(INDEX('Invullen groen'!$K:$K,$L212)=0,"",INT(INDEX('Invullen groen'!$K:$K,$L212))),""),"")</f>
        <v/>
      </c>
      <c r="J212">
        <f>IF($L212&gt;0,IFERROR($K$1&amp;" "&amp;TRIM(SUBSTITUTE(SUBSTITUTE(SUBSTITUTE(SUBSTITUTE(SUBSTITUTE(SUBSTITUTE(SUBSTITUTE(SUBSTITUTE(SUBSTITUTE(SUBSTITUTE(SUBSTITUTE(SUBSTITUTE(LOWER(INDEX('Invullen groen'!$O:$O,$L212)),"2024",""),"2025",""),"2026",""),"2027",""),"2028",""),"2029",""),"taakveld ",""),"installaties","inst"),"ruwbouw","ruwb"),"afbouw","afb"),"bijstelling","bijst"),"investeringen","invest")),""),"")</f>
        <v/>
      </c>
      <c r="L212">
        <f>IFERROR(MATCH(ROW()-104,'Invullen groen'!$S$121:$S$272,0)+120,0)</f>
        <v/>
      </c>
    </row>
    <row r="213" hidden="1" s="418">
      <c r="A213" s="124">
        <f>IF($L213&gt;0,"+","")</f>
        <v/>
      </c>
      <c r="B213">
        <f>IFERROR(IF($L213&gt;0,IF(INDEX('Invullen groen'!$F:$F,$L213)&gt;0,INDEX('Invullen groen'!$F:$F,$L213),""),""),"")</f>
        <v/>
      </c>
      <c r="C213">
        <f>IFERROR(IF($L213&gt;0,IF(INDEX('Invullen groen'!$N:$N,$L213)&gt;0,INDEX('Invullen groen'!$N:$N,$L213),""),""),"")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123">
        <f>IFERROR(IF($L213&gt;0,IF(INDEX('Invullen groen'!$H:$H,$L213)=0,"",INT(INDEX('Invullen groen'!$H:$H,$L213))),""),"")</f>
        <v/>
      </c>
      <c r="G213" s="123">
        <f>IFERROR(IF($L213&gt;0,IF(INDEX('Invullen groen'!$I:$I,$L213)=0,"",INT(INDEX('Invullen groen'!$I:$I,$L213))),""),"")</f>
        <v/>
      </c>
      <c r="H213" s="123">
        <f>IFERROR(IF($L213&gt;0,IF(INDEX('Invullen groen'!$J:$J,$L213)=0,"",INT(INDEX('Invullen groen'!$J:$J,$L213))),""),"")</f>
        <v/>
      </c>
      <c r="I213" s="123">
        <f>IFERROR(IF($L213&gt;0,IF(INDEX('Invullen groen'!$K:$K,$L213)=0,"",INT(INDEX('Invullen groen'!$K:$K,$L213))),""),"")</f>
        <v/>
      </c>
      <c r="J213">
        <f>IF($L213&gt;0,IFERROR($K$1&amp;" "&amp;TRIM(SUBSTITUTE(SUBSTITUTE(SUBSTITUTE(SUBSTITUTE(SUBSTITUTE(SUBSTITUTE(SUBSTITUTE(SUBSTITUTE(SUBSTITUTE(SUBSTITUTE(SUBSTITUTE(SUBSTITUTE(LOWER(INDEX('Invullen groen'!$O:$O,$L213)),"2024",""),"2025",""),"2026",""),"2027",""),"2028",""),"2029",""),"taakveld ",""),"installaties","inst"),"ruwbouw","ruwb"),"afbouw","afb"),"bijstelling","bijst"),"investeringen","invest")),""),"")</f>
        <v/>
      </c>
      <c r="L213">
        <f>IFERROR(MATCH(ROW()-104,'Invullen groen'!$S$121:$S$272,0)+120,0)</f>
        <v/>
      </c>
    </row>
    <row r="214" hidden="1" s="418">
      <c r="A214" s="124">
        <f>IF($L214&gt;0,"+","")</f>
        <v/>
      </c>
      <c r="B214">
        <f>IFERROR(IF($L214&gt;0,IF(INDEX('Invullen groen'!$F:$F,$L214)&gt;0,INDEX('Invullen groen'!$F:$F,$L214),""),""),"")</f>
        <v/>
      </c>
      <c r="C214">
        <f>IFERROR(IF($L214&gt;0,IF(INDEX('Invullen groen'!$N:$N,$L214)&gt;0,INDEX('Invullen groen'!$N:$N,$L214),""),""),"")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123">
        <f>IFERROR(IF($L214&gt;0,IF(INDEX('Invullen groen'!$H:$H,$L214)=0,"",INT(INDEX('Invullen groen'!$H:$H,$L214))),""),"")</f>
        <v/>
      </c>
      <c r="G214" s="123">
        <f>IFERROR(IF($L214&gt;0,IF(INDEX('Invullen groen'!$I:$I,$L214)=0,"",INT(INDEX('Invullen groen'!$I:$I,$L214))),""),"")</f>
        <v/>
      </c>
      <c r="H214" s="123">
        <f>IFERROR(IF($L214&gt;0,IF(INDEX('Invullen groen'!$J:$J,$L214)=0,"",INT(INDEX('Invullen groen'!$J:$J,$L214))),""),"")</f>
        <v/>
      </c>
      <c r="I214" s="123">
        <f>IFERROR(IF($L214&gt;0,IF(INDEX('Invullen groen'!$K:$K,$L214)=0,"",INT(INDEX('Invullen groen'!$K:$K,$L214))),""),"")</f>
        <v/>
      </c>
      <c r="J214">
        <f>IF($L214&gt;0,IFERROR($K$1&amp;" "&amp;TRIM(SUBSTITUTE(SUBSTITUTE(SUBSTITUTE(SUBSTITUTE(SUBSTITUTE(SUBSTITUTE(SUBSTITUTE(SUBSTITUTE(SUBSTITUTE(SUBSTITUTE(SUBSTITUTE(SUBSTITUTE(LOWER(INDEX('Invullen groen'!$O:$O,$L214)),"2024",""),"2025",""),"2026",""),"2027",""),"2028",""),"2029",""),"taakveld ",""),"installaties","inst"),"ruwbouw","ruwb"),"afbouw","afb"),"bijstelling","bijst"),"investeringen","invest")),""),"")</f>
        <v/>
      </c>
      <c r="L214">
        <f>IFERROR(MATCH(ROW()-104,'Invullen groen'!$S$121:$S$272,0)+120,0)</f>
        <v/>
      </c>
    </row>
    <row r="215" hidden="1" s="418">
      <c r="A215" s="124">
        <f>IF($L215&gt;0,"+","")</f>
        <v/>
      </c>
      <c r="B215">
        <f>IFERROR(IF($L215&gt;0,IF(INDEX('Invullen groen'!$F:$F,$L215)&gt;0,INDEX('Invullen groen'!$F:$F,$L215),""),""),"")</f>
        <v/>
      </c>
      <c r="C215">
        <f>IFERROR(IF($L215&gt;0,IF(INDEX('Invullen groen'!$N:$N,$L215)&gt;0,INDEX('Invullen groen'!$N:$N,$L215),""),""),"")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123">
        <f>IFERROR(IF($L215&gt;0,IF(INDEX('Invullen groen'!$H:$H,$L215)=0,"",INT(INDEX('Invullen groen'!$H:$H,$L215))),""),"")</f>
        <v/>
      </c>
      <c r="G215" s="123">
        <f>IFERROR(IF($L215&gt;0,IF(INDEX('Invullen groen'!$I:$I,$L215)=0,"",INT(INDEX('Invullen groen'!$I:$I,$L215))),""),"")</f>
        <v/>
      </c>
      <c r="H215" s="123">
        <f>IFERROR(IF($L215&gt;0,IF(INDEX('Invullen groen'!$J:$J,$L215)=0,"",INT(INDEX('Invullen groen'!$J:$J,$L215))),""),"")</f>
        <v/>
      </c>
      <c r="I215" s="123">
        <f>IFERROR(IF($L215&gt;0,IF(INDEX('Invullen groen'!$K:$K,$L215)=0,"",INT(INDEX('Invullen groen'!$K:$K,$L215))),""),"")</f>
        <v/>
      </c>
      <c r="J215">
        <f>IF($L215&gt;0,IFERROR($K$1&amp;" "&amp;TRIM(SUBSTITUTE(SUBSTITUTE(SUBSTITUTE(SUBSTITUTE(SUBSTITUTE(SUBSTITUTE(SUBSTITUTE(SUBSTITUTE(SUBSTITUTE(SUBSTITUTE(SUBSTITUTE(SUBSTITUTE(LOWER(INDEX('Invullen groen'!$O:$O,$L215)),"2024",""),"2025",""),"2026",""),"2027",""),"2028",""),"2029",""),"taakveld ",""),"installaties","inst"),"ruwbouw","ruwb"),"afbouw","afb"),"bijstelling","bijst"),"investeringen","invest")),""),"")</f>
        <v/>
      </c>
      <c r="L215">
        <f>IFERROR(MATCH(ROW()-104,'Invullen groen'!$S$121:$S$272,0)+120,0)</f>
        <v/>
      </c>
    </row>
    <row r="216" hidden="1" s="418">
      <c r="A216" s="124">
        <f>IF($L216&gt;0,"+","")</f>
        <v/>
      </c>
      <c r="B216">
        <f>IFERROR(IF($L216&gt;0,IF(INDEX('Invullen groen'!$F:$F,$L216)&gt;0,INDEX('Invullen groen'!$F:$F,$L216),""),""),"")</f>
        <v/>
      </c>
      <c r="C216">
        <f>IFERROR(IF($L216&gt;0,IF(INDEX('Invullen groen'!$N:$N,$L216)&gt;0,INDEX('Invullen groen'!$N:$N,$L216),""),""),"")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123">
        <f>IFERROR(IF($L216&gt;0,IF(INDEX('Invullen groen'!$H:$H,$L216)=0,"",INT(INDEX('Invullen groen'!$H:$H,$L216))),""),"")</f>
        <v/>
      </c>
      <c r="G216" s="123">
        <f>IFERROR(IF($L216&gt;0,IF(INDEX('Invullen groen'!$I:$I,$L216)=0,"",INT(INDEX('Invullen groen'!$I:$I,$L216))),""),"")</f>
        <v/>
      </c>
      <c r="H216" s="123">
        <f>IFERROR(IF($L216&gt;0,IF(INDEX('Invullen groen'!$J:$J,$L216)=0,"",INT(INDEX('Invullen groen'!$J:$J,$L216))),""),"")</f>
        <v/>
      </c>
      <c r="I216" s="123">
        <f>IFERROR(IF($L216&gt;0,IF(INDEX('Invullen groen'!$K:$K,$L216)=0,"",INT(INDEX('Invullen groen'!$K:$K,$L216))),""),"")</f>
        <v/>
      </c>
      <c r="J216">
        <f>IF($L216&gt;0,IFERROR($K$1&amp;" "&amp;TRIM(SUBSTITUTE(SUBSTITUTE(SUBSTITUTE(SUBSTITUTE(SUBSTITUTE(SUBSTITUTE(SUBSTITUTE(SUBSTITUTE(SUBSTITUTE(SUBSTITUTE(SUBSTITUTE(SUBSTITUTE(LOWER(INDEX('Invullen groen'!$O:$O,$L216)),"2024",""),"2025",""),"2026",""),"2027",""),"2028",""),"2029",""),"taakveld ",""),"installaties","inst"),"ruwbouw","ruwb"),"afbouw","afb"),"bijstelling","bijst"),"investeringen","invest")),""),"")</f>
        <v/>
      </c>
      <c r="L216">
        <f>IFERROR(MATCH(ROW()-104,'Invullen groen'!$S$121:$S$272,0)+120,0)</f>
        <v/>
      </c>
    </row>
    <row r="217" hidden="1" s="418">
      <c r="A217" s="124">
        <f>IF($L217&gt;0,"+","")</f>
        <v/>
      </c>
      <c r="B217">
        <f>IFERROR(IF($L217&gt;0,IF(INDEX('Invullen groen'!$F:$F,$L217)&gt;0,INDEX('Invullen groen'!$F:$F,$L217),""),""),"")</f>
        <v/>
      </c>
      <c r="C217">
        <f>IFERROR(IF($L217&gt;0,IF(INDEX('Invullen groen'!$N:$N,$L217)&gt;0,INDEX('Invullen groen'!$N:$N,$L217),""),""),"")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123">
        <f>IFERROR(IF($L217&gt;0,IF(INDEX('Invullen groen'!$H:$H,$L217)=0,"",INT(INDEX('Invullen groen'!$H:$H,$L217))),""),"")</f>
        <v/>
      </c>
      <c r="G217" s="123">
        <f>IFERROR(IF($L217&gt;0,IF(INDEX('Invullen groen'!$I:$I,$L217)=0,"",INT(INDEX('Invullen groen'!$I:$I,$L217))),""),"")</f>
        <v/>
      </c>
      <c r="H217" s="123">
        <f>IFERROR(IF($L217&gt;0,IF(INDEX('Invullen groen'!$J:$J,$L217)=0,"",INT(INDEX('Invullen groen'!$J:$J,$L217))),""),"")</f>
        <v/>
      </c>
      <c r="I217" s="123">
        <f>IFERROR(IF($L217&gt;0,IF(INDEX('Invullen groen'!$K:$K,$L217)=0,"",INT(INDEX('Invullen groen'!$K:$K,$L217))),""),"")</f>
        <v/>
      </c>
      <c r="J217">
        <f>IF($L217&gt;0,IFERROR($K$1&amp;" "&amp;TRIM(SUBSTITUTE(SUBSTITUTE(SUBSTITUTE(SUBSTITUTE(SUBSTITUTE(SUBSTITUTE(SUBSTITUTE(SUBSTITUTE(SUBSTITUTE(SUBSTITUTE(SUBSTITUTE(SUBSTITUTE(LOWER(INDEX('Invullen groen'!$O:$O,$L217)),"2024",""),"2025",""),"2026",""),"2027",""),"2028",""),"2029",""),"taakveld ",""),"installaties","inst"),"ruwbouw","ruwb"),"afbouw","afb"),"bijstelling","bijst"),"investeringen","invest")),""),"")</f>
        <v/>
      </c>
      <c r="L217">
        <f>IFERROR(MATCH(ROW()-104,'Invullen groen'!$S$121:$S$272,0)+120,0)</f>
        <v/>
      </c>
    </row>
    <row r="218" hidden="1" s="418">
      <c r="A218" s="124">
        <f>IF($L218&gt;0,"+","")</f>
        <v/>
      </c>
      <c r="B218">
        <f>IFERROR(IF($L218&gt;0,IF(INDEX('Invullen groen'!$F:$F,$L218)&gt;0,INDEX('Invullen groen'!$F:$F,$L218),""),""),"")</f>
        <v/>
      </c>
      <c r="C218">
        <f>IFERROR(IF($L218&gt;0,IF(INDEX('Invullen groen'!$N:$N,$L218)&gt;0,INDEX('Invullen groen'!$N:$N,$L218),""),""),"")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123">
        <f>IFERROR(IF($L218&gt;0,IF(INDEX('Invullen groen'!$H:$H,$L218)=0,"",INT(INDEX('Invullen groen'!$H:$H,$L218))),""),"")</f>
        <v/>
      </c>
      <c r="G218" s="123">
        <f>IFERROR(IF($L218&gt;0,IF(INDEX('Invullen groen'!$I:$I,$L218)=0,"",INT(INDEX('Invullen groen'!$I:$I,$L218))),""),"")</f>
        <v/>
      </c>
      <c r="H218" s="123">
        <f>IFERROR(IF($L218&gt;0,IF(INDEX('Invullen groen'!$J:$J,$L218)=0,"",INT(INDEX('Invullen groen'!$J:$J,$L218))),""),"")</f>
        <v/>
      </c>
      <c r="I218" s="123">
        <f>IFERROR(IF($L218&gt;0,IF(INDEX('Invullen groen'!$K:$K,$L218)=0,"",INT(INDEX('Invullen groen'!$K:$K,$L218))),""),"")</f>
        <v/>
      </c>
      <c r="J218">
        <f>IF($L218&gt;0,IFERROR($K$1&amp;" "&amp;TRIM(SUBSTITUTE(SUBSTITUTE(SUBSTITUTE(SUBSTITUTE(SUBSTITUTE(SUBSTITUTE(SUBSTITUTE(SUBSTITUTE(SUBSTITUTE(SUBSTITUTE(SUBSTITUTE(SUBSTITUTE(LOWER(INDEX('Invullen groen'!$O:$O,$L218)),"2024",""),"2025",""),"2026",""),"2027",""),"2028",""),"2029",""),"taakveld ",""),"installaties","inst"),"ruwbouw","ruwb"),"afbouw","afb"),"bijstelling","bijst"),"investeringen","invest")),""),"")</f>
        <v/>
      </c>
      <c r="L218">
        <f>IFERROR(MATCH(ROW()-104,'Invullen groen'!$S$121:$S$272,0)+120,0)</f>
        <v/>
      </c>
    </row>
    <row r="219" hidden="1" s="418">
      <c r="A219" s="124">
        <f>IF($L219&gt;0,"+","")</f>
        <v/>
      </c>
      <c r="B219">
        <f>IFERROR(IF($L219&gt;0,IF(INDEX('Invullen groen'!$F:$F,$L219)&gt;0,INDEX('Invullen groen'!$F:$F,$L219),""),""),"")</f>
        <v/>
      </c>
      <c r="C219">
        <f>IFERROR(IF($L219&gt;0,IF(INDEX('Invullen groen'!$N:$N,$L219)&gt;0,INDEX('Invullen groen'!$N:$N,$L219),""),""),"")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123">
        <f>IFERROR(IF($L219&gt;0,IF(INDEX('Invullen groen'!$H:$H,$L219)=0,"",INT(INDEX('Invullen groen'!$H:$H,$L219))),""),"")</f>
        <v/>
      </c>
      <c r="G219" s="123">
        <f>IFERROR(IF($L219&gt;0,IF(INDEX('Invullen groen'!$I:$I,$L219)=0,"",INT(INDEX('Invullen groen'!$I:$I,$L219))),""),"")</f>
        <v/>
      </c>
      <c r="H219" s="123">
        <f>IFERROR(IF($L219&gt;0,IF(INDEX('Invullen groen'!$J:$J,$L219)=0,"",INT(INDEX('Invullen groen'!$J:$J,$L219))),""),"")</f>
        <v/>
      </c>
      <c r="I219" s="123">
        <f>IFERROR(IF($L219&gt;0,IF(INDEX('Invullen groen'!$K:$K,$L219)=0,"",INT(INDEX('Invullen groen'!$K:$K,$L219))),""),"")</f>
        <v/>
      </c>
      <c r="J219">
        <f>IF($L219&gt;0,IFERROR($K$1&amp;" "&amp;TRIM(SUBSTITUTE(SUBSTITUTE(SUBSTITUTE(SUBSTITUTE(SUBSTITUTE(SUBSTITUTE(SUBSTITUTE(SUBSTITUTE(SUBSTITUTE(SUBSTITUTE(SUBSTITUTE(SUBSTITUTE(LOWER(INDEX('Invullen groen'!$O:$O,$L219)),"2024",""),"2025",""),"2026",""),"2027",""),"2028",""),"2029",""),"taakveld ",""),"installaties","inst"),"ruwbouw","ruwb"),"afbouw","afb"),"bijstelling","bijst"),"investeringen","invest")),""),"")</f>
        <v/>
      </c>
      <c r="L219">
        <f>IFERROR(MATCH(ROW()-104,'Invullen groen'!$S$121:$S$272,0)+120,0)</f>
        <v/>
      </c>
    </row>
    <row r="220" hidden="1" s="418">
      <c r="A220" s="124">
        <f>IF($L220&gt;0,"+","")</f>
        <v/>
      </c>
      <c r="B220">
        <f>IFERROR(IF($L220&gt;0,IF(INDEX('Invullen groen'!$F:$F,$L220)&gt;0,INDEX('Invullen groen'!$F:$F,$L220),""),""),"")</f>
        <v/>
      </c>
      <c r="C220">
        <f>IFERROR(IF($L220&gt;0,IF(INDEX('Invullen groen'!$N:$N,$L220)&gt;0,INDEX('Invullen groen'!$N:$N,$L220),""),""),"")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123">
        <f>IFERROR(IF($L220&gt;0,IF(INDEX('Invullen groen'!$H:$H,$L220)=0,"",INT(INDEX('Invullen groen'!$H:$H,$L220))),""),"")</f>
        <v/>
      </c>
      <c r="G220" s="123">
        <f>IFERROR(IF($L220&gt;0,IF(INDEX('Invullen groen'!$I:$I,$L220)=0,"",INT(INDEX('Invullen groen'!$I:$I,$L220))),""),"")</f>
        <v/>
      </c>
      <c r="H220" s="123">
        <f>IFERROR(IF($L220&gt;0,IF(INDEX('Invullen groen'!$J:$J,$L220)=0,"",INT(INDEX('Invullen groen'!$J:$J,$L220))),""),"")</f>
        <v/>
      </c>
      <c r="I220" s="123">
        <f>IFERROR(IF($L220&gt;0,IF(INDEX('Invullen groen'!$K:$K,$L220)=0,"",INT(INDEX('Invullen groen'!$K:$K,$L220))),""),"")</f>
        <v/>
      </c>
      <c r="J220">
        <f>IF($L220&gt;0,IFERROR($K$1&amp;" "&amp;TRIM(SUBSTITUTE(SUBSTITUTE(SUBSTITUTE(SUBSTITUTE(SUBSTITUTE(SUBSTITUTE(SUBSTITUTE(SUBSTITUTE(SUBSTITUTE(SUBSTITUTE(SUBSTITUTE(SUBSTITUTE(LOWER(INDEX('Invullen groen'!$O:$O,$L220)),"2024",""),"2025",""),"2026",""),"2027",""),"2028",""),"2029",""),"taakveld ",""),"installaties","inst"),"ruwbouw","ruwb"),"afbouw","afb"),"bijstelling","bijst"),"investeringen","invest")),""),"")</f>
        <v/>
      </c>
      <c r="L220">
        <f>IFERROR(MATCH(ROW()-104,'Invullen groen'!$S$121:$S$272,0)+120,0)</f>
        <v/>
      </c>
    </row>
    <row r="221" hidden="1" s="418">
      <c r="A221" s="124">
        <f>IF($L221&gt;0,"+","")</f>
        <v/>
      </c>
      <c r="B221">
        <f>IFERROR(IF($L221&gt;0,IF(INDEX('Invullen groen'!$F:$F,$L221)&gt;0,INDEX('Invullen groen'!$F:$F,$L221),""),""),"")</f>
        <v/>
      </c>
      <c r="C221">
        <f>IFERROR(IF($L221&gt;0,IF(INDEX('Invullen groen'!$N:$N,$L221)&gt;0,INDEX('Invullen groen'!$N:$N,$L221),""),""),"")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123">
        <f>IFERROR(IF($L221&gt;0,IF(INDEX('Invullen groen'!$H:$H,$L221)=0,"",INT(INDEX('Invullen groen'!$H:$H,$L221))),""),"")</f>
        <v/>
      </c>
      <c r="G221" s="123">
        <f>IFERROR(IF($L221&gt;0,IF(INDEX('Invullen groen'!$I:$I,$L221)=0,"",INT(INDEX('Invullen groen'!$I:$I,$L221))),""),"")</f>
        <v/>
      </c>
      <c r="H221" s="123">
        <f>IFERROR(IF($L221&gt;0,IF(INDEX('Invullen groen'!$J:$J,$L221)=0,"",INT(INDEX('Invullen groen'!$J:$J,$L221))),""),"")</f>
        <v/>
      </c>
      <c r="I221" s="123">
        <f>IFERROR(IF($L221&gt;0,IF(INDEX('Invullen groen'!$K:$K,$L221)=0,"",INT(INDEX('Invullen groen'!$K:$K,$L221))),""),"")</f>
        <v/>
      </c>
      <c r="J221">
        <f>IF($L221&gt;0,IFERROR($K$1&amp;" "&amp;TRIM(SUBSTITUTE(SUBSTITUTE(SUBSTITUTE(SUBSTITUTE(SUBSTITUTE(SUBSTITUTE(SUBSTITUTE(SUBSTITUTE(SUBSTITUTE(SUBSTITUTE(SUBSTITUTE(SUBSTITUTE(LOWER(INDEX('Invullen groen'!$O:$O,$L221)),"2024",""),"2025",""),"2026",""),"2027",""),"2028",""),"2029",""),"taakveld ",""),"installaties","inst"),"ruwbouw","ruwb"),"afbouw","afb"),"bijstelling","bijst"),"investeringen","invest")),""),"")</f>
        <v/>
      </c>
      <c r="L221">
        <f>IFERROR(MATCH(ROW()-104,'Invullen groen'!$S$121:$S$272,0)+120,0)</f>
        <v/>
      </c>
    </row>
    <row r="222" hidden="1" s="418">
      <c r="A222" s="124">
        <f>IF($L222&gt;0,"+","")</f>
        <v/>
      </c>
      <c r="B222">
        <f>IFERROR(IF($L222&gt;0,IF(INDEX('Invullen groen'!$F:$F,$L222)&gt;0,INDEX('Invullen groen'!$F:$F,$L222),""),""),"")</f>
        <v/>
      </c>
      <c r="C222">
        <f>IFERROR(IF($L222&gt;0,IF(INDEX('Invullen groen'!$N:$N,$L222)&gt;0,INDEX('Invullen groen'!$N:$N,$L222),""),""),"")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123">
        <f>IFERROR(IF($L222&gt;0,IF(INDEX('Invullen groen'!$H:$H,$L222)=0,"",INT(INDEX('Invullen groen'!$H:$H,$L222))),""),"")</f>
        <v/>
      </c>
      <c r="G222" s="123">
        <f>IFERROR(IF($L222&gt;0,IF(INDEX('Invullen groen'!$I:$I,$L222)=0,"",INT(INDEX('Invullen groen'!$I:$I,$L222))),""),"")</f>
        <v/>
      </c>
      <c r="H222" s="123">
        <f>IFERROR(IF($L222&gt;0,IF(INDEX('Invullen groen'!$J:$J,$L222)=0,"",INT(INDEX('Invullen groen'!$J:$J,$L222))),""),"")</f>
        <v/>
      </c>
      <c r="I222" s="123">
        <f>IFERROR(IF($L222&gt;0,IF(INDEX('Invullen groen'!$K:$K,$L222)=0,"",INT(INDEX('Invullen groen'!$K:$K,$L222))),""),"")</f>
        <v/>
      </c>
      <c r="J222">
        <f>IF($L222&gt;0,IFERROR($K$1&amp;" "&amp;TRIM(SUBSTITUTE(SUBSTITUTE(SUBSTITUTE(SUBSTITUTE(SUBSTITUTE(SUBSTITUTE(SUBSTITUTE(SUBSTITUTE(SUBSTITUTE(SUBSTITUTE(SUBSTITUTE(SUBSTITUTE(LOWER(INDEX('Invullen groen'!$O:$O,$L222)),"2024",""),"2025",""),"2026",""),"2027",""),"2028",""),"2029",""),"taakveld ",""),"installaties","inst"),"ruwbouw","ruwb"),"afbouw","afb"),"bijstelling","bijst"),"investeringen","invest")),""),"")</f>
        <v/>
      </c>
      <c r="L222">
        <f>IFERROR(MATCH(ROW()-104,'Invullen groen'!$S$121:$S$272,0)+120,0)</f>
        <v/>
      </c>
    </row>
    <row r="223" hidden="1" s="418">
      <c r="A223" s="124">
        <f>IF($L223&gt;0,"+","")</f>
        <v/>
      </c>
      <c r="B223">
        <f>IFERROR(IF($L223&gt;0,IF(INDEX('Invullen groen'!$F:$F,$L223)&gt;0,INDEX('Invullen groen'!$F:$F,$L223),""),""),"")</f>
        <v/>
      </c>
      <c r="C223">
        <f>IFERROR(IF($L223&gt;0,IF(INDEX('Invullen groen'!$N:$N,$L223)&gt;0,INDEX('Invullen groen'!$N:$N,$L223),""),""),"")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123">
        <f>IFERROR(IF($L223&gt;0,IF(INDEX('Invullen groen'!$H:$H,$L223)=0,"",INT(INDEX('Invullen groen'!$H:$H,$L223))),""),"")</f>
        <v/>
      </c>
      <c r="G223" s="123">
        <f>IFERROR(IF($L223&gt;0,IF(INDEX('Invullen groen'!$I:$I,$L223)=0,"",INT(INDEX('Invullen groen'!$I:$I,$L223))),""),"")</f>
        <v/>
      </c>
      <c r="H223" s="123">
        <f>IFERROR(IF($L223&gt;0,IF(INDEX('Invullen groen'!$J:$J,$L223)=0,"",INT(INDEX('Invullen groen'!$J:$J,$L223))),""),"")</f>
        <v/>
      </c>
      <c r="I223" s="123">
        <f>IFERROR(IF($L223&gt;0,IF(INDEX('Invullen groen'!$K:$K,$L223)=0,"",INT(INDEX('Invullen groen'!$K:$K,$L223))),""),"")</f>
        <v/>
      </c>
      <c r="J223">
        <f>IF($L223&gt;0,IFERROR($K$1&amp;" "&amp;TRIM(SUBSTITUTE(SUBSTITUTE(SUBSTITUTE(SUBSTITUTE(SUBSTITUTE(SUBSTITUTE(SUBSTITUTE(SUBSTITUTE(SUBSTITUTE(SUBSTITUTE(SUBSTITUTE(SUBSTITUTE(LOWER(INDEX('Invullen groen'!$O:$O,$L223)),"2024",""),"2025",""),"2026",""),"2027",""),"2028",""),"2029",""),"taakveld ",""),"installaties","inst"),"ruwbouw","ruwb"),"afbouw","afb"),"bijstelling","bijst"),"investeringen","invest")),""),"")</f>
        <v/>
      </c>
      <c r="L223">
        <f>IFERROR(MATCH(ROW()-104,'Invullen groen'!$S$121:$S$272,0)+120,0)</f>
        <v/>
      </c>
    </row>
    <row r="224" hidden="1" s="418">
      <c r="A224" s="124">
        <f>IF($L224&gt;0,"+","")</f>
        <v/>
      </c>
      <c r="B224">
        <f>IFERROR(IF($L224&gt;0,IF(INDEX('Invullen groen'!$F:$F,$L224)&gt;0,INDEX('Invullen groen'!$F:$F,$L224),""),""),"")</f>
        <v/>
      </c>
      <c r="C224">
        <f>IFERROR(IF($L224&gt;0,IF(INDEX('Invullen groen'!$N:$N,$L224)&gt;0,INDEX('Invullen groen'!$N:$N,$L224),""),""),"")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123">
        <f>IFERROR(IF($L224&gt;0,IF(INDEX('Invullen groen'!$H:$H,$L224)=0,"",INT(INDEX('Invullen groen'!$H:$H,$L224))),""),"")</f>
        <v/>
      </c>
      <c r="G224" s="123">
        <f>IFERROR(IF($L224&gt;0,IF(INDEX('Invullen groen'!$I:$I,$L224)=0,"",INT(INDEX('Invullen groen'!$I:$I,$L224))),""),"")</f>
        <v/>
      </c>
      <c r="H224" s="123">
        <f>IFERROR(IF($L224&gt;0,IF(INDEX('Invullen groen'!$J:$J,$L224)=0,"",INT(INDEX('Invullen groen'!$J:$J,$L224))),""),"")</f>
        <v/>
      </c>
      <c r="I224" s="123">
        <f>IFERROR(IF($L224&gt;0,IF(INDEX('Invullen groen'!$K:$K,$L224)=0,"",INT(INDEX('Invullen groen'!$K:$K,$L224))),""),"")</f>
        <v/>
      </c>
      <c r="J224">
        <f>IF($L224&gt;0,IFERROR($K$1&amp;" "&amp;TRIM(SUBSTITUTE(SUBSTITUTE(SUBSTITUTE(SUBSTITUTE(SUBSTITUTE(SUBSTITUTE(SUBSTITUTE(SUBSTITUTE(SUBSTITUTE(SUBSTITUTE(SUBSTITUTE(SUBSTITUTE(LOWER(INDEX('Invullen groen'!$O:$O,$L224)),"2024",""),"2025",""),"2026",""),"2027",""),"2028",""),"2029",""),"taakveld ",""),"installaties","inst"),"ruwbouw","ruwb"),"afbouw","afb"),"bijstelling","bijst"),"investeringen","invest")),""),"")</f>
        <v/>
      </c>
      <c r="L224">
        <f>IFERROR(MATCH(ROW()-104,'Invullen groen'!$S$121:$S$272,0)+120,0)</f>
        <v/>
      </c>
    </row>
    <row r="225" hidden="1" s="418">
      <c r="A225" s="124">
        <f>IF($L225&gt;0,"+","")</f>
        <v/>
      </c>
      <c r="B225">
        <f>IFERROR(IF($L225&gt;0,IF(INDEX('Invullen groen'!$F:$F,$L225)&gt;0,INDEX('Invullen groen'!$F:$F,$L225),""),""),"")</f>
        <v/>
      </c>
      <c r="C225">
        <f>IFERROR(IF($L225&gt;0,IF(INDEX('Invullen groen'!$N:$N,$L225)&gt;0,INDEX('Invullen groen'!$N:$N,$L225),""),""),"")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123">
        <f>IFERROR(IF($L225&gt;0,IF(INDEX('Invullen groen'!$H:$H,$L225)=0,"",INT(INDEX('Invullen groen'!$H:$H,$L225))),""),"")</f>
        <v/>
      </c>
      <c r="G225" s="123">
        <f>IFERROR(IF($L225&gt;0,IF(INDEX('Invullen groen'!$I:$I,$L225)=0,"",INT(INDEX('Invullen groen'!$I:$I,$L225))),""),"")</f>
        <v/>
      </c>
      <c r="H225" s="123">
        <f>IFERROR(IF($L225&gt;0,IF(INDEX('Invullen groen'!$J:$J,$L225)=0,"",INT(INDEX('Invullen groen'!$J:$J,$L225))),""),"")</f>
        <v/>
      </c>
      <c r="I225" s="123">
        <f>IFERROR(IF($L225&gt;0,IF(INDEX('Invullen groen'!$K:$K,$L225)=0,"",INT(INDEX('Invullen groen'!$K:$K,$L225))),""),"")</f>
        <v/>
      </c>
      <c r="J225">
        <f>IF($L225&gt;0,IFERROR($K$1&amp;" "&amp;TRIM(SUBSTITUTE(SUBSTITUTE(SUBSTITUTE(SUBSTITUTE(SUBSTITUTE(SUBSTITUTE(SUBSTITUTE(SUBSTITUTE(SUBSTITUTE(SUBSTITUTE(SUBSTITUTE(SUBSTITUTE(LOWER(INDEX('Invullen groen'!$O:$O,$L225)),"2024",""),"2025",""),"2026",""),"2027",""),"2028",""),"2029",""),"taakveld ",""),"installaties","inst"),"ruwbouw","ruwb"),"afbouw","afb"),"bijstelling","bijst"),"investeringen","invest")),""),"")</f>
        <v/>
      </c>
      <c r="L225">
        <f>IFERROR(MATCH(ROW()-104,'Invullen groen'!$S$121:$S$272,0)+120,0)</f>
        <v/>
      </c>
    </row>
    <row r="226" hidden="1" s="418">
      <c r="A226" s="124">
        <f>IF($L226&gt;0,"+","")</f>
        <v/>
      </c>
      <c r="B226">
        <f>IFERROR(IF($L226&gt;0,IF(INDEX('Invullen groen'!$F:$F,$L226)&gt;0,INDEX('Invullen groen'!$F:$F,$L226),""),""),"")</f>
        <v/>
      </c>
      <c r="C226">
        <f>IFERROR(IF($L226&gt;0,IF(INDEX('Invullen groen'!$N:$N,$L226)&gt;0,INDEX('Invullen groen'!$N:$N,$L226),""),""),"")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123">
        <f>IFERROR(IF($L226&gt;0,IF(INDEX('Invullen groen'!$H:$H,$L226)=0,"",INT(INDEX('Invullen groen'!$H:$H,$L226))),""),"")</f>
        <v/>
      </c>
      <c r="G226" s="123">
        <f>IFERROR(IF($L226&gt;0,IF(INDEX('Invullen groen'!$I:$I,$L226)=0,"",INT(INDEX('Invullen groen'!$I:$I,$L226))),""),"")</f>
        <v/>
      </c>
      <c r="H226" s="123">
        <f>IFERROR(IF($L226&gt;0,IF(INDEX('Invullen groen'!$J:$J,$L226)=0,"",INT(INDEX('Invullen groen'!$J:$J,$L226))),""),"")</f>
        <v/>
      </c>
      <c r="I226" s="123">
        <f>IFERROR(IF($L226&gt;0,IF(INDEX('Invullen groen'!$K:$K,$L226)=0,"",INT(INDEX('Invullen groen'!$K:$K,$L226))),""),"")</f>
        <v/>
      </c>
      <c r="J226">
        <f>IF($L226&gt;0,IFERROR($K$1&amp;" "&amp;TRIM(SUBSTITUTE(SUBSTITUTE(SUBSTITUTE(SUBSTITUTE(SUBSTITUTE(SUBSTITUTE(SUBSTITUTE(SUBSTITUTE(SUBSTITUTE(SUBSTITUTE(SUBSTITUTE(SUBSTITUTE(LOWER(INDEX('Invullen groen'!$O:$O,$L226)),"2024",""),"2025",""),"2026",""),"2027",""),"2028",""),"2029",""),"taakveld ",""),"installaties","inst"),"ruwbouw","ruwb"),"afbouw","afb"),"bijstelling","bijst"),"investeringen","invest")),""),"")</f>
        <v/>
      </c>
      <c r="L226">
        <f>IFERROR(MATCH(ROW()-104,'Invullen groen'!$S$121:$S$272,0)+120,0)</f>
        <v/>
      </c>
    </row>
    <row r="227" hidden="1" s="418">
      <c r="A227" s="124">
        <f>IF($L227&gt;0,"+","")</f>
        <v/>
      </c>
      <c r="B227">
        <f>IFERROR(IF($L227&gt;0,IF(INDEX('Invullen groen'!$F:$F,$L227)&gt;0,INDEX('Invullen groen'!$F:$F,$L227),""),""),"")</f>
        <v/>
      </c>
      <c r="C227">
        <f>IFERROR(IF($L227&gt;0,IF(INDEX('Invullen groen'!$N:$N,$L227)&gt;0,INDEX('Invullen groen'!$N:$N,$L227),""),""),"")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123">
        <f>IFERROR(IF($L227&gt;0,IF(INDEX('Invullen groen'!$H:$H,$L227)=0,"",INT(INDEX('Invullen groen'!$H:$H,$L227))),""),"")</f>
        <v/>
      </c>
      <c r="G227" s="123">
        <f>IFERROR(IF($L227&gt;0,IF(INDEX('Invullen groen'!$I:$I,$L227)=0,"",INT(INDEX('Invullen groen'!$I:$I,$L227))),""),"")</f>
        <v/>
      </c>
      <c r="H227" s="123">
        <f>IFERROR(IF($L227&gt;0,IF(INDEX('Invullen groen'!$J:$J,$L227)=0,"",INT(INDEX('Invullen groen'!$J:$J,$L227))),""),"")</f>
        <v/>
      </c>
      <c r="I227" s="123">
        <f>IFERROR(IF($L227&gt;0,IF(INDEX('Invullen groen'!$K:$K,$L227)=0,"",INT(INDEX('Invullen groen'!$K:$K,$L227))),""),"")</f>
        <v/>
      </c>
      <c r="J227">
        <f>IF($L227&gt;0,IFERROR($K$1&amp;" "&amp;TRIM(SUBSTITUTE(SUBSTITUTE(SUBSTITUTE(SUBSTITUTE(SUBSTITUTE(SUBSTITUTE(SUBSTITUTE(SUBSTITUTE(SUBSTITUTE(SUBSTITUTE(SUBSTITUTE(SUBSTITUTE(LOWER(INDEX('Invullen groen'!$O:$O,$L227)),"2024",""),"2025",""),"2026",""),"2027",""),"2028",""),"2029",""),"taakveld ",""),"installaties","inst"),"ruwbouw","ruwb"),"afbouw","afb"),"bijstelling","bijst"),"investeringen","invest")),""),"")</f>
        <v/>
      </c>
      <c r="L227">
        <f>IFERROR(MATCH(ROW()-104,'Invullen groen'!$S$121:$S$272,0)+120,0)</f>
        <v/>
      </c>
    </row>
    <row r="228" hidden="1" s="418">
      <c r="A228" s="124">
        <f>IF($L228&gt;0,"+","")</f>
        <v/>
      </c>
      <c r="B228">
        <f>IFERROR(IF($L228&gt;0,IF(INDEX('Invullen groen'!$F:$F,$L228)&gt;0,INDEX('Invullen groen'!$F:$F,$L228),""),""),"")</f>
        <v/>
      </c>
      <c r="C228">
        <f>IFERROR(IF($L228&gt;0,IF(INDEX('Invullen groen'!$N:$N,$L228)&gt;0,INDEX('Invullen groen'!$N:$N,$L228),""),""),"")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123">
        <f>IFERROR(IF($L228&gt;0,IF(INDEX('Invullen groen'!$H:$H,$L228)=0,"",INT(INDEX('Invullen groen'!$H:$H,$L228))),""),"")</f>
        <v/>
      </c>
      <c r="G228" s="123">
        <f>IFERROR(IF($L228&gt;0,IF(INDEX('Invullen groen'!$I:$I,$L228)=0,"",INT(INDEX('Invullen groen'!$I:$I,$L228))),""),"")</f>
        <v/>
      </c>
      <c r="H228" s="123">
        <f>IFERROR(IF($L228&gt;0,IF(INDEX('Invullen groen'!$J:$J,$L228)=0,"",INT(INDEX('Invullen groen'!$J:$J,$L228))),""),"")</f>
        <v/>
      </c>
      <c r="I228" s="123">
        <f>IFERROR(IF($L228&gt;0,IF(INDEX('Invullen groen'!$K:$K,$L228)=0,"",INT(INDEX('Invullen groen'!$K:$K,$L228))),""),"")</f>
        <v/>
      </c>
      <c r="J228">
        <f>IF($L228&gt;0,IFERROR($K$1&amp;" "&amp;TRIM(SUBSTITUTE(SUBSTITUTE(SUBSTITUTE(SUBSTITUTE(SUBSTITUTE(SUBSTITUTE(SUBSTITUTE(SUBSTITUTE(SUBSTITUTE(SUBSTITUTE(SUBSTITUTE(SUBSTITUTE(LOWER(INDEX('Invullen groen'!$O:$O,$L228)),"2024",""),"2025",""),"2026",""),"2027",""),"2028",""),"2029",""),"taakveld ",""),"installaties","inst"),"ruwbouw","ruwb"),"afbouw","afb"),"bijstelling","bijst"),"investeringen","invest")),""),"")</f>
        <v/>
      </c>
      <c r="L228">
        <f>IFERROR(MATCH(ROW()-104,'Invullen groen'!$S$121:$S$272,0)+120,0)</f>
        <v/>
      </c>
    </row>
    <row r="229" hidden="1" s="418">
      <c r="A229" s="124">
        <f>IF($L229&gt;0,"+","")</f>
        <v/>
      </c>
      <c r="B229">
        <f>IFERROR(IF($L229&gt;0,IF(INDEX('Invullen groen'!$F:$F,$L229)&gt;0,INDEX('Invullen groen'!$F:$F,$L229),""),""),"")</f>
        <v/>
      </c>
      <c r="C229">
        <f>IFERROR(IF($L229&gt;0,IF(INDEX('Invullen groen'!$N:$N,$L229)&gt;0,INDEX('Invullen groen'!$N:$N,$L229),""),""),"")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123">
        <f>IFERROR(IF($L229&gt;0,IF(INDEX('Invullen groen'!$H:$H,$L229)=0,"",INT(INDEX('Invullen groen'!$H:$H,$L229))),""),"")</f>
        <v/>
      </c>
      <c r="G229" s="123">
        <f>IFERROR(IF($L229&gt;0,IF(INDEX('Invullen groen'!$I:$I,$L229)=0,"",INT(INDEX('Invullen groen'!$I:$I,$L229))),""),"")</f>
        <v/>
      </c>
      <c r="H229" s="123">
        <f>IFERROR(IF($L229&gt;0,IF(INDEX('Invullen groen'!$J:$J,$L229)=0,"",INT(INDEX('Invullen groen'!$J:$J,$L229))),""),"")</f>
        <v/>
      </c>
      <c r="I229" s="123">
        <f>IFERROR(IF($L229&gt;0,IF(INDEX('Invullen groen'!$K:$K,$L229)=0,"",INT(INDEX('Invullen groen'!$K:$K,$L229))),""),"")</f>
        <v/>
      </c>
      <c r="J229">
        <f>IF($L229&gt;0,IFERROR($K$1&amp;" "&amp;TRIM(SUBSTITUTE(SUBSTITUTE(SUBSTITUTE(SUBSTITUTE(SUBSTITUTE(SUBSTITUTE(SUBSTITUTE(SUBSTITUTE(SUBSTITUTE(SUBSTITUTE(SUBSTITUTE(SUBSTITUTE(LOWER(INDEX('Invullen groen'!$O:$O,$L229)),"2024",""),"2025",""),"2026",""),"2027",""),"2028",""),"2029",""),"taakveld ",""),"installaties","inst"),"ruwbouw","ruwb"),"afbouw","afb"),"bijstelling","bijst"),"investeringen","invest")),""),"")</f>
        <v/>
      </c>
      <c r="L229">
        <f>IFERROR(MATCH(ROW()-104,'Invullen groen'!$S$121:$S$272,0)+120,0)</f>
        <v/>
      </c>
    </row>
    <row r="230" hidden="1" s="418">
      <c r="A230" s="124">
        <f>IF($L230&gt;0,"+","")</f>
        <v/>
      </c>
      <c r="B230">
        <f>IFERROR(IF($L230&gt;0,IF(INDEX('Invullen groen'!$F:$F,$L230)&gt;0,INDEX('Invullen groen'!$F:$F,$L230),""),""),"")</f>
        <v/>
      </c>
      <c r="C230">
        <f>IFERROR(IF($L230&gt;0,IF(INDEX('Invullen groen'!$N:$N,$L230)&gt;0,INDEX('Invullen groen'!$N:$N,$L230),""),""),"")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123">
        <f>IFERROR(IF($L230&gt;0,IF(INDEX('Invullen groen'!$H:$H,$L230)=0,"",INT(INDEX('Invullen groen'!$H:$H,$L230))),""),"")</f>
        <v/>
      </c>
      <c r="G230" s="123">
        <f>IFERROR(IF($L230&gt;0,IF(INDEX('Invullen groen'!$I:$I,$L230)=0,"",INT(INDEX('Invullen groen'!$I:$I,$L230))),""),"")</f>
        <v/>
      </c>
      <c r="H230" s="123">
        <f>IFERROR(IF($L230&gt;0,IF(INDEX('Invullen groen'!$J:$J,$L230)=0,"",INT(INDEX('Invullen groen'!$J:$J,$L230))),""),"")</f>
        <v/>
      </c>
      <c r="I230" s="123">
        <f>IFERROR(IF($L230&gt;0,IF(INDEX('Invullen groen'!$K:$K,$L230)=0,"",INT(INDEX('Invullen groen'!$K:$K,$L230))),""),"")</f>
        <v/>
      </c>
      <c r="J230">
        <f>IF($L230&gt;0,IFERROR($K$1&amp;" "&amp;TRIM(SUBSTITUTE(SUBSTITUTE(SUBSTITUTE(SUBSTITUTE(SUBSTITUTE(SUBSTITUTE(SUBSTITUTE(SUBSTITUTE(SUBSTITUTE(SUBSTITUTE(SUBSTITUTE(SUBSTITUTE(LOWER(INDEX('Invullen groen'!$O:$O,$L230)),"2024",""),"2025",""),"2026",""),"2027",""),"2028",""),"2029",""),"taakveld ",""),"installaties","inst"),"ruwbouw","ruwb"),"afbouw","afb"),"bijstelling","bijst"),"investeringen","invest")),""),"")</f>
        <v/>
      </c>
      <c r="L230">
        <f>IFERROR(MATCH(ROW()-104,'Invullen groen'!$S$121:$S$272,0)+120,0)</f>
        <v/>
      </c>
    </row>
    <row r="231" hidden="1" s="418">
      <c r="A231" s="124">
        <f>IF($L231&gt;0,"+","")</f>
        <v/>
      </c>
      <c r="B231">
        <f>IFERROR(IF($L231&gt;0,IF(INDEX('Invullen groen'!$F:$F,$L231)&gt;0,INDEX('Invullen groen'!$F:$F,$L231),""),""),"")</f>
        <v/>
      </c>
      <c r="C231">
        <f>IFERROR(IF($L231&gt;0,IF(INDEX('Invullen groen'!$N:$N,$L231)&gt;0,INDEX('Invullen groen'!$N:$N,$L231),""),""),"")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123">
        <f>IFERROR(IF($L231&gt;0,IF(INDEX('Invullen groen'!$H:$H,$L231)=0,"",INT(INDEX('Invullen groen'!$H:$H,$L231))),""),"")</f>
        <v/>
      </c>
      <c r="G231" s="123">
        <f>IFERROR(IF($L231&gt;0,IF(INDEX('Invullen groen'!$I:$I,$L231)=0,"",INT(INDEX('Invullen groen'!$I:$I,$L231))),""),"")</f>
        <v/>
      </c>
      <c r="H231" s="123">
        <f>IFERROR(IF($L231&gt;0,IF(INDEX('Invullen groen'!$J:$J,$L231)=0,"",INT(INDEX('Invullen groen'!$J:$J,$L231))),""),"")</f>
        <v/>
      </c>
      <c r="I231" s="123">
        <f>IFERROR(IF($L231&gt;0,IF(INDEX('Invullen groen'!$K:$K,$L231)=0,"",INT(INDEX('Invullen groen'!$K:$K,$L231))),""),"")</f>
        <v/>
      </c>
      <c r="J231">
        <f>IF($L231&gt;0,IFERROR($K$1&amp;" "&amp;TRIM(SUBSTITUTE(SUBSTITUTE(SUBSTITUTE(SUBSTITUTE(SUBSTITUTE(SUBSTITUTE(SUBSTITUTE(SUBSTITUTE(SUBSTITUTE(SUBSTITUTE(SUBSTITUTE(SUBSTITUTE(LOWER(INDEX('Invullen groen'!$O:$O,$L231)),"2024",""),"2025",""),"2026",""),"2027",""),"2028",""),"2029",""),"taakveld ",""),"installaties","inst"),"ruwbouw","ruwb"),"afbouw","afb"),"bijstelling","bijst"),"investeringen","invest")),""),"")</f>
        <v/>
      </c>
      <c r="L231">
        <f>IFERROR(MATCH(ROW()-104,'Invullen groen'!$S$121:$S$272,0)+120,0)</f>
        <v/>
      </c>
    </row>
    <row r="232" hidden="1" s="418">
      <c r="A232" s="124">
        <f>IF($L232&gt;0,"+","")</f>
        <v/>
      </c>
      <c r="B232">
        <f>IFERROR(IF($L232&gt;0,IF(INDEX('Invullen groen'!$F:$F,$L232)&gt;0,INDEX('Invullen groen'!$F:$F,$L232),""),""),"")</f>
        <v/>
      </c>
      <c r="C232">
        <f>IFERROR(IF($L232&gt;0,IF(INDEX('Invullen groen'!$N:$N,$L232)&gt;0,INDEX('Invullen groen'!$N:$N,$L232),""),""),"")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123">
        <f>IFERROR(IF($L232&gt;0,IF(INDEX('Invullen groen'!$H:$H,$L232)=0,"",INT(INDEX('Invullen groen'!$H:$H,$L232))),""),"")</f>
        <v/>
      </c>
      <c r="G232" s="123">
        <f>IFERROR(IF($L232&gt;0,IF(INDEX('Invullen groen'!$I:$I,$L232)=0,"",INT(INDEX('Invullen groen'!$I:$I,$L232))),""),"")</f>
        <v/>
      </c>
      <c r="H232" s="123">
        <f>IFERROR(IF($L232&gt;0,IF(INDEX('Invullen groen'!$J:$J,$L232)=0,"",INT(INDEX('Invullen groen'!$J:$J,$L232))),""),"")</f>
        <v/>
      </c>
      <c r="I232" s="123">
        <f>IFERROR(IF($L232&gt;0,IF(INDEX('Invullen groen'!$K:$K,$L232)=0,"",INT(INDEX('Invullen groen'!$K:$K,$L232))),""),"")</f>
        <v/>
      </c>
      <c r="J232">
        <f>IF($L232&gt;0,IFERROR($K$1&amp;" "&amp;TRIM(SUBSTITUTE(SUBSTITUTE(SUBSTITUTE(SUBSTITUTE(SUBSTITUTE(SUBSTITUTE(SUBSTITUTE(SUBSTITUTE(SUBSTITUTE(SUBSTITUTE(SUBSTITUTE(SUBSTITUTE(LOWER(INDEX('Invullen groen'!$O:$O,$L232)),"2024",""),"2025",""),"2026",""),"2027",""),"2028",""),"2029",""),"taakveld ",""),"installaties","inst"),"ruwbouw","ruwb"),"afbouw","afb"),"bijstelling","bijst"),"investeringen","invest")),""),"")</f>
        <v/>
      </c>
      <c r="L232">
        <f>IFERROR(MATCH(ROW()-104,'Invullen groen'!$S$121:$S$272,0)+120,0)</f>
        <v/>
      </c>
    </row>
    <row r="233" hidden="1" s="418">
      <c r="A233" s="124">
        <f>IF($L233&gt;0,"+","")</f>
        <v/>
      </c>
      <c r="B233">
        <f>IFERROR(IF($L233&gt;0,IF(INDEX('Invullen groen'!$F:$F,$L233)&gt;0,INDEX('Invullen groen'!$F:$F,$L233),""),""),"")</f>
        <v/>
      </c>
      <c r="C233">
        <f>IFERROR(IF($L233&gt;0,IF(INDEX('Invullen groen'!$N:$N,$L233)&gt;0,INDEX('Invullen groen'!$N:$N,$L233),""),""),"")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123">
        <f>IFERROR(IF($L233&gt;0,IF(INDEX('Invullen groen'!$H:$H,$L233)=0,"",INT(INDEX('Invullen groen'!$H:$H,$L233))),""),"")</f>
        <v/>
      </c>
      <c r="G233" s="123">
        <f>IFERROR(IF($L233&gt;0,IF(INDEX('Invullen groen'!$I:$I,$L233)=0,"",INT(INDEX('Invullen groen'!$I:$I,$L233))),""),"")</f>
        <v/>
      </c>
      <c r="H233" s="123">
        <f>IFERROR(IF($L233&gt;0,IF(INDEX('Invullen groen'!$J:$J,$L233)=0,"",INT(INDEX('Invullen groen'!$J:$J,$L233))),""),"")</f>
        <v/>
      </c>
      <c r="I233" s="123">
        <f>IFERROR(IF($L233&gt;0,IF(INDEX('Invullen groen'!$K:$K,$L233)=0,"",INT(INDEX('Invullen groen'!$K:$K,$L233))),""),"")</f>
        <v/>
      </c>
      <c r="J233">
        <f>IF($L233&gt;0,IFERROR($K$1&amp;" "&amp;TRIM(SUBSTITUTE(SUBSTITUTE(SUBSTITUTE(SUBSTITUTE(SUBSTITUTE(SUBSTITUTE(SUBSTITUTE(SUBSTITUTE(SUBSTITUTE(SUBSTITUTE(SUBSTITUTE(SUBSTITUTE(LOWER(INDEX('Invullen groen'!$O:$O,$L233)),"2024",""),"2025",""),"2026",""),"2027",""),"2028",""),"2029",""),"taakveld ",""),"installaties","inst"),"ruwbouw","ruwb"),"afbouw","afb"),"bijstelling","bijst"),"investeringen","invest")),""),"")</f>
        <v/>
      </c>
      <c r="L233">
        <f>IFERROR(MATCH(ROW()-104,'Invullen groen'!$S$121:$S$272,0)+120,0)</f>
        <v/>
      </c>
    </row>
    <row r="234" hidden="1" s="418">
      <c r="A234" s="124">
        <f>IF($L234&gt;0,"+","")</f>
        <v/>
      </c>
      <c r="B234">
        <f>IFERROR(IF($L234&gt;0,IF(INDEX('Invullen groen'!$F:$F,$L234)&gt;0,INDEX('Invullen groen'!$F:$F,$L234),""),""),"")</f>
        <v/>
      </c>
      <c r="C234">
        <f>IFERROR(IF($L234&gt;0,IF(INDEX('Invullen groen'!$N:$N,$L234)&gt;0,INDEX('Invullen groen'!$N:$N,$L234),""),""),"")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123">
        <f>IFERROR(IF($L234&gt;0,IF(INDEX('Invullen groen'!$H:$H,$L234)=0,"",INT(INDEX('Invullen groen'!$H:$H,$L234))),""),"")</f>
        <v/>
      </c>
      <c r="G234" s="123">
        <f>IFERROR(IF($L234&gt;0,IF(INDEX('Invullen groen'!$I:$I,$L234)=0,"",INT(INDEX('Invullen groen'!$I:$I,$L234))),""),"")</f>
        <v/>
      </c>
      <c r="H234" s="123">
        <f>IFERROR(IF($L234&gt;0,IF(INDEX('Invullen groen'!$J:$J,$L234)=0,"",INT(INDEX('Invullen groen'!$J:$J,$L234))),""),"")</f>
        <v/>
      </c>
      <c r="I234" s="123">
        <f>IFERROR(IF($L234&gt;0,IF(INDEX('Invullen groen'!$K:$K,$L234)=0,"",INT(INDEX('Invullen groen'!$K:$K,$L234))),""),"")</f>
        <v/>
      </c>
      <c r="J234">
        <f>IF($L234&gt;0,IFERROR($K$1&amp;" "&amp;TRIM(SUBSTITUTE(SUBSTITUTE(SUBSTITUTE(SUBSTITUTE(SUBSTITUTE(SUBSTITUTE(SUBSTITUTE(SUBSTITUTE(SUBSTITUTE(SUBSTITUTE(SUBSTITUTE(SUBSTITUTE(LOWER(INDEX('Invullen groen'!$O:$O,$L234)),"2024",""),"2025",""),"2026",""),"2027",""),"2028",""),"2029",""),"taakveld ",""),"installaties","inst"),"ruwbouw","ruwb"),"afbouw","afb"),"bijstelling","bijst"),"investeringen","invest")),""),"")</f>
        <v/>
      </c>
      <c r="L234">
        <f>IFERROR(MATCH(ROW()-104,'Invullen groen'!$S$121:$S$272,0)+120,0)</f>
        <v/>
      </c>
    </row>
    <row r="235" hidden="1" s="418">
      <c r="A235" s="124">
        <f>IF($L235&gt;0,"+","")</f>
        <v/>
      </c>
      <c r="B235">
        <f>IFERROR(IF($L235&gt;0,IF(INDEX('Invullen groen'!$F:$F,$L235)&gt;0,INDEX('Invullen groen'!$F:$F,$L235),""),""),"")</f>
        <v/>
      </c>
      <c r="C235">
        <f>IFERROR(IF($L235&gt;0,IF(INDEX('Invullen groen'!$N:$N,$L235)&gt;0,INDEX('Invullen groen'!$N:$N,$L235),""),""),"")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123">
        <f>IFERROR(IF($L235&gt;0,IF(INDEX('Invullen groen'!$H:$H,$L235)=0,"",INT(INDEX('Invullen groen'!$H:$H,$L235))),""),"")</f>
        <v/>
      </c>
      <c r="G235" s="123">
        <f>IFERROR(IF($L235&gt;0,IF(INDEX('Invullen groen'!$I:$I,$L235)=0,"",INT(INDEX('Invullen groen'!$I:$I,$L235))),""),"")</f>
        <v/>
      </c>
      <c r="H235" s="123">
        <f>IFERROR(IF($L235&gt;0,IF(INDEX('Invullen groen'!$J:$J,$L235)=0,"",INT(INDEX('Invullen groen'!$J:$J,$L235))),""),"")</f>
        <v/>
      </c>
      <c r="I235" s="123">
        <f>IFERROR(IF($L235&gt;0,IF(INDEX('Invullen groen'!$K:$K,$L235)=0,"",INT(INDEX('Invullen groen'!$K:$K,$L235))),""),"")</f>
        <v/>
      </c>
      <c r="J235">
        <f>IF($L235&gt;0,IFERROR($K$1&amp;" "&amp;TRIM(SUBSTITUTE(SUBSTITUTE(SUBSTITUTE(SUBSTITUTE(SUBSTITUTE(SUBSTITUTE(SUBSTITUTE(SUBSTITUTE(SUBSTITUTE(SUBSTITUTE(SUBSTITUTE(SUBSTITUTE(LOWER(INDEX('Invullen groen'!$O:$O,$L235)),"2024",""),"2025",""),"2026",""),"2027",""),"2028",""),"2029",""),"taakveld ",""),"installaties","inst"),"ruwbouw","ruwb"),"afbouw","afb"),"bijstelling","bijst"),"investeringen","invest")),""),"")</f>
        <v/>
      </c>
      <c r="L235">
        <f>IFERROR(MATCH(ROW()-104,'Invullen groen'!$S$121:$S$272,0)+120,0)</f>
        <v/>
      </c>
    </row>
    <row r="236" hidden="1" s="418">
      <c r="A236" s="124">
        <f>IF($L236&gt;0,"+","")</f>
        <v/>
      </c>
      <c r="B236">
        <f>IFERROR(IF($L236&gt;0,IF(INDEX('Invullen groen'!$F:$F,$L236)&gt;0,INDEX('Invullen groen'!$F:$F,$L236),""),""),"")</f>
        <v/>
      </c>
      <c r="C236">
        <f>IFERROR(IF($L236&gt;0,IF(INDEX('Invullen groen'!$N:$N,$L236)&gt;0,INDEX('Invullen groen'!$N:$N,$L236),""),""),"")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123">
        <f>IFERROR(IF($L236&gt;0,IF(INDEX('Invullen groen'!$H:$H,$L236)=0,"",INT(INDEX('Invullen groen'!$H:$H,$L236))),""),"")</f>
        <v/>
      </c>
      <c r="G236" s="123">
        <f>IFERROR(IF($L236&gt;0,IF(INDEX('Invullen groen'!$I:$I,$L236)=0,"",INT(INDEX('Invullen groen'!$I:$I,$L236))),""),"")</f>
        <v/>
      </c>
      <c r="H236" s="123">
        <f>IFERROR(IF($L236&gt;0,IF(INDEX('Invullen groen'!$J:$J,$L236)=0,"",INT(INDEX('Invullen groen'!$J:$J,$L236))),""),"")</f>
        <v/>
      </c>
      <c r="I236" s="123">
        <f>IFERROR(IF($L236&gt;0,IF(INDEX('Invullen groen'!$K:$K,$L236)=0,"",INT(INDEX('Invullen groen'!$K:$K,$L236))),""),"")</f>
        <v/>
      </c>
      <c r="J236">
        <f>IF($L236&gt;0,IFERROR($K$1&amp;" "&amp;TRIM(SUBSTITUTE(SUBSTITUTE(SUBSTITUTE(SUBSTITUTE(SUBSTITUTE(SUBSTITUTE(SUBSTITUTE(SUBSTITUTE(SUBSTITUTE(SUBSTITUTE(SUBSTITUTE(SUBSTITUTE(LOWER(INDEX('Invullen groen'!$O:$O,$L236)),"2024",""),"2025",""),"2026",""),"2027",""),"2028",""),"2029",""),"taakveld ",""),"installaties","inst"),"ruwbouw","ruwb"),"afbouw","afb"),"bijstelling","bijst"),"investeringen","invest")),""),"")</f>
        <v/>
      </c>
      <c r="L236">
        <f>IFERROR(MATCH(ROW()-104,'Invullen groen'!$S$121:$S$272,0)+120,0)</f>
        <v/>
      </c>
    </row>
    <row r="237" hidden="1" s="418">
      <c r="A237" s="124">
        <f>IF($L237&gt;0,"+","")</f>
        <v/>
      </c>
      <c r="B237">
        <f>IFERROR(IF($L237&gt;0,IF(INDEX('Invullen groen'!$F:$F,$L237)&gt;0,INDEX('Invullen groen'!$F:$F,$L237),""),""),"")</f>
        <v/>
      </c>
      <c r="C237">
        <f>IFERROR(IF($L237&gt;0,IF(INDEX('Invullen groen'!$N:$N,$L237)&gt;0,INDEX('Invullen groen'!$N:$N,$L237),""),""),"")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123">
        <f>IFERROR(IF($L237&gt;0,IF(INDEX('Invullen groen'!$H:$H,$L237)=0,"",INT(INDEX('Invullen groen'!$H:$H,$L237))),""),"")</f>
        <v/>
      </c>
      <c r="G237" s="123">
        <f>IFERROR(IF($L237&gt;0,IF(INDEX('Invullen groen'!$I:$I,$L237)=0,"",INT(INDEX('Invullen groen'!$I:$I,$L237))),""),"")</f>
        <v/>
      </c>
      <c r="H237" s="123">
        <f>IFERROR(IF($L237&gt;0,IF(INDEX('Invullen groen'!$J:$J,$L237)=0,"",INT(INDEX('Invullen groen'!$J:$J,$L237))),""),"")</f>
        <v/>
      </c>
      <c r="I237" s="123">
        <f>IFERROR(IF($L237&gt;0,IF(INDEX('Invullen groen'!$K:$K,$L237)=0,"",INT(INDEX('Invullen groen'!$K:$K,$L237))),""),"")</f>
        <v/>
      </c>
      <c r="J237">
        <f>IF($L237&gt;0,IFERROR($K$1&amp;" "&amp;TRIM(SUBSTITUTE(SUBSTITUTE(SUBSTITUTE(SUBSTITUTE(SUBSTITUTE(SUBSTITUTE(SUBSTITUTE(SUBSTITUTE(SUBSTITUTE(SUBSTITUTE(SUBSTITUTE(SUBSTITUTE(LOWER(INDEX('Invullen groen'!$O:$O,$L237)),"2024",""),"2025",""),"2026",""),"2027",""),"2028",""),"2029",""),"taakveld ",""),"installaties","inst"),"ruwbouw","ruwb"),"afbouw","afb"),"bijstelling","bijst"),"investeringen","invest")),""),"")</f>
        <v/>
      </c>
      <c r="L237">
        <f>IFERROR(MATCH(ROW()-104,'Invullen groen'!$S$121:$S$272,0)+120,0)</f>
        <v/>
      </c>
    </row>
    <row r="238" hidden="1" s="418">
      <c r="A238" s="124">
        <f>IF($L238&gt;0,"+","")</f>
        <v/>
      </c>
      <c r="B238">
        <f>IFERROR(IF($L238&gt;0,IF(INDEX('Invullen groen'!$F:$F,$L238)&gt;0,INDEX('Invullen groen'!$F:$F,$L238),""),""),"")</f>
        <v/>
      </c>
      <c r="C238">
        <f>IFERROR(IF($L238&gt;0,IF(INDEX('Invullen groen'!$N:$N,$L238)&gt;0,INDEX('Invullen groen'!$N:$N,$L238),""),""),"")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123">
        <f>IFERROR(IF($L238&gt;0,IF(INDEX('Invullen groen'!$H:$H,$L238)=0,"",INT(INDEX('Invullen groen'!$H:$H,$L238))),""),"")</f>
        <v/>
      </c>
      <c r="G238" s="123">
        <f>IFERROR(IF($L238&gt;0,IF(INDEX('Invullen groen'!$I:$I,$L238)=0,"",INT(INDEX('Invullen groen'!$I:$I,$L238))),""),"")</f>
        <v/>
      </c>
      <c r="H238" s="123">
        <f>IFERROR(IF($L238&gt;0,IF(INDEX('Invullen groen'!$J:$J,$L238)=0,"",INT(INDEX('Invullen groen'!$J:$J,$L238))),""),"")</f>
        <v/>
      </c>
      <c r="I238" s="123">
        <f>IFERROR(IF($L238&gt;0,IF(INDEX('Invullen groen'!$K:$K,$L238)=0,"",INT(INDEX('Invullen groen'!$K:$K,$L238))),""),"")</f>
        <v/>
      </c>
      <c r="J238">
        <f>IF($L238&gt;0,IFERROR($K$1&amp;" "&amp;TRIM(SUBSTITUTE(SUBSTITUTE(SUBSTITUTE(SUBSTITUTE(SUBSTITUTE(SUBSTITUTE(SUBSTITUTE(SUBSTITUTE(SUBSTITUTE(SUBSTITUTE(SUBSTITUTE(SUBSTITUTE(LOWER(INDEX('Invullen groen'!$O:$O,$L238)),"2024",""),"2025",""),"2026",""),"2027",""),"2028",""),"2029",""),"taakveld ",""),"installaties","inst"),"ruwbouw","ruwb"),"afbouw","afb"),"bijstelling","bijst"),"investeringen","invest")),""),"")</f>
        <v/>
      </c>
      <c r="L238">
        <f>IFERROR(MATCH(ROW()-104,'Invullen groen'!$S$121:$S$272,0)+120,0)</f>
        <v/>
      </c>
    </row>
    <row r="239" hidden="1" s="418">
      <c r="A239" s="124">
        <f>IF($L239&gt;0,"+","")</f>
        <v/>
      </c>
      <c r="B239">
        <f>IFERROR(IF($L239&gt;0,IF(INDEX('Invullen groen'!$F:$F,$L239)&gt;0,INDEX('Invullen groen'!$F:$F,$L239),""),""),"")</f>
        <v/>
      </c>
      <c r="C239">
        <f>IFERROR(IF($L239&gt;0,IF(INDEX('Invullen groen'!$N:$N,$L239)&gt;0,INDEX('Invullen groen'!$N:$N,$L239),""),""),"")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123">
        <f>IFERROR(IF($L239&gt;0,IF(INDEX('Invullen groen'!$H:$H,$L239)=0,"",INT(INDEX('Invullen groen'!$H:$H,$L239))),""),"")</f>
        <v/>
      </c>
      <c r="G239" s="123">
        <f>IFERROR(IF($L239&gt;0,IF(INDEX('Invullen groen'!$I:$I,$L239)=0,"",INT(INDEX('Invullen groen'!$I:$I,$L239))),""),"")</f>
        <v/>
      </c>
      <c r="H239" s="123">
        <f>IFERROR(IF($L239&gt;0,IF(INDEX('Invullen groen'!$J:$J,$L239)=0,"",INT(INDEX('Invullen groen'!$J:$J,$L239))),""),"")</f>
        <v/>
      </c>
      <c r="I239" s="123">
        <f>IFERROR(IF($L239&gt;0,IF(INDEX('Invullen groen'!$K:$K,$L239)=0,"",INT(INDEX('Invullen groen'!$K:$K,$L239))),""),"")</f>
        <v/>
      </c>
      <c r="J239">
        <f>IF($L239&gt;0,IFERROR($K$1&amp;" "&amp;TRIM(SUBSTITUTE(SUBSTITUTE(SUBSTITUTE(SUBSTITUTE(SUBSTITUTE(SUBSTITUTE(SUBSTITUTE(SUBSTITUTE(SUBSTITUTE(SUBSTITUTE(SUBSTITUTE(SUBSTITUTE(LOWER(INDEX('Invullen groen'!$O:$O,$L239)),"2024",""),"2025",""),"2026",""),"2027",""),"2028",""),"2029",""),"taakveld ",""),"installaties","inst"),"ruwbouw","ruwb"),"afbouw","afb"),"bijstelling","bijst"),"investeringen","invest")),""),"")</f>
        <v/>
      </c>
      <c r="L239">
        <f>IFERROR(MATCH(ROW()-104,'Invullen groen'!$S$121:$S$272,0)+120,0)</f>
        <v/>
      </c>
    </row>
    <row r="240">
      <c r="A240" s="124">
        <f>IF($L240&gt;0,"+","")</f>
        <v/>
      </c>
      <c r="B240">
        <f>IFERROR(IF($L240&gt;0,IF(INDEX('Invullen groen'!$F:$F,$L240)&gt;0,INDEX('Invullen groen'!$F:$F,$L240),""),""),"")</f>
        <v/>
      </c>
      <c r="C240">
        <f>IFERROR(IF($L240&gt;0,IF(INDEX('Invullen groen'!$N:$N,$L240)&gt;0,INDEX('Invullen groen'!$N:$N,$L240),""),""),"")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123">
        <f>IFERROR(IF($L240&gt;0,IF(INDEX('Invullen groen'!$H:$H,$L240)=0,"",INT(INDEX('Invullen groen'!$H:$H,$L240))),""),"")</f>
        <v/>
      </c>
      <c r="G240" s="123">
        <f>IFERROR(IF($L240&gt;0,IF(INDEX('Invullen groen'!$I:$I,$L240)=0,"",INT(INDEX('Invullen groen'!$I:$I,$L240))),""),"")</f>
        <v/>
      </c>
      <c r="H240" s="123">
        <f>IFERROR(IF($L240&gt;0,IF(INDEX('Invullen groen'!$J:$J,$L240)=0,"",INT(INDEX('Invullen groen'!$J:$J,$L240))),""),"")</f>
        <v/>
      </c>
      <c r="I240" s="123">
        <f>IFERROR(IF($L240&gt;0,IF(INDEX('Invullen groen'!$K:$K,$L240)=0,"",INT(INDEX('Invullen groen'!$K:$K,$L240))),""),"")</f>
        <v/>
      </c>
      <c r="J240">
        <f>IF($L240&gt;0,IFERROR($K$1&amp;" "&amp;TRIM(SUBSTITUTE(SUBSTITUTE(SUBSTITUTE(SUBSTITUTE(SUBSTITUTE(SUBSTITUTE(SUBSTITUTE(SUBSTITUTE(SUBSTITUTE(SUBSTITUTE(SUBSTITUTE(SUBSTITUTE(LOWER(INDEX('Invullen groen'!$O:$O,$L240)),"2024",""),"2025",""),"2026",""),"2027",""),"2028",""),"2029",""),"taakveld ",""),"installaties","inst"),"ruwbouw","ruwb"),"afbouw","afb"),"bijstelling","bijst"),"investeringen","invest")),""),"")</f>
        <v/>
      </c>
      <c r="L240">
        <f>IFERROR(MATCH(ROW()-104,'Invullen groen'!$S$121:$S$272,0)+120,0)</f>
        <v/>
      </c>
    </row>
    <row r="241">
      <c r="A241" s="124">
        <f>IF($L241&gt;0,"+","")</f>
        <v/>
      </c>
      <c r="B241">
        <f>IFERROR(IF($L241&gt;0,IF(INDEX('Invullen groen'!$F:$F,$L241)&gt;0,INDEX('Invullen groen'!$F:$F,$L241),""),""),"")</f>
        <v/>
      </c>
      <c r="C241">
        <f>IFERROR(IF($L241&gt;0,IF(INDEX('Invullen groen'!$N:$N,$L241)&gt;0,INDEX('Invullen groen'!$N:$N,$L241),""),""),"")</f>
        <v/>
      </c>
      <c r="E241">
        <f>IFERROR(IF(LEN(J241)&lt;=36,J241,IFERROR(LEFT(J241,FIND(CHAR(1),SUBSTITUTE(LEFT(J241,36)," ",CHAR(1),LEN(LEFT(J241,36))-LEN(SUBSTITUTE(LEFT(J241,36)," ",""))))-1),LEFT(J241,36))),"")</f>
        <v/>
      </c>
      <c r="F241" s="123">
        <f>IFERROR(IF($L241&gt;0,IF(INDEX('Invullen groen'!$H:$H,$L241)=0,"",INT(INDEX('Invullen groen'!$H:$H,$L241))),""),"")</f>
        <v/>
      </c>
      <c r="G241" s="123">
        <f>IFERROR(IF($L241&gt;0,IF(INDEX('Invullen groen'!$I:$I,$L241)=0,"",INT(INDEX('Invullen groen'!$I:$I,$L241))),""),"")</f>
        <v/>
      </c>
      <c r="H241" s="123">
        <f>IFERROR(IF($L241&gt;0,IF(INDEX('Invullen groen'!$J:$J,$L241)=0,"",INT(INDEX('Invullen groen'!$J:$J,$L241))),""),"")</f>
        <v/>
      </c>
      <c r="I241" s="123">
        <f>IFERROR(IF($L241&gt;0,IF(INDEX('Invullen groen'!$K:$K,$L241)=0,"",INT(INDEX('Invullen groen'!$K:$K,$L241))),""),"")</f>
        <v/>
      </c>
      <c r="J241">
        <f>IF($L241&gt;0,IFERROR($K$1&amp;" "&amp;TRIM(SUBSTITUTE(SUBSTITUTE(SUBSTITUTE(SUBSTITUTE(SUBSTITUTE(SUBSTITUTE(SUBSTITUTE(SUBSTITUTE(SUBSTITUTE(SUBSTITUTE(SUBSTITUTE(SUBSTITUTE(LOWER(INDEX('Invullen groen'!$O:$O,$L241)),"2024",""),"2025",""),"2026",""),"2027",""),"2028",""),"2029",""),"taakveld ",""),"installaties","inst"),"ruwbouw","ruwb"),"afbouw","afb"),"bijstelling","bijst"),"investeringen","invest")),""),"")</f>
        <v/>
      </c>
      <c r="L241">
        <f>IFERROR(MATCH(ROW()-104,'Invullen groen'!$S$121:$S$272,0)+120,0)</f>
        <v/>
      </c>
    </row>
    <row r="242">
      <c r="A242" s="124">
        <f>IF($L242&gt;0,"+","")</f>
        <v/>
      </c>
      <c r="B242">
        <f>IFERROR(IF($L242&gt;0,IF(INDEX('Invullen groen'!$F:$F,$L242)&gt;0,INDEX('Invullen groen'!$F:$F,$L242),""),""),"")</f>
        <v/>
      </c>
      <c r="C242">
        <f>IFERROR(IF($L242&gt;0,IF(INDEX('Invullen groen'!$N:$N,$L242)&gt;0,INDEX('Invullen groen'!$N:$N,$L242),""),""),"")</f>
        <v/>
      </c>
      <c r="E242">
        <f>IFERROR(IF(LEN(J242)&lt;=36,J242,IFERROR(LEFT(J242,FIND(CHAR(1),SUBSTITUTE(LEFT(J242,36)," ",CHAR(1),LEN(LEFT(J242,36))-LEN(SUBSTITUTE(LEFT(J242,36)," ",""))))-1),LEFT(J242,36))),"")</f>
        <v/>
      </c>
      <c r="F242">
        <f>IFERROR(IF($L242&gt;0,IF(INDEX('Invullen groen'!$H:$H,$L242)=0,"",INT(INDEX('Invullen groen'!$H:$H,$L242))),""),"")</f>
        <v/>
      </c>
      <c r="G242">
        <f>IFERROR(IF($L242&gt;0,IF(INDEX('Invullen groen'!$I:$I,$L242)=0,"",INT(INDEX('Invullen groen'!$I:$I,$L242))),""),"")</f>
        <v/>
      </c>
      <c r="H242">
        <f>IFERROR(IF($L242&gt;0,IF(INDEX('Invullen groen'!$J:$J,$L242)=0,"",INT(INDEX('Invullen groen'!$J:$J,$L242))),""),"")</f>
        <v/>
      </c>
      <c r="I242">
        <f>IFERROR(IF($L242&gt;0,IF(INDEX('Invullen groen'!$K:$K,$L242)=0,"",INT(INDEX('Invullen groen'!$K:$K,$L242))),""),"")</f>
        <v/>
      </c>
      <c r="J242">
        <f>IF($L242&gt;0,IFERROR($K$1&amp;" "&amp;TRIM(SUBSTITUTE(SUBSTITUTE(SUBSTITUTE(SUBSTITUTE(SUBSTITUTE(SUBSTITUTE(SUBSTITUTE(SUBSTITUTE(SUBSTITUTE(SUBSTITUTE(SUBSTITUTE(SUBSTITUTE(LOWER(INDEX('Invullen groen'!$O:$O,$L242)),"2024",""),"2025",""),"2026",""),"2027",""),"2028",""),"2029",""),"taakveld ",""),"installaties","inst"),"ruwbouw","ruwb"),"afbouw","afb"),"bijstelling","bijst"),"investeringen","invest")),""),"")</f>
        <v/>
      </c>
      <c r="L242">
        <f>IFERROR(MATCH(ROW()-104,'Invullen groen'!$S$121:$S$272,0)+120,0)</f>
        <v/>
      </c>
    </row>
    <row r="243">
      <c r="A243" s="124">
        <f>IF($L243&gt;0,"+","")</f>
        <v/>
      </c>
      <c r="B243">
        <f>IFERROR(IF($L243&gt;0,IF(INDEX('Invullen groen'!$F:$F,$L243)&gt;0,INDEX('Invullen groen'!$F:$F,$L243),""),""),"")</f>
        <v/>
      </c>
      <c r="C243">
        <f>IFERROR(IF($L243&gt;0,IF(INDEX('Invullen groen'!$N:$N,$L243)&gt;0,INDEX('Invullen groen'!$N:$N,$L243),""),""),"")</f>
        <v/>
      </c>
      <c r="E243">
        <f>IFERROR(IF(LEN(J243)&lt;=36,J243,IFERROR(LEFT(J243,FIND(CHAR(1),SUBSTITUTE(LEFT(J243,36)," ",CHAR(1),LEN(LEFT(J243,36))-LEN(SUBSTITUTE(LEFT(J243,36)," ",""))))-1),LEFT(J243,36))),"")</f>
        <v/>
      </c>
      <c r="F243">
        <f>IFERROR(IF($L243&gt;0,IF(INDEX('Invullen groen'!$H:$H,$L243)=0,"",INT(INDEX('Invullen groen'!$H:$H,$L243))),""),"")</f>
        <v/>
      </c>
      <c r="G243">
        <f>IFERROR(IF($L243&gt;0,IF(INDEX('Invullen groen'!$I:$I,$L243)=0,"",INT(INDEX('Invullen groen'!$I:$I,$L243))),""),"")</f>
        <v/>
      </c>
      <c r="H243">
        <f>IFERROR(IF($L243&gt;0,IF(INDEX('Invullen groen'!$J:$J,$L243)=0,"",INT(INDEX('Invullen groen'!$J:$J,$L243))),""),"")</f>
        <v/>
      </c>
      <c r="I243">
        <f>IFERROR(IF($L243&gt;0,IF(INDEX('Invullen groen'!$K:$K,$L243)=0,"",INT(INDEX('Invullen groen'!$K:$K,$L243))),""),"")</f>
        <v/>
      </c>
      <c r="J243">
        <f>IF($L243&gt;0,IFERROR($K$1&amp;" "&amp;TRIM(SUBSTITUTE(SUBSTITUTE(SUBSTITUTE(SUBSTITUTE(SUBSTITUTE(SUBSTITUTE(SUBSTITUTE(SUBSTITUTE(SUBSTITUTE(SUBSTITUTE(SUBSTITUTE(SUBSTITUTE(LOWER(INDEX('Invullen groen'!$O:$O,$L243)),"2024",""),"2025",""),"2026",""),"2027",""),"2028",""),"2029",""),"taakveld ",""),"installaties","inst"),"ruwbouw","ruwb"),"afbouw","afb"),"bijstelling","bijst"),"investeringen","invest")),""),"")</f>
        <v/>
      </c>
      <c r="L243">
        <f>IFERROR(MATCH(ROW()-104,'Invullen groen'!$S$121:$S$272,0)+120,0)</f>
        <v/>
      </c>
    </row>
    <row r="244">
      <c r="A244" s="124">
        <f>IF($L244&gt;0,"+","")</f>
        <v/>
      </c>
      <c r="B244">
        <f>IFERROR(IF($L244&gt;0,IF(INDEX('Invullen groen'!$F:$F,$L244)&gt;0,INDEX('Invullen groen'!$F:$F,$L244),""),""),"")</f>
        <v/>
      </c>
      <c r="C244">
        <f>IFERROR(IF($L244&gt;0,IF(INDEX('Invullen groen'!$N:$N,$L244)&gt;0,INDEX('Invullen groen'!$N:$N,$L244),""),""),"")</f>
        <v/>
      </c>
      <c r="E244">
        <f>IFERROR(IF(LEN(J244)&lt;=36,J244,IFERROR(LEFT(J244,FIND(CHAR(1),SUBSTITUTE(LEFT(J244,36)," ",CHAR(1),LEN(LEFT(J244,36))-LEN(SUBSTITUTE(LEFT(J244,36)," ",""))))-1),LEFT(J244,36))),"")</f>
        <v/>
      </c>
      <c r="F244">
        <f>IFERROR(IF($L244&gt;0,IF(INDEX('Invullen groen'!$H:$H,$L244)=0,"",INT(INDEX('Invullen groen'!$H:$H,$L244))),""),"")</f>
        <v/>
      </c>
      <c r="G244">
        <f>IFERROR(IF($L244&gt;0,IF(INDEX('Invullen groen'!$I:$I,$L244)=0,"",INT(INDEX('Invullen groen'!$I:$I,$L244))),""),"")</f>
        <v/>
      </c>
      <c r="H244">
        <f>IFERROR(IF($L244&gt;0,IF(INDEX('Invullen groen'!$J:$J,$L244)=0,"",INT(INDEX('Invullen groen'!$J:$J,$L244))),""),"")</f>
        <v/>
      </c>
      <c r="I244">
        <f>IFERROR(IF($L244&gt;0,IF(INDEX('Invullen groen'!$K:$K,$L244)=0,"",INT(INDEX('Invullen groen'!$K:$K,$L244))),""),"")</f>
        <v/>
      </c>
      <c r="J244">
        <f>IF($L244&gt;0,IFERROR($K$1&amp;" "&amp;TRIM(SUBSTITUTE(SUBSTITUTE(SUBSTITUTE(SUBSTITUTE(SUBSTITUTE(SUBSTITUTE(SUBSTITUTE(SUBSTITUTE(SUBSTITUTE(SUBSTITUTE(SUBSTITUTE(SUBSTITUTE(LOWER(INDEX('Invullen groen'!$O:$O,$L244)),"2024",""),"2025",""),"2026",""),"2027",""),"2028",""),"2029",""),"taakveld ",""),"installaties","inst"),"ruwbouw","ruwb"),"afbouw","afb"),"bijstelling","bijst"),"investeringen","invest")),""),"")</f>
        <v/>
      </c>
      <c r="L244">
        <f>IFERROR(MATCH(ROW()-104,'Invullen groen'!$S$121:$S$272,0)+120,0)</f>
        <v/>
      </c>
    </row>
    <row r="245">
      <c r="A245" s="124">
        <f>IF($L245&gt;0,"+","")</f>
        <v/>
      </c>
      <c r="B245">
        <f>IFERROR(IF($L245&gt;0,IF(INDEX('Invullen groen'!$F:$F,$L245)&gt;0,INDEX('Invullen groen'!$F:$F,$L245),""),""),"")</f>
        <v/>
      </c>
      <c r="C245">
        <f>IFERROR(IF($L245&gt;0,IF(INDEX('Invullen groen'!$N:$N,$L245)&gt;0,INDEX('Invullen groen'!$N:$N,$L245),""),""),"")</f>
        <v/>
      </c>
      <c r="E245">
        <f>IFERROR(IF(LEN(J245)&lt;=36,J245,IFERROR(LEFT(J245,FIND(CHAR(1),SUBSTITUTE(LEFT(J245,36)," ",CHAR(1),LEN(LEFT(J245,36))-LEN(SUBSTITUTE(LEFT(J245,36)," ",""))))-1),LEFT(J245,36))),"")</f>
        <v/>
      </c>
      <c r="F245">
        <f>IFERROR(IF($L245&gt;0,IF(INDEX('Invullen groen'!$H:$H,$L245)=0,"",INT(INDEX('Invullen groen'!$H:$H,$L245))),""),"")</f>
        <v/>
      </c>
      <c r="G245">
        <f>IFERROR(IF($L245&gt;0,IF(INDEX('Invullen groen'!$I:$I,$L245)=0,"",INT(INDEX('Invullen groen'!$I:$I,$L245))),""),"")</f>
        <v/>
      </c>
      <c r="H245">
        <f>IFERROR(IF($L245&gt;0,IF(INDEX('Invullen groen'!$J:$J,$L245)=0,"",INT(INDEX('Invullen groen'!$J:$J,$L245))),""),"")</f>
        <v/>
      </c>
      <c r="I245">
        <f>IFERROR(IF($L245&gt;0,IF(INDEX('Invullen groen'!$K:$K,$L245)=0,"",INT(INDEX('Invullen groen'!$K:$K,$L245))),""),"")</f>
        <v/>
      </c>
      <c r="J245">
        <f>IF($L245&gt;0,IFERROR($K$1&amp;" "&amp;TRIM(SUBSTITUTE(SUBSTITUTE(SUBSTITUTE(SUBSTITUTE(SUBSTITUTE(SUBSTITUTE(SUBSTITUTE(SUBSTITUTE(SUBSTITUTE(SUBSTITUTE(SUBSTITUTE(SUBSTITUTE(LOWER(INDEX('Invullen groen'!$O:$O,$L245)),"2024",""),"2025",""),"2026",""),"2027",""),"2028",""),"2029",""),"taakveld ",""),"installaties","inst"),"ruwbouw","ruwb"),"afbouw","afb"),"bijstelling","bijst"),"investeringen","invest")),""),"")</f>
        <v/>
      </c>
      <c r="L245">
        <f>IFERROR(MATCH(ROW()-104,'Invullen groen'!$S$121:$S$272,0)+120,0)</f>
        <v/>
      </c>
    </row>
    <row r="246">
      <c r="A246" s="124">
        <f>IF($L246&gt;0,"+","")</f>
        <v/>
      </c>
      <c r="B246">
        <f>IFERROR(IF($L246&gt;0,IF(INDEX('Invullen groen'!$F:$F,$L246)&gt;0,INDEX('Invullen groen'!$F:$F,$L246),""),""),"")</f>
        <v/>
      </c>
      <c r="C246">
        <f>IFERROR(IF($L246&gt;0,IF(INDEX('Invullen groen'!$N:$N,$L246)&gt;0,INDEX('Invullen groen'!$N:$N,$L246),""),""),"")</f>
        <v/>
      </c>
      <c r="E246">
        <f>IFERROR(IF(LEN(J246)&lt;=36,J246,IFERROR(LEFT(J246,FIND(CHAR(1),SUBSTITUTE(LEFT(J246,36)," ",CHAR(1),LEN(LEFT(J246,36))-LEN(SUBSTITUTE(LEFT(J246,36)," ",""))))-1),LEFT(J246,36))),"")</f>
        <v/>
      </c>
      <c r="F246">
        <f>IFERROR(IF($L246&gt;0,IF(INDEX('Invullen groen'!$H:$H,$L246)=0,"",INT(INDEX('Invullen groen'!$H:$H,$L246))),""),"")</f>
        <v/>
      </c>
      <c r="G246">
        <f>IFERROR(IF($L246&gt;0,IF(INDEX('Invullen groen'!$I:$I,$L246)=0,"",INT(INDEX('Invullen groen'!$I:$I,$L246))),""),"")</f>
        <v/>
      </c>
      <c r="H246">
        <f>IFERROR(IF($L246&gt;0,IF(INDEX('Invullen groen'!$J:$J,$L246)=0,"",INT(INDEX('Invullen groen'!$J:$J,$L246))),""),"")</f>
        <v/>
      </c>
      <c r="I246">
        <f>IFERROR(IF($L246&gt;0,IF(INDEX('Invullen groen'!$K:$K,$L246)=0,"",INT(INDEX('Invullen groen'!$K:$K,$L246))),""),"")</f>
        <v/>
      </c>
      <c r="J246">
        <f>IF($L246&gt;0,IFERROR($K$1&amp;" "&amp;TRIM(SUBSTITUTE(SUBSTITUTE(SUBSTITUTE(SUBSTITUTE(SUBSTITUTE(SUBSTITUTE(SUBSTITUTE(SUBSTITUTE(SUBSTITUTE(SUBSTITUTE(SUBSTITUTE(SUBSTITUTE(LOWER(INDEX('Invullen groen'!$O:$O,$L246)),"2024",""),"2025",""),"2026",""),"2027",""),"2028",""),"2029",""),"taakveld ",""),"installaties","inst"),"ruwbouw","ruwb"),"afbouw","afb"),"bijstelling","bijst"),"investeringen","invest")),""),"")</f>
        <v/>
      </c>
      <c r="L246">
        <f>IFERROR(MATCH(ROW()-104,'Invullen groen'!$S$121:$S$272,0)+120,0)</f>
        <v/>
      </c>
    </row>
    <row r="247">
      <c r="A247" s="124">
        <f>IF($L247&gt;0,"+","")</f>
        <v/>
      </c>
      <c r="B247">
        <f>IFERROR(IF($L247&gt;0,IF(INDEX('Invullen groen'!$F:$F,$L247)&gt;0,INDEX('Invullen groen'!$F:$F,$L247),""),""),"")</f>
        <v/>
      </c>
      <c r="C247">
        <f>IFERROR(IF($L247&gt;0,IF(INDEX('Invullen groen'!$N:$N,$L247)&gt;0,INDEX('Invullen groen'!$N:$N,$L247),""),""),"")</f>
        <v/>
      </c>
      <c r="E247">
        <f>IFERROR(IF(LEN(J247)&lt;=36,J247,IFERROR(LEFT(J247,FIND(CHAR(1),SUBSTITUTE(LEFT(J247,36)," ",CHAR(1),LEN(LEFT(J247,36))-LEN(SUBSTITUTE(LEFT(J247,36)," ",""))))-1),LEFT(J247,36))),"")</f>
        <v/>
      </c>
      <c r="F247">
        <f>IFERROR(IF($L247&gt;0,IF(INDEX('Invullen groen'!$H:$H,$L247)=0,"",INT(INDEX('Invullen groen'!$H:$H,$L247))),""),"")</f>
        <v/>
      </c>
      <c r="G247">
        <f>IFERROR(IF($L247&gt;0,IF(INDEX('Invullen groen'!$I:$I,$L247)=0,"",INT(INDEX('Invullen groen'!$I:$I,$L247))),""),"")</f>
        <v/>
      </c>
      <c r="H247">
        <f>IFERROR(IF($L247&gt;0,IF(INDEX('Invullen groen'!$J:$J,$L247)=0,"",INT(INDEX('Invullen groen'!$J:$J,$L247))),""),"")</f>
        <v/>
      </c>
      <c r="I247">
        <f>IFERROR(IF($L247&gt;0,IF(INDEX('Invullen groen'!$K:$K,$L247)=0,"",INT(INDEX('Invullen groen'!$K:$K,$L247))),""),"")</f>
        <v/>
      </c>
      <c r="J247">
        <f>IF($L247&gt;0,IFERROR($K$1&amp;" "&amp;TRIM(SUBSTITUTE(SUBSTITUTE(SUBSTITUTE(SUBSTITUTE(SUBSTITUTE(SUBSTITUTE(SUBSTITUTE(SUBSTITUTE(SUBSTITUTE(SUBSTITUTE(SUBSTITUTE(SUBSTITUTE(LOWER(INDEX('Invullen groen'!$O:$O,$L247)),"2024",""),"2025",""),"2026",""),"2027",""),"2028",""),"2029",""),"taakveld ",""),"installaties","inst"),"ruwbouw","ruwb"),"afbouw","afb"),"bijstelling","bijst"),"investeringen","invest")),""),"")</f>
        <v/>
      </c>
      <c r="L247">
        <f>IFERROR(MATCH(ROW()-104,'Invullen groen'!$S$121:$S$272,0)+120,0)</f>
        <v/>
      </c>
    </row>
    <row r="248">
      <c r="A248" s="124">
        <f>IF($L248&gt;0,"+","")</f>
        <v/>
      </c>
      <c r="B248">
        <f>IFERROR(IF($L248&gt;0,IF(INDEX('Invullen groen'!$F:$F,$L248)&gt;0,INDEX('Invullen groen'!$F:$F,$L248),""),""),"")</f>
        <v/>
      </c>
      <c r="C248">
        <f>IFERROR(IF($L248&gt;0,IF(INDEX('Invullen groen'!$N:$N,$L248)&gt;0,INDEX('Invullen groen'!$N:$N,$L248),""),""),"")</f>
        <v/>
      </c>
      <c r="E248">
        <f>IFERROR(IF(LEN(J248)&lt;=36,J248,IFERROR(LEFT(J248,FIND(CHAR(1),SUBSTITUTE(LEFT(J248,36)," ",CHAR(1),LEN(LEFT(J248,36))-LEN(SUBSTITUTE(LEFT(J248,36)," ",""))))-1),LEFT(J248,36))),"")</f>
        <v/>
      </c>
      <c r="F248">
        <f>IFERROR(IF($L248&gt;0,IF(INDEX('Invullen groen'!$H:$H,$L248)=0,"",INT(INDEX('Invullen groen'!$H:$H,$L248))),""),"")</f>
        <v/>
      </c>
      <c r="G248">
        <f>IFERROR(IF($L248&gt;0,IF(INDEX('Invullen groen'!$I:$I,$L248)=0,"",INT(INDEX('Invullen groen'!$I:$I,$L248))),""),"")</f>
        <v/>
      </c>
      <c r="H248">
        <f>IFERROR(IF($L248&gt;0,IF(INDEX('Invullen groen'!$J:$J,$L248)=0,"",INT(INDEX('Invullen groen'!$J:$J,$L248))),""),"")</f>
        <v/>
      </c>
      <c r="I248">
        <f>IFERROR(IF($L248&gt;0,IF(INDEX('Invullen groen'!$K:$K,$L248)=0,"",INT(INDEX('Invullen groen'!$K:$K,$L248))),""),"")</f>
        <v/>
      </c>
      <c r="J248">
        <f>IF($L248&gt;0,IFERROR($K$1&amp;" "&amp;TRIM(SUBSTITUTE(SUBSTITUTE(SUBSTITUTE(SUBSTITUTE(SUBSTITUTE(SUBSTITUTE(SUBSTITUTE(SUBSTITUTE(SUBSTITUTE(SUBSTITUTE(SUBSTITUTE(SUBSTITUTE(LOWER(INDEX('Invullen groen'!$O:$O,$L248)),"2024",""),"2025",""),"2026",""),"2027",""),"2028",""),"2029",""),"taakveld ",""),"installaties","inst"),"ruwbouw","ruwb"),"afbouw","afb"),"bijstelling","bijst"),"investeringen","invest")),""),"")</f>
        <v/>
      </c>
      <c r="L248">
        <f>IFERROR(MATCH(ROW()-104,'Invullen groen'!$S$121:$S$272,0)+120,0)</f>
        <v/>
      </c>
    </row>
    <row r="249">
      <c r="A249" s="124">
        <f>IF($L249&gt;0,"+","")</f>
        <v/>
      </c>
      <c r="B249">
        <f>IFERROR(IF($L249&gt;0,IF(INDEX('Invullen groen'!$F:$F,$L249)&gt;0,INDEX('Invullen groen'!$F:$F,$L249),""),""),"")</f>
        <v/>
      </c>
      <c r="C249">
        <f>IFERROR(IF($L249&gt;0,IF(INDEX('Invullen groen'!$N:$N,$L249)&gt;0,INDEX('Invullen groen'!$N:$N,$L249),""),""),"")</f>
        <v/>
      </c>
      <c r="E249">
        <f>IFERROR(IF(LEN(J249)&lt;=36,J249,IFERROR(LEFT(J249,FIND(CHAR(1),SUBSTITUTE(LEFT(J249,36)," ",CHAR(1),LEN(LEFT(J249,36))-LEN(SUBSTITUTE(LEFT(J249,36)," ",""))))-1),LEFT(J249,36))),"")</f>
        <v/>
      </c>
      <c r="F249">
        <f>IFERROR(IF($L249&gt;0,IF(INDEX('Invullen groen'!$H:$H,$L249)=0,"",INT(INDEX('Invullen groen'!$H:$H,$L249))),""),"")</f>
        <v/>
      </c>
      <c r="G249">
        <f>IFERROR(IF($L249&gt;0,IF(INDEX('Invullen groen'!$I:$I,$L249)=0,"",INT(INDEX('Invullen groen'!$I:$I,$L249))),""),"")</f>
        <v/>
      </c>
      <c r="H249">
        <f>IFERROR(IF($L249&gt;0,IF(INDEX('Invullen groen'!$J:$J,$L249)=0,"",INT(INDEX('Invullen groen'!$J:$J,$L249))),""),"")</f>
        <v/>
      </c>
      <c r="I249">
        <f>IFERROR(IF($L249&gt;0,IF(INDEX('Invullen groen'!$K:$K,$L249)=0,"",INT(INDEX('Invullen groen'!$K:$K,$L249))),""),"")</f>
        <v/>
      </c>
      <c r="J249">
        <f>IF($L249&gt;0,IFERROR($K$1&amp;" "&amp;TRIM(SUBSTITUTE(SUBSTITUTE(SUBSTITUTE(SUBSTITUTE(SUBSTITUTE(SUBSTITUTE(SUBSTITUTE(SUBSTITUTE(SUBSTITUTE(SUBSTITUTE(SUBSTITUTE(SUBSTITUTE(LOWER(INDEX('Invullen groen'!$O:$O,$L249)),"2024",""),"2025",""),"2026",""),"2027",""),"2028",""),"2029",""),"taakveld ",""),"installaties","inst"),"ruwbouw","ruwb"),"afbouw","afb"),"bijstelling","bijst"),"investeringen","invest")),""),"")</f>
        <v/>
      </c>
      <c r="L249">
        <f>IFERROR(MATCH(ROW()-104,'Invullen groen'!$S$121:$S$272,0)+120,0)</f>
        <v/>
      </c>
    </row>
    <row r="250">
      <c r="A250" s="124">
        <f>IF($L250&gt;0,"+","")</f>
        <v/>
      </c>
      <c r="B250">
        <f>IFERROR(IF($L250&gt;0,IF(INDEX('Invullen groen'!$F:$F,$L250)&gt;0,INDEX('Invullen groen'!$F:$F,$L250),""),""),"")</f>
        <v/>
      </c>
      <c r="C250">
        <f>IFERROR(IF($L250&gt;0,IF(INDEX('Invullen groen'!$N:$N,$L250)&gt;0,INDEX('Invullen groen'!$N:$N,$L250),""),""),"")</f>
        <v/>
      </c>
      <c r="E250">
        <f>IFERROR(IF(LEN(J250)&lt;=36,J250,IFERROR(LEFT(J250,FIND(CHAR(1),SUBSTITUTE(LEFT(J250,36)," ",CHAR(1),LEN(LEFT(J250,36))-LEN(SUBSTITUTE(LEFT(J250,36)," ",""))))-1),LEFT(J250,36))),"")</f>
        <v/>
      </c>
      <c r="F250">
        <f>IFERROR(IF($L250&gt;0,IF(INDEX('Invullen groen'!$H:$H,$L250)=0,"",INT(INDEX('Invullen groen'!$H:$H,$L250))),""),"")</f>
        <v/>
      </c>
      <c r="G250">
        <f>IFERROR(IF($L250&gt;0,IF(INDEX('Invullen groen'!$I:$I,$L250)=0,"",INT(INDEX('Invullen groen'!$I:$I,$L250))),""),"")</f>
        <v/>
      </c>
      <c r="H250">
        <f>IFERROR(IF($L250&gt;0,IF(INDEX('Invullen groen'!$J:$J,$L250)=0,"",INT(INDEX('Invullen groen'!$J:$J,$L250))),""),"")</f>
        <v/>
      </c>
      <c r="I250">
        <f>IFERROR(IF($L250&gt;0,IF(INDEX('Invullen groen'!$K:$K,$L250)=0,"",INT(INDEX('Invullen groen'!$K:$K,$L250))),""),"")</f>
        <v/>
      </c>
      <c r="J250">
        <f>IF($L250&gt;0,IFERROR($K$1&amp;" "&amp;TRIM(SUBSTITUTE(SUBSTITUTE(SUBSTITUTE(SUBSTITUTE(SUBSTITUTE(SUBSTITUTE(SUBSTITUTE(SUBSTITUTE(SUBSTITUTE(SUBSTITUTE(SUBSTITUTE(SUBSTITUTE(LOWER(INDEX('Invullen groen'!$O:$O,$L250)),"2024",""),"2025",""),"2026",""),"2027",""),"2028",""),"2029",""),"taakveld ",""),"installaties","inst"),"ruwbouw","ruwb"),"afbouw","afb"),"bijstelling","bijst"),"investeringen","invest")),""),"")</f>
        <v/>
      </c>
      <c r="L250">
        <f>IFERROR(MATCH(ROW()-104,'Invullen groen'!$S$121:$S$272,0)+120,0)</f>
        <v/>
      </c>
    </row>
    <row r="251">
      <c r="A251" t="n">
        <v>2999999</v>
      </c>
      <c r="B251" t="n">
        <v>86100</v>
      </c>
      <c r="E251">
        <f>$K$1&amp;" sluitrekening balans"</f>
        <v/>
      </c>
      <c r="F251">
        <f>IFERROR(-SUM(F105:F250),0)</f>
        <v/>
      </c>
      <c r="G251">
        <f>IFERROR(-SUM(G105:G250),0)</f>
        <v/>
      </c>
      <c r="H251">
        <f>IFERROR(-SUM(H105:H250),0)</f>
        <v/>
      </c>
      <c r="I251">
        <f>IFERROR(-SUM(I105:I250),0)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1">
    <tabColor rgb="FF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C5" sqref="C5"/>
    </sheetView>
  </sheetViews>
  <sheetFormatPr baseColWidth="8" defaultColWidth="9.109375" defaultRowHeight="13.2"/>
  <cols>
    <col width="36.109375" customWidth="1" style="4" min="1" max="1"/>
    <col width="15.44140625" customWidth="1" style="2" min="2" max="2"/>
    <col width="71.6640625" customWidth="1" style="1" min="3" max="3"/>
    <col width="36.44140625" customWidth="1" style="4" min="4" max="4"/>
    <col width="14.88671875" customWidth="1" style="3" min="5" max="8"/>
    <col width="9.109375" customWidth="1" style="1" min="9" max="9"/>
    <col width="9.109375" customWidth="1" style="1" min="10" max="16384"/>
  </cols>
  <sheetData>
    <row r="1" ht="24" customHeight="1" s="418">
      <c r="A1" s="417">
        <f>+'Invullen groen'!A4</f>
        <v/>
      </c>
      <c r="B1" s="209" t="n"/>
      <c r="C1" s="209" t="n"/>
      <c r="D1" s="209" t="n"/>
      <c r="E1" s="209" t="n"/>
      <c r="F1" s="209">
        <f>+'Invullen groen'!I4</f>
        <v/>
      </c>
      <c r="G1" s="209">
        <f>+'Invullen groen'!J4</f>
        <v/>
      </c>
      <c r="H1" s="209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 s="418">
      <c r="A2" s="92">
        <f>+'Invullen groen'!A5</f>
        <v/>
      </c>
      <c r="B2" s="83">
        <f>+'Invullen groen'!C5</f>
        <v/>
      </c>
      <c r="C2" s="83">
        <f>+'Invullen groen'!D5</f>
        <v/>
      </c>
      <c r="D2" s="428" t="n"/>
      <c r="E2" s="428" t="n"/>
      <c r="F2" s="428">
        <f>+'Invullen groen'!I5</f>
        <v/>
      </c>
      <c r="G2" s="428">
        <f>+'Invullen groen'!J5</f>
        <v/>
      </c>
      <c r="H2" s="428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92">
        <f>+'Invullen groen'!A6</f>
        <v/>
      </c>
      <c r="B3" s="83">
        <f>+'Invullen groen'!C6</f>
        <v/>
      </c>
      <c r="C3" s="98" t="n"/>
      <c r="D3" s="1" t="n"/>
      <c r="E3" s="1" t="n"/>
      <c r="F3" s="7">
        <f>+'Invullen groen'!I6</f>
        <v/>
      </c>
      <c r="G3" s="6">
        <f>+'Invullen groen'!J6</f>
        <v/>
      </c>
      <c r="H3" s="6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92" t="n"/>
      <c r="B4" s="83" t="n"/>
      <c r="C4" s="98" t="n"/>
      <c r="D4" s="10" t="n"/>
      <c r="E4" s="6" t="n"/>
      <c r="F4" s="7" t="n"/>
      <c r="G4" s="6" t="n"/>
      <c r="H4" s="6" t="n"/>
    </row>
    <row r="5">
      <c r="A5" s="102" t="n"/>
      <c r="B5" s="6" t="n"/>
      <c r="C5" s="7" t="n"/>
      <c r="D5" s="10" t="n"/>
      <c r="E5" s="6" t="n"/>
      <c r="F5" s="7" t="n"/>
      <c r="G5" s="6" t="n"/>
      <c r="H5" s="6" t="n"/>
    </row>
    <row r="6">
      <c r="A6" s="102" t="n"/>
      <c r="B6" s="6">
        <f>'Invullen groen'!B3</f>
        <v/>
      </c>
      <c r="C6" s="7" t="n"/>
      <c r="D6" s="8">
        <f>+'Invullen groen'!G4</f>
        <v/>
      </c>
      <c r="E6" s="27">
        <f>+'Invullen groen'!H4</f>
        <v/>
      </c>
      <c r="F6" s="7" t="n"/>
      <c r="G6" s="6" t="n"/>
      <c r="H6" s="6" t="n"/>
    </row>
    <row r="7">
      <c r="A7" s="102" t="n"/>
      <c r="B7" s="6" t="n"/>
      <c r="C7" s="7" t="n"/>
      <c r="D7" s="41">
        <f>+'Invullen groen'!M5</f>
        <v/>
      </c>
      <c r="E7" s="6">
        <f>+'Invullen groen'!H5</f>
        <v/>
      </c>
      <c r="F7" s="7" t="n"/>
      <c r="G7" s="6" t="n"/>
      <c r="H7" s="6" t="n"/>
    </row>
    <row r="8">
      <c r="A8" s="102" t="n"/>
      <c r="B8" s="6" t="n"/>
      <c r="C8" s="7" t="n"/>
      <c r="D8" s="10" t="n"/>
      <c r="E8" s="6" t="n"/>
      <c r="F8" s="7" t="n"/>
      <c r="G8" s="6" t="n"/>
      <c r="H8" s="6" t="n"/>
    </row>
    <row r="9">
      <c r="A9" s="102" t="n"/>
      <c r="B9" s="6" t="n"/>
      <c r="C9" s="7" t="n"/>
      <c r="D9" s="10" t="n"/>
      <c r="E9" s="6" t="n"/>
      <c r="F9" s="7" t="n"/>
      <c r="G9" s="6" t="n"/>
      <c r="H9" s="6" t="n"/>
    </row>
    <row r="10">
      <c r="A10" s="10">
        <f>+'Invullen groen'!A7</f>
        <v/>
      </c>
      <c r="B10" s="6">
        <f>+'Invullen groen'!C7</f>
        <v/>
      </c>
      <c r="D10" s="8">
        <f>+'Invullen groen'!G6</f>
        <v/>
      </c>
      <c r="E10" s="27">
        <f>+'Invullen groen'!H6</f>
        <v/>
      </c>
      <c r="F10" s="7">
        <f>+'Invullen groen'!I7</f>
        <v/>
      </c>
      <c r="G10" s="6">
        <f>+'Invullen groen'!J7</f>
        <v/>
      </c>
      <c r="H10" s="6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0">
        <f>+'Invullen groen'!A8</f>
        <v/>
      </c>
      <c r="B11" s="6">
        <f>+'Invullen groen'!C8</f>
        <v/>
      </c>
      <c r="D11" s="8">
        <f>'Invullen groen'!G7</f>
        <v/>
      </c>
      <c r="E11" s="28">
        <f>'Invullen groen'!H7</f>
        <v/>
      </c>
      <c r="F11" s="7">
        <f>+'Invullen groen'!I8</f>
        <v/>
      </c>
      <c r="G11" s="6">
        <f>+'Invullen groen'!J8</f>
        <v/>
      </c>
      <c r="H11" s="6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0">
        <f>+'Invullen groen'!A9</f>
        <v/>
      </c>
      <c r="B12" s="5">
        <f>+'Invullen groen'!C9</f>
        <v/>
      </c>
      <c r="C12" s="6">
        <f>+'Invullen groen'!G9</f>
        <v/>
      </c>
      <c r="D12" s="10">
        <f>+'Invullen groen'!M9</f>
        <v/>
      </c>
      <c r="E12" s="7">
        <f>+'Invullen groen'!H9</f>
        <v/>
      </c>
      <c r="F12" s="7">
        <f>+'Invullen groen'!I9</f>
        <v/>
      </c>
      <c r="G12" s="6">
        <f>+'Invullen groen'!J9</f>
        <v/>
      </c>
      <c r="H12" s="6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0">
        <f>+'Invullen groen'!A10</f>
        <v/>
      </c>
      <c r="B13" s="5">
        <f>+'Invullen groen'!C10</f>
        <v/>
      </c>
      <c r="C13" s="6">
        <f>+'Invullen groen'!G10</f>
        <v/>
      </c>
      <c r="D13" s="10">
        <f>+'Invullen groen'!M10</f>
        <v/>
      </c>
      <c r="E13" s="7">
        <f>+'Invullen groen'!H10</f>
        <v/>
      </c>
      <c r="F13" s="7">
        <f>+'Invullen groen'!I10</f>
        <v/>
      </c>
      <c r="G13" s="6">
        <f>+'Invullen groen'!J10</f>
        <v/>
      </c>
      <c r="H13" s="6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29">
        <f>+'Invullen groen'!A11</f>
        <v/>
      </c>
      <c r="B14" s="30" t="n"/>
      <c r="C14" s="6" t="n"/>
      <c r="D14" s="10">
        <f>+'Invullen groen'!M11</f>
        <v/>
      </c>
      <c r="E14" s="7">
        <f>+'Invullen groen'!H11</f>
        <v/>
      </c>
      <c r="F14" s="7">
        <f>+'Invullen groen'!I11</f>
        <v/>
      </c>
      <c r="G14" s="7">
        <f>+'Invullen groen'!J11</f>
        <v/>
      </c>
      <c r="H14" s="6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0">
        <f>+'Invullen groen'!A12</f>
        <v/>
      </c>
      <c r="B15" s="5">
        <f>+'Invullen groen'!C12</f>
        <v/>
      </c>
      <c r="C15" s="6">
        <f>+'Invullen groen'!G12</f>
        <v/>
      </c>
      <c r="D15" s="10">
        <f>+'Invullen groen'!M12</f>
        <v/>
      </c>
      <c r="E15" s="7">
        <f>+'Invullen groen'!H12</f>
        <v/>
      </c>
      <c r="F15" s="7">
        <f>+'Invullen groen'!I12</f>
        <v/>
      </c>
      <c r="G15" s="7">
        <f>+'Invullen groen'!J12</f>
        <v/>
      </c>
      <c r="H15" s="6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 s="418">
      <c r="A16" s="211">
        <f>+'Invullen groen'!A13</f>
        <v/>
      </c>
      <c r="B16" s="212">
        <f>+'Invullen groen'!C13</f>
        <v/>
      </c>
      <c r="C16" s="212" t="inlineStr">
        <is>
          <t>Omschrijving boekingspost</t>
        </is>
      </c>
      <c r="D16" s="212">
        <f>+'Invullen groen'!M13</f>
        <v/>
      </c>
      <c r="E16" s="212">
        <f>+'Invullen groen'!H13</f>
        <v/>
      </c>
      <c r="F16" s="212">
        <f>+'Invullen groen'!I13</f>
        <v/>
      </c>
      <c r="G16" s="212">
        <f>+'Invullen groen'!J13</f>
        <v/>
      </c>
      <c r="H16" s="212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 s="418">
      <c r="A17" s="211">
        <f>+'Invullen groen'!A14</f>
        <v/>
      </c>
      <c r="B17" s="212">
        <f>+'Invullen groen'!C14</f>
        <v/>
      </c>
      <c r="C17" s="213">
        <f>+'Invullen groen'!G14</f>
        <v/>
      </c>
      <c r="D17" s="212">
        <f>+'Invullen groen'!M14</f>
        <v/>
      </c>
      <c r="E17" s="212">
        <f>+'Invullen groen'!H14</f>
        <v/>
      </c>
      <c r="F17" s="212">
        <f>+'Invullen groen'!I14</f>
        <v/>
      </c>
      <c r="G17" s="212">
        <f>+'Invullen groen'!J14</f>
        <v/>
      </c>
      <c r="H17" s="212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 s="418">
      <c r="A18" s="14">
        <f>+'Invullen groen'!A15</f>
        <v/>
      </c>
      <c r="B18" s="15">
        <f>+'Invullen groen'!C15</f>
        <v/>
      </c>
      <c r="C18" s="25">
        <f>+'Invullen groen'!G15</f>
        <v/>
      </c>
      <c r="D18" s="16">
        <f>+'Invullen groen'!M15</f>
        <v/>
      </c>
      <c r="E18" s="17">
        <f>+'Invullen groen'!H15</f>
        <v/>
      </c>
      <c r="F18" s="17">
        <f>+'Invullen groen'!I15</f>
        <v/>
      </c>
      <c r="G18" s="17">
        <f>+'Invullen groen'!J15</f>
        <v/>
      </c>
      <c r="H18" s="17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 s="418">
      <c r="A19" s="214">
        <f>+'Invullen groen'!A16</f>
        <v/>
      </c>
      <c r="B19" s="214">
        <f>+'Invullen groen'!C16</f>
        <v/>
      </c>
      <c r="C19" s="215">
        <f>+'Invullen groen'!G16</f>
        <v/>
      </c>
      <c r="D19" s="214">
        <f>+'Invullen groen'!M16</f>
        <v/>
      </c>
      <c r="E19" s="214">
        <f>+'Invullen groen'!H16</f>
        <v/>
      </c>
      <c r="F19" s="214">
        <f>+'Invullen groen'!I16</f>
        <v/>
      </c>
      <c r="G19" s="214">
        <f>+'Invullen groen'!J16</f>
        <v/>
      </c>
      <c r="H19" s="214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 s="418">
      <c r="A20" s="216">
        <f>+'Invullen groen'!A17</f>
        <v/>
      </c>
      <c r="B20" s="216">
        <f>+'Invullen groen'!C17</f>
        <v/>
      </c>
      <c r="C20" s="217">
        <f>+'Invullen groen'!G17</f>
        <v/>
      </c>
      <c r="D20" s="216">
        <f>+'Invullen groen'!M17</f>
        <v/>
      </c>
      <c r="E20" s="218">
        <f>+'Invullen groen'!H17</f>
        <v/>
      </c>
      <c r="F20" s="218">
        <f>+'Invullen groen'!I17</f>
        <v/>
      </c>
      <c r="G20" s="218">
        <f>+'Invullen groen'!J17</f>
        <v/>
      </c>
      <c r="H20" s="218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 s="418">
      <c r="A21" s="219">
        <f>+'Invullen groen'!A18</f>
        <v/>
      </c>
      <c r="B21" s="219">
        <f>+'Invullen groen'!C18</f>
        <v/>
      </c>
      <c r="C21" s="220">
        <f>+'Invullen groen'!G18</f>
        <v/>
      </c>
      <c r="D21" s="219">
        <f>+'Invullen groen'!M18</f>
        <v/>
      </c>
      <c r="E21" s="221">
        <f>+'Invullen groen'!H18</f>
        <v/>
      </c>
      <c r="F21" s="221">
        <f>+'Invullen groen'!I18</f>
        <v/>
      </c>
      <c r="G21" s="221">
        <f>+'Invullen groen'!J18</f>
        <v/>
      </c>
      <c r="H21" s="221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 s="418">
      <c r="A22" s="216">
        <f>+'Invullen groen'!A19</f>
        <v/>
      </c>
      <c r="B22" s="216">
        <f>+'Invullen groen'!C19</f>
        <v/>
      </c>
      <c r="C22" s="217">
        <f>+'Invullen groen'!G19</f>
        <v/>
      </c>
      <c r="D22" s="216">
        <f>+'Invullen groen'!M19</f>
        <v/>
      </c>
      <c r="E22" s="218">
        <f>+'Invullen groen'!H19</f>
        <v/>
      </c>
      <c r="F22" s="218">
        <f>+'Invullen groen'!I19</f>
        <v/>
      </c>
      <c r="G22" s="218">
        <f>+'Invullen groen'!J19</f>
        <v/>
      </c>
      <c r="H22" s="218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 s="418">
      <c r="A23" s="219">
        <f>+'Invullen groen'!A20</f>
        <v/>
      </c>
      <c r="B23" s="219">
        <f>+'Invullen groen'!C20</f>
        <v/>
      </c>
      <c r="C23" s="220">
        <f>+'Invullen groen'!G20</f>
        <v/>
      </c>
      <c r="D23" s="219">
        <f>+'Invullen groen'!M20</f>
        <v/>
      </c>
      <c r="E23" s="221">
        <f>+'Invullen groen'!H20</f>
        <v/>
      </c>
      <c r="F23" s="221">
        <f>+'Invullen groen'!I20</f>
        <v/>
      </c>
      <c r="G23" s="221">
        <f>+'Invullen groen'!J20</f>
        <v/>
      </c>
      <c r="H23" s="221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 s="418">
      <c r="A24" s="216">
        <f>+'Invullen groen'!A21</f>
        <v/>
      </c>
      <c r="B24" s="216">
        <f>+'Invullen groen'!C21</f>
        <v/>
      </c>
      <c r="C24" s="217">
        <f>+'Invullen groen'!G21</f>
        <v/>
      </c>
      <c r="D24" s="216">
        <f>+'Invullen groen'!M21</f>
        <v/>
      </c>
      <c r="E24" s="218">
        <f>+'Invullen groen'!H21</f>
        <v/>
      </c>
      <c r="F24" s="218">
        <f>+'Invullen groen'!I21</f>
        <v/>
      </c>
      <c r="G24" s="218">
        <f>+'Invullen groen'!J21</f>
        <v/>
      </c>
      <c r="H24" s="218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 s="418">
      <c r="A25" s="219">
        <f>+'Invullen groen'!A22</f>
        <v/>
      </c>
      <c r="B25" s="219">
        <f>+'Invullen groen'!C22</f>
        <v/>
      </c>
      <c r="C25" s="220">
        <f>+'Invullen groen'!G22</f>
        <v/>
      </c>
      <c r="D25" s="219">
        <f>+'Invullen groen'!M22</f>
        <v/>
      </c>
      <c r="E25" s="221">
        <f>+'Invullen groen'!H22</f>
        <v/>
      </c>
      <c r="F25" s="221">
        <f>+'Invullen groen'!I22</f>
        <v/>
      </c>
      <c r="G25" s="221">
        <f>+'Invullen groen'!J22</f>
        <v/>
      </c>
      <c r="H25" s="221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 s="418">
      <c r="A26" s="216">
        <f>+'Invullen groen'!A23</f>
        <v/>
      </c>
      <c r="B26" s="216">
        <f>+'Invullen groen'!C23</f>
        <v/>
      </c>
      <c r="C26" s="217">
        <f>+'Invullen groen'!G23</f>
        <v/>
      </c>
      <c r="D26" s="216">
        <f>+'Invullen groen'!M23</f>
        <v/>
      </c>
      <c r="E26" s="218">
        <f>+'Invullen groen'!H23</f>
        <v/>
      </c>
      <c r="F26" s="218">
        <f>+'Invullen groen'!I23</f>
        <v/>
      </c>
      <c r="G26" s="218">
        <f>+'Invullen groen'!J23</f>
        <v/>
      </c>
      <c r="H26" s="218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 s="418">
      <c r="A27" s="219">
        <f>+'Invullen groen'!A24</f>
        <v/>
      </c>
      <c r="B27" s="219">
        <f>+'Invullen groen'!C24</f>
        <v/>
      </c>
      <c r="C27" s="220">
        <f>+'Invullen groen'!G24</f>
        <v/>
      </c>
      <c r="D27" s="219">
        <f>+'Invullen groen'!M24</f>
        <v/>
      </c>
      <c r="E27" s="221">
        <f>+'Invullen groen'!H24</f>
        <v/>
      </c>
      <c r="F27" s="221">
        <f>+'Invullen groen'!I24</f>
        <v/>
      </c>
      <c r="G27" s="221">
        <f>+'Invullen groen'!J24</f>
        <v/>
      </c>
      <c r="H27" s="221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 s="418">
      <c r="A28" s="216">
        <f>+'Invullen groen'!A25</f>
        <v/>
      </c>
      <c r="B28" s="216">
        <f>+'Invullen groen'!C25</f>
        <v/>
      </c>
      <c r="C28" s="217">
        <f>+'Invullen groen'!G25</f>
        <v/>
      </c>
      <c r="D28" s="216">
        <f>+'Invullen groen'!M25</f>
        <v/>
      </c>
      <c r="E28" s="218">
        <f>+'Invullen groen'!H25</f>
        <v/>
      </c>
      <c r="F28" s="218">
        <f>+'Invullen groen'!I25</f>
        <v/>
      </c>
      <c r="G28" s="218">
        <f>+'Invullen groen'!J25</f>
        <v/>
      </c>
      <c r="H28" s="218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 s="418">
      <c r="A29" s="219">
        <f>+'Invullen groen'!A26</f>
        <v/>
      </c>
      <c r="B29" s="219">
        <f>+'Invullen groen'!C26</f>
        <v/>
      </c>
      <c r="C29" s="220">
        <f>+'Invullen groen'!G26</f>
        <v/>
      </c>
      <c r="D29" s="219">
        <f>+'Invullen groen'!M26</f>
        <v/>
      </c>
      <c r="E29" s="221">
        <f>+'Invullen groen'!H26</f>
        <v/>
      </c>
      <c r="F29" s="221">
        <f>+'Invullen groen'!I26</f>
        <v/>
      </c>
      <c r="G29" s="221">
        <f>+'Invullen groen'!J26</f>
        <v/>
      </c>
      <c r="H29" s="221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 s="418">
      <c r="A30" s="216">
        <f>+'Invullen groen'!A27</f>
        <v/>
      </c>
      <c r="B30" s="216">
        <f>+'Invullen groen'!C27</f>
        <v/>
      </c>
      <c r="C30" s="217">
        <f>+'Invullen groen'!G27</f>
        <v/>
      </c>
      <c r="D30" s="216">
        <f>+'Invullen groen'!M27</f>
        <v/>
      </c>
      <c r="E30" s="218">
        <f>+'Invullen groen'!H27</f>
        <v/>
      </c>
      <c r="F30" s="218">
        <f>+'Invullen groen'!I27</f>
        <v/>
      </c>
      <c r="G30" s="218">
        <f>+'Invullen groen'!J27</f>
        <v/>
      </c>
      <c r="H30" s="218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 s="418">
      <c r="A31" s="219">
        <f>+'Invullen groen'!A28</f>
        <v/>
      </c>
      <c r="B31" s="219">
        <f>+'Invullen groen'!C28</f>
        <v/>
      </c>
      <c r="C31" s="220">
        <f>+'Invullen groen'!G28</f>
        <v/>
      </c>
      <c r="D31" s="219">
        <f>+'Invullen groen'!M28</f>
        <v/>
      </c>
      <c r="E31" s="221">
        <f>+'Invullen groen'!H28</f>
        <v/>
      </c>
      <c r="F31" s="221">
        <f>+'Invullen groen'!I28</f>
        <v/>
      </c>
      <c r="G31" s="221">
        <f>+'Invullen groen'!J28</f>
        <v/>
      </c>
      <c r="H31" s="221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 s="418">
      <c r="A32" s="216">
        <f>+'Invullen groen'!A29</f>
        <v/>
      </c>
      <c r="B32" s="216">
        <f>+'Invullen groen'!C29</f>
        <v/>
      </c>
      <c r="C32" s="217">
        <f>+'Invullen groen'!G29</f>
        <v/>
      </c>
      <c r="D32" s="216">
        <f>+'Invullen groen'!M29</f>
        <v/>
      </c>
      <c r="E32" s="218">
        <f>+'Invullen groen'!H29</f>
        <v/>
      </c>
      <c r="F32" s="218">
        <f>+'Invullen groen'!I29</f>
        <v/>
      </c>
      <c r="G32" s="218">
        <f>+'Invullen groen'!J29</f>
        <v/>
      </c>
      <c r="H32" s="218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 s="418">
      <c r="A33" s="219">
        <f>+'Invullen groen'!A30</f>
        <v/>
      </c>
      <c r="B33" s="219">
        <f>+'Invullen groen'!C30</f>
        <v/>
      </c>
      <c r="C33" s="220">
        <f>+'Invullen groen'!G30</f>
        <v/>
      </c>
      <c r="D33" s="219">
        <f>+'Invullen groen'!M30</f>
        <v/>
      </c>
      <c r="E33" s="221">
        <f>+'Invullen groen'!H30</f>
        <v/>
      </c>
      <c r="F33" s="221">
        <f>+'Invullen groen'!I30</f>
        <v/>
      </c>
      <c r="G33" s="221">
        <f>+'Invullen groen'!J30</f>
        <v/>
      </c>
      <c r="H33" s="221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 s="418">
      <c r="A34" s="216">
        <f>+'Invullen groen'!A31</f>
        <v/>
      </c>
      <c r="B34" s="216">
        <f>+'Invullen groen'!C31</f>
        <v/>
      </c>
      <c r="C34" s="217">
        <f>+'Invullen groen'!G31</f>
        <v/>
      </c>
      <c r="D34" s="216">
        <f>+'Invullen groen'!M31</f>
        <v/>
      </c>
      <c r="E34" s="218">
        <f>+'Invullen groen'!H31</f>
        <v/>
      </c>
      <c r="F34" s="218">
        <f>+'Invullen groen'!I31</f>
        <v/>
      </c>
      <c r="G34" s="218">
        <f>+'Invullen groen'!J31</f>
        <v/>
      </c>
      <c r="H34" s="218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 s="418">
      <c r="A35" s="219">
        <f>+'Invullen groen'!A32</f>
        <v/>
      </c>
      <c r="B35" s="219">
        <f>+'Invullen groen'!C32</f>
        <v/>
      </c>
      <c r="C35" s="220">
        <f>+'Invullen groen'!G32</f>
        <v/>
      </c>
      <c r="D35" s="219">
        <f>+'Invullen groen'!M32</f>
        <v/>
      </c>
      <c r="E35" s="221">
        <f>+'Invullen groen'!H32</f>
        <v/>
      </c>
      <c r="F35" s="221">
        <f>+'Invullen groen'!I32</f>
        <v/>
      </c>
      <c r="G35" s="221">
        <f>+'Invullen groen'!J32</f>
        <v/>
      </c>
      <c r="H35" s="221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 s="418">
      <c r="A36" s="216">
        <f>+'Invullen groen'!A33</f>
        <v/>
      </c>
      <c r="B36" s="216">
        <f>+'Invullen groen'!C33</f>
        <v/>
      </c>
      <c r="C36" s="217">
        <f>+'Invullen groen'!G33</f>
        <v/>
      </c>
      <c r="D36" s="216">
        <f>+'Invullen groen'!M33</f>
        <v/>
      </c>
      <c r="E36" s="218">
        <f>+'Invullen groen'!H33</f>
        <v/>
      </c>
      <c r="F36" s="218">
        <f>+'Invullen groen'!I33</f>
        <v/>
      </c>
      <c r="G36" s="218">
        <f>+'Invullen groen'!J33</f>
        <v/>
      </c>
      <c r="H36" s="218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 s="418">
      <c r="A37" s="219">
        <f>+'Invullen groen'!A34</f>
        <v/>
      </c>
      <c r="B37" s="219">
        <f>+'Invullen groen'!C34</f>
        <v/>
      </c>
      <c r="C37" s="220">
        <f>+'Invullen groen'!G34</f>
        <v/>
      </c>
      <c r="D37" s="219">
        <f>+'Invullen groen'!M34</f>
        <v/>
      </c>
      <c r="E37" s="221">
        <f>+'Invullen groen'!H34</f>
        <v/>
      </c>
      <c r="F37" s="221">
        <f>+'Invullen groen'!I34</f>
        <v/>
      </c>
      <c r="G37" s="221">
        <f>+'Invullen groen'!J34</f>
        <v/>
      </c>
      <c r="H37" s="221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 s="418">
      <c r="A38" s="216">
        <f>+'Invullen groen'!A35</f>
        <v/>
      </c>
      <c r="B38" s="216">
        <f>+'Invullen groen'!C35</f>
        <v/>
      </c>
      <c r="C38" s="217">
        <f>+'Invullen groen'!G35</f>
        <v/>
      </c>
      <c r="D38" s="216">
        <f>+'Invullen groen'!M35</f>
        <v/>
      </c>
      <c r="E38" s="218">
        <f>+'Invullen groen'!H35</f>
        <v/>
      </c>
      <c r="F38" s="218">
        <f>+'Invullen groen'!I35</f>
        <v/>
      </c>
      <c r="G38" s="218">
        <f>+'Invullen groen'!J35</f>
        <v/>
      </c>
      <c r="H38" s="218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 s="418">
      <c r="A39" s="219">
        <f>+'Invullen groen'!A36</f>
        <v/>
      </c>
      <c r="B39" s="219">
        <f>+'Invullen groen'!C36</f>
        <v/>
      </c>
      <c r="C39" s="220">
        <f>+'Invullen groen'!G36</f>
        <v/>
      </c>
      <c r="D39" s="219">
        <f>+'Invullen groen'!M36</f>
        <v/>
      </c>
      <c r="E39" s="221">
        <f>+'Invullen groen'!H36</f>
        <v/>
      </c>
      <c r="F39" s="221">
        <f>+'Invullen groen'!I36</f>
        <v/>
      </c>
      <c r="G39" s="221">
        <f>+'Invullen groen'!J36</f>
        <v/>
      </c>
      <c r="H39" s="221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 s="418">
      <c r="A40" s="216">
        <f>+'Invullen groen'!A37</f>
        <v/>
      </c>
      <c r="B40" s="216">
        <f>+'Invullen groen'!C37</f>
        <v/>
      </c>
      <c r="C40" s="217">
        <f>+'Invullen groen'!G37</f>
        <v/>
      </c>
      <c r="D40" s="216">
        <f>+'Invullen groen'!M37</f>
        <v/>
      </c>
      <c r="E40" s="218">
        <f>+'Invullen groen'!H37</f>
        <v/>
      </c>
      <c r="F40" s="218">
        <f>+'Invullen groen'!I37</f>
        <v/>
      </c>
      <c r="G40" s="218">
        <f>+'Invullen groen'!J37</f>
        <v/>
      </c>
      <c r="H40" s="218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 s="418">
      <c r="A41" s="219">
        <f>+'Invullen groen'!A38</f>
        <v/>
      </c>
      <c r="B41" s="219">
        <f>+'Invullen groen'!C38</f>
        <v/>
      </c>
      <c r="C41" s="220">
        <f>+'Invullen groen'!G38</f>
        <v/>
      </c>
      <c r="D41" s="219">
        <f>+'Invullen groen'!M38</f>
        <v/>
      </c>
      <c r="E41" s="221">
        <f>+'Invullen groen'!H38</f>
        <v/>
      </c>
      <c r="F41" s="221">
        <f>+'Invullen groen'!I38</f>
        <v/>
      </c>
      <c r="G41" s="221">
        <f>+'Invullen groen'!J38</f>
        <v/>
      </c>
      <c r="H41" s="221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 s="418">
      <c r="A42" s="216">
        <f>+'Invullen groen'!A39</f>
        <v/>
      </c>
      <c r="B42" s="216">
        <f>+'Invullen groen'!C39</f>
        <v/>
      </c>
      <c r="C42" s="217">
        <f>+'Invullen groen'!G39</f>
        <v/>
      </c>
      <c r="D42" s="216">
        <f>+'Invullen groen'!M39</f>
        <v/>
      </c>
      <c r="E42" s="218">
        <f>+'Invullen groen'!H39</f>
        <v/>
      </c>
      <c r="F42" s="218">
        <f>+'Invullen groen'!I39</f>
        <v/>
      </c>
      <c r="G42" s="218">
        <f>+'Invullen groen'!J39</f>
        <v/>
      </c>
      <c r="H42" s="218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 s="418">
      <c r="A43" s="219">
        <f>+'Invullen groen'!A40</f>
        <v/>
      </c>
      <c r="B43" s="219">
        <f>+'Invullen groen'!C40</f>
        <v/>
      </c>
      <c r="C43" s="220">
        <f>+'Invullen groen'!G40</f>
        <v/>
      </c>
      <c r="D43" s="219">
        <f>+'Invullen groen'!M40</f>
        <v/>
      </c>
      <c r="E43" s="221">
        <f>+'Invullen groen'!H40</f>
        <v/>
      </c>
      <c r="F43" s="221">
        <f>+'Invullen groen'!I40</f>
        <v/>
      </c>
      <c r="G43" s="221">
        <f>+'Invullen groen'!J40</f>
        <v/>
      </c>
      <c r="H43" s="221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 s="418">
      <c r="A44" s="216">
        <f>+'Invullen groen'!A41</f>
        <v/>
      </c>
      <c r="B44" s="216">
        <f>+'Invullen groen'!C41</f>
        <v/>
      </c>
      <c r="C44" s="217">
        <f>+'Invullen groen'!G41</f>
        <v/>
      </c>
      <c r="D44" s="216">
        <f>+'Invullen groen'!M41</f>
        <v/>
      </c>
      <c r="E44" s="218">
        <f>+'Invullen groen'!H41</f>
        <v/>
      </c>
      <c r="F44" s="218">
        <f>+'Invullen groen'!I41</f>
        <v/>
      </c>
      <c r="G44" s="218">
        <f>+'Invullen groen'!J41</f>
        <v/>
      </c>
      <c r="H44" s="218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 s="418">
      <c r="A45" s="219">
        <f>+'Invullen groen'!A42</f>
        <v/>
      </c>
      <c r="B45" s="219">
        <f>+'Invullen groen'!C42</f>
        <v/>
      </c>
      <c r="C45" s="220">
        <f>+'Invullen groen'!G42</f>
        <v/>
      </c>
      <c r="D45" s="219">
        <f>+'Invullen groen'!M42</f>
        <v/>
      </c>
      <c r="E45" s="221">
        <f>+'Invullen groen'!H42</f>
        <v/>
      </c>
      <c r="F45" s="221">
        <f>+'Invullen groen'!I42</f>
        <v/>
      </c>
      <c r="G45" s="221">
        <f>+'Invullen groen'!J42</f>
        <v/>
      </c>
      <c r="H45" s="221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 s="418">
      <c r="A46" s="216">
        <f>+'Invullen groen'!A43</f>
        <v/>
      </c>
      <c r="B46" s="216">
        <f>+'Invullen groen'!C43</f>
        <v/>
      </c>
      <c r="C46" s="217">
        <f>+'Invullen groen'!G43</f>
        <v/>
      </c>
      <c r="D46" s="216">
        <f>+'Invullen groen'!M43</f>
        <v/>
      </c>
      <c r="E46" s="218">
        <f>+'Invullen groen'!H43</f>
        <v/>
      </c>
      <c r="F46" s="218">
        <f>+'Invullen groen'!I43</f>
        <v/>
      </c>
      <c r="G46" s="218">
        <f>+'Invullen groen'!J43</f>
        <v/>
      </c>
      <c r="H46" s="218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 s="418">
      <c r="A47" s="219">
        <f>+'Invullen groen'!A44</f>
        <v/>
      </c>
      <c r="B47" s="219">
        <f>+'Invullen groen'!C44</f>
        <v/>
      </c>
      <c r="C47" s="220">
        <f>+'Invullen groen'!G44</f>
        <v/>
      </c>
      <c r="D47" s="219">
        <f>+'Invullen groen'!M44</f>
        <v/>
      </c>
      <c r="E47" s="221">
        <f>+'Invullen groen'!H44</f>
        <v/>
      </c>
      <c r="F47" s="221">
        <f>+'Invullen groen'!I44</f>
        <v/>
      </c>
      <c r="G47" s="221">
        <f>+'Invullen groen'!J44</f>
        <v/>
      </c>
      <c r="H47" s="221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 s="418">
      <c r="A48" s="216">
        <f>+'Invullen groen'!A45</f>
        <v/>
      </c>
      <c r="B48" s="216">
        <f>+'Invullen groen'!C45</f>
        <v/>
      </c>
      <c r="C48" s="217">
        <f>+'Invullen groen'!G45</f>
        <v/>
      </c>
      <c r="D48" s="216">
        <f>+'Invullen groen'!M45</f>
        <v/>
      </c>
      <c r="E48" s="218">
        <f>+'Invullen groen'!H45</f>
        <v/>
      </c>
      <c r="F48" s="218">
        <f>+'Invullen groen'!I45</f>
        <v/>
      </c>
      <c r="G48" s="218">
        <f>+'Invullen groen'!J45</f>
        <v/>
      </c>
      <c r="H48" s="218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 s="418">
      <c r="A49" s="219">
        <f>+'Invullen groen'!A46</f>
        <v/>
      </c>
      <c r="B49" s="219">
        <f>+'Invullen groen'!C46</f>
        <v/>
      </c>
      <c r="C49" s="220">
        <f>+'Invullen groen'!G46</f>
        <v/>
      </c>
      <c r="D49" s="219">
        <f>+'Invullen groen'!M46</f>
        <v/>
      </c>
      <c r="E49" s="221">
        <f>+'Invullen groen'!H46</f>
        <v/>
      </c>
      <c r="F49" s="221">
        <f>+'Invullen groen'!I46</f>
        <v/>
      </c>
      <c r="G49" s="221">
        <f>+'Invullen groen'!J46</f>
        <v/>
      </c>
      <c r="H49" s="221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 s="418">
      <c r="A50" s="216">
        <f>+'Invullen groen'!A47</f>
        <v/>
      </c>
      <c r="B50" s="216">
        <f>+'Invullen groen'!C47</f>
        <v/>
      </c>
      <c r="C50" s="217">
        <f>+'Invullen groen'!G47</f>
        <v/>
      </c>
      <c r="D50" s="216">
        <f>+'Invullen groen'!M47</f>
        <v/>
      </c>
      <c r="E50" s="218">
        <f>+'Invullen groen'!H47</f>
        <v/>
      </c>
      <c r="F50" s="218">
        <f>+'Invullen groen'!I47</f>
        <v/>
      </c>
      <c r="G50" s="218">
        <f>+'Invullen groen'!J47</f>
        <v/>
      </c>
      <c r="H50" s="218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 s="418">
      <c r="A51" s="219">
        <f>+'Invullen groen'!A48</f>
        <v/>
      </c>
      <c r="B51" s="219">
        <f>+'Invullen groen'!C48</f>
        <v/>
      </c>
      <c r="C51" s="220">
        <f>+'Invullen groen'!G48</f>
        <v/>
      </c>
      <c r="D51" s="219">
        <f>+'Invullen groen'!M48</f>
        <v/>
      </c>
      <c r="E51" s="221">
        <f>+'Invullen groen'!H48</f>
        <v/>
      </c>
      <c r="F51" s="221">
        <f>+'Invullen groen'!I48</f>
        <v/>
      </c>
      <c r="G51" s="221">
        <f>+'Invullen groen'!J48</f>
        <v/>
      </c>
      <c r="H51" s="221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 s="418">
      <c r="A52" s="216">
        <f>+'Invullen groen'!A49</f>
        <v/>
      </c>
      <c r="B52" s="216">
        <f>+'Invullen groen'!C49</f>
        <v/>
      </c>
      <c r="C52" s="217">
        <f>+'Invullen groen'!G49</f>
        <v/>
      </c>
      <c r="D52" s="216">
        <f>+'Invullen groen'!M49</f>
        <v/>
      </c>
      <c r="E52" s="218">
        <f>+'Invullen groen'!H49</f>
        <v/>
      </c>
      <c r="F52" s="218">
        <f>+'Invullen groen'!I49</f>
        <v/>
      </c>
      <c r="G52" s="218">
        <f>+'Invullen groen'!J49</f>
        <v/>
      </c>
      <c r="H52" s="218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 s="418">
      <c r="A53" s="219">
        <f>+'Invullen groen'!A50</f>
        <v/>
      </c>
      <c r="B53" s="219">
        <f>+'Invullen groen'!C50</f>
        <v/>
      </c>
      <c r="C53" s="220">
        <f>+'Invullen groen'!G50</f>
        <v/>
      </c>
      <c r="D53" s="219">
        <f>+'Invullen groen'!M50</f>
        <v/>
      </c>
      <c r="E53" s="221">
        <f>+'Invullen groen'!H50</f>
        <v/>
      </c>
      <c r="F53" s="221">
        <f>+'Invullen groen'!I50</f>
        <v/>
      </c>
      <c r="G53" s="221">
        <f>+'Invullen groen'!J50</f>
        <v/>
      </c>
      <c r="H53" s="221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 s="418">
      <c r="A54" s="216">
        <f>+'Invullen groen'!A51</f>
        <v/>
      </c>
      <c r="B54" s="216">
        <f>+'Invullen groen'!C51</f>
        <v/>
      </c>
      <c r="C54" s="217">
        <f>+'Invullen groen'!G51</f>
        <v/>
      </c>
      <c r="D54" s="216">
        <f>+'Invullen groen'!M51</f>
        <v/>
      </c>
      <c r="E54" s="218">
        <f>+'Invullen groen'!H51</f>
        <v/>
      </c>
      <c r="F54" s="218">
        <f>+'Invullen groen'!I51</f>
        <v/>
      </c>
      <c r="G54" s="218">
        <f>+'Invullen groen'!J51</f>
        <v/>
      </c>
      <c r="H54" s="218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 s="418">
      <c r="A55" s="219">
        <f>+'Invullen groen'!A52</f>
        <v/>
      </c>
      <c r="B55" s="219">
        <f>+'Invullen groen'!C52</f>
        <v/>
      </c>
      <c r="C55" s="220">
        <f>+'Invullen groen'!G52</f>
        <v/>
      </c>
      <c r="D55" s="219">
        <f>+'Invullen groen'!M52</f>
        <v/>
      </c>
      <c r="E55" s="221">
        <f>+'Invullen groen'!H52</f>
        <v/>
      </c>
      <c r="F55" s="221">
        <f>+'Invullen groen'!I52</f>
        <v/>
      </c>
      <c r="G55" s="221">
        <f>+'Invullen groen'!J52</f>
        <v/>
      </c>
      <c r="H55" s="221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 s="418">
      <c r="A56" s="216">
        <f>+'Invullen groen'!A53</f>
        <v/>
      </c>
      <c r="B56" s="216">
        <f>+'Invullen groen'!C53</f>
        <v/>
      </c>
      <c r="C56" s="217">
        <f>+'Invullen groen'!G53</f>
        <v/>
      </c>
      <c r="D56" s="216">
        <f>+'Invullen groen'!M53</f>
        <v/>
      </c>
      <c r="E56" s="218">
        <f>+'Invullen groen'!H53</f>
        <v/>
      </c>
      <c r="F56" s="218">
        <f>+'Invullen groen'!I53</f>
        <v/>
      </c>
      <c r="G56" s="218">
        <f>+'Invullen groen'!J53</f>
        <v/>
      </c>
      <c r="H56" s="218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 s="418">
      <c r="A57" s="219">
        <f>+'Invullen groen'!A54</f>
        <v/>
      </c>
      <c r="B57" s="219">
        <f>+'Invullen groen'!C54</f>
        <v/>
      </c>
      <c r="C57" s="220">
        <f>+'Invullen groen'!G54</f>
        <v/>
      </c>
      <c r="D57" s="219">
        <f>+'Invullen groen'!M54</f>
        <v/>
      </c>
      <c r="E57" s="221">
        <f>+'Invullen groen'!H54</f>
        <v/>
      </c>
      <c r="F57" s="221">
        <f>+'Invullen groen'!I54</f>
        <v/>
      </c>
      <c r="G57" s="221">
        <f>+'Invullen groen'!J54</f>
        <v/>
      </c>
      <c r="H57" s="221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 s="418">
      <c r="A58" s="216">
        <f>+'Invullen groen'!A55</f>
        <v/>
      </c>
      <c r="B58" s="216">
        <f>+'Invullen groen'!C55</f>
        <v/>
      </c>
      <c r="C58" s="217">
        <f>+'Invullen groen'!G55</f>
        <v/>
      </c>
      <c r="D58" s="216">
        <f>+'Invullen groen'!M55</f>
        <v/>
      </c>
      <c r="E58" s="218">
        <f>+'Invullen groen'!H55</f>
        <v/>
      </c>
      <c r="F58" s="218">
        <f>+'Invullen groen'!I55</f>
        <v/>
      </c>
      <c r="G58" s="218">
        <f>+'Invullen groen'!J55</f>
        <v/>
      </c>
      <c r="H58" s="218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 s="418">
      <c r="A59" s="219">
        <f>+'Invullen groen'!A56</f>
        <v/>
      </c>
      <c r="B59" s="219">
        <f>+'Invullen groen'!C56</f>
        <v/>
      </c>
      <c r="C59" s="220">
        <f>+'Invullen groen'!G56</f>
        <v/>
      </c>
      <c r="D59" s="219">
        <f>+'Invullen groen'!M56</f>
        <v/>
      </c>
      <c r="E59" s="221">
        <f>+'Invullen groen'!H56</f>
        <v/>
      </c>
      <c r="F59" s="221">
        <f>+'Invullen groen'!I56</f>
        <v/>
      </c>
      <c r="G59" s="221">
        <f>+'Invullen groen'!J56</f>
        <v/>
      </c>
      <c r="H59" s="221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 s="418">
      <c r="A60" s="216">
        <f>+'Invullen groen'!A57</f>
        <v/>
      </c>
      <c r="B60" s="216">
        <f>+'Invullen groen'!C57</f>
        <v/>
      </c>
      <c r="C60" s="217">
        <f>+'Invullen groen'!G57</f>
        <v/>
      </c>
      <c r="D60" s="216">
        <f>+'Invullen groen'!M57</f>
        <v/>
      </c>
      <c r="E60" s="218">
        <f>+'Invullen groen'!H57</f>
        <v/>
      </c>
      <c r="F60" s="218">
        <f>+'Invullen groen'!I57</f>
        <v/>
      </c>
      <c r="G60" s="218">
        <f>+'Invullen groen'!J57</f>
        <v/>
      </c>
      <c r="H60" s="218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 s="418">
      <c r="A61" s="219">
        <f>+'Invullen groen'!A58</f>
        <v/>
      </c>
      <c r="B61" s="219">
        <f>+'Invullen groen'!C58</f>
        <v/>
      </c>
      <c r="C61" s="220">
        <f>+'Invullen groen'!G58</f>
        <v/>
      </c>
      <c r="D61" s="219">
        <f>+'Invullen groen'!M58</f>
        <v/>
      </c>
      <c r="E61" s="221">
        <f>+'Invullen groen'!H58</f>
        <v/>
      </c>
      <c r="F61" s="221">
        <f>+'Invullen groen'!I58</f>
        <v/>
      </c>
      <c r="G61" s="221">
        <f>+'Invullen groen'!J58</f>
        <v/>
      </c>
      <c r="H61" s="221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 s="418">
      <c r="A62" s="216">
        <f>+'Invullen groen'!A59</f>
        <v/>
      </c>
      <c r="B62" s="216">
        <f>+'Invullen groen'!C59</f>
        <v/>
      </c>
      <c r="C62" s="217">
        <f>+'Invullen groen'!G59</f>
        <v/>
      </c>
      <c r="D62" s="216">
        <f>+'Invullen groen'!M59</f>
        <v/>
      </c>
      <c r="E62" s="218">
        <f>+'Invullen groen'!H59</f>
        <v/>
      </c>
      <c r="F62" s="218">
        <f>+'Invullen groen'!I59</f>
        <v/>
      </c>
      <c r="G62" s="218">
        <f>+'Invullen groen'!J59</f>
        <v/>
      </c>
      <c r="H62" s="218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 s="418">
      <c r="A63" s="219">
        <f>+'Invullen groen'!A60</f>
        <v/>
      </c>
      <c r="B63" s="219">
        <f>+'Invullen groen'!C60</f>
        <v/>
      </c>
      <c r="C63" s="220">
        <f>+'Invullen groen'!G60</f>
        <v/>
      </c>
      <c r="D63" s="219">
        <f>+'Invullen groen'!M60</f>
        <v/>
      </c>
      <c r="E63" s="221">
        <f>+'Invullen groen'!H60</f>
        <v/>
      </c>
      <c r="F63" s="221">
        <f>+'Invullen groen'!I60</f>
        <v/>
      </c>
      <c r="G63" s="221">
        <f>+'Invullen groen'!J60</f>
        <v/>
      </c>
      <c r="H63" s="221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 s="418">
      <c r="A64" s="216">
        <f>+'Invullen groen'!A61</f>
        <v/>
      </c>
      <c r="B64" s="216">
        <f>+'Invullen groen'!C61</f>
        <v/>
      </c>
      <c r="C64" s="217">
        <f>+'Invullen groen'!G61</f>
        <v/>
      </c>
      <c r="D64" s="216">
        <f>+'Invullen groen'!M61</f>
        <v/>
      </c>
      <c r="E64" s="218">
        <f>+'Invullen groen'!H61</f>
        <v/>
      </c>
      <c r="F64" s="218">
        <f>+'Invullen groen'!I61</f>
        <v/>
      </c>
      <c r="G64" s="218">
        <f>+'Invullen groen'!J61</f>
        <v/>
      </c>
      <c r="H64" s="218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 s="418">
      <c r="A65" s="219">
        <f>+'Invullen groen'!A62</f>
        <v/>
      </c>
      <c r="B65" s="219">
        <f>+'Invullen groen'!C62</f>
        <v/>
      </c>
      <c r="C65" s="220">
        <f>+'Invullen groen'!G62</f>
        <v/>
      </c>
      <c r="D65" s="219">
        <f>+'Invullen groen'!M62</f>
        <v/>
      </c>
      <c r="E65" s="221">
        <f>+'Invullen groen'!H62</f>
        <v/>
      </c>
      <c r="F65" s="221">
        <f>+'Invullen groen'!I62</f>
        <v/>
      </c>
      <c r="G65" s="221">
        <f>+'Invullen groen'!J62</f>
        <v/>
      </c>
      <c r="H65" s="221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 s="418">
      <c r="A66" s="216">
        <f>+'Invullen groen'!A63</f>
        <v/>
      </c>
      <c r="B66" s="216">
        <f>+'Invullen groen'!C63</f>
        <v/>
      </c>
      <c r="C66" s="217">
        <f>+'Invullen groen'!G63</f>
        <v/>
      </c>
      <c r="D66" s="216">
        <f>+'Invullen groen'!M63</f>
        <v/>
      </c>
      <c r="E66" s="218">
        <f>+'Invullen groen'!H63</f>
        <v/>
      </c>
      <c r="F66" s="218">
        <f>+'Invullen groen'!I63</f>
        <v/>
      </c>
      <c r="G66" s="218">
        <f>+'Invullen groen'!J63</f>
        <v/>
      </c>
      <c r="H66" s="218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 s="418">
      <c r="A67" s="219">
        <f>+'Invullen groen'!A64</f>
        <v/>
      </c>
      <c r="B67" s="219">
        <f>+'Invullen groen'!C64</f>
        <v/>
      </c>
      <c r="C67" s="220">
        <f>+'Invullen groen'!G64</f>
        <v/>
      </c>
      <c r="D67" s="219">
        <f>+'Invullen groen'!M64</f>
        <v/>
      </c>
      <c r="E67" s="221">
        <f>+'Invullen groen'!H64</f>
        <v/>
      </c>
      <c r="F67" s="221">
        <f>+'Invullen groen'!I64</f>
        <v/>
      </c>
      <c r="G67" s="221">
        <f>+'Invullen groen'!J64</f>
        <v/>
      </c>
      <c r="H67" s="221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 s="418">
      <c r="A68" s="216">
        <f>+'Invullen groen'!A65</f>
        <v/>
      </c>
      <c r="B68" s="216">
        <f>+'Invullen groen'!C65</f>
        <v/>
      </c>
      <c r="C68" s="217">
        <f>+'Invullen groen'!G65</f>
        <v/>
      </c>
      <c r="D68" s="216">
        <f>+'Invullen groen'!M65</f>
        <v/>
      </c>
      <c r="E68" s="218">
        <f>+'Invullen groen'!H65</f>
        <v/>
      </c>
      <c r="F68" s="218">
        <f>+'Invullen groen'!I65</f>
        <v/>
      </c>
      <c r="G68" s="218">
        <f>+'Invullen groen'!J65</f>
        <v/>
      </c>
      <c r="H68" s="218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 s="418">
      <c r="A69" s="219">
        <f>+'Invullen groen'!A66</f>
        <v/>
      </c>
      <c r="B69" s="219">
        <f>+'Invullen groen'!C66</f>
        <v/>
      </c>
      <c r="C69" s="220">
        <f>+'Invullen groen'!G66</f>
        <v/>
      </c>
      <c r="D69" s="219">
        <f>+'Invullen groen'!M66</f>
        <v/>
      </c>
      <c r="E69" s="221">
        <f>+'Invullen groen'!H66</f>
        <v/>
      </c>
      <c r="F69" s="221">
        <f>+'Invullen groen'!I66</f>
        <v/>
      </c>
      <c r="G69" s="221">
        <f>+'Invullen groen'!J66</f>
        <v/>
      </c>
      <c r="H69" s="221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 s="418">
      <c r="A70" s="216">
        <f>+'Invullen groen'!A67</f>
        <v/>
      </c>
      <c r="B70" s="216">
        <f>+'Invullen groen'!C67</f>
        <v/>
      </c>
      <c r="C70" s="217">
        <f>+'Invullen groen'!G67</f>
        <v/>
      </c>
      <c r="D70" s="216">
        <f>+'Invullen groen'!M67</f>
        <v/>
      </c>
      <c r="E70" s="218">
        <f>+'Invullen groen'!H67</f>
        <v/>
      </c>
      <c r="F70" s="218">
        <f>+'Invullen groen'!I67</f>
        <v/>
      </c>
      <c r="G70" s="218">
        <f>+'Invullen groen'!J67</f>
        <v/>
      </c>
      <c r="H70" s="218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 s="418">
      <c r="A71" s="219">
        <f>+'Invullen groen'!A68</f>
        <v/>
      </c>
      <c r="B71" s="219">
        <f>+'Invullen groen'!C68</f>
        <v/>
      </c>
      <c r="C71" s="220">
        <f>+'Invullen groen'!G68</f>
        <v/>
      </c>
      <c r="D71" s="219">
        <f>+'Invullen groen'!M68</f>
        <v/>
      </c>
      <c r="E71" s="221">
        <f>+'Invullen groen'!H68</f>
        <v/>
      </c>
      <c r="F71" s="221">
        <f>+'Invullen groen'!I68</f>
        <v/>
      </c>
      <c r="G71" s="221">
        <f>+'Invullen groen'!J68</f>
        <v/>
      </c>
      <c r="H71" s="221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 s="418">
      <c r="A72" s="216">
        <f>+'Invullen groen'!A69</f>
        <v/>
      </c>
      <c r="B72" s="216">
        <f>+'Invullen groen'!C69</f>
        <v/>
      </c>
      <c r="C72" s="217">
        <f>+'Invullen groen'!G69</f>
        <v/>
      </c>
      <c r="D72" s="216">
        <f>+'Invullen groen'!M69</f>
        <v/>
      </c>
      <c r="E72" s="218">
        <f>+'Invullen groen'!H69</f>
        <v/>
      </c>
      <c r="F72" s="218">
        <f>+'Invullen groen'!I69</f>
        <v/>
      </c>
      <c r="G72" s="218">
        <f>+'Invullen groen'!J69</f>
        <v/>
      </c>
      <c r="H72" s="218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 s="418">
      <c r="A73" s="219">
        <f>+'Invullen groen'!A70</f>
        <v/>
      </c>
      <c r="B73" s="219">
        <f>+'Invullen groen'!C70</f>
        <v/>
      </c>
      <c r="C73" s="220">
        <f>+'Invullen groen'!G70</f>
        <v/>
      </c>
      <c r="D73" s="219">
        <f>+'Invullen groen'!M70</f>
        <v/>
      </c>
      <c r="E73" s="221">
        <f>+'Invullen groen'!H70</f>
        <v/>
      </c>
      <c r="F73" s="221">
        <f>+'Invullen groen'!I70</f>
        <v/>
      </c>
      <c r="G73" s="221">
        <f>+'Invullen groen'!J70</f>
        <v/>
      </c>
      <c r="H73" s="221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 s="418">
      <c r="A74" s="216">
        <f>+'Invullen groen'!A71</f>
        <v/>
      </c>
      <c r="B74" s="216">
        <f>+'Invullen groen'!C71</f>
        <v/>
      </c>
      <c r="C74" s="217">
        <f>+'Invullen groen'!G71</f>
        <v/>
      </c>
      <c r="D74" s="216">
        <f>+'Invullen groen'!M71</f>
        <v/>
      </c>
      <c r="E74" s="218">
        <f>+'Invullen groen'!H71</f>
        <v/>
      </c>
      <c r="F74" s="218">
        <f>+'Invullen groen'!I71</f>
        <v/>
      </c>
      <c r="G74" s="218">
        <f>+'Invullen groen'!J71</f>
        <v/>
      </c>
      <c r="H74" s="218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 s="418">
      <c r="A75" s="219">
        <f>+'Invullen groen'!A72</f>
        <v/>
      </c>
      <c r="B75" s="219">
        <f>+'Invullen groen'!C72</f>
        <v/>
      </c>
      <c r="C75" s="220">
        <f>+'Invullen groen'!G72</f>
        <v/>
      </c>
      <c r="D75" s="219">
        <f>+'Invullen groen'!M72</f>
        <v/>
      </c>
      <c r="E75" s="221">
        <f>+'Invullen groen'!H72</f>
        <v/>
      </c>
      <c r="F75" s="221">
        <f>+'Invullen groen'!I72</f>
        <v/>
      </c>
      <c r="G75" s="221">
        <f>+'Invullen groen'!J72</f>
        <v/>
      </c>
      <c r="H75" s="221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 s="418">
      <c r="A76" s="216">
        <f>+'Invullen groen'!A73</f>
        <v/>
      </c>
      <c r="B76" s="216">
        <f>+'Invullen groen'!C73</f>
        <v/>
      </c>
      <c r="C76" s="217">
        <f>+'Invullen groen'!G73</f>
        <v/>
      </c>
      <c r="D76" s="216">
        <f>+'Invullen groen'!M73</f>
        <v/>
      </c>
      <c r="E76" s="218">
        <f>+'Invullen groen'!H73</f>
        <v/>
      </c>
      <c r="F76" s="218">
        <f>+'Invullen groen'!I73</f>
        <v/>
      </c>
      <c r="G76" s="218">
        <f>+'Invullen groen'!J73</f>
        <v/>
      </c>
      <c r="H76" s="218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 s="418">
      <c r="A77" s="219">
        <f>+'Invullen groen'!A74</f>
        <v/>
      </c>
      <c r="B77" s="219">
        <f>+'Invullen groen'!C74</f>
        <v/>
      </c>
      <c r="C77" s="220">
        <f>+'Invullen groen'!G74</f>
        <v/>
      </c>
      <c r="D77" s="219">
        <f>+'Invullen groen'!M74</f>
        <v/>
      </c>
      <c r="E77" s="222">
        <f>+'Invullen groen'!H74</f>
        <v/>
      </c>
      <c r="F77" s="222">
        <f>+'Invullen groen'!I74</f>
        <v/>
      </c>
      <c r="G77" s="222">
        <f>+'Invullen groen'!J74</f>
        <v/>
      </c>
      <c r="H77" s="222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32">
      <c r="A78" s="223">
        <f>+'Invullen groen'!A75</f>
        <v/>
      </c>
      <c r="B78" s="223">
        <f>+'Invullen groen'!C75</f>
        <v/>
      </c>
      <c r="C78" s="224">
        <f>+'Invullen groen'!G75</f>
        <v/>
      </c>
      <c r="D78" s="223">
        <f>+'Invullen groen'!M75</f>
        <v/>
      </c>
      <c r="E78" s="225">
        <f>+'Invullen groen'!H75</f>
        <v/>
      </c>
      <c r="F78" s="225">
        <f>+'Invullen groen'!I75</f>
        <v/>
      </c>
      <c r="G78" s="225">
        <f>+'Invullen groen'!J75</f>
        <v/>
      </c>
      <c r="H78" s="225">
        <f>+'Invullen groen'!K75</f>
        <v/>
      </c>
      <c r="I78" s="154">
        <f>+'Invullen groen'!AW75</f>
        <v/>
      </c>
      <c r="J78" s="154">
        <f>+'Invullen groen'!AX75</f>
        <v/>
      </c>
      <c r="K78" s="154">
        <f>+'Invullen groen'!AY75</f>
        <v/>
      </c>
      <c r="L78" s="154">
        <f>+'Invullen groen'!AZ75</f>
        <v/>
      </c>
      <c r="M78" s="154">
        <f>+'Invullen groen'!BA75</f>
        <v/>
      </c>
      <c r="N78" s="154">
        <f>+'Invullen groen'!BB75</f>
        <v/>
      </c>
      <c r="O78" s="154">
        <f>+'Invullen groen'!BC75</f>
        <v/>
      </c>
      <c r="P78" s="154">
        <f>+'Invullen groen'!BD75</f>
        <v/>
      </c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  <c r="AA78" s="35" t="n"/>
      <c r="AB78" s="35" t="n"/>
      <c r="AC78" s="35" t="n"/>
      <c r="AD78" s="35" t="n"/>
      <c r="AE78" s="35" t="n"/>
      <c r="AF78" s="35" t="n"/>
      <c r="AG78" s="35" t="n"/>
      <c r="AH78" s="35" t="n"/>
      <c r="AI78" s="35" t="n"/>
      <c r="AJ78" s="35" t="n"/>
      <c r="AK78" s="35" t="n"/>
      <c r="AL78" s="35" t="n"/>
      <c r="AM78" s="35" t="n"/>
      <c r="AN78" s="35" t="n"/>
      <c r="AO78" s="35" t="n"/>
      <c r="AP78" s="35" t="n"/>
      <c r="AQ78" s="35" t="n"/>
      <c r="AR78" s="35" t="n"/>
      <c r="AS78" s="35" t="n"/>
      <c r="AT78" s="35" t="n"/>
      <c r="AU78" s="35" t="n"/>
      <c r="AV78" s="35" t="n"/>
      <c r="AW78" s="35" t="n"/>
      <c r="AX78" s="35" t="n"/>
      <c r="AY78" s="35" t="n"/>
      <c r="AZ78" s="35" t="n"/>
      <c r="BA78" s="35" t="n"/>
      <c r="BB78" s="35" t="n"/>
      <c r="BC78" s="35" t="n"/>
      <c r="BD78" s="35" t="n"/>
      <c r="BE78" s="35" t="n"/>
      <c r="BF78" s="35" t="n"/>
      <c r="BG78" s="35" t="n"/>
      <c r="BH78" s="35" t="n"/>
      <c r="BI78" s="35" t="n"/>
      <c r="BJ78" s="35" t="n"/>
      <c r="BK78" s="35" t="n"/>
      <c r="BL78" s="35" t="n"/>
      <c r="BM78" s="35" t="n"/>
      <c r="BN78" s="35" t="n"/>
      <c r="BO78" s="35" t="n"/>
    </row>
    <row r="79" ht="15" customHeight="1" s="418">
      <c r="A79" s="219">
        <f>+'Invullen groen'!A76</f>
        <v/>
      </c>
      <c r="B79" s="219">
        <f>+'Invullen groen'!C76</f>
        <v/>
      </c>
      <c r="C79" s="220">
        <f>+'Invullen groen'!G76</f>
        <v/>
      </c>
      <c r="D79" s="219">
        <f>+'Invullen groen'!M76</f>
        <v/>
      </c>
      <c r="E79" s="221">
        <f>+'Invullen groen'!H76</f>
        <v/>
      </c>
      <c r="F79" s="221">
        <f>+'Invullen groen'!I76</f>
        <v/>
      </c>
      <c r="G79" s="221">
        <f>+'Invullen groen'!J76</f>
        <v/>
      </c>
      <c r="H79" s="221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 s="418">
      <c r="A80" s="226">
        <f>+'Invullen groen'!A77</f>
        <v/>
      </c>
      <c r="B80" s="226">
        <f>+'Invullen groen'!C77</f>
        <v/>
      </c>
      <c r="C80" s="226">
        <f>+'Invullen groen'!G77</f>
        <v/>
      </c>
      <c r="D80" s="226">
        <f>+'Invullen groen'!M77</f>
        <v/>
      </c>
      <c r="E80" s="227">
        <f>+'Invullen groen'!H77</f>
        <v/>
      </c>
      <c r="F80" s="227">
        <f>+'Invullen groen'!I77</f>
        <v/>
      </c>
      <c r="G80" s="227">
        <f>+'Invullen groen'!J77</f>
        <v/>
      </c>
      <c r="H80" s="227">
        <f>+'Invullen groen'!K77</f>
        <v/>
      </c>
      <c r="I80" s="155">
        <f>+'Invullen groen'!AW77</f>
        <v/>
      </c>
      <c r="J80" s="155">
        <f>+'Invullen groen'!AX77</f>
        <v/>
      </c>
      <c r="K80" s="155">
        <f>+'Invullen groen'!AY77</f>
        <v/>
      </c>
      <c r="L80" s="155">
        <f>+'Invullen groen'!AZ77</f>
        <v/>
      </c>
      <c r="M80" s="155">
        <f>+'Invullen groen'!BA77</f>
        <v/>
      </c>
      <c r="N80" s="155">
        <f>+'Invullen groen'!BB77</f>
        <v/>
      </c>
      <c r="O80" s="155">
        <f>+'Invullen groen'!BC77</f>
        <v/>
      </c>
      <c r="P80" s="155">
        <f>+'Invullen groen'!BD77</f>
        <v/>
      </c>
    </row>
    <row r="81" ht="15" customHeight="1" s="418">
      <c r="A81" s="219">
        <f>+'Invullen groen'!A78</f>
        <v/>
      </c>
      <c r="B81" s="219">
        <f>+'Invullen groen'!C78</f>
        <v/>
      </c>
      <c r="C81" s="220">
        <f>+'Invullen groen'!G78</f>
        <v/>
      </c>
      <c r="D81" s="219">
        <f>+'Invullen groen'!M78</f>
        <v/>
      </c>
      <c r="E81" s="221">
        <f>+'Invullen groen'!H78</f>
        <v/>
      </c>
      <c r="F81" s="221">
        <f>+'Invullen groen'!I78</f>
        <v/>
      </c>
      <c r="G81" s="221">
        <f>+'Invullen groen'!J78</f>
        <v/>
      </c>
      <c r="H81" s="221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 s="418">
      <c r="A82" s="216">
        <f>+'Invullen groen'!A79</f>
        <v/>
      </c>
      <c r="B82" s="216">
        <f>+'Invullen groen'!C79</f>
        <v/>
      </c>
      <c r="C82" s="217">
        <f>+'Invullen groen'!G79</f>
        <v/>
      </c>
      <c r="D82" s="216">
        <f>+'Invullen groen'!M79</f>
        <v/>
      </c>
      <c r="E82" s="218">
        <f>+'Invullen groen'!H79</f>
        <v/>
      </c>
      <c r="F82" s="218">
        <f>+'Invullen groen'!I79</f>
        <v/>
      </c>
      <c r="G82" s="218">
        <f>+'Invullen groen'!J79</f>
        <v/>
      </c>
      <c r="H82" s="218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 s="418">
      <c r="A83" s="219">
        <f>+'Invullen groen'!A80</f>
        <v/>
      </c>
      <c r="B83" s="219">
        <f>+'Invullen groen'!C80</f>
        <v/>
      </c>
      <c r="C83" s="220">
        <f>+'Invullen groen'!G80</f>
        <v/>
      </c>
      <c r="D83" s="219">
        <f>+'Invullen groen'!M80</f>
        <v/>
      </c>
      <c r="E83" s="221">
        <f>+'Invullen groen'!H80</f>
        <v/>
      </c>
      <c r="F83" s="221">
        <f>+'Invullen groen'!I80</f>
        <v/>
      </c>
      <c r="G83" s="221">
        <f>+'Invullen groen'!J80</f>
        <v/>
      </c>
      <c r="H83" s="221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 s="418">
      <c r="A84" s="216">
        <f>+'Invullen groen'!A81</f>
        <v/>
      </c>
      <c r="B84" s="216">
        <f>+'Invullen groen'!C81</f>
        <v/>
      </c>
      <c r="C84" s="217">
        <f>+'Invullen groen'!G81</f>
        <v/>
      </c>
      <c r="D84" s="216">
        <f>+'Invullen groen'!M81</f>
        <v/>
      </c>
      <c r="E84" s="218">
        <f>+'Invullen groen'!H81</f>
        <v/>
      </c>
      <c r="F84" s="218">
        <f>+'Invullen groen'!I81</f>
        <v/>
      </c>
      <c r="G84" s="218">
        <f>+'Invullen groen'!J81</f>
        <v/>
      </c>
      <c r="H84" s="218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 s="418">
      <c r="A85" s="219">
        <f>+'Invullen groen'!A82</f>
        <v/>
      </c>
      <c r="B85" s="219">
        <f>+'Invullen groen'!C82</f>
        <v/>
      </c>
      <c r="C85" s="220">
        <f>+'Invullen groen'!G82</f>
        <v/>
      </c>
      <c r="D85" s="219">
        <f>+'Invullen groen'!M82</f>
        <v/>
      </c>
      <c r="E85" s="221">
        <f>+'Invullen groen'!H82</f>
        <v/>
      </c>
      <c r="F85" s="221">
        <f>+'Invullen groen'!I82</f>
        <v/>
      </c>
      <c r="G85" s="221">
        <f>+'Invullen groen'!J82</f>
        <v/>
      </c>
      <c r="H85" s="221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 s="418">
      <c r="A86" s="216">
        <f>+'Invullen groen'!A83</f>
        <v/>
      </c>
      <c r="B86" s="216">
        <f>+'Invullen groen'!C83</f>
        <v/>
      </c>
      <c r="C86" s="217">
        <f>+'Invullen groen'!G83</f>
        <v/>
      </c>
      <c r="D86" s="216">
        <f>+'Invullen groen'!M83</f>
        <v/>
      </c>
      <c r="E86" s="218">
        <f>+'Invullen groen'!H83</f>
        <v/>
      </c>
      <c r="F86" s="218">
        <f>+'Invullen groen'!I83</f>
        <v/>
      </c>
      <c r="G86" s="218">
        <f>+'Invullen groen'!J83</f>
        <v/>
      </c>
      <c r="H86" s="218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 s="418">
      <c r="A87" s="219">
        <f>+'Invullen groen'!A84</f>
        <v/>
      </c>
      <c r="B87" s="219">
        <f>+'Invullen groen'!C84</f>
        <v/>
      </c>
      <c r="C87" s="220">
        <f>+'Invullen groen'!G84</f>
        <v/>
      </c>
      <c r="D87" s="219">
        <f>+'Invullen groen'!M84</f>
        <v/>
      </c>
      <c r="E87" s="221">
        <f>+'Invullen groen'!H84</f>
        <v/>
      </c>
      <c r="F87" s="221">
        <f>+'Invullen groen'!I84</f>
        <v/>
      </c>
      <c r="G87" s="221">
        <f>+'Invullen groen'!J84</f>
        <v/>
      </c>
      <c r="H87" s="221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 s="418">
      <c r="A88" s="216">
        <f>+'Invullen groen'!A85</f>
        <v/>
      </c>
      <c r="B88" s="216">
        <f>+'Invullen groen'!C85</f>
        <v/>
      </c>
      <c r="C88" s="217">
        <f>+'Invullen groen'!G85</f>
        <v/>
      </c>
      <c r="D88" s="216">
        <f>+'Invullen groen'!M85</f>
        <v/>
      </c>
      <c r="E88" s="218">
        <f>+'Invullen groen'!H85</f>
        <v/>
      </c>
      <c r="F88" s="218">
        <f>+'Invullen groen'!I85</f>
        <v/>
      </c>
      <c r="G88" s="218">
        <f>+'Invullen groen'!J85</f>
        <v/>
      </c>
      <c r="H88" s="218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 s="418">
      <c r="A89" s="219">
        <f>+'Invullen groen'!A86</f>
        <v/>
      </c>
      <c r="B89" s="219">
        <f>+'Invullen groen'!C86</f>
        <v/>
      </c>
      <c r="C89" s="220">
        <f>+'Invullen groen'!G86</f>
        <v/>
      </c>
      <c r="D89" s="219">
        <f>+'Invullen groen'!M86</f>
        <v/>
      </c>
      <c r="E89" s="221">
        <f>+'Invullen groen'!H86</f>
        <v/>
      </c>
      <c r="F89" s="221">
        <f>+'Invullen groen'!I86</f>
        <v/>
      </c>
      <c r="G89" s="221">
        <f>+'Invullen groen'!J86</f>
        <v/>
      </c>
      <c r="H89" s="221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 s="418">
      <c r="A90" s="216">
        <f>+'Invullen groen'!A87</f>
        <v/>
      </c>
      <c r="B90" s="216">
        <f>+'Invullen groen'!C87</f>
        <v/>
      </c>
      <c r="C90" s="217">
        <f>+'Invullen groen'!G87</f>
        <v/>
      </c>
      <c r="D90" s="216">
        <f>+'Invullen groen'!M87</f>
        <v/>
      </c>
      <c r="E90" s="218">
        <f>+'Invullen groen'!H87</f>
        <v/>
      </c>
      <c r="F90" s="218">
        <f>+'Invullen groen'!I87</f>
        <v/>
      </c>
      <c r="G90" s="218">
        <f>+'Invullen groen'!J87</f>
        <v/>
      </c>
      <c r="H90" s="218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 s="418">
      <c r="A91" s="219">
        <f>+'Invullen groen'!A88</f>
        <v/>
      </c>
      <c r="B91" s="219">
        <f>+'Invullen groen'!C88</f>
        <v/>
      </c>
      <c r="C91" s="220">
        <f>+'Invullen groen'!G88</f>
        <v/>
      </c>
      <c r="D91" s="219">
        <f>+'Invullen groen'!M88</f>
        <v/>
      </c>
      <c r="E91" s="221">
        <f>+'Invullen groen'!H88</f>
        <v/>
      </c>
      <c r="F91" s="221">
        <f>+'Invullen groen'!I88</f>
        <v/>
      </c>
      <c r="G91" s="221">
        <f>+'Invullen groen'!J88</f>
        <v/>
      </c>
      <c r="H91" s="221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 s="418">
      <c r="A92" s="216">
        <f>+'Invullen groen'!A89</f>
        <v/>
      </c>
      <c r="B92" s="216">
        <f>+'Invullen groen'!C89</f>
        <v/>
      </c>
      <c r="C92" s="217">
        <f>+'Invullen groen'!G89</f>
        <v/>
      </c>
      <c r="D92" s="216">
        <f>+'Invullen groen'!M89</f>
        <v/>
      </c>
      <c r="E92" s="218">
        <f>+'Invullen groen'!H89</f>
        <v/>
      </c>
      <c r="F92" s="218">
        <f>+'Invullen groen'!I89</f>
        <v/>
      </c>
      <c r="G92" s="218">
        <f>+'Invullen groen'!J89</f>
        <v/>
      </c>
      <c r="H92" s="218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 s="418">
      <c r="A93" s="219">
        <f>+'Invullen groen'!A90</f>
        <v/>
      </c>
      <c r="B93" s="219">
        <f>+'Invullen groen'!C90</f>
        <v/>
      </c>
      <c r="C93" s="220">
        <f>+'Invullen groen'!G90</f>
        <v/>
      </c>
      <c r="D93" s="219">
        <f>+'Invullen groen'!M90</f>
        <v/>
      </c>
      <c r="E93" s="221">
        <f>+'Invullen groen'!H90</f>
        <v/>
      </c>
      <c r="F93" s="221">
        <f>+'Invullen groen'!I90</f>
        <v/>
      </c>
      <c r="G93" s="221">
        <f>+'Invullen groen'!J90</f>
        <v/>
      </c>
      <c r="H93" s="221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 s="418">
      <c r="A94" s="216">
        <f>+'Invullen groen'!A91</f>
        <v/>
      </c>
      <c r="B94" s="216">
        <f>+'Invullen groen'!C91</f>
        <v/>
      </c>
      <c r="C94" s="217">
        <f>+'Invullen groen'!G91</f>
        <v/>
      </c>
      <c r="D94" s="216">
        <f>+'Invullen groen'!M91</f>
        <v/>
      </c>
      <c r="E94" s="218">
        <f>+'Invullen groen'!H91</f>
        <v/>
      </c>
      <c r="F94" s="218">
        <f>+'Invullen groen'!I91</f>
        <v/>
      </c>
      <c r="G94" s="218">
        <f>+'Invullen groen'!J91</f>
        <v/>
      </c>
      <c r="H94" s="218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 s="418">
      <c r="A95" s="219">
        <f>+'Invullen groen'!A92</f>
        <v/>
      </c>
      <c r="B95" s="219">
        <f>+'Invullen groen'!C92</f>
        <v/>
      </c>
      <c r="C95" s="220">
        <f>+'Invullen groen'!G92</f>
        <v/>
      </c>
      <c r="D95" s="219">
        <f>+'Invullen groen'!M92</f>
        <v/>
      </c>
      <c r="E95" s="221">
        <f>+'Invullen groen'!H92</f>
        <v/>
      </c>
      <c r="F95" s="221">
        <f>+'Invullen groen'!I92</f>
        <v/>
      </c>
      <c r="G95" s="221">
        <f>+'Invullen groen'!J92</f>
        <v/>
      </c>
      <c r="H95" s="221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 s="418">
      <c r="A96" s="216">
        <f>+'Invullen groen'!A93</f>
        <v/>
      </c>
      <c r="B96" s="216">
        <f>+'Invullen groen'!C93</f>
        <v/>
      </c>
      <c r="C96" s="217">
        <f>+'Invullen groen'!G93</f>
        <v/>
      </c>
      <c r="D96" s="216">
        <f>+'Invullen groen'!M93</f>
        <v/>
      </c>
      <c r="E96" s="218">
        <f>+'Invullen groen'!H93</f>
        <v/>
      </c>
      <c r="F96" s="218">
        <f>+'Invullen groen'!I93</f>
        <v/>
      </c>
      <c r="G96" s="218">
        <f>+'Invullen groen'!J93</f>
        <v/>
      </c>
      <c r="H96" s="218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 s="418">
      <c r="A97" s="219">
        <f>+'Invullen groen'!A94</f>
        <v/>
      </c>
      <c r="B97" s="219">
        <f>+'Invullen groen'!C94</f>
        <v/>
      </c>
      <c r="C97" s="220">
        <f>+'Invullen groen'!G94</f>
        <v/>
      </c>
      <c r="D97" s="219">
        <f>+'Invullen groen'!M94</f>
        <v/>
      </c>
      <c r="E97" s="221">
        <f>+'Invullen groen'!H94</f>
        <v/>
      </c>
      <c r="F97" s="221">
        <f>+'Invullen groen'!I94</f>
        <v/>
      </c>
      <c r="G97" s="221">
        <f>+'Invullen groen'!J94</f>
        <v/>
      </c>
      <c r="H97" s="221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 s="418">
      <c r="A98" s="216">
        <f>+'Invullen groen'!A95</f>
        <v/>
      </c>
      <c r="B98" s="216">
        <f>+'Invullen groen'!C95</f>
        <v/>
      </c>
      <c r="C98" s="217">
        <f>+'Invullen groen'!G95</f>
        <v/>
      </c>
      <c r="D98" s="216">
        <f>+'Invullen groen'!M95</f>
        <v/>
      </c>
      <c r="E98" s="218">
        <f>+'Invullen groen'!H95</f>
        <v/>
      </c>
      <c r="F98" s="218">
        <f>+'Invullen groen'!I95</f>
        <v/>
      </c>
      <c r="G98" s="218">
        <f>+'Invullen groen'!J95</f>
        <v/>
      </c>
      <c r="H98" s="218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 s="418">
      <c r="A99" s="219">
        <f>+'Invullen groen'!A96</f>
        <v/>
      </c>
      <c r="B99" s="219">
        <f>+'Invullen groen'!C96</f>
        <v/>
      </c>
      <c r="C99" s="220">
        <f>+'Invullen groen'!G96</f>
        <v/>
      </c>
      <c r="D99" s="219">
        <f>+'Invullen groen'!M96</f>
        <v/>
      </c>
      <c r="E99" s="221">
        <f>+'Invullen groen'!H96</f>
        <v/>
      </c>
      <c r="F99" s="221">
        <f>+'Invullen groen'!I96</f>
        <v/>
      </c>
      <c r="G99" s="221">
        <f>+'Invullen groen'!J96</f>
        <v/>
      </c>
      <c r="H99" s="221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 s="418">
      <c r="A100" s="216">
        <f>+'Invullen groen'!A97</f>
        <v/>
      </c>
      <c r="B100" s="216">
        <f>+'Invullen groen'!C97</f>
        <v/>
      </c>
      <c r="C100" s="217">
        <f>+'Invullen groen'!G97</f>
        <v/>
      </c>
      <c r="D100" s="216">
        <f>+'Invullen groen'!M97</f>
        <v/>
      </c>
      <c r="E100" s="218">
        <f>+'Invullen groen'!H97</f>
        <v/>
      </c>
      <c r="F100" s="218">
        <f>+'Invullen groen'!I97</f>
        <v/>
      </c>
      <c r="G100" s="218">
        <f>+'Invullen groen'!J97</f>
        <v/>
      </c>
      <c r="H100" s="218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 s="418">
      <c r="A101" s="219">
        <f>+'Invullen groen'!A98</f>
        <v/>
      </c>
      <c r="B101" s="219">
        <f>+'Invullen groen'!C98</f>
        <v/>
      </c>
      <c r="C101" s="220">
        <f>+'Invullen groen'!G98</f>
        <v/>
      </c>
      <c r="D101" s="219">
        <f>+'Invullen groen'!M98</f>
        <v/>
      </c>
      <c r="E101" s="221">
        <f>+'Invullen groen'!H98</f>
        <v/>
      </c>
      <c r="F101" s="221">
        <f>+'Invullen groen'!I98</f>
        <v/>
      </c>
      <c r="G101" s="221">
        <f>+'Invullen groen'!J98</f>
        <v/>
      </c>
      <c r="H101" s="221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 s="418">
      <c r="A102" s="216">
        <f>+'Invullen groen'!A99</f>
        <v/>
      </c>
      <c r="B102" s="216">
        <f>+'Invullen groen'!C99</f>
        <v/>
      </c>
      <c r="C102" s="217">
        <f>+'Invullen groen'!G99</f>
        <v/>
      </c>
      <c r="D102" s="216">
        <f>+'Invullen groen'!M99</f>
        <v/>
      </c>
      <c r="E102" s="218">
        <f>+'Invullen groen'!H99</f>
        <v/>
      </c>
      <c r="F102" s="218">
        <f>+'Invullen groen'!I99</f>
        <v/>
      </c>
      <c r="G102" s="218">
        <f>+'Invullen groen'!J99</f>
        <v/>
      </c>
      <c r="H102" s="218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 s="418">
      <c r="A103" s="219">
        <f>+'Invullen groen'!A100</f>
        <v/>
      </c>
      <c r="B103" s="219">
        <f>+'Invullen groen'!C100</f>
        <v/>
      </c>
      <c r="C103" s="220">
        <f>+'Invullen groen'!G100</f>
        <v/>
      </c>
      <c r="D103" s="219">
        <f>+'Invullen groen'!M100</f>
        <v/>
      </c>
      <c r="E103" s="221">
        <f>+'Invullen groen'!H100</f>
        <v/>
      </c>
      <c r="F103" s="221">
        <f>+'Invullen groen'!I100</f>
        <v/>
      </c>
      <c r="G103" s="221">
        <f>+'Invullen groen'!J100</f>
        <v/>
      </c>
      <c r="H103" s="221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 s="418">
      <c r="A104" s="216">
        <f>+'Invullen groen'!A101</f>
        <v/>
      </c>
      <c r="B104" s="216">
        <f>+'Invullen groen'!C101</f>
        <v/>
      </c>
      <c r="C104" s="217">
        <f>+'Invullen groen'!G101</f>
        <v/>
      </c>
      <c r="D104" s="216">
        <f>+'Invullen groen'!M101</f>
        <v/>
      </c>
      <c r="E104" s="218">
        <f>+'Invullen groen'!H101</f>
        <v/>
      </c>
      <c r="F104" s="218">
        <f>+'Invullen groen'!I101</f>
        <v/>
      </c>
      <c r="G104" s="218">
        <f>+'Invullen groen'!J101</f>
        <v/>
      </c>
      <c r="H104" s="218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 s="418">
      <c r="A105" s="219">
        <f>+'Invullen groen'!A102</f>
        <v/>
      </c>
      <c r="B105" s="219">
        <f>+'Invullen groen'!C102</f>
        <v/>
      </c>
      <c r="C105" s="220">
        <f>+'Invullen groen'!G102</f>
        <v/>
      </c>
      <c r="D105" s="219">
        <f>+'Invullen groen'!M102</f>
        <v/>
      </c>
      <c r="E105" s="221">
        <f>+'Invullen groen'!H102</f>
        <v/>
      </c>
      <c r="F105" s="221">
        <f>+'Invullen groen'!I102</f>
        <v/>
      </c>
      <c r="G105" s="221">
        <f>+'Invullen groen'!J102</f>
        <v/>
      </c>
      <c r="H105" s="221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 s="418">
      <c r="A106" s="216">
        <f>+'Invullen groen'!A103</f>
        <v/>
      </c>
      <c r="B106" s="216">
        <f>+'Invullen groen'!C103</f>
        <v/>
      </c>
      <c r="C106" s="217">
        <f>+'Invullen groen'!G103</f>
        <v/>
      </c>
      <c r="D106" s="216">
        <f>+'Invullen groen'!M103</f>
        <v/>
      </c>
      <c r="E106" s="218">
        <f>+'Invullen groen'!H103</f>
        <v/>
      </c>
      <c r="F106" s="218">
        <f>+'Invullen groen'!I103</f>
        <v/>
      </c>
      <c r="G106" s="218">
        <f>+'Invullen groen'!J103</f>
        <v/>
      </c>
      <c r="H106" s="218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 s="418">
      <c r="A107" s="219">
        <f>+'Invullen groen'!A104</f>
        <v/>
      </c>
      <c r="B107" s="219">
        <f>+'Invullen groen'!C104</f>
        <v/>
      </c>
      <c r="C107" s="220">
        <f>+'Invullen groen'!G104</f>
        <v/>
      </c>
      <c r="D107" s="219">
        <f>+'Invullen groen'!M104</f>
        <v/>
      </c>
      <c r="E107" s="221">
        <f>+'Invullen groen'!H104</f>
        <v/>
      </c>
      <c r="F107" s="221">
        <f>+'Invullen groen'!I104</f>
        <v/>
      </c>
      <c r="G107" s="221">
        <f>+'Invullen groen'!J104</f>
        <v/>
      </c>
      <c r="H107" s="221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 s="418">
      <c r="A108" s="216">
        <f>+'Invullen groen'!A105</f>
        <v/>
      </c>
      <c r="B108" s="216">
        <f>+'Invullen groen'!C105</f>
        <v/>
      </c>
      <c r="C108" s="217">
        <f>+'Invullen groen'!G105</f>
        <v/>
      </c>
      <c r="D108" s="216">
        <f>+'Invullen groen'!M105</f>
        <v/>
      </c>
      <c r="E108" s="218">
        <f>+'Invullen groen'!H105</f>
        <v/>
      </c>
      <c r="F108" s="218">
        <f>+'Invullen groen'!I105</f>
        <v/>
      </c>
      <c r="G108" s="218">
        <f>+'Invullen groen'!J105</f>
        <v/>
      </c>
      <c r="H108" s="218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 s="418">
      <c r="A109" s="219">
        <f>+'Invullen groen'!A106</f>
        <v/>
      </c>
      <c r="B109" s="219">
        <f>+'Invullen groen'!C106</f>
        <v/>
      </c>
      <c r="C109" s="220">
        <f>+'Invullen groen'!G106</f>
        <v/>
      </c>
      <c r="D109" s="219">
        <f>+'Invullen groen'!M106</f>
        <v/>
      </c>
      <c r="E109" s="221">
        <f>+'Invullen groen'!H106</f>
        <v/>
      </c>
      <c r="F109" s="221">
        <f>+'Invullen groen'!I106</f>
        <v/>
      </c>
      <c r="G109" s="221">
        <f>+'Invullen groen'!J106</f>
        <v/>
      </c>
      <c r="H109" s="221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 s="418">
      <c r="A110" s="216">
        <f>+'Invullen groen'!A107</f>
        <v/>
      </c>
      <c r="B110" s="216">
        <f>+'Invullen groen'!C107</f>
        <v/>
      </c>
      <c r="C110" s="217">
        <f>+'Invullen groen'!G107</f>
        <v/>
      </c>
      <c r="D110" s="216">
        <f>+'Invullen groen'!M107</f>
        <v/>
      </c>
      <c r="E110" s="218">
        <f>+'Invullen groen'!H107</f>
        <v/>
      </c>
      <c r="F110" s="218">
        <f>+'Invullen groen'!I107</f>
        <v/>
      </c>
      <c r="G110" s="218">
        <f>+'Invullen groen'!J107</f>
        <v/>
      </c>
      <c r="H110" s="218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 s="418">
      <c r="A111" s="219">
        <f>+'Invullen groen'!A108</f>
        <v/>
      </c>
      <c r="B111" s="219">
        <f>+'Invullen groen'!C108</f>
        <v/>
      </c>
      <c r="C111" s="220">
        <f>+'Invullen groen'!G108</f>
        <v/>
      </c>
      <c r="D111" s="219">
        <f>+'Invullen groen'!M108</f>
        <v/>
      </c>
      <c r="E111" s="221">
        <f>+'Invullen groen'!H108</f>
        <v/>
      </c>
      <c r="F111" s="221">
        <f>+'Invullen groen'!I108</f>
        <v/>
      </c>
      <c r="G111" s="221">
        <f>+'Invullen groen'!J108</f>
        <v/>
      </c>
      <c r="H111" s="221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 s="418">
      <c r="A112" s="216">
        <f>+'Invullen groen'!A109</f>
        <v/>
      </c>
      <c r="B112" s="216">
        <f>+'Invullen groen'!C109</f>
        <v/>
      </c>
      <c r="C112" s="217">
        <f>+'Invullen groen'!G109</f>
        <v/>
      </c>
      <c r="D112" s="216">
        <f>+'Invullen groen'!M109</f>
        <v/>
      </c>
      <c r="E112" s="228">
        <f>+'Invullen groen'!H109</f>
        <v/>
      </c>
      <c r="F112" s="228">
        <f>+'Invullen groen'!I109</f>
        <v/>
      </c>
      <c r="G112" s="228">
        <f>+'Invullen groen'!J109</f>
        <v/>
      </c>
      <c r="H112" s="228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32">
      <c r="A113" s="229">
        <f>+'Invullen groen'!A110</f>
        <v/>
      </c>
      <c r="B113" s="229" t="n"/>
      <c r="C113" s="230">
        <f>+'Invullen groen'!G110</f>
        <v/>
      </c>
      <c r="D113" s="229">
        <f>+'Invullen groen'!M110</f>
        <v/>
      </c>
      <c r="E113" s="231">
        <f>+'Invullen groen'!H110</f>
        <v/>
      </c>
      <c r="F113" s="231">
        <f>+'Invullen groen'!I110</f>
        <v/>
      </c>
      <c r="G113" s="231">
        <f>+'Invullen groen'!J110</f>
        <v/>
      </c>
      <c r="H113" s="231">
        <f>+'Invullen groen'!K110</f>
        <v/>
      </c>
      <c r="I113" s="156">
        <f>+'Invullen groen'!AW110</f>
        <v/>
      </c>
      <c r="J113" s="156">
        <f>+'Invullen groen'!AX110</f>
        <v/>
      </c>
      <c r="K113" s="156">
        <f>+'Invullen groen'!AY110</f>
        <v/>
      </c>
      <c r="L113" s="156">
        <f>+'Invullen groen'!AZ110</f>
        <v/>
      </c>
      <c r="M113" s="156">
        <f>+'Invullen groen'!BA110</f>
        <v/>
      </c>
      <c r="N113" s="156">
        <f>+'Invullen groen'!BB110</f>
        <v/>
      </c>
      <c r="O113" s="156">
        <f>+'Invullen groen'!BC110</f>
        <v/>
      </c>
      <c r="P113" s="156">
        <f>+'Invullen groen'!BD110</f>
        <v/>
      </c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  <c r="AA113" s="35" t="n"/>
      <c r="AB113" s="35" t="n"/>
      <c r="AC113" s="35" t="n"/>
      <c r="AD113" s="35" t="n"/>
      <c r="AE113" s="35" t="n"/>
      <c r="AF113" s="35" t="n"/>
      <c r="AG113" s="35" t="n"/>
      <c r="AH113" s="35" t="n"/>
      <c r="AI113" s="35" t="n"/>
      <c r="AJ113" s="35" t="n"/>
      <c r="AK113" s="35" t="n"/>
      <c r="AL113" s="35" t="n"/>
      <c r="AM113" s="35" t="n"/>
      <c r="AN113" s="35" t="n"/>
      <c r="AO113" s="35" t="n"/>
      <c r="AP113" s="35" t="n"/>
      <c r="AQ113" s="35" t="n"/>
      <c r="AR113" s="35" t="n"/>
      <c r="AS113" s="35" t="n"/>
      <c r="AT113" s="35" t="n"/>
      <c r="AU113" s="35" t="n"/>
      <c r="AV113" s="35" t="n"/>
      <c r="AW113" s="35" t="n"/>
      <c r="AX113" s="35" t="n"/>
      <c r="AY113" s="35" t="n"/>
      <c r="AZ113" s="35" t="n"/>
      <c r="BA113" s="35" t="n"/>
      <c r="BB113" s="35" t="n"/>
      <c r="BC113" s="35" t="n"/>
      <c r="BD113" s="35" t="n"/>
      <c r="BE113" s="35" t="n"/>
      <c r="BF113" s="35" t="n"/>
      <c r="BG113" s="35" t="n"/>
      <c r="BH113" s="35" t="n"/>
      <c r="BI113" s="35" t="n"/>
      <c r="BJ113" s="35" t="n"/>
      <c r="BK113" s="35" t="n"/>
      <c r="BL113" s="35" t="n"/>
      <c r="BM113" s="35" t="n"/>
      <c r="BN113" s="35" t="n"/>
      <c r="BO113" s="35" t="n"/>
    </row>
    <row r="114" ht="15" customHeight="1" s="418">
      <c r="A114" s="232">
        <f>+'Invullen groen'!A112</f>
        <v/>
      </c>
      <c r="B114" s="233">
        <f>+'Invullen groen'!C114</f>
        <v/>
      </c>
      <c r="C114" s="233">
        <f>+'Invullen groen'!G114</f>
        <v/>
      </c>
      <c r="D114" s="233">
        <f>+'Invullen groen'!M114</f>
        <v/>
      </c>
      <c r="E114" s="234">
        <f>+'Invullen groen'!H112</f>
        <v/>
      </c>
      <c r="F114" s="235">
        <f>+'Invullen groen'!I114</f>
        <v/>
      </c>
      <c r="G114" s="235">
        <f>+'Invullen groen'!J114</f>
        <v/>
      </c>
      <c r="H114" s="235">
        <f>+'Invullen groen'!K114</f>
        <v/>
      </c>
      <c r="I114" s="168">
        <f>+'Invullen groen'!AW114</f>
        <v/>
      </c>
      <c r="J114" s="168">
        <f>+'Invullen groen'!AX114</f>
        <v/>
      </c>
      <c r="K114" s="168">
        <f>+'Invullen groen'!AY114</f>
        <v/>
      </c>
      <c r="L114" s="168">
        <f>+'Invullen groen'!AZ114</f>
        <v/>
      </c>
      <c r="M114" s="168">
        <f>+'Invullen groen'!BA114</f>
        <v/>
      </c>
      <c r="N114" s="168">
        <f>+'Invullen groen'!BB114</f>
        <v/>
      </c>
      <c r="O114" s="168">
        <f>+'Invullen groen'!BC114</f>
        <v/>
      </c>
      <c r="P114" s="168">
        <f>+'Invullen groen'!BD114</f>
        <v/>
      </c>
      <c r="Q114" s="169" t="n"/>
    </row>
    <row r="115">
      <c r="A115" s="29">
        <f>+'Invullen groen'!A115</f>
        <v/>
      </c>
      <c r="B115" s="30" t="n"/>
      <c r="C115" s="6" t="n"/>
      <c r="D115" s="6">
        <f>+'Invullen groen'!M115</f>
        <v/>
      </c>
      <c r="E115" s="7">
        <f>+'Invullen groen'!H115</f>
        <v/>
      </c>
      <c r="F115" s="7">
        <f>+'Invullen groen'!I115</f>
        <v/>
      </c>
      <c r="G115" s="7">
        <f>+'Invullen groen'!J115</f>
        <v/>
      </c>
      <c r="H115" s="6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 s="418">
      <c r="A116" s="10">
        <f>+'Invullen groen'!A116</f>
        <v/>
      </c>
      <c r="B116" s="5">
        <f>+'Invullen groen'!C116</f>
        <v/>
      </c>
      <c r="C116" s="6">
        <f>+'Invullen groen'!G116</f>
        <v/>
      </c>
      <c r="D116" s="9">
        <f>+'Invullen groen'!M116</f>
        <v/>
      </c>
      <c r="E116" s="7">
        <f>+'Invullen groen'!H116</f>
        <v/>
      </c>
      <c r="F116" s="7">
        <f>+'Invullen groen'!I116</f>
        <v/>
      </c>
      <c r="G116" s="7">
        <f>+'Invullen groen'!J116</f>
        <v/>
      </c>
      <c r="H116" s="6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1">
        <f>+'Invullen groen'!A117</f>
        <v/>
      </c>
      <c r="B117" s="33">
        <f>+'Invullen groen'!C117</f>
        <v/>
      </c>
      <c r="C117" s="23" t="n"/>
      <c r="D117" s="12">
        <f>+'Invullen groen'!M117</f>
        <v/>
      </c>
      <c r="E117" s="13">
        <f>+'Invullen groen'!H117</f>
        <v/>
      </c>
      <c r="F117" s="13">
        <f>+'Invullen groen'!I117</f>
        <v/>
      </c>
      <c r="G117" s="13">
        <f>+'Invullen groen'!J117</f>
        <v/>
      </c>
      <c r="H117" s="13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1">
        <f>+'Invullen groen'!A118</f>
        <v/>
      </c>
      <c r="B118" s="33">
        <f>+'Invullen groen'!C118</f>
        <v/>
      </c>
      <c r="C118" s="24">
        <f>+'Invullen groen'!G118</f>
        <v/>
      </c>
      <c r="D118" s="12">
        <f>+'Invullen groen'!M118</f>
        <v/>
      </c>
      <c r="E118" s="13">
        <f>+'Invullen groen'!H118</f>
        <v/>
      </c>
      <c r="F118" s="13">
        <f>+'Invullen groen'!I118</f>
        <v/>
      </c>
      <c r="G118" s="13">
        <f>+'Invullen groen'!J118</f>
        <v/>
      </c>
      <c r="H118" s="13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 s="418">
      <c r="A119" s="14">
        <f>+'Invullen groen'!A119</f>
        <v/>
      </c>
      <c r="B119" s="15">
        <f>+'Invullen groen'!C119</f>
        <v/>
      </c>
      <c r="C119" s="25">
        <f>+'Invullen groen'!G119</f>
        <v/>
      </c>
      <c r="D119" s="16">
        <f>+'Invullen groen'!M119</f>
        <v/>
      </c>
      <c r="E119" s="17">
        <f>+'Invullen groen'!H119</f>
        <v/>
      </c>
      <c r="F119" s="17">
        <f>+'Invullen groen'!I119</f>
        <v/>
      </c>
      <c r="G119" s="17">
        <f>+'Invullen groen'!J119</f>
        <v/>
      </c>
      <c r="H119" s="17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 s="418">
      <c r="A120" s="170">
        <f>+'Invullen groen'!A120</f>
        <v/>
      </c>
      <c r="B120" s="171">
        <f>+'Invullen groen'!C120</f>
        <v/>
      </c>
      <c r="C120" s="172">
        <f>+'Invullen groen'!G120</f>
        <v/>
      </c>
      <c r="D120" s="173">
        <f>+'Invullen groen'!M120</f>
        <v/>
      </c>
      <c r="E120" s="174">
        <f>+'Invullen groen'!H120</f>
        <v/>
      </c>
      <c r="F120" s="174">
        <f>+'Invullen groen'!I120</f>
        <v/>
      </c>
      <c r="G120" s="174">
        <f>+'Invullen groen'!J120</f>
        <v/>
      </c>
      <c r="H120" s="174">
        <f>+'Invullen groen'!K120</f>
        <v/>
      </c>
      <c r="I120" s="175">
        <f>+'Invullen groen'!AW120</f>
        <v/>
      </c>
      <c r="J120" s="175">
        <f>+'Invullen groen'!AX120</f>
        <v/>
      </c>
      <c r="K120" s="175">
        <f>+'Invullen groen'!AY120</f>
        <v/>
      </c>
      <c r="L120" s="175">
        <f>+'Invullen groen'!AZ120</f>
        <v/>
      </c>
      <c r="M120" s="175">
        <f>+'Invullen groen'!BA120</f>
        <v/>
      </c>
      <c r="N120" s="175">
        <f>+'Invullen groen'!BB120</f>
        <v/>
      </c>
      <c r="O120" s="175">
        <f>+'Invullen groen'!BC120</f>
        <v/>
      </c>
      <c r="P120" s="175">
        <f>+'Invullen groen'!BD120</f>
        <v/>
      </c>
      <c r="Q120" s="175" t="n"/>
    </row>
    <row r="121" ht="15" customHeight="1" s="418">
      <c r="A121" s="14">
        <f>+'Invullen groen'!A121</f>
        <v/>
      </c>
      <c r="B121" s="15">
        <f>+'Invullen groen'!C121</f>
        <v/>
      </c>
      <c r="C121" s="25">
        <f>+'Invullen groen'!G121</f>
        <v/>
      </c>
      <c r="D121" s="16">
        <f>+'Invullen groen'!M121</f>
        <v/>
      </c>
      <c r="E121" s="17">
        <f>+'Invullen groen'!H121</f>
        <v/>
      </c>
      <c r="F121" s="17">
        <f>+'Invullen groen'!I121</f>
        <v/>
      </c>
      <c r="G121" s="17">
        <f>+'Invullen groen'!J121</f>
        <v/>
      </c>
      <c r="H121" s="17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 s="418">
      <c r="A122" s="14">
        <f>+'Invullen groen'!A122</f>
        <v/>
      </c>
      <c r="B122" s="15">
        <f>+'Invullen groen'!C122</f>
        <v/>
      </c>
      <c r="C122" s="25">
        <f>+'Invullen groen'!G122</f>
        <v/>
      </c>
      <c r="D122" s="16">
        <f>+'Invullen groen'!M122</f>
        <v/>
      </c>
      <c r="E122" s="17">
        <f>+'Invullen groen'!H122</f>
        <v/>
      </c>
      <c r="F122" s="17">
        <f>+'Invullen groen'!I122</f>
        <v/>
      </c>
      <c r="G122" s="17">
        <f>+'Invullen groen'!J122</f>
        <v/>
      </c>
      <c r="H122" s="17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 s="418">
      <c r="A123" s="14">
        <f>+'Invullen groen'!A123</f>
        <v/>
      </c>
      <c r="B123" s="15">
        <f>+'Invullen groen'!C123</f>
        <v/>
      </c>
      <c r="C123" s="25">
        <f>+'Invullen groen'!G123</f>
        <v/>
      </c>
      <c r="D123" s="16">
        <f>+'Invullen groen'!M123</f>
        <v/>
      </c>
      <c r="E123" s="17">
        <f>+'Invullen groen'!H123</f>
        <v/>
      </c>
      <c r="F123" s="17">
        <f>+'Invullen groen'!I123</f>
        <v/>
      </c>
      <c r="G123" s="17">
        <f>+'Invullen groen'!J123</f>
        <v/>
      </c>
      <c r="H123" s="17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 s="418">
      <c r="A124" s="14">
        <f>+'Invullen groen'!A124</f>
        <v/>
      </c>
      <c r="B124" s="15">
        <f>+'Invullen groen'!C124</f>
        <v/>
      </c>
      <c r="C124" s="25">
        <f>+'Invullen groen'!G124</f>
        <v/>
      </c>
      <c r="D124" s="16">
        <f>+'Invullen groen'!M124</f>
        <v/>
      </c>
      <c r="E124" s="17">
        <f>+'Invullen groen'!H124</f>
        <v/>
      </c>
      <c r="F124" s="17">
        <f>+'Invullen groen'!I124</f>
        <v/>
      </c>
      <c r="G124" s="17">
        <f>+'Invullen groen'!J124</f>
        <v/>
      </c>
      <c r="H124" s="17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 s="418">
      <c r="A125" s="14">
        <f>+'Invullen groen'!A125</f>
        <v/>
      </c>
      <c r="B125" s="15">
        <f>+'Invullen groen'!C125</f>
        <v/>
      </c>
      <c r="C125" s="25">
        <f>+'Invullen groen'!G125</f>
        <v/>
      </c>
      <c r="D125" s="16">
        <f>+'Invullen groen'!M125</f>
        <v/>
      </c>
      <c r="E125" s="17">
        <f>+'Invullen groen'!H125</f>
        <v/>
      </c>
      <c r="F125" s="17">
        <f>+'Invullen groen'!I125</f>
        <v/>
      </c>
      <c r="G125" s="17">
        <f>+'Invullen groen'!J125</f>
        <v/>
      </c>
      <c r="H125" s="17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 s="418">
      <c r="A126" s="14">
        <f>+'Invullen groen'!A126</f>
        <v/>
      </c>
      <c r="B126" s="15">
        <f>+'Invullen groen'!C126</f>
        <v/>
      </c>
      <c r="C126" s="25">
        <f>+'Invullen groen'!G126</f>
        <v/>
      </c>
      <c r="D126" s="16">
        <f>+'Invullen groen'!M126</f>
        <v/>
      </c>
      <c r="E126" s="17">
        <f>+'Invullen groen'!H126</f>
        <v/>
      </c>
      <c r="F126" s="17">
        <f>+'Invullen groen'!I126</f>
        <v/>
      </c>
      <c r="G126" s="17">
        <f>+'Invullen groen'!J126</f>
        <v/>
      </c>
      <c r="H126" s="17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 s="418">
      <c r="A127" s="14">
        <f>+'Invullen groen'!A127</f>
        <v/>
      </c>
      <c r="B127" s="15">
        <f>+'Invullen groen'!C127</f>
        <v/>
      </c>
      <c r="C127" s="25">
        <f>+'Invullen groen'!G127</f>
        <v/>
      </c>
      <c r="D127" s="16">
        <f>+'Invullen groen'!M127</f>
        <v/>
      </c>
      <c r="E127" s="17">
        <f>+'Invullen groen'!H127</f>
        <v/>
      </c>
      <c r="F127" s="17">
        <f>+'Invullen groen'!I127</f>
        <v/>
      </c>
      <c r="G127" s="17">
        <f>+'Invullen groen'!J127</f>
        <v/>
      </c>
      <c r="H127" s="17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 s="418">
      <c r="A128" s="14">
        <f>+'Invullen groen'!A128</f>
        <v/>
      </c>
      <c r="B128" s="15">
        <f>+'Invullen groen'!C128</f>
        <v/>
      </c>
      <c r="C128" s="25">
        <f>+'Invullen groen'!G128</f>
        <v/>
      </c>
      <c r="D128" s="16">
        <f>+'Invullen groen'!M128</f>
        <v/>
      </c>
      <c r="E128" s="17">
        <f>+'Invullen groen'!H128</f>
        <v/>
      </c>
      <c r="F128" s="17">
        <f>+'Invullen groen'!I128</f>
        <v/>
      </c>
      <c r="G128" s="17">
        <f>+'Invullen groen'!J128</f>
        <v/>
      </c>
      <c r="H128" s="17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 s="418">
      <c r="A129" s="14">
        <f>+'Invullen groen'!A129</f>
        <v/>
      </c>
      <c r="B129" s="15">
        <f>+'Invullen groen'!C129</f>
        <v/>
      </c>
      <c r="C129" s="25">
        <f>+'Invullen groen'!G129</f>
        <v/>
      </c>
      <c r="D129" s="16">
        <f>+'Invullen groen'!M129</f>
        <v/>
      </c>
      <c r="E129" s="17">
        <f>+'Invullen groen'!H129</f>
        <v/>
      </c>
      <c r="F129" s="17">
        <f>+'Invullen groen'!I129</f>
        <v/>
      </c>
      <c r="G129" s="17">
        <f>+'Invullen groen'!J129</f>
        <v/>
      </c>
      <c r="H129" s="17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 s="418">
      <c r="A130" s="14">
        <f>+'Invullen groen'!A130</f>
        <v/>
      </c>
      <c r="B130" s="15">
        <f>+'Invullen groen'!C130</f>
        <v/>
      </c>
      <c r="C130" s="25">
        <f>+'Invullen groen'!G130</f>
        <v/>
      </c>
      <c r="D130" s="16">
        <f>+'Invullen groen'!M130</f>
        <v/>
      </c>
      <c r="E130" s="17">
        <f>+'Invullen groen'!H130</f>
        <v/>
      </c>
      <c r="F130" s="17">
        <f>+'Invullen groen'!I130</f>
        <v/>
      </c>
      <c r="G130" s="17">
        <f>+'Invullen groen'!J130</f>
        <v/>
      </c>
      <c r="H130" s="17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 s="418">
      <c r="A131" s="14">
        <f>+'Invullen groen'!A131</f>
        <v/>
      </c>
      <c r="B131" s="15">
        <f>+'Invullen groen'!C131</f>
        <v/>
      </c>
      <c r="C131" s="25">
        <f>+'Invullen groen'!G131</f>
        <v/>
      </c>
      <c r="D131" s="16">
        <f>+'Invullen groen'!M131</f>
        <v/>
      </c>
      <c r="E131" s="17">
        <f>+'Invullen groen'!H131</f>
        <v/>
      </c>
      <c r="F131" s="17">
        <f>+'Invullen groen'!I131</f>
        <v/>
      </c>
      <c r="G131" s="17">
        <f>+'Invullen groen'!J131</f>
        <v/>
      </c>
      <c r="H131" s="17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 s="418">
      <c r="A132" s="14">
        <f>+'Invullen groen'!A132</f>
        <v/>
      </c>
      <c r="B132" s="15">
        <f>+'Invullen groen'!C132</f>
        <v/>
      </c>
      <c r="C132" s="25">
        <f>+'Invullen groen'!G132</f>
        <v/>
      </c>
      <c r="D132" s="16">
        <f>+'Invullen groen'!M132</f>
        <v/>
      </c>
      <c r="E132" s="17">
        <f>+'Invullen groen'!H132</f>
        <v/>
      </c>
      <c r="F132" s="17">
        <f>+'Invullen groen'!I132</f>
        <v/>
      </c>
      <c r="G132" s="17">
        <f>+'Invullen groen'!J132</f>
        <v/>
      </c>
      <c r="H132" s="17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 s="418">
      <c r="A133" s="14">
        <f>+'Invullen groen'!A133</f>
        <v/>
      </c>
      <c r="B133" s="15">
        <f>+'Invullen groen'!C133</f>
        <v/>
      </c>
      <c r="C133" s="25">
        <f>+'Invullen groen'!G133</f>
        <v/>
      </c>
      <c r="D133" s="16">
        <f>+'Invullen groen'!M133</f>
        <v/>
      </c>
      <c r="E133" s="17">
        <f>+'Invullen groen'!H133</f>
        <v/>
      </c>
      <c r="F133" s="17">
        <f>+'Invullen groen'!I133</f>
        <v/>
      </c>
      <c r="G133" s="17">
        <f>+'Invullen groen'!J133</f>
        <v/>
      </c>
      <c r="H133" s="17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 s="418">
      <c r="A134" s="14">
        <f>+'Invullen groen'!A134</f>
        <v/>
      </c>
      <c r="B134" s="15">
        <f>+'Invullen groen'!C134</f>
        <v/>
      </c>
      <c r="C134" s="25">
        <f>+'Invullen groen'!G134</f>
        <v/>
      </c>
      <c r="D134" s="16">
        <f>+'Invullen groen'!M134</f>
        <v/>
      </c>
      <c r="E134" s="17">
        <f>+'Invullen groen'!H134</f>
        <v/>
      </c>
      <c r="F134" s="17">
        <f>+'Invullen groen'!I134</f>
        <v/>
      </c>
      <c r="G134" s="17">
        <f>+'Invullen groen'!J134</f>
        <v/>
      </c>
      <c r="H134" s="17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 s="418">
      <c r="A135" s="14">
        <f>+'Invullen groen'!A135</f>
        <v/>
      </c>
      <c r="B135" s="15">
        <f>+'Invullen groen'!C135</f>
        <v/>
      </c>
      <c r="C135" s="25">
        <f>+'Invullen groen'!G135</f>
        <v/>
      </c>
      <c r="D135" s="16">
        <f>+'Invullen groen'!M135</f>
        <v/>
      </c>
      <c r="E135" s="17">
        <f>+'Invullen groen'!H135</f>
        <v/>
      </c>
      <c r="F135" s="17">
        <f>+'Invullen groen'!I135</f>
        <v/>
      </c>
      <c r="G135" s="17">
        <f>+'Invullen groen'!J135</f>
        <v/>
      </c>
      <c r="H135" s="17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 s="418">
      <c r="A136" s="14">
        <f>+'Invullen groen'!A136</f>
        <v/>
      </c>
      <c r="B136" s="15">
        <f>+'Invullen groen'!C136</f>
        <v/>
      </c>
      <c r="C136" s="25">
        <f>+'Invullen groen'!G136</f>
        <v/>
      </c>
      <c r="D136" s="16">
        <f>+'Invullen groen'!M136</f>
        <v/>
      </c>
      <c r="E136" s="17">
        <f>+'Invullen groen'!H136</f>
        <v/>
      </c>
      <c r="F136" s="17">
        <f>+'Invullen groen'!I136</f>
        <v/>
      </c>
      <c r="G136" s="17">
        <f>+'Invullen groen'!J136</f>
        <v/>
      </c>
      <c r="H136" s="17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 s="418">
      <c r="A137" s="14">
        <f>+'Invullen groen'!A137</f>
        <v/>
      </c>
      <c r="B137" s="15">
        <f>+'Invullen groen'!C137</f>
        <v/>
      </c>
      <c r="C137" s="25">
        <f>+'Invullen groen'!G137</f>
        <v/>
      </c>
      <c r="D137" s="16">
        <f>+'Invullen groen'!M137</f>
        <v/>
      </c>
      <c r="E137" s="17">
        <f>+'Invullen groen'!H137</f>
        <v/>
      </c>
      <c r="F137" s="17">
        <f>+'Invullen groen'!I137</f>
        <v/>
      </c>
      <c r="G137" s="17">
        <f>+'Invullen groen'!J137</f>
        <v/>
      </c>
      <c r="H137" s="17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 s="418">
      <c r="A138" s="14">
        <f>+'Invullen groen'!A138</f>
        <v/>
      </c>
      <c r="B138" s="15">
        <f>+'Invullen groen'!C138</f>
        <v/>
      </c>
      <c r="C138" s="25">
        <f>+'Invullen groen'!G138</f>
        <v/>
      </c>
      <c r="D138" s="16">
        <f>+'Invullen groen'!M138</f>
        <v/>
      </c>
      <c r="E138" s="17">
        <f>+'Invullen groen'!H138</f>
        <v/>
      </c>
      <c r="F138" s="17">
        <f>+'Invullen groen'!I138</f>
        <v/>
      </c>
      <c r="G138" s="17">
        <f>+'Invullen groen'!J138</f>
        <v/>
      </c>
      <c r="H138" s="17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 s="418">
      <c r="A139" s="14">
        <f>+'Invullen groen'!A139</f>
        <v/>
      </c>
      <c r="B139" s="15">
        <f>+'Invullen groen'!C139</f>
        <v/>
      </c>
      <c r="C139" s="25">
        <f>+'Invullen groen'!G139</f>
        <v/>
      </c>
      <c r="D139" s="16">
        <f>+'Invullen groen'!M139</f>
        <v/>
      </c>
      <c r="E139" s="17">
        <f>+'Invullen groen'!H139</f>
        <v/>
      </c>
      <c r="F139" s="17">
        <f>+'Invullen groen'!I139</f>
        <v/>
      </c>
      <c r="G139" s="17">
        <f>+'Invullen groen'!J139</f>
        <v/>
      </c>
      <c r="H139" s="17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 s="418">
      <c r="A140" s="14">
        <f>+'Invullen groen'!A140</f>
        <v/>
      </c>
      <c r="B140" s="15">
        <f>+'Invullen groen'!C140</f>
        <v/>
      </c>
      <c r="C140" s="25">
        <f>+'Invullen groen'!G140</f>
        <v/>
      </c>
      <c r="D140" s="16">
        <f>+'Invullen groen'!M140</f>
        <v/>
      </c>
      <c r="E140" s="17">
        <f>+'Invullen groen'!H140</f>
        <v/>
      </c>
      <c r="F140" s="17">
        <f>+'Invullen groen'!I140</f>
        <v/>
      </c>
      <c r="G140" s="17">
        <f>+'Invullen groen'!J140</f>
        <v/>
      </c>
      <c r="H140" s="17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 s="418">
      <c r="A141" s="14">
        <f>+'Invullen groen'!A141</f>
        <v/>
      </c>
      <c r="B141" s="15">
        <f>+'Invullen groen'!C141</f>
        <v/>
      </c>
      <c r="C141" s="25">
        <f>+'Invullen groen'!G141</f>
        <v/>
      </c>
      <c r="D141" s="16">
        <f>+'Invullen groen'!M141</f>
        <v/>
      </c>
      <c r="E141" s="17">
        <f>+'Invullen groen'!H141</f>
        <v/>
      </c>
      <c r="F141" s="17">
        <f>+'Invullen groen'!I141</f>
        <v/>
      </c>
      <c r="G141" s="17">
        <f>+'Invullen groen'!J141</f>
        <v/>
      </c>
      <c r="H141" s="17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 s="418">
      <c r="A142" s="14">
        <f>+'Invullen groen'!A142</f>
        <v/>
      </c>
      <c r="B142" s="15">
        <f>+'Invullen groen'!C142</f>
        <v/>
      </c>
      <c r="C142" s="25">
        <f>+'Invullen groen'!G142</f>
        <v/>
      </c>
      <c r="D142" s="16">
        <f>+'Invullen groen'!M142</f>
        <v/>
      </c>
      <c r="E142" s="17">
        <f>+'Invullen groen'!H142</f>
        <v/>
      </c>
      <c r="F142" s="17">
        <f>+'Invullen groen'!I142</f>
        <v/>
      </c>
      <c r="G142" s="17">
        <f>+'Invullen groen'!J142</f>
        <v/>
      </c>
      <c r="H142" s="17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 s="418">
      <c r="A143" s="14">
        <f>+'Invullen groen'!A143</f>
        <v/>
      </c>
      <c r="B143" s="15">
        <f>+'Invullen groen'!C143</f>
        <v/>
      </c>
      <c r="C143" s="25">
        <f>+'Invullen groen'!G143</f>
        <v/>
      </c>
      <c r="D143" s="16">
        <f>+'Invullen groen'!M143</f>
        <v/>
      </c>
      <c r="E143" s="17">
        <f>+'Invullen groen'!H143</f>
        <v/>
      </c>
      <c r="F143" s="17">
        <f>+'Invullen groen'!I143</f>
        <v/>
      </c>
      <c r="G143" s="17">
        <f>+'Invullen groen'!J143</f>
        <v/>
      </c>
      <c r="H143" s="17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 s="418">
      <c r="A144" s="14">
        <f>+'Invullen groen'!A144</f>
        <v/>
      </c>
      <c r="B144" s="15">
        <f>+'Invullen groen'!C144</f>
        <v/>
      </c>
      <c r="C144" s="25">
        <f>+'Invullen groen'!G144</f>
        <v/>
      </c>
      <c r="D144" s="16">
        <f>+'Invullen groen'!M144</f>
        <v/>
      </c>
      <c r="E144" s="17">
        <f>+'Invullen groen'!H144</f>
        <v/>
      </c>
      <c r="F144" s="17">
        <f>+'Invullen groen'!I144</f>
        <v/>
      </c>
      <c r="G144" s="17">
        <f>+'Invullen groen'!J144</f>
        <v/>
      </c>
      <c r="H144" s="17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 s="418">
      <c r="A145" s="14">
        <f>+'Invullen groen'!A145</f>
        <v/>
      </c>
      <c r="B145" s="15">
        <f>+'Invullen groen'!C145</f>
        <v/>
      </c>
      <c r="C145" s="25">
        <f>+'Invullen groen'!G145</f>
        <v/>
      </c>
      <c r="D145" s="16">
        <f>+'Invullen groen'!M145</f>
        <v/>
      </c>
      <c r="E145" s="17">
        <f>+'Invullen groen'!H145</f>
        <v/>
      </c>
      <c r="F145" s="17">
        <f>+'Invullen groen'!I145</f>
        <v/>
      </c>
      <c r="G145" s="17">
        <f>+'Invullen groen'!J145</f>
        <v/>
      </c>
      <c r="H145" s="17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 s="418">
      <c r="A146" s="14">
        <f>+'Invullen groen'!A146</f>
        <v/>
      </c>
      <c r="B146" s="15">
        <f>+'Invullen groen'!C146</f>
        <v/>
      </c>
      <c r="C146" s="25">
        <f>+'Invullen groen'!G146</f>
        <v/>
      </c>
      <c r="D146" s="16">
        <f>+'Invullen groen'!M146</f>
        <v/>
      </c>
      <c r="E146" s="17">
        <f>+'Invullen groen'!H146</f>
        <v/>
      </c>
      <c r="F146" s="17">
        <f>+'Invullen groen'!I146</f>
        <v/>
      </c>
      <c r="G146" s="17">
        <f>+'Invullen groen'!J146</f>
        <v/>
      </c>
      <c r="H146" s="17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 s="418">
      <c r="A147" s="14">
        <f>+'Invullen groen'!A147</f>
        <v/>
      </c>
      <c r="B147" s="15">
        <f>+'Invullen groen'!C147</f>
        <v/>
      </c>
      <c r="C147" s="25">
        <f>+'Invullen groen'!G147</f>
        <v/>
      </c>
      <c r="D147" s="16">
        <f>+'Invullen groen'!M147</f>
        <v/>
      </c>
      <c r="E147" s="17">
        <f>+'Invullen groen'!H147</f>
        <v/>
      </c>
      <c r="F147" s="17">
        <f>+'Invullen groen'!I147</f>
        <v/>
      </c>
      <c r="G147" s="17">
        <f>+'Invullen groen'!J147</f>
        <v/>
      </c>
      <c r="H147" s="17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 s="418">
      <c r="A148" s="14">
        <f>+'Invullen groen'!A148</f>
        <v/>
      </c>
      <c r="B148" s="15">
        <f>+'Invullen groen'!C148</f>
        <v/>
      </c>
      <c r="C148" s="25">
        <f>+'Invullen groen'!G148</f>
        <v/>
      </c>
      <c r="D148" s="16">
        <f>+'Invullen groen'!M148</f>
        <v/>
      </c>
      <c r="E148" s="17">
        <f>+'Invullen groen'!H148</f>
        <v/>
      </c>
      <c r="F148" s="17">
        <f>+'Invullen groen'!I148</f>
        <v/>
      </c>
      <c r="G148" s="17">
        <f>+'Invullen groen'!J148</f>
        <v/>
      </c>
      <c r="H148" s="17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 s="418">
      <c r="A149" s="14">
        <f>+'Invullen groen'!A149</f>
        <v/>
      </c>
      <c r="B149" s="15">
        <f>+'Invullen groen'!C149</f>
        <v/>
      </c>
      <c r="C149" s="25">
        <f>+'Invullen groen'!G149</f>
        <v/>
      </c>
      <c r="D149" s="16">
        <f>+'Invullen groen'!M149</f>
        <v/>
      </c>
      <c r="E149" s="17">
        <f>+'Invullen groen'!H149</f>
        <v/>
      </c>
      <c r="F149" s="17">
        <f>+'Invullen groen'!I149</f>
        <v/>
      </c>
      <c r="G149" s="17">
        <f>+'Invullen groen'!J149</f>
        <v/>
      </c>
      <c r="H149" s="17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 s="418">
      <c r="A150" s="14">
        <f>+'Invullen groen'!A150</f>
        <v/>
      </c>
      <c r="B150" s="15">
        <f>+'Invullen groen'!C150</f>
        <v/>
      </c>
      <c r="C150" s="25">
        <f>+'Invullen groen'!G150</f>
        <v/>
      </c>
      <c r="D150" s="16">
        <f>+'Invullen groen'!M150</f>
        <v/>
      </c>
      <c r="E150" s="17">
        <f>+'Invullen groen'!H150</f>
        <v/>
      </c>
      <c r="F150" s="17">
        <f>+'Invullen groen'!I150</f>
        <v/>
      </c>
      <c r="G150" s="17">
        <f>+'Invullen groen'!J150</f>
        <v/>
      </c>
      <c r="H150" s="17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 s="418">
      <c r="A151" s="14">
        <f>+'Invullen groen'!A151</f>
        <v/>
      </c>
      <c r="B151" s="15">
        <f>+'Invullen groen'!C151</f>
        <v/>
      </c>
      <c r="C151" s="25">
        <f>+'Invullen groen'!G151</f>
        <v/>
      </c>
      <c r="D151" s="16">
        <f>+'Invullen groen'!M151</f>
        <v/>
      </c>
      <c r="E151" s="17">
        <f>+'Invullen groen'!H151</f>
        <v/>
      </c>
      <c r="F151" s="17">
        <f>+'Invullen groen'!I151</f>
        <v/>
      </c>
      <c r="G151" s="17">
        <f>+'Invullen groen'!J151</f>
        <v/>
      </c>
      <c r="H151" s="17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 s="418">
      <c r="A152" s="14">
        <f>+'Invullen groen'!A152</f>
        <v/>
      </c>
      <c r="B152" s="15">
        <f>+'Invullen groen'!C152</f>
        <v/>
      </c>
      <c r="C152" s="25">
        <f>+'Invullen groen'!G152</f>
        <v/>
      </c>
      <c r="D152" s="16">
        <f>+'Invullen groen'!M152</f>
        <v/>
      </c>
      <c r="E152" s="17">
        <f>+'Invullen groen'!H152</f>
        <v/>
      </c>
      <c r="F152" s="17">
        <f>+'Invullen groen'!I152</f>
        <v/>
      </c>
      <c r="G152" s="17">
        <f>+'Invullen groen'!J152</f>
        <v/>
      </c>
      <c r="H152" s="17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 s="418">
      <c r="A153" s="14">
        <f>+'Invullen groen'!A153</f>
        <v/>
      </c>
      <c r="B153" s="15">
        <f>+'Invullen groen'!C153</f>
        <v/>
      </c>
      <c r="C153" s="25">
        <f>+'Invullen groen'!G153</f>
        <v/>
      </c>
      <c r="D153" s="16">
        <f>+'Invullen groen'!M153</f>
        <v/>
      </c>
      <c r="E153" s="17">
        <f>+'Invullen groen'!H153</f>
        <v/>
      </c>
      <c r="F153" s="17">
        <f>+'Invullen groen'!I153</f>
        <v/>
      </c>
      <c r="G153" s="17">
        <f>+'Invullen groen'!J153</f>
        <v/>
      </c>
      <c r="H153" s="17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 s="418">
      <c r="A154" s="14">
        <f>+'Invullen groen'!A154</f>
        <v/>
      </c>
      <c r="B154" s="15">
        <f>+'Invullen groen'!C154</f>
        <v/>
      </c>
      <c r="C154" s="25">
        <f>+'Invullen groen'!G154</f>
        <v/>
      </c>
      <c r="D154" s="16">
        <f>+'Invullen groen'!M154</f>
        <v/>
      </c>
      <c r="E154" s="17">
        <f>+'Invullen groen'!H154</f>
        <v/>
      </c>
      <c r="F154" s="17">
        <f>+'Invullen groen'!I154</f>
        <v/>
      </c>
      <c r="G154" s="17">
        <f>+'Invullen groen'!J154</f>
        <v/>
      </c>
      <c r="H154" s="17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 s="418">
      <c r="A155" s="14">
        <f>+'Invullen groen'!A155</f>
        <v/>
      </c>
      <c r="B155" s="15">
        <f>+'Invullen groen'!C155</f>
        <v/>
      </c>
      <c r="C155" s="25">
        <f>+'Invullen groen'!G155</f>
        <v/>
      </c>
      <c r="D155" s="16">
        <f>+'Invullen groen'!M155</f>
        <v/>
      </c>
      <c r="E155" s="17">
        <f>+'Invullen groen'!H155</f>
        <v/>
      </c>
      <c r="F155" s="17">
        <f>+'Invullen groen'!I155</f>
        <v/>
      </c>
      <c r="G155" s="17">
        <f>+'Invullen groen'!J155</f>
        <v/>
      </c>
      <c r="H155" s="17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 s="418">
      <c r="A156" s="14">
        <f>+'Invullen groen'!A156</f>
        <v/>
      </c>
      <c r="B156" s="15">
        <f>+'Invullen groen'!C156</f>
        <v/>
      </c>
      <c r="C156" s="25">
        <f>+'Invullen groen'!G156</f>
        <v/>
      </c>
      <c r="D156" s="16">
        <f>+'Invullen groen'!M156</f>
        <v/>
      </c>
      <c r="E156" s="17">
        <f>+'Invullen groen'!H156</f>
        <v/>
      </c>
      <c r="F156" s="17">
        <f>+'Invullen groen'!I156</f>
        <v/>
      </c>
      <c r="G156" s="17">
        <f>+'Invullen groen'!J156</f>
        <v/>
      </c>
      <c r="H156" s="17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 s="418">
      <c r="A157" s="14">
        <f>+'Invullen groen'!A157</f>
        <v/>
      </c>
      <c r="B157" s="15">
        <f>+'Invullen groen'!C157</f>
        <v/>
      </c>
      <c r="C157" s="25">
        <f>+'Invullen groen'!G157</f>
        <v/>
      </c>
      <c r="D157" s="16">
        <f>+'Invullen groen'!M157</f>
        <v/>
      </c>
      <c r="E157" s="17">
        <f>+'Invullen groen'!H157</f>
        <v/>
      </c>
      <c r="F157" s="17">
        <f>+'Invullen groen'!I157</f>
        <v/>
      </c>
      <c r="G157" s="17">
        <f>+'Invullen groen'!J157</f>
        <v/>
      </c>
      <c r="H157" s="17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 s="418">
      <c r="A158" s="14">
        <f>+'Invullen groen'!A158</f>
        <v/>
      </c>
      <c r="B158" s="15">
        <f>+'Invullen groen'!C158</f>
        <v/>
      </c>
      <c r="C158" s="25">
        <f>+'Invullen groen'!G158</f>
        <v/>
      </c>
      <c r="D158" s="16">
        <f>+'Invullen groen'!M158</f>
        <v/>
      </c>
      <c r="E158" s="17">
        <f>+'Invullen groen'!H158</f>
        <v/>
      </c>
      <c r="F158" s="17">
        <f>+'Invullen groen'!I158</f>
        <v/>
      </c>
      <c r="G158" s="17">
        <f>+'Invullen groen'!J158</f>
        <v/>
      </c>
      <c r="H158" s="17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 s="418">
      <c r="A159" s="14">
        <f>+'Invullen groen'!A159</f>
        <v/>
      </c>
      <c r="B159" s="15">
        <f>+'Invullen groen'!C159</f>
        <v/>
      </c>
      <c r="C159" s="25">
        <f>+'Invullen groen'!G159</f>
        <v/>
      </c>
      <c r="D159" s="16">
        <f>+'Invullen groen'!M159</f>
        <v/>
      </c>
      <c r="E159" s="17">
        <f>+'Invullen groen'!H159</f>
        <v/>
      </c>
      <c r="F159" s="17">
        <f>+'Invullen groen'!I159</f>
        <v/>
      </c>
      <c r="G159" s="17">
        <f>+'Invullen groen'!J159</f>
        <v/>
      </c>
      <c r="H159" s="17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 s="418">
      <c r="A160" s="14">
        <f>+'Invullen groen'!A160</f>
        <v/>
      </c>
      <c r="B160" s="15">
        <f>+'Invullen groen'!C160</f>
        <v/>
      </c>
      <c r="C160" s="25">
        <f>+'Invullen groen'!G160</f>
        <v/>
      </c>
      <c r="D160" s="16">
        <f>+'Invullen groen'!M160</f>
        <v/>
      </c>
      <c r="E160" s="17">
        <f>+'Invullen groen'!H160</f>
        <v/>
      </c>
      <c r="F160" s="17">
        <f>+'Invullen groen'!I160</f>
        <v/>
      </c>
      <c r="G160" s="17">
        <f>+'Invullen groen'!J160</f>
        <v/>
      </c>
      <c r="H160" s="17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 s="418">
      <c r="A161" s="14">
        <f>+'Invullen groen'!A161</f>
        <v/>
      </c>
      <c r="B161" s="15">
        <f>+'Invullen groen'!C161</f>
        <v/>
      </c>
      <c r="C161" s="25">
        <f>+'Invullen groen'!G161</f>
        <v/>
      </c>
      <c r="D161" s="16">
        <f>+'Invullen groen'!M161</f>
        <v/>
      </c>
      <c r="E161" s="17">
        <f>+'Invullen groen'!H161</f>
        <v/>
      </c>
      <c r="F161" s="17">
        <f>+'Invullen groen'!I161</f>
        <v/>
      </c>
      <c r="G161" s="17">
        <f>+'Invullen groen'!J161</f>
        <v/>
      </c>
      <c r="H161" s="17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 s="418">
      <c r="A162" s="14">
        <f>+'Invullen groen'!A162</f>
        <v/>
      </c>
      <c r="B162" s="15">
        <f>+'Invullen groen'!C162</f>
        <v/>
      </c>
      <c r="C162" s="25">
        <f>+'Invullen groen'!G162</f>
        <v/>
      </c>
      <c r="D162" s="16">
        <f>+'Invullen groen'!M162</f>
        <v/>
      </c>
      <c r="E162" s="17">
        <f>+'Invullen groen'!H162</f>
        <v/>
      </c>
      <c r="F162" s="17">
        <f>+'Invullen groen'!I162</f>
        <v/>
      </c>
      <c r="G162" s="17">
        <f>+'Invullen groen'!J162</f>
        <v/>
      </c>
      <c r="H162" s="17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 s="418">
      <c r="A163" s="14">
        <f>+'Invullen groen'!A163</f>
        <v/>
      </c>
      <c r="B163" s="15">
        <f>+'Invullen groen'!C163</f>
        <v/>
      </c>
      <c r="C163" s="25">
        <f>+'Invullen groen'!G163</f>
        <v/>
      </c>
      <c r="D163" s="16">
        <f>+'Invullen groen'!M163</f>
        <v/>
      </c>
      <c r="E163" s="17">
        <f>+'Invullen groen'!H163</f>
        <v/>
      </c>
      <c r="F163" s="17">
        <f>+'Invullen groen'!I163</f>
        <v/>
      </c>
      <c r="G163" s="17">
        <f>+'Invullen groen'!J163</f>
        <v/>
      </c>
      <c r="H163" s="17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 s="418">
      <c r="A164" s="14">
        <f>+'Invullen groen'!A164</f>
        <v/>
      </c>
      <c r="B164" s="15">
        <f>+'Invullen groen'!C164</f>
        <v/>
      </c>
      <c r="C164" s="25">
        <f>+'Invullen groen'!G164</f>
        <v/>
      </c>
      <c r="D164" s="16">
        <f>+'Invullen groen'!M164</f>
        <v/>
      </c>
      <c r="E164" s="17">
        <f>+'Invullen groen'!H164</f>
        <v/>
      </c>
      <c r="F164" s="17">
        <f>+'Invullen groen'!I164</f>
        <v/>
      </c>
      <c r="G164" s="17">
        <f>+'Invullen groen'!J164</f>
        <v/>
      </c>
      <c r="H164" s="17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 s="418">
      <c r="A165" s="14">
        <f>+'Invullen groen'!A165</f>
        <v/>
      </c>
      <c r="B165" s="15">
        <f>+'Invullen groen'!C165</f>
        <v/>
      </c>
      <c r="C165" s="25">
        <f>+'Invullen groen'!G165</f>
        <v/>
      </c>
      <c r="D165" s="16">
        <f>+'Invullen groen'!M165</f>
        <v/>
      </c>
      <c r="E165" s="17">
        <f>+'Invullen groen'!H165</f>
        <v/>
      </c>
      <c r="F165" s="17">
        <f>+'Invullen groen'!I165</f>
        <v/>
      </c>
      <c r="G165" s="17">
        <f>+'Invullen groen'!J165</f>
        <v/>
      </c>
      <c r="H165" s="17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 s="418">
      <c r="A166" s="14">
        <f>+'Invullen groen'!A166</f>
        <v/>
      </c>
      <c r="B166" s="15">
        <f>+'Invullen groen'!C166</f>
        <v/>
      </c>
      <c r="C166" s="25">
        <f>+'Invullen groen'!G166</f>
        <v/>
      </c>
      <c r="D166" s="16">
        <f>+'Invullen groen'!M166</f>
        <v/>
      </c>
      <c r="E166" s="17">
        <f>+'Invullen groen'!H166</f>
        <v/>
      </c>
      <c r="F166" s="17">
        <f>+'Invullen groen'!I166</f>
        <v/>
      </c>
      <c r="G166" s="17">
        <f>+'Invullen groen'!J166</f>
        <v/>
      </c>
      <c r="H166" s="17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 s="418">
      <c r="A167" s="14">
        <f>+'Invullen groen'!A167</f>
        <v/>
      </c>
      <c r="B167" s="15">
        <f>+'Invullen groen'!C167</f>
        <v/>
      </c>
      <c r="C167" s="25">
        <f>+'Invullen groen'!G167</f>
        <v/>
      </c>
      <c r="D167" s="16">
        <f>+'Invullen groen'!M167</f>
        <v/>
      </c>
      <c r="E167" s="19">
        <f>+'Invullen groen'!H167</f>
        <v/>
      </c>
      <c r="F167" s="19">
        <f>+'Invullen groen'!I167</f>
        <v/>
      </c>
      <c r="G167" s="19">
        <f>+'Invullen groen'!J167</f>
        <v/>
      </c>
      <c r="H167" s="19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32">
      <c r="A168" s="22">
        <f>+'Invullen groen'!A168</f>
        <v/>
      </c>
      <c r="B168" s="31">
        <f>+'Invullen groen'!C168</f>
        <v/>
      </c>
      <c r="C168" s="26">
        <f>+'Invullen groen'!G168</f>
        <v/>
      </c>
      <c r="D168" s="20">
        <f>+'Invullen groen'!M168</f>
        <v/>
      </c>
      <c r="E168" s="21">
        <f>+'Invullen groen'!H168</f>
        <v/>
      </c>
      <c r="F168" s="21">
        <f>+'Invullen groen'!I168</f>
        <v/>
      </c>
      <c r="G168" s="21">
        <f>+'Invullen groen'!J168</f>
        <v/>
      </c>
      <c r="H168" s="21">
        <f>+'Invullen groen'!K168</f>
        <v/>
      </c>
      <c r="I168" s="35">
        <f>+'Invullen groen'!AW168</f>
        <v/>
      </c>
      <c r="J168" s="35">
        <f>+'Invullen groen'!AX168</f>
        <v/>
      </c>
      <c r="K168" s="35">
        <f>+'Invullen groen'!AY168</f>
        <v/>
      </c>
      <c r="L168" s="35">
        <f>+'Invullen groen'!AZ168</f>
        <v/>
      </c>
      <c r="M168" s="35">
        <f>+'Invullen groen'!BA168</f>
        <v/>
      </c>
      <c r="N168" s="35">
        <f>+'Invullen groen'!BB168</f>
        <v/>
      </c>
      <c r="O168" s="35">
        <f>+'Invullen groen'!BC168</f>
        <v/>
      </c>
      <c r="P168" s="35">
        <f>+'Invullen groen'!BD168</f>
        <v/>
      </c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  <c r="AA168" s="35" t="n"/>
      <c r="AB168" s="35" t="n"/>
      <c r="AC168" s="35" t="n"/>
      <c r="AD168" s="35" t="n"/>
      <c r="AE168" s="35" t="n"/>
      <c r="AF168" s="35" t="n"/>
      <c r="AG168" s="35" t="n"/>
      <c r="AH168" s="35" t="n"/>
      <c r="AI168" s="35" t="n"/>
      <c r="AJ168" s="35" t="n"/>
      <c r="AK168" s="35" t="n"/>
      <c r="AL168" s="35" t="n"/>
      <c r="AM168" s="35" t="n"/>
      <c r="AN168" s="35" t="n"/>
      <c r="AO168" s="35" t="n"/>
      <c r="AP168" s="35" t="n"/>
      <c r="AQ168" s="35" t="n"/>
      <c r="AR168" s="35" t="n"/>
      <c r="AS168" s="35" t="n"/>
      <c r="AT168" s="35" t="n"/>
      <c r="AU168" s="35" t="n"/>
      <c r="AV168" s="35" t="n"/>
      <c r="AW168" s="35" t="n"/>
      <c r="AX168" s="35" t="n"/>
      <c r="AY168" s="35" t="n"/>
      <c r="AZ168" s="35" t="n"/>
      <c r="BA168" s="35" t="n"/>
      <c r="BB168" s="35" t="n"/>
      <c r="BC168" s="35" t="n"/>
      <c r="BD168" s="35" t="n"/>
      <c r="BE168" s="35" t="n"/>
      <c r="BF168" s="35" t="n"/>
      <c r="BG168" s="35" t="n"/>
      <c r="BH168" s="35" t="n"/>
      <c r="BI168" s="35" t="n"/>
      <c r="BJ168" s="35" t="n"/>
      <c r="BK168" s="35" t="n"/>
      <c r="BL168" s="35" t="n"/>
      <c r="BM168" s="35" t="n"/>
      <c r="BN168" s="35" t="n"/>
      <c r="BO168" s="35" t="n"/>
    </row>
    <row r="169" ht="15" customHeight="1" s="418">
      <c r="A169" s="14">
        <f>+'Invullen groen'!A169</f>
        <v/>
      </c>
      <c r="B169" s="15">
        <f>+'Invullen groen'!C169</f>
        <v/>
      </c>
      <c r="C169" s="25">
        <f>+'Invullen groen'!G169</f>
        <v/>
      </c>
      <c r="D169" s="16">
        <f>+'Invullen groen'!M169</f>
        <v/>
      </c>
      <c r="E169" s="17">
        <f>+'Invullen groen'!H169</f>
        <v/>
      </c>
      <c r="F169" s="17">
        <f>+'Invullen groen'!I169</f>
        <v/>
      </c>
      <c r="G169" s="17">
        <f>+'Invullen groen'!J169</f>
        <v/>
      </c>
      <c r="H169" s="17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 s="418">
      <c r="A170" s="176">
        <f>+'Invullen groen'!A170</f>
        <v/>
      </c>
      <c r="B170" s="177">
        <f>+'Invullen groen'!C170</f>
        <v/>
      </c>
      <c r="C170" s="178">
        <f>+'Invullen groen'!G170</f>
        <v/>
      </c>
      <c r="D170" s="179">
        <f>+'Invullen groen'!M170</f>
        <v/>
      </c>
      <c r="E170" s="180">
        <f>+'Invullen groen'!H170</f>
        <v/>
      </c>
      <c r="F170" s="180">
        <f>+'Invullen groen'!I170</f>
        <v/>
      </c>
      <c r="G170" s="180">
        <f>+'Invullen groen'!J170</f>
        <v/>
      </c>
      <c r="H170" s="180">
        <f>+'Invullen groen'!K170</f>
        <v/>
      </c>
      <c r="I170" s="181">
        <f>+'Invullen groen'!AW170</f>
        <v/>
      </c>
      <c r="J170" s="181">
        <f>+'Invullen groen'!AX170</f>
        <v/>
      </c>
      <c r="K170" s="181">
        <f>+'Invullen groen'!AY170</f>
        <v/>
      </c>
      <c r="L170" s="181">
        <f>+'Invullen groen'!AZ170</f>
        <v/>
      </c>
      <c r="M170" s="181">
        <f>+'Invullen groen'!BA170</f>
        <v/>
      </c>
      <c r="N170" s="181">
        <f>+'Invullen groen'!BB170</f>
        <v/>
      </c>
      <c r="O170" s="181">
        <f>+'Invullen groen'!BC170</f>
        <v/>
      </c>
      <c r="P170" s="181">
        <f>+'Invullen groen'!BD170</f>
        <v/>
      </c>
      <c r="Q170" s="181" t="n"/>
    </row>
    <row r="171" ht="12.75" customHeight="1" s="418">
      <c r="A171" s="14">
        <f>+'Invullen groen'!A171</f>
        <v/>
      </c>
      <c r="B171" s="15">
        <f>+'Invullen groen'!C171</f>
        <v/>
      </c>
      <c r="C171" s="25">
        <f>+'Invullen groen'!G171</f>
        <v/>
      </c>
      <c r="D171" s="16">
        <f>+'Invullen groen'!M171</f>
        <v/>
      </c>
      <c r="E171" s="17">
        <f>+'Invullen groen'!H171</f>
        <v/>
      </c>
      <c r="F171" s="17">
        <f>+'Invullen groen'!I171</f>
        <v/>
      </c>
      <c r="G171" s="17">
        <f>+'Invullen groen'!J171</f>
        <v/>
      </c>
      <c r="H171" s="17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 s="418">
      <c r="A172" s="14">
        <f>+'Invullen groen'!A172</f>
        <v/>
      </c>
      <c r="B172" s="15">
        <f>+'Invullen groen'!C172</f>
        <v/>
      </c>
      <c r="C172" s="25">
        <f>+'Invullen groen'!G172</f>
        <v/>
      </c>
      <c r="D172" s="16">
        <f>+'Invullen groen'!M172</f>
        <v/>
      </c>
      <c r="E172" s="17">
        <f>+'Invullen groen'!H172</f>
        <v/>
      </c>
      <c r="F172" s="17">
        <f>+'Invullen groen'!I172</f>
        <v/>
      </c>
      <c r="G172" s="17">
        <f>+'Invullen groen'!J172</f>
        <v/>
      </c>
      <c r="H172" s="17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 s="418">
      <c r="A173" s="14">
        <f>+'Invullen groen'!A173</f>
        <v/>
      </c>
      <c r="B173" s="15">
        <f>+'Invullen groen'!C173</f>
        <v/>
      </c>
      <c r="C173" s="25">
        <f>+'Invullen groen'!G173</f>
        <v/>
      </c>
      <c r="D173" s="16">
        <f>+'Invullen groen'!M173</f>
        <v/>
      </c>
      <c r="E173" s="17">
        <f>+'Invullen groen'!H173</f>
        <v/>
      </c>
      <c r="F173" s="17">
        <f>+'Invullen groen'!I173</f>
        <v/>
      </c>
      <c r="G173" s="17">
        <f>+'Invullen groen'!J173</f>
        <v/>
      </c>
      <c r="H173" s="17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 s="418">
      <c r="A174" s="14">
        <f>+'Invullen groen'!A174</f>
        <v/>
      </c>
      <c r="B174" s="15">
        <f>+'Invullen groen'!C174</f>
        <v/>
      </c>
      <c r="C174" s="25">
        <f>+'Invullen groen'!G174</f>
        <v/>
      </c>
      <c r="D174" s="16">
        <f>+'Invullen groen'!M174</f>
        <v/>
      </c>
      <c r="E174" s="17">
        <f>+'Invullen groen'!H174</f>
        <v/>
      </c>
      <c r="F174" s="17">
        <f>+'Invullen groen'!I174</f>
        <v/>
      </c>
      <c r="G174" s="17">
        <f>+'Invullen groen'!J174</f>
        <v/>
      </c>
      <c r="H174" s="17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 s="418">
      <c r="A175" s="14">
        <f>+'Invullen groen'!A175</f>
        <v/>
      </c>
      <c r="B175" s="15">
        <f>+'Invullen groen'!C175</f>
        <v/>
      </c>
      <c r="C175" s="25">
        <f>+'Invullen groen'!G175</f>
        <v/>
      </c>
      <c r="D175" s="16">
        <f>+'Invullen groen'!M175</f>
        <v/>
      </c>
      <c r="E175" s="17">
        <f>+'Invullen groen'!H175</f>
        <v/>
      </c>
      <c r="F175" s="17">
        <f>+'Invullen groen'!I175</f>
        <v/>
      </c>
      <c r="G175" s="17">
        <f>+'Invullen groen'!J175</f>
        <v/>
      </c>
      <c r="H175" s="17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 s="418">
      <c r="A176" s="14">
        <f>+'Invullen groen'!A176</f>
        <v/>
      </c>
      <c r="B176" s="15">
        <f>+'Invullen groen'!C176</f>
        <v/>
      </c>
      <c r="C176" s="25">
        <f>+'Invullen groen'!G176</f>
        <v/>
      </c>
      <c r="D176" s="16">
        <f>+'Invullen groen'!M176</f>
        <v/>
      </c>
      <c r="E176" s="17">
        <f>+'Invullen groen'!H176</f>
        <v/>
      </c>
      <c r="F176" s="17">
        <f>+'Invullen groen'!I176</f>
        <v/>
      </c>
      <c r="G176" s="17">
        <f>+'Invullen groen'!J176</f>
        <v/>
      </c>
      <c r="H176" s="17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 s="418">
      <c r="A177" s="14">
        <f>+'Invullen groen'!A177</f>
        <v/>
      </c>
      <c r="B177" s="15">
        <f>+'Invullen groen'!C177</f>
        <v/>
      </c>
      <c r="C177" s="25">
        <f>+'Invullen groen'!G177</f>
        <v/>
      </c>
      <c r="D177" s="16">
        <f>+'Invullen groen'!M177</f>
        <v/>
      </c>
      <c r="E177" s="17">
        <f>+'Invullen groen'!H177</f>
        <v/>
      </c>
      <c r="F177" s="17">
        <f>+'Invullen groen'!I177</f>
        <v/>
      </c>
      <c r="G177" s="17">
        <f>+'Invullen groen'!J177</f>
        <v/>
      </c>
      <c r="H177" s="17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 s="418">
      <c r="A178" s="14">
        <f>+'Invullen groen'!A178</f>
        <v/>
      </c>
      <c r="B178" s="15">
        <f>+'Invullen groen'!C178</f>
        <v/>
      </c>
      <c r="C178" s="25">
        <f>+'Invullen groen'!G178</f>
        <v/>
      </c>
      <c r="D178" s="16">
        <f>+'Invullen groen'!M178</f>
        <v/>
      </c>
      <c r="E178" s="17">
        <f>+'Invullen groen'!H178</f>
        <v/>
      </c>
      <c r="F178" s="17">
        <f>+'Invullen groen'!I178</f>
        <v/>
      </c>
      <c r="G178" s="17">
        <f>+'Invullen groen'!J178</f>
        <v/>
      </c>
      <c r="H178" s="17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 s="418">
      <c r="A179" s="14">
        <f>+'Invullen groen'!A179</f>
        <v/>
      </c>
      <c r="B179" s="15">
        <f>+'Invullen groen'!C179</f>
        <v/>
      </c>
      <c r="C179" s="25">
        <f>+'Invullen groen'!G179</f>
        <v/>
      </c>
      <c r="D179" s="16">
        <f>+'Invullen groen'!M179</f>
        <v/>
      </c>
      <c r="E179" s="17">
        <f>+'Invullen groen'!H179</f>
        <v/>
      </c>
      <c r="F179" s="17">
        <f>+'Invullen groen'!I179</f>
        <v/>
      </c>
      <c r="G179" s="17">
        <f>+'Invullen groen'!J179</f>
        <v/>
      </c>
      <c r="H179" s="17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 s="418">
      <c r="A180" s="14">
        <f>+'Invullen groen'!A180</f>
        <v/>
      </c>
      <c r="B180" s="15">
        <f>+'Invullen groen'!C180</f>
        <v/>
      </c>
      <c r="C180" s="25">
        <f>+'Invullen groen'!G180</f>
        <v/>
      </c>
      <c r="D180" s="16">
        <f>+'Invullen groen'!M180</f>
        <v/>
      </c>
      <c r="E180" s="17">
        <f>+'Invullen groen'!H180</f>
        <v/>
      </c>
      <c r="F180" s="17">
        <f>+'Invullen groen'!I180</f>
        <v/>
      </c>
      <c r="G180" s="17">
        <f>+'Invullen groen'!J180</f>
        <v/>
      </c>
      <c r="H180" s="17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 s="418">
      <c r="A181" s="14">
        <f>+'Invullen groen'!A181</f>
        <v/>
      </c>
      <c r="B181" s="15">
        <f>+'Invullen groen'!C181</f>
        <v/>
      </c>
      <c r="C181" s="25">
        <f>+'Invullen groen'!G181</f>
        <v/>
      </c>
      <c r="D181" s="16">
        <f>+'Invullen groen'!M181</f>
        <v/>
      </c>
      <c r="E181" s="17">
        <f>+'Invullen groen'!H181</f>
        <v/>
      </c>
      <c r="F181" s="17">
        <f>+'Invullen groen'!I181</f>
        <v/>
      </c>
      <c r="G181" s="17">
        <f>+'Invullen groen'!J181</f>
        <v/>
      </c>
      <c r="H181" s="17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 s="418">
      <c r="A182" s="14">
        <f>+'Invullen groen'!A182</f>
        <v/>
      </c>
      <c r="B182" s="15">
        <f>+'Invullen groen'!C182</f>
        <v/>
      </c>
      <c r="C182" s="25">
        <f>+'Invullen groen'!G182</f>
        <v/>
      </c>
      <c r="D182" s="16">
        <f>+'Invullen groen'!M182</f>
        <v/>
      </c>
      <c r="E182" s="17">
        <f>+'Invullen groen'!H182</f>
        <v/>
      </c>
      <c r="F182" s="17">
        <f>+'Invullen groen'!I182</f>
        <v/>
      </c>
      <c r="G182" s="17">
        <f>+'Invullen groen'!J182</f>
        <v/>
      </c>
      <c r="H182" s="17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 s="418">
      <c r="A183" s="14">
        <f>+'Invullen groen'!A183</f>
        <v/>
      </c>
      <c r="B183" s="15">
        <f>+'Invullen groen'!C183</f>
        <v/>
      </c>
      <c r="C183" s="25">
        <f>+'Invullen groen'!G183</f>
        <v/>
      </c>
      <c r="D183" s="16">
        <f>+'Invullen groen'!M183</f>
        <v/>
      </c>
      <c r="E183" s="17">
        <f>+'Invullen groen'!H183</f>
        <v/>
      </c>
      <c r="F183" s="17">
        <f>+'Invullen groen'!I183</f>
        <v/>
      </c>
      <c r="G183" s="17">
        <f>+'Invullen groen'!J183</f>
        <v/>
      </c>
      <c r="H183" s="17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 s="418">
      <c r="A184" s="14">
        <f>+'Invullen groen'!A184</f>
        <v/>
      </c>
      <c r="B184" s="15">
        <f>+'Invullen groen'!C184</f>
        <v/>
      </c>
      <c r="C184" s="25">
        <f>+'Invullen groen'!G184</f>
        <v/>
      </c>
      <c r="D184" s="16">
        <f>+'Invullen groen'!M184</f>
        <v/>
      </c>
      <c r="E184" s="17">
        <f>+'Invullen groen'!H184</f>
        <v/>
      </c>
      <c r="F184" s="17">
        <f>+'Invullen groen'!I184</f>
        <v/>
      </c>
      <c r="G184" s="17">
        <f>+'Invullen groen'!J184</f>
        <v/>
      </c>
      <c r="H184" s="17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 s="418">
      <c r="A185" s="14">
        <f>+'Invullen groen'!A185</f>
        <v/>
      </c>
      <c r="B185" s="15">
        <f>+'Invullen groen'!C185</f>
        <v/>
      </c>
      <c r="C185" s="25">
        <f>+'Invullen groen'!G185</f>
        <v/>
      </c>
      <c r="D185" s="16">
        <f>+'Invullen groen'!M185</f>
        <v/>
      </c>
      <c r="E185" s="17">
        <f>+'Invullen groen'!H185</f>
        <v/>
      </c>
      <c r="F185" s="17">
        <f>+'Invullen groen'!I185</f>
        <v/>
      </c>
      <c r="G185" s="17">
        <f>+'Invullen groen'!J185</f>
        <v/>
      </c>
      <c r="H185" s="17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 s="418">
      <c r="A186" s="14">
        <f>+'Invullen groen'!A186</f>
        <v/>
      </c>
      <c r="B186" s="15">
        <f>+'Invullen groen'!C186</f>
        <v/>
      </c>
      <c r="C186" s="25">
        <f>+'Invullen groen'!G186</f>
        <v/>
      </c>
      <c r="D186" s="16">
        <f>+'Invullen groen'!M186</f>
        <v/>
      </c>
      <c r="E186" s="17">
        <f>+'Invullen groen'!H186</f>
        <v/>
      </c>
      <c r="F186" s="17">
        <f>+'Invullen groen'!I186</f>
        <v/>
      </c>
      <c r="G186" s="17">
        <f>+'Invullen groen'!J186</f>
        <v/>
      </c>
      <c r="H186" s="17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 s="418">
      <c r="A187" s="14">
        <f>+'Invullen groen'!A187</f>
        <v/>
      </c>
      <c r="B187" s="15">
        <f>+'Invullen groen'!C187</f>
        <v/>
      </c>
      <c r="C187" s="25">
        <f>+'Invullen groen'!G187</f>
        <v/>
      </c>
      <c r="D187" s="16">
        <f>+'Invullen groen'!M187</f>
        <v/>
      </c>
      <c r="E187" s="17">
        <f>+'Invullen groen'!H187</f>
        <v/>
      </c>
      <c r="F187" s="17">
        <f>+'Invullen groen'!I187</f>
        <v/>
      </c>
      <c r="G187" s="17">
        <f>+'Invullen groen'!J187</f>
        <v/>
      </c>
      <c r="H187" s="17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 s="418">
      <c r="A188" s="14">
        <f>+'Invullen groen'!A188</f>
        <v/>
      </c>
      <c r="B188" s="15">
        <f>+'Invullen groen'!C188</f>
        <v/>
      </c>
      <c r="C188" s="25">
        <f>+'Invullen groen'!G188</f>
        <v/>
      </c>
      <c r="D188" s="16">
        <f>+'Invullen groen'!M188</f>
        <v/>
      </c>
      <c r="E188" s="17">
        <f>+'Invullen groen'!H188</f>
        <v/>
      </c>
      <c r="F188" s="17">
        <f>+'Invullen groen'!I188</f>
        <v/>
      </c>
      <c r="G188" s="17">
        <f>+'Invullen groen'!J188</f>
        <v/>
      </c>
      <c r="H188" s="17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 s="418">
      <c r="A189" s="14">
        <f>+'Invullen groen'!A189</f>
        <v/>
      </c>
      <c r="B189" s="15">
        <f>+'Invullen groen'!C189</f>
        <v/>
      </c>
      <c r="C189" s="25">
        <f>+'Invullen groen'!G189</f>
        <v/>
      </c>
      <c r="D189" s="16">
        <f>+'Invullen groen'!M189</f>
        <v/>
      </c>
      <c r="E189" s="17">
        <f>+'Invullen groen'!H189</f>
        <v/>
      </c>
      <c r="F189" s="17">
        <f>+'Invullen groen'!I189</f>
        <v/>
      </c>
      <c r="G189" s="17">
        <f>+'Invullen groen'!J189</f>
        <v/>
      </c>
      <c r="H189" s="17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 s="418">
      <c r="A190" s="14">
        <f>+'Invullen groen'!A190</f>
        <v/>
      </c>
      <c r="B190" s="15">
        <f>+'Invullen groen'!C190</f>
        <v/>
      </c>
      <c r="C190" s="25">
        <f>+'Invullen groen'!G190</f>
        <v/>
      </c>
      <c r="D190" s="16">
        <f>+'Invullen groen'!M190</f>
        <v/>
      </c>
      <c r="E190" s="17">
        <f>+'Invullen groen'!H190</f>
        <v/>
      </c>
      <c r="F190" s="17">
        <f>+'Invullen groen'!I190</f>
        <v/>
      </c>
      <c r="G190" s="17">
        <f>+'Invullen groen'!J190</f>
        <v/>
      </c>
      <c r="H190" s="17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 s="418">
      <c r="A191" s="14">
        <f>+'Invullen groen'!A191</f>
        <v/>
      </c>
      <c r="B191" s="15">
        <f>+'Invullen groen'!C191</f>
        <v/>
      </c>
      <c r="C191" s="25">
        <f>+'Invullen groen'!G191</f>
        <v/>
      </c>
      <c r="D191" s="16">
        <f>+'Invullen groen'!M191</f>
        <v/>
      </c>
      <c r="E191" s="17">
        <f>+'Invullen groen'!H191</f>
        <v/>
      </c>
      <c r="F191" s="17">
        <f>+'Invullen groen'!I191</f>
        <v/>
      </c>
      <c r="G191" s="17">
        <f>+'Invullen groen'!J191</f>
        <v/>
      </c>
      <c r="H191" s="17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 s="418">
      <c r="A192" s="14">
        <f>+'Invullen groen'!A192</f>
        <v/>
      </c>
      <c r="B192" s="15">
        <f>+'Invullen groen'!C192</f>
        <v/>
      </c>
      <c r="C192" s="25">
        <f>+'Invullen groen'!G192</f>
        <v/>
      </c>
      <c r="D192" s="16">
        <f>+'Invullen groen'!M192</f>
        <v/>
      </c>
      <c r="E192" s="17">
        <f>+'Invullen groen'!H192</f>
        <v/>
      </c>
      <c r="F192" s="17">
        <f>+'Invullen groen'!I192</f>
        <v/>
      </c>
      <c r="G192" s="17">
        <f>+'Invullen groen'!J192</f>
        <v/>
      </c>
      <c r="H192" s="17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 s="418">
      <c r="A193" s="14">
        <f>+'Invullen groen'!A193</f>
        <v/>
      </c>
      <c r="B193" s="15">
        <f>+'Invullen groen'!C193</f>
        <v/>
      </c>
      <c r="C193" s="25">
        <f>+'Invullen groen'!G193</f>
        <v/>
      </c>
      <c r="D193" s="16">
        <f>+'Invullen groen'!M193</f>
        <v/>
      </c>
      <c r="E193" s="17">
        <f>+'Invullen groen'!H193</f>
        <v/>
      </c>
      <c r="F193" s="17">
        <f>+'Invullen groen'!I193</f>
        <v/>
      </c>
      <c r="G193" s="17">
        <f>+'Invullen groen'!J193</f>
        <v/>
      </c>
      <c r="H193" s="17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 s="418">
      <c r="A194" s="14">
        <f>+'Invullen groen'!A194</f>
        <v/>
      </c>
      <c r="B194" s="15">
        <f>+'Invullen groen'!C194</f>
        <v/>
      </c>
      <c r="C194" s="25">
        <f>+'Invullen groen'!G194</f>
        <v/>
      </c>
      <c r="D194" s="16">
        <f>+'Invullen groen'!M194</f>
        <v/>
      </c>
      <c r="E194" s="17">
        <f>+'Invullen groen'!H194</f>
        <v/>
      </c>
      <c r="F194" s="17">
        <f>+'Invullen groen'!I194</f>
        <v/>
      </c>
      <c r="G194" s="17">
        <f>+'Invullen groen'!J194</f>
        <v/>
      </c>
      <c r="H194" s="17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 s="418">
      <c r="A195" s="14">
        <f>+'Invullen groen'!A195</f>
        <v/>
      </c>
      <c r="B195" s="15">
        <f>+'Invullen groen'!C195</f>
        <v/>
      </c>
      <c r="C195" s="25">
        <f>+'Invullen groen'!G195</f>
        <v/>
      </c>
      <c r="D195" s="16">
        <f>+'Invullen groen'!M195</f>
        <v/>
      </c>
      <c r="E195" s="17">
        <f>+'Invullen groen'!H195</f>
        <v/>
      </c>
      <c r="F195" s="17">
        <f>+'Invullen groen'!I195</f>
        <v/>
      </c>
      <c r="G195" s="17">
        <f>+'Invullen groen'!J195</f>
        <v/>
      </c>
      <c r="H195" s="17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 s="418">
      <c r="A196" s="14">
        <f>+'Invullen groen'!A196</f>
        <v/>
      </c>
      <c r="B196" s="15">
        <f>+'Invullen groen'!C196</f>
        <v/>
      </c>
      <c r="C196" s="25">
        <f>+'Invullen groen'!G196</f>
        <v/>
      </c>
      <c r="D196" s="16">
        <f>+'Invullen groen'!M196</f>
        <v/>
      </c>
      <c r="E196" s="17">
        <f>+'Invullen groen'!H196</f>
        <v/>
      </c>
      <c r="F196" s="17">
        <f>+'Invullen groen'!I196</f>
        <v/>
      </c>
      <c r="G196" s="17">
        <f>+'Invullen groen'!J196</f>
        <v/>
      </c>
      <c r="H196" s="17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 s="418">
      <c r="A197" s="14">
        <f>+'Invullen groen'!A197</f>
        <v/>
      </c>
      <c r="B197" s="15">
        <f>+'Invullen groen'!C197</f>
        <v/>
      </c>
      <c r="C197" s="25">
        <f>+'Invullen groen'!G197</f>
        <v/>
      </c>
      <c r="D197" s="16">
        <f>+'Invullen groen'!M197</f>
        <v/>
      </c>
      <c r="E197" s="17">
        <f>+'Invullen groen'!H197</f>
        <v/>
      </c>
      <c r="F197" s="17">
        <f>+'Invullen groen'!I197</f>
        <v/>
      </c>
      <c r="G197" s="17">
        <f>+'Invullen groen'!J197</f>
        <v/>
      </c>
      <c r="H197" s="17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 s="418">
      <c r="A198" s="14">
        <f>+'Invullen groen'!A198</f>
        <v/>
      </c>
      <c r="B198" s="15">
        <f>+'Invullen groen'!C198</f>
        <v/>
      </c>
      <c r="C198" s="25">
        <f>+'Invullen groen'!G198</f>
        <v/>
      </c>
      <c r="D198" s="16">
        <f>+'Invullen groen'!M198</f>
        <v/>
      </c>
      <c r="E198" s="17">
        <f>+'Invullen groen'!H198</f>
        <v/>
      </c>
      <c r="F198" s="17">
        <f>+'Invullen groen'!I198</f>
        <v/>
      </c>
      <c r="G198" s="17">
        <f>+'Invullen groen'!J198</f>
        <v/>
      </c>
      <c r="H198" s="17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 s="418">
      <c r="A199" s="14">
        <f>+'Invullen groen'!A199</f>
        <v/>
      </c>
      <c r="B199" s="15">
        <f>+'Invullen groen'!C199</f>
        <v/>
      </c>
      <c r="C199" s="25">
        <f>+'Invullen groen'!G199</f>
        <v/>
      </c>
      <c r="D199" s="16">
        <f>+'Invullen groen'!M199</f>
        <v/>
      </c>
      <c r="E199" s="17">
        <f>+'Invullen groen'!H199</f>
        <v/>
      </c>
      <c r="F199" s="17">
        <f>+'Invullen groen'!I199</f>
        <v/>
      </c>
      <c r="G199" s="17">
        <f>+'Invullen groen'!J199</f>
        <v/>
      </c>
      <c r="H199" s="17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 s="418">
      <c r="A200" s="14">
        <f>+'Invullen groen'!A200</f>
        <v/>
      </c>
      <c r="B200" s="15">
        <f>+'Invullen groen'!C200</f>
        <v/>
      </c>
      <c r="C200" s="25">
        <f>+'Invullen groen'!G200</f>
        <v/>
      </c>
      <c r="D200" s="16">
        <f>+'Invullen groen'!M200</f>
        <v/>
      </c>
      <c r="E200" s="17">
        <f>+'Invullen groen'!H200</f>
        <v/>
      </c>
      <c r="F200" s="17">
        <f>+'Invullen groen'!I200</f>
        <v/>
      </c>
      <c r="G200" s="17">
        <f>+'Invullen groen'!J200</f>
        <v/>
      </c>
      <c r="H200" s="17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 s="418">
      <c r="A201" s="14">
        <f>+'Invullen groen'!A201</f>
        <v/>
      </c>
      <c r="B201" s="15">
        <f>+'Invullen groen'!C201</f>
        <v/>
      </c>
      <c r="C201" s="25">
        <f>+'Invullen groen'!G201</f>
        <v/>
      </c>
      <c r="D201" s="16">
        <f>+'Invullen groen'!M201</f>
        <v/>
      </c>
      <c r="E201" s="17">
        <f>+'Invullen groen'!H201</f>
        <v/>
      </c>
      <c r="F201" s="17">
        <f>+'Invullen groen'!I201</f>
        <v/>
      </c>
      <c r="G201" s="17">
        <f>+'Invullen groen'!J201</f>
        <v/>
      </c>
      <c r="H201" s="17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 s="418">
      <c r="A202" s="14">
        <f>+'Invullen groen'!A202</f>
        <v/>
      </c>
      <c r="B202" s="15">
        <f>+'Invullen groen'!C202</f>
        <v/>
      </c>
      <c r="C202" s="25">
        <f>+'Invullen groen'!G202</f>
        <v/>
      </c>
      <c r="D202" s="16">
        <f>+'Invullen groen'!M202</f>
        <v/>
      </c>
      <c r="E202" s="17">
        <f>+'Invullen groen'!H202</f>
        <v/>
      </c>
      <c r="F202" s="17">
        <f>+'Invullen groen'!I202</f>
        <v/>
      </c>
      <c r="G202" s="17">
        <f>+'Invullen groen'!J202</f>
        <v/>
      </c>
      <c r="H202" s="17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 s="418">
      <c r="A203" s="14">
        <f>+'Invullen groen'!A203</f>
        <v/>
      </c>
      <c r="B203" s="15">
        <f>+'Invullen groen'!C203</f>
        <v/>
      </c>
      <c r="C203" s="25">
        <f>+'Invullen groen'!G203</f>
        <v/>
      </c>
      <c r="D203" s="16">
        <f>+'Invullen groen'!M203</f>
        <v/>
      </c>
      <c r="E203" s="17">
        <f>+'Invullen groen'!H203</f>
        <v/>
      </c>
      <c r="F203" s="17">
        <f>+'Invullen groen'!I203</f>
        <v/>
      </c>
      <c r="G203" s="17">
        <f>+'Invullen groen'!J203</f>
        <v/>
      </c>
      <c r="H203" s="17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 s="418">
      <c r="A204" s="14">
        <f>+'Invullen groen'!A204</f>
        <v/>
      </c>
      <c r="B204" s="15">
        <f>+'Invullen groen'!C204</f>
        <v/>
      </c>
      <c r="C204" s="25">
        <f>+'Invullen groen'!G204</f>
        <v/>
      </c>
      <c r="D204" s="16">
        <f>+'Invullen groen'!M204</f>
        <v/>
      </c>
      <c r="E204" s="17">
        <f>+'Invullen groen'!H204</f>
        <v/>
      </c>
      <c r="F204" s="17">
        <f>+'Invullen groen'!I204</f>
        <v/>
      </c>
      <c r="G204" s="17">
        <f>+'Invullen groen'!J204</f>
        <v/>
      </c>
      <c r="H204" s="17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 s="418">
      <c r="A205" s="14">
        <f>+'Invullen groen'!A205</f>
        <v/>
      </c>
      <c r="B205" s="15">
        <f>+'Invullen groen'!C205</f>
        <v/>
      </c>
      <c r="C205" s="25">
        <f>+'Invullen groen'!G205</f>
        <v/>
      </c>
      <c r="D205" s="16">
        <f>+'Invullen groen'!M205</f>
        <v/>
      </c>
      <c r="E205" s="17">
        <f>+'Invullen groen'!H205</f>
        <v/>
      </c>
      <c r="F205" s="17">
        <f>+'Invullen groen'!I205</f>
        <v/>
      </c>
      <c r="G205" s="17">
        <f>+'Invullen groen'!J205</f>
        <v/>
      </c>
      <c r="H205" s="17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 s="418">
      <c r="A206" s="14">
        <f>+'Invullen groen'!A206</f>
        <v/>
      </c>
      <c r="B206" s="15">
        <f>+'Invullen groen'!C206</f>
        <v/>
      </c>
      <c r="C206" s="25">
        <f>+'Invullen groen'!G206</f>
        <v/>
      </c>
      <c r="D206" s="16">
        <f>+'Invullen groen'!M206</f>
        <v/>
      </c>
      <c r="E206" s="17">
        <f>+'Invullen groen'!H206</f>
        <v/>
      </c>
      <c r="F206" s="17">
        <f>+'Invullen groen'!I206</f>
        <v/>
      </c>
      <c r="G206" s="17">
        <f>+'Invullen groen'!J206</f>
        <v/>
      </c>
      <c r="H206" s="17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 s="418">
      <c r="A207" s="14">
        <f>+'Invullen groen'!A207</f>
        <v/>
      </c>
      <c r="B207" s="15">
        <f>+'Invullen groen'!C207</f>
        <v/>
      </c>
      <c r="C207" s="25">
        <f>+'Invullen groen'!G207</f>
        <v/>
      </c>
      <c r="D207" s="16">
        <f>+'Invullen groen'!M207</f>
        <v/>
      </c>
      <c r="E207" s="17">
        <f>+'Invullen groen'!H207</f>
        <v/>
      </c>
      <c r="F207" s="17">
        <f>+'Invullen groen'!I207</f>
        <v/>
      </c>
      <c r="G207" s="17">
        <f>+'Invullen groen'!J207</f>
        <v/>
      </c>
      <c r="H207" s="17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 s="418">
      <c r="A208" s="14">
        <f>+'Invullen groen'!A208</f>
        <v/>
      </c>
      <c r="B208" s="15">
        <f>+'Invullen groen'!C208</f>
        <v/>
      </c>
      <c r="C208" s="25">
        <f>+'Invullen groen'!G208</f>
        <v/>
      </c>
      <c r="D208" s="16">
        <f>+'Invullen groen'!M208</f>
        <v/>
      </c>
      <c r="E208" s="17">
        <f>+'Invullen groen'!H208</f>
        <v/>
      </c>
      <c r="F208" s="17">
        <f>+'Invullen groen'!I208</f>
        <v/>
      </c>
      <c r="G208" s="17">
        <f>+'Invullen groen'!J208</f>
        <v/>
      </c>
      <c r="H208" s="17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 s="418">
      <c r="A209" s="14">
        <f>+'Invullen groen'!A209</f>
        <v/>
      </c>
      <c r="B209" s="15">
        <f>+'Invullen groen'!C209</f>
        <v/>
      </c>
      <c r="C209" s="25">
        <f>+'Invullen groen'!G209</f>
        <v/>
      </c>
      <c r="D209" s="16">
        <f>+'Invullen groen'!M209</f>
        <v/>
      </c>
      <c r="E209" s="17">
        <f>+'Invullen groen'!H209</f>
        <v/>
      </c>
      <c r="F209" s="17">
        <f>+'Invullen groen'!I209</f>
        <v/>
      </c>
      <c r="G209" s="17">
        <f>+'Invullen groen'!J209</f>
        <v/>
      </c>
      <c r="H209" s="17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 s="418">
      <c r="A210" s="14">
        <f>+'Invullen groen'!A210</f>
        <v/>
      </c>
      <c r="B210" s="15">
        <f>+'Invullen groen'!C210</f>
        <v/>
      </c>
      <c r="C210" s="25">
        <f>+'Invullen groen'!G210</f>
        <v/>
      </c>
      <c r="D210" s="16">
        <f>+'Invullen groen'!M210</f>
        <v/>
      </c>
      <c r="E210" s="17">
        <f>+'Invullen groen'!H210</f>
        <v/>
      </c>
      <c r="F210" s="17">
        <f>+'Invullen groen'!I210</f>
        <v/>
      </c>
      <c r="G210" s="17">
        <f>+'Invullen groen'!J210</f>
        <v/>
      </c>
      <c r="H210" s="17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 s="418">
      <c r="A211" s="14">
        <f>+'Invullen groen'!A211</f>
        <v/>
      </c>
      <c r="B211" s="15">
        <f>+'Invullen groen'!C211</f>
        <v/>
      </c>
      <c r="C211" s="25">
        <f>+'Invullen groen'!G211</f>
        <v/>
      </c>
      <c r="D211" s="16">
        <f>+'Invullen groen'!M211</f>
        <v/>
      </c>
      <c r="E211" s="17">
        <f>+'Invullen groen'!H211</f>
        <v/>
      </c>
      <c r="F211" s="17">
        <f>+'Invullen groen'!I211</f>
        <v/>
      </c>
      <c r="G211" s="17">
        <f>+'Invullen groen'!J211</f>
        <v/>
      </c>
      <c r="H211" s="17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 s="418">
      <c r="A212" s="14">
        <f>+'Invullen groen'!A212</f>
        <v/>
      </c>
      <c r="B212" s="15">
        <f>+'Invullen groen'!C212</f>
        <v/>
      </c>
      <c r="C212" s="25">
        <f>+'Invullen groen'!G212</f>
        <v/>
      </c>
      <c r="D212" s="16">
        <f>+'Invullen groen'!M212</f>
        <v/>
      </c>
      <c r="E212" s="17">
        <f>+'Invullen groen'!H212</f>
        <v/>
      </c>
      <c r="F212" s="17">
        <f>+'Invullen groen'!I212</f>
        <v/>
      </c>
      <c r="G212" s="17">
        <f>+'Invullen groen'!J212</f>
        <v/>
      </c>
      <c r="H212" s="17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 s="418">
      <c r="A213" s="14">
        <f>+'Invullen groen'!A213</f>
        <v/>
      </c>
      <c r="B213" s="15">
        <f>+'Invullen groen'!C213</f>
        <v/>
      </c>
      <c r="C213" s="25">
        <f>+'Invullen groen'!G213</f>
        <v/>
      </c>
      <c r="D213" s="16">
        <f>+'Invullen groen'!M213</f>
        <v/>
      </c>
      <c r="E213" s="17">
        <f>+'Invullen groen'!H213</f>
        <v/>
      </c>
      <c r="F213" s="17">
        <f>+'Invullen groen'!I213</f>
        <v/>
      </c>
      <c r="G213" s="17">
        <f>+'Invullen groen'!J213</f>
        <v/>
      </c>
      <c r="H213" s="17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 s="418">
      <c r="A214" s="14">
        <f>+'Invullen groen'!A214</f>
        <v/>
      </c>
      <c r="B214" s="15">
        <f>+'Invullen groen'!C214</f>
        <v/>
      </c>
      <c r="C214" s="25">
        <f>+'Invullen groen'!G214</f>
        <v/>
      </c>
      <c r="D214" s="16">
        <f>+'Invullen groen'!M214</f>
        <v/>
      </c>
      <c r="E214" s="17">
        <f>+'Invullen groen'!H214</f>
        <v/>
      </c>
      <c r="F214" s="17">
        <f>+'Invullen groen'!I214</f>
        <v/>
      </c>
      <c r="G214" s="17">
        <f>+'Invullen groen'!J214</f>
        <v/>
      </c>
      <c r="H214" s="17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 s="418">
      <c r="A215" s="14">
        <f>+'Invullen groen'!A215</f>
        <v/>
      </c>
      <c r="B215" s="15">
        <f>+'Invullen groen'!C215</f>
        <v/>
      </c>
      <c r="C215" s="25">
        <f>+'Invullen groen'!G215</f>
        <v/>
      </c>
      <c r="D215" s="16">
        <f>+'Invullen groen'!M215</f>
        <v/>
      </c>
      <c r="E215" s="17">
        <f>+'Invullen groen'!H215</f>
        <v/>
      </c>
      <c r="F215" s="17">
        <f>+'Invullen groen'!I215</f>
        <v/>
      </c>
      <c r="G215" s="17">
        <f>+'Invullen groen'!J215</f>
        <v/>
      </c>
      <c r="H215" s="17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 s="418">
      <c r="A216" s="14">
        <f>+'Invullen groen'!A216</f>
        <v/>
      </c>
      <c r="B216" s="15">
        <f>+'Invullen groen'!C216</f>
        <v/>
      </c>
      <c r="C216" s="25">
        <f>+'Invullen groen'!G216</f>
        <v/>
      </c>
      <c r="D216" s="16">
        <f>+'Invullen groen'!M216</f>
        <v/>
      </c>
      <c r="E216" s="19">
        <f>+'Invullen groen'!H216</f>
        <v/>
      </c>
      <c r="F216" s="19">
        <f>+'Invullen groen'!I216</f>
        <v/>
      </c>
      <c r="G216" s="19">
        <f>+'Invullen groen'!J216</f>
        <v/>
      </c>
      <c r="H216" s="19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32">
      <c r="A217" s="22">
        <f>+'Invullen groen'!A217</f>
        <v/>
      </c>
      <c r="B217" s="31">
        <f>+'Invullen groen'!C217</f>
        <v/>
      </c>
      <c r="C217" s="26">
        <f>+'Invullen groen'!G217</f>
        <v/>
      </c>
      <c r="D217" s="20">
        <f>+'Invullen groen'!M217</f>
        <v/>
      </c>
      <c r="E217" s="21">
        <f>+'Invullen groen'!H217</f>
        <v/>
      </c>
      <c r="F217" s="21">
        <f>+'Invullen groen'!I217</f>
        <v/>
      </c>
      <c r="G217" s="21">
        <f>+'Invullen groen'!J217</f>
        <v/>
      </c>
      <c r="H217" s="21">
        <f>+'Invullen groen'!K217</f>
        <v/>
      </c>
      <c r="I217" s="35">
        <f>+'Invullen groen'!AW217</f>
        <v/>
      </c>
      <c r="J217" s="35">
        <f>+'Invullen groen'!AX217</f>
        <v/>
      </c>
      <c r="K217" s="35">
        <f>+'Invullen groen'!AY217</f>
        <v/>
      </c>
      <c r="L217" s="35">
        <f>+'Invullen groen'!AZ217</f>
        <v/>
      </c>
      <c r="M217" s="35">
        <f>+'Invullen groen'!BA217</f>
        <v/>
      </c>
      <c r="N217" s="35">
        <f>+'Invullen groen'!BB217</f>
        <v/>
      </c>
      <c r="O217" s="35">
        <f>+'Invullen groen'!BC217</f>
        <v/>
      </c>
      <c r="P217" s="35">
        <f>+'Invullen groen'!BD217</f>
        <v/>
      </c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  <c r="AA217" s="35" t="n"/>
      <c r="AB217" s="35" t="n"/>
      <c r="AC217" s="35" t="n"/>
      <c r="AD217" s="35" t="n"/>
      <c r="AE217" s="35" t="n"/>
      <c r="AF217" s="35" t="n"/>
      <c r="AG217" s="35" t="n"/>
      <c r="AH217" s="35" t="n"/>
      <c r="AI217" s="35" t="n"/>
      <c r="AJ217" s="35" t="n"/>
      <c r="AK217" s="35" t="n"/>
      <c r="AL217" s="35" t="n"/>
      <c r="AM217" s="35" t="n"/>
      <c r="AN217" s="35" t="n"/>
      <c r="AO217" s="35" t="n"/>
      <c r="AP217" s="35" t="n"/>
      <c r="AQ217" s="35" t="n"/>
      <c r="AR217" s="35" t="n"/>
      <c r="AS217" s="35" t="n"/>
      <c r="AT217" s="35" t="n"/>
      <c r="AU217" s="35" t="n"/>
      <c r="AV217" s="35" t="n"/>
      <c r="AW217" s="35" t="n"/>
      <c r="AX217" s="35" t="n"/>
      <c r="AY217" s="35" t="n"/>
      <c r="AZ217" s="35" t="n"/>
      <c r="BA217" s="35" t="n"/>
      <c r="BB217" s="35" t="n"/>
      <c r="BC217" s="35" t="n"/>
      <c r="BD217" s="35" t="n"/>
      <c r="BE217" s="35" t="n"/>
      <c r="BF217" s="35" t="n"/>
      <c r="BG217" s="35" t="n"/>
      <c r="BH217" s="35" t="n"/>
      <c r="BI217" s="35" t="n"/>
      <c r="BJ217" s="35" t="n"/>
      <c r="BK217" s="35" t="n"/>
      <c r="BL217" s="35" t="n"/>
      <c r="BM217" s="35" t="n"/>
      <c r="BN217" s="35" t="n"/>
      <c r="BO217" s="35" t="n"/>
    </row>
    <row r="218" ht="15" customHeight="1" s="418">
      <c r="A218" s="14">
        <f>+'Invullen groen'!A218</f>
        <v/>
      </c>
      <c r="B218" s="15">
        <f>+'Invullen groen'!C218</f>
        <v/>
      </c>
      <c r="C218" s="25">
        <f>+'Invullen groen'!G218</f>
        <v/>
      </c>
      <c r="D218" s="16">
        <f>+'Invullen groen'!M218</f>
        <v/>
      </c>
      <c r="E218" s="17">
        <f>+'Invullen groen'!H218</f>
        <v/>
      </c>
      <c r="F218" s="17">
        <f>+'Invullen groen'!I218</f>
        <v/>
      </c>
      <c r="G218" s="17">
        <f>+'Invullen groen'!J218</f>
        <v/>
      </c>
      <c r="H218" s="17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 s="418">
      <c r="A219" s="18">
        <f>+'Invullen groen'!A219</f>
        <v/>
      </c>
      <c r="B219" s="34">
        <f>+'Invullen groen'!C219</f>
        <v/>
      </c>
      <c r="C219" s="25">
        <f>+'Invullen groen'!G219</f>
        <v/>
      </c>
      <c r="D219" s="16">
        <f>+'Invullen groen'!M219</f>
        <v/>
      </c>
      <c r="E219" s="17">
        <f>+'Invullen groen'!H219</f>
        <v/>
      </c>
      <c r="F219" s="17">
        <f>+'Invullen groen'!I219</f>
        <v/>
      </c>
      <c r="G219" s="17">
        <f>+'Invullen groen'!J219</f>
        <v/>
      </c>
      <c r="H219" s="17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 s="418">
      <c r="A220" s="14">
        <f>+'Invullen groen'!A220</f>
        <v/>
      </c>
      <c r="B220" s="15">
        <f>+'Invullen groen'!C220</f>
        <v/>
      </c>
      <c r="C220" s="25">
        <f>+'Invullen groen'!G220</f>
        <v/>
      </c>
      <c r="D220" s="16">
        <f>+'Invullen groen'!M220</f>
        <v/>
      </c>
      <c r="E220" s="17">
        <f>+'Invullen groen'!H220</f>
        <v/>
      </c>
      <c r="F220" s="17">
        <f>+'Invullen groen'!I220</f>
        <v/>
      </c>
      <c r="G220" s="17">
        <f>+'Invullen groen'!J220</f>
        <v/>
      </c>
      <c r="H220" s="17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 s="418">
      <c r="A221" s="14">
        <f>+'Invullen groen'!A221</f>
        <v/>
      </c>
      <c r="B221" s="15">
        <f>+'Invullen groen'!C221</f>
        <v/>
      </c>
      <c r="C221" s="25">
        <f>+'Invullen groen'!G221</f>
        <v/>
      </c>
      <c r="D221" s="16">
        <f>+'Invullen groen'!M221</f>
        <v/>
      </c>
      <c r="E221" s="17">
        <f>+'Invullen groen'!H221</f>
        <v/>
      </c>
      <c r="F221" s="17">
        <f>+'Invullen groen'!I221</f>
        <v/>
      </c>
      <c r="G221" s="17">
        <f>+'Invullen groen'!J221</f>
        <v/>
      </c>
      <c r="H221" s="17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 s="418">
      <c r="A222" s="14">
        <f>+'Invullen groen'!A222</f>
        <v/>
      </c>
      <c r="B222" s="15">
        <f>+'Invullen groen'!C222</f>
        <v/>
      </c>
      <c r="C222" s="25">
        <f>+'Invullen groen'!G222</f>
        <v/>
      </c>
      <c r="D222" s="16">
        <f>+'Invullen groen'!M222</f>
        <v/>
      </c>
      <c r="E222" s="17">
        <f>+'Invullen groen'!H222</f>
        <v/>
      </c>
      <c r="F222" s="17">
        <f>+'Invullen groen'!I222</f>
        <v/>
      </c>
      <c r="G222" s="17">
        <f>+'Invullen groen'!J222</f>
        <v/>
      </c>
      <c r="H222" s="17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 s="418">
      <c r="A223" s="14">
        <f>+'Invullen groen'!A223</f>
        <v/>
      </c>
      <c r="B223" s="15">
        <f>+'Invullen groen'!C223</f>
        <v/>
      </c>
      <c r="C223" s="25">
        <f>+'Invullen groen'!G223</f>
        <v/>
      </c>
      <c r="D223" s="16">
        <f>+'Invullen groen'!M223</f>
        <v/>
      </c>
      <c r="E223" s="17">
        <f>+'Invullen groen'!H223</f>
        <v/>
      </c>
      <c r="F223" s="17">
        <f>+'Invullen groen'!I223</f>
        <v/>
      </c>
      <c r="G223" s="17">
        <f>+'Invullen groen'!J223</f>
        <v/>
      </c>
      <c r="H223" s="17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 s="418">
      <c r="A224" s="14">
        <f>+'Invullen groen'!A224</f>
        <v/>
      </c>
      <c r="B224" s="15">
        <f>+'Invullen groen'!C224</f>
        <v/>
      </c>
      <c r="C224" s="25">
        <f>+'Invullen groen'!G224</f>
        <v/>
      </c>
      <c r="D224" s="16">
        <f>+'Invullen groen'!M224</f>
        <v/>
      </c>
      <c r="E224" s="17">
        <f>+'Invullen groen'!H224</f>
        <v/>
      </c>
      <c r="F224" s="17">
        <f>+'Invullen groen'!I224</f>
        <v/>
      </c>
      <c r="G224" s="17">
        <f>+'Invullen groen'!J224</f>
        <v/>
      </c>
      <c r="H224" s="17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 s="418">
      <c r="A225" s="14">
        <f>+'Invullen groen'!A225</f>
        <v/>
      </c>
      <c r="B225" s="15">
        <f>+'Invullen groen'!C225</f>
        <v/>
      </c>
      <c r="C225" s="25">
        <f>+'Invullen groen'!G225</f>
        <v/>
      </c>
      <c r="D225" s="16">
        <f>+'Invullen groen'!M225</f>
        <v/>
      </c>
      <c r="E225" s="17">
        <f>+'Invullen groen'!H225</f>
        <v/>
      </c>
      <c r="F225" s="17">
        <f>+'Invullen groen'!I225</f>
        <v/>
      </c>
      <c r="G225" s="17">
        <f>+'Invullen groen'!J225</f>
        <v/>
      </c>
      <c r="H225" s="17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 s="418">
      <c r="A226" s="14">
        <f>+'Invullen groen'!A226</f>
        <v/>
      </c>
      <c r="B226" s="15">
        <f>+'Invullen groen'!C226</f>
        <v/>
      </c>
      <c r="C226" s="25">
        <f>+'Invullen groen'!G226</f>
        <v/>
      </c>
      <c r="D226" s="16">
        <f>+'Invullen groen'!M226</f>
        <v/>
      </c>
      <c r="E226" s="17">
        <f>+'Invullen groen'!H226</f>
        <v/>
      </c>
      <c r="F226" s="17">
        <f>+'Invullen groen'!I226</f>
        <v/>
      </c>
      <c r="G226" s="17">
        <f>+'Invullen groen'!J226</f>
        <v/>
      </c>
      <c r="H226" s="17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 s="418">
      <c r="A227" s="14">
        <f>+'Invullen groen'!A227</f>
        <v/>
      </c>
      <c r="B227" s="15">
        <f>+'Invullen groen'!C227</f>
        <v/>
      </c>
      <c r="C227" s="25">
        <f>+'Invullen groen'!G227</f>
        <v/>
      </c>
      <c r="D227" s="16">
        <f>+'Invullen groen'!M227</f>
        <v/>
      </c>
      <c r="E227" s="17">
        <f>+'Invullen groen'!H227</f>
        <v/>
      </c>
      <c r="F227" s="17">
        <f>+'Invullen groen'!I227</f>
        <v/>
      </c>
      <c r="G227" s="17">
        <f>+'Invullen groen'!J227</f>
        <v/>
      </c>
      <c r="H227" s="17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 s="418">
      <c r="A228" s="14">
        <f>+'Invullen groen'!A228</f>
        <v/>
      </c>
      <c r="B228" s="15">
        <f>+'Invullen groen'!C228</f>
        <v/>
      </c>
      <c r="C228" s="25">
        <f>+'Invullen groen'!G228</f>
        <v/>
      </c>
      <c r="D228" s="16">
        <f>+'Invullen groen'!M228</f>
        <v/>
      </c>
      <c r="E228" s="17">
        <f>+'Invullen groen'!H228</f>
        <v/>
      </c>
      <c r="F228" s="17">
        <f>+'Invullen groen'!I228</f>
        <v/>
      </c>
      <c r="G228" s="17">
        <f>+'Invullen groen'!J228</f>
        <v/>
      </c>
      <c r="H228" s="17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 s="418">
      <c r="A229" s="14">
        <f>+'Invullen groen'!A229</f>
        <v/>
      </c>
      <c r="B229" s="15">
        <f>+'Invullen groen'!C229</f>
        <v/>
      </c>
      <c r="C229" s="25">
        <f>+'Invullen groen'!G229</f>
        <v/>
      </c>
      <c r="D229" s="16">
        <f>+'Invullen groen'!M229</f>
        <v/>
      </c>
      <c r="E229" s="17">
        <f>+'Invullen groen'!H229</f>
        <v/>
      </c>
      <c r="F229" s="17">
        <f>+'Invullen groen'!I229</f>
        <v/>
      </c>
      <c r="G229" s="17">
        <f>+'Invullen groen'!J229</f>
        <v/>
      </c>
      <c r="H229" s="17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 s="418">
      <c r="A230" s="14">
        <f>+'Invullen groen'!A230</f>
        <v/>
      </c>
      <c r="B230" s="15">
        <f>+'Invullen groen'!C230</f>
        <v/>
      </c>
      <c r="C230" s="25">
        <f>+'Invullen groen'!G230</f>
        <v/>
      </c>
      <c r="D230" s="16">
        <f>+'Invullen groen'!M230</f>
        <v/>
      </c>
      <c r="E230" s="17">
        <f>+'Invullen groen'!H230</f>
        <v/>
      </c>
      <c r="F230" s="17">
        <f>+'Invullen groen'!I230</f>
        <v/>
      </c>
      <c r="G230" s="17">
        <f>+'Invullen groen'!J230</f>
        <v/>
      </c>
      <c r="H230" s="17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 s="418">
      <c r="A231" s="14">
        <f>+'Invullen groen'!A231</f>
        <v/>
      </c>
      <c r="B231" s="15">
        <f>+'Invullen groen'!C231</f>
        <v/>
      </c>
      <c r="C231" s="25">
        <f>+'Invullen groen'!G231</f>
        <v/>
      </c>
      <c r="D231" s="16">
        <f>+'Invullen groen'!M231</f>
        <v/>
      </c>
      <c r="E231" s="17">
        <f>+'Invullen groen'!H231</f>
        <v/>
      </c>
      <c r="F231" s="17">
        <f>+'Invullen groen'!I231</f>
        <v/>
      </c>
      <c r="G231" s="17">
        <f>+'Invullen groen'!J231</f>
        <v/>
      </c>
      <c r="H231" s="17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 s="418">
      <c r="A232" s="14">
        <f>+'Invullen groen'!A232</f>
        <v/>
      </c>
      <c r="B232" s="15">
        <f>+'Invullen groen'!C232</f>
        <v/>
      </c>
      <c r="C232" s="25">
        <f>+'Invullen groen'!G232</f>
        <v/>
      </c>
      <c r="D232" s="16">
        <f>+'Invullen groen'!M232</f>
        <v/>
      </c>
      <c r="E232" s="17">
        <f>+'Invullen groen'!H232</f>
        <v/>
      </c>
      <c r="F232" s="17">
        <f>+'Invullen groen'!I232</f>
        <v/>
      </c>
      <c r="G232" s="17">
        <f>+'Invullen groen'!J232</f>
        <v/>
      </c>
      <c r="H232" s="17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 s="418">
      <c r="A233" s="14">
        <f>+'Invullen groen'!A233</f>
        <v/>
      </c>
      <c r="B233" s="15">
        <f>+'Invullen groen'!C233</f>
        <v/>
      </c>
      <c r="C233" s="25">
        <f>+'Invullen groen'!G233</f>
        <v/>
      </c>
      <c r="D233" s="16">
        <f>+'Invullen groen'!M233</f>
        <v/>
      </c>
      <c r="E233" s="17">
        <f>+'Invullen groen'!H233</f>
        <v/>
      </c>
      <c r="F233" s="17">
        <f>+'Invullen groen'!I233</f>
        <v/>
      </c>
      <c r="G233" s="17">
        <f>+'Invullen groen'!J233</f>
        <v/>
      </c>
      <c r="H233" s="17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 s="418">
      <c r="A234" s="14">
        <f>+'Invullen groen'!A234</f>
        <v/>
      </c>
      <c r="B234" s="15">
        <f>+'Invullen groen'!C234</f>
        <v/>
      </c>
      <c r="C234" s="25">
        <f>+'Invullen groen'!G234</f>
        <v/>
      </c>
      <c r="D234" s="16">
        <f>+'Invullen groen'!M234</f>
        <v/>
      </c>
      <c r="E234" s="17">
        <f>+'Invullen groen'!H234</f>
        <v/>
      </c>
      <c r="F234" s="17">
        <f>+'Invullen groen'!I234</f>
        <v/>
      </c>
      <c r="G234" s="17">
        <f>+'Invullen groen'!J234</f>
        <v/>
      </c>
      <c r="H234" s="17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 s="418">
      <c r="A235" s="14">
        <f>+'Invullen groen'!A235</f>
        <v/>
      </c>
      <c r="B235" s="15">
        <f>+'Invullen groen'!C235</f>
        <v/>
      </c>
      <c r="C235" s="25">
        <f>+'Invullen groen'!G235</f>
        <v/>
      </c>
      <c r="D235" s="16">
        <f>+'Invullen groen'!M235</f>
        <v/>
      </c>
      <c r="E235" s="17">
        <f>+'Invullen groen'!H235</f>
        <v/>
      </c>
      <c r="F235" s="17">
        <f>+'Invullen groen'!I235</f>
        <v/>
      </c>
      <c r="G235" s="17">
        <f>+'Invullen groen'!J235</f>
        <v/>
      </c>
      <c r="H235" s="17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 s="418">
      <c r="A236" s="14">
        <f>+'Invullen groen'!A236</f>
        <v/>
      </c>
      <c r="B236" s="15">
        <f>+'Invullen groen'!C236</f>
        <v/>
      </c>
      <c r="C236" s="25">
        <f>+'Invullen groen'!G236</f>
        <v/>
      </c>
      <c r="D236" s="16">
        <f>+'Invullen groen'!M236</f>
        <v/>
      </c>
      <c r="E236" s="17">
        <f>+'Invullen groen'!H236</f>
        <v/>
      </c>
      <c r="F236" s="17">
        <f>+'Invullen groen'!I236</f>
        <v/>
      </c>
      <c r="G236" s="17">
        <f>+'Invullen groen'!J236</f>
        <v/>
      </c>
      <c r="H236" s="17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 s="418">
      <c r="A237" s="14">
        <f>+'Invullen groen'!A237</f>
        <v/>
      </c>
      <c r="B237" s="15">
        <f>+'Invullen groen'!C237</f>
        <v/>
      </c>
      <c r="C237" s="25">
        <f>+'Invullen groen'!G237</f>
        <v/>
      </c>
      <c r="D237" s="16">
        <f>+'Invullen groen'!M237</f>
        <v/>
      </c>
      <c r="E237" s="17">
        <f>+'Invullen groen'!H237</f>
        <v/>
      </c>
      <c r="F237" s="17">
        <f>+'Invullen groen'!I237</f>
        <v/>
      </c>
      <c r="G237" s="17">
        <f>+'Invullen groen'!J237</f>
        <v/>
      </c>
      <c r="H237" s="17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 s="418">
      <c r="A238" s="14">
        <f>+'Invullen groen'!A238</f>
        <v/>
      </c>
      <c r="B238" s="15">
        <f>+'Invullen groen'!C238</f>
        <v/>
      </c>
      <c r="C238" s="25">
        <f>+'Invullen groen'!G238</f>
        <v/>
      </c>
      <c r="D238" s="16">
        <f>+'Invullen groen'!M238</f>
        <v/>
      </c>
      <c r="E238" s="17">
        <f>+'Invullen groen'!H238</f>
        <v/>
      </c>
      <c r="F238" s="17">
        <f>+'Invullen groen'!I238</f>
        <v/>
      </c>
      <c r="G238" s="17">
        <f>+'Invullen groen'!J238</f>
        <v/>
      </c>
      <c r="H238" s="17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 s="418">
      <c r="A239" s="14">
        <f>+'Invullen groen'!A239</f>
        <v/>
      </c>
      <c r="B239" s="15">
        <f>+'Invullen groen'!C239</f>
        <v/>
      </c>
      <c r="C239" s="25">
        <f>+'Invullen groen'!G239</f>
        <v/>
      </c>
      <c r="D239" s="16">
        <f>+'Invullen groen'!M239</f>
        <v/>
      </c>
      <c r="E239" s="17">
        <f>+'Invullen groen'!H239</f>
        <v/>
      </c>
      <c r="F239" s="17">
        <f>+'Invullen groen'!I239</f>
        <v/>
      </c>
      <c r="G239" s="17">
        <f>+'Invullen groen'!J239</f>
        <v/>
      </c>
      <c r="H239" s="17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 s="418">
      <c r="A240" s="14">
        <f>+'Invullen groen'!A240</f>
        <v/>
      </c>
      <c r="B240" s="15">
        <f>+'Invullen groen'!C240</f>
        <v/>
      </c>
      <c r="C240" s="25">
        <f>+'Invullen groen'!G240</f>
        <v/>
      </c>
      <c r="D240" s="16">
        <f>+'Invullen groen'!M240</f>
        <v/>
      </c>
      <c r="E240" s="17">
        <f>+'Invullen groen'!H240</f>
        <v/>
      </c>
      <c r="F240" s="17">
        <f>+'Invullen groen'!I240</f>
        <v/>
      </c>
      <c r="G240" s="17">
        <f>+'Invullen groen'!J240</f>
        <v/>
      </c>
      <c r="H240" s="17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 s="418">
      <c r="A241" s="14">
        <f>+'Invullen groen'!A241</f>
        <v/>
      </c>
      <c r="B241" s="15">
        <f>+'Invullen groen'!C241</f>
        <v/>
      </c>
      <c r="C241" s="25">
        <f>+'Invullen groen'!G241</f>
        <v/>
      </c>
      <c r="D241" s="16">
        <f>+'Invullen groen'!M241</f>
        <v/>
      </c>
      <c r="E241" s="17">
        <f>+'Invullen groen'!H241</f>
        <v/>
      </c>
      <c r="F241" s="17">
        <f>+'Invullen groen'!I241</f>
        <v/>
      </c>
      <c r="G241" s="17">
        <f>+'Invullen groen'!J241</f>
        <v/>
      </c>
      <c r="H241" s="17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 s="418">
      <c r="A242" s="14">
        <f>+'Invullen groen'!A242</f>
        <v/>
      </c>
      <c r="B242" s="15">
        <f>+'Invullen groen'!C242</f>
        <v/>
      </c>
      <c r="C242" s="25">
        <f>+'Invullen groen'!G242</f>
        <v/>
      </c>
      <c r="D242" s="16">
        <f>+'Invullen groen'!M242</f>
        <v/>
      </c>
      <c r="E242" s="17">
        <f>+'Invullen groen'!H242</f>
        <v/>
      </c>
      <c r="F242" s="17">
        <f>+'Invullen groen'!I242</f>
        <v/>
      </c>
      <c r="G242" s="17">
        <f>+'Invullen groen'!J242</f>
        <v/>
      </c>
      <c r="H242" s="17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 s="418">
      <c r="A243" s="14">
        <f>+'Invullen groen'!A243</f>
        <v/>
      </c>
      <c r="B243" s="15">
        <f>+'Invullen groen'!C243</f>
        <v/>
      </c>
      <c r="C243" s="25">
        <f>+'Invullen groen'!G243</f>
        <v/>
      </c>
      <c r="D243" s="16">
        <f>+'Invullen groen'!M243</f>
        <v/>
      </c>
      <c r="E243" s="17">
        <f>+'Invullen groen'!H243</f>
        <v/>
      </c>
      <c r="F243" s="17">
        <f>+'Invullen groen'!I243</f>
        <v/>
      </c>
      <c r="G243" s="17">
        <f>+'Invullen groen'!J243</f>
        <v/>
      </c>
      <c r="H243" s="17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 s="418">
      <c r="A244" s="14">
        <f>+'Invullen groen'!A244</f>
        <v/>
      </c>
      <c r="B244" s="15">
        <f>+'Invullen groen'!C244</f>
        <v/>
      </c>
      <c r="C244" s="25">
        <f>+'Invullen groen'!G244</f>
        <v/>
      </c>
      <c r="D244" s="16">
        <f>+'Invullen groen'!M244</f>
        <v/>
      </c>
      <c r="E244" s="17">
        <f>+'Invullen groen'!H244</f>
        <v/>
      </c>
      <c r="F244" s="17">
        <f>+'Invullen groen'!I244</f>
        <v/>
      </c>
      <c r="G244" s="17">
        <f>+'Invullen groen'!J244</f>
        <v/>
      </c>
      <c r="H244" s="17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 s="418">
      <c r="A245" s="14">
        <f>+'Invullen groen'!A245</f>
        <v/>
      </c>
      <c r="B245" s="15">
        <f>+'Invullen groen'!C245</f>
        <v/>
      </c>
      <c r="C245" s="25">
        <f>+'Invullen groen'!G245</f>
        <v/>
      </c>
      <c r="D245" s="16">
        <f>+'Invullen groen'!M245</f>
        <v/>
      </c>
      <c r="E245" s="17">
        <f>+'Invullen groen'!H245</f>
        <v/>
      </c>
      <c r="F245" s="17">
        <f>+'Invullen groen'!I245</f>
        <v/>
      </c>
      <c r="G245" s="17">
        <f>+'Invullen groen'!J245</f>
        <v/>
      </c>
      <c r="H245" s="17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 s="418">
      <c r="A246" s="14">
        <f>+'Invullen groen'!A246</f>
        <v/>
      </c>
      <c r="B246" s="15">
        <f>+'Invullen groen'!C246</f>
        <v/>
      </c>
      <c r="C246" s="25">
        <f>+'Invullen groen'!G246</f>
        <v/>
      </c>
      <c r="D246" s="16">
        <f>+'Invullen groen'!M246</f>
        <v/>
      </c>
      <c r="E246" s="17">
        <f>+'Invullen groen'!H246</f>
        <v/>
      </c>
      <c r="F246" s="17">
        <f>+'Invullen groen'!I246</f>
        <v/>
      </c>
      <c r="G246" s="17">
        <f>+'Invullen groen'!J246</f>
        <v/>
      </c>
      <c r="H246" s="17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 s="418">
      <c r="A247" s="14">
        <f>+'Invullen groen'!A247</f>
        <v/>
      </c>
      <c r="B247" s="15">
        <f>+'Invullen groen'!C247</f>
        <v/>
      </c>
      <c r="C247" s="25">
        <f>+'Invullen groen'!G247</f>
        <v/>
      </c>
      <c r="D247" s="16">
        <f>+'Invullen groen'!M247</f>
        <v/>
      </c>
      <c r="E247" s="17">
        <f>+'Invullen groen'!H247</f>
        <v/>
      </c>
      <c r="F247" s="17">
        <f>+'Invullen groen'!I247</f>
        <v/>
      </c>
      <c r="G247" s="17">
        <f>+'Invullen groen'!J247</f>
        <v/>
      </c>
      <c r="H247" s="17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 s="418">
      <c r="A248" s="14">
        <f>+'Invullen groen'!A248</f>
        <v/>
      </c>
      <c r="B248" s="15">
        <f>+'Invullen groen'!C248</f>
        <v/>
      </c>
      <c r="C248" s="25">
        <f>+'Invullen groen'!G248</f>
        <v/>
      </c>
      <c r="D248" s="16">
        <f>+'Invullen groen'!M248</f>
        <v/>
      </c>
      <c r="E248" s="17">
        <f>+'Invullen groen'!H248</f>
        <v/>
      </c>
      <c r="F248" s="17">
        <f>+'Invullen groen'!I248</f>
        <v/>
      </c>
      <c r="G248" s="17">
        <f>+'Invullen groen'!J248</f>
        <v/>
      </c>
      <c r="H248" s="17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 s="418">
      <c r="A249" s="14">
        <f>+'Invullen groen'!A249</f>
        <v/>
      </c>
      <c r="B249" s="15">
        <f>+'Invullen groen'!C249</f>
        <v/>
      </c>
      <c r="C249" s="25">
        <f>+'Invullen groen'!G249</f>
        <v/>
      </c>
      <c r="D249" s="16">
        <f>+'Invullen groen'!M249</f>
        <v/>
      </c>
      <c r="E249" s="17">
        <f>+'Invullen groen'!H249</f>
        <v/>
      </c>
      <c r="F249" s="17">
        <f>+'Invullen groen'!I249</f>
        <v/>
      </c>
      <c r="G249" s="17">
        <f>+'Invullen groen'!J249</f>
        <v/>
      </c>
      <c r="H249" s="17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 s="418">
      <c r="A250" s="14">
        <f>+'Invullen groen'!A250</f>
        <v/>
      </c>
      <c r="B250" s="15">
        <f>+'Invullen groen'!C250</f>
        <v/>
      </c>
      <c r="C250" s="25">
        <f>+'Invullen groen'!G250</f>
        <v/>
      </c>
      <c r="D250" s="16">
        <f>+'Invullen groen'!M250</f>
        <v/>
      </c>
      <c r="E250" s="17">
        <f>+'Invullen groen'!H250</f>
        <v/>
      </c>
      <c r="F250" s="17">
        <f>+'Invullen groen'!I250</f>
        <v/>
      </c>
      <c r="G250" s="17">
        <f>+'Invullen groen'!J250</f>
        <v/>
      </c>
      <c r="H250" s="17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 s="418">
      <c r="A251" s="14">
        <f>+'Invullen groen'!A251</f>
        <v/>
      </c>
      <c r="B251" s="15">
        <f>+'Invullen groen'!C251</f>
        <v/>
      </c>
      <c r="C251" s="25">
        <f>+'Invullen groen'!G251</f>
        <v/>
      </c>
      <c r="D251" s="16">
        <f>+'Invullen groen'!M251</f>
        <v/>
      </c>
      <c r="E251" s="17">
        <f>+'Invullen groen'!H251</f>
        <v/>
      </c>
      <c r="F251" s="17">
        <f>+'Invullen groen'!I251</f>
        <v/>
      </c>
      <c r="G251" s="17">
        <f>+'Invullen groen'!J251</f>
        <v/>
      </c>
      <c r="H251" s="17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 s="418">
      <c r="A252" s="14">
        <f>+'Invullen groen'!A252</f>
        <v/>
      </c>
      <c r="B252" s="15">
        <f>+'Invullen groen'!C252</f>
        <v/>
      </c>
      <c r="C252" s="25">
        <f>+'Invullen groen'!G252</f>
        <v/>
      </c>
      <c r="D252" s="16">
        <f>+'Invullen groen'!M252</f>
        <v/>
      </c>
      <c r="E252" s="17">
        <f>+'Invullen groen'!H252</f>
        <v/>
      </c>
      <c r="F252" s="17">
        <f>+'Invullen groen'!I252</f>
        <v/>
      </c>
      <c r="G252" s="17">
        <f>+'Invullen groen'!J252</f>
        <v/>
      </c>
      <c r="H252" s="17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 s="418">
      <c r="A253" s="14">
        <f>+'Invullen groen'!A253</f>
        <v/>
      </c>
      <c r="B253" s="15">
        <f>+'Invullen groen'!C253</f>
        <v/>
      </c>
      <c r="C253" s="25">
        <f>+'Invullen groen'!G253</f>
        <v/>
      </c>
      <c r="D253" s="16">
        <f>+'Invullen groen'!M253</f>
        <v/>
      </c>
      <c r="E253" s="17">
        <f>+'Invullen groen'!H253</f>
        <v/>
      </c>
      <c r="F253" s="17">
        <f>+'Invullen groen'!I253</f>
        <v/>
      </c>
      <c r="G253" s="17">
        <f>+'Invullen groen'!J253</f>
        <v/>
      </c>
      <c r="H253" s="17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 s="418">
      <c r="A254" s="14">
        <f>+'Invullen groen'!A254</f>
        <v/>
      </c>
      <c r="B254" s="15">
        <f>+'Invullen groen'!C254</f>
        <v/>
      </c>
      <c r="C254" s="25">
        <f>+'Invullen groen'!G254</f>
        <v/>
      </c>
      <c r="D254" s="16">
        <f>+'Invullen groen'!M254</f>
        <v/>
      </c>
      <c r="E254" s="17">
        <f>+'Invullen groen'!H254</f>
        <v/>
      </c>
      <c r="F254" s="17">
        <f>+'Invullen groen'!I254</f>
        <v/>
      </c>
      <c r="G254" s="17">
        <f>+'Invullen groen'!J254</f>
        <v/>
      </c>
      <c r="H254" s="17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 s="418">
      <c r="A255" s="14">
        <f>+'Invullen groen'!A255</f>
        <v/>
      </c>
      <c r="B255" s="15">
        <f>+'Invullen groen'!C255</f>
        <v/>
      </c>
      <c r="C255" s="25">
        <f>+'Invullen groen'!G255</f>
        <v/>
      </c>
      <c r="D255" s="16">
        <f>+'Invullen groen'!M255</f>
        <v/>
      </c>
      <c r="E255" s="17">
        <f>+'Invullen groen'!H255</f>
        <v/>
      </c>
      <c r="F255" s="17">
        <f>+'Invullen groen'!I255</f>
        <v/>
      </c>
      <c r="G255" s="17">
        <f>+'Invullen groen'!J255</f>
        <v/>
      </c>
      <c r="H255" s="17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 s="418">
      <c r="A256" s="14">
        <f>+'Invullen groen'!A256</f>
        <v/>
      </c>
      <c r="B256" s="15">
        <f>+'Invullen groen'!C256</f>
        <v/>
      </c>
      <c r="C256" s="25">
        <f>+'Invullen groen'!G256</f>
        <v/>
      </c>
      <c r="D256" s="16">
        <f>+'Invullen groen'!M256</f>
        <v/>
      </c>
      <c r="E256" s="17">
        <f>+'Invullen groen'!H256</f>
        <v/>
      </c>
      <c r="F256" s="17">
        <f>+'Invullen groen'!I256</f>
        <v/>
      </c>
      <c r="G256" s="17">
        <f>+'Invullen groen'!J256</f>
        <v/>
      </c>
      <c r="H256" s="17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 s="418">
      <c r="A257" s="14">
        <f>+'Invullen groen'!A257</f>
        <v/>
      </c>
      <c r="B257" s="15">
        <f>+'Invullen groen'!C257</f>
        <v/>
      </c>
      <c r="C257" s="25">
        <f>+'Invullen groen'!G257</f>
        <v/>
      </c>
      <c r="D257" s="16">
        <f>+'Invullen groen'!M257</f>
        <v/>
      </c>
      <c r="E257" s="17">
        <f>+'Invullen groen'!H257</f>
        <v/>
      </c>
      <c r="F257" s="17">
        <f>+'Invullen groen'!I257</f>
        <v/>
      </c>
      <c r="G257" s="17">
        <f>+'Invullen groen'!J257</f>
        <v/>
      </c>
      <c r="H257" s="17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 s="418">
      <c r="A258" s="14">
        <f>+'Invullen groen'!A258</f>
        <v/>
      </c>
      <c r="B258" s="15">
        <f>+'Invullen groen'!C258</f>
        <v/>
      </c>
      <c r="C258" s="25">
        <f>+'Invullen groen'!G258</f>
        <v/>
      </c>
      <c r="D258" s="16">
        <f>+'Invullen groen'!M258</f>
        <v/>
      </c>
      <c r="E258" s="17">
        <f>+'Invullen groen'!H258</f>
        <v/>
      </c>
      <c r="F258" s="17">
        <f>+'Invullen groen'!I258</f>
        <v/>
      </c>
      <c r="G258" s="17">
        <f>+'Invullen groen'!J258</f>
        <v/>
      </c>
      <c r="H258" s="17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 s="418">
      <c r="A259" s="14">
        <f>+'Invullen groen'!A259</f>
        <v/>
      </c>
      <c r="B259" s="15">
        <f>+'Invullen groen'!C259</f>
        <v/>
      </c>
      <c r="C259" s="25">
        <f>+'Invullen groen'!G259</f>
        <v/>
      </c>
      <c r="D259" s="16">
        <f>+'Invullen groen'!M259</f>
        <v/>
      </c>
      <c r="E259" s="17">
        <f>+'Invullen groen'!H259</f>
        <v/>
      </c>
      <c r="F259" s="17">
        <f>+'Invullen groen'!I259</f>
        <v/>
      </c>
      <c r="G259" s="17">
        <f>+'Invullen groen'!J259</f>
        <v/>
      </c>
      <c r="H259" s="17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 s="418">
      <c r="A260" s="14">
        <f>+'Invullen groen'!A260</f>
        <v/>
      </c>
      <c r="B260" s="15">
        <f>+'Invullen groen'!C260</f>
        <v/>
      </c>
      <c r="C260" s="25">
        <f>+'Invullen groen'!G260</f>
        <v/>
      </c>
      <c r="D260" s="16">
        <f>+'Invullen groen'!M260</f>
        <v/>
      </c>
      <c r="E260" s="17">
        <f>+'Invullen groen'!H260</f>
        <v/>
      </c>
      <c r="F260" s="17">
        <f>+'Invullen groen'!I260</f>
        <v/>
      </c>
      <c r="G260" s="17">
        <f>+'Invullen groen'!J260</f>
        <v/>
      </c>
      <c r="H260" s="17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 s="418">
      <c r="A261" s="14">
        <f>+'Invullen groen'!A261</f>
        <v/>
      </c>
      <c r="B261" s="15">
        <f>+'Invullen groen'!C261</f>
        <v/>
      </c>
      <c r="C261" s="25">
        <f>+'Invullen groen'!G261</f>
        <v/>
      </c>
      <c r="D261" s="16">
        <f>+'Invullen groen'!M261</f>
        <v/>
      </c>
      <c r="E261" s="17">
        <f>+'Invullen groen'!H261</f>
        <v/>
      </c>
      <c r="F261" s="17">
        <f>+'Invullen groen'!I261</f>
        <v/>
      </c>
      <c r="G261" s="17">
        <f>+'Invullen groen'!J261</f>
        <v/>
      </c>
      <c r="H261" s="17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 s="418">
      <c r="A262" s="14">
        <f>+'Invullen groen'!A262</f>
        <v/>
      </c>
      <c r="B262" s="15">
        <f>+'Invullen groen'!C262</f>
        <v/>
      </c>
      <c r="C262" s="25">
        <f>+'Invullen groen'!G262</f>
        <v/>
      </c>
      <c r="D262" s="16">
        <f>+'Invullen groen'!M262</f>
        <v/>
      </c>
      <c r="E262" s="17">
        <f>+'Invullen groen'!H262</f>
        <v/>
      </c>
      <c r="F262" s="17">
        <f>+'Invullen groen'!I262</f>
        <v/>
      </c>
      <c r="G262" s="17">
        <f>+'Invullen groen'!J262</f>
        <v/>
      </c>
      <c r="H262" s="17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 s="418">
      <c r="A263" s="14">
        <f>+'Invullen groen'!A263</f>
        <v/>
      </c>
      <c r="B263" s="15">
        <f>+'Invullen groen'!C263</f>
        <v/>
      </c>
      <c r="C263" s="25">
        <f>+'Invullen groen'!G263</f>
        <v/>
      </c>
      <c r="D263" s="16">
        <f>+'Invullen groen'!M263</f>
        <v/>
      </c>
      <c r="E263" s="17">
        <f>+'Invullen groen'!H263</f>
        <v/>
      </c>
      <c r="F263" s="17">
        <f>+'Invullen groen'!I263</f>
        <v/>
      </c>
      <c r="G263" s="17">
        <f>+'Invullen groen'!J263</f>
        <v/>
      </c>
      <c r="H263" s="17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 s="418">
      <c r="A264" s="14">
        <f>+'Invullen groen'!A264</f>
        <v/>
      </c>
      <c r="B264" s="15">
        <f>+'Invullen groen'!C264</f>
        <v/>
      </c>
      <c r="C264" s="25">
        <f>+'Invullen groen'!G264</f>
        <v/>
      </c>
      <c r="D264" s="16">
        <f>+'Invullen groen'!M264</f>
        <v/>
      </c>
      <c r="E264" s="17">
        <f>+'Invullen groen'!H264</f>
        <v/>
      </c>
      <c r="F264" s="17">
        <f>+'Invullen groen'!I264</f>
        <v/>
      </c>
      <c r="G264" s="17">
        <f>+'Invullen groen'!J264</f>
        <v/>
      </c>
      <c r="H264" s="17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 s="418">
      <c r="A265" s="14">
        <f>+'Invullen groen'!A265</f>
        <v/>
      </c>
      <c r="B265" s="15">
        <f>+'Invullen groen'!C265</f>
        <v/>
      </c>
      <c r="C265" s="25">
        <f>+'Invullen groen'!G265</f>
        <v/>
      </c>
      <c r="D265" s="16">
        <f>+'Invullen groen'!M265</f>
        <v/>
      </c>
      <c r="E265" s="17">
        <f>+'Invullen groen'!H265</f>
        <v/>
      </c>
      <c r="F265" s="17">
        <f>+'Invullen groen'!I265</f>
        <v/>
      </c>
      <c r="G265" s="17">
        <f>+'Invullen groen'!J265</f>
        <v/>
      </c>
      <c r="H265" s="17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 s="418">
      <c r="A266" s="14">
        <f>+'Invullen groen'!A266</f>
        <v/>
      </c>
      <c r="B266" s="15">
        <f>+'Invullen groen'!C266</f>
        <v/>
      </c>
      <c r="C266" s="25">
        <f>+'Invullen groen'!G266</f>
        <v/>
      </c>
      <c r="D266" s="16">
        <f>+'Invullen groen'!M266</f>
        <v/>
      </c>
      <c r="E266" s="17">
        <f>+'Invullen groen'!H266</f>
        <v/>
      </c>
      <c r="F266" s="17">
        <f>+'Invullen groen'!I266</f>
        <v/>
      </c>
      <c r="G266" s="17">
        <f>+'Invullen groen'!J266</f>
        <v/>
      </c>
      <c r="H266" s="17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 s="418">
      <c r="A267" s="14">
        <f>+'Invullen groen'!A267</f>
        <v/>
      </c>
      <c r="B267" s="15">
        <f>+'Invullen groen'!C267</f>
        <v/>
      </c>
      <c r="C267" s="25">
        <f>+'Invullen groen'!G267</f>
        <v/>
      </c>
      <c r="D267" s="16">
        <f>+'Invullen groen'!M267</f>
        <v/>
      </c>
      <c r="E267" s="17">
        <f>+'Invullen groen'!H267</f>
        <v/>
      </c>
      <c r="F267" s="17">
        <f>+'Invullen groen'!I267</f>
        <v/>
      </c>
      <c r="G267" s="17">
        <f>+'Invullen groen'!J267</f>
        <v/>
      </c>
      <c r="H267" s="17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 s="418">
      <c r="A268" s="14">
        <f>+'Invullen groen'!A268</f>
        <v/>
      </c>
      <c r="B268" s="15">
        <f>+'Invullen groen'!C268</f>
        <v/>
      </c>
      <c r="C268" s="25">
        <f>+'Invullen groen'!G268</f>
        <v/>
      </c>
      <c r="D268" s="16">
        <f>+'Invullen groen'!M268</f>
        <v/>
      </c>
      <c r="E268" s="17">
        <f>+'Invullen groen'!H268</f>
        <v/>
      </c>
      <c r="F268" s="17">
        <f>+'Invullen groen'!I268</f>
        <v/>
      </c>
      <c r="G268" s="17">
        <f>+'Invullen groen'!J268</f>
        <v/>
      </c>
      <c r="H268" s="17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 s="418">
      <c r="A269" s="14">
        <f>+'Invullen groen'!A269</f>
        <v/>
      </c>
      <c r="B269" s="15">
        <f>+'Invullen groen'!C269</f>
        <v/>
      </c>
      <c r="C269" s="25">
        <f>+'Invullen groen'!G269</f>
        <v/>
      </c>
      <c r="D269" s="16">
        <f>+'Invullen groen'!M269</f>
        <v/>
      </c>
      <c r="E269" s="17">
        <f>+'Invullen groen'!H269</f>
        <v/>
      </c>
      <c r="F269" s="17">
        <f>+'Invullen groen'!I269</f>
        <v/>
      </c>
      <c r="G269" s="17">
        <f>+'Invullen groen'!J269</f>
        <v/>
      </c>
      <c r="H269" s="17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 s="418">
      <c r="A270" s="14">
        <f>+'Invullen groen'!A270</f>
        <v/>
      </c>
      <c r="B270" s="15">
        <f>+'Invullen groen'!C270</f>
        <v/>
      </c>
      <c r="C270" s="25">
        <f>+'Invullen groen'!G270</f>
        <v/>
      </c>
      <c r="D270" s="16">
        <f>+'Invullen groen'!M270</f>
        <v/>
      </c>
      <c r="E270" s="17">
        <f>+'Invullen groen'!H270</f>
        <v/>
      </c>
      <c r="F270" s="17">
        <f>+'Invullen groen'!I270</f>
        <v/>
      </c>
      <c r="G270" s="17">
        <f>+'Invullen groen'!J270</f>
        <v/>
      </c>
      <c r="H270" s="17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 s="418">
      <c r="A271" s="14">
        <f>+'Invullen groen'!A271</f>
        <v/>
      </c>
      <c r="B271" s="15">
        <f>+'Invullen groen'!C271</f>
        <v/>
      </c>
      <c r="C271" s="25">
        <f>+'Invullen groen'!G271</f>
        <v/>
      </c>
      <c r="D271" s="16">
        <f>+'Invullen groen'!M271</f>
        <v/>
      </c>
      <c r="E271" s="17">
        <f>+'Invullen groen'!H271</f>
        <v/>
      </c>
      <c r="F271" s="17">
        <f>+'Invullen groen'!I271</f>
        <v/>
      </c>
      <c r="G271" s="17">
        <f>+'Invullen groen'!J271</f>
        <v/>
      </c>
      <c r="H271" s="17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 s="418">
      <c r="A272" s="14">
        <f>+'Invullen groen'!A272</f>
        <v/>
      </c>
      <c r="B272" s="15">
        <f>+'Invullen groen'!C272</f>
        <v/>
      </c>
      <c r="C272" s="25">
        <f>+'Invullen groen'!G272</f>
        <v/>
      </c>
      <c r="D272" s="16">
        <f>+'Invullen groen'!M272</f>
        <v/>
      </c>
      <c r="E272" s="19">
        <f>+'Invullen groen'!H272</f>
        <v/>
      </c>
      <c r="F272" s="19">
        <f>+'Invullen groen'!I272</f>
        <v/>
      </c>
      <c r="G272" s="19">
        <f>+'Invullen groen'!J272</f>
        <v/>
      </c>
      <c r="H272" s="19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32">
      <c r="A273" s="22">
        <f>+'Invullen groen'!A273</f>
        <v/>
      </c>
      <c r="B273" s="31">
        <f>+'Invullen groen'!C273</f>
        <v/>
      </c>
      <c r="C273" s="26">
        <f>+'Invullen groen'!G273</f>
        <v/>
      </c>
      <c r="D273" s="20">
        <f>+'Invullen groen'!M273</f>
        <v/>
      </c>
      <c r="E273" s="21">
        <f>+'Invullen groen'!H273</f>
        <v/>
      </c>
      <c r="F273" s="21">
        <f>+'Invullen groen'!I273</f>
        <v/>
      </c>
      <c r="G273" s="21">
        <f>+'Invullen groen'!J273</f>
        <v/>
      </c>
      <c r="H273" s="21">
        <f>+'Invullen groen'!K273</f>
        <v/>
      </c>
      <c r="I273" s="35">
        <f>+'Invullen groen'!AW273</f>
        <v/>
      </c>
      <c r="J273" s="35">
        <f>+'Invullen groen'!AX273</f>
        <v/>
      </c>
      <c r="K273" s="35">
        <f>+'Invullen groen'!AY273</f>
        <v/>
      </c>
      <c r="L273" s="35">
        <f>+'Invullen groen'!AZ273</f>
        <v/>
      </c>
      <c r="M273" s="35">
        <f>+'Invullen groen'!BA273</f>
        <v/>
      </c>
      <c r="N273" s="35">
        <f>+'Invullen groen'!BB273</f>
        <v/>
      </c>
      <c r="O273" s="35">
        <f>+'Invullen groen'!BC273</f>
        <v/>
      </c>
      <c r="P273" s="35">
        <f>+'Invullen groen'!BD273</f>
        <v/>
      </c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  <c r="AA273" s="35" t="n"/>
      <c r="AB273" s="35" t="n"/>
      <c r="AC273" s="35" t="n"/>
      <c r="AD273" s="35" t="n"/>
      <c r="AE273" s="35" t="n"/>
      <c r="AF273" s="35" t="n"/>
      <c r="AG273" s="35" t="n"/>
      <c r="AH273" s="35" t="n"/>
      <c r="AI273" s="35" t="n"/>
      <c r="AJ273" s="35" t="n"/>
      <c r="AK273" s="35" t="n"/>
      <c r="AL273" s="35" t="n"/>
      <c r="AM273" s="35" t="n"/>
      <c r="AN273" s="35" t="n"/>
      <c r="AO273" s="35" t="n"/>
      <c r="AP273" s="35" t="n"/>
      <c r="AQ273" s="35" t="n"/>
      <c r="AR273" s="35" t="n"/>
      <c r="AS273" s="35" t="n"/>
      <c r="AT273" s="35" t="n"/>
      <c r="AU273" s="35" t="n"/>
      <c r="AV273" s="35" t="n"/>
      <c r="AW273" s="35" t="n"/>
      <c r="AX273" s="35" t="n"/>
      <c r="AY273" s="35" t="n"/>
      <c r="AZ273" s="35" t="n"/>
      <c r="BA273" s="35" t="n"/>
      <c r="BB273" s="35" t="n"/>
      <c r="BC273" s="35" t="n"/>
      <c r="BD273" s="35" t="n"/>
      <c r="BE273" s="35" t="n"/>
      <c r="BF273" s="35" t="n"/>
      <c r="BG273" s="35" t="n"/>
      <c r="BH273" s="35" t="n"/>
      <c r="BI273" s="35" t="n"/>
      <c r="BJ273" s="35" t="n"/>
      <c r="BK273" s="35" t="n"/>
      <c r="BL273" s="35" t="n"/>
      <c r="BM273" s="35" t="n"/>
      <c r="BN273" s="35" t="n"/>
      <c r="BO273" s="35" t="n"/>
    </row>
    <row r="274" ht="15" customHeight="1" s="418">
      <c r="A274" s="14">
        <f>+'Invullen groen'!A274</f>
        <v/>
      </c>
      <c r="B274" s="15">
        <f>+'Invullen groen'!C274</f>
        <v/>
      </c>
      <c r="C274" s="25">
        <f>+'Invullen groen'!G274</f>
        <v/>
      </c>
      <c r="D274" s="16">
        <f>+'Invullen groen'!M274</f>
        <v/>
      </c>
      <c r="E274" s="17">
        <f>+'Invullen groen'!H274</f>
        <v/>
      </c>
      <c r="F274" s="17">
        <f>+'Invullen groen'!I274</f>
        <v/>
      </c>
      <c r="G274" s="17">
        <f>+'Invullen groen'!J274</f>
        <v/>
      </c>
      <c r="H274" s="17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 s="418">
      <c r="A275" s="14">
        <f>+'Invullen groen'!A275</f>
        <v/>
      </c>
      <c r="B275" s="15">
        <f>+'Invullen groen'!C275</f>
        <v/>
      </c>
      <c r="C275" s="25">
        <f>+'Invullen groen'!G275</f>
        <v/>
      </c>
      <c r="D275" s="16">
        <f>+'Invullen groen'!M275</f>
        <v/>
      </c>
      <c r="E275" s="17">
        <f>+'Invullen groen'!H275</f>
        <v/>
      </c>
      <c r="F275" s="17">
        <f>+'Invullen groen'!I275</f>
        <v/>
      </c>
      <c r="G275" s="17">
        <f>+'Invullen groen'!J275</f>
        <v/>
      </c>
      <c r="H275" s="17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0">
        <f>+'Invullen groen'!A280</f>
        <v/>
      </c>
      <c r="B276" s="5">
        <f>+'Invullen groen'!C280</f>
        <v/>
      </c>
      <c r="C276" s="6">
        <f>+'Invullen groen'!G280</f>
        <v/>
      </c>
      <c r="D276" s="10">
        <f>+'Invullen groen'!M280</f>
        <v/>
      </c>
      <c r="E276" s="7">
        <f>+'Invullen groen'!H280</f>
        <v/>
      </c>
      <c r="F276" s="7">
        <f>+'Invullen groen'!I280</f>
        <v/>
      </c>
      <c r="G276" s="7">
        <f>+'Invullen groen'!J280</f>
        <v/>
      </c>
      <c r="H276" s="7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93" t="inlineStr">
        <is>
          <t>Aldus vastgesteld in de raadsvergadering van:</t>
        </is>
      </c>
      <c r="B277" s="36" t="n"/>
      <c r="C277" s="97" t="inlineStr">
        <is>
          <t>x-xx-2026</t>
        </is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94" t="n"/>
      <c r="B278" s="37" t="n"/>
      <c r="C278" s="38" t="n"/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94" t="inlineStr">
        <is>
          <t>De Gemeenteraad,</t>
        </is>
      </c>
      <c r="B279" s="37" t="n"/>
      <c r="C279" s="38" t="n"/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94" t="n"/>
      <c r="B280" s="37" t="n"/>
      <c r="C280" s="38" t="n"/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94" t="inlineStr">
        <is>
          <t>De Griffier,</t>
        </is>
      </c>
      <c r="B281" s="37" t="n"/>
      <c r="C281" s="96" t="inlineStr">
        <is>
          <t>De voorzitter,</t>
        </is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94" t="n"/>
      <c r="B282" s="37" t="n"/>
      <c r="C282" s="38" t="n"/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94" t="n"/>
      <c r="B283" s="37" t="n"/>
      <c r="C283" s="38" t="n"/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94" t="n"/>
      <c r="B284" s="37" t="n"/>
      <c r="C284" s="38" t="n"/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94" t="n"/>
      <c r="B285" s="37" t="n"/>
      <c r="C285" s="38" t="n"/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94" t="n"/>
      <c r="B286" s="37" t="n"/>
      <c r="C286" s="38" t="n"/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94" t="inlineStr">
        <is>
          <t>R. Swinkels- van de Laar</t>
        </is>
      </c>
      <c r="B287" s="37" t="n"/>
      <c r="C287" s="38" t="inlineStr">
        <is>
          <t>R. Donders- de Leest</t>
        </is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94" t="n"/>
      <c r="B288" s="37" t="n"/>
      <c r="C288" s="38" t="n"/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94" t="n"/>
      <c r="B289" s="37" t="n"/>
      <c r="C289" s="38" t="n"/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94" t="n"/>
      <c r="B290" s="37" t="n"/>
      <c r="C290" s="38" t="n"/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95" t="n"/>
      <c r="B291" s="39" t="n"/>
      <c r="C291" s="40" t="n"/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B292" s="1" t="n"/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B293" s="1" t="n"/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B294" s="1" t="n"/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B295" s="1" t="n"/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4.xml><?xml version="1.0" encoding="utf-8"?>
<worksheet xmlns="http://schemas.openxmlformats.org/spreadsheetml/2006/main">
  <sheetPr>
    <tabColor rgb="FF0D1E35"/>
    <outlinePr summaryBelow="1" summaryRight="1"/>
    <pageSetUpPr/>
  </sheetPr>
  <dimension ref="A1:J245"/>
  <sheetViews>
    <sheetView workbookViewId="0">
      <selection activeCell="A1" sqref="A1:I1"/>
    </sheetView>
  </sheetViews>
  <sheetFormatPr baseColWidth="8" defaultRowHeight="14.4"/>
  <cols>
    <col width="4" customWidth="1" style="418" min="1" max="1"/>
    <col width="28" customWidth="1" style="418" min="2" max="2"/>
    <col width="9" customWidth="1" style="418" min="3" max="3"/>
    <col width="30" customWidth="1" style="418" min="4" max="5"/>
    <col width="16" customWidth="1" style="418" min="6" max="6"/>
    <col width="14" customWidth="1" style="418" min="7" max="9"/>
    <col hidden="1" width="5" customWidth="1" style="418" min="10" max="10"/>
  </cols>
  <sheetData>
    <row r="1" ht="24" customHeight="1" s="418">
      <c r="A1" s="431" t="inlineStr">
        <is>
          <t>Totaaloverzicht begrotingswijziging</t>
        </is>
      </c>
    </row>
    <row r="2" ht="18" customHeight="1" s="418">
      <c r="A2" s="432">
        <f>'Invullen groen'!A4</f>
        <v/>
      </c>
      <c r="G2" s="253" t="inlineStr">
        <is>
          <t>Corsanr.:</t>
        </is>
      </c>
      <c r="H2" s="253" t="n"/>
      <c r="I2" s="253" t="n"/>
    </row>
    <row r="3" ht="6" customHeight="1" s="418">
      <c r="A3" s="193" t="n"/>
      <c r="B3" s="193" t="n"/>
      <c r="C3" s="193" t="n"/>
      <c r="D3" s="193" t="n"/>
      <c r="E3" s="193" t="n"/>
      <c r="F3" s="254" t="n"/>
      <c r="G3" s="254" t="n"/>
      <c r="H3" s="254" t="n"/>
      <c r="I3" s="254" t="n"/>
    </row>
    <row r="4" ht="18" customHeight="1" s="418">
      <c r="A4" s="255" t="inlineStr">
        <is>
          <t>Nr.</t>
        </is>
      </c>
      <c r="B4" s="256" t="inlineStr">
        <is>
          <t>Programma</t>
        </is>
      </c>
      <c r="C4" s="256" t="inlineStr">
        <is>
          <t>Taakveld</t>
        </is>
      </c>
      <c r="D4" s="256" t="inlineStr">
        <is>
          <t>Omschrijving taakveld</t>
        </is>
      </c>
      <c r="E4" s="256" t="inlineStr">
        <is>
          <t>Omschrijving grootboek</t>
        </is>
      </c>
      <c r="F4" s="257" t="inlineStr">
        <is>
          <t>Bgr.jaar 2026</t>
        </is>
      </c>
      <c r="G4" s="257" t="inlineStr">
        <is>
          <t>MJR 2027</t>
        </is>
      </c>
      <c r="H4" s="257" t="inlineStr">
        <is>
          <t>MJR 2028</t>
        </is>
      </c>
      <c r="I4" s="257" t="inlineStr">
        <is>
          <t>MJR 2029</t>
        </is>
      </c>
    </row>
    <row r="5" ht="15" customHeight="1" s="418">
      <c r="A5" s="258">
        <f>IFERROR(IF($J5&gt;0,ROW()-4,""),"")</f>
        <v/>
      </c>
      <c r="B5" s="258">
        <f>IFERROR(IF($J5&gt;0,INDEX('Invullen groen'!$A:$A,$J5),""),"")</f>
        <v/>
      </c>
      <c r="C5" s="258">
        <f>IFERROR(IF($J5&gt;0,INDEX('Invullen groen'!$C:$C,$J5),""),"")</f>
        <v/>
      </c>
      <c r="D5" s="258">
        <f>IFERROR(IF($J5&gt;0,INDEX('Invullen groen'!$D:$D,$J5),""),"")</f>
        <v/>
      </c>
      <c r="E5" s="258">
        <f>IFERROR(IF($J5&gt;0,INDEX('Invullen groen'!$G:$G,$J5),""),"")</f>
        <v/>
      </c>
      <c r="F5" s="259">
        <f>IFERROR(IF($J5&gt;0,IF(INDEX('Invullen groen'!$H:$H,$J5)&lt;&gt;0,INDEX('Invullen groen'!$H:$H,$J5),""),""),"")</f>
        <v/>
      </c>
      <c r="G5" s="259">
        <f>IFERROR(IF($J5&gt;0,IF(INDEX('Invullen groen'!$I:$I,$J5)&lt;&gt;0,INDEX('Invullen groen'!$I:$I,$J5),""),""),"")</f>
        <v/>
      </c>
      <c r="H5" s="259">
        <f>IFERROR(IF($J5&gt;0,IF(INDEX('Invullen groen'!$J:$J,$J5)&lt;&gt;0,INDEX('Invullen groen'!$J:$J,$J5),""),""),"")</f>
        <v/>
      </c>
      <c r="I5" s="259">
        <f>IFERROR(IF($J5&gt;0,IF(INDEX('Invullen groen'!$K:$K,$J5)&lt;&gt;0,INDEX('Invullen groen'!$K:$K,$J5),""),""),"")</f>
        <v/>
      </c>
      <c r="J5">
        <f>IFERROR(MATCH(ROW()-4,'Invullen groen'!$P$17:$P$272,0)+16,0)</f>
        <v/>
      </c>
    </row>
    <row r="6" ht="15" customHeight="1" s="418">
      <c r="A6" s="260">
        <f>IFERROR(IF($J6&gt;0,ROW()-4,""),"")</f>
        <v/>
      </c>
      <c r="B6" s="260">
        <f>IFERROR(IF($J6&gt;0,INDEX('Invullen groen'!$A:$A,$J6),""),"")</f>
        <v/>
      </c>
      <c r="C6" s="260">
        <f>IFERROR(IF($J6&gt;0,INDEX('Invullen groen'!$C:$C,$J6),""),"")</f>
        <v/>
      </c>
      <c r="D6" s="260">
        <f>IFERROR(IF($J6&gt;0,INDEX('Invullen groen'!$D:$D,$J6),""),"")</f>
        <v/>
      </c>
      <c r="E6" s="260">
        <f>IFERROR(IF($J6&gt;0,INDEX('Invullen groen'!$G:$G,$J6),""),"")</f>
        <v/>
      </c>
      <c r="F6" s="261">
        <f>IFERROR(IF($J6&gt;0,IF(INDEX('Invullen groen'!$H:$H,$J6)&lt;&gt;0,INDEX('Invullen groen'!$H:$H,$J6),""),""),"")</f>
        <v/>
      </c>
      <c r="G6" s="261">
        <f>IFERROR(IF($J6&gt;0,IF(INDEX('Invullen groen'!$I:$I,$J6)&lt;&gt;0,INDEX('Invullen groen'!$I:$I,$J6),""),""),"")</f>
        <v/>
      </c>
      <c r="H6" s="261">
        <f>IFERROR(IF($J6&gt;0,IF(INDEX('Invullen groen'!$J:$J,$J6)&lt;&gt;0,INDEX('Invullen groen'!$J:$J,$J6),""),""),"")</f>
        <v/>
      </c>
      <c r="I6" s="261">
        <f>IFERROR(IF($J6&gt;0,IF(INDEX('Invullen groen'!$K:$K,$J6)&lt;&gt;0,INDEX('Invullen groen'!$K:$K,$J6),""),""),"")</f>
        <v/>
      </c>
      <c r="J6">
        <f>IFERROR(MATCH(ROW()-4,'Invullen groen'!$P$17:$P$272,0)+16,0)</f>
        <v/>
      </c>
    </row>
    <row r="7" ht="15" customHeight="1" s="418">
      <c r="A7" s="258">
        <f>IFERROR(IF($J7&gt;0,ROW()-4,""),"")</f>
        <v/>
      </c>
      <c r="B7" s="258">
        <f>IFERROR(IF($J7&gt;0,INDEX('Invullen groen'!$A:$A,$J7),""),"")</f>
        <v/>
      </c>
      <c r="C7" s="258">
        <f>IFERROR(IF($J7&gt;0,INDEX('Invullen groen'!$C:$C,$J7),""),"")</f>
        <v/>
      </c>
      <c r="D7" s="258">
        <f>IFERROR(IF($J7&gt;0,INDEX('Invullen groen'!$D:$D,$J7),""),"")</f>
        <v/>
      </c>
      <c r="E7" s="258">
        <f>IFERROR(IF($J7&gt;0,INDEX('Invullen groen'!$G:$G,$J7),""),"")</f>
        <v/>
      </c>
      <c r="F7" s="259">
        <f>IFERROR(IF($J7&gt;0,IF(INDEX('Invullen groen'!$H:$H,$J7)&lt;&gt;0,INDEX('Invullen groen'!$H:$H,$J7),""),""),"")</f>
        <v/>
      </c>
      <c r="G7" s="259">
        <f>IFERROR(IF($J7&gt;0,IF(INDEX('Invullen groen'!$I:$I,$J7)&lt;&gt;0,INDEX('Invullen groen'!$I:$I,$J7),""),""),"")</f>
        <v/>
      </c>
      <c r="H7" s="259">
        <f>IFERROR(IF($J7&gt;0,IF(INDEX('Invullen groen'!$J:$J,$J7)&lt;&gt;0,INDEX('Invullen groen'!$J:$J,$J7),""),""),"")</f>
        <v/>
      </c>
      <c r="I7" s="259">
        <f>IFERROR(IF($J7&gt;0,IF(INDEX('Invullen groen'!$K:$K,$J7)&lt;&gt;0,INDEX('Invullen groen'!$K:$K,$J7),""),""),"")</f>
        <v/>
      </c>
      <c r="J7">
        <f>IFERROR(MATCH(ROW()-4,'Invullen groen'!$P$17:$P$272,0)+16,0)</f>
        <v/>
      </c>
    </row>
    <row r="8" ht="15" customHeight="1" s="418">
      <c r="A8" s="260">
        <f>IFERROR(IF($J8&gt;0,ROW()-4,""),"")</f>
        <v/>
      </c>
      <c r="B8" s="260">
        <f>IFERROR(IF($J8&gt;0,INDEX('Invullen groen'!$A:$A,$J8),""),"")</f>
        <v/>
      </c>
      <c r="C8" s="260">
        <f>IFERROR(IF($J8&gt;0,INDEX('Invullen groen'!$C:$C,$J8),""),"")</f>
        <v/>
      </c>
      <c r="D8" s="260">
        <f>IFERROR(IF($J8&gt;0,INDEX('Invullen groen'!$D:$D,$J8),""),"")</f>
        <v/>
      </c>
      <c r="E8" s="260">
        <f>IFERROR(IF($J8&gt;0,INDEX('Invullen groen'!$G:$G,$J8),""),"")</f>
        <v/>
      </c>
      <c r="F8" s="261">
        <f>IFERROR(IF($J8&gt;0,IF(INDEX('Invullen groen'!$H:$H,$J8)&lt;&gt;0,INDEX('Invullen groen'!$H:$H,$J8),""),""),"")</f>
        <v/>
      </c>
      <c r="G8" s="261">
        <f>IFERROR(IF($J8&gt;0,IF(INDEX('Invullen groen'!$I:$I,$J8)&lt;&gt;0,INDEX('Invullen groen'!$I:$I,$J8),""),""),"")</f>
        <v/>
      </c>
      <c r="H8" s="261">
        <f>IFERROR(IF($J8&gt;0,IF(INDEX('Invullen groen'!$J:$J,$J8)&lt;&gt;0,INDEX('Invullen groen'!$J:$J,$J8),""),""),"")</f>
        <v/>
      </c>
      <c r="I8" s="261">
        <f>IFERROR(IF($J8&gt;0,IF(INDEX('Invullen groen'!$K:$K,$J8)&lt;&gt;0,INDEX('Invullen groen'!$K:$K,$J8),""),""),"")</f>
        <v/>
      </c>
      <c r="J8">
        <f>IFERROR(MATCH(ROW()-4,'Invullen groen'!$P$17:$P$272,0)+16,0)</f>
        <v/>
      </c>
    </row>
    <row r="9" ht="15" customHeight="1" s="418">
      <c r="A9" s="258">
        <f>IFERROR(IF($J9&gt;0,ROW()-4,""),"")</f>
        <v/>
      </c>
      <c r="B9" s="258">
        <f>IFERROR(IF($J9&gt;0,INDEX('Invullen groen'!$A:$A,$J9),""),"")</f>
        <v/>
      </c>
      <c r="C9" s="258">
        <f>IFERROR(IF($J9&gt;0,INDEX('Invullen groen'!$C:$C,$J9),""),"")</f>
        <v/>
      </c>
      <c r="D9" s="258">
        <f>IFERROR(IF($J9&gt;0,INDEX('Invullen groen'!$D:$D,$J9),""),"")</f>
        <v/>
      </c>
      <c r="E9" s="258">
        <f>IFERROR(IF($J9&gt;0,INDEX('Invullen groen'!$G:$G,$J9),""),"")</f>
        <v/>
      </c>
      <c r="F9" s="259">
        <f>IFERROR(IF($J9&gt;0,IF(INDEX('Invullen groen'!$H:$H,$J9)&lt;&gt;0,INDEX('Invullen groen'!$H:$H,$J9),""),""),"")</f>
        <v/>
      </c>
      <c r="G9" s="259">
        <f>IFERROR(IF($J9&gt;0,IF(INDEX('Invullen groen'!$I:$I,$J9)&lt;&gt;0,INDEX('Invullen groen'!$I:$I,$J9),""),""),"")</f>
        <v/>
      </c>
      <c r="H9" s="259">
        <f>IFERROR(IF($J9&gt;0,IF(INDEX('Invullen groen'!$J:$J,$J9)&lt;&gt;0,INDEX('Invullen groen'!$J:$J,$J9),""),""),"")</f>
        <v/>
      </c>
      <c r="I9" s="259">
        <f>IFERROR(IF($J9&gt;0,IF(INDEX('Invullen groen'!$K:$K,$J9)&lt;&gt;0,INDEX('Invullen groen'!$K:$K,$J9),""),""),"")</f>
        <v/>
      </c>
      <c r="J9">
        <f>IFERROR(MATCH(ROW()-4,'Invullen groen'!$P$17:$P$272,0)+16,0)</f>
        <v/>
      </c>
    </row>
    <row r="10" ht="15" customHeight="1" s="418">
      <c r="A10" s="260">
        <f>IFERROR(IF($J10&gt;0,ROW()-4,""),"")</f>
        <v/>
      </c>
      <c r="B10" s="260">
        <f>IFERROR(IF($J10&gt;0,INDEX('Invullen groen'!$A:$A,$J10),""),"")</f>
        <v/>
      </c>
      <c r="C10" s="260">
        <f>IFERROR(IF($J10&gt;0,INDEX('Invullen groen'!$C:$C,$J10),""),"")</f>
        <v/>
      </c>
      <c r="D10" s="260">
        <f>IFERROR(IF($J10&gt;0,INDEX('Invullen groen'!$D:$D,$J10),""),"")</f>
        <v/>
      </c>
      <c r="E10" s="260">
        <f>IFERROR(IF($J10&gt;0,INDEX('Invullen groen'!$G:$G,$J10),""),"")</f>
        <v/>
      </c>
      <c r="F10" s="261">
        <f>IFERROR(IF($J10&gt;0,IF(INDEX('Invullen groen'!$H:$H,$J10)&lt;&gt;0,INDEX('Invullen groen'!$H:$H,$J10),""),""),"")</f>
        <v/>
      </c>
      <c r="G10" s="261">
        <f>IFERROR(IF($J10&gt;0,IF(INDEX('Invullen groen'!$I:$I,$J10)&lt;&gt;0,INDEX('Invullen groen'!$I:$I,$J10),""),""),"")</f>
        <v/>
      </c>
      <c r="H10" s="261">
        <f>IFERROR(IF($J10&gt;0,IF(INDEX('Invullen groen'!$J:$J,$J10)&lt;&gt;0,INDEX('Invullen groen'!$J:$J,$J10),""),""),"")</f>
        <v/>
      </c>
      <c r="I10" s="261">
        <f>IFERROR(IF($J10&gt;0,IF(INDEX('Invullen groen'!$K:$K,$J10)&lt;&gt;0,INDEX('Invullen groen'!$K:$K,$J10),""),""),"")</f>
        <v/>
      </c>
      <c r="J10">
        <f>IFERROR(MATCH(ROW()-4,'Invullen groen'!$P$17:$P$272,0)+16,0)</f>
        <v/>
      </c>
    </row>
    <row r="11" ht="15" customHeight="1" s="418">
      <c r="A11" s="258">
        <f>IFERROR(IF($J11&gt;0,ROW()-4,""),"")</f>
        <v/>
      </c>
      <c r="B11" s="258">
        <f>IFERROR(IF($J11&gt;0,INDEX('Invullen groen'!$A:$A,$J11),""),"")</f>
        <v/>
      </c>
      <c r="C11" s="258">
        <f>IFERROR(IF($J11&gt;0,INDEX('Invullen groen'!$C:$C,$J11),""),"")</f>
        <v/>
      </c>
      <c r="D11" s="258">
        <f>IFERROR(IF($J11&gt;0,INDEX('Invullen groen'!$D:$D,$J11),""),"")</f>
        <v/>
      </c>
      <c r="E11" s="258">
        <f>IFERROR(IF($J11&gt;0,INDEX('Invullen groen'!$G:$G,$J11),""),"")</f>
        <v/>
      </c>
      <c r="F11" s="259">
        <f>IFERROR(IF($J11&gt;0,IF(INDEX('Invullen groen'!$H:$H,$J11)&lt;&gt;0,INDEX('Invullen groen'!$H:$H,$J11),""),""),"")</f>
        <v/>
      </c>
      <c r="G11" s="259">
        <f>IFERROR(IF($J11&gt;0,IF(INDEX('Invullen groen'!$I:$I,$J11)&lt;&gt;0,INDEX('Invullen groen'!$I:$I,$J11),""),""),"")</f>
        <v/>
      </c>
      <c r="H11" s="259">
        <f>IFERROR(IF($J11&gt;0,IF(INDEX('Invullen groen'!$J:$J,$J11)&lt;&gt;0,INDEX('Invullen groen'!$J:$J,$J11),""),""),"")</f>
        <v/>
      </c>
      <c r="I11" s="259">
        <f>IFERROR(IF($J11&gt;0,IF(INDEX('Invullen groen'!$K:$K,$J11)&lt;&gt;0,INDEX('Invullen groen'!$K:$K,$J11),""),""),"")</f>
        <v/>
      </c>
      <c r="J11">
        <f>IFERROR(MATCH(ROW()-4,'Invullen groen'!$P$17:$P$272,0)+16,0)</f>
        <v/>
      </c>
    </row>
    <row r="12" ht="15" customHeight="1" s="418">
      <c r="A12" s="260">
        <f>IFERROR(IF($J12&gt;0,ROW()-4,""),"")</f>
        <v/>
      </c>
      <c r="B12" s="260">
        <f>IFERROR(IF($J12&gt;0,INDEX('Invullen groen'!$A:$A,$J12),""),"")</f>
        <v/>
      </c>
      <c r="C12" s="260">
        <f>IFERROR(IF($J12&gt;0,INDEX('Invullen groen'!$C:$C,$J12),""),"")</f>
        <v/>
      </c>
      <c r="D12" s="260">
        <f>IFERROR(IF($J12&gt;0,INDEX('Invullen groen'!$D:$D,$J12),""),"")</f>
        <v/>
      </c>
      <c r="E12" s="260">
        <f>IFERROR(IF($J12&gt;0,INDEX('Invullen groen'!$G:$G,$J12),""),"")</f>
        <v/>
      </c>
      <c r="F12" s="261">
        <f>IFERROR(IF($J12&gt;0,IF(INDEX('Invullen groen'!$H:$H,$J12)&lt;&gt;0,INDEX('Invullen groen'!$H:$H,$J12),""),""),"")</f>
        <v/>
      </c>
      <c r="G12" s="261">
        <f>IFERROR(IF($J12&gt;0,IF(INDEX('Invullen groen'!$I:$I,$J12)&lt;&gt;0,INDEX('Invullen groen'!$I:$I,$J12),""),""),"")</f>
        <v/>
      </c>
      <c r="H12" s="261">
        <f>IFERROR(IF($J12&gt;0,IF(INDEX('Invullen groen'!$J:$J,$J12)&lt;&gt;0,INDEX('Invullen groen'!$J:$J,$J12),""),""),"")</f>
        <v/>
      </c>
      <c r="I12" s="261">
        <f>IFERROR(IF($J12&gt;0,IF(INDEX('Invullen groen'!$K:$K,$J12)&lt;&gt;0,INDEX('Invullen groen'!$K:$K,$J12),""),""),"")</f>
        <v/>
      </c>
      <c r="J12">
        <f>IFERROR(MATCH(ROW()-4,'Invullen groen'!$P$17:$P$272,0)+16,0)</f>
        <v/>
      </c>
    </row>
    <row r="13" ht="15" customHeight="1" s="418">
      <c r="A13" s="258">
        <f>IFERROR(IF($J13&gt;0,ROW()-4,""),"")</f>
        <v/>
      </c>
      <c r="B13" s="258">
        <f>IFERROR(IF($J13&gt;0,INDEX('Invullen groen'!$A:$A,$J13),""),"")</f>
        <v/>
      </c>
      <c r="C13" s="258">
        <f>IFERROR(IF($J13&gt;0,INDEX('Invullen groen'!$C:$C,$J13),""),"")</f>
        <v/>
      </c>
      <c r="D13" s="258">
        <f>IFERROR(IF($J13&gt;0,INDEX('Invullen groen'!$D:$D,$J13),""),"")</f>
        <v/>
      </c>
      <c r="E13" s="258">
        <f>IFERROR(IF($J13&gt;0,INDEX('Invullen groen'!$G:$G,$J13),""),"")</f>
        <v/>
      </c>
      <c r="F13" s="259">
        <f>IFERROR(IF($J13&gt;0,IF(INDEX('Invullen groen'!$H:$H,$J13)&lt;&gt;0,INDEX('Invullen groen'!$H:$H,$J13),""),""),"")</f>
        <v/>
      </c>
      <c r="G13" s="259">
        <f>IFERROR(IF($J13&gt;0,IF(INDEX('Invullen groen'!$I:$I,$J13)&lt;&gt;0,INDEX('Invullen groen'!$I:$I,$J13),""),""),"")</f>
        <v/>
      </c>
      <c r="H13" s="259">
        <f>IFERROR(IF($J13&gt;0,IF(INDEX('Invullen groen'!$J:$J,$J13)&lt;&gt;0,INDEX('Invullen groen'!$J:$J,$J13),""),""),"")</f>
        <v/>
      </c>
      <c r="I13" s="259">
        <f>IFERROR(IF($J13&gt;0,IF(INDEX('Invullen groen'!$K:$K,$J13)&lt;&gt;0,INDEX('Invullen groen'!$K:$K,$J13),""),""),"")</f>
        <v/>
      </c>
      <c r="J13">
        <f>IFERROR(MATCH(ROW()-4,'Invullen groen'!$P$17:$P$272,0)+16,0)</f>
        <v/>
      </c>
    </row>
    <row r="14" ht="15" customHeight="1" s="418">
      <c r="A14" s="260">
        <f>IFERROR(IF($J14&gt;0,ROW()-4,""),"")</f>
        <v/>
      </c>
      <c r="B14" s="260">
        <f>IFERROR(IF($J14&gt;0,INDEX('Invullen groen'!$A:$A,$J14),""),"")</f>
        <v/>
      </c>
      <c r="C14" s="260">
        <f>IFERROR(IF($J14&gt;0,INDEX('Invullen groen'!$C:$C,$J14),""),"")</f>
        <v/>
      </c>
      <c r="D14" s="260">
        <f>IFERROR(IF($J14&gt;0,INDEX('Invullen groen'!$D:$D,$J14),""),"")</f>
        <v/>
      </c>
      <c r="E14" s="260">
        <f>IFERROR(IF($J14&gt;0,INDEX('Invullen groen'!$G:$G,$J14),""),"")</f>
        <v/>
      </c>
      <c r="F14" s="261">
        <f>IFERROR(IF($J14&gt;0,IF(INDEX('Invullen groen'!$H:$H,$J14)&lt;&gt;0,INDEX('Invullen groen'!$H:$H,$J14),""),""),"")</f>
        <v/>
      </c>
      <c r="G14" s="261">
        <f>IFERROR(IF($J14&gt;0,IF(INDEX('Invullen groen'!$I:$I,$J14)&lt;&gt;0,INDEX('Invullen groen'!$I:$I,$J14),""),""),"")</f>
        <v/>
      </c>
      <c r="H14" s="261">
        <f>IFERROR(IF($J14&gt;0,IF(INDEX('Invullen groen'!$J:$J,$J14)&lt;&gt;0,INDEX('Invullen groen'!$J:$J,$J14),""),""),"")</f>
        <v/>
      </c>
      <c r="I14" s="261">
        <f>IFERROR(IF($J14&gt;0,IF(INDEX('Invullen groen'!$K:$K,$J14)&lt;&gt;0,INDEX('Invullen groen'!$K:$K,$J14),""),""),"")</f>
        <v/>
      </c>
      <c r="J14">
        <f>IFERROR(MATCH(ROW()-4,'Invullen groen'!$P$17:$P$272,0)+16,0)</f>
        <v/>
      </c>
    </row>
    <row r="15" ht="15" customHeight="1" s="418">
      <c r="A15" s="258">
        <f>IFERROR(IF($J15&gt;0,ROW()-4,""),"")</f>
        <v/>
      </c>
      <c r="B15" s="258">
        <f>IFERROR(IF($J15&gt;0,INDEX('Invullen groen'!$A:$A,$J15),""),"")</f>
        <v/>
      </c>
      <c r="C15" s="258">
        <f>IFERROR(IF($J15&gt;0,INDEX('Invullen groen'!$C:$C,$J15),""),"")</f>
        <v/>
      </c>
      <c r="D15" s="258">
        <f>IFERROR(IF($J15&gt;0,INDEX('Invullen groen'!$D:$D,$J15),""),"")</f>
        <v/>
      </c>
      <c r="E15" s="258">
        <f>IFERROR(IF($J15&gt;0,INDEX('Invullen groen'!$G:$G,$J15),""),"")</f>
        <v/>
      </c>
      <c r="F15" s="259">
        <f>IFERROR(IF($J15&gt;0,IF(INDEX('Invullen groen'!$H:$H,$J15)&lt;&gt;0,INDEX('Invullen groen'!$H:$H,$J15),""),""),"")</f>
        <v/>
      </c>
      <c r="G15" s="259">
        <f>IFERROR(IF($J15&gt;0,IF(INDEX('Invullen groen'!$I:$I,$J15)&lt;&gt;0,INDEX('Invullen groen'!$I:$I,$J15),""),""),"")</f>
        <v/>
      </c>
      <c r="H15" s="259">
        <f>IFERROR(IF($J15&gt;0,IF(INDEX('Invullen groen'!$J:$J,$J15)&lt;&gt;0,INDEX('Invullen groen'!$J:$J,$J15),""),""),"")</f>
        <v/>
      </c>
      <c r="I15" s="259">
        <f>IFERROR(IF($J15&gt;0,IF(INDEX('Invullen groen'!$K:$K,$J15)&lt;&gt;0,INDEX('Invullen groen'!$K:$K,$J15),""),""),"")</f>
        <v/>
      </c>
      <c r="J15">
        <f>IFERROR(MATCH(ROW()-4,'Invullen groen'!$P$17:$P$272,0)+16,0)</f>
        <v/>
      </c>
    </row>
    <row r="16" ht="15" customHeight="1" s="418">
      <c r="A16" s="260">
        <f>IFERROR(IF($J16&gt;0,ROW()-4,""),"")</f>
        <v/>
      </c>
      <c r="B16" s="260">
        <f>IFERROR(IF($J16&gt;0,INDEX('Invullen groen'!$A:$A,$J16),""),"")</f>
        <v/>
      </c>
      <c r="C16" s="260">
        <f>IFERROR(IF($J16&gt;0,INDEX('Invullen groen'!$C:$C,$J16),""),"")</f>
        <v/>
      </c>
      <c r="D16" s="260">
        <f>IFERROR(IF($J16&gt;0,INDEX('Invullen groen'!$D:$D,$J16),""),"")</f>
        <v/>
      </c>
      <c r="E16" s="260">
        <f>IFERROR(IF($J16&gt;0,INDEX('Invullen groen'!$G:$G,$J16),""),"")</f>
        <v/>
      </c>
      <c r="F16" s="261">
        <f>IFERROR(IF($J16&gt;0,IF(INDEX('Invullen groen'!$H:$H,$J16)&lt;&gt;0,INDEX('Invullen groen'!$H:$H,$J16),""),""),"")</f>
        <v/>
      </c>
      <c r="G16" s="261">
        <f>IFERROR(IF($J16&gt;0,IF(INDEX('Invullen groen'!$I:$I,$J16)&lt;&gt;0,INDEX('Invullen groen'!$I:$I,$J16),""),""),"")</f>
        <v/>
      </c>
      <c r="H16" s="261">
        <f>IFERROR(IF($J16&gt;0,IF(INDEX('Invullen groen'!$J:$J,$J16)&lt;&gt;0,INDEX('Invullen groen'!$J:$J,$J16),""),""),"")</f>
        <v/>
      </c>
      <c r="I16" s="261">
        <f>IFERROR(IF($J16&gt;0,IF(INDEX('Invullen groen'!$K:$K,$J16)&lt;&gt;0,INDEX('Invullen groen'!$K:$K,$J16),""),""),"")</f>
        <v/>
      </c>
      <c r="J16">
        <f>IFERROR(MATCH(ROW()-4,'Invullen groen'!$P$17:$P$272,0)+16,0)</f>
        <v/>
      </c>
    </row>
    <row r="17" ht="15" customHeight="1" s="418">
      <c r="A17" s="258">
        <f>IFERROR(IF($J17&gt;0,ROW()-4,""),"")</f>
        <v/>
      </c>
      <c r="B17" s="258">
        <f>IFERROR(IF($J17&gt;0,INDEX('Invullen groen'!$A:$A,$J17),""),"")</f>
        <v/>
      </c>
      <c r="C17" s="258">
        <f>IFERROR(IF($J17&gt;0,INDEX('Invullen groen'!$C:$C,$J17),""),"")</f>
        <v/>
      </c>
      <c r="D17" s="258">
        <f>IFERROR(IF($J17&gt;0,INDEX('Invullen groen'!$D:$D,$J17),""),"")</f>
        <v/>
      </c>
      <c r="E17" s="258">
        <f>IFERROR(IF($J17&gt;0,INDEX('Invullen groen'!$G:$G,$J17),""),"")</f>
        <v/>
      </c>
      <c r="F17" s="259">
        <f>IFERROR(IF($J17&gt;0,IF(INDEX('Invullen groen'!$H:$H,$J17)&lt;&gt;0,INDEX('Invullen groen'!$H:$H,$J17),""),""),"")</f>
        <v/>
      </c>
      <c r="G17" s="259">
        <f>IFERROR(IF($J17&gt;0,IF(INDEX('Invullen groen'!$I:$I,$J17)&lt;&gt;0,INDEX('Invullen groen'!$I:$I,$J17),""),""),"")</f>
        <v/>
      </c>
      <c r="H17" s="259">
        <f>IFERROR(IF($J17&gt;0,IF(INDEX('Invullen groen'!$J:$J,$J17)&lt;&gt;0,INDEX('Invullen groen'!$J:$J,$J17),""),""),"")</f>
        <v/>
      </c>
      <c r="I17" s="259">
        <f>IFERROR(IF($J17&gt;0,IF(INDEX('Invullen groen'!$K:$K,$J17)&lt;&gt;0,INDEX('Invullen groen'!$K:$K,$J17),""),""),"")</f>
        <v/>
      </c>
      <c r="J17">
        <f>IFERROR(MATCH(ROW()-4,'Invullen groen'!$P$17:$P$272,0)+16,0)</f>
        <v/>
      </c>
    </row>
    <row r="18" ht="15" customHeight="1" s="418">
      <c r="A18" s="260">
        <f>IFERROR(IF($J18&gt;0,ROW()-4,""),"")</f>
        <v/>
      </c>
      <c r="B18" s="260">
        <f>IFERROR(IF($J18&gt;0,INDEX('Invullen groen'!$A:$A,$J18),""),"")</f>
        <v/>
      </c>
      <c r="C18" s="260">
        <f>IFERROR(IF($J18&gt;0,INDEX('Invullen groen'!$C:$C,$J18),""),"")</f>
        <v/>
      </c>
      <c r="D18" s="260">
        <f>IFERROR(IF($J18&gt;0,INDEX('Invullen groen'!$D:$D,$J18),""),"")</f>
        <v/>
      </c>
      <c r="E18" s="260">
        <f>IFERROR(IF($J18&gt;0,INDEX('Invullen groen'!$G:$G,$J18),""),"")</f>
        <v/>
      </c>
      <c r="F18" s="261">
        <f>IFERROR(IF($J18&gt;0,IF(INDEX('Invullen groen'!$H:$H,$J18)&lt;&gt;0,INDEX('Invullen groen'!$H:$H,$J18),""),""),"")</f>
        <v/>
      </c>
      <c r="G18" s="261">
        <f>IFERROR(IF($J18&gt;0,IF(INDEX('Invullen groen'!$I:$I,$J18)&lt;&gt;0,INDEX('Invullen groen'!$I:$I,$J18),""),""),"")</f>
        <v/>
      </c>
      <c r="H18" s="261">
        <f>IFERROR(IF($J18&gt;0,IF(INDEX('Invullen groen'!$J:$J,$J18)&lt;&gt;0,INDEX('Invullen groen'!$J:$J,$J18),""),""),"")</f>
        <v/>
      </c>
      <c r="I18" s="261">
        <f>IFERROR(IF($J18&gt;0,IF(INDEX('Invullen groen'!$K:$K,$J18)&lt;&gt;0,INDEX('Invullen groen'!$K:$K,$J18),""),""),"")</f>
        <v/>
      </c>
      <c r="J18">
        <f>IFERROR(MATCH(ROW()-4,'Invullen groen'!$P$17:$P$272,0)+16,0)</f>
        <v/>
      </c>
    </row>
    <row r="19" ht="15" customHeight="1" s="418">
      <c r="A19" s="258">
        <f>IFERROR(IF($J19&gt;0,ROW()-4,""),"")</f>
        <v/>
      </c>
      <c r="B19" s="258">
        <f>IFERROR(IF($J19&gt;0,INDEX('Invullen groen'!$A:$A,$J19),""),"")</f>
        <v/>
      </c>
      <c r="C19" s="258">
        <f>IFERROR(IF($J19&gt;0,INDEX('Invullen groen'!$C:$C,$J19),""),"")</f>
        <v/>
      </c>
      <c r="D19" s="258">
        <f>IFERROR(IF($J19&gt;0,INDEX('Invullen groen'!$D:$D,$J19),""),"")</f>
        <v/>
      </c>
      <c r="E19" s="258">
        <f>IFERROR(IF($J19&gt;0,INDEX('Invullen groen'!$G:$G,$J19),""),"")</f>
        <v/>
      </c>
      <c r="F19" s="259">
        <f>IFERROR(IF($J19&gt;0,IF(INDEX('Invullen groen'!$H:$H,$J19)&lt;&gt;0,INDEX('Invullen groen'!$H:$H,$J19),""),""),"")</f>
        <v/>
      </c>
      <c r="G19" s="259">
        <f>IFERROR(IF($J19&gt;0,IF(INDEX('Invullen groen'!$I:$I,$J19)&lt;&gt;0,INDEX('Invullen groen'!$I:$I,$J19),""),""),"")</f>
        <v/>
      </c>
      <c r="H19" s="259">
        <f>IFERROR(IF($J19&gt;0,IF(INDEX('Invullen groen'!$J:$J,$J19)&lt;&gt;0,INDEX('Invullen groen'!$J:$J,$J19),""),""),"")</f>
        <v/>
      </c>
      <c r="I19" s="259">
        <f>IFERROR(IF($J19&gt;0,IF(INDEX('Invullen groen'!$K:$K,$J19)&lt;&gt;0,INDEX('Invullen groen'!$K:$K,$J19),""),""),"")</f>
        <v/>
      </c>
      <c r="J19">
        <f>IFERROR(MATCH(ROW()-4,'Invullen groen'!$P$17:$P$272,0)+16,0)</f>
        <v/>
      </c>
    </row>
    <row r="20" ht="15" customHeight="1" s="418">
      <c r="A20" s="260">
        <f>IFERROR(IF($J20&gt;0,ROW()-4,""),"")</f>
        <v/>
      </c>
      <c r="B20" s="260">
        <f>IFERROR(IF($J20&gt;0,INDEX('Invullen groen'!$A:$A,$J20),""),"")</f>
        <v/>
      </c>
      <c r="C20" s="260">
        <f>IFERROR(IF($J20&gt;0,INDEX('Invullen groen'!$C:$C,$J20),""),"")</f>
        <v/>
      </c>
      <c r="D20" s="260">
        <f>IFERROR(IF($J20&gt;0,INDEX('Invullen groen'!$D:$D,$J20),""),"")</f>
        <v/>
      </c>
      <c r="E20" s="260">
        <f>IFERROR(IF($J20&gt;0,INDEX('Invullen groen'!$G:$G,$J20),""),"")</f>
        <v/>
      </c>
      <c r="F20" s="261">
        <f>IFERROR(IF($J20&gt;0,IF(INDEX('Invullen groen'!$H:$H,$J20)&lt;&gt;0,INDEX('Invullen groen'!$H:$H,$J20),""),""),"")</f>
        <v/>
      </c>
      <c r="G20" s="261">
        <f>IFERROR(IF($J20&gt;0,IF(INDEX('Invullen groen'!$I:$I,$J20)&lt;&gt;0,INDEX('Invullen groen'!$I:$I,$J20),""),""),"")</f>
        <v/>
      </c>
      <c r="H20" s="261">
        <f>IFERROR(IF($J20&gt;0,IF(INDEX('Invullen groen'!$J:$J,$J20)&lt;&gt;0,INDEX('Invullen groen'!$J:$J,$J20),""),""),"")</f>
        <v/>
      </c>
      <c r="I20" s="261">
        <f>IFERROR(IF($J20&gt;0,IF(INDEX('Invullen groen'!$K:$K,$J20)&lt;&gt;0,INDEX('Invullen groen'!$K:$K,$J20),""),""),"")</f>
        <v/>
      </c>
      <c r="J20">
        <f>IFERROR(MATCH(ROW()-4,'Invullen groen'!$P$17:$P$272,0)+16,0)</f>
        <v/>
      </c>
    </row>
    <row r="21" ht="15" customHeight="1" s="418">
      <c r="A21" s="258">
        <f>IFERROR(IF($J21&gt;0,ROW()-4,""),"")</f>
        <v/>
      </c>
      <c r="B21" s="258">
        <f>IFERROR(IF($J21&gt;0,INDEX('Invullen groen'!$A:$A,$J21),""),"")</f>
        <v/>
      </c>
      <c r="C21" s="258">
        <f>IFERROR(IF($J21&gt;0,INDEX('Invullen groen'!$C:$C,$J21),""),"")</f>
        <v/>
      </c>
      <c r="D21" s="258">
        <f>IFERROR(IF($J21&gt;0,INDEX('Invullen groen'!$D:$D,$J21),""),"")</f>
        <v/>
      </c>
      <c r="E21" s="258">
        <f>IFERROR(IF($J21&gt;0,INDEX('Invullen groen'!$G:$G,$J21),""),"")</f>
        <v/>
      </c>
      <c r="F21" s="259">
        <f>IFERROR(IF($J21&gt;0,IF(INDEX('Invullen groen'!$H:$H,$J21)&lt;&gt;0,INDEX('Invullen groen'!$H:$H,$J21),""),""),"")</f>
        <v/>
      </c>
      <c r="G21" s="259">
        <f>IFERROR(IF($J21&gt;0,IF(INDEX('Invullen groen'!$I:$I,$J21)&lt;&gt;0,INDEX('Invullen groen'!$I:$I,$J21),""),""),"")</f>
        <v/>
      </c>
      <c r="H21" s="259">
        <f>IFERROR(IF($J21&gt;0,IF(INDEX('Invullen groen'!$J:$J,$J21)&lt;&gt;0,INDEX('Invullen groen'!$J:$J,$J21),""),""),"")</f>
        <v/>
      </c>
      <c r="I21" s="259">
        <f>IFERROR(IF($J21&gt;0,IF(INDEX('Invullen groen'!$K:$K,$J21)&lt;&gt;0,INDEX('Invullen groen'!$K:$K,$J21),""),""),"")</f>
        <v/>
      </c>
      <c r="J21">
        <f>IFERROR(MATCH(ROW()-4,'Invullen groen'!$P$17:$P$272,0)+16,0)</f>
        <v/>
      </c>
    </row>
    <row r="22" ht="15" customHeight="1" s="418">
      <c r="A22" s="260">
        <f>IFERROR(IF($J22&gt;0,ROW()-4,""),"")</f>
        <v/>
      </c>
      <c r="B22" s="260">
        <f>IFERROR(IF($J22&gt;0,INDEX('Invullen groen'!$A:$A,$J22),""),"")</f>
        <v/>
      </c>
      <c r="C22" s="260">
        <f>IFERROR(IF($J22&gt;0,INDEX('Invullen groen'!$C:$C,$J22),""),"")</f>
        <v/>
      </c>
      <c r="D22" s="260">
        <f>IFERROR(IF($J22&gt;0,INDEX('Invullen groen'!$D:$D,$J22),""),"")</f>
        <v/>
      </c>
      <c r="E22" s="260">
        <f>IFERROR(IF($J22&gt;0,INDEX('Invullen groen'!$G:$G,$J22),""),"")</f>
        <v/>
      </c>
      <c r="F22" s="261">
        <f>IFERROR(IF($J22&gt;0,IF(INDEX('Invullen groen'!$H:$H,$J22)&lt;&gt;0,INDEX('Invullen groen'!$H:$H,$J22),""),""),"")</f>
        <v/>
      </c>
      <c r="G22" s="261">
        <f>IFERROR(IF($J22&gt;0,IF(INDEX('Invullen groen'!$I:$I,$J22)&lt;&gt;0,INDEX('Invullen groen'!$I:$I,$J22),""),""),"")</f>
        <v/>
      </c>
      <c r="H22" s="261">
        <f>IFERROR(IF($J22&gt;0,IF(INDEX('Invullen groen'!$J:$J,$J22)&lt;&gt;0,INDEX('Invullen groen'!$J:$J,$J22),""),""),"")</f>
        <v/>
      </c>
      <c r="I22" s="261">
        <f>IFERROR(IF($J22&gt;0,IF(INDEX('Invullen groen'!$K:$K,$J22)&lt;&gt;0,INDEX('Invullen groen'!$K:$K,$J22),""),""),"")</f>
        <v/>
      </c>
      <c r="J22">
        <f>IFERROR(MATCH(ROW()-4,'Invullen groen'!$P$17:$P$272,0)+16,0)</f>
        <v/>
      </c>
    </row>
    <row r="23" ht="15" customHeight="1" s="418">
      <c r="A23" s="258">
        <f>IFERROR(IF($J23&gt;0,ROW()-4,""),"")</f>
        <v/>
      </c>
      <c r="B23" s="258">
        <f>IFERROR(IF($J23&gt;0,INDEX('Invullen groen'!$A:$A,$J23),""),"")</f>
        <v/>
      </c>
      <c r="C23" s="258">
        <f>IFERROR(IF($J23&gt;0,INDEX('Invullen groen'!$C:$C,$J23),""),"")</f>
        <v/>
      </c>
      <c r="D23" s="258">
        <f>IFERROR(IF($J23&gt;0,INDEX('Invullen groen'!$D:$D,$J23),""),"")</f>
        <v/>
      </c>
      <c r="E23" s="258">
        <f>IFERROR(IF($J23&gt;0,INDEX('Invullen groen'!$G:$G,$J23),""),"")</f>
        <v/>
      </c>
      <c r="F23" s="259">
        <f>IFERROR(IF($J23&gt;0,IF(INDEX('Invullen groen'!$H:$H,$J23)&lt;&gt;0,INDEX('Invullen groen'!$H:$H,$J23),""),""),"")</f>
        <v/>
      </c>
      <c r="G23" s="259">
        <f>IFERROR(IF($J23&gt;0,IF(INDEX('Invullen groen'!$I:$I,$J23)&lt;&gt;0,INDEX('Invullen groen'!$I:$I,$J23),""),""),"")</f>
        <v/>
      </c>
      <c r="H23" s="259">
        <f>IFERROR(IF($J23&gt;0,IF(INDEX('Invullen groen'!$J:$J,$J23)&lt;&gt;0,INDEX('Invullen groen'!$J:$J,$J23),""),""),"")</f>
        <v/>
      </c>
      <c r="I23" s="259">
        <f>IFERROR(IF($J23&gt;0,IF(INDEX('Invullen groen'!$K:$K,$J23)&lt;&gt;0,INDEX('Invullen groen'!$K:$K,$J23),""),""),"")</f>
        <v/>
      </c>
      <c r="J23">
        <f>IFERROR(MATCH(ROW()-4,'Invullen groen'!$P$17:$P$272,0)+16,0)</f>
        <v/>
      </c>
    </row>
    <row r="24" ht="15" customHeight="1" s="418">
      <c r="A24" s="260">
        <f>IFERROR(IF($J24&gt;0,ROW()-4,""),"")</f>
        <v/>
      </c>
      <c r="B24" s="260">
        <f>IFERROR(IF($J24&gt;0,INDEX('Invullen groen'!$A:$A,$J24),""),"")</f>
        <v/>
      </c>
      <c r="C24" s="260">
        <f>IFERROR(IF($J24&gt;0,INDEX('Invullen groen'!$C:$C,$J24),""),"")</f>
        <v/>
      </c>
      <c r="D24" s="260">
        <f>IFERROR(IF($J24&gt;0,INDEX('Invullen groen'!$D:$D,$J24),""),"")</f>
        <v/>
      </c>
      <c r="E24" s="260">
        <f>IFERROR(IF($J24&gt;0,INDEX('Invullen groen'!$G:$G,$J24),""),"")</f>
        <v/>
      </c>
      <c r="F24" s="261">
        <f>IFERROR(IF($J24&gt;0,IF(INDEX('Invullen groen'!$H:$H,$J24)&lt;&gt;0,INDEX('Invullen groen'!$H:$H,$J24),""),""),"")</f>
        <v/>
      </c>
      <c r="G24" s="261">
        <f>IFERROR(IF($J24&gt;0,IF(INDEX('Invullen groen'!$I:$I,$J24)&lt;&gt;0,INDEX('Invullen groen'!$I:$I,$J24),""),""),"")</f>
        <v/>
      </c>
      <c r="H24" s="261">
        <f>IFERROR(IF($J24&gt;0,IF(INDEX('Invullen groen'!$J:$J,$J24)&lt;&gt;0,INDEX('Invullen groen'!$J:$J,$J24),""),""),"")</f>
        <v/>
      </c>
      <c r="I24" s="261">
        <f>IFERROR(IF($J24&gt;0,IF(INDEX('Invullen groen'!$K:$K,$J24)&lt;&gt;0,INDEX('Invullen groen'!$K:$K,$J24),""),""),"")</f>
        <v/>
      </c>
      <c r="J24">
        <f>IFERROR(MATCH(ROW()-4,'Invullen groen'!$P$17:$P$272,0)+16,0)</f>
        <v/>
      </c>
    </row>
    <row r="25" ht="15" customHeight="1" s="418">
      <c r="A25" s="258">
        <f>IFERROR(IF($J25&gt;0,ROW()-4,""),"")</f>
        <v/>
      </c>
      <c r="B25" s="258">
        <f>IFERROR(IF($J25&gt;0,INDEX('Invullen groen'!$A:$A,$J25),""),"")</f>
        <v/>
      </c>
      <c r="C25" s="258">
        <f>IFERROR(IF($J25&gt;0,INDEX('Invullen groen'!$C:$C,$J25),""),"")</f>
        <v/>
      </c>
      <c r="D25" s="258">
        <f>IFERROR(IF($J25&gt;0,INDEX('Invullen groen'!$D:$D,$J25),""),"")</f>
        <v/>
      </c>
      <c r="E25" s="258">
        <f>IFERROR(IF($J25&gt;0,INDEX('Invullen groen'!$G:$G,$J25),""),"")</f>
        <v/>
      </c>
      <c r="F25" s="259">
        <f>IFERROR(IF($J25&gt;0,IF(INDEX('Invullen groen'!$H:$H,$J25)&lt;&gt;0,INDEX('Invullen groen'!$H:$H,$J25),""),""),"")</f>
        <v/>
      </c>
      <c r="G25" s="259">
        <f>IFERROR(IF($J25&gt;0,IF(INDEX('Invullen groen'!$I:$I,$J25)&lt;&gt;0,INDEX('Invullen groen'!$I:$I,$J25),""),""),"")</f>
        <v/>
      </c>
      <c r="H25" s="259">
        <f>IFERROR(IF($J25&gt;0,IF(INDEX('Invullen groen'!$J:$J,$J25)&lt;&gt;0,INDEX('Invullen groen'!$J:$J,$J25),""),""),"")</f>
        <v/>
      </c>
      <c r="I25" s="259">
        <f>IFERROR(IF($J25&gt;0,IF(INDEX('Invullen groen'!$K:$K,$J25)&lt;&gt;0,INDEX('Invullen groen'!$K:$K,$J25),""),""),"")</f>
        <v/>
      </c>
      <c r="J25">
        <f>IFERROR(MATCH(ROW()-4,'Invullen groen'!$P$17:$P$272,0)+16,0)</f>
        <v/>
      </c>
    </row>
    <row r="26" ht="15" customHeight="1" s="418">
      <c r="A26" s="260">
        <f>IFERROR(IF($J26&gt;0,ROW()-4,""),"")</f>
        <v/>
      </c>
      <c r="B26" s="260">
        <f>IFERROR(IF($J26&gt;0,INDEX('Invullen groen'!$A:$A,$J26),""),"")</f>
        <v/>
      </c>
      <c r="C26" s="260">
        <f>IFERROR(IF($J26&gt;0,INDEX('Invullen groen'!$C:$C,$J26),""),"")</f>
        <v/>
      </c>
      <c r="D26" s="260">
        <f>IFERROR(IF($J26&gt;0,INDEX('Invullen groen'!$D:$D,$J26),""),"")</f>
        <v/>
      </c>
      <c r="E26" s="260">
        <f>IFERROR(IF($J26&gt;0,INDEX('Invullen groen'!$G:$G,$J26),""),"")</f>
        <v/>
      </c>
      <c r="F26" s="261">
        <f>IFERROR(IF($J26&gt;0,IF(INDEX('Invullen groen'!$H:$H,$J26)&lt;&gt;0,INDEX('Invullen groen'!$H:$H,$J26),""),""),"")</f>
        <v/>
      </c>
      <c r="G26" s="261">
        <f>IFERROR(IF($J26&gt;0,IF(INDEX('Invullen groen'!$I:$I,$J26)&lt;&gt;0,INDEX('Invullen groen'!$I:$I,$J26),""),""),"")</f>
        <v/>
      </c>
      <c r="H26" s="261">
        <f>IFERROR(IF($J26&gt;0,IF(INDEX('Invullen groen'!$J:$J,$J26)&lt;&gt;0,INDEX('Invullen groen'!$J:$J,$J26),""),""),"")</f>
        <v/>
      </c>
      <c r="I26" s="261">
        <f>IFERROR(IF($J26&gt;0,IF(INDEX('Invullen groen'!$K:$K,$J26)&lt;&gt;0,INDEX('Invullen groen'!$K:$K,$J26),""),""),"")</f>
        <v/>
      </c>
      <c r="J26">
        <f>IFERROR(MATCH(ROW()-4,'Invullen groen'!$P$17:$P$272,0)+16,0)</f>
        <v/>
      </c>
    </row>
    <row r="27" ht="15" customHeight="1" s="418">
      <c r="A27" s="258">
        <f>IFERROR(IF($J27&gt;0,ROW()-4,""),"")</f>
        <v/>
      </c>
      <c r="B27" s="258">
        <f>IFERROR(IF($J27&gt;0,INDEX('Invullen groen'!$A:$A,$J27),""),"")</f>
        <v/>
      </c>
      <c r="C27" s="258">
        <f>IFERROR(IF($J27&gt;0,INDEX('Invullen groen'!$C:$C,$J27),""),"")</f>
        <v/>
      </c>
      <c r="D27" s="258">
        <f>IFERROR(IF($J27&gt;0,INDEX('Invullen groen'!$D:$D,$J27),""),"")</f>
        <v/>
      </c>
      <c r="E27" s="258">
        <f>IFERROR(IF($J27&gt;0,INDEX('Invullen groen'!$G:$G,$J27),""),"")</f>
        <v/>
      </c>
      <c r="F27" s="259">
        <f>IFERROR(IF($J27&gt;0,IF(INDEX('Invullen groen'!$H:$H,$J27)&lt;&gt;0,INDEX('Invullen groen'!$H:$H,$J27),""),""),"")</f>
        <v/>
      </c>
      <c r="G27" s="259">
        <f>IFERROR(IF($J27&gt;0,IF(INDEX('Invullen groen'!$I:$I,$J27)&lt;&gt;0,INDEX('Invullen groen'!$I:$I,$J27),""),""),"")</f>
        <v/>
      </c>
      <c r="H27" s="259">
        <f>IFERROR(IF($J27&gt;0,IF(INDEX('Invullen groen'!$J:$J,$J27)&lt;&gt;0,INDEX('Invullen groen'!$J:$J,$J27),""),""),"")</f>
        <v/>
      </c>
      <c r="I27" s="259">
        <f>IFERROR(IF($J27&gt;0,IF(INDEX('Invullen groen'!$K:$K,$J27)&lt;&gt;0,INDEX('Invullen groen'!$K:$K,$J27),""),""),"")</f>
        <v/>
      </c>
      <c r="J27">
        <f>IFERROR(MATCH(ROW()-4,'Invullen groen'!$P$17:$P$272,0)+16,0)</f>
        <v/>
      </c>
    </row>
    <row r="28" ht="15" customHeight="1" s="418">
      <c r="A28" s="260">
        <f>IFERROR(IF($J28&gt;0,ROW()-4,""),"")</f>
        <v/>
      </c>
      <c r="B28" s="260">
        <f>IFERROR(IF($J28&gt;0,INDEX('Invullen groen'!$A:$A,$J28),""),"")</f>
        <v/>
      </c>
      <c r="C28" s="260">
        <f>IFERROR(IF($J28&gt;0,INDEX('Invullen groen'!$C:$C,$J28),""),"")</f>
        <v/>
      </c>
      <c r="D28" s="260">
        <f>IFERROR(IF($J28&gt;0,INDEX('Invullen groen'!$D:$D,$J28),""),"")</f>
        <v/>
      </c>
      <c r="E28" s="260">
        <f>IFERROR(IF($J28&gt;0,INDEX('Invullen groen'!$G:$G,$J28),""),"")</f>
        <v/>
      </c>
      <c r="F28" s="261">
        <f>IFERROR(IF($J28&gt;0,IF(INDEX('Invullen groen'!$H:$H,$J28)&lt;&gt;0,INDEX('Invullen groen'!$H:$H,$J28),""),""),"")</f>
        <v/>
      </c>
      <c r="G28" s="261">
        <f>IFERROR(IF($J28&gt;0,IF(INDEX('Invullen groen'!$I:$I,$J28)&lt;&gt;0,INDEX('Invullen groen'!$I:$I,$J28),""),""),"")</f>
        <v/>
      </c>
      <c r="H28" s="261">
        <f>IFERROR(IF($J28&gt;0,IF(INDEX('Invullen groen'!$J:$J,$J28)&lt;&gt;0,INDEX('Invullen groen'!$J:$J,$J28),""),""),"")</f>
        <v/>
      </c>
      <c r="I28" s="261">
        <f>IFERROR(IF($J28&gt;0,IF(INDEX('Invullen groen'!$K:$K,$J28)&lt;&gt;0,INDEX('Invullen groen'!$K:$K,$J28),""),""),"")</f>
        <v/>
      </c>
      <c r="J28">
        <f>IFERROR(MATCH(ROW()-4,'Invullen groen'!$P$17:$P$272,0)+16,0)</f>
        <v/>
      </c>
    </row>
    <row r="29" ht="15" customHeight="1" s="418">
      <c r="A29" s="258">
        <f>IFERROR(IF($J29&gt;0,ROW()-4,""),"")</f>
        <v/>
      </c>
      <c r="B29" s="258">
        <f>IFERROR(IF($J29&gt;0,INDEX('Invullen groen'!$A:$A,$J29),""),"")</f>
        <v/>
      </c>
      <c r="C29" s="258">
        <f>IFERROR(IF($J29&gt;0,INDEX('Invullen groen'!$C:$C,$J29),""),"")</f>
        <v/>
      </c>
      <c r="D29" s="258">
        <f>IFERROR(IF($J29&gt;0,INDEX('Invullen groen'!$D:$D,$J29),""),"")</f>
        <v/>
      </c>
      <c r="E29" s="258">
        <f>IFERROR(IF($J29&gt;0,INDEX('Invullen groen'!$G:$G,$J29),""),"")</f>
        <v/>
      </c>
      <c r="F29" s="259">
        <f>IFERROR(IF($J29&gt;0,IF(INDEX('Invullen groen'!$H:$H,$J29)&lt;&gt;0,INDEX('Invullen groen'!$H:$H,$J29),""),""),"")</f>
        <v/>
      </c>
      <c r="G29" s="259">
        <f>IFERROR(IF($J29&gt;0,IF(INDEX('Invullen groen'!$I:$I,$J29)&lt;&gt;0,INDEX('Invullen groen'!$I:$I,$J29),""),""),"")</f>
        <v/>
      </c>
      <c r="H29" s="259">
        <f>IFERROR(IF($J29&gt;0,IF(INDEX('Invullen groen'!$J:$J,$J29)&lt;&gt;0,INDEX('Invullen groen'!$J:$J,$J29),""),""),"")</f>
        <v/>
      </c>
      <c r="I29" s="259">
        <f>IFERROR(IF($J29&gt;0,IF(INDEX('Invullen groen'!$K:$K,$J29)&lt;&gt;0,INDEX('Invullen groen'!$K:$K,$J29),""),""),"")</f>
        <v/>
      </c>
      <c r="J29">
        <f>IFERROR(MATCH(ROW()-4,'Invullen groen'!$P$17:$P$272,0)+16,0)</f>
        <v/>
      </c>
    </row>
    <row r="30" ht="15" customHeight="1" s="418">
      <c r="A30" s="260">
        <f>IFERROR(IF($J30&gt;0,ROW()-4,""),"")</f>
        <v/>
      </c>
      <c r="B30" s="260">
        <f>IFERROR(IF($J30&gt;0,INDEX('Invullen groen'!$A:$A,$J30),""),"")</f>
        <v/>
      </c>
      <c r="C30" s="260">
        <f>IFERROR(IF($J30&gt;0,INDEX('Invullen groen'!$C:$C,$J30),""),"")</f>
        <v/>
      </c>
      <c r="D30" s="260">
        <f>IFERROR(IF($J30&gt;0,INDEX('Invullen groen'!$D:$D,$J30),""),"")</f>
        <v/>
      </c>
      <c r="E30" s="260">
        <f>IFERROR(IF($J30&gt;0,INDEX('Invullen groen'!$G:$G,$J30),""),"")</f>
        <v/>
      </c>
      <c r="F30" s="261">
        <f>IFERROR(IF($J30&gt;0,IF(INDEX('Invullen groen'!$H:$H,$J30)&lt;&gt;0,INDEX('Invullen groen'!$H:$H,$J30),""),""),"")</f>
        <v/>
      </c>
      <c r="G30" s="261">
        <f>IFERROR(IF($J30&gt;0,IF(INDEX('Invullen groen'!$I:$I,$J30)&lt;&gt;0,INDEX('Invullen groen'!$I:$I,$J30),""),""),"")</f>
        <v/>
      </c>
      <c r="H30" s="261">
        <f>IFERROR(IF($J30&gt;0,IF(INDEX('Invullen groen'!$J:$J,$J30)&lt;&gt;0,INDEX('Invullen groen'!$J:$J,$J30),""),""),"")</f>
        <v/>
      </c>
      <c r="I30" s="261">
        <f>IFERROR(IF($J30&gt;0,IF(INDEX('Invullen groen'!$K:$K,$J30)&lt;&gt;0,INDEX('Invullen groen'!$K:$K,$J30),""),""),"")</f>
        <v/>
      </c>
      <c r="J30">
        <f>IFERROR(MATCH(ROW()-4,'Invullen groen'!$P$17:$P$272,0)+16,0)</f>
        <v/>
      </c>
    </row>
    <row r="31" ht="15" customHeight="1" s="418">
      <c r="A31" s="258">
        <f>IFERROR(IF($J31&gt;0,ROW()-4,""),"")</f>
        <v/>
      </c>
      <c r="B31" s="258">
        <f>IFERROR(IF($J31&gt;0,INDEX('Invullen groen'!$A:$A,$J31),""),"")</f>
        <v/>
      </c>
      <c r="C31" s="258">
        <f>IFERROR(IF($J31&gt;0,INDEX('Invullen groen'!$C:$C,$J31),""),"")</f>
        <v/>
      </c>
      <c r="D31" s="258">
        <f>IFERROR(IF($J31&gt;0,INDEX('Invullen groen'!$D:$D,$J31),""),"")</f>
        <v/>
      </c>
      <c r="E31" s="258">
        <f>IFERROR(IF($J31&gt;0,INDEX('Invullen groen'!$G:$G,$J31),""),"")</f>
        <v/>
      </c>
      <c r="F31" s="259">
        <f>IFERROR(IF($J31&gt;0,IF(INDEX('Invullen groen'!$H:$H,$J31)&lt;&gt;0,INDEX('Invullen groen'!$H:$H,$J31),""),""),"")</f>
        <v/>
      </c>
      <c r="G31" s="259">
        <f>IFERROR(IF($J31&gt;0,IF(INDEX('Invullen groen'!$I:$I,$J31)&lt;&gt;0,INDEX('Invullen groen'!$I:$I,$J31),""),""),"")</f>
        <v/>
      </c>
      <c r="H31" s="259">
        <f>IFERROR(IF($J31&gt;0,IF(INDEX('Invullen groen'!$J:$J,$J31)&lt;&gt;0,INDEX('Invullen groen'!$J:$J,$J31),""),""),"")</f>
        <v/>
      </c>
      <c r="I31" s="259">
        <f>IFERROR(IF($J31&gt;0,IF(INDEX('Invullen groen'!$K:$K,$J31)&lt;&gt;0,INDEX('Invullen groen'!$K:$K,$J31),""),""),"")</f>
        <v/>
      </c>
      <c r="J31">
        <f>IFERROR(MATCH(ROW()-4,'Invullen groen'!$P$17:$P$272,0)+16,0)</f>
        <v/>
      </c>
    </row>
    <row r="32" ht="15" customHeight="1" s="418">
      <c r="A32" s="260">
        <f>IFERROR(IF($J32&gt;0,ROW()-4,""),"")</f>
        <v/>
      </c>
      <c r="B32" s="260">
        <f>IFERROR(IF($J32&gt;0,INDEX('Invullen groen'!$A:$A,$J32),""),"")</f>
        <v/>
      </c>
      <c r="C32" s="260">
        <f>IFERROR(IF($J32&gt;0,INDEX('Invullen groen'!$C:$C,$J32),""),"")</f>
        <v/>
      </c>
      <c r="D32" s="260">
        <f>IFERROR(IF($J32&gt;0,INDEX('Invullen groen'!$D:$D,$J32),""),"")</f>
        <v/>
      </c>
      <c r="E32" s="260">
        <f>IFERROR(IF($J32&gt;0,INDEX('Invullen groen'!$G:$G,$J32),""),"")</f>
        <v/>
      </c>
      <c r="F32" s="261">
        <f>IFERROR(IF($J32&gt;0,IF(INDEX('Invullen groen'!$H:$H,$J32)&lt;&gt;0,INDEX('Invullen groen'!$H:$H,$J32),""),""),"")</f>
        <v/>
      </c>
      <c r="G32" s="261">
        <f>IFERROR(IF($J32&gt;0,IF(INDEX('Invullen groen'!$I:$I,$J32)&lt;&gt;0,INDEX('Invullen groen'!$I:$I,$J32),""),""),"")</f>
        <v/>
      </c>
      <c r="H32" s="261">
        <f>IFERROR(IF($J32&gt;0,IF(INDEX('Invullen groen'!$J:$J,$J32)&lt;&gt;0,INDEX('Invullen groen'!$J:$J,$J32),""),""),"")</f>
        <v/>
      </c>
      <c r="I32" s="261">
        <f>IFERROR(IF($J32&gt;0,IF(INDEX('Invullen groen'!$K:$K,$J32)&lt;&gt;0,INDEX('Invullen groen'!$K:$K,$J32),""),""),"")</f>
        <v/>
      </c>
      <c r="J32">
        <f>IFERROR(MATCH(ROW()-4,'Invullen groen'!$P$17:$P$272,0)+16,0)</f>
        <v/>
      </c>
    </row>
    <row r="33" ht="15" customHeight="1" s="418">
      <c r="A33" s="258">
        <f>IFERROR(IF($J33&gt;0,ROW()-4,""),"")</f>
        <v/>
      </c>
      <c r="B33" s="258">
        <f>IFERROR(IF($J33&gt;0,INDEX('Invullen groen'!$A:$A,$J33),""),"")</f>
        <v/>
      </c>
      <c r="C33" s="258">
        <f>IFERROR(IF($J33&gt;0,INDEX('Invullen groen'!$C:$C,$J33),""),"")</f>
        <v/>
      </c>
      <c r="D33" s="258">
        <f>IFERROR(IF($J33&gt;0,INDEX('Invullen groen'!$D:$D,$J33),""),"")</f>
        <v/>
      </c>
      <c r="E33" s="258">
        <f>IFERROR(IF($J33&gt;0,INDEX('Invullen groen'!$G:$G,$J33),""),"")</f>
        <v/>
      </c>
      <c r="F33" s="259">
        <f>IFERROR(IF($J33&gt;0,IF(INDEX('Invullen groen'!$H:$H,$J33)&lt;&gt;0,INDEX('Invullen groen'!$H:$H,$J33),""),""),"")</f>
        <v/>
      </c>
      <c r="G33" s="259">
        <f>IFERROR(IF($J33&gt;0,IF(INDEX('Invullen groen'!$I:$I,$J33)&lt;&gt;0,INDEX('Invullen groen'!$I:$I,$J33),""),""),"")</f>
        <v/>
      </c>
      <c r="H33" s="259">
        <f>IFERROR(IF($J33&gt;0,IF(INDEX('Invullen groen'!$J:$J,$J33)&lt;&gt;0,INDEX('Invullen groen'!$J:$J,$J33),""),""),"")</f>
        <v/>
      </c>
      <c r="I33" s="259">
        <f>IFERROR(IF($J33&gt;0,IF(INDEX('Invullen groen'!$K:$K,$J33)&lt;&gt;0,INDEX('Invullen groen'!$K:$K,$J33),""),""),"")</f>
        <v/>
      </c>
      <c r="J33">
        <f>IFERROR(MATCH(ROW()-4,'Invullen groen'!$P$17:$P$272,0)+16,0)</f>
        <v/>
      </c>
    </row>
    <row r="34" ht="15" customHeight="1" s="418">
      <c r="A34" s="260">
        <f>IFERROR(IF($J34&gt;0,ROW()-4,""),"")</f>
        <v/>
      </c>
      <c r="B34" s="260">
        <f>IFERROR(IF($J34&gt;0,INDEX('Invullen groen'!$A:$A,$J34),""),"")</f>
        <v/>
      </c>
      <c r="C34" s="260">
        <f>IFERROR(IF($J34&gt;0,INDEX('Invullen groen'!$C:$C,$J34),""),"")</f>
        <v/>
      </c>
      <c r="D34" s="260">
        <f>IFERROR(IF($J34&gt;0,INDEX('Invullen groen'!$D:$D,$J34),""),"")</f>
        <v/>
      </c>
      <c r="E34" s="260">
        <f>IFERROR(IF($J34&gt;0,INDEX('Invullen groen'!$G:$G,$J34),""),"")</f>
        <v/>
      </c>
      <c r="F34" s="261">
        <f>IFERROR(IF($J34&gt;0,IF(INDEX('Invullen groen'!$H:$H,$J34)&lt;&gt;0,INDEX('Invullen groen'!$H:$H,$J34),""),""),"")</f>
        <v/>
      </c>
      <c r="G34" s="261">
        <f>IFERROR(IF($J34&gt;0,IF(INDEX('Invullen groen'!$I:$I,$J34)&lt;&gt;0,INDEX('Invullen groen'!$I:$I,$J34),""),""),"")</f>
        <v/>
      </c>
      <c r="H34" s="261">
        <f>IFERROR(IF($J34&gt;0,IF(INDEX('Invullen groen'!$J:$J,$J34)&lt;&gt;0,INDEX('Invullen groen'!$J:$J,$J34),""),""),"")</f>
        <v/>
      </c>
      <c r="I34" s="261">
        <f>IFERROR(IF($J34&gt;0,IF(INDEX('Invullen groen'!$K:$K,$J34)&lt;&gt;0,INDEX('Invullen groen'!$K:$K,$J34),""),""),"")</f>
        <v/>
      </c>
      <c r="J34">
        <f>IFERROR(MATCH(ROW()-4,'Invullen groen'!$P$17:$P$272,0)+16,0)</f>
        <v/>
      </c>
    </row>
    <row r="35" hidden="1" ht="15" customHeight="1" s="418">
      <c r="A35" s="258">
        <f>IFERROR(IF($J35&gt;0,ROW()-4,""),"")</f>
        <v/>
      </c>
      <c r="B35" s="258">
        <f>IFERROR(IF($J35&gt;0,INDEX('Invullen groen'!$A:$A,$J35),""),"")</f>
        <v/>
      </c>
      <c r="C35" s="258">
        <f>IFERROR(IF($J35&gt;0,INDEX('Invullen groen'!$C:$C,$J35),""),"")</f>
        <v/>
      </c>
      <c r="D35" s="258">
        <f>IFERROR(IF($J35&gt;0,INDEX('Invullen groen'!$D:$D,$J35),""),"")</f>
        <v/>
      </c>
      <c r="E35" s="258">
        <f>IFERROR(IF($J35&gt;0,INDEX('Invullen groen'!$G:$G,$J35),""),"")</f>
        <v/>
      </c>
      <c r="F35" s="259">
        <f>IFERROR(IF($J35&gt;0,IF(INDEX('Invullen groen'!$H:$H,$J35)&lt;&gt;0,INDEX('Invullen groen'!$H:$H,$J35),""),""),"")</f>
        <v/>
      </c>
      <c r="G35" s="259">
        <f>IFERROR(IF($J35&gt;0,IF(INDEX('Invullen groen'!$I:$I,$J35)&lt;&gt;0,INDEX('Invullen groen'!$I:$I,$J35),""),""),"")</f>
        <v/>
      </c>
      <c r="H35" s="259">
        <f>IFERROR(IF($J35&gt;0,IF(INDEX('Invullen groen'!$J:$J,$J35)&lt;&gt;0,INDEX('Invullen groen'!$J:$J,$J35),""),""),"")</f>
        <v/>
      </c>
      <c r="I35" s="259">
        <f>IFERROR(IF($J35&gt;0,IF(INDEX('Invullen groen'!$K:$K,$J35)&lt;&gt;0,INDEX('Invullen groen'!$K:$K,$J35),""),""),"")</f>
        <v/>
      </c>
      <c r="J35">
        <f>IFERROR(MATCH(ROW()-4,'Invullen groen'!$P$17:$P$272,0)+16,0)</f>
        <v/>
      </c>
    </row>
    <row r="36" hidden="1" ht="15" customHeight="1" s="418">
      <c r="A36" s="260">
        <f>IFERROR(IF($J36&gt;0,ROW()-4,""),"")</f>
        <v/>
      </c>
      <c r="B36" s="260">
        <f>IFERROR(IF($J36&gt;0,INDEX('Invullen groen'!$A:$A,$J36),""),"")</f>
        <v/>
      </c>
      <c r="C36" s="260">
        <f>IFERROR(IF($J36&gt;0,INDEX('Invullen groen'!$C:$C,$J36),""),"")</f>
        <v/>
      </c>
      <c r="D36" s="260">
        <f>IFERROR(IF($J36&gt;0,INDEX('Invullen groen'!$D:$D,$J36),""),"")</f>
        <v/>
      </c>
      <c r="E36" s="260">
        <f>IFERROR(IF($J36&gt;0,INDEX('Invullen groen'!$G:$G,$J36),""),"")</f>
        <v/>
      </c>
      <c r="F36" s="261">
        <f>IFERROR(IF($J36&gt;0,IF(INDEX('Invullen groen'!$H:$H,$J36)&lt;&gt;0,INDEX('Invullen groen'!$H:$H,$J36),""),""),"")</f>
        <v/>
      </c>
      <c r="G36" s="261">
        <f>IFERROR(IF($J36&gt;0,IF(INDEX('Invullen groen'!$I:$I,$J36)&lt;&gt;0,INDEX('Invullen groen'!$I:$I,$J36),""),""),"")</f>
        <v/>
      </c>
      <c r="H36" s="261">
        <f>IFERROR(IF($J36&gt;0,IF(INDEX('Invullen groen'!$J:$J,$J36)&lt;&gt;0,INDEX('Invullen groen'!$J:$J,$J36),""),""),"")</f>
        <v/>
      </c>
      <c r="I36" s="261">
        <f>IFERROR(IF($J36&gt;0,IF(INDEX('Invullen groen'!$K:$K,$J36)&lt;&gt;0,INDEX('Invullen groen'!$K:$K,$J36),""),""),"")</f>
        <v/>
      </c>
      <c r="J36">
        <f>IFERROR(MATCH(ROW()-4,'Invullen groen'!$P$17:$P$272,0)+16,0)</f>
        <v/>
      </c>
    </row>
    <row r="37" hidden="1" ht="15" customHeight="1" s="418">
      <c r="A37" s="258">
        <f>IFERROR(IF($J37&gt;0,ROW()-4,""),"")</f>
        <v/>
      </c>
      <c r="B37" s="258">
        <f>IFERROR(IF($J37&gt;0,INDEX('Invullen groen'!$A:$A,$J37),""),"")</f>
        <v/>
      </c>
      <c r="C37" s="258">
        <f>IFERROR(IF($J37&gt;0,INDEX('Invullen groen'!$C:$C,$J37),""),"")</f>
        <v/>
      </c>
      <c r="D37" s="258">
        <f>IFERROR(IF($J37&gt;0,INDEX('Invullen groen'!$D:$D,$J37),""),"")</f>
        <v/>
      </c>
      <c r="E37" s="258">
        <f>IFERROR(IF($J37&gt;0,INDEX('Invullen groen'!$G:$G,$J37),""),"")</f>
        <v/>
      </c>
      <c r="F37" s="259">
        <f>IFERROR(IF($J37&gt;0,IF(INDEX('Invullen groen'!$H:$H,$J37)&lt;&gt;0,INDEX('Invullen groen'!$H:$H,$J37),""),""),"")</f>
        <v/>
      </c>
      <c r="G37" s="259">
        <f>IFERROR(IF($J37&gt;0,IF(INDEX('Invullen groen'!$I:$I,$J37)&lt;&gt;0,INDEX('Invullen groen'!$I:$I,$J37),""),""),"")</f>
        <v/>
      </c>
      <c r="H37" s="259">
        <f>IFERROR(IF($J37&gt;0,IF(INDEX('Invullen groen'!$J:$J,$J37)&lt;&gt;0,INDEX('Invullen groen'!$J:$J,$J37),""),""),"")</f>
        <v/>
      </c>
      <c r="I37" s="259">
        <f>IFERROR(IF($J37&gt;0,IF(INDEX('Invullen groen'!$K:$K,$J37)&lt;&gt;0,INDEX('Invullen groen'!$K:$K,$J37),""),""),"")</f>
        <v/>
      </c>
      <c r="J37">
        <f>IFERROR(MATCH(ROW()-4,'Invullen groen'!$P$17:$P$272,0)+16,0)</f>
        <v/>
      </c>
    </row>
    <row r="38" hidden="1" ht="15" customHeight="1" s="418">
      <c r="A38" s="260">
        <f>IFERROR(IF($J38&gt;0,ROW()-4,""),"")</f>
        <v/>
      </c>
      <c r="B38" s="260">
        <f>IFERROR(IF($J38&gt;0,INDEX('Invullen groen'!$A:$A,$J38),""),"")</f>
        <v/>
      </c>
      <c r="C38" s="260">
        <f>IFERROR(IF($J38&gt;0,INDEX('Invullen groen'!$C:$C,$J38),""),"")</f>
        <v/>
      </c>
      <c r="D38" s="260">
        <f>IFERROR(IF($J38&gt;0,INDEX('Invullen groen'!$D:$D,$J38),""),"")</f>
        <v/>
      </c>
      <c r="E38" s="260">
        <f>IFERROR(IF($J38&gt;0,INDEX('Invullen groen'!$G:$G,$J38),""),"")</f>
        <v/>
      </c>
      <c r="F38" s="261">
        <f>IFERROR(IF($J38&gt;0,IF(INDEX('Invullen groen'!$H:$H,$J38)&lt;&gt;0,INDEX('Invullen groen'!$H:$H,$J38),""),""),"")</f>
        <v/>
      </c>
      <c r="G38" s="261">
        <f>IFERROR(IF($J38&gt;0,IF(INDEX('Invullen groen'!$I:$I,$J38)&lt;&gt;0,INDEX('Invullen groen'!$I:$I,$J38),""),""),"")</f>
        <v/>
      </c>
      <c r="H38" s="261">
        <f>IFERROR(IF($J38&gt;0,IF(INDEX('Invullen groen'!$J:$J,$J38)&lt;&gt;0,INDEX('Invullen groen'!$J:$J,$J38),""),""),"")</f>
        <v/>
      </c>
      <c r="I38" s="261">
        <f>IFERROR(IF($J38&gt;0,IF(INDEX('Invullen groen'!$K:$K,$J38)&lt;&gt;0,INDEX('Invullen groen'!$K:$K,$J38),""),""),"")</f>
        <v/>
      </c>
      <c r="J38">
        <f>IFERROR(MATCH(ROW()-4,'Invullen groen'!$P$17:$P$272,0)+16,0)</f>
        <v/>
      </c>
    </row>
    <row r="39" hidden="1" ht="15" customHeight="1" s="418">
      <c r="A39" s="258">
        <f>IFERROR(IF($J39&gt;0,ROW()-4,""),"")</f>
        <v/>
      </c>
      <c r="B39" s="258">
        <f>IFERROR(IF($J39&gt;0,INDEX('Invullen groen'!$A:$A,$J39),""),"")</f>
        <v/>
      </c>
      <c r="C39" s="258">
        <f>IFERROR(IF($J39&gt;0,INDEX('Invullen groen'!$C:$C,$J39),""),"")</f>
        <v/>
      </c>
      <c r="D39" s="258">
        <f>IFERROR(IF($J39&gt;0,INDEX('Invullen groen'!$D:$D,$J39),""),"")</f>
        <v/>
      </c>
      <c r="E39" s="258">
        <f>IFERROR(IF($J39&gt;0,INDEX('Invullen groen'!$G:$G,$J39),""),"")</f>
        <v/>
      </c>
      <c r="F39" s="259">
        <f>IFERROR(IF($J39&gt;0,IF(INDEX('Invullen groen'!$H:$H,$J39)&lt;&gt;0,INDEX('Invullen groen'!$H:$H,$J39),""),""),"")</f>
        <v/>
      </c>
      <c r="G39" s="259">
        <f>IFERROR(IF($J39&gt;0,IF(INDEX('Invullen groen'!$I:$I,$J39)&lt;&gt;0,INDEX('Invullen groen'!$I:$I,$J39),""),""),"")</f>
        <v/>
      </c>
      <c r="H39" s="259">
        <f>IFERROR(IF($J39&gt;0,IF(INDEX('Invullen groen'!$J:$J,$J39)&lt;&gt;0,INDEX('Invullen groen'!$J:$J,$J39),""),""),"")</f>
        <v/>
      </c>
      <c r="I39" s="259">
        <f>IFERROR(IF($J39&gt;0,IF(INDEX('Invullen groen'!$K:$K,$J39)&lt;&gt;0,INDEX('Invullen groen'!$K:$K,$J39),""),""),"")</f>
        <v/>
      </c>
      <c r="J39">
        <f>IFERROR(MATCH(ROW()-4,'Invullen groen'!$P$17:$P$272,0)+16,0)</f>
        <v/>
      </c>
    </row>
    <row r="40" hidden="1" ht="15" customHeight="1" s="418">
      <c r="A40" s="260">
        <f>IFERROR(IF($J40&gt;0,ROW()-4,""),"")</f>
        <v/>
      </c>
      <c r="B40" s="260">
        <f>IFERROR(IF($J40&gt;0,INDEX('Invullen groen'!$A:$A,$J40),""),"")</f>
        <v/>
      </c>
      <c r="C40" s="260">
        <f>IFERROR(IF($J40&gt;0,INDEX('Invullen groen'!$C:$C,$J40),""),"")</f>
        <v/>
      </c>
      <c r="D40" s="260">
        <f>IFERROR(IF($J40&gt;0,INDEX('Invullen groen'!$D:$D,$J40),""),"")</f>
        <v/>
      </c>
      <c r="E40" s="260">
        <f>IFERROR(IF($J40&gt;0,INDEX('Invullen groen'!$G:$G,$J40),""),"")</f>
        <v/>
      </c>
      <c r="F40" s="261">
        <f>IFERROR(IF($J40&gt;0,IF(INDEX('Invullen groen'!$H:$H,$J40)&lt;&gt;0,INDEX('Invullen groen'!$H:$H,$J40),""),""),"")</f>
        <v/>
      </c>
      <c r="G40" s="261">
        <f>IFERROR(IF($J40&gt;0,IF(INDEX('Invullen groen'!$I:$I,$J40)&lt;&gt;0,INDEX('Invullen groen'!$I:$I,$J40),""),""),"")</f>
        <v/>
      </c>
      <c r="H40" s="261">
        <f>IFERROR(IF($J40&gt;0,IF(INDEX('Invullen groen'!$J:$J,$J40)&lt;&gt;0,INDEX('Invullen groen'!$J:$J,$J40),""),""),"")</f>
        <v/>
      </c>
      <c r="I40" s="261">
        <f>IFERROR(IF($J40&gt;0,IF(INDEX('Invullen groen'!$K:$K,$J40)&lt;&gt;0,INDEX('Invullen groen'!$K:$K,$J40),""),""),"")</f>
        <v/>
      </c>
      <c r="J40">
        <f>IFERROR(MATCH(ROW()-4,'Invullen groen'!$P$17:$P$272,0)+16,0)</f>
        <v/>
      </c>
    </row>
    <row r="41" hidden="1" ht="15" customHeight="1" s="418">
      <c r="A41" s="258">
        <f>IFERROR(IF($J41&gt;0,ROW()-4,""),"")</f>
        <v/>
      </c>
      <c r="B41" s="258">
        <f>IFERROR(IF($J41&gt;0,INDEX('Invullen groen'!$A:$A,$J41),""),"")</f>
        <v/>
      </c>
      <c r="C41" s="258">
        <f>IFERROR(IF($J41&gt;0,INDEX('Invullen groen'!$C:$C,$J41),""),"")</f>
        <v/>
      </c>
      <c r="D41" s="258">
        <f>IFERROR(IF($J41&gt;0,INDEX('Invullen groen'!$D:$D,$J41),""),"")</f>
        <v/>
      </c>
      <c r="E41" s="258">
        <f>IFERROR(IF($J41&gt;0,INDEX('Invullen groen'!$G:$G,$J41),""),"")</f>
        <v/>
      </c>
      <c r="F41" s="259">
        <f>IFERROR(IF($J41&gt;0,IF(INDEX('Invullen groen'!$H:$H,$J41)&lt;&gt;0,INDEX('Invullen groen'!$H:$H,$J41),""),""),"")</f>
        <v/>
      </c>
      <c r="G41" s="259">
        <f>IFERROR(IF($J41&gt;0,IF(INDEX('Invullen groen'!$I:$I,$J41)&lt;&gt;0,INDEX('Invullen groen'!$I:$I,$J41),""),""),"")</f>
        <v/>
      </c>
      <c r="H41" s="259">
        <f>IFERROR(IF($J41&gt;0,IF(INDEX('Invullen groen'!$J:$J,$J41)&lt;&gt;0,INDEX('Invullen groen'!$J:$J,$J41),""),""),"")</f>
        <v/>
      </c>
      <c r="I41" s="259">
        <f>IFERROR(IF($J41&gt;0,IF(INDEX('Invullen groen'!$K:$K,$J41)&lt;&gt;0,INDEX('Invullen groen'!$K:$K,$J41),""),""),"")</f>
        <v/>
      </c>
      <c r="J41">
        <f>IFERROR(MATCH(ROW()-4,'Invullen groen'!$P$17:$P$272,0)+16,0)</f>
        <v/>
      </c>
    </row>
    <row r="42" hidden="1" ht="15" customHeight="1" s="418">
      <c r="A42" s="260">
        <f>IFERROR(IF($J42&gt;0,ROW()-4,""),"")</f>
        <v/>
      </c>
      <c r="B42" s="260">
        <f>IFERROR(IF($J42&gt;0,INDEX('Invullen groen'!$A:$A,$J42),""),"")</f>
        <v/>
      </c>
      <c r="C42" s="260">
        <f>IFERROR(IF($J42&gt;0,INDEX('Invullen groen'!$C:$C,$J42),""),"")</f>
        <v/>
      </c>
      <c r="D42" s="260">
        <f>IFERROR(IF($J42&gt;0,INDEX('Invullen groen'!$D:$D,$J42),""),"")</f>
        <v/>
      </c>
      <c r="E42" s="260">
        <f>IFERROR(IF($J42&gt;0,INDEX('Invullen groen'!$G:$G,$J42),""),"")</f>
        <v/>
      </c>
      <c r="F42" s="261">
        <f>IFERROR(IF($J42&gt;0,IF(INDEX('Invullen groen'!$H:$H,$J42)&lt;&gt;0,INDEX('Invullen groen'!$H:$H,$J42),""),""),"")</f>
        <v/>
      </c>
      <c r="G42" s="261">
        <f>IFERROR(IF($J42&gt;0,IF(INDEX('Invullen groen'!$I:$I,$J42)&lt;&gt;0,INDEX('Invullen groen'!$I:$I,$J42),""),""),"")</f>
        <v/>
      </c>
      <c r="H42" s="261">
        <f>IFERROR(IF($J42&gt;0,IF(INDEX('Invullen groen'!$J:$J,$J42)&lt;&gt;0,INDEX('Invullen groen'!$J:$J,$J42),""),""),"")</f>
        <v/>
      </c>
      <c r="I42" s="261">
        <f>IFERROR(IF($J42&gt;0,IF(INDEX('Invullen groen'!$K:$K,$J42)&lt;&gt;0,INDEX('Invullen groen'!$K:$K,$J42),""),""),"")</f>
        <v/>
      </c>
      <c r="J42">
        <f>IFERROR(MATCH(ROW()-4,'Invullen groen'!$P$17:$P$272,0)+16,0)</f>
        <v/>
      </c>
    </row>
    <row r="43" hidden="1" ht="15" customHeight="1" s="418">
      <c r="A43" s="258">
        <f>IFERROR(IF($J43&gt;0,ROW()-4,""),"")</f>
        <v/>
      </c>
      <c r="B43" s="258">
        <f>IFERROR(IF($J43&gt;0,INDEX('Invullen groen'!$A:$A,$J43),""),"")</f>
        <v/>
      </c>
      <c r="C43" s="258">
        <f>IFERROR(IF($J43&gt;0,INDEX('Invullen groen'!$C:$C,$J43),""),"")</f>
        <v/>
      </c>
      <c r="D43" s="258">
        <f>IFERROR(IF($J43&gt;0,INDEX('Invullen groen'!$D:$D,$J43),""),"")</f>
        <v/>
      </c>
      <c r="E43" s="258">
        <f>IFERROR(IF($J43&gt;0,INDEX('Invullen groen'!$G:$G,$J43),""),"")</f>
        <v/>
      </c>
      <c r="F43" s="259">
        <f>IFERROR(IF($J43&gt;0,IF(INDEX('Invullen groen'!$H:$H,$J43)&lt;&gt;0,INDEX('Invullen groen'!$H:$H,$J43),""),""),"")</f>
        <v/>
      </c>
      <c r="G43" s="259">
        <f>IFERROR(IF($J43&gt;0,IF(INDEX('Invullen groen'!$I:$I,$J43)&lt;&gt;0,INDEX('Invullen groen'!$I:$I,$J43),""),""),"")</f>
        <v/>
      </c>
      <c r="H43" s="259">
        <f>IFERROR(IF($J43&gt;0,IF(INDEX('Invullen groen'!$J:$J,$J43)&lt;&gt;0,INDEX('Invullen groen'!$J:$J,$J43),""),""),"")</f>
        <v/>
      </c>
      <c r="I43" s="259">
        <f>IFERROR(IF($J43&gt;0,IF(INDEX('Invullen groen'!$K:$K,$J43)&lt;&gt;0,INDEX('Invullen groen'!$K:$K,$J43),""),""),"")</f>
        <v/>
      </c>
      <c r="J43">
        <f>IFERROR(MATCH(ROW()-4,'Invullen groen'!$P$17:$P$272,0)+16,0)</f>
        <v/>
      </c>
    </row>
    <row r="44" hidden="1" ht="15" customHeight="1" s="418">
      <c r="A44" s="260">
        <f>IFERROR(IF($J44&gt;0,ROW()-4,""),"")</f>
        <v/>
      </c>
      <c r="B44" s="260">
        <f>IFERROR(IF($J44&gt;0,INDEX('Invullen groen'!$A:$A,$J44),""),"")</f>
        <v/>
      </c>
      <c r="C44" s="260">
        <f>IFERROR(IF($J44&gt;0,INDEX('Invullen groen'!$C:$C,$J44),""),"")</f>
        <v/>
      </c>
      <c r="D44" s="260">
        <f>IFERROR(IF($J44&gt;0,INDEX('Invullen groen'!$D:$D,$J44),""),"")</f>
        <v/>
      </c>
      <c r="E44" s="260">
        <f>IFERROR(IF($J44&gt;0,INDEX('Invullen groen'!$G:$G,$J44),""),"")</f>
        <v/>
      </c>
      <c r="F44" s="261">
        <f>IFERROR(IF($J44&gt;0,IF(INDEX('Invullen groen'!$H:$H,$J44)&lt;&gt;0,INDEX('Invullen groen'!$H:$H,$J44),""),""),"")</f>
        <v/>
      </c>
      <c r="G44" s="261">
        <f>IFERROR(IF($J44&gt;0,IF(INDEX('Invullen groen'!$I:$I,$J44)&lt;&gt;0,INDEX('Invullen groen'!$I:$I,$J44),""),""),"")</f>
        <v/>
      </c>
      <c r="H44" s="261">
        <f>IFERROR(IF($J44&gt;0,IF(INDEX('Invullen groen'!$J:$J,$J44)&lt;&gt;0,INDEX('Invullen groen'!$J:$J,$J44),""),""),"")</f>
        <v/>
      </c>
      <c r="I44" s="261">
        <f>IFERROR(IF($J44&gt;0,IF(INDEX('Invullen groen'!$K:$K,$J44)&lt;&gt;0,INDEX('Invullen groen'!$K:$K,$J44),""),""),"")</f>
        <v/>
      </c>
      <c r="J44">
        <f>IFERROR(MATCH(ROW()-4,'Invullen groen'!$P$17:$P$272,0)+16,0)</f>
        <v/>
      </c>
    </row>
    <row r="45" hidden="1" ht="15" customHeight="1" s="418">
      <c r="A45" s="258">
        <f>IFERROR(IF($J45&gt;0,ROW()-4,""),"")</f>
        <v/>
      </c>
      <c r="B45" s="258">
        <f>IFERROR(IF($J45&gt;0,INDEX('Invullen groen'!$A:$A,$J45),""),"")</f>
        <v/>
      </c>
      <c r="C45" s="258">
        <f>IFERROR(IF($J45&gt;0,INDEX('Invullen groen'!$C:$C,$J45),""),"")</f>
        <v/>
      </c>
      <c r="D45" s="258">
        <f>IFERROR(IF($J45&gt;0,INDEX('Invullen groen'!$D:$D,$J45),""),"")</f>
        <v/>
      </c>
      <c r="E45" s="258">
        <f>IFERROR(IF($J45&gt;0,INDEX('Invullen groen'!$G:$G,$J45),""),"")</f>
        <v/>
      </c>
      <c r="F45" s="259">
        <f>IFERROR(IF($J45&gt;0,IF(INDEX('Invullen groen'!$H:$H,$J45)&lt;&gt;0,INDEX('Invullen groen'!$H:$H,$J45),""),""),"")</f>
        <v/>
      </c>
      <c r="G45" s="259">
        <f>IFERROR(IF($J45&gt;0,IF(INDEX('Invullen groen'!$I:$I,$J45)&lt;&gt;0,INDEX('Invullen groen'!$I:$I,$J45),""),""),"")</f>
        <v/>
      </c>
      <c r="H45" s="259">
        <f>IFERROR(IF($J45&gt;0,IF(INDEX('Invullen groen'!$J:$J,$J45)&lt;&gt;0,INDEX('Invullen groen'!$J:$J,$J45),""),""),"")</f>
        <v/>
      </c>
      <c r="I45" s="259">
        <f>IFERROR(IF($J45&gt;0,IF(INDEX('Invullen groen'!$K:$K,$J45)&lt;&gt;0,INDEX('Invullen groen'!$K:$K,$J45),""),""),"")</f>
        <v/>
      </c>
      <c r="J45">
        <f>IFERROR(MATCH(ROW()-4,'Invullen groen'!$P$17:$P$272,0)+16,0)</f>
        <v/>
      </c>
    </row>
    <row r="46" hidden="1" ht="15" customHeight="1" s="418">
      <c r="A46" s="260">
        <f>IFERROR(IF($J46&gt;0,ROW()-4,""),"")</f>
        <v/>
      </c>
      <c r="B46" s="260">
        <f>IFERROR(IF($J46&gt;0,INDEX('Invullen groen'!$A:$A,$J46),""),"")</f>
        <v/>
      </c>
      <c r="C46" s="260">
        <f>IFERROR(IF($J46&gt;0,INDEX('Invullen groen'!$C:$C,$J46),""),"")</f>
        <v/>
      </c>
      <c r="D46" s="260">
        <f>IFERROR(IF($J46&gt;0,INDEX('Invullen groen'!$D:$D,$J46),""),"")</f>
        <v/>
      </c>
      <c r="E46" s="260">
        <f>IFERROR(IF($J46&gt;0,INDEX('Invullen groen'!$G:$G,$J46),""),"")</f>
        <v/>
      </c>
      <c r="F46" s="261">
        <f>IFERROR(IF($J46&gt;0,IF(INDEX('Invullen groen'!$H:$H,$J46)&lt;&gt;0,INDEX('Invullen groen'!$H:$H,$J46),""),""),"")</f>
        <v/>
      </c>
      <c r="G46" s="261">
        <f>IFERROR(IF($J46&gt;0,IF(INDEX('Invullen groen'!$I:$I,$J46)&lt;&gt;0,INDEX('Invullen groen'!$I:$I,$J46),""),""),"")</f>
        <v/>
      </c>
      <c r="H46" s="261">
        <f>IFERROR(IF($J46&gt;0,IF(INDEX('Invullen groen'!$J:$J,$J46)&lt;&gt;0,INDEX('Invullen groen'!$J:$J,$J46),""),""),"")</f>
        <v/>
      </c>
      <c r="I46" s="261">
        <f>IFERROR(IF($J46&gt;0,IF(INDEX('Invullen groen'!$K:$K,$J46)&lt;&gt;0,INDEX('Invullen groen'!$K:$K,$J46),""),""),"")</f>
        <v/>
      </c>
      <c r="J46">
        <f>IFERROR(MATCH(ROW()-4,'Invullen groen'!$P$17:$P$272,0)+16,0)</f>
        <v/>
      </c>
    </row>
    <row r="47" hidden="1" ht="15" customHeight="1" s="418">
      <c r="A47" s="258">
        <f>IFERROR(IF($J47&gt;0,ROW()-4,""),"")</f>
        <v/>
      </c>
      <c r="B47" s="258">
        <f>IFERROR(IF($J47&gt;0,INDEX('Invullen groen'!$A:$A,$J47),""),"")</f>
        <v/>
      </c>
      <c r="C47" s="258">
        <f>IFERROR(IF($J47&gt;0,INDEX('Invullen groen'!$C:$C,$J47),""),"")</f>
        <v/>
      </c>
      <c r="D47" s="258">
        <f>IFERROR(IF($J47&gt;0,INDEX('Invullen groen'!$D:$D,$J47),""),"")</f>
        <v/>
      </c>
      <c r="E47" s="258">
        <f>IFERROR(IF($J47&gt;0,INDEX('Invullen groen'!$G:$G,$J47),""),"")</f>
        <v/>
      </c>
      <c r="F47" s="259">
        <f>IFERROR(IF($J47&gt;0,IF(INDEX('Invullen groen'!$H:$H,$J47)&lt;&gt;0,INDEX('Invullen groen'!$H:$H,$J47),""),""),"")</f>
        <v/>
      </c>
      <c r="G47" s="259">
        <f>IFERROR(IF($J47&gt;0,IF(INDEX('Invullen groen'!$I:$I,$J47)&lt;&gt;0,INDEX('Invullen groen'!$I:$I,$J47),""),""),"")</f>
        <v/>
      </c>
      <c r="H47" s="259">
        <f>IFERROR(IF($J47&gt;0,IF(INDEX('Invullen groen'!$J:$J,$J47)&lt;&gt;0,INDEX('Invullen groen'!$J:$J,$J47),""),""),"")</f>
        <v/>
      </c>
      <c r="I47" s="259">
        <f>IFERROR(IF($J47&gt;0,IF(INDEX('Invullen groen'!$K:$K,$J47)&lt;&gt;0,INDEX('Invullen groen'!$K:$K,$J47),""),""),"")</f>
        <v/>
      </c>
      <c r="J47">
        <f>IFERROR(MATCH(ROW()-4,'Invullen groen'!$P$17:$P$272,0)+16,0)</f>
        <v/>
      </c>
    </row>
    <row r="48" hidden="1" ht="15" customHeight="1" s="418">
      <c r="A48" s="260">
        <f>IFERROR(IF($J48&gt;0,ROW()-4,""),"")</f>
        <v/>
      </c>
      <c r="B48" s="260">
        <f>IFERROR(IF($J48&gt;0,INDEX('Invullen groen'!$A:$A,$J48),""),"")</f>
        <v/>
      </c>
      <c r="C48" s="260">
        <f>IFERROR(IF($J48&gt;0,INDEX('Invullen groen'!$C:$C,$J48),""),"")</f>
        <v/>
      </c>
      <c r="D48" s="260">
        <f>IFERROR(IF($J48&gt;0,INDEX('Invullen groen'!$D:$D,$J48),""),"")</f>
        <v/>
      </c>
      <c r="E48" s="260">
        <f>IFERROR(IF($J48&gt;0,INDEX('Invullen groen'!$G:$G,$J48),""),"")</f>
        <v/>
      </c>
      <c r="F48" s="261">
        <f>IFERROR(IF($J48&gt;0,IF(INDEX('Invullen groen'!$H:$H,$J48)&lt;&gt;0,INDEX('Invullen groen'!$H:$H,$J48),""),""),"")</f>
        <v/>
      </c>
      <c r="G48" s="261">
        <f>IFERROR(IF($J48&gt;0,IF(INDEX('Invullen groen'!$I:$I,$J48)&lt;&gt;0,INDEX('Invullen groen'!$I:$I,$J48),""),""),"")</f>
        <v/>
      </c>
      <c r="H48" s="261">
        <f>IFERROR(IF($J48&gt;0,IF(INDEX('Invullen groen'!$J:$J,$J48)&lt;&gt;0,INDEX('Invullen groen'!$J:$J,$J48),""),""),"")</f>
        <v/>
      </c>
      <c r="I48" s="261">
        <f>IFERROR(IF($J48&gt;0,IF(INDEX('Invullen groen'!$K:$K,$J48)&lt;&gt;0,INDEX('Invullen groen'!$K:$K,$J48),""),""),"")</f>
        <v/>
      </c>
      <c r="J48">
        <f>IFERROR(MATCH(ROW()-4,'Invullen groen'!$P$17:$P$272,0)+16,0)</f>
        <v/>
      </c>
    </row>
    <row r="49" hidden="1" ht="15" customHeight="1" s="418">
      <c r="A49" s="258">
        <f>IFERROR(IF($J49&gt;0,ROW()-4,""),"")</f>
        <v/>
      </c>
      <c r="B49" s="258">
        <f>IFERROR(IF($J49&gt;0,INDEX('Invullen groen'!$A:$A,$J49),""),"")</f>
        <v/>
      </c>
      <c r="C49" s="258">
        <f>IFERROR(IF($J49&gt;0,INDEX('Invullen groen'!$C:$C,$J49),""),"")</f>
        <v/>
      </c>
      <c r="D49" s="258">
        <f>IFERROR(IF($J49&gt;0,INDEX('Invullen groen'!$D:$D,$J49),""),"")</f>
        <v/>
      </c>
      <c r="E49" s="258">
        <f>IFERROR(IF($J49&gt;0,INDEX('Invullen groen'!$G:$G,$J49),""),"")</f>
        <v/>
      </c>
      <c r="F49" s="259">
        <f>IFERROR(IF($J49&gt;0,IF(INDEX('Invullen groen'!$H:$H,$J49)&lt;&gt;0,INDEX('Invullen groen'!$H:$H,$J49),""),""),"")</f>
        <v/>
      </c>
      <c r="G49" s="259">
        <f>IFERROR(IF($J49&gt;0,IF(INDEX('Invullen groen'!$I:$I,$J49)&lt;&gt;0,INDEX('Invullen groen'!$I:$I,$J49),""),""),"")</f>
        <v/>
      </c>
      <c r="H49" s="259">
        <f>IFERROR(IF($J49&gt;0,IF(INDEX('Invullen groen'!$J:$J,$J49)&lt;&gt;0,INDEX('Invullen groen'!$J:$J,$J49),""),""),"")</f>
        <v/>
      </c>
      <c r="I49" s="259">
        <f>IFERROR(IF($J49&gt;0,IF(INDEX('Invullen groen'!$K:$K,$J49)&lt;&gt;0,INDEX('Invullen groen'!$K:$K,$J49),""),""),"")</f>
        <v/>
      </c>
      <c r="J49">
        <f>IFERROR(MATCH(ROW()-4,'Invullen groen'!$P$17:$P$272,0)+16,0)</f>
        <v/>
      </c>
    </row>
    <row r="50" hidden="1" ht="15" customHeight="1" s="418">
      <c r="A50" s="260">
        <f>IFERROR(IF($J50&gt;0,ROW()-4,""),"")</f>
        <v/>
      </c>
      <c r="B50" s="260">
        <f>IFERROR(IF($J50&gt;0,INDEX('Invullen groen'!$A:$A,$J50),""),"")</f>
        <v/>
      </c>
      <c r="C50" s="260">
        <f>IFERROR(IF($J50&gt;0,INDEX('Invullen groen'!$C:$C,$J50),""),"")</f>
        <v/>
      </c>
      <c r="D50" s="260">
        <f>IFERROR(IF($J50&gt;0,INDEX('Invullen groen'!$D:$D,$J50),""),"")</f>
        <v/>
      </c>
      <c r="E50" s="260">
        <f>IFERROR(IF($J50&gt;0,INDEX('Invullen groen'!$G:$G,$J50),""),"")</f>
        <v/>
      </c>
      <c r="F50" s="261">
        <f>IFERROR(IF($J50&gt;0,IF(INDEX('Invullen groen'!$H:$H,$J50)&lt;&gt;0,INDEX('Invullen groen'!$H:$H,$J50),""),""),"")</f>
        <v/>
      </c>
      <c r="G50" s="261">
        <f>IFERROR(IF($J50&gt;0,IF(INDEX('Invullen groen'!$I:$I,$J50)&lt;&gt;0,INDEX('Invullen groen'!$I:$I,$J50),""),""),"")</f>
        <v/>
      </c>
      <c r="H50" s="261">
        <f>IFERROR(IF($J50&gt;0,IF(INDEX('Invullen groen'!$J:$J,$J50)&lt;&gt;0,INDEX('Invullen groen'!$J:$J,$J50),""),""),"")</f>
        <v/>
      </c>
      <c r="I50" s="261">
        <f>IFERROR(IF($J50&gt;0,IF(INDEX('Invullen groen'!$K:$K,$J50)&lt;&gt;0,INDEX('Invullen groen'!$K:$K,$J50),""),""),"")</f>
        <v/>
      </c>
      <c r="J50">
        <f>IFERROR(MATCH(ROW()-4,'Invullen groen'!$P$17:$P$272,0)+16,0)</f>
        <v/>
      </c>
    </row>
    <row r="51" hidden="1" ht="15" customHeight="1" s="418">
      <c r="A51" s="258">
        <f>IFERROR(IF($J51&gt;0,ROW()-4,""),"")</f>
        <v/>
      </c>
      <c r="B51" s="258">
        <f>IFERROR(IF($J51&gt;0,INDEX('Invullen groen'!$A:$A,$J51),""),"")</f>
        <v/>
      </c>
      <c r="C51" s="258">
        <f>IFERROR(IF($J51&gt;0,INDEX('Invullen groen'!$C:$C,$J51),""),"")</f>
        <v/>
      </c>
      <c r="D51" s="258">
        <f>IFERROR(IF($J51&gt;0,INDEX('Invullen groen'!$D:$D,$J51),""),"")</f>
        <v/>
      </c>
      <c r="E51" s="258">
        <f>IFERROR(IF($J51&gt;0,INDEX('Invullen groen'!$G:$G,$J51),""),"")</f>
        <v/>
      </c>
      <c r="F51" s="259">
        <f>IFERROR(IF($J51&gt;0,IF(INDEX('Invullen groen'!$H:$H,$J51)&lt;&gt;0,INDEX('Invullen groen'!$H:$H,$J51),""),""),"")</f>
        <v/>
      </c>
      <c r="G51" s="259">
        <f>IFERROR(IF($J51&gt;0,IF(INDEX('Invullen groen'!$I:$I,$J51)&lt;&gt;0,INDEX('Invullen groen'!$I:$I,$J51),""),""),"")</f>
        <v/>
      </c>
      <c r="H51" s="259">
        <f>IFERROR(IF($J51&gt;0,IF(INDEX('Invullen groen'!$J:$J,$J51)&lt;&gt;0,INDEX('Invullen groen'!$J:$J,$J51),""),""),"")</f>
        <v/>
      </c>
      <c r="I51" s="259">
        <f>IFERROR(IF($J51&gt;0,IF(INDEX('Invullen groen'!$K:$K,$J51)&lt;&gt;0,INDEX('Invullen groen'!$K:$K,$J51),""),""),"")</f>
        <v/>
      </c>
      <c r="J51">
        <f>IFERROR(MATCH(ROW()-4,'Invullen groen'!$P$17:$P$272,0)+16,0)</f>
        <v/>
      </c>
    </row>
    <row r="52" hidden="1" ht="15" customHeight="1" s="418">
      <c r="A52" s="260">
        <f>IFERROR(IF($J52&gt;0,ROW()-4,""),"")</f>
        <v/>
      </c>
      <c r="B52" s="260">
        <f>IFERROR(IF($J52&gt;0,INDEX('Invullen groen'!$A:$A,$J52),""),"")</f>
        <v/>
      </c>
      <c r="C52" s="260">
        <f>IFERROR(IF($J52&gt;0,INDEX('Invullen groen'!$C:$C,$J52),""),"")</f>
        <v/>
      </c>
      <c r="D52" s="260">
        <f>IFERROR(IF($J52&gt;0,INDEX('Invullen groen'!$D:$D,$J52),""),"")</f>
        <v/>
      </c>
      <c r="E52" s="260">
        <f>IFERROR(IF($J52&gt;0,INDEX('Invullen groen'!$G:$G,$J52),""),"")</f>
        <v/>
      </c>
      <c r="F52" s="261">
        <f>IFERROR(IF($J52&gt;0,IF(INDEX('Invullen groen'!$H:$H,$J52)&lt;&gt;0,INDEX('Invullen groen'!$H:$H,$J52),""),""),"")</f>
        <v/>
      </c>
      <c r="G52" s="261">
        <f>IFERROR(IF($J52&gt;0,IF(INDEX('Invullen groen'!$I:$I,$J52)&lt;&gt;0,INDEX('Invullen groen'!$I:$I,$J52),""),""),"")</f>
        <v/>
      </c>
      <c r="H52" s="261">
        <f>IFERROR(IF($J52&gt;0,IF(INDEX('Invullen groen'!$J:$J,$J52)&lt;&gt;0,INDEX('Invullen groen'!$J:$J,$J52),""),""),"")</f>
        <v/>
      </c>
      <c r="I52" s="261">
        <f>IFERROR(IF($J52&gt;0,IF(INDEX('Invullen groen'!$K:$K,$J52)&lt;&gt;0,INDEX('Invullen groen'!$K:$K,$J52),""),""),"")</f>
        <v/>
      </c>
      <c r="J52">
        <f>IFERROR(MATCH(ROW()-4,'Invullen groen'!$P$17:$P$272,0)+16,0)</f>
        <v/>
      </c>
    </row>
    <row r="53" hidden="1" ht="15" customHeight="1" s="418">
      <c r="A53" s="258">
        <f>IFERROR(IF($J53&gt;0,ROW()-4,""),"")</f>
        <v/>
      </c>
      <c r="B53" s="258">
        <f>IFERROR(IF($J53&gt;0,INDEX('Invullen groen'!$A:$A,$J53),""),"")</f>
        <v/>
      </c>
      <c r="C53" s="258">
        <f>IFERROR(IF($J53&gt;0,INDEX('Invullen groen'!$C:$C,$J53),""),"")</f>
        <v/>
      </c>
      <c r="D53" s="258">
        <f>IFERROR(IF($J53&gt;0,INDEX('Invullen groen'!$D:$D,$J53),""),"")</f>
        <v/>
      </c>
      <c r="E53" s="258">
        <f>IFERROR(IF($J53&gt;0,INDEX('Invullen groen'!$G:$G,$J53),""),"")</f>
        <v/>
      </c>
      <c r="F53" s="259">
        <f>IFERROR(IF($J53&gt;0,IF(INDEX('Invullen groen'!$H:$H,$J53)&lt;&gt;0,INDEX('Invullen groen'!$H:$H,$J53),""),""),"")</f>
        <v/>
      </c>
      <c r="G53" s="259">
        <f>IFERROR(IF($J53&gt;0,IF(INDEX('Invullen groen'!$I:$I,$J53)&lt;&gt;0,INDEX('Invullen groen'!$I:$I,$J53),""),""),"")</f>
        <v/>
      </c>
      <c r="H53" s="259">
        <f>IFERROR(IF($J53&gt;0,IF(INDEX('Invullen groen'!$J:$J,$J53)&lt;&gt;0,INDEX('Invullen groen'!$J:$J,$J53),""),""),"")</f>
        <v/>
      </c>
      <c r="I53" s="259">
        <f>IFERROR(IF($J53&gt;0,IF(INDEX('Invullen groen'!$K:$K,$J53)&lt;&gt;0,INDEX('Invullen groen'!$K:$K,$J53),""),""),"")</f>
        <v/>
      </c>
      <c r="J53">
        <f>IFERROR(MATCH(ROW()-4,'Invullen groen'!$P$17:$P$272,0)+16,0)</f>
        <v/>
      </c>
    </row>
    <row r="54" hidden="1" ht="15" customHeight="1" s="418">
      <c r="A54" s="260">
        <f>IFERROR(IF($J54&gt;0,ROW()-4,""),"")</f>
        <v/>
      </c>
      <c r="B54" s="260">
        <f>IFERROR(IF($J54&gt;0,INDEX('Invullen groen'!$A:$A,$J54),""),"")</f>
        <v/>
      </c>
      <c r="C54" s="260">
        <f>IFERROR(IF($J54&gt;0,INDEX('Invullen groen'!$C:$C,$J54),""),"")</f>
        <v/>
      </c>
      <c r="D54" s="260">
        <f>IFERROR(IF($J54&gt;0,INDEX('Invullen groen'!$D:$D,$J54),""),"")</f>
        <v/>
      </c>
      <c r="E54" s="260">
        <f>IFERROR(IF($J54&gt;0,INDEX('Invullen groen'!$G:$G,$J54),""),"")</f>
        <v/>
      </c>
      <c r="F54" s="261">
        <f>IFERROR(IF($J54&gt;0,IF(INDEX('Invullen groen'!$H:$H,$J54)&lt;&gt;0,INDEX('Invullen groen'!$H:$H,$J54),""),""),"")</f>
        <v/>
      </c>
      <c r="G54" s="261">
        <f>IFERROR(IF($J54&gt;0,IF(INDEX('Invullen groen'!$I:$I,$J54)&lt;&gt;0,INDEX('Invullen groen'!$I:$I,$J54),""),""),"")</f>
        <v/>
      </c>
      <c r="H54" s="261">
        <f>IFERROR(IF($J54&gt;0,IF(INDEX('Invullen groen'!$J:$J,$J54)&lt;&gt;0,INDEX('Invullen groen'!$J:$J,$J54),""),""),"")</f>
        <v/>
      </c>
      <c r="I54" s="261">
        <f>IFERROR(IF($J54&gt;0,IF(INDEX('Invullen groen'!$K:$K,$J54)&lt;&gt;0,INDEX('Invullen groen'!$K:$K,$J54),""),""),"")</f>
        <v/>
      </c>
      <c r="J54">
        <f>IFERROR(MATCH(ROW()-4,'Invullen groen'!$P$17:$P$272,0)+16,0)</f>
        <v/>
      </c>
    </row>
    <row r="55" hidden="1" ht="15" customHeight="1" s="418">
      <c r="A55" s="258">
        <f>IFERROR(IF($J55&gt;0,ROW()-4,""),"")</f>
        <v/>
      </c>
      <c r="B55" s="258">
        <f>IFERROR(IF($J55&gt;0,INDEX('Invullen groen'!$A:$A,$J55),""),"")</f>
        <v/>
      </c>
      <c r="C55" s="258">
        <f>IFERROR(IF($J55&gt;0,INDEX('Invullen groen'!$C:$C,$J55),""),"")</f>
        <v/>
      </c>
      <c r="D55" s="258">
        <f>IFERROR(IF($J55&gt;0,INDEX('Invullen groen'!$D:$D,$J55),""),"")</f>
        <v/>
      </c>
      <c r="E55" s="258">
        <f>IFERROR(IF($J55&gt;0,INDEX('Invullen groen'!$G:$G,$J55),""),"")</f>
        <v/>
      </c>
      <c r="F55" s="259">
        <f>IFERROR(IF($J55&gt;0,IF(INDEX('Invullen groen'!$H:$H,$J55)&lt;&gt;0,INDEX('Invullen groen'!$H:$H,$J55),""),""),"")</f>
        <v/>
      </c>
      <c r="G55" s="259">
        <f>IFERROR(IF($J55&gt;0,IF(INDEX('Invullen groen'!$I:$I,$J55)&lt;&gt;0,INDEX('Invullen groen'!$I:$I,$J55),""),""),"")</f>
        <v/>
      </c>
      <c r="H55" s="259">
        <f>IFERROR(IF($J55&gt;0,IF(INDEX('Invullen groen'!$J:$J,$J55)&lt;&gt;0,INDEX('Invullen groen'!$J:$J,$J55),""),""),"")</f>
        <v/>
      </c>
      <c r="I55" s="259">
        <f>IFERROR(IF($J55&gt;0,IF(INDEX('Invullen groen'!$K:$K,$J55)&lt;&gt;0,INDEX('Invullen groen'!$K:$K,$J55),""),""),"")</f>
        <v/>
      </c>
      <c r="J55">
        <f>IFERROR(MATCH(ROW()-4,'Invullen groen'!$P$17:$P$272,0)+16,0)</f>
        <v/>
      </c>
    </row>
    <row r="56" hidden="1" ht="15" customHeight="1" s="418">
      <c r="A56" s="260">
        <f>IFERROR(IF($J56&gt;0,ROW()-4,""),"")</f>
        <v/>
      </c>
      <c r="B56" s="260">
        <f>IFERROR(IF($J56&gt;0,INDEX('Invullen groen'!$A:$A,$J56),""),"")</f>
        <v/>
      </c>
      <c r="C56" s="260">
        <f>IFERROR(IF($J56&gt;0,INDEX('Invullen groen'!$C:$C,$J56),""),"")</f>
        <v/>
      </c>
      <c r="D56" s="260">
        <f>IFERROR(IF($J56&gt;0,INDEX('Invullen groen'!$D:$D,$J56),""),"")</f>
        <v/>
      </c>
      <c r="E56" s="260">
        <f>IFERROR(IF($J56&gt;0,INDEX('Invullen groen'!$G:$G,$J56),""),"")</f>
        <v/>
      </c>
      <c r="F56" s="261">
        <f>IFERROR(IF($J56&gt;0,IF(INDEX('Invullen groen'!$H:$H,$J56)&lt;&gt;0,INDEX('Invullen groen'!$H:$H,$J56),""),""),"")</f>
        <v/>
      </c>
      <c r="G56" s="261">
        <f>IFERROR(IF($J56&gt;0,IF(INDEX('Invullen groen'!$I:$I,$J56)&lt;&gt;0,INDEX('Invullen groen'!$I:$I,$J56),""),""),"")</f>
        <v/>
      </c>
      <c r="H56" s="261">
        <f>IFERROR(IF($J56&gt;0,IF(INDEX('Invullen groen'!$J:$J,$J56)&lt;&gt;0,INDEX('Invullen groen'!$J:$J,$J56),""),""),"")</f>
        <v/>
      </c>
      <c r="I56" s="261">
        <f>IFERROR(IF($J56&gt;0,IF(INDEX('Invullen groen'!$K:$K,$J56)&lt;&gt;0,INDEX('Invullen groen'!$K:$K,$J56),""),""),"")</f>
        <v/>
      </c>
      <c r="J56">
        <f>IFERROR(MATCH(ROW()-4,'Invullen groen'!$P$17:$P$272,0)+16,0)</f>
        <v/>
      </c>
    </row>
    <row r="57" hidden="1" ht="15" customHeight="1" s="418">
      <c r="A57" s="258">
        <f>IFERROR(IF($J57&gt;0,ROW()-4,""),"")</f>
        <v/>
      </c>
      <c r="B57" s="258">
        <f>IFERROR(IF($J57&gt;0,INDEX('Invullen groen'!$A:$A,$J57),""),"")</f>
        <v/>
      </c>
      <c r="C57" s="258">
        <f>IFERROR(IF($J57&gt;0,INDEX('Invullen groen'!$C:$C,$J57),""),"")</f>
        <v/>
      </c>
      <c r="D57" s="258">
        <f>IFERROR(IF($J57&gt;0,INDEX('Invullen groen'!$D:$D,$J57),""),"")</f>
        <v/>
      </c>
      <c r="E57" s="258">
        <f>IFERROR(IF($J57&gt;0,INDEX('Invullen groen'!$G:$G,$J57),""),"")</f>
        <v/>
      </c>
      <c r="F57" s="259">
        <f>IFERROR(IF($J57&gt;0,IF(INDEX('Invullen groen'!$H:$H,$J57)&lt;&gt;0,INDEX('Invullen groen'!$H:$H,$J57),""),""),"")</f>
        <v/>
      </c>
      <c r="G57" s="259">
        <f>IFERROR(IF($J57&gt;0,IF(INDEX('Invullen groen'!$I:$I,$J57)&lt;&gt;0,INDEX('Invullen groen'!$I:$I,$J57),""),""),"")</f>
        <v/>
      </c>
      <c r="H57" s="259">
        <f>IFERROR(IF($J57&gt;0,IF(INDEX('Invullen groen'!$J:$J,$J57)&lt;&gt;0,INDEX('Invullen groen'!$J:$J,$J57),""),""),"")</f>
        <v/>
      </c>
      <c r="I57" s="259">
        <f>IFERROR(IF($J57&gt;0,IF(INDEX('Invullen groen'!$K:$K,$J57)&lt;&gt;0,INDEX('Invullen groen'!$K:$K,$J57),""),""),"")</f>
        <v/>
      </c>
      <c r="J57">
        <f>IFERROR(MATCH(ROW()-4,'Invullen groen'!$P$17:$P$272,0)+16,0)</f>
        <v/>
      </c>
    </row>
    <row r="58" hidden="1" ht="15" customHeight="1" s="418">
      <c r="A58" s="260">
        <f>IFERROR(IF($J58&gt;0,ROW()-4,""),"")</f>
        <v/>
      </c>
      <c r="B58" s="260">
        <f>IFERROR(IF($J58&gt;0,INDEX('Invullen groen'!$A:$A,$J58),""),"")</f>
        <v/>
      </c>
      <c r="C58" s="260">
        <f>IFERROR(IF($J58&gt;0,INDEX('Invullen groen'!$C:$C,$J58),""),"")</f>
        <v/>
      </c>
      <c r="D58" s="260">
        <f>IFERROR(IF($J58&gt;0,INDEX('Invullen groen'!$D:$D,$J58),""),"")</f>
        <v/>
      </c>
      <c r="E58" s="260">
        <f>IFERROR(IF($J58&gt;0,INDEX('Invullen groen'!$G:$G,$J58),""),"")</f>
        <v/>
      </c>
      <c r="F58" s="261">
        <f>IFERROR(IF($J58&gt;0,IF(INDEX('Invullen groen'!$H:$H,$J58)&lt;&gt;0,INDEX('Invullen groen'!$H:$H,$J58),""),""),"")</f>
        <v/>
      </c>
      <c r="G58" s="261">
        <f>IFERROR(IF($J58&gt;0,IF(INDEX('Invullen groen'!$I:$I,$J58)&lt;&gt;0,INDEX('Invullen groen'!$I:$I,$J58),""),""),"")</f>
        <v/>
      </c>
      <c r="H58" s="261">
        <f>IFERROR(IF($J58&gt;0,IF(INDEX('Invullen groen'!$J:$J,$J58)&lt;&gt;0,INDEX('Invullen groen'!$J:$J,$J58),""),""),"")</f>
        <v/>
      </c>
      <c r="I58" s="261">
        <f>IFERROR(IF($J58&gt;0,IF(INDEX('Invullen groen'!$K:$K,$J58)&lt;&gt;0,INDEX('Invullen groen'!$K:$K,$J58),""),""),"")</f>
        <v/>
      </c>
      <c r="J58">
        <f>IFERROR(MATCH(ROW()-4,'Invullen groen'!$P$17:$P$272,0)+16,0)</f>
        <v/>
      </c>
    </row>
    <row r="59" hidden="1" ht="15" customHeight="1" s="418">
      <c r="A59" s="258">
        <f>IFERROR(IF($J59&gt;0,ROW()-4,""),"")</f>
        <v/>
      </c>
      <c r="B59" s="258">
        <f>IFERROR(IF($J59&gt;0,INDEX('Invullen groen'!$A:$A,$J59),""),"")</f>
        <v/>
      </c>
      <c r="C59" s="258">
        <f>IFERROR(IF($J59&gt;0,INDEX('Invullen groen'!$C:$C,$J59),""),"")</f>
        <v/>
      </c>
      <c r="D59" s="258">
        <f>IFERROR(IF($J59&gt;0,INDEX('Invullen groen'!$D:$D,$J59),""),"")</f>
        <v/>
      </c>
      <c r="E59" s="258">
        <f>IFERROR(IF($J59&gt;0,INDEX('Invullen groen'!$G:$G,$J59),""),"")</f>
        <v/>
      </c>
      <c r="F59" s="259">
        <f>IFERROR(IF($J59&gt;0,IF(INDEX('Invullen groen'!$H:$H,$J59)&lt;&gt;0,INDEX('Invullen groen'!$H:$H,$J59),""),""),"")</f>
        <v/>
      </c>
      <c r="G59" s="259">
        <f>IFERROR(IF($J59&gt;0,IF(INDEX('Invullen groen'!$I:$I,$J59)&lt;&gt;0,INDEX('Invullen groen'!$I:$I,$J59),""),""),"")</f>
        <v/>
      </c>
      <c r="H59" s="259">
        <f>IFERROR(IF($J59&gt;0,IF(INDEX('Invullen groen'!$J:$J,$J59)&lt;&gt;0,INDEX('Invullen groen'!$J:$J,$J59),""),""),"")</f>
        <v/>
      </c>
      <c r="I59" s="259">
        <f>IFERROR(IF($J59&gt;0,IF(INDEX('Invullen groen'!$K:$K,$J59)&lt;&gt;0,INDEX('Invullen groen'!$K:$K,$J59),""),""),"")</f>
        <v/>
      </c>
      <c r="J59">
        <f>IFERROR(MATCH(ROW()-4,'Invullen groen'!$P$17:$P$272,0)+16,0)</f>
        <v/>
      </c>
    </row>
    <row r="60" hidden="1" ht="15" customHeight="1" s="418">
      <c r="A60" s="260">
        <f>IFERROR(IF($J60&gt;0,ROW()-4,""),"")</f>
        <v/>
      </c>
      <c r="B60" s="260">
        <f>IFERROR(IF($J60&gt;0,INDEX('Invullen groen'!$A:$A,$J60),""),"")</f>
        <v/>
      </c>
      <c r="C60" s="260">
        <f>IFERROR(IF($J60&gt;0,INDEX('Invullen groen'!$C:$C,$J60),""),"")</f>
        <v/>
      </c>
      <c r="D60" s="260">
        <f>IFERROR(IF($J60&gt;0,INDEX('Invullen groen'!$D:$D,$J60),""),"")</f>
        <v/>
      </c>
      <c r="E60" s="260">
        <f>IFERROR(IF($J60&gt;0,INDEX('Invullen groen'!$G:$G,$J60),""),"")</f>
        <v/>
      </c>
      <c r="F60" s="261">
        <f>IFERROR(IF($J60&gt;0,IF(INDEX('Invullen groen'!$H:$H,$J60)&lt;&gt;0,INDEX('Invullen groen'!$H:$H,$J60),""),""),"")</f>
        <v/>
      </c>
      <c r="G60" s="261">
        <f>IFERROR(IF($J60&gt;0,IF(INDEX('Invullen groen'!$I:$I,$J60)&lt;&gt;0,INDEX('Invullen groen'!$I:$I,$J60),""),""),"")</f>
        <v/>
      </c>
      <c r="H60" s="261">
        <f>IFERROR(IF($J60&gt;0,IF(INDEX('Invullen groen'!$J:$J,$J60)&lt;&gt;0,INDEX('Invullen groen'!$J:$J,$J60),""),""),"")</f>
        <v/>
      </c>
      <c r="I60" s="261">
        <f>IFERROR(IF($J60&gt;0,IF(INDEX('Invullen groen'!$K:$K,$J60)&lt;&gt;0,INDEX('Invullen groen'!$K:$K,$J60),""),""),"")</f>
        <v/>
      </c>
      <c r="J60">
        <f>IFERROR(MATCH(ROW()-4,'Invullen groen'!$P$17:$P$272,0)+16,0)</f>
        <v/>
      </c>
    </row>
    <row r="61" hidden="1" ht="15" customHeight="1" s="418">
      <c r="A61" s="258">
        <f>IFERROR(IF($J61&gt;0,ROW()-4,""),"")</f>
        <v/>
      </c>
      <c r="B61" s="258">
        <f>IFERROR(IF($J61&gt;0,INDEX('Invullen groen'!$A:$A,$J61),""),"")</f>
        <v/>
      </c>
      <c r="C61" s="258">
        <f>IFERROR(IF($J61&gt;0,INDEX('Invullen groen'!$C:$C,$J61),""),"")</f>
        <v/>
      </c>
      <c r="D61" s="258">
        <f>IFERROR(IF($J61&gt;0,INDEX('Invullen groen'!$D:$D,$J61),""),"")</f>
        <v/>
      </c>
      <c r="E61" s="258">
        <f>IFERROR(IF($J61&gt;0,INDEX('Invullen groen'!$G:$G,$J61),""),"")</f>
        <v/>
      </c>
      <c r="F61" s="259">
        <f>IFERROR(IF($J61&gt;0,IF(INDEX('Invullen groen'!$H:$H,$J61)&lt;&gt;0,INDEX('Invullen groen'!$H:$H,$J61),""),""),"")</f>
        <v/>
      </c>
      <c r="G61" s="259">
        <f>IFERROR(IF($J61&gt;0,IF(INDEX('Invullen groen'!$I:$I,$J61)&lt;&gt;0,INDEX('Invullen groen'!$I:$I,$J61),""),""),"")</f>
        <v/>
      </c>
      <c r="H61" s="259">
        <f>IFERROR(IF($J61&gt;0,IF(INDEX('Invullen groen'!$J:$J,$J61)&lt;&gt;0,INDEX('Invullen groen'!$J:$J,$J61),""),""),"")</f>
        <v/>
      </c>
      <c r="I61" s="259">
        <f>IFERROR(IF($J61&gt;0,IF(INDEX('Invullen groen'!$K:$K,$J61)&lt;&gt;0,INDEX('Invullen groen'!$K:$K,$J61),""),""),"")</f>
        <v/>
      </c>
      <c r="J61">
        <f>IFERROR(MATCH(ROW()-4,'Invullen groen'!$P$17:$P$272,0)+16,0)</f>
        <v/>
      </c>
    </row>
    <row r="62" hidden="1" ht="15" customHeight="1" s="418">
      <c r="A62" s="260">
        <f>IFERROR(IF($J62&gt;0,ROW()-4,""),"")</f>
        <v/>
      </c>
      <c r="B62" s="260">
        <f>IFERROR(IF($J62&gt;0,INDEX('Invullen groen'!$A:$A,$J62),""),"")</f>
        <v/>
      </c>
      <c r="C62" s="260">
        <f>IFERROR(IF($J62&gt;0,INDEX('Invullen groen'!$C:$C,$J62),""),"")</f>
        <v/>
      </c>
      <c r="D62" s="260">
        <f>IFERROR(IF($J62&gt;0,INDEX('Invullen groen'!$D:$D,$J62),""),"")</f>
        <v/>
      </c>
      <c r="E62" s="260">
        <f>IFERROR(IF($J62&gt;0,INDEX('Invullen groen'!$G:$G,$J62),""),"")</f>
        <v/>
      </c>
      <c r="F62" s="261">
        <f>IFERROR(IF($J62&gt;0,IF(INDEX('Invullen groen'!$H:$H,$J62)&lt;&gt;0,INDEX('Invullen groen'!$H:$H,$J62),""),""),"")</f>
        <v/>
      </c>
      <c r="G62" s="261">
        <f>IFERROR(IF($J62&gt;0,IF(INDEX('Invullen groen'!$I:$I,$J62)&lt;&gt;0,INDEX('Invullen groen'!$I:$I,$J62),""),""),"")</f>
        <v/>
      </c>
      <c r="H62" s="261">
        <f>IFERROR(IF($J62&gt;0,IF(INDEX('Invullen groen'!$J:$J,$J62)&lt;&gt;0,INDEX('Invullen groen'!$J:$J,$J62),""),""),"")</f>
        <v/>
      </c>
      <c r="I62" s="261">
        <f>IFERROR(IF($J62&gt;0,IF(INDEX('Invullen groen'!$K:$K,$J62)&lt;&gt;0,INDEX('Invullen groen'!$K:$K,$J62),""),""),"")</f>
        <v/>
      </c>
      <c r="J62">
        <f>IFERROR(MATCH(ROW()-4,'Invullen groen'!$P$17:$P$272,0)+16,0)</f>
        <v/>
      </c>
    </row>
    <row r="63" hidden="1" ht="15" customHeight="1" s="418">
      <c r="A63" s="258">
        <f>IFERROR(IF($J63&gt;0,ROW()-4,""),"")</f>
        <v/>
      </c>
      <c r="B63" s="258">
        <f>IFERROR(IF($J63&gt;0,INDEX('Invullen groen'!$A:$A,$J63),""),"")</f>
        <v/>
      </c>
      <c r="C63" s="258">
        <f>IFERROR(IF($J63&gt;0,INDEX('Invullen groen'!$C:$C,$J63),""),"")</f>
        <v/>
      </c>
      <c r="D63" s="258">
        <f>IFERROR(IF($J63&gt;0,INDEX('Invullen groen'!$D:$D,$J63),""),"")</f>
        <v/>
      </c>
      <c r="E63" s="258">
        <f>IFERROR(IF($J63&gt;0,INDEX('Invullen groen'!$G:$G,$J63),""),"")</f>
        <v/>
      </c>
      <c r="F63" s="259">
        <f>IFERROR(IF($J63&gt;0,IF(INDEX('Invullen groen'!$H:$H,$J63)&lt;&gt;0,INDEX('Invullen groen'!$H:$H,$J63),""),""),"")</f>
        <v/>
      </c>
      <c r="G63" s="259">
        <f>IFERROR(IF($J63&gt;0,IF(INDEX('Invullen groen'!$I:$I,$J63)&lt;&gt;0,INDEX('Invullen groen'!$I:$I,$J63),""),""),"")</f>
        <v/>
      </c>
      <c r="H63" s="259">
        <f>IFERROR(IF($J63&gt;0,IF(INDEX('Invullen groen'!$J:$J,$J63)&lt;&gt;0,INDEX('Invullen groen'!$J:$J,$J63),""),""),"")</f>
        <v/>
      </c>
      <c r="I63" s="259">
        <f>IFERROR(IF($J63&gt;0,IF(INDEX('Invullen groen'!$K:$K,$J63)&lt;&gt;0,INDEX('Invullen groen'!$K:$K,$J63),""),""),"")</f>
        <v/>
      </c>
      <c r="J63">
        <f>IFERROR(MATCH(ROW()-4,'Invullen groen'!$P$17:$P$272,0)+16,0)</f>
        <v/>
      </c>
    </row>
    <row r="64" hidden="1" ht="15" customHeight="1" s="418">
      <c r="A64" s="260">
        <f>IFERROR(IF($J64&gt;0,ROW()-4,""),"")</f>
        <v/>
      </c>
      <c r="B64" s="260">
        <f>IFERROR(IF($J64&gt;0,INDEX('Invullen groen'!$A:$A,$J64),""),"")</f>
        <v/>
      </c>
      <c r="C64" s="260">
        <f>IFERROR(IF($J64&gt;0,INDEX('Invullen groen'!$C:$C,$J64),""),"")</f>
        <v/>
      </c>
      <c r="D64" s="260">
        <f>IFERROR(IF($J64&gt;0,INDEX('Invullen groen'!$D:$D,$J64),""),"")</f>
        <v/>
      </c>
      <c r="E64" s="260">
        <f>IFERROR(IF($J64&gt;0,INDEX('Invullen groen'!$G:$G,$J64),""),"")</f>
        <v/>
      </c>
      <c r="F64" s="261">
        <f>IFERROR(IF($J64&gt;0,IF(INDEX('Invullen groen'!$H:$H,$J64)&lt;&gt;0,INDEX('Invullen groen'!$H:$H,$J64),""),""),"")</f>
        <v/>
      </c>
      <c r="G64" s="261">
        <f>IFERROR(IF($J64&gt;0,IF(INDEX('Invullen groen'!$I:$I,$J64)&lt;&gt;0,INDEX('Invullen groen'!$I:$I,$J64),""),""),"")</f>
        <v/>
      </c>
      <c r="H64" s="261">
        <f>IFERROR(IF($J64&gt;0,IF(INDEX('Invullen groen'!$J:$J,$J64)&lt;&gt;0,INDEX('Invullen groen'!$J:$J,$J64),""),""),"")</f>
        <v/>
      </c>
      <c r="I64" s="261">
        <f>IFERROR(IF($J64&gt;0,IF(INDEX('Invullen groen'!$K:$K,$J64)&lt;&gt;0,INDEX('Invullen groen'!$K:$K,$J64),""),""),"")</f>
        <v/>
      </c>
      <c r="J64">
        <f>IFERROR(MATCH(ROW()-4,'Invullen groen'!$P$17:$P$272,0)+16,0)</f>
        <v/>
      </c>
    </row>
    <row r="65" hidden="1" ht="15" customHeight="1" s="418">
      <c r="A65" s="258">
        <f>IFERROR(IF($J65&gt;0,ROW()-4,""),"")</f>
        <v/>
      </c>
      <c r="B65" s="258">
        <f>IFERROR(IF($J65&gt;0,INDEX('Invullen groen'!$A:$A,$J65),""),"")</f>
        <v/>
      </c>
      <c r="C65" s="258">
        <f>IFERROR(IF($J65&gt;0,INDEX('Invullen groen'!$C:$C,$J65),""),"")</f>
        <v/>
      </c>
      <c r="D65" s="258">
        <f>IFERROR(IF($J65&gt;0,INDEX('Invullen groen'!$D:$D,$J65),""),"")</f>
        <v/>
      </c>
      <c r="E65" s="258">
        <f>IFERROR(IF($J65&gt;0,INDEX('Invullen groen'!$G:$G,$J65),""),"")</f>
        <v/>
      </c>
      <c r="F65" s="259">
        <f>IFERROR(IF($J65&gt;0,IF(INDEX('Invullen groen'!$H:$H,$J65)&lt;&gt;0,INDEX('Invullen groen'!$H:$H,$J65),""),""),"")</f>
        <v/>
      </c>
      <c r="G65" s="259">
        <f>IFERROR(IF($J65&gt;0,IF(INDEX('Invullen groen'!$I:$I,$J65)&lt;&gt;0,INDEX('Invullen groen'!$I:$I,$J65),""),""),"")</f>
        <v/>
      </c>
      <c r="H65" s="259">
        <f>IFERROR(IF($J65&gt;0,IF(INDEX('Invullen groen'!$J:$J,$J65)&lt;&gt;0,INDEX('Invullen groen'!$J:$J,$J65),""),""),"")</f>
        <v/>
      </c>
      <c r="I65" s="259">
        <f>IFERROR(IF($J65&gt;0,IF(INDEX('Invullen groen'!$K:$K,$J65)&lt;&gt;0,INDEX('Invullen groen'!$K:$K,$J65),""),""),"")</f>
        <v/>
      </c>
      <c r="J65">
        <f>IFERROR(MATCH(ROW()-4,'Invullen groen'!$P$17:$P$272,0)+16,0)</f>
        <v/>
      </c>
    </row>
    <row r="66" hidden="1" ht="15" customHeight="1" s="418">
      <c r="A66" s="260">
        <f>IFERROR(IF($J66&gt;0,ROW()-4,""),"")</f>
        <v/>
      </c>
      <c r="B66" s="260">
        <f>IFERROR(IF($J66&gt;0,INDEX('Invullen groen'!$A:$A,$J66),""),"")</f>
        <v/>
      </c>
      <c r="C66" s="260">
        <f>IFERROR(IF($J66&gt;0,INDEX('Invullen groen'!$C:$C,$J66),""),"")</f>
        <v/>
      </c>
      <c r="D66" s="260">
        <f>IFERROR(IF($J66&gt;0,INDEX('Invullen groen'!$D:$D,$J66),""),"")</f>
        <v/>
      </c>
      <c r="E66" s="260">
        <f>IFERROR(IF($J66&gt;0,INDEX('Invullen groen'!$G:$G,$J66),""),"")</f>
        <v/>
      </c>
      <c r="F66" s="261">
        <f>IFERROR(IF($J66&gt;0,IF(INDEX('Invullen groen'!$H:$H,$J66)&lt;&gt;0,INDEX('Invullen groen'!$H:$H,$J66),""),""),"")</f>
        <v/>
      </c>
      <c r="G66" s="261">
        <f>IFERROR(IF($J66&gt;0,IF(INDEX('Invullen groen'!$I:$I,$J66)&lt;&gt;0,INDEX('Invullen groen'!$I:$I,$J66),""),""),"")</f>
        <v/>
      </c>
      <c r="H66" s="261">
        <f>IFERROR(IF($J66&gt;0,IF(INDEX('Invullen groen'!$J:$J,$J66)&lt;&gt;0,INDEX('Invullen groen'!$J:$J,$J66),""),""),"")</f>
        <v/>
      </c>
      <c r="I66" s="261">
        <f>IFERROR(IF($J66&gt;0,IF(INDEX('Invullen groen'!$K:$K,$J66)&lt;&gt;0,INDEX('Invullen groen'!$K:$K,$J66),""),""),"")</f>
        <v/>
      </c>
      <c r="J66">
        <f>IFERROR(MATCH(ROW()-4,'Invullen groen'!$P$17:$P$272,0)+16,0)</f>
        <v/>
      </c>
    </row>
    <row r="67" hidden="1" ht="15" customHeight="1" s="418">
      <c r="A67" s="258">
        <f>IFERROR(IF($J67&gt;0,ROW()-4,""),"")</f>
        <v/>
      </c>
      <c r="B67" s="258">
        <f>IFERROR(IF($J67&gt;0,INDEX('Invullen groen'!$A:$A,$J67),""),"")</f>
        <v/>
      </c>
      <c r="C67" s="258">
        <f>IFERROR(IF($J67&gt;0,INDEX('Invullen groen'!$C:$C,$J67),""),"")</f>
        <v/>
      </c>
      <c r="D67" s="258">
        <f>IFERROR(IF($J67&gt;0,INDEX('Invullen groen'!$D:$D,$J67),""),"")</f>
        <v/>
      </c>
      <c r="E67" s="258">
        <f>IFERROR(IF($J67&gt;0,INDEX('Invullen groen'!$G:$G,$J67),""),"")</f>
        <v/>
      </c>
      <c r="F67" s="259">
        <f>IFERROR(IF($J67&gt;0,IF(INDEX('Invullen groen'!$H:$H,$J67)&lt;&gt;0,INDEX('Invullen groen'!$H:$H,$J67),""),""),"")</f>
        <v/>
      </c>
      <c r="G67" s="259">
        <f>IFERROR(IF($J67&gt;0,IF(INDEX('Invullen groen'!$I:$I,$J67)&lt;&gt;0,INDEX('Invullen groen'!$I:$I,$J67),""),""),"")</f>
        <v/>
      </c>
      <c r="H67" s="259">
        <f>IFERROR(IF($J67&gt;0,IF(INDEX('Invullen groen'!$J:$J,$J67)&lt;&gt;0,INDEX('Invullen groen'!$J:$J,$J67),""),""),"")</f>
        <v/>
      </c>
      <c r="I67" s="259">
        <f>IFERROR(IF($J67&gt;0,IF(INDEX('Invullen groen'!$K:$K,$J67)&lt;&gt;0,INDEX('Invullen groen'!$K:$K,$J67),""),""),"")</f>
        <v/>
      </c>
      <c r="J67">
        <f>IFERROR(MATCH(ROW()-4,'Invullen groen'!$P$17:$P$272,0)+16,0)</f>
        <v/>
      </c>
    </row>
    <row r="68" hidden="1" ht="15" customHeight="1" s="418">
      <c r="A68" s="260">
        <f>IFERROR(IF($J68&gt;0,ROW()-4,""),"")</f>
        <v/>
      </c>
      <c r="B68" s="260">
        <f>IFERROR(IF($J68&gt;0,INDEX('Invullen groen'!$A:$A,$J68),""),"")</f>
        <v/>
      </c>
      <c r="C68" s="260">
        <f>IFERROR(IF($J68&gt;0,INDEX('Invullen groen'!$C:$C,$J68),""),"")</f>
        <v/>
      </c>
      <c r="D68" s="260">
        <f>IFERROR(IF($J68&gt;0,INDEX('Invullen groen'!$D:$D,$J68),""),"")</f>
        <v/>
      </c>
      <c r="E68" s="260">
        <f>IFERROR(IF($J68&gt;0,INDEX('Invullen groen'!$G:$G,$J68),""),"")</f>
        <v/>
      </c>
      <c r="F68" s="261">
        <f>IFERROR(IF($J68&gt;0,IF(INDEX('Invullen groen'!$H:$H,$J68)&lt;&gt;0,INDEX('Invullen groen'!$H:$H,$J68),""),""),"")</f>
        <v/>
      </c>
      <c r="G68" s="261">
        <f>IFERROR(IF($J68&gt;0,IF(INDEX('Invullen groen'!$I:$I,$J68)&lt;&gt;0,INDEX('Invullen groen'!$I:$I,$J68),""),""),"")</f>
        <v/>
      </c>
      <c r="H68" s="261">
        <f>IFERROR(IF($J68&gt;0,IF(INDEX('Invullen groen'!$J:$J,$J68)&lt;&gt;0,INDEX('Invullen groen'!$J:$J,$J68),""),""),"")</f>
        <v/>
      </c>
      <c r="I68" s="261">
        <f>IFERROR(IF($J68&gt;0,IF(INDEX('Invullen groen'!$K:$K,$J68)&lt;&gt;0,INDEX('Invullen groen'!$K:$K,$J68),""),""),"")</f>
        <v/>
      </c>
      <c r="J68">
        <f>IFERROR(MATCH(ROW()-4,'Invullen groen'!$P$17:$P$272,0)+16,0)</f>
        <v/>
      </c>
    </row>
    <row r="69" hidden="1" ht="15" customHeight="1" s="418">
      <c r="A69" s="258">
        <f>IFERROR(IF($J69&gt;0,ROW()-4,""),"")</f>
        <v/>
      </c>
      <c r="B69" s="258">
        <f>IFERROR(IF($J69&gt;0,INDEX('Invullen groen'!$A:$A,$J69),""),"")</f>
        <v/>
      </c>
      <c r="C69" s="258">
        <f>IFERROR(IF($J69&gt;0,INDEX('Invullen groen'!$C:$C,$J69),""),"")</f>
        <v/>
      </c>
      <c r="D69" s="258">
        <f>IFERROR(IF($J69&gt;0,INDEX('Invullen groen'!$D:$D,$J69),""),"")</f>
        <v/>
      </c>
      <c r="E69" s="258">
        <f>IFERROR(IF($J69&gt;0,INDEX('Invullen groen'!$G:$G,$J69),""),"")</f>
        <v/>
      </c>
      <c r="F69" s="259">
        <f>IFERROR(IF($J69&gt;0,IF(INDEX('Invullen groen'!$H:$H,$J69)&lt;&gt;0,INDEX('Invullen groen'!$H:$H,$J69),""),""),"")</f>
        <v/>
      </c>
      <c r="G69" s="259">
        <f>IFERROR(IF($J69&gt;0,IF(INDEX('Invullen groen'!$I:$I,$J69)&lt;&gt;0,INDEX('Invullen groen'!$I:$I,$J69),""),""),"")</f>
        <v/>
      </c>
      <c r="H69" s="259">
        <f>IFERROR(IF($J69&gt;0,IF(INDEX('Invullen groen'!$J:$J,$J69)&lt;&gt;0,INDEX('Invullen groen'!$J:$J,$J69),""),""),"")</f>
        <v/>
      </c>
      <c r="I69" s="259">
        <f>IFERROR(IF($J69&gt;0,IF(INDEX('Invullen groen'!$K:$K,$J69)&lt;&gt;0,INDEX('Invullen groen'!$K:$K,$J69),""),""),"")</f>
        <v/>
      </c>
      <c r="J69">
        <f>IFERROR(MATCH(ROW()-4,'Invullen groen'!$P$17:$P$272,0)+16,0)</f>
        <v/>
      </c>
    </row>
    <row r="70" hidden="1" ht="15" customHeight="1" s="418">
      <c r="A70" s="260">
        <f>IFERROR(IF($J70&gt;0,ROW()-4,""),"")</f>
        <v/>
      </c>
      <c r="B70" s="260">
        <f>IFERROR(IF($J70&gt;0,INDEX('Invullen groen'!$A:$A,$J70),""),"")</f>
        <v/>
      </c>
      <c r="C70" s="260">
        <f>IFERROR(IF($J70&gt;0,INDEX('Invullen groen'!$C:$C,$J70),""),"")</f>
        <v/>
      </c>
      <c r="D70" s="260">
        <f>IFERROR(IF($J70&gt;0,INDEX('Invullen groen'!$D:$D,$J70),""),"")</f>
        <v/>
      </c>
      <c r="E70" s="260">
        <f>IFERROR(IF($J70&gt;0,INDEX('Invullen groen'!$G:$G,$J70),""),"")</f>
        <v/>
      </c>
      <c r="F70" s="261">
        <f>IFERROR(IF($J70&gt;0,IF(INDEX('Invullen groen'!$H:$H,$J70)&lt;&gt;0,INDEX('Invullen groen'!$H:$H,$J70),""),""),"")</f>
        <v/>
      </c>
      <c r="G70" s="261">
        <f>IFERROR(IF($J70&gt;0,IF(INDEX('Invullen groen'!$I:$I,$J70)&lt;&gt;0,INDEX('Invullen groen'!$I:$I,$J70),""),""),"")</f>
        <v/>
      </c>
      <c r="H70" s="261">
        <f>IFERROR(IF($J70&gt;0,IF(INDEX('Invullen groen'!$J:$J,$J70)&lt;&gt;0,INDEX('Invullen groen'!$J:$J,$J70),""),""),"")</f>
        <v/>
      </c>
      <c r="I70" s="261">
        <f>IFERROR(IF($J70&gt;0,IF(INDEX('Invullen groen'!$K:$K,$J70)&lt;&gt;0,INDEX('Invullen groen'!$K:$K,$J70),""),""),"")</f>
        <v/>
      </c>
      <c r="J70">
        <f>IFERROR(MATCH(ROW()-4,'Invullen groen'!$P$17:$P$272,0)+16,0)</f>
        <v/>
      </c>
    </row>
    <row r="71" hidden="1" ht="15" customHeight="1" s="418">
      <c r="A71" s="258">
        <f>IFERROR(IF($J71&gt;0,ROW()-4,""),"")</f>
        <v/>
      </c>
      <c r="B71" s="258">
        <f>IFERROR(IF($J71&gt;0,INDEX('Invullen groen'!$A:$A,$J71),""),"")</f>
        <v/>
      </c>
      <c r="C71" s="258">
        <f>IFERROR(IF($J71&gt;0,INDEX('Invullen groen'!$C:$C,$J71),""),"")</f>
        <v/>
      </c>
      <c r="D71" s="258">
        <f>IFERROR(IF($J71&gt;0,INDEX('Invullen groen'!$D:$D,$J71),""),"")</f>
        <v/>
      </c>
      <c r="E71" s="258">
        <f>IFERROR(IF($J71&gt;0,INDEX('Invullen groen'!$G:$G,$J71),""),"")</f>
        <v/>
      </c>
      <c r="F71" s="259">
        <f>IFERROR(IF($J71&gt;0,IF(INDEX('Invullen groen'!$H:$H,$J71)&lt;&gt;0,INDEX('Invullen groen'!$H:$H,$J71),""),""),"")</f>
        <v/>
      </c>
      <c r="G71" s="259">
        <f>IFERROR(IF($J71&gt;0,IF(INDEX('Invullen groen'!$I:$I,$J71)&lt;&gt;0,INDEX('Invullen groen'!$I:$I,$J71),""),""),"")</f>
        <v/>
      </c>
      <c r="H71" s="259">
        <f>IFERROR(IF($J71&gt;0,IF(INDEX('Invullen groen'!$J:$J,$J71)&lt;&gt;0,INDEX('Invullen groen'!$J:$J,$J71),""),""),"")</f>
        <v/>
      </c>
      <c r="I71" s="259">
        <f>IFERROR(IF($J71&gt;0,IF(INDEX('Invullen groen'!$K:$K,$J71)&lt;&gt;0,INDEX('Invullen groen'!$K:$K,$J71),""),""),"")</f>
        <v/>
      </c>
      <c r="J71">
        <f>IFERROR(MATCH(ROW()-4,'Invullen groen'!$P$17:$P$272,0)+16,0)</f>
        <v/>
      </c>
    </row>
    <row r="72" hidden="1" ht="15" customHeight="1" s="418">
      <c r="A72" s="260">
        <f>IFERROR(IF($J72&gt;0,ROW()-4,""),"")</f>
        <v/>
      </c>
      <c r="B72" s="260">
        <f>IFERROR(IF($J72&gt;0,INDEX('Invullen groen'!$A:$A,$J72),""),"")</f>
        <v/>
      </c>
      <c r="C72" s="260">
        <f>IFERROR(IF($J72&gt;0,INDEX('Invullen groen'!$C:$C,$J72),""),"")</f>
        <v/>
      </c>
      <c r="D72" s="260">
        <f>IFERROR(IF($J72&gt;0,INDEX('Invullen groen'!$D:$D,$J72),""),"")</f>
        <v/>
      </c>
      <c r="E72" s="260">
        <f>IFERROR(IF($J72&gt;0,INDEX('Invullen groen'!$G:$G,$J72),""),"")</f>
        <v/>
      </c>
      <c r="F72" s="261">
        <f>IFERROR(IF($J72&gt;0,IF(INDEX('Invullen groen'!$H:$H,$J72)&lt;&gt;0,INDEX('Invullen groen'!$H:$H,$J72),""),""),"")</f>
        <v/>
      </c>
      <c r="G72" s="261">
        <f>IFERROR(IF($J72&gt;0,IF(INDEX('Invullen groen'!$I:$I,$J72)&lt;&gt;0,INDEX('Invullen groen'!$I:$I,$J72),""),""),"")</f>
        <v/>
      </c>
      <c r="H72" s="261">
        <f>IFERROR(IF($J72&gt;0,IF(INDEX('Invullen groen'!$J:$J,$J72)&lt;&gt;0,INDEX('Invullen groen'!$J:$J,$J72),""),""),"")</f>
        <v/>
      </c>
      <c r="I72" s="261">
        <f>IFERROR(IF($J72&gt;0,IF(INDEX('Invullen groen'!$K:$K,$J72)&lt;&gt;0,INDEX('Invullen groen'!$K:$K,$J72),""),""),"")</f>
        <v/>
      </c>
      <c r="J72">
        <f>IFERROR(MATCH(ROW()-4,'Invullen groen'!$P$17:$P$272,0)+16,0)</f>
        <v/>
      </c>
    </row>
    <row r="73" hidden="1" ht="15" customHeight="1" s="418">
      <c r="A73" s="258">
        <f>IFERROR(IF($J73&gt;0,ROW()-4,""),"")</f>
        <v/>
      </c>
      <c r="B73" s="258">
        <f>IFERROR(IF($J73&gt;0,INDEX('Invullen groen'!$A:$A,$J73),""),"")</f>
        <v/>
      </c>
      <c r="C73" s="258">
        <f>IFERROR(IF($J73&gt;0,INDEX('Invullen groen'!$C:$C,$J73),""),"")</f>
        <v/>
      </c>
      <c r="D73" s="258">
        <f>IFERROR(IF($J73&gt;0,INDEX('Invullen groen'!$D:$D,$J73),""),"")</f>
        <v/>
      </c>
      <c r="E73" s="258">
        <f>IFERROR(IF($J73&gt;0,INDEX('Invullen groen'!$G:$G,$J73),""),"")</f>
        <v/>
      </c>
      <c r="F73" s="259">
        <f>IFERROR(IF($J73&gt;0,IF(INDEX('Invullen groen'!$H:$H,$J73)&lt;&gt;0,INDEX('Invullen groen'!$H:$H,$J73),""),""),"")</f>
        <v/>
      </c>
      <c r="G73" s="259">
        <f>IFERROR(IF($J73&gt;0,IF(INDEX('Invullen groen'!$I:$I,$J73)&lt;&gt;0,INDEX('Invullen groen'!$I:$I,$J73),""),""),"")</f>
        <v/>
      </c>
      <c r="H73" s="259">
        <f>IFERROR(IF($J73&gt;0,IF(INDEX('Invullen groen'!$J:$J,$J73)&lt;&gt;0,INDEX('Invullen groen'!$J:$J,$J73),""),""),"")</f>
        <v/>
      </c>
      <c r="I73" s="259">
        <f>IFERROR(IF($J73&gt;0,IF(INDEX('Invullen groen'!$K:$K,$J73)&lt;&gt;0,INDEX('Invullen groen'!$K:$K,$J73),""),""),"")</f>
        <v/>
      </c>
      <c r="J73">
        <f>IFERROR(MATCH(ROW()-4,'Invullen groen'!$P$17:$P$272,0)+16,0)</f>
        <v/>
      </c>
    </row>
    <row r="74" hidden="1" ht="15" customHeight="1" s="418">
      <c r="A74" s="260">
        <f>IFERROR(IF($J74&gt;0,ROW()-4,""),"")</f>
        <v/>
      </c>
      <c r="B74" s="260">
        <f>IFERROR(IF($J74&gt;0,INDEX('Invullen groen'!$A:$A,$J74),""),"")</f>
        <v/>
      </c>
      <c r="C74" s="260">
        <f>IFERROR(IF($J74&gt;0,INDEX('Invullen groen'!$C:$C,$J74),""),"")</f>
        <v/>
      </c>
      <c r="D74" s="260">
        <f>IFERROR(IF($J74&gt;0,INDEX('Invullen groen'!$D:$D,$J74),""),"")</f>
        <v/>
      </c>
      <c r="E74" s="260">
        <f>IFERROR(IF($J74&gt;0,INDEX('Invullen groen'!$G:$G,$J74),""),"")</f>
        <v/>
      </c>
      <c r="F74" s="261">
        <f>IFERROR(IF($J74&gt;0,IF(INDEX('Invullen groen'!$H:$H,$J74)&lt;&gt;0,INDEX('Invullen groen'!$H:$H,$J74),""),""),"")</f>
        <v/>
      </c>
      <c r="G74" s="261">
        <f>IFERROR(IF($J74&gt;0,IF(INDEX('Invullen groen'!$I:$I,$J74)&lt;&gt;0,INDEX('Invullen groen'!$I:$I,$J74),""),""),"")</f>
        <v/>
      </c>
      <c r="H74" s="261">
        <f>IFERROR(IF($J74&gt;0,IF(INDEX('Invullen groen'!$J:$J,$J74)&lt;&gt;0,INDEX('Invullen groen'!$J:$J,$J74),""),""),"")</f>
        <v/>
      </c>
      <c r="I74" s="261">
        <f>IFERROR(IF($J74&gt;0,IF(INDEX('Invullen groen'!$K:$K,$J74)&lt;&gt;0,INDEX('Invullen groen'!$K:$K,$J74),""),""),"")</f>
        <v/>
      </c>
      <c r="J74">
        <f>IFERROR(MATCH(ROW()-4,'Invullen groen'!$P$17:$P$272,0)+16,0)</f>
        <v/>
      </c>
    </row>
    <row r="75" hidden="1" ht="15" customHeight="1" s="418">
      <c r="A75" s="258">
        <f>IFERROR(IF($J75&gt;0,ROW()-4,""),"")</f>
        <v/>
      </c>
      <c r="B75" s="258">
        <f>IFERROR(IF($J75&gt;0,INDEX('Invullen groen'!$A:$A,$J75),""),"")</f>
        <v/>
      </c>
      <c r="C75" s="258">
        <f>IFERROR(IF($J75&gt;0,INDEX('Invullen groen'!$C:$C,$J75),""),"")</f>
        <v/>
      </c>
      <c r="D75" s="258">
        <f>IFERROR(IF($J75&gt;0,INDEX('Invullen groen'!$D:$D,$J75),""),"")</f>
        <v/>
      </c>
      <c r="E75" s="258">
        <f>IFERROR(IF($J75&gt;0,INDEX('Invullen groen'!$G:$G,$J75),""),"")</f>
        <v/>
      </c>
      <c r="F75" s="259">
        <f>IFERROR(IF($J75&gt;0,IF(INDEX('Invullen groen'!$H:$H,$J75)&lt;&gt;0,INDEX('Invullen groen'!$H:$H,$J75),""),""),"")</f>
        <v/>
      </c>
      <c r="G75" s="259">
        <f>IFERROR(IF($J75&gt;0,IF(INDEX('Invullen groen'!$I:$I,$J75)&lt;&gt;0,INDEX('Invullen groen'!$I:$I,$J75),""),""),"")</f>
        <v/>
      </c>
      <c r="H75" s="259">
        <f>IFERROR(IF($J75&gt;0,IF(INDEX('Invullen groen'!$J:$J,$J75)&lt;&gt;0,INDEX('Invullen groen'!$J:$J,$J75),""),""),"")</f>
        <v/>
      </c>
      <c r="I75" s="259">
        <f>IFERROR(IF($J75&gt;0,IF(INDEX('Invullen groen'!$K:$K,$J75)&lt;&gt;0,INDEX('Invullen groen'!$K:$K,$J75),""),""),"")</f>
        <v/>
      </c>
      <c r="J75">
        <f>IFERROR(MATCH(ROW()-4,'Invullen groen'!$P$17:$P$272,0)+16,0)</f>
        <v/>
      </c>
    </row>
    <row r="76" hidden="1" ht="15" customHeight="1" s="418">
      <c r="A76" s="260">
        <f>IFERROR(IF($J76&gt;0,ROW()-4,""),"")</f>
        <v/>
      </c>
      <c r="B76" s="260">
        <f>IFERROR(IF($J76&gt;0,INDEX('Invullen groen'!$A:$A,$J76),""),"")</f>
        <v/>
      </c>
      <c r="C76" s="260">
        <f>IFERROR(IF($J76&gt;0,INDEX('Invullen groen'!$C:$C,$J76),""),"")</f>
        <v/>
      </c>
      <c r="D76" s="260">
        <f>IFERROR(IF($J76&gt;0,INDEX('Invullen groen'!$D:$D,$J76),""),"")</f>
        <v/>
      </c>
      <c r="E76" s="260">
        <f>IFERROR(IF($J76&gt;0,INDEX('Invullen groen'!$G:$G,$J76),""),"")</f>
        <v/>
      </c>
      <c r="F76" s="261">
        <f>IFERROR(IF($J76&gt;0,IF(INDEX('Invullen groen'!$H:$H,$J76)&lt;&gt;0,INDEX('Invullen groen'!$H:$H,$J76),""),""),"")</f>
        <v/>
      </c>
      <c r="G76" s="261">
        <f>IFERROR(IF($J76&gt;0,IF(INDEX('Invullen groen'!$I:$I,$J76)&lt;&gt;0,INDEX('Invullen groen'!$I:$I,$J76),""),""),"")</f>
        <v/>
      </c>
      <c r="H76" s="261">
        <f>IFERROR(IF($J76&gt;0,IF(INDEX('Invullen groen'!$J:$J,$J76)&lt;&gt;0,INDEX('Invullen groen'!$J:$J,$J76),""),""),"")</f>
        <v/>
      </c>
      <c r="I76" s="261">
        <f>IFERROR(IF($J76&gt;0,IF(INDEX('Invullen groen'!$K:$K,$J76)&lt;&gt;0,INDEX('Invullen groen'!$K:$K,$J76),""),""),"")</f>
        <v/>
      </c>
      <c r="J76">
        <f>IFERROR(MATCH(ROW()-4,'Invullen groen'!$P$17:$P$272,0)+16,0)</f>
        <v/>
      </c>
    </row>
    <row r="77" hidden="1" ht="15" customHeight="1" s="418">
      <c r="A77" s="258">
        <f>IFERROR(IF($J77&gt;0,ROW()-4,""),"")</f>
        <v/>
      </c>
      <c r="B77" s="258">
        <f>IFERROR(IF($J77&gt;0,INDEX('Invullen groen'!$A:$A,$J77),""),"")</f>
        <v/>
      </c>
      <c r="C77" s="258">
        <f>IFERROR(IF($J77&gt;0,INDEX('Invullen groen'!$C:$C,$J77),""),"")</f>
        <v/>
      </c>
      <c r="D77" s="258">
        <f>IFERROR(IF($J77&gt;0,INDEX('Invullen groen'!$D:$D,$J77),""),"")</f>
        <v/>
      </c>
      <c r="E77" s="258">
        <f>IFERROR(IF($J77&gt;0,INDEX('Invullen groen'!$G:$G,$J77),""),"")</f>
        <v/>
      </c>
      <c r="F77" s="259">
        <f>IFERROR(IF($J77&gt;0,IF(INDEX('Invullen groen'!$H:$H,$J77)&lt;&gt;0,INDEX('Invullen groen'!$H:$H,$J77),""),""),"")</f>
        <v/>
      </c>
      <c r="G77" s="259">
        <f>IFERROR(IF($J77&gt;0,IF(INDEX('Invullen groen'!$I:$I,$J77)&lt;&gt;0,INDEX('Invullen groen'!$I:$I,$J77),""),""),"")</f>
        <v/>
      </c>
      <c r="H77" s="259">
        <f>IFERROR(IF($J77&gt;0,IF(INDEX('Invullen groen'!$J:$J,$J77)&lt;&gt;0,INDEX('Invullen groen'!$J:$J,$J77),""),""),"")</f>
        <v/>
      </c>
      <c r="I77" s="259">
        <f>IFERROR(IF($J77&gt;0,IF(INDEX('Invullen groen'!$K:$K,$J77)&lt;&gt;0,INDEX('Invullen groen'!$K:$K,$J77),""),""),"")</f>
        <v/>
      </c>
      <c r="J77">
        <f>IFERROR(MATCH(ROW()-4,'Invullen groen'!$P$17:$P$272,0)+16,0)</f>
        <v/>
      </c>
    </row>
    <row r="78" hidden="1" ht="15" customHeight="1" s="418">
      <c r="A78" s="260">
        <f>IFERROR(IF($J78&gt;0,ROW()-4,""),"")</f>
        <v/>
      </c>
      <c r="B78" s="260">
        <f>IFERROR(IF($J78&gt;0,INDEX('Invullen groen'!$A:$A,$J78),""),"")</f>
        <v/>
      </c>
      <c r="C78" s="260">
        <f>IFERROR(IF($J78&gt;0,INDEX('Invullen groen'!$C:$C,$J78),""),"")</f>
        <v/>
      </c>
      <c r="D78" s="260">
        <f>IFERROR(IF($J78&gt;0,INDEX('Invullen groen'!$D:$D,$J78),""),"")</f>
        <v/>
      </c>
      <c r="E78" s="260">
        <f>IFERROR(IF($J78&gt;0,INDEX('Invullen groen'!$G:$G,$J78),""),"")</f>
        <v/>
      </c>
      <c r="F78" s="261">
        <f>IFERROR(IF($J78&gt;0,IF(INDEX('Invullen groen'!$H:$H,$J78)&lt;&gt;0,INDEX('Invullen groen'!$H:$H,$J78),""),""),"")</f>
        <v/>
      </c>
      <c r="G78" s="261">
        <f>IFERROR(IF($J78&gt;0,IF(INDEX('Invullen groen'!$I:$I,$J78)&lt;&gt;0,INDEX('Invullen groen'!$I:$I,$J78),""),""),"")</f>
        <v/>
      </c>
      <c r="H78" s="261">
        <f>IFERROR(IF($J78&gt;0,IF(INDEX('Invullen groen'!$J:$J,$J78)&lt;&gt;0,INDEX('Invullen groen'!$J:$J,$J78),""),""),"")</f>
        <v/>
      </c>
      <c r="I78" s="261">
        <f>IFERROR(IF($J78&gt;0,IF(INDEX('Invullen groen'!$K:$K,$J78)&lt;&gt;0,INDEX('Invullen groen'!$K:$K,$J78),""),""),"")</f>
        <v/>
      </c>
      <c r="J78">
        <f>IFERROR(MATCH(ROW()-4,'Invullen groen'!$P$17:$P$272,0)+16,0)</f>
        <v/>
      </c>
    </row>
    <row r="79" hidden="1" ht="15" customHeight="1" s="418">
      <c r="A79" s="258">
        <f>IFERROR(IF($J79&gt;0,ROW()-4,""),"")</f>
        <v/>
      </c>
      <c r="B79" s="258">
        <f>IFERROR(IF($J79&gt;0,INDEX('Invullen groen'!$A:$A,$J79),""),"")</f>
        <v/>
      </c>
      <c r="C79" s="258">
        <f>IFERROR(IF($J79&gt;0,INDEX('Invullen groen'!$C:$C,$J79),""),"")</f>
        <v/>
      </c>
      <c r="D79" s="258">
        <f>IFERROR(IF($J79&gt;0,INDEX('Invullen groen'!$D:$D,$J79),""),"")</f>
        <v/>
      </c>
      <c r="E79" s="258">
        <f>IFERROR(IF($J79&gt;0,INDEX('Invullen groen'!$G:$G,$J79),""),"")</f>
        <v/>
      </c>
      <c r="F79" s="259">
        <f>IFERROR(IF($J79&gt;0,IF(INDEX('Invullen groen'!$H:$H,$J79)&lt;&gt;0,INDEX('Invullen groen'!$H:$H,$J79),""),""),"")</f>
        <v/>
      </c>
      <c r="G79" s="259">
        <f>IFERROR(IF($J79&gt;0,IF(INDEX('Invullen groen'!$I:$I,$J79)&lt;&gt;0,INDEX('Invullen groen'!$I:$I,$J79),""),""),"")</f>
        <v/>
      </c>
      <c r="H79" s="259">
        <f>IFERROR(IF($J79&gt;0,IF(INDEX('Invullen groen'!$J:$J,$J79)&lt;&gt;0,INDEX('Invullen groen'!$J:$J,$J79),""),""),"")</f>
        <v/>
      </c>
      <c r="I79" s="259">
        <f>IFERROR(IF($J79&gt;0,IF(INDEX('Invullen groen'!$K:$K,$J79)&lt;&gt;0,INDEX('Invullen groen'!$K:$K,$J79),""),""),"")</f>
        <v/>
      </c>
      <c r="J79">
        <f>IFERROR(MATCH(ROW()-4,'Invullen groen'!$P$17:$P$272,0)+16,0)</f>
        <v/>
      </c>
    </row>
    <row r="80" hidden="1" ht="15" customHeight="1" s="418">
      <c r="A80" s="260">
        <f>IFERROR(IF($J80&gt;0,ROW()-4,""),"")</f>
        <v/>
      </c>
      <c r="B80" s="260">
        <f>IFERROR(IF($J80&gt;0,INDEX('Invullen groen'!$A:$A,$J80),""),"")</f>
        <v/>
      </c>
      <c r="C80" s="260">
        <f>IFERROR(IF($J80&gt;0,INDEX('Invullen groen'!$C:$C,$J80),""),"")</f>
        <v/>
      </c>
      <c r="D80" s="260">
        <f>IFERROR(IF($J80&gt;0,INDEX('Invullen groen'!$D:$D,$J80),""),"")</f>
        <v/>
      </c>
      <c r="E80" s="260">
        <f>IFERROR(IF($J80&gt;0,INDEX('Invullen groen'!$G:$G,$J80),""),"")</f>
        <v/>
      </c>
      <c r="F80" s="261">
        <f>IFERROR(IF($J80&gt;0,IF(INDEX('Invullen groen'!$H:$H,$J80)&lt;&gt;0,INDEX('Invullen groen'!$H:$H,$J80),""),""),"")</f>
        <v/>
      </c>
      <c r="G80" s="261">
        <f>IFERROR(IF($J80&gt;0,IF(INDEX('Invullen groen'!$I:$I,$J80)&lt;&gt;0,INDEX('Invullen groen'!$I:$I,$J80),""),""),"")</f>
        <v/>
      </c>
      <c r="H80" s="261">
        <f>IFERROR(IF($J80&gt;0,IF(INDEX('Invullen groen'!$J:$J,$J80)&lt;&gt;0,INDEX('Invullen groen'!$J:$J,$J80),""),""),"")</f>
        <v/>
      </c>
      <c r="I80" s="261">
        <f>IFERROR(IF($J80&gt;0,IF(INDEX('Invullen groen'!$K:$K,$J80)&lt;&gt;0,INDEX('Invullen groen'!$K:$K,$J80),""),""),"")</f>
        <v/>
      </c>
      <c r="J80">
        <f>IFERROR(MATCH(ROW()-4,'Invullen groen'!$P$17:$P$272,0)+16,0)</f>
        <v/>
      </c>
    </row>
    <row r="81" hidden="1" ht="15" customHeight="1" s="418">
      <c r="A81" s="258">
        <f>IFERROR(IF($J81&gt;0,ROW()-4,""),"")</f>
        <v/>
      </c>
      <c r="B81" s="258">
        <f>IFERROR(IF($J81&gt;0,INDEX('Invullen groen'!$A:$A,$J81),""),"")</f>
        <v/>
      </c>
      <c r="C81" s="258">
        <f>IFERROR(IF($J81&gt;0,INDEX('Invullen groen'!$C:$C,$J81),""),"")</f>
        <v/>
      </c>
      <c r="D81" s="258">
        <f>IFERROR(IF($J81&gt;0,INDEX('Invullen groen'!$D:$D,$J81),""),"")</f>
        <v/>
      </c>
      <c r="E81" s="258">
        <f>IFERROR(IF($J81&gt;0,INDEX('Invullen groen'!$G:$G,$J81),""),"")</f>
        <v/>
      </c>
      <c r="F81" s="259">
        <f>IFERROR(IF($J81&gt;0,IF(INDEX('Invullen groen'!$H:$H,$J81)&lt;&gt;0,INDEX('Invullen groen'!$H:$H,$J81),""),""),"")</f>
        <v/>
      </c>
      <c r="G81" s="259">
        <f>IFERROR(IF($J81&gt;0,IF(INDEX('Invullen groen'!$I:$I,$J81)&lt;&gt;0,INDEX('Invullen groen'!$I:$I,$J81),""),""),"")</f>
        <v/>
      </c>
      <c r="H81" s="259">
        <f>IFERROR(IF($J81&gt;0,IF(INDEX('Invullen groen'!$J:$J,$J81)&lt;&gt;0,INDEX('Invullen groen'!$J:$J,$J81),""),""),"")</f>
        <v/>
      </c>
      <c r="I81" s="259">
        <f>IFERROR(IF($J81&gt;0,IF(INDEX('Invullen groen'!$K:$K,$J81)&lt;&gt;0,INDEX('Invullen groen'!$K:$K,$J81),""),""),"")</f>
        <v/>
      </c>
      <c r="J81">
        <f>IFERROR(MATCH(ROW()-4,'Invullen groen'!$P$17:$P$272,0)+16,0)</f>
        <v/>
      </c>
    </row>
    <row r="82" hidden="1" ht="15" customHeight="1" s="418">
      <c r="A82" s="260">
        <f>IFERROR(IF($J82&gt;0,ROW()-4,""),"")</f>
        <v/>
      </c>
      <c r="B82" s="260">
        <f>IFERROR(IF($J82&gt;0,INDEX('Invullen groen'!$A:$A,$J82),""),"")</f>
        <v/>
      </c>
      <c r="C82" s="260">
        <f>IFERROR(IF($J82&gt;0,INDEX('Invullen groen'!$C:$C,$J82),""),"")</f>
        <v/>
      </c>
      <c r="D82" s="260">
        <f>IFERROR(IF($J82&gt;0,INDEX('Invullen groen'!$D:$D,$J82),""),"")</f>
        <v/>
      </c>
      <c r="E82" s="260">
        <f>IFERROR(IF($J82&gt;0,INDEX('Invullen groen'!$G:$G,$J82),""),"")</f>
        <v/>
      </c>
      <c r="F82" s="261">
        <f>IFERROR(IF($J82&gt;0,IF(INDEX('Invullen groen'!$H:$H,$J82)&lt;&gt;0,INDEX('Invullen groen'!$H:$H,$J82),""),""),"")</f>
        <v/>
      </c>
      <c r="G82" s="261">
        <f>IFERROR(IF($J82&gt;0,IF(INDEX('Invullen groen'!$I:$I,$J82)&lt;&gt;0,INDEX('Invullen groen'!$I:$I,$J82),""),""),"")</f>
        <v/>
      </c>
      <c r="H82" s="261">
        <f>IFERROR(IF($J82&gt;0,IF(INDEX('Invullen groen'!$J:$J,$J82)&lt;&gt;0,INDEX('Invullen groen'!$J:$J,$J82),""),""),"")</f>
        <v/>
      </c>
      <c r="I82" s="261">
        <f>IFERROR(IF($J82&gt;0,IF(INDEX('Invullen groen'!$K:$K,$J82)&lt;&gt;0,INDEX('Invullen groen'!$K:$K,$J82),""),""),"")</f>
        <v/>
      </c>
      <c r="J82">
        <f>IFERROR(MATCH(ROW()-4,'Invullen groen'!$P$17:$P$272,0)+16,0)</f>
        <v/>
      </c>
    </row>
    <row r="83" hidden="1" ht="15" customHeight="1" s="418">
      <c r="A83" s="258">
        <f>IFERROR(IF($J83&gt;0,ROW()-4,""),"")</f>
        <v/>
      </c>
      <c r="B83" s="258">
        <f>IFERROR(IF($J83&gt;0,INDEX('Invullen groen'!$A:$A,$J83),""),"")</f>
        <v/>
      </c>
      <c r="C83" s="258">
        <f>IFERROR(IF($J83&gt;0,INDEX('Invullen groen'!$C:$C,$J83),""),"")</f>
        <v/>
      </c>
      <c r="D83" s="258">
        <f>IFERROR(IF($J83&gt;0,INDEX('Invullen groen'!$D:$D,$J83),""),"")</f>
        <v/>
      </c>
      <c r="E83" s="258">
        <f>IFERROR(IF($J83&gt;0,INDEX('Invullen groen'!$G:$G,$J83),""),"")</f>
        <v/>
      </c>
      <c r="F83" s="259">
        <f>IFERROR(IF($J83&gt;0,IF(INDEX('Invullen groen'!$H:$H,$J83)&lt;&gt;0,INDEX('Invullen groen'!$H:$H,$J83),""),""),"")</f>
        <v/>
      </c>
      <c r="G83" s="259">
        <f>IFERROR(IF($J83&gt;0,IF(INDEX('Invullen groen'!$I:$I,$J83)&lt;&gt;0,INDEX('Invullen groen'!$I:$I,$J83),""),""),"")</f>
        <v/>
      </c>
      <c r="H83" s="259">
        <f>IFERROR(IF($J83&gt;0,IF(INDEX('Invullen groen'!$J:$J,$J83)&lt;&gt;0,INDEX('Invullen groen'!$J:$J,$J83),""),""),"")</f>
        <v/>
      </c>
      <c r="I83" s="259">
        <f>IFERROR(IF($J83&gt;0,IF(INDEX('Invullen groen'!$K:$K,$J83)&lt;&gt;0,INDEX('Invullen groen'!$K:$K,$J83),""),""),"")</f>
        <v/>
      </c>
      <c r="J83">
        <f>IFERROR(MATCH(ROW()-4,'Invullen groen'!$P$17:$P$272,0)+16,0)</f>
        <v/>
      </c>
    </row>
    <row r="84" hidden="1" ht="15" customHeight="1" s="418">
      <c r="A84" s="260">
        <f>IFERROR(IF($J84&gt;0,ROW()-4,""),"")</f>
        <v/>
      </c>
      <c r="B84" s="260">
        <f>IFERROR(IF($J84&gt;0,INDEX('Invullen groen'!$A:$A,$J84),""),"")</f>
        <v/>
      </c>
      <c r="C84" s="260">
        <f>IFERROR(IF($J84&gt;0,INDEX('Invullen groen'!$C:$C,$J84),""),"")</f>
        <v/>
      </c>
      <c r="D84" s="260">
        <f>IFERROR(IF($J84&gt;0,INDEX('Invullen groen'!$D:$D,$J84),""),"")</f>
        <v/>
      </c>
      <c r="E84" s="260">
        <f>IFERROR(IF($J84&gt;0,INDEX('Invullen groen'!$G:$G,$J84),""),"")</f>
        <v/>
      </c>
      <c r="F84" s="261">
        <f>IFERROR(IF($J84&gt;0,IF(INDEX('Invullen groen'!$H:$H,$J84)&lt;&gt;0,INDEX('Invullen groen'!$H:$H,$J84),""),""),"")</f>
        <v/>
      </c>
      <c r="G84" s="261">
        <f>IFERROR(IF($J84&gt;0,IF(INDEX('Invullen groen'!$I:$I,$J84)&lt;&gt;0,INDEX('Invullen groen'!$I:$I,$J84),""),""),"")</f>
        <v/>
      </c>
      <c r="H84" s="261">
        <f>IFERROR(IF($J84&gt;0,IF(INDEX('Invullen groen'!$J:$J,$J84)&lt;&gt;0,INDEX('Invullen groen'!$J:$J,$J84),""),""),"")</f>
        <v/>
      </c>
      <c r="I84" s="261">
        <f>IFERROR(IF($J84&gt;0,IF(INDEX('Invullen groen'!$K:$K,$J84)&lt;&gt;0,INDEX('Invullen groen'!$K:$K,$J84),""),""),"")</f>
        <v/>
      </c>
      <c r="J84">
        <f>IFERROR(MATCH(ROW()-4,'Invullen groen'!$P$17:$P$272,0)+16,0)</f>
        <v/>
      </c>
    </row>
    <row r="85" hidden="1" ht="15" customHeight="1" s="418">
      <c r="A85" s="258">
        <f>IFERROR(IF($J85&gt;0,ROW()-4,""),"")</f>
        <v/>
      </c>
      <c r="B85" s="258">
        <f>IFERROR(IF($J85&gt;0,INDEX('Invullen groen'!$A:$A,$J85),""),"")</f>
        <v/>
      </c>
      <c r="C85" s="258">
        <f>IFERROR(IF($J85&gt;0,INDEX('Invullen groen'!$C:$C,$J85),""),"")</f>
        <v/>
      </c>
      <c r="D85" s="258">
        <f>IFERROR(IF($J85&gt;0,INDEX('Invullen groen'!$D:$D,$J85),""),"")</f>
        <v/>
      </c>
      <c r="E85" s="258">
        <f>IFERROR(IF($J85&gt;0,INDEX('Invullen groen'!$G:$G,$J85),""),"")</f>
        <v/>
      </c>
      <c r="F85" s="259">
        <f>IFERROR(IF($J85&gt;0,IF(INDEX('Invullen groen'!$H:$H,$J85)&lt;&gt;0,INDEX('Invullen groen'!$H:$H,$J85),""),""),"")</f>
        <v/>
      </c>
      <c r="G85" s="259">
        <f>IFERROR(IF($J85&gt;0,IF(INDEX('Invullen groen'!$I:$I,$J85)&lt;&gt;0,INDEX('Invullen groen'!$I:$I,$J85),""),""),"")</f>
        <v/>
      </c>
      <c r="H85" s="259">
        <f>IFERROR(IF($J85&gt;0,IF(INDEX('Invullen groen'!$J:$J,$J85)&lt;&gt;0,INDEX('Invullen groen'!$J:$J,$J85),""),""),"")</f>
        <v/>
      </c>
      <c r="I85" s="259">
        <f>IFERROR(IF($J85&gt;0,IF(INDEX('Invullen groen'!$K:$K,$J85)&lt;&gt;0,INDEX('Invullen groen'!$K:$K,$J85),""),""),"")</f>
        <v/>
      </c>
      <c r="J85">
        <f>IFERROR(MATCH(ROW()-4,'Invullen groen'!$P$17:$P$272,0)+16,0)</f>
        <v/>
      </c>
    </row>
    <row r="86" hidden="1" ht="15" customHeight="1" s="418">
      <c r="A86" s="260">
        <f>IFERROR(IF($J86&gt;0,ROW()-4,""),"")</f>
        <v/>
      </c>
      <c r="B86" s="260">
        <f>IFERROR(IF($J86&gt;0,INDEX('Invullen groen'!$A:$A,$J86),""),"")</f>
        <v/>
      </c>
      <c r="C86" s="260">
        <f>IFERROR(IF($J86&gt;0,INDEX('Invullen groen'!$C:$C,$J86),""),"")</f>
        <v/>
      </c>
      <c r="D86" s="260">
        <f>IFERROR(IF($J86&gt;0,INDEX('Invullen groen'!$D:$D,$J86),""),"")</f>
        <v/>
      </c>
      <c r="E86" s="260">
        <f>IFERROR(IF($J86&gt;0,INDEX('Invullen groen'!$G:$G,$J86),""),"")</f>
        <v/>
      </c>
      <c r="F86" s="261">
        <f>IFERROR(IF($J86&gt;0,IF(INDEX('Invullen groen'!$H:$H,$J86)&lt;&gt;0,INDEX('Invullen groen'!$H:$H,$J86),""),""),"")</f>
        <v/>
      </c>
      <c r="G86" s="261">
        <f>IFERROR(IF($J86&gt;0,IF(INDEX('Invullen groen'!$I:$I,$J86)&lt;&gt;0,INDEX('Invullen groen'!$I:$I,$J86),""),""),"")</f>
        <v/>
      </c>
      <c r="H86" s="261">
        <f>IFERROR(IF($J86&gt;0,IF(INDEX('Invullen groen'!$J:$J,$J86)&lt;&gt;0,INDEX('Invullen groen'!$J:$J,$J86),""),""),"")</f>
        <v/>
      </c>
      <c r="I86" s="261">
        <f>IFERROR(IF($J86&gt;0,IF(INDEX('Invullen groen'!$K:$K,$J86)&lt;&gt;0,INDEX('Invullen groen'!$K:$K,$J86),""),""),"")</f>
        <v/>
      </c>
      <c r="J86">
        <f>IFERROR(MATCH(ROW()-4,'Invullen groen'!$P$17:$P$272,0)+16,0)</f>
        <v/>
      </c>
    </row>
    <row r="87" hidden="1" ht="15" customHeight="1" s="418">
      <c r="A87" s="258">
        <f>IFERROR(IF($J87&gt;0,ROW()-4,""),"")</f>
        <v/>
      </c>
      <c r="B87" s="258">
        <f>IFERROR(IF($J87&gt;0,INDEX('Invullen groen'!$A:$A,$J87),""),"")</f>
        <v/>
      </c>
      <c r="C87" s="258">
        <f>IFERROR(IF($J87&gt;0,INDEX('Invullen groen'!$C:$C,$J87),""),"")</f>
        <v/>
      </c>
      <c r="D87" s="258">
        <f>IFERROR(IF($J87&gt;0,INDEX('Invullen groen'!$D:$D,$J87),""),"")</f>
        <v/>
      </c>
      <c r="E87" s="258">
        <f>IFERROR(IF($J87&gt;0,INDEX('Invullen groen'!$G:$G,$J87),""),"")</f>
        <v/>
      </c>
      <c r="F87" s="259">
        <f>IFERROR(IF($J87&gt;0,IF(INDEX('Invullen groen'!$H:$H,$J87)&lt;&gt;0,INDEX('Invullen groen'!$H:$H,$J87),""),""),"")</f>
        <v/>
      </c>
      <c r="G87" s="259">
        <f>IFERROR(IF($J87&gt;0,IF(INDEX('Invullen groen'!$I:$I,$J87)&lt;&gt;0,INDEX('Invullen groen'!$I:$I,$J87),""),""),"")</f>
        <v/>
      </c>
      <c r="H87" s="259">
        <f>IFERROR(IF($J87&gt;0,IF(INDEX('Invullen groen'!$J:$J,$J87)&lt;&gt;0,INDEX('Invullen groen'!$J:$J,$J87),""),""),"")</f>
        <v/>
      </c>
      <c r="I87" s="259">
        <f>IFERROR(IF($J87&gt;0,IF(INDEX('Invullen groen'!$K:$K,$J87)&lt;&gt;0,INDEX('Invullen groen'!$K:$K,$J87),""),""),"")</f>
        <v/>
      </c>
      <c r="J87">
        <f>IFERROR(MATCH(ROW()-4,'Invullen groen'!$P$17:$P$272,0)+16,0)</f>
        <v/>
      </c>
    </row>
    <row r="88" hidden="1" ht="15" customHeight="1" s="418">
      <c r="A88" s="260">
        <f>IFERROR(IF($J88&gt;0,ROW()-4,""),"")</f>
        <v/>
      </c>
      <c r="B88" s="260">
        <f>IFERROR(IF($J88&gt;0,INDEX('Invullen groen'!$A:$A,$J88),""),"")</f>
        <v/>
      </c>
      <c r="C88" s="260">
        <f>IFERROR(IF($J88&gt;0,INDEX('Invullen groen'!$C:$C,$J88),""),"")</f>
        <v/>
      </c>
      <c r="D88" s="260">
        <f>IFERROR(IF($J88&gt;0,INDEX('Invullen groen'!$D:$D,$J88),""),"")</f>
        <v/>
      </c>
      <c r="E88" s="260">
        <f>IFERROR(IF($J88&gt;0,INDEX('Invullen groen'!$G:$G,$J88),""),"")</f>
        <v/>
      </c>
      <c r="F88" s="261">
        <f>IFERROR(IF($J88&gt;0,IF(INDEX('Invullen groen'!$H:$H,$J88)&lt;&gt;0,INDEX('Invullen groen'!$H:$H,$J88),""),""),"")</f>
        <v/>
      </c>
      <c r="G88" s="261">
        <f>IFERROR(IF($J88&gt;0,IF(INDEX('Invullen groen'!$I:$I,$J88)&lt;&gt;0,INDEX('Invullen groen'!$I:$I,$J88),""),""),"")</f>
        <v/>
      </c>
      <c r="H88" s="261">
        <f>IFERROR(IF($J88&gt;0,IF(INDEX('Invullen groen'!$J:$J,$J88)&lt;&gt;0,INDEX('Invullen groen'!$J:$J,$J88),""),""),"")</f>
        <v/>
      </c>
      <c r="I88" s="261">
        <f>IFERROR(IF($J88&gt;0,IF(INDEX('Invullen groen'!$K:$K,$J88)&lt;&gt;0,INDEX('Invullen groen'!$K:$K,$J88),""),""),"")</f>
        <v/>
      </c>
      <c r="J88">
        <f>IFERROR(MATCH(ROW()-4,'Invullen groen'!$P$17:$P$272,0)+16,0)</f>
        <v/>
      </c>
    </row>
    <row r="89" hidden="1" ht="15" customHeight="1" s="418">
      <c r="A89" s="258">
        <f>IFERROR(IF($J89&gt;0,ROW()-4,""),"")</f>
        <v/>
      </c>
      <c r="B89" s="258">
        <f>IFERROR(IF($J89&gt;0,INDEX('Invullen groen'!$A:$A,$J89),""),"")</f>
        <v/>
      </c>
      <c r="C89" s="258">
        <f>IFERROR(IF($J89&gt;0,INDEX('Invullen groen'!$C:$C,$J89),""),"")</f>
        <v/>
      </c>
      <c r="D89" s="258">
        <f>IFERROR(IF($J89&gt;0,INDEX('Invullen groen'!$D:$D,$J89),""),"")</f>
        <v/>
      </c>
      <c r="E89" s="258">
        <f>IFERROR(IF($J89&gt;0,INDEX('Invullen groen'!$G:$G,$J89),""),"")</f>
        <v/>
      </c>
      <c r="F89" s="259">
        <f>IFERROR(IF($J89&gt;0,IF(INDEX('Invullen groen'!$H:$H,$J89)&lt;&gt;0,INDEX('Invullen groen'!$H:$H,$J89),""),""),"")</f>
        <v/>
      </c>
      <c r="G89" s="259">
        <f>IFERROR(IF($J89&gt;0,IF(INDEX('Invullen groen'!$I:$I,$J89)&lt;&gt;0,INDEX('Invullen groen'!$I:$I,$J89),""),""),"")</f>
        <v/>
      </c>
      <c r="H89" s="259">
        <f>IFERROR(IF($J89&gt;0,IF(INDEX('Invullen groen'!$J:$J,$J89)&lt;&gt;0,INDEX('Invullen groen'!$J:$J,$J89),""),""),"")</f>
        <v/>
      </c>
      <c r="I89" s="259">
        <f>IFERROR(IF($J89&gt;0,IF(INDEX('Invullen groen'!$K:$K,$J89)&lt;&gt;0,INDEX('Invullen groen'!$K:$K,$J89),""),""),"")</f>
        <v/>
      </c>
      <c r="J89">
        <f>IFERROR(MATCH(ROW()-4,'Invullen groen'!$P$17:$P$272,0)+16,0)</f>
        <v/>
      </c>
    </row>
    <row r="90" hidden="1" ht="15" customHeight="1" s="418">
      <c r="A90" s="260">
        <f>IFERROR(IF($J90&gt;0,ROW()-4,""),"")</f>
        <v/>
      </c>
      <c r="B90" s="260">
        <f>IFERROR(IF($J90&gt;0,INDEX('Invullen groen'!$A:$A,$J90),""),"")</f>
        <v/>
      </c>
      <c r="C90" s="260">
        <f>IFERROR(IF($J90&gt;0,INDEX('Invullen groen'!$C:$C,$J90),""),"")</f>
        <v/>
      </c>
      <c r="D90" s="260">
        <f>IFERROR(IF($J90&gt;0,INDEX('Invullen groen'!$D:$D,$J90),""),"")</f>
        <v/>
      </c>
      <c r="E90" s="260">
        <f>IFERROR(IF($J90&gt;0,INDEX('Invullen groen'!$G:$G,$J90),""),"")</f>
        <v/>
      </c>
      <c r="F90" s="261">
        <f>IFERROR(IF($J90&gt;0,IF(INDEX('Invullen groen'!$H:$H,$J90)&lt;&gt;0,INDEX('Invullen groen'!$H:$H,$J90),""),""),"")</f>
        <v/>
      </c>
      <c r="G90" s="261">
        <f>IFERROR(IF($J90&gt;0,IF(INDEX('Invullen groen'!$I:$I,$J90)&lt;&gt;0,INDEX('Invullen groen'!$I:$I,$J90),""),""),"")</f>
        <v/>
      </c>
      <c r="H90" s="261">
        <f>IFERROR(IF($J90&gt;0,IF(INDEX('Invullen groen'!$J:$J,$J90)&lt;&gt;0,INDEX('Invullen groen'!$J:$J,$J90),""),""),"")</f>
        <v/>
      </c>
      <c r="I90" s="261">
        <f>IFERROR(IF($J90&gt;0,IF(INDEX('Invullen groen'!$K:$K,$J90)&lt;&gt;0,INDEX('Invullen groen'!$K:$K,$J90),""),""),"")</f>
        <v/>
      </c>
      <c r="J90">
        <f>IFERROR(MATCH(ROW()-4,'Invullen groen'!$P$17:$P$272,0)+16,0)</f>
        <v/>
      </c>
    </row>
    <row r="91" hidden="1" ht="15" customHeight="1" s="418">
      <c r="A91" s="258">
        <f>IFERROR(IF($J91&gt;0,ROW()-4,""),"")</f>
        <v/>
      </c>
      <c r="B91" s="258">
        <f>IFERROR(IF($J91&gt;0,INDEX('Invullen groen'!$A:$A,$J91),""),"")</f>
        <v/>
      </c>
      <c r="C91" s="258">
        <f>IFERROR(IF($J91&gt;0,INDEX('Invullen groen'!$C:$C,$J91),""),"")</f>
        <v/>
      </c>
      <c r="D91" s="258">
        <f>IFERROR(IF($J91&gt;0,INDEX('Invullen groen'!$D:$D,$J91),""),"")</f>
        <v/>
      </c>
      <c r="E91" s="258">
        <f>IFERROR(IF($J91&gt;0,INDEX('Invullen groen'!$G:$G,$J91),""),"")</f>
        <v/>
      </c>
      <c r="F91" s="259">
        <f>IFERROR(IF($J91&gt;0,IF(INDEX('Invullen groen'!$H:$H,$J91)&lt;&gt;0,INDEX('Invullen groen'!$H:$H,$J91),""),""),"")</f>
        <v/>
      </c>
      <c r="G91" s="259">
        <f>IFERROR(IF($J91&gt;0,IF(INDEX('Invullen groen'!$I:$I,$J91)&lt;&gt;0,INDEX('Invullen groen'!$I:$I,$J91),""),""),"")</f>
        <v/>
      </c>
      <c r="H91" s="259">
        <f>IFERROR(IF($J91&gt;0,IF(INDEX('Invullen groen'!$J:$J,$J91)&lt;&gt;0,INDEX('Invullen groen'!$J:$J,$J91),""),""),"")</f>
        <v/>
      </c>
      <c r="I91" s="259">
        <f>IFERROR(IF($J91&gt;0,IF(INDEX('Invullen groen'!$K:$K,$J91)&lt;&gt;0,INDEX('Invullen groen'!$K:$K,$J91),""),""),"")</f>
        <v/>
      </c>
      <c r="J91">
        <f>IFERROR(MATCH(ROW()-4,'Invullen groen'!$P$17:$P$272,0)+16,0)</f>
        <v/>
      </c>
    </row>
    <row r="92" hidden="1" ht="15" customHeight="1" s="418">
      <c r="A92" s="260">
        <f>IFERROR(IF($J92&gt;0,ROW()-4,""),"")</f>
        <v/>
      </c>
      <c r="B92" s="260">
        <f>IFERROR(IF($J92&gt;0,INDEX('Invullen groen'!$A:$A,$J92),""),"")</f>
        <v/>
      </c>
      <c r="C92" s="260">
        <f>IFERROR(IF($J92&gt;0,INDEX('Invullen groen'!$C:$C,$J92),""),"")</f>
        <v/>
      </c>
      <c r="D92" s="260">
        <f>IFERROR(IF($J92&gt;0,INDEX('Invullen groen'!$D:$D,$J92),""),"")</f>
        <v/>
      </c>
      <c r="E92" s="260">
        <f>IFERROR(IF($J92&gt;0,INDEX('Invullen groen'!$G:$G,$J92),""),"")</f>
        <v/>
      </c>
      <c r="F92" s="261">
        <f>IFERROR(IF($J92&gt;0,IF(INDEX('Invullen groen'!$H:$H,$J92)&lt;&gt;0,INDEX('Invullen groen'!$H:$H,$J92),""),""),"")</f>
        <v/>
      </c>
      <c r="G92" s="261">
        <f>IFERROR(IF($J92&gt;0,IF(INDEX('Invullen groen'!$I:$I,$J92)&lt;&gt;0,INDEX('Invullen groen'!$I:$I,$J92),""),""),"")</f>
        <v/>
      </c>
      <c r="H92" s="261">
        <f>IFERROR(IF($J92&gt;0,IF(INDEX('Invullen groen'!$J:$J,$J92)&lt;&gt;0,INDEX('Invullen groen'!$J:$J,$J92),""),""),"")</f>
        <v/>
      </c>
      <c r="I92" s="261">
        <f>IFERROR(IF($J92&gt;0,IF(INDEX('Invullen groen'!$K:$K,$J92)&lt;&gt;0,INDEX('Invullen groen'!$K:$K,$J92),""),""),"")</f>
        <v/>
      </c>
      <c r="J92">
        <f>IFERROR(MATCH(ROW()-4,'Invullen groen'!$P$17:$P$272,0)+16,0)</f>
        <v/>
      </c>
    </row>
    <row r="93" hidden="1" ht="15" customHeight="1" s="418">
      <c r="A93" s="258">
        <f>IFERROR(IF($J93&gt;0,ROW()-4,""),"")</f>
        <v/>
      </c>
      <c r="B93" s="258">
        <f>IFERROR(IF($J93&gt;0,INDEX('Invullen groen'!$A:$A,$J93),""),"")</f>
        <v/>
      </c>
      <c r="C93" s="258">
        <f>IFERROR(IF($J93&gt;0,INDEX('Invullen groen'!$C:$C,$J93),""),"")</f>
        <v/>
      </c>
      <c r="D93" s="258">
        <f>IFERROR(IF($J93&gt;0,INDEX('Invullen groen'!$D:$D,$J93),""),"")</f>
        <v/>
      </c>
      <c r="E93" s="258">
        <f>IFERROR(IF($J93&gt;0,INDEX('Invullen groen'!$G:$G,$J93),""),"")</f>
        <v/>
      </c>
      <c r="F93" s="259">
        <f>IFERROR(IF($J93&gt;0,IF(INDEX('Invullen groen'!$H:$H,$J93)&lt;&gt;0,INDEX('Invullen groen'!$H:$H,$J93),""),""),"")</f>
        <v/>
      </c>
      <c r="G93" s="259">
        <f>IFERROR(IF($J93&gt;0,IF(INDEX('Invullen groen'!$I:$I,$J93)&lt;&gt;0,INDEX('Invullen groen'!$I:$I,$J93),""),""),"")</f>
        <v/>
      </c>
      <c r="H93" s="259">
        <f>IFERROR(IF($J93&gt;0,IF(INDEX('Invullen groen'!$J:$J,$J93)&lt;&gt;0,INDEX('Invullen groen'!$J:$J,$J93),""),""),"")</f>
        <v/>
      </c>
      <c r="I93" s="259">
        <f>IFERROR(IF($J93&gt;0,IF(INDEX('Invullen groen'!$K:$K,$J93)&lt;&gt;0,INDEX('Invullen groen'!$K:$K,$J93),""),""),"")</f>
        <v/>
      </c>
      <c r="J93">
        <f>IFERROR(MATCH(ROW()-4,'Invullen groen'!$P$17:$P$272,0)+16,0)</f>
        <v/>
      </c>
    </row>
    <row r="94" hidden="1" ht="15" customHeight="1" s="418">
      <c r="A94" s="260">
        <f>IFERROR(IF($J94&gt;0,ROW()-4,""),"")</f>
        <v/>
      </c>
      <c r="B94" s="260">
        <f>IFERROR(IF($J94&gt;0,INDEX('Invullen groen'!$A:$A,$J94),""),"")</f>
        <v/>
      </c>
      <c r="C94" s="260">
        <f>IFERROR(IF($J94&gt;0,INDEX('Invullen groen'!$C:$C,$J94),""),"")</f>
        <v/>
      </c>
      <c r="D94" s="260">
        <f>IFERROR(IF($J94&gt;0,INDEX('Invullen groen'!$D:$D,$J94),""),"")</f>
        <v/>
      </c>
      <c r="E94" s="260">
        <f>IFERROR(IF($J94&gt;0,INDEX('Invullen groen'!$G:$G,$J94),""),"")</f>
        <v/>
      </c>
      <c r="F94" s="261">
        <f>IFERROR(IF($J94&gt;0,IF(INDEX('Invullen groen'!$H:$H,$J94)&lt;&gt;0,INDEX('Invullen groen'!$H:$H,$J94),""),""),"")</f>
        <v/>
      </c>
      <c r="G94" s="261">
        <f>IFERROR(IF($J94&gt;0,IF(INDEX('Invullen groen'!$I:$I,$J94)&lt;&gt;0,INDEX('Invullen groen'!$I:$I,$J94),""),""),"")</f>
        <v/>
      </c>
      <c r="H94" s="261">
        <f>IFERROR(IF($J94&gt;0,IF(INDEX('Invullen groen'!$J:$J,$J94)&lt;&gt;0,INDEX('Invullen groen'!$J:$J,$J94),""),""),"")</f>
        <v/>
      </c>
      <c r="I94" s="261">
        <f>IFERROR(IF($J94&gt;0,IF(INDEX('Invullen groen'!$K:$K,$J94)&lt;&gt;0,INDEX('Invullen groen'!$K:$K,$J94),""),""),"")</f>
        <v/>
      </c>
      <c r="J94">
        <f>IFERROR(MATCH(ROW()-4,'Invullen groen'!$P$17:$P$272,0)+16,0)</f>
        <v/>
      </c>
    </row>
    <row r="95" hidden="1" ht="15" customHeight="1" s="418">
      <c r="A95" s="258">
        <f>IFERROR(IF($J95&gt;0,ROW()-4,""),"")</f>
        <v/>
      </c>
      <c r="B95" s="258">
        <f>IFERROR(IF($J95&gt;0,INDEX('Invullen groen'!$A:$A,$J95),""),"")</f>
        <v/>
      </c>
      <c r="C95" s="258">
        <f>IFERROR(IF($J95&gt;0,INDEX('Invullen groen'!$C:$C,$J95),""),"")</f>
        <v/>
      </c>
      <c r="D95" s="258">
        <f>IFERROR(IF($J95&gt;0,INDEX('Invullen groen'!$D:$D,$J95),""),"")</f>
        <v/>
      </c>
      <c r="E95" s="258">
        <f>IFERROR(IF($J95&gt;0,INDEX('Invullen groen'!$G:$G,$J95),""),"")</f>
        <v/>
      </c>
      <c r="F95" s="259">
        <f>IFERROR(IF($J95&gt;0,IF(INDEX('Invullen groen'!$H:$H,$J95)&lt;&gt;0,INDEX('Invullen groen'!$H:$H,$J95),""),""),"")</f>
        <v/>
      </c>
      <c r="G95" s="259">
        <f>IFERROR(IF($J95&gt;0,IF(INDEX('Invullen groen'!$I:$I,$J95)&lt;&gt;0,INDEX('Invullen groen'!$I:$I,$J95),""),""),"")</f>
        <v/>
      </c>
      <c r="H95" s="259">
        <f>IFERROR(IF($J95&gt;0,IF(INDEX('Invullen groen'!$J:$J,$J95)&lt;&gt;0,INDEX('Invullen groen'!$J:$J,$J95),""),""),"")</f>
        <v/>
      </c>
      <c r="I95" s="259">
        <f>IFERROR(IF($J95&gt;0,IF(INDEX('Invullen groen'!$K:$K,$J95)&lt;&gt;0,INDEX('Invullen groen'!$K:$K,$J95),""),""),"")</f>
        <v/>
      </c>
      <c r="J95">
        <f>IFERROR(MATCH(ROW()-4,'Invullen groen'!$P$17:$P$272,0)+16,0)</f>
        <v/>
      </c>
    </row>
    <row r="96" hidden="1" ht="15" customHeight="1" s="418">
      <c r="A96" s="260">
        <f>IFERROR(IF($J96&gt;0,ROW()-4,""),"")</f>
        <v/>
      </c>
      <c r="B96" s="260">
        <f>IFERROR(IF($J96&gt;0,INDEX('Invullen groen'!$A:$A,$J96),""),"")</f>
        <v/>
      </c>
      <c r="C96" s="260">
        <f>IFERROR(IF($J96&gt;0,INDEX('Invullen groen'!$C:$C,$J96),""),"")</f>
        <v/>
      </c>
      <c r="D96" s="260">
        <f>IFERROR(IF($J96&gt;0,INDEX('Invullen groen'!$D:$D,$J96),""),"")</f>
        <v/>
      </c>
      <c r="E96" s="260">
        <f>IFERROR(IF($J96&gt;0,INDEX('Invullen groen'!$G:$G,$J96),""),"")</f>
        <v/>
      </c>
      <c r="F96" s="261">
        <f>IFERROR(IF($J96&gt;0,IF(INDEX('Invullen groen'!$H:$H,$J96)&lt;&gt;0,INDEX('Invullen groen'!$H:$H,$J96),""),""),"")</f>
        <v/>
      </c>
      <c r="G96" s="261">
        <f>IFERROR(IF($J96&gt;0,IF(INDEX('Invullen groen'!$I:$I,$J96)&lt;&gt;0,INDEX('Invullen groen'!$I:$I,$J96),""),""),"")</f>
        <v/>
      </c>
      <c r="H96" s="261">
        <f>IFERROR(IF($J96&gt;0,IF(INDEX('Invullen groen'!$J:$J,$J96)&lt;&gt;0,INDEX('Invullen groen'!$J:$J,$J96),""),""),"")</f>
        <v/>
      </c>
      <c r="I96" s="261">
        <f>IFERROR(IF($J96&gt;0,IF(INDEX('Invullen groen'!$K:$K,$J96)&lt;&gt;0,INDEX('Invullen groen'!$K:$K,$J96),""),""),"")</f>
        <v/>
      </c>
      <c r="J96">
        <f>IFERROR(MATCH(ROW()-4,'Invullen groen'!$P$17:$P$272,0)+16,0)</f>
        <v/>
      </c>
    </row>
    <row r="97" hidden="1" ht="15" customHeight="1" s="418">
      <c r="A97" s="258">
        <f>IFERROR(IF($J97&gt;0,ROW()-4,""),"")</f>
        <v/>
      </c>
      <c r="B97" s="258">
        <f>IFERROR(IF($J97&gt;0,INDEX('Invullen groen'!$A:$A,$J97),""),"")</f>
        <v/>
      </c>
      <c r="C97" s="258">
        <f>IFERROR(IF($J97&gt;0,INDEX('Invullen groen'!$C:$C,$J97),""),"")</f>
        <v/>
      </c>
      <c r="D97" s="258">
        <f>IFERROR(IF($J97&gt;0,INDEX('Invullen groen'!$D:$D,$J97),""),"")</f>
        <v/>
      </c>
      <c r="E97" s="258">
        <f>IFERROR(IF($J97&gt;0,INDEX('Invullen groen'!$G:$G,$J97),""),"")</f>
        <v/>
      </c>
      <c r="F97" s="259">
        <f>IFERROR(IF($J97&gt;0,IF(INDEX('Invullen groen'!$H:$H,$J97)&lt;&gt;0,INDEX('Invullen groen'!$H:$H,$J97),""),""),"")</f>
        <v/>
      </c>
      <c r="G97" s="259">
        <f>IFERROR(IF($J97&gt;0,IF(INDEX('Invullen groen'!$I:$I,$J97)&lt;&gt;0,INDEX('Invullen groen'!$I:$I,$J97),""),""),"")</f>
        <v/>
      </c>
      <c r="H97" s="259">
        <f>IFERROR(IF($J97&gt;0,IF(INDEX('Invullen groen'!$J:$J,$J97)&lt;&gt;0,INDEX('Invullen groen'!$J:$J,$J97),""),""),"")</f>
        <v/>
      </c>
      <c r="I97" s="259">
        <f>IFERROR(IF($J97&gt;0,IF(INDEX('Invullen groen'!$K:$K,$J97)&lt;&gt;0,INDEX('Invullen groen'!$K:$K,$J97),""),""),"")</f>
        <v/>
      </c>
      <c r="J97">
        <f>IFERROR(MATCH(ROW()-4,'Invullen groen'!$P$17:$P$272,0)+16,0)</f>
        <v/>
      </c>
    </row>
    <row r="98" hidden="1" ht="15" customHeight="1" s="418">
      <c r="A98" s="260">
        <f>IFERROR(IF($J98&gt;0,ROW()-4,""),"")</f>
        <v/>
      </c>
      <c r="B98" s="260">
        <f>IFERROR(IF($J98&gt;0,INDEX('Invullen groen'!$A:$A,$J98),""),"")</f>
        <v/>
      </c>
      <c r="C98" s="260">
        <f>IFERROR(IF($J98&gt;0,INDEX('Invullen groen'!$C:$C,$J98),""),"")</f>
        <v/>
      </c>
      <c r="D98" s="260">
        <f>IFERROR(IF($J98&gt;0,INDEX('Invullen groen'!$D:$D,$J98),""),"")</f>
        <v/>
      </c>
      <c r="E98" s="260">
        <f>IFERROR(IF($J98&gt;0,INDEX('Invullen groen'!$G:$G,$J98),""),"")</f>
        <v/>
      </c>
      <c r="F98" s="261">
        <f>IFERROR(IF($J98&gt;0,IF(INDEX('Invullen groen'!$H:$H,$J98)&lt;&gt;0,INDEX('Invullen groen'!$H:$H,$J98),""),""),"")</f>
        <v/>
      </c>
      <c r="G98" s="261">
        <f>IFERROR(IF($J98&gt;0,IF(INDEX('Invullen groen'!$I:$I,$J98)&lt;&gt;0,INDEX('Invullen groen'!$I:$I,$J98),""),""),"")</f>
        <v/>
      </c>
      <c r="H98" s="261">
        <f>IFERROR(IF($J98&gt;0,IF(INDEX('Invullen groen'!$J:$J,$J98)&lt;&gt;0,INDEX('Invullen groen'!$J:$J,$J98),""),""),"")</f>
        <v/>
      </c>
      <c r="I98" s="261">
        <f>IFERROR(IF($J98&gt;0,IF(INDEX('Invullen groen'!$K:$K,$J98)&lt;&gt;0,INDEX('Invullen groen'!$K:$K,$J98),""),""),"")</f>
        <v/>
      </c>
      <c r="J98">
        <f>IFERROR(MATCH(ROW()-4,'Invullen groen'!$P$17:$P$272,0)+16,0)</f>
        <v/>
      </c>
    </row>
    <row r="99" hidden="1" ht="15" customHeight="1" s="418">
      <c r="A99" s="258">
        <f>IFERROR(IF($J99&gt;0,ROW()-4,""),"")</f>
        <v/>
      </c>
      <c r="B99" s="258">
        <f>IFERROR(IF($J99&gt;0,INDEX('Invullen groen'!$A:$A,$J99),""),"")</f>
        <v/>
      </c>
      <c r="C99" s="258">
        <f>IFERROR(IF($J99&gt;0,INDEX('Invullen groen'!$C:$C,$J99),""),"")</f>
        <v/>
      </c>
      <c r="D99" s="258">
        <f>IFERROR(IF($J99&gt;0,INDEX('Invullen groen'!$D:$D,$J99),""),"")</f>
        <v/>
      </c>
      <c r="E99" s="258">
        <f>IFERROR(IF($J99&gt;0,INDEX('Invullen groen'!$G:$G,$J99),""),"")</f>
        <v/>
      </c>
      <c r="F99" s="259">
        <f>IFERROR(IF($J99&gt;0,IF(INDEX('Invullen groen'!$H:$H,$J99)&lt;&gt;0,INDEX('Invullen groen'!$H:$H,$J99),""),""),"")</f>
        <v/>
      </c>
      <c r="G99" s="259">
        <f>IFERROR(IF($J99&gt;0,IF(INDEX('Invullen groen'!$I:$I,$J99)&lt;&gt;0,INDEX('Invullen groen'!$I:$I,$J99),""),""),"")</f>
        <v/>
      </c>
      <c r="H99" s="259">
        <f>IFERROR(IF($J99&gt;0,IF(INDEX('Invullen groen'!$J:$J,$J99)&lt;&gt;0,INDEX('Invullen groen'!$J:$J,$J99),""),""),"")</f>
        <v/>
      </c>
      <c r="I99" s="259">
        <f>IFERROR(IF($J99&gt;0,IF(INDEX('Invullen groen'!$K:$K,$J99)&lt;&gt;0,INDEX('Invullen groen'!$K:$K,$J99),""),""),"")</f>
        <v/>
      </c>
      <c r="J99">
        <f>IFERROR(MATCH(ROW()-4,'Invullen groen'!$P$17:$P$272,0)+16,0)</f>
        <v/>
      </c>
    </row>
    <row r="100" hidden="1" ht="15" customHeight="1" s="418">
      <c r="A100" s="260">
        <f>IFERROR(IF($J100&gt;0,ROW()-4,""),"")</f>
        <v/>
      </c>
      <c r="B100" s="260">
        <f>IFERROR(IF($J100&gt;0,INDEX('Invullen groen'!$A:$A,$J100),""),"")</f>
        <v/>
      </c>
      <c r="C100" s="260">
        <f>IFERROR(IF($J100&gt;0,INDEX('Invullen groen'!$C:$C,$J100),""),"")</f>
        <v/>
      </c>
      <c r="D100" s="260">
        <f>IFERROR(IF($J100&gt;0,INDEX('Invullen groen'!$D:$D,$J100),""),"")</f>
        <v/>
      </c>
      <c r="E100" s="260">
        <f>IFERROR(IF($J100&gt;0,INDEX('Invullen groen'!$G:$G,$J100),""),"")</f>
        <v/>
      </c>
      <c r="F100" s="261">
        <f>IFERROR(IF($J100&gt;0,IF(INDEX('Invullen groen'!$H:$H,$J100)&lt;&gt;0,INDEX('Invullen groen'!$H:$H,$J100),""),""),"")</f>
        <v/>
      </c>
      <c r="G100" s="261">
        <f>IFERROR(IF($J100&gt;0,IF(INDEX('Invullen groen'!$I:$I,$J100)&lt;&gt;0,INDEX('Invullen groen'!$I:$I,$J100),""),""),"")</f>
        <v/>
      </c>
      <c r="H100" s="261">
        <f>IFERROR(IF($J100&gt;0,IF(INDEX('Invullen groen'!$J:$J,$J100)&lt;&gt;0,INDEX('Invullen groen'!$J:$J,$J100),""),""),"")</f>
        <v/>
      </c>
      <c r="I100" s="261">
        <f>IFERROR(IF($J100&gt;0,IF(INDEX('Invullen groen'!$K:$K,$J100)&lt;&gt;0,INDEX('Invullen groen'!$K:$K,$J100),""),""),"")</f>
        <v/>
      </c>
      <c r="J100">
        <f>IFERROR(MATCH(ROW()-4,'Invullen groen'!$P$17:$P$272,0)+16,0)</f>
        <v/>
      </c>
    </row>
    <row r="101" hidden="1" ht="15" customHeight="1" s="418">
      <c r="A101" s="258">
        <f>IFERROR(IF($J101&gt;0,ROW()-4,""),"")</f>
        <v/>
      </c>
      <c r="B101" s="258">
        <f>IFERROR(IF($J101&gt;0,INDEX('Invullen groen'!$A:$A,$J101),""),"")</f>
        <v/>
      </c>
      <c r="C101" s="258">
        <f>IFERROR(IF($J101&gt;0,INDEX('Invullen groen'!$C:$C,$J101),""),"")</f>
        <v/>
      </c>
      <c r="D101" s="258">
        <f>IFERROR(IF($J101&gt;0,INDEX('Invullen groen'!$D:$D,$J101),""),"")</f>
        <v/>
      </c>
      <c r="E101" s="258">
        <f>IFERROR(IF($J101&gt;0,INDEX('Invullen groen'!$G:$G,$J101),""),"")</f>
        <v/>
      </c>
      <c r="F101" s="259">
        <f>IFERROR(IF($J101&gt;0,IF(INDEX('Invullen groen'!$H:$H,$J101)&lt;&gt;0,INDEX('Invullen groen'!$H:$H,$J101),""),""),"")</f>
        <v/>
      </c>
      <c r="G101" s="259">
        <f>IFERROR(IF($J101&gt;0,IF(INDEX('Invullen groen'!$I:$I,$J101)&lt;&gt;0,INDEX('Invullen groen'!$I:$I,$J101),""),""),"")</f>
        <v/>
      </c>
      <c r="H101" s="259">
        <f>IFERROR(IF($J101&gt;0,IF(INDEX('Invullen groen'!$J:$J,$J101)&lt;&gt;0,INDEX('Invullen groen'!$J:$J,$J101),""),""),"")</f>
        <v/>
      </c>
      <c r="I101" s="259">
        <f>IFERROR(IF($J101&gt;0,IF(INDEX('Invullen groen'!$K:$K,$J101)&lt;&gt;0,INDEX('Invullen groen'!$K:$K,$J101),""),""),"")</f>
        <v/>
      </c>
      <c r="J101">
        <f>IFERROR(MATCH(ROW()-4,'Invullen groen'!$P$17:$P$272,0)+16,0)</f>
        <v/>
      </c>
    </row>
    <row r="102" hidden="1" ht="15" customHeight="1" s="418">
      <c r="A102" s="260">
        <f>IFERROR(IF($J102&gt;0,ROW()-4,""),"")</f>
        <v/>
      </c>
      <c r="B102" s="260">
        <f>IFERROR(IF($J102&gt;0,INDEX('Invullen groen'!$A:$A,$J102),""),"")</f>
        <v/>
      </c>
      <c r="C102" s="260">
        <f>IFERROR(IF($J102&gt;0,INDEX('Invullen groen'!$C:$C,$J102),""),"")</f>
        <v/>
      </c>
      <c r="D102" s="260">
        <f>IFERROR(IF($J102&gt;0,INDEX('Invullen groen'!$D:$D,$J102),""),"")</f>
        <v/>
      </c>
      <c r="E102" s="260">
        <f>IFERROR(IF($J102&gt;0,INDEX('Invullen groen'!$G:$G,$J102),""),"")</f>
        <v/>
      </c>
      <c r="F102" s="261">
        <f>IFERROR(IF($J102&gt;0,IF(INDEX('Invullen groen'!$H:$H,$J102)&lt;&gt;0,INDEX('Invullen groen'!$H:$H,$J102),""),""),"")</f>
        <v/>
      </c>
      <c r="G102" s="261">
        <f>IFERROR(IF($J102&gt;0,IF(INDEX('Invullen groen'!$I:$I,$J102)&lt;&gt;0,INDEX('Invullen groen'!$I:$I,$J102),""),""),"")</f>
        <v/>
      </c>
      <c r="H102" s="261">
        <f>IFERROR(IF($J102&gt;0,IF(INDEX('Invullen groen'!$J:$J,$J102)&lt;&gt;0,INDEX('Invullen groen'!$J:$J,$J102),""),""),"")</f>
        <v/>
      </c>
      <c r="I102" s="261">
        <f>IFERROR(IF($J102&gt;0,IF(INDEX('Invullen groen'!$K:$K,$J102)&lt;&gt;0,INDEX('Invullen groen'!$K:$K,$J102),""),""),"")</f>
        <v/>
      </c>
      <c r="J102">
        <f>IFERROR(MATCH(ROW()-4,'Invullen groen'!$P$17:$P$272,0)+16,0)</f>
        <v/>
      </c>
    </row>
    <row r="103" hidden="1" ht="15" customHeight="1" s="418">
      <c r="A103" s="258">
        <f>IFERROR(IF($J103&gt;0,ROW()-4,""),"")</f>
        <v/>
      </c>
      <c r="B103" s="258">
        <f>IFERROR(IF($J103&gt;0,INDEX('Invullen groen'!$A:$A,$J103),""),"")</f>
        <v/>
      </c>
      <c r="C103" s="258">
        <f>IFERROR(IF($J103&gt;0,INDEX('Invullen groen'!$C:$C,$J103),""),"")</f>
        <v/>
      </c>
      <c r="D103" s="258">
        <f>IFERROR(IF($J103&gt;0,INDEX('Invullen groen'!$D:$D,$J103),""),"")</f>
        <v/>
      </c>
      <c r="E103" s="258">
        <f>IFERROR(IF($J103&gt;0,INDEX('Invullen groen'!$G:$G,$J103),""),"")</f>
        <v/>
      </c>
      <c r="F103" s="259">
        <f>IFERROR(IF($J103&gt;0,IF(INDEX('Invullen groen'!$H:$H,$J103)&lt;&gt;0,INDEX('Invullen groen'!$H:$H,$J103),""),""),"")</f>
        <v/>
      </c>
      <c r="G103" s="259">
        <f>IFERROR(IF($J103&gt;0,IF(INDEX('Invullen groen'!$I:$I,$J103)&lt;&gt;0,INDEX('Invullen groen'!$I:$I,$J103),""),""),"")</f>
        <v/>
      </c>
      <c r="H103" s="259">
        <f>IFERROR(IF($J103&gt;0,IF(INDEX('Invullen groen'!$J:$J,$J103)&lt;&gt;0,INDEX('Invullen groen'!$J:$J,$J103),""),""),"")</f>
        <v/>
      </c>
      <c r="I103" s="259">
        <f>IFERROR(IF($J103&gt;0,IF(INDEX('Invullen groen'!$K:$K,$J103)&lt;&gt;0,INDEX('Invullen groen'!$K:$K,$J103),""),""),"")</f>
        <v/>
      </c>
      <c r="J103">
        <f>IFERROR(MATCH(ROW()-4,'Invullen groen'!$P$17:$P$272,0)+16,0)</f>
        <v/>
      </c>
    </row>
    <row r="104" hidden="1" ht="15" customHeight="1" s="418">
      <c r="A104" s="260">
        <f>IFERROR(IF($J104&gt;0,ROW()-4,""),"")</f>
        <v/>
      </c>
      <c r="B104" s="260">
        <f>IFERROR(IF($J104&gt;0,INDEX('Invullen groen'!$A:$A,$J104),""),"")</f>
        <v/>
      </c>
      <c r="C104" s="260">
        <f>IFERROR(IF($J104&gt;0,INDEX('Invullen groen'!$C:$C,$J104),""),"")</f>
        <v/>
      </c>
      <c r="D104" s="260">
        <f>IFERROR(IF($J104&gt;0,INDEX('Invullen groen'!$D:$D,$J104),""),"")</f>
        <v/>
      </c>
      <c r="E104" s="260">
        <f>IFERROR(IF($J104&gt;0,INDEX('Invullen groen'!$G:$G,$J104),""),"")</f>
        <v/>
      </c>
      <c r="F104" s="261">
        <f>IFERROR(IF($J104&gt;0,IF(INDEX('Invullen groen'!$H:$H,$J104)&lt;&gt;0,INDEX('Invullen groen'!$H:$H,$J104),""),""),"")</f>
        <v/>
      </c>
      <c r="G104" s="261">
        <f>IFERROR(IF($J104&gt;0,IF(INDEX('Invullen groen'!$I:$I,$J104)&lt;&gt;0,INDEX('Invullen groen'!$I:$I,$J104),""),""),"")</f>
        <v/>
      </c>
      <c r="H104" s="261">
        <f>IFERROR(IF($J104&gt;0,IF(INDEX('Invullen groen'!$J:$J,$J104)&lt;&gt;0,INDEX('Invullen groen'!$J:$J,$J104),""),""),"")</f>
        <v/>
      </c>
      <c r="I104" s="261">
        <f>IFERROR(IF($J104&gt;0,IF(INDEX('Invullen groen'!$K:$K,$J104)&lt;&gt;0,INDEX('Invullen groen'!$K:$K,$J104),""),""),"")</f>
        <v/>
      </c>
      <c r="J104">
        <f>IFERROR(MATCH(ROW()-4,'Invullen groen'!$P$17:$P$272,0)+16,0)</f>
        <v/>
      </c>
    </row>
    <row r="105" hidden="1" ht="15" customHeight="1" s="418">
      <c r="A105" s="258">
        <f>IFERROR(IF($J105&gt;0,ROW()-4,""),"")</f>
        <v/>
      </c>
      <c r="B105" s="258">
        <f>IFERROR(IF($J105&gt;0,INDEX('Invullen groen'!$A:$A,$J105),""),"")</f>
        <v/>
      </c>
      <c r="C105" s="258">
        <f>IFERROR(IF($J105&gt;0,INDEX('Invullen groen'!$C:$C,$J105),""),"")</f>
        <v/>
      </c>
      <c r="D105" s="258">
        <f>IFERROR(IF($J105&gt;0,INDEX('Invullen groen'!$D:$D,$J105),""),"")</f>
        <v/>
      </c>
      <c r="E105" s="258">
        <f>IFERROR(IF($J105&gt;0,INDEX('Invullen groen'!$G:$G,$J105),""),"")</f>
        <v/>
      </c>
      <c r="F105" s="259">
        <f>IFERROR(IF($J105&gt;0,IF(INDEX('Invullen groen'!$H:$H,$J105)&lt;&gt;0,INDEX('Invullen groen'!$H:$H,$J105),""),""),"")</f>
        <v/>
      </c>
      <c r="G105" s="259">
        <f>IFERROR(IF($J105&gt;0,IF(INDEX('Invullen groen'!$I:$I,$J105)&lt;&gt;0,INDEX('Invullen groen'!$I:$I,$J105),""),""),"")</f>
        <v/>
      </c>
      <c r="H105" s="259">
        <f>IFERROR(IF($J105&gt;0,IF(INDEX('Invullen groen'!$J:$J,$J105)&lt;&gt;0,INDEX('Invullen groen'!$J:$J,$J105),""),""),"")</f>
        <v/>
      </c>
      <c r="I105" s="259">
        <f>IFERROR(IF($J105&gt;0,IF(INDEX('Invullen groen'!$K:$K,$J105)&lt;&gt;0,INDEX('Invullen groen'!$K:$K,$J105),""),""),"")</f>
        <v/>
      </c>
      <c r="J105">
        <f>IFERROR(MATCH(ROW()-4,'Invullen groen'!$P$17:$P$272,0)+16,0)</f>
        <v/>
      </c>
    </row>
    <row r="106" hidden="1" ht="15" customHeight="1" s="418">
      <c r="A106" s="260">
        <f>IFERROR(IF($J106&gt;0,ROW()-4,""),"")</f>
        <v/>
      </c>
      <c r="B106" s="260">
        <f>IFERROR(IF($J106&gt;0,INDEX('Invullen groen'!$A:$A,$J106),""),"")</f>
        <v/>
      </c>
      <c r="C106" s="260">
        <f>IFERROR(IF($J106&gt;0,INDEX('Invullen groen'!$C:$C,$J106),""),"")</f>
        <v/>
      </c>
      <c r="D106" s="260">
        <f>IFERROR(IF($J106&gt;0,INDEX('Invullen groen'!$D:$D,$J106),""),"")</f>
        <v/>
      </c>
      <c r="E106" s="260">
        <f>IFERROR(IF($J106&gt;0,INDEX('Invullen groen'!$G:$G,$J106),""),"")</f>
        <v/>
      </c>
      <c r="F106" s="261">
        <f>IFERROR(IF($J106&gt;0,IF(INDEX('Invullen groen'!$H:$H,$J106)&lt;&gt;0,INDEX('Invullen groen'!$H:$H,$J106),""),""),"")</f>
        <v/>
      </c>
      <c r="G106" s="261">
        <f>IFERROR(IF($J106&gt;0,IF(INDEX('Invullen groen'!$I:$I,$J106)&lt;&gt;0,INDEX('Invullen groen'!$I:$I,$J106),""),""),"")</f>
        <v/>
      </c>
      <c r="H106" s="261">
        <f>IFERROR(IF($J106&gt;0,IF(INDEX('Invullen groen'!$J:$J,$J106)&lt;&gt;0,INDEX('Invullen groen'!$J:$J,$J106),""),""),"")</f>
        <v/>
      </c>
      <c r="I106" s="261">
        <f>IFERROR(IF($J106&gt;0,IF(INDEX('Invullen groen'!$K:$K,$J106)&lt;&gt;0,INDEX('Invullen groen'!$K:$K,$J106),""),""),"")</f>
        <v/>
      </c>
      <c r="J106">
        <f>IFERROR(MATCH(ROW()-4,'Invullen groen'!$P$17:$P$272,0)+16,0)</f>
        <v/>
      </c>
    </row>
    <row r="107" hidden="1" ht="15" customHeight="1" s="418">
      <c r="A107" s="258">
        <f>IFERROR(IF($J107&gt;0,ROW()-4,""),"")</f>
        <v/>
      </c>
      <c r="B107" s="258">
        <f>IFERROR(IF($J107&gt;0,INDEX('Invullen groen'!$A:$A,$J107),""),"")</f>
        <v/>
      </c>
      <c r="C107" s="258">
        <f>IFERROR(IF($J107&gt;0,INDEX('Invullen groen'!$C:$C,$J107),""),"")</f>
        <v/>
      </c>
      <c r="D107" s="258">
        <f>IFERROR(IF($J107&gt;0,INDEX('Invullen groen'!$D:$D,$J107),""),"")</f>
        <v/>
      </c>
      <c r="E107" s="258">
        <f>IFERROR(IF($J107&gt;0,INDEX('Invullen groen'!$G:$G,$J107),""),"")</f>
        <v/>
      </c>
      <c r="F107" s="259">
        <f>IFERROR(IF($J107&gt;0,IF(INDEX('Invullen groen'!$H:$H,$J107)&lt;&gt;0,INDEX('Invullen groen'!$H:$H,$J107),""),""),"")</f>
        <v/>
      </c>
      <c r="G107" s="259">
        <f>IFERROR(IF($J107&gt;0,IF(INDEX('Invullen groen'!$I:$I,$J107)&lt;&gt;0,INDEX('Invullen groen'!$I:$I,$J107),""),""),"")</f>
        <v/>
      </c>
      <c r="H107" s="259">
        <f>IFERROR(IF($J107&gt;0,IF(INDEX('Invullen groen'!$J:$J,$J107)&lt;&gt;0,INDEX('Invullen groen'!$J:$J,$J107),""),""),"")</f>
        <v/>
      </c>
      <c r="I107" s="259">
        <f>IFERROR(IF($J107&gt;0,IF(INDEX('Invullen groen'!$K:$K,$J107)&lt;&gt;0,INDEX('Invullen groen'!$K:$K,$J107),""),""),"")</f>
        <v/>
      </c>
      <c r="J107">
        <f>IFERROR(MATCH(ROW()-4,'Invullen groen'!$P$17:$P$272,0)+16,0)</f>
        <v/>
      </c>
    </row>
    <row r="108" hidden="1" ht="15" customHeight="1" s="418">
      <c r="A108" s="260">
        <f>IFERROR(IF($J108&gt;0,ROW()-4,""),"")</f>
        <v/>
      </c>
      <c r="B108" s="260">
        <f>IFERROR(IF($J108&gt;0,INDEX('Invullen groen'!$A:$A,$J108),""),"")</f>
        <v/>
      </c>
      <c r="C108" s="260">
        <f>IFERROR(IF($J108&gt;0,INDEX('Invullen groen'!$C:$C,$J108),""),"")</f>
        <v/>
      </c>
      <c r="D108" s="260">
        <f>IFERROR(IF($J108&gt;0,INDEX('Invullen groen'!$D:$D,$J108),""),"")</f>
        <v/>
      </c>
      <c r="E108" s="260">
        <f>IFERROR(IF($J108&gt;0,INDEX('Invullen groen'!$G:$G,$J108),""),"")</f>
        <v/>
      </c>
      <c r="F108" s="261">
        <f>IFERROR(IF($J108&gt;0,IF(INDEX('Invullen groen'!$H:$H,$J108)&lt;&gt;0,INDEX('Invullen groen'!$H:$H,$J108),""),""),"")</f>
        <v/>
      </c>
      <c r="G108" s="261">
        <f>IFERROR(IF($J108&gt;0,IF(INDEX('Invullen groen'!$I:$I,$J108)&lt;&gt;0,INDEX('Invullen groen'!$I:$I,$J108),""),""),"")</f>
        <v/>
      </c>
      <c r="H108" s="261">
        <f>IFERROR(IF($J108&gt;0,IF(INDEX('Invullen groen'!$J:$J,$J108)&lt;&gt;0,INDEX('Invullen groen'!$J:$J,$J108),""),""),"")</f>
        <v/>
      </c>
      <c r="I108" s="261">
        <f>IFERROR(IF($J108&gt;0,IF(INDEX('Invullen groen'!$K:$K,$J108)&lt;&gt;0,INDEX('Invullen groen'!$K:$K,$J108),""),""),"")</f>
        <v/>
      </c>
      <c r="J108">
        <f>IFERROR(MATCH(ROW()-4,'Invullen groen'!$P$17:$P$272,0)+16,0)</f>
        <v/>
      </c>
    </row>
    <row r="109" hidden="1" ht="15" customHeight="1" s="418">
      <c r="A109" s="258">
        <f>IFERROR(IF($J109&gt;0,ROW()-4,""),"")</f>
        <v/>
      </c>
      <c r="B109" s="258">
        <f>IFERROR(IF($J109&gt;0,INDEX('Invullen groen'!$A:$A,$J109),""),"")</f>
        <v/>
      </c>
      <c r="C109" s="258">
        <f>IFERROR(IF($J109&gt;0,INDEX('Invullen groen'!$C:$C,$J109),""),"")</f>
        <v/>
      </c>
      <c r="D109" s="258">
        <f>IFERROR(IF($J109&gt;0,INDEX('Invullen groen'!$D:$D,$J109),""),"")</f>
        <v/>
      </c>
      <c r="E109" s="258">
        <f>IFERROR(IF($J109&gt;0,INDEX('Invullen groen'!$G:$G,$J109),""),"")</f>
        <v/>
      </c>
      <c r="F109" s="259">
        <f>IFERROR(IF($J109&gt;0,IF(INDEX('Invullen groen'!$H:$H,$J109)&lt;&gt;0,INDEX('Invullen groen'!$H:$H,$J109),""),""),"")</f>
        <v/>
      </c>
      <c r="G109" s="259">
        <f>IFERROR(IF($J109&gt;0,IF(INDEX('Invullen groen'!$I:$I,$J109)&lt;&gt;0,INDEX('Invullen groen'!$I:$I,$J109),""),""),"")</f>
        <v/>
      </c>
      <c r="H109" s="259">
        <f>IFERROR(IF($J109&gt;0,IF(INDEX('Invullen groen'!$J:$J,$J109)&lt;&gt;0,INDEX('Invullen groen'!$J:$J,$J109),""),""),"")</f>
        <v/>
      </c>
      <c r="I109" s="259">
        <f>IFERROR(IF($J109&gt;0,IF(INDEX('Invullen groen'!$K:$K,$J109)&lt;&gt;0,INDEX('Invullen groen'!$K:$K,$J109),""),""),"")</f>
        <v/>
      </c>
      <c r="J109">
        <f>IFERROR(MATCH(ROW()-4,'Invullen groen'!$P$17:$P$272,0)+16,0)</f>
        <v/>
      </c>
    </row>
    <row r="110" hidden="1" ht="15" customHeight="1" s="418">
      <c r="A110" s="260">
        <f>IFERROR(IF($J110&gt;0,ROW()-4,""),"")</f>
        <v/>
      </c>
      <c r="B110" s="260">
        <f>IFERROR(IF($J110&gt;0,INDEX('Invullen groen'!$A:$A,$J110),""),"")</f>
        <v/>
      </c>
      <c r="C110" s="260">
        <f>IFERROR(IF($J110&gt;0,INDEX('Invullen groen'!$C:$C,$J110),""),"")</f>
        <v/>
      </c>
      <c r="D110" s="260">
        <f>IFERROR(IF($J110&gt;0,INDEX('Invullen groen'!$D:$D,$J110),""),"")</f>
        <v/>
      </c>
      <c r="E110" s="260">
        <f>IFERROR(IF($J110&gt;0,INDEX('Invullen groen'!$G:$G,$J110),""),"")</f>
        <v/>
      </c>
      <c r="F110" s="261">
        <f>IFERROR(IF($J110&gt;0,IF(INDEX('Invullen groen'!$H:$H,$J110)&lt;&gt;0,INDEX('Invullen groen'!$H:$H,$J110),""),""),"")</f>
        <v/>
      </c>
      <c r="G110" s="261">
        <f>IFERROR(IF($J110&gt;0,IF(INDEX('Invullen groen'!$I:$I,$J110)&lt;&gt;0,INDEX('Invullen groen'!$I:$I,$J110),""),""),"")</f>
        <v/>
      </c>
      <c r="H110" s="261">
        <f>IFERROR(IF($J110&gt;0,IF(INDEX('Invullen groen'!$J:$J,$J110)&lt;&gt;0,INDEX('Invullen groen'!$J:$J,$J110),""),""),"")</f>
        <v/>
      </c>
      <c r="I110" s="261">
        <f>IFERROR(IF($J110&gt;0,IF(INDEX('Invullen groen'!$K:$K,$J110)&lt;&gt;0,INDEX('Invullen groen'!$K:$K,$J110),""),""),"")</f>
        <v/>
      </c>
      <c r="J110">
        <f>IFERROR(MATCH(ROW()-4,'Invullen groen'!$P$17:$P$272,0)+16,0)</f>
        <v/>
      </c>
    </row>
    <row r="111" hidden="1" ht="15" customHeight="1" s="418">
      <c r="A111" s="258">
        <f>IFERROR(IF($J111&gt;0,ROW()-4,""),"")</f>
        <v/>
      </c>
      <c r="B111" s="258">
        <f>IFERROR(IF($J111&gt;0,INDEX('Invullen groen'!$A:$A,$J111),""),"")</f>
        <v/>
      </c>
      <c r="C111" s="258">
        <f>IFERROR(IF($J111&gt;0,INDEX('Invullen groen'!$C:$C,$J111),""),"")</f>
        <v/>
      </c>
      <c r="D111" s="258">
        <f>IFERROR(IF($J111&gt;0,INDEX('Invullen groen'!$D:$D,$J111),""),"")</f>
        <v/>
      </c>
      <c r="E111" s="258">
        <f>IFERROR(IF($J111&gt;0,INDEX('Invullen groen'!$G:$G,$J111),""),"")</f>
        <v/>
      </c>
      <c r="F111" s="259">
        <f>IFERROR(IF($J111&gt;0,IF(INDEX('Invullen groen'!$H:$H,$J111)&lt;&gt;0,INDEX('Invullen groen'!$H:$H,$J111),""),""),"")</f>
        <v/>
      </c>
      <c r="G111" s="259">
        <f>IFERROR(IF($J111&gt;0,IF(INDEX('Invullen groen'!$I:$I,$J111)&lt;&gt;0,INDEX('Invullen groen'!$I:$I,$J111),""),""),"")</f>
        <v/>
      </c>
      <c r="H111" s="259">
        <f>IFERROR(IF($J111&gt;0,IF(INDEX('Invullen groen'!$J:$J,$J111)&lt;&gt;0,INDEX('Invullen groen'!$J:$J,$J111),""),""),"")</f>
        <v/>
      </c>
      <c r="I111" s="259">
        <f>IFERROR(IF($J111&gt;0,IF(INDEX('Invullen groen'!$K:$K,$J111)&lt;&gt;0,INDEX('Invullen groen'!$K:$K,$J111),""),""),"")</f>
        <v/>
      </c>
      <c r="J111">
        <f>IFERROR(MATCH(ROW()-4,'Invullen groen'!$P$17:$P$272,0)+16,0)</f>
        <v/>
      </c>
    </row>
    <row r="112" hidden="1" ht="15" customHeight="1" s="418">
      <c r="A112" s="260">
        <f>IFERROR(IF($J112&gt;0,ROW()-4,""),"")</f>
        <v/>
      </c>
      <c r="B112" s="260">
        <f>IFERROR(IF($J112&gt;0,INDEX('Invullen groen'!$A:$A,$J112),""),"")</f>
        <v/>
      </c>
      <c r="C112" s="260">
        <f>IFERROR(IF($J112&gt;0,INDEX('Invullen groen'!$C:$C,$J112),""),"")</f>
        <v/>
      </c>
      <c r="D112" s="260">
        <f>IFERROR(IF($J112&gt;0,INDEX('Invullen groen'!$D:$D,$J112),""),"")</f>
        <v/>
      </c>
      <c r="E112" s="260">
        <f>IFERROR(IF($J112&gt;0,INDEX('Invullen groen'!$G:$G,$J112),""),"")</f>
        <v/>
      </c>
      <c r="F112" s="261">
        <f>IFERROR(IF($J112&gt;0,IF(INDEX('Invullen groen'!$H:$H,$J112)&lt;&gt;0,INDEX('Invullen groen'!$H:$H,$J112),""),""),"")</f>
        <v/>
      </c>
      <c r="G112" s="261">
        <f>IFERROR(IF($J112&gt;0,IF(INDEX('Invullen groen'!$I:$I,$J112)&lt;&gt;0,INDEX('Invullen groen'!$I:$I,$J112),""),""),"")</f>
        <v/>
      </c>
      <c r="H112" s="261">
        <f>IFERROR(IF($J112&gt;0,IF(INDEX('Invullen groen'!$J:$J,$J112)&lt;&gt;0,INDEX('Invullen groen'!$J:$J,$J112),""),""),"")</f>
        <v/>
      </c>
      <c r="I112" s="261">
        <f>IFERROR(IF($J112&gt;0,IF(INDEX('Invullen groen'!$K:$K,$J112)&lt;&gt;0,INDEX('Invullen groen'!$K:$K,$J112),""),""),"")</f>
        <v/>
      </c>
      <c r="J112">
        <f>IFERROR(MATCH(ROW()-4,'Invullen groen'!$P$17:$P$272,0)+16,0)</f>
        <v/>
      </c>
    </row>
    <row r="113" hidden="1" ht="15" customHeight="1" s="418">
      <c r="A113" s="258">
        <f>IFERROR(IF($J113&gt;0,ROW()-4,""),"")</f>
        <v/>
      </c>
      <c r="B113" s="258">
        <f>IFERROR(IF($J113&gt;0,INDEX('Invullen groen'!$A:$A,$J113),""),"")</f>
        <v/>
      </c>
      <c r="C113" s="258">
        <f>IFERROR(IF($J113&gt;0,INDEX('Invullen groen'!$C:$C,$J113),""),"")</f>
        <v/>
      </c>
      <c r="D113" s="258">
        <f>IFERROR(IF($J113&gt;0,INDEX('Invullen groen'!$D:$D,$J113),""),"")</f>
        <v/>
      </c>
      <c r="E113" s="258">
        <f>IFERROR(IF($J113&gt;0,INDEX('Invullen groen'!$G:$G,$J113),""),"")</f>
        <v/>
      </c>
      <c r="F113" s="259">
        <f>IFERROR(IF($J113&gt;0,IF(INDEX('Invullen groen'!$H:$H,$J113)&lt;&gt;0,INDEX('Invullen groen'!$H:$H,$J113),""),""),"")</f>
        <v/>
      </c>
      <c r="G113" s="259">
        <f>IFERROR(IF($J113&gt;0,IF(INDEX('Invullen groen'!$I:$I,$J113)&lt;&gt;0,INDEX('Invullen groen'!$I:$I,$J113),""),""),"")</f>
        <v/>
      </c>
      <c r="H113" s="259">
        <f>IFERROR(IF($J113&gt;0,IF(INDEX('Invullen groen'!$J:$J,$J113)&lt;&gt;0,INDEX('Invullen groen'!$J:$J,$J113),""),""),"")</f>
        <v/>
      </c>
      <c r="I113" s="259">
        <f>IFERROR(IF($J113&gt;0,IF(INDEX('Invullen groen'!$K:$K,$J113)&lt;&gt;0,INDEX('Invullen groen'!$K:$K,$J113),""),""),"")</f>
        <v/>
      </c>
      <c r="J113">
        <f>IFERROR(MATCH(ROW()-4,'Invullen groen'!$P$17:$P$272,0)+16,0)</f>
        <v/>
      </c>
    </row>
    <row r="114" hidden="1" ht="15" customHeight="1" s="418">
      <c r="A114" s="260">
        <f>IFERROR(IF($J114&gt;0,ROW()-4,""),"")</f>
        <v/>
      </c>
      <c r="B114" s="260">
        <f>IFERROR(IF($J114&gt;0,INDEX('Invullen groen'!$A:$A,$J114),""),"")</f>
        <v/>
      </c>
      <c r="C114" s="260">
        <f>IFERROR(IF($J114&gt;0,INDEX('Invullen groen'!$C:$C,$J114),""),"")</f>
        <v/>
      </c>
      <c r="D114" s="260">
        <f>IFERROR(IF($J114&gt;0,INDEX('Invullen groen'!$D:$D,$J114),""),"")</f>
        <v/>
      </c>
      <c r="E114" s="260">
        <f>IFERROR(IF($J114&gt;0,INDEX('Invullen groen'!$G:$G,$J114),""),"")</f>
        <v/>
      </c>
      <c r="F114" s="261">
        <f>IFERROR(IF($J114&gt;0,IF(INDEX('Invullen groen'!$H:$H,$J114)&lt;&gt;0,INDEX('Invullen groen'!$H:$H,$J114),""),""),"")</f>
        <v/>
      </c>
      <c r="G114" s="261">
        <f>IFERROR(IF($J114&gt;0,IF(INDEX('Invullen groen'!$I:$I,$J114)&lt;&gt;0,INDEX('Invullen groen'!$I:$I,$J114),""),""),"")</f>
        <v/>
      </c>
      <c r="H114" s="261">
        <f>IFERROR(IF($J114&gt;0,IF(INDEX('Invullen groen'!$J:$J,$J114)&lt;&gt;0,INDEX('Invullen groen'!$J:$J,$J114),""),""),"")</f>
        <v/>
      </c>
      <c r="I114" s="261">
        <f>IFERROR(IF($J114&gt;0,IF(INDEX('Invullen groen'!$K:$K,$J114)&lt;&gt;0,INDEX('Invullen groen'!$K:$K,$J114),""),""),"")</f>
        <v/>
      </c>
      <c r="J114">
        <f>IFERROR(MATCH(ROW()-4,'Invullen groen'!$P$17:$P$272,0)+16,0)</f>
        <v/>
      </c>
    </row>
    <row r="115" hidden="1" ht="15" customHeight="1" s="418">
      <c r="A115" s="258">
        <f>IFERROR(IF($J115&gt;0,ROW()-4,""),"")</f>
        <v/>
      </c>
      <c r="B115" s="258">
        <f>IFERROR(IF($J115&gt;0,INDEX('Invullen groen'!$A:$A,$J115),""),"")</f>
        <v/>
      </c>
      <c r="C115" s="258">
        <f>IFERROR(IF($J115&gt;0,INDEX('Invullen groen'!$C:$C,$J115),""),"")</f>
        <v/>
      </c>
      <c r="D115" s="258">
        <f>IFERROR(IF($J115&gt;0,INDEX('Invullen groen'!$D:$D,$J115),""),"")</f>
        <v/>
      </c>
      <c r="E115" s="258">
        <f>IFERROR(IF($J115&gt;0,INDEX('Invullen groen'!$G:$G,$J115),""),"")</f>
        <v/>
      </c>
      <c r="F115" s="259">
        <f>IFERROR(IF($J115&gt;0,IF(INDEX('Invullen groen'!$H:$H,$J115)&lt;&gt;0,INDEX('Invullen groen'!$H:$H,$J115),""),""),"")</f>
        <v/>
      </c>
      <c r="G115" s="259">
        <f>IFERROR(IF($J115&gt;0,IF(INDEX('Invullen groen'!$I:$I,$J115)&lt;&gt;0,INDEX('Invullen groen'!$I:$I,$J115),""),""),"")</f>
        <v/>
      </c>
      <c r="H115" s="259">
        <f>IFERROR(IF($J115&gt;0,IF(INDEX('Invullen groen'!$J:$J,$J115)&lt;&gt;0,INDEX('Invullen groen'!$J:$J,$J115),""),""),"")</f>
        <v/>
      </c>
      <c r="I115" s="259">
        <f>IFERROR(IF($J115&gt;0,IF(INDEX('Invullen groen'!$K:$K,$J115)&lt;&gt;0,INDEX('Invullen groen'!$K:$K,$J115),""),""),"")</f>
        <v/>
      </c>
      <c r="J115">
        <f>IFERROR(MATCH(ROW()-4,'Invullen groen'!$P$17:$P$272,0)+16,0)</f>
        <v/>
      </c>
    </row>
    <row r="116" hidden="1" ht="15" customHeight="1" s="418">
      <c r="A116" s="260">
        <f>IFERROR(IF($J116&gt;0,ROW()-4,""),"")</f>
        <v/>
      </c>
      <c r="B116" s="260">
        <f>IFERROR(IF($J116&gt;0,INDEX('Invullen groen'!$A:$A,$J116),""),"")</f>
        <v/>
      </c>
      <c r="C116" s="260">
        <f>IFERROR(IF($J116&gt;0,INDEX('Invullen groen'!$C:$C,$J116),""),"")</f>
        <v/>
      </c>
      <c r="D116" s="260">
        <f>IFERROR(IF($J116&gt;0,INDEX('Invullen groen'!$D:$D,$J116),""),"")</f>
        <v/>
      </c>
      <c r="E116" s="260">
        <f>IFERROR(IF($J116&gt;0,INDEX('Invullen groen'!$G:$G,$J116),""),"")</f>
        <v/>
      </c>
      <c r="F116" s="261">
        <f>IFERROR(IF($J116&gt;0,IF(INDEX('Invullen groen'!$H:$H,$J116)&lt;&gt;0,INDEX('Invullen groen'!$H:$H,$J116),""),""),"")</f>
        <v/>
      </c>
      <c r="G116" s="261">
        <f>IFERROR(IF($J116&gt;0,IF(INDEX('Invullen groen'!$I:$I,$J116)&lt;&gt;0,INDEX('Invullen groen'!$I:$I,$J116),""),""),"")</f>
        <v/>
      </c>
      <c r="H116" s="261">
        <f>IFERROR(IF($J116&gt;0,IF(INDEX('Invullen groen'!$J:$J,$J116)&lt;&gt;0,INDEX('Invullen groen'!$J:$J,$J116),""),""),"")</f>
        <v/>
      </c>
      <c r="I116" s="261">
        <f>IFERROR(IF($J116&gt;0,IF(INDEX('Invullen groen'!$K:$K,$J116)&lt;&gt;0,INDEX('Invullen groen'!$K:$K,$J116),""),""),"")</f>
        <v/>
      </c>
      <c r="J116">
        <f>IFERROR(MATCH(ROW()-4,'Invullen groen'!$P$17:$P$272,0)+16,0)</f>
        <v/>
      </c>
    </row>
    <row r="117" hidden="1" ht="15" customHeight="1" s="418">
      <c r="A117" s="258">
        <f>IFERROR(IF($J117&gt;0,ROW()-4,""),"")</f>
        <v/>
      </c>
      <c r="B117" s="258">
        <f>IFERROR(IF($J117&gt;0,INDEX('Invullen groen'!$A:$A,$J117),""),"")</f>
        <v/>
      </c>
      <c r="C117" s="258">
        <f>IFERROR(IF($J117&gt;0,INDEX('Invullen groen'!$C:$C,$J117),""),"")</f>
        <v/>
      </c>
      <c r="D117" s="258">
        <f>IFERROR(IF($J117&gt;0,INDEX('Invullen groen'!$D:$D,$J117),""),"")</f>
        <v/>
      </c>
      <c r="E117" s="258">
        <f>IFERROR(IF($J117&gt;0,INDEX('Invullen groen'!$G:$G,$J117),""),"")</f>
        <v/>
      </c>
      <c r="F117" s="259">
        <f>IFERROR(IF($J117&gt;0,IF(INDEX('Invullen groen'!$H:$H,$J117)&lt;&gt;0,INDEX('Invullen groen'!$H:$H,$J117),""),""),"")</f>
        <v/>
      </c>
      <c r="G117" s="259">
        <f>IFERROR(IF($J117&gt;0,IF(INDEX('Invullen groen'!$I:$I,$J117)&lt;&gt;0,INDEX('Invullen groen'!$I:$I,$J117),""),""),"")</f>
        <v/>
      </c>
      <c r="H117" s="259">
        <f>IFERROR(IF($J117&gt;0,IF(INDEX('Invullen groen'!$J:$J,$J117)&lt;&gt;0,INDEX('Invullen groen'!$J:$J,$J117),""),""),"")</f>
        <v/>
      </c>
      <c r="I117" s="259">
        <f>IFERROR(IF($J117&gt;0,IF(INDEX('Invullen groen'!$K:$K,$J117)&lt;&gt;0,INDEX('Invullen groen'!$K:$K,$J117),""),""),"")</f>
        <v/>
      </c>
      <c r="J117">
        <f>IFERROR(MATCH(ROW()-4,'Invullen groen'!$P$17:$P$272,0)+16,0)</f>
        <v/>
      </c>
    </row>
    <row r="118" hidden="1" ht="15" customHeight="1" s="418">
      <c r="A118" s="260">
        <f>IFERROR(IF($J118&gt;0,ROW()-4,""),"")</f>
        <v/>
      </c>
      <c r="B118" s="260">
        <f>IFERROR(IF($J118&gt;0,INDEX('Invullen groen'!$A:$A,$J118),""),"")</f>
        <v/>
      </c>
      <c r="C118" s="260">
        <f>IFERROR(IF($J118&gt;0,INDEX('Invullen groen'!$C:$C,$J118),""),"")</f>
        <v/>
      </c>
      <c r="D118" s="260">
        <f>IFERROR(IF($J118&gt;0,INDEX('Invullen groen'!$D:$D,$J118),""),"")</f>
        <v/>
      </c>
      <c r="E118" s="260">
        <f>IFERROR(IF($J118&gt;0,INDEX('Invullen groen'!$G:$G,$J118),""),"")</f>
        <v/>
      </c>
      <c r="F118" s="261">
        <f>IFERROR(IF($J118&gt;0,IF(INDEX('Invullen groen'!$H:$H,$J118)&lt;&gt;0,INDEX('Invullen groen'!$H:$H,$J118),""),""),"")</f>
        <v/>
      </c>
      <c r="G118" s="261">
        <f>IFERROR(IF($J118&gt;0,IF(INDEX('Invullen groen'!$I:$I,$J118)&lt;&gt;0,INDEX('Invullen groen'!$I:$I,$J118),""),""),"")</f>
        <v/>
      </c>
      <c r="H118" s="261">
        <f>IFERROR(IF($J118&gt;0,IF(INDEX('Invullen groen'!$J:$J,$J118)&lt;&gt;0,INDEX('Invullen groen'!$J:$J,$J118),""),""),"")</f>
        <v/>
      </c>
      <c r="I118" s="261">
        <f>IFERROR(IF($J118&gt;0,IF(INDEX('Invullen groen'!$K:$K,$J118)&lt;&gt;0,INDEX('Invullen groen'!$K:$K,$J118),""),""),"")</f>
        <v/>
      </c>
      <c r="J118">
        <f>IFERROR(MATCH(ROW()-4,'Invullen groen'!$P$17:$P$272,0)+16,0)</f>
        <v/>
      </c>
    </row>
    <row r="119" hidden="1" ht="15" customHeight="1" s="418">
      <c r="A119" s="258">
        <f>IFERROR(IF($J119&gt;0,ROW()-4,""),"")</f>
        <v/>
      </c>
      <c r="B119" s="258">
        <f>IFERROR(IF($J119&gt;0,INDEX('Invullen groen'!$A:$A,$J119),""),"")</f>
        <v/>
      </c>
      <c r="C119" s="258">
        <f>IFERROR(IF($J119&gt;0,INDEX('Invullen groen'!$C:$C,$J119),""),"")</f>
        <v/>
      </c>
      <c r="D119" s="258">
        <f>IFERROR(IF($J119&gt;0,INDEX('Invullen groen'!$D:$D,$J119),""),"")</f>
        <v/>
      </c>
      <c r="E119" s="258">
        <f>IFERROR(IF($J119&gt;0,INDEX('Invullen groen'!$G:$G,$J119),""),"")</f>
        <v/>
      </c>
      <c r="F119" s="259">
        <f>IFERROR(IF($J119&gt;0,IF(INDEX('Invullen groen'!$H:$H,$J119)&lt;&gt;0,INDEX('Invullen groen'!$H:$H,$J119),""),""),"")</f>
        <v/>
      </c>
      <c r="G119" s="259">
        <f>IFERROR(IF($J119&gt;0,IF(INDEX('Invullen groen'!$I:$I,$J119)&lt;&gt;0,INDEX('Invullen groen'!$I:$I,$J119),""),""),"")</f>
        <v/>
      </c>
      <c r="H119" s="259">
        <f>IFERROR(IF($J119&gt;0,IF(INDEX('Invullen groen'!$J:$J,$J119)&lt;&gt;0,INDEX('Invullen groen'!$J:$J,$J119),""),""),"")</f>
        <v/>
      </c>
      <c r="I119" s="259">
        <f>IFERROR(IF($J119&gt;0,IF(INDEX('Invullen groen'!$K:$K,$J119)&lt;&gt;0,INDEX('Invullen groen'!$K:$K,$J119),""),""),"")</f>
        <v/>
      </c>
      <c r="J119">
        <f>IFERROR(MATCH(ROW()-4,'Invullen groen'!$P$17:$P$272,0)+16,0)</f>
        <v/>
      </c>
    </row>
    <row r="120" hidden="1" ht="15" customHeight="1" s="418">
      <c r="A120" s="260">
        <f>IFERROR(IF($J120&gt;0,ROW()-4,""),"")</f>
        <v/>
      </c>
      <c r="B120" s="260">
        <f>IFERROR(IF($J120&gt;0,INDEX('Invullen groen'!$A:$A,$J120),""),"")</f>
        <v/>
      </c>
      <c r="C120" s="260">
        <f>IFERROR(IF($J120&gt;0,INDEX('Invullen groen'!$C:$C,$J120),""),"")</f>
        <v/>
      </c>
      <c r="D120" s="260">
        <f>IFERROR(IF($J120&gt;0,INDEX('Invullen groen'!$D:$D,$J120),""),"")</f>
        <v/>
      </c>
      <c r="E120" s="260">
        <f>IFERROR(IF($J120&gt;0,INDEX('Invullen groen'!$G:$G,$J120),""),"")</f>
        <v/>
      </c>
      <c r="F120" s="261">
        <f>IFERROR(IF($J120&gt;0,IF(INDEX('Invullen groen'!$H:$H,$J120)&lt;&gt;0,INDEX('Invullen groen'!$H:$H,$J120),""),""),"")</f>
        <v/>
      </c>
      <c r="G120" s="261">
        <f>IFERROR(IF($J120&gt;0,IF(INDEX('Invullen groen'!$I:$I,$J120)&lt;&gt;0,INDEX('Invullen groen'!$I:$I,$J120),""),""),"")</f>
        <v/>
      </c>
      <c r="H120" s="261">
        <f>IFERROR(IF($J120&gt;0,IF(INDEX('Invullen groen'!$J:$J,$J120)&lt;&gt;0,INDEX('Invullen groen'!$J:$J,$J120),""),""),"")</f>
        <v/>
      </c>
      <c r="I120" s="261">
        <f>IFERROR(IF($J120&gt;0,IF(INDEX('Invullen groen'!$K:$K,$J120)&lt;&gt;0,INDEX('Invullen groen'!$K:$K,$J120),""),""),"")</f>
        <v/>
      </c>
      <c r="J120">
        <f>IFERROR(MATCH(ROW()-4,'Invullen groen'!$P$17:$P$272,0)+16,0)</f>
        <v/>
      </c>
    </row>
    <row r="121" hidden="1" ht="15" customHeight="1" s="418">
      <c r="A121" s="258">
        <f>IFERROR(IF($J121&gt;0,ROW()-4,""),"")</f>
        <v/>
      </c>
      <c r="B121" s="258">
        <f>IFERROR(IF($J121&gt;0,INDEX('Invullen groen'!$A:$A,$J121),""),"")</f>
        <v/>
      </c>
      <c r="C121" s="258">
        <f>IFERROR(IF($J121&gt;0,INDEX('Invullen groen'!$C:$C,$J121),""),"")</f>
        <v/>
      </c>
      <c r="D121" s="258">
        <f>IFERROR(IF($J121&gt;0,INDEX('Invullen groen'!$D:$D,$J121),""),"")</f>
        <v/>
      </c>
      <c r="E121" s="258">
        <f>IFERROR(IF($J121&gt;0,INDEX('Invullen groen'!$G:$G,$J121),""),"")</f>
        <v/>
      </c>
      <c r="F121" s="259">
        <f>IFERROR(IF($J121&gt;0,IF(INDEX('Invullen groen'!$H:$H,$J121)&lt;&gt;0,INDEX('Invullen groen'!$H:$H,$J121),""),""),"")</f>
        <v/>
      </c>
      <c r="G121" s="259">
        <f>IFERROR(IF($J121&gt;0,IF(INDEX('Invullen groen'!$I:$I,$J121)&lt;&gt;0,INDEX('Invullen groen'!$I:$I,$J121),""),""),"")</f>
        <v/>
      </c>
      <c r="H121" s="259">
        <f>IFERROR(IF($J121&gt;0,IF(INDEX('Invullen groen'!$J:$J,$J121)&lt;&gt;0,INDEX('Invullen groen'!$J:$J,$J121),""),""),"")</f>
        <v/>
      </c>
      <c r="I121" s="259">
        <f>IFERROR(IF($J121&gt;0,IF(INDEX('Invullen groen'!$K:$K,$J121)&lt;&gt;0,INDEX('Invullen groen'!$K:$K,$J121),""),""),"")</f>
        <v/>
      </c>
      <c r="J121">
        <f>IFERROR(MATCH(ROW()-4,'Invullen groen'!$P$17:$P$272,0)+16,0)</f>
        <v/>
      </c>
    </row>
    <row r="122" hidden="1" ht="15" customHeight="1" s="418">
      <c r="A122" s="260">
        <f>IFERROR(IF($J122&gt;0,ROW()-4,""),"")</f>
        <v/>
      </c>
      <c r="B122" s="260">
        <f>IFERROR(IF($J122&gt;0,INDEX('Invullen groen'!$A:$A,$J122),""),"")</f>
        <v/>
      </c>
      <c r="C122" s="260">
        <f>IFERROR(IF($J122&gt;0,INDEX('Invullen groen'!$C:$C,$J122),""),"")</f>
        <v/>
      </c>
      <c r="D122" s="260">
        <f>IFERROR(IF($J122&gt;0,INDEX('Invullen groen'!$D:$D,$J122),""),"")</f>
        <v/>
      </c>
      <c r="E122" s="260">
        <f>IFERROR(IF($J122&gt;0,INDEX('Invullen groen'!$G:$G,$J122),""),"")</f>
        <v/>
      </c>
      <c r="F122" s="261">
        <f>IFERROR(IF($J122&gt;0,IF(INDEX('Invullen groen'!$H:$H,$J122)&lt;&gt;0,INDEX('Invullen groen'!$H:$H,$J122),""),""),"")</f>
        <v/>
      </c>
      <c r="G122" s="261">
        <f>IFERROR(IF($J122&gt;0,IF(INDEX('Invullen groen'!$I:$I,$J122)&lt;&gt;0,INDEX('Invullen groen'!$I:$I,$J122),""),""),"")</f>
        <v/>
      </c>
      <c r="H122" s="261">
        <f>IFERROR(IF($J122&gt;0,IF(INDEX('Invullen groen'!$J:$J,$J122)&lt;&gt;0,INDEX('Invullen groen'!$J:$J,$J122),""),""),"")</f>
        <v/>
      </c>
      <c r="I122" s="261">
        <f>IFERROR(IF($J122&gt;0,IF(INDEX('Invullen groen'!$K:$K,$J122)&lt;&gt;0,INDEX('Invullen groen'!$K:$K,$J122),""),""),"")</f>
        <v/>
      </c>
      <c r="J122">
        <f>IFERROR(MATCH(ROW()-4,'Invullen groen'!$P$17:$P$272,0)+16,0)</f>
        <v/>
      </c>
    </row>
    <row r="123" hidden="1" ht="15" customHeight="1" s="418">
      <c r="A123" s="258">
        <f>IFERROR(IF($J123&gt;0,ROW()-4,""),"")</f>
        <v/>
      </c>
      <c r="B123" s="258">
        <f>IFERROR(IF($J123&gt;0,INDEX('Invullen groen'!$A:$A,$J123),""),"")</f>
        <v/>
      </c>
      <c r="C123" s="258">
        <f>IFERROR(IF($J123&gt;0,INDEX('Invullen groen'!$C:$C,$J123),""),"")</f>
        <v/>
      </c>
      <c r="D123" s="258">
        <f>IFERROR(IF($J123&gt;0,INDEX('Invullen groen'!$D:$D,$J123),""),"")</f>
        <v/>
      </c>
      <c r="E123" s="258">
        <f>IFERROR(IF($J123&gt;0,INDEX('Invullen groen'!$G:$G,$J123),""),"")</f>
        <v/>
      </c>
      <c r="F123" s="259">
        <f>IFERROR(IF($J123&gt;0,IF(INDEX('Invullen groen'!$H:$H,$J123)&lt;&gt;0,INDEX('Invullen groen'!$H:$H,$J123),""),""),"")</f>
        <v/>
      </c>
      <c r="G123" s="259">
        <f>IFERROR(IF($J123&gt;0,IF(INDEX('Invullen groen'!$I:$I,$J123)&lt;&gt;0,INDEX('Invullen groen'!$I:$I,$J123),""),""),"")</f>
        <v/>
      </c>
      <c r="H123" s="259">
        <f>IFERROR(IF($J123&gt;0,IF(INDEX('Invullen groen'!$J:$J,$J123)&lt;&gt;0,INDEX('Invullen groen'!$J:$J,$J123),""),""),"")</f>
        <v/>
      </c>
      <c r="I123" s="259">
        <f>IFERROR(IF($J123&gt;0,IF(INDEX('Invullen groen'!$K:$K,$J123)&lt;&gt;0,INDEX('Invullen groen'!$K:$K,$J123),""),""),"")</f>
        <v/>
      </c>
      <c r="J123">
        <f>IFERROR(MATCH(ROW()-4,'Invullen groen'!$P$17:$P$272,0)+16,0)</f>
        <v/>
      </c>
    </row>
    <row r="124" hidden="1" ht="15" customHeight="1" s="418">
      <c r="A124" s="260">
        <f>IFERROR(IF($J124&gt;0,ROW()-4,""),"")</f>
        <v/>
      </c>
      <c r="B124" s="260">
        <f>IFERROR(IF($J124&gt;0,INDEX('Invullen groen'!$A:$A,$J124),""),"")</f>
        <v/>
      </c>
      <c r="C124" s="260">
        <f>IFERROR(IF($J124&gt;0,INDEX('Invullen groen'!$C:$C,$J124),""),"")</f>
        <v/>
      </c>
      <c r="D124" s="260">
        <f>IFERROR(IF($J124&gt;0,INDEX('Invullen groen'!$D:$D,$J124),""),"")</f>
        <v/>
      </c>
      <c r="E124" s="260">
        <f>IFERROR(IF($J124&gt;0,INDEX('Invullen groen'!$G:$G,$J124),""),"")</f>
        <v/>
      </c>
      <c r="F124" s="261">
        <f>IFERROR(IF($J124&gt;0,IF(INDEX('Invullen groen'!$H:$H,$J124)&lt;&gt;0,INDEX('Invullen groen'!$H:$H,$J124),""),""),"")</f>
        <v/>
      </c>
      <c r="G124" s="261">
        <f>IFERROR(IF($J124&gt;0,IF(INDEX('Invullen groen'!$I:$I,$J124)&lt;&gt;0,INDEX('Invullen groen'!$I:$I,$J124),""),""),"")</f>
        <v/>
      </c>
      <c r="H124" s="261">
        <f>IFERROR(IF($J124&gt;0,IF(INDEX('Invullen groen'!$J:$J,$J124)&lt;&gt;0,INDEX('Invullen groen'!$J:$J,$J124),""),""),"")</f>
        <v/>
      </c>
      <c r="I124" s="261">
        <f>IFERROR(IF($J124&gt;0,IF(INDEX('Invullen groen'!$K:$K,$J124)&lt;&gt;0,INDEX('Invullen groen'!$K:$K,$J124),""),""),"")</f>
        <v/>
      </c>
      <c r="J124">
        <f>IFERROR(MATCH(ROW()-4,'Invullen groen'!$P$17:$P$272,0)+16,0)</f>
        <v/>
      </c>
    </row>
    <row r="125" hidden="1" ht="15" customHeight="1" s="418">
      <c r="A125" s="258">
        <f>IFERROR(IF($J125&gt;0,ROW()-4,""),"")</f>
        <v/>
      </c>
      <c r="B125" s="258">
        <f>IFERROR(IF($J125&gt;0,INDEX('Invullen groen'!$A:$A,$J125),""),"")</f>
        <v/>
      </c>
      <c r="C125" s="258">
        <f>IFERROR(IF($J125&gt;0,INDEX('Invullen groen'!$C:$C,$J125),""),"")</f>
        <v/>
      </c>
      <c r="D125" s="258">
        <f>IFERROR(IF($J125&gt;0,INDEX('Invullen groen'!$D:$D,$J125),""),"")</f>
        <v/>
      </c>
      <c r="E125" s="258">
        <f>IFERROR(IF($J125&gt;0,INDEX('Invullen groen'!$G:$G,$J125),""),"")</f>
        <v/>
      </c>
      <c r="F125" s="259">
        <f>IFERROR(IF($J125&gt;0,IF(INDEX('Invullen groen'!$H:$H,$J125)&lt;&gt;0,INDEX('Invullen groen'!$H:$H,$J125),""),""),"")</f>
        <v/>
      </c>
      <c r="G125" s="259">
        <f>IFERROR(IF($J125&gt;0,IF(INDEX('Invullen groen'!$I:$I,$J125)&lt;&gt;0,INDEX('Invullen groen'!$I:$I,$J125),""),""),"")</f>
        <v/>
      </c>
      <c r="H125" s="259">
        <f>IFERROR(IF($J125&gt;0,IF(INDEX('Invullen groen'!$J:$J,$J125)&lt;&gt;0,INDEX('Invullen groen'!$J:$J,$J125),""),""),"")</f>
        <v/>
      </c>
      <c r="I125" s="259">
        <f>IFERROR(IF($J125&gt;0,IF(INDEX('Invullen groen'!$K:$K,$J125)&lt;&gt;0,INDEX('Invullen groen'!$K:$K,$J125),""),""),"")</f>
        <v/>
      </c>
      <c r="J125">
        <f>IFERROR(MATCH(ROW()-4,'Invullen groen'!$P$17:$P$272,0)+16,0)</f>
        <v/>
      </c>
    </row>
    <row r="126" hidden="1" ht="15" customHeight="1" s="418">
      <c r="A126" s="260">
        <f>IFERROR(IF($J126&gt;0,ROW()-4,""),"")</f>
        <v/>
      </c>
      <c r="B126" s="260">
        <f>IFERROR(IF($J126&gt;0,INDEX('Invullen groen'!$A:$A,$J126),""),"")</f>
        <v/>
      </c>
      <c r="C126" s="260">
        <f>IFERROR(IF($J126&gt;0,INDEX('Invullen groen'!$C:$C,$J126),""),"")</f>
        <v/>
      </c>
      <c r="D126" s="260">
        <f>IFERROR(IF($J126&gt;0,INDEX('Invullen groen'!$D:$D,$J126),""),"")</f>
        <v/>
      </c>
      <c r="E126" s="260">
        <f>IFERROR(IF($J126&gt;0,INDEX('Invullen groen'!$G:$G,$J126),""),"")</f>
        <v/>
      </c>
      <c r="F126" s="261">
        <f>IFERROR(IF($J126&gt;0,IF(INDEX('Invullen groen'!$H:$H,$J126)&lt;&gt;0,INDEX('Invullen groen'!$H:$H,$J126),""),""),"")</f>
        <v/>
      </c>
      <c r="G126" s="261">
        <f>IFERROR(IF($J126&gt;0,IF(INDEX('Invullen groen'!$I:$I,$J126)&lt;&gt;0,INDEX('Invullen groen'!$I:$I,$J126),""),""),"")</f>
        <v/>
      </c>
      <c r="H126" s="261">
        <f>IFERROR(IF($J126&gt;0,IF(INDEX('Invullen groen'!$J:$J,$J126)&lt;&gt;0,INDEX('Invullen groen'!$J:$J,$J126),""),""),"")</f>
        <v/>
      </c>
      <c r="I126" s="261">
        <f>IFERROR(IF($J126&gt;0,IF(INDEX('Invullen groen'!$K:$K,$J126)&lt;&gt;0,INDEX('Invullen groen'!$K:$K,$J126),""),""),"")</f>
        <v/>
      </c>
      <c r="J126">
        <f>IFERROR(MATCH(ROW()-4,'Invullen groen'!$P$17:$P$272,0)+16,0)</f>
        <v/>
      </c>
    </row>
    <row r="127" hidden="1" ht="15" customHeight="1" s="418">
      <c r="A127" s="258">
        <f>IFERROR(IF($J127&gt;0,ROW()-4,""),"")</f>
        <v/>
      </c>
      <c r="B127" s="258">
        <f>IFERROR(IF($J127&gt;0,INDEX('Invullen groen'!$A:$A,$J127),""),"")</f>
        <v/>
      </c>
      <c r="C127" s="258">
        <f>IFERROR(IF($J127&gt;0,INDEX('Invullen groen'!$C:$C,$J127),""),"")</f>
        <v/>
      </c>
      <c r="D127" s="258">
        <f>IFERROR(IF($J127&gt;0,INDEX('Invullen groen'!$D:$D,$J127),""),"")</f>
        <v/>
      </c>
      <c r="E127" s="258">
        <f>IFERROR(IF($J127&gt;0,INDEX('Invullen groen'!$G:$G,$J127),""),"")</f>
        <v/>
      </c>
      <c r="F127" s="259">
        <f>IFERROR(IF($J127&gt;0,IF(INDEX('Invullen groen'!$H:$H,$J127)&lt;&gt;0,INDEX('Invullen groen'!$H:$H,$J127),""),""),"")</f>
        <v/>
      </c>
      <c r="G127" s="259">
        <f>IFERROR(IF($J127&gt;0,IF(INDEX('Invullen groen'!$I:$I,$J127)&lt;&gt;0,INDEX('Invullen groen'!$I:$I,$J127),""),""),"")</f>
        <v/>
      </c>
      <c r="H127" s="259">
        <f>IFERROR(IF($J127&gt;0,IF(INDEX('Invullen groen'!$J:$J,$J127)&lt;&gt;0,INDEX('Invullen groen'!$J:$J,$J127),""),""),"")</f>
        <v/>
      </c>
      <c r="I127" s="259">
        <f>IFERROR(IF($J127&gt;0,IF(INDEX('Invullen groen'!$K:$K,$J127)&lt;&gt;0,INDEX('Invullen groen'!$K:$K,$J127),""),""),"")</f>
        <v/>
      </c>
      <c r="J127">
        <f>IFERROR(MATCH(ROW()-4,'Invullen groen'!$P$17:$P$272,0)+16,0)</f>
        <v/>
      </c>
    </row>
    <row r="128" hidden="1" ht="15" customHeight="1" s="418">
      <c r="A128" s="260">
        <f>IFERROR(IF($J128&gt;0,ROW()-4,""),"")</f>
        <v/>
      </c>
      <c r="B128" s="260">
        <f>IFERROR(IF($J128&gt;0,INDEX('Invullen groen'!$A:$A,$J128),""),"")</f>
        <v/>
      </c>
      <c r="C128" s="260">
        <f>IFERROR(IF($J128&gt;0,INDEX('Invullen groen'!$C:$C,$J128),""),"")</f>
        <v/>
      </c>
      <c r="D128" s="260">
        <f>IFERROR(IF($J128&gt;0,INDEX('Invullen groen'!$D:$D,$J128),""),"")</f>
        <v/>
      </c>
      <c r="E128" s="260">
        <f>IFERROR(IF($J128&gt;0,INDEX('Invullen groen'!$G:$G,$J128),""),"")</f>
        <v/>
      </c>
      <c r="F128" s="261">
        <f>IFERROR(IF($J128&gt;0,IF(INDEX('Invullen groen'!$H:$H,$J128)&lt;&gt;0,INDEX('Invullen groen'!$H:$H,$J128),""),""),"")</f>
        <v/>
      </c>
      <c r="G128" s="261">
        <f>IFERROR(IF($J128&gt;0,IF(INDEX('Invullen groen'!$I:$I,$J128)&lt;&gt;0,INDEX('Invullen groen'!$I:$I,$J128),""),""),"")</f>
        <v/>
      </c>
      <c r="H128" s="261">
        <f>IFERROR(IF($J128&gt;0,IF(INDEX('Invullen groen'!$J:$J,$J128)&lt;&gt;0,INDEX('Invullen groen'!$J:$J,$J128),""),""),"")</f>
        <v/>
      </c>
      <c r="I128" s="261">
        <f>IFERROR(IF($J128&gt;0,IF(INDEX('Invullen groen'!$K:$K,$J128)&lt;&gt;0,INDEX('Invullen groen'!$K:$K,$J128),""),""),"")</f>
        <v/>
      </c>
      <c r="J128">
        <f>IFERROR(MATCH(ROW()-4,'Invullen groen'!$P$17:$P$272,0)+16,0)</f>
        <v/>
      </c>
    </row>
    <row r="129" hidden="1" ht="15" customHeight="1" s="418">
      <c r="A129" s="258">
        <f>IFERROR(IF($J129&gt;0,ROW()-4,""),"")</f>
        <v/>
      </c>
      <c r="B129" s="258">
        <f>IFERROR(IF($J129&gt;0,INDEX('Invullen groen'!$A:$A,$J129),""),"")</f>
        <v/>
      </c>
      <c r="C129" s="258">
        <f>IFERROR(IF($J129&gt;0,INDEX('Invullen groen'!$C:$C,$J129),""),"")</f>
        <v/>
      </c>
      <c r="D129" s="258">
        <f>IFERROR(IF($J129&gt;0,INDEX('Invullen groen'!$D:$D,$J129),""),"")</f>
        <v/>
      </c>
      <c r="E129" s="258">
        <f>IFERROR(IF($J129&gt;0,INDEX('Invullen groen'!$G:$G,$J129),""),"")</f>
        <v/>
      </c>
      <c r="F129" s="259">
        <f>IFERROR(IF($J129&gt;0,IF(INDEX('Invullen groen'!$H:$H,$J129)&lt;&gt;0,INDEX('Invullen groen'!$H:$H,$J129),""),""),"")</f>
        <v/>
      </c>
      <c r="G129" s="259">
        <f>IFERROR(IF($J129&gt;0,IF(INDEX('Invullen groen'!$I:$I,$J129)&lt;&gt;0,INDEX('Invullen groen'!$I:$I,$J129),""),""),"")</f>
        <v/>
      </c>
      <c r="H129" s="259">
        <f>IFERROR(IF($J129&gt;0,IF(INDEX('Invullen groen'!$J:$J,$J129)&lt;&gt;0,INDEX('Invullen groen'!$J:$J,$J129),""),""),"")</f>
        <v/>
      </c>
      <c r="I129" s="259">
        <f>IFERROR(IF($J129&gt;0,IF(INDEX('Invullen groen'!$K:$K,$J129)&lt;&gt;0,INDEX('Invullen groen'!$K:$K,$J129),""),""),"")</f>
        <v/>
      </c>
      <c r="J129">
        <f>IFERROR(MATCH(ROW()-4,'Invullen groen'!$P$17:$P$272,0)+16,0)</f>
        <v/>
      </c>
    </row>
    <row r="130" hidden="1" ht="15" customHeight="1" s="418">
      <c r="A130" s="260">
        <f>IFERROR(IF($J130&gt;0,ROW()-4,""),"")</f>
        <v/>
      </c>
      <c r="B130" s="260">
        <f>IFERROR(IF($J130&gt;0,INDEX('Invullen groen'!$A:$A,$J130),""),"")</f>
        <v/>
      </c>
      <c r="C130" s="260">
        <f>IFERROR(IF($J130&gt;0,INDEX('Invullen groen'!$C:$C,$J130),""),"")</f>
        <v/>
      </c>
      <c r="D130" s="260">
        <f>IFERROR(IF($J130&gt;0,INDEX('Invullen groen'!$D:$D,$J130),""),"")</f>
        <v/>
      </c>
      <c r="E130" s="260">
        <f>IFERROR(IF($J130&gt;0,INDEX('Invullen groen'!$G:$G,$J130),""),"")</f>
        <v/>
      </c>
      <c r="F130" s="261">
        <f>IFERROR(IF($J130&gt;0,IF(INDEX('Invullen groen'!$H:$H,$J130)&lt;&gt;0,INDEX('Invullen groen'!$H:$H,$J130),""),""),"")</f>
        <v/>
      </c>
      <c r="G130" s="261">
        <f>IFERROR(IF($J130&gt;0,IF(INDEX('Invullen groen'!$I:$I,$J130)&lt;&gt;0,INDEX('Invullen groen'!$I:$I,$J130),""),""),"")</f>
        <v/>
      </c>
      <c r="H130" s="261">
        <f>IFERROR(IF($J130&gt;0,IF(INDEX('Invullen groen'!$J:$J,$J130)&lt;&gt;0,INDEX('Invullen groen'!$J:$J,$J130),""),""),"")</f>
        <v/>
      </c>
      <c r="I130" s="261">
        <f>IFERROR(IF($J130&gt;0,IF(INDEX('Invullen groen'!$K:$K,$J130)&lt;&gt;0,INDEX('Invullen groen'!$K:$K,$J130),""),""),"")</f>
        <v/>
      </c>
      <c r="J130">
        <f>IFERROR(MATCH(ROW()-4,'Invullen groen'!$P$17:$P$272,0)+16,0)</f>
        <v/>
      </c>
    </row>
    <row r="131" hidden="1" ht="15" customHeight="1" s="418">
      <c r="A131" s="258">
        <f>IFERROR(IF($J131&gt;0,ROW()-4,""),"")</f>
        <v/>
      </c>
      <c r="B131" s="258">
        <f>IFERROR(IF($J131&gt;0,INDEX('Invullen groen'!$A:$A,$J131),""),"")</f>
        <v/>
      </c>
      <c r="C131" s="258">
        <f>IFERROR(IF($J131&gt;0,INDEX('Invullen groen'!$C:$C,$J131),""),"")</f>
        <v/>
      </c>
      <c r="D131" s="258">
        <f>IFERROR(IF($J131&gt;0,INDEX('Invullen groen'!$D:$D,$J131),""),"")</f>
        <v/>
      </c>
      <c r="E131" s="258">
        <f>IFERROR(IF($J131&gt;0,INDEX('Invullen groen'!$G:$G,$J131),""),"")</f>
        <v/>
      </c>
      <c r="F131" s="259">
        <f>IFERROR(IF($J131&gt;0,IF(INDEX('Invullen groen'!$H:$H,$J131)&lt;&gt;0,INDEX('Invullen groen'!$H:$H,$J131),""),""),"")</f>
        <v/>
      </c>
      <c r="G131" s="259">
        <f>IFERROR(IF($J131&gt;0,IF(INDEX('Invullen groen'!$I:$I,$J131)&lt;&gt;0,INDEX('Invullen groen'!$I:$I,$J131),""),""),"")</f>
        <v/>
      </c>
      <c r="H131" s="259">
        <f>IFERROR(IF($J131&gt;0,IF(INDEX('Invullen groen'!$J:$J,$J131)&lt;&gt;0,INDEX('Invullen groen'!$J:$J,$J131),""),""),"")</f>
        <v/>
      </c>
      <c r="I131" s="259">
        <f>IFERROR(IF($J131&gt;0,IF(INDEX('Invullen groen'!$K:$K,$J131)&lt;&gt;0,INDEX('Invullen groen'!$K:$K,$J131),""),""),"")</f>
        <v/>
      </c>
      <c r="J131">
        <f>IFERROR(MATCH(ROW()-4,'Invullen groen'!$P$17:$P$272,0)+16,0)</f>
        <v/>
      </c>
    </row>
    <row r="132" hidden="1" ht="15" customHeight="1" s="418">
      <c r="A132" s="260">
        <f>IFERROR(IF($J132&gt;0,ROW()-4,""),"")</f>
        <v/>
      </c>
      <c r="B132" s="260">
        <f>IFERROR(IF($J132&gt;0,INDEX('Invullen groen'!$A:$A,$J132),""),"")</f>
        <v/>
      </c>
      <c r="C132" s="260">
        <f>IFERROR(IF($J132&gt;0,INDEX('Invullen groen'!$C:$C,$J132),""),"")</f>
        <v/>
      </c>
      <c r="D132" s="260">
        <f>IFERROR(IF($J132&gt;0,INDEX('Invullen groen'!$D:$D,$J132),""),"")</f>
        <v/>
      </c>
      <c r="E132" s="260">
        <f>IFERROR(IF($J132&gt;0,INDEX('Invullen groen'!$G:$G,$J132),""),"")</f>
        <v/>
      </c>
      <c r="F132" s="261">
        <f>IFERROR(IF($J132&gt;0,IF(INDEX('Invullen groen'!$H:$H,$J132)&lt;&gt;0,INDEX('Invullen groen'!$H:$H,$J132),""),""),"")</f>
        <v/>
      </c>
      <c r="G132" s="261">
        <f>IFERROR(IF($J132&gt;0,IF(INDEX('Invullen groen'!$I:$I,$J132)&lt;&gt;0,INDEX('Invullen groen'!$I:$I,$J132),""),""),"")</f>
        <v/>
      </c>
      <c r="H132" s="261">
        <f>IFERROR(IF($J132&gt;0,IF(INDEX('Invullen groen'!$J:$J,$J132)&lt;&gt;0,INDEX('Invullen groen'!$J:$J,$J132),""),""),"")</f>
        <v/>
      </c>
      <c r="I132" s="261">
        <f>IFERROR(IF($J132&gt;0,IF(INDEX('Invullen groen'!$K:$K,$J132)&lt;&gt;0,INDEX('Invullen groen'!$K:$K,$J132),""),""),"")</f>
        <v/>
      </c>
      <c r="J132">
        <f>IFERROR(MATCH(ROW()-4,'Invullen groen'!$P$17:$P$272,0)+16,0)</f>
        <v/>
      </c>
    </row>
    <row r="133" hidden="1" ht="15" customHeight="1" s="418">
      <c r="A133" s="258">
        <f>IFERROR(IF($J133&gt;0,ROW()-4,""),"")</f>
        <v/>
      </c>
      <c r="B133" s="258">
        <f>IFERROR(IF($J133&gt;0,INDEX('Invullen groen'!$A:$A,$J133),""),"")</f>
        <v/>
      </c>
      <c r="C133" s="258">
        <f>IFERROR(IF($J133&gt;0,INDEX('Invullen groen'!$C:$C,$J133),""),"")</f>
        <v/>
      </c>
      <c r="D133" s="258">
        <f>IFERROR(IF($J133&gt;0,INDEX('Invullen groen'!$D:$D,$J133),""),"")</f>
        <v/>
      </c>
      <c r="E133" s="258">
        <f>IFERROR(IF($J133&gt;0,INDEX('Invullen groen'!$G:$G,$J133),""),"")</f>
        <v/>
      </c>
      <c r="F133" s="259">
        <f>IFERROR(IF($J133&gt;0,IF(INDEX('Invullen groen'!$H:$H,$J133)&lt;&gt;0,INDEX('Invullen groen'!$H:$H,$J133),""),""),"")</f>
        <v/>
      </c>
      <c r="G133" s="259">
        <f>IFERROR(IF($J133&gt;0,IF(INDEX('Invullen groen'!$I:$I,$J133)&lt;&gt;0,INDEX('Invullen groen'!$I:$I,$J133),""),""),"")</f>
        <v/>
      </c>
      <c r="H133" s="259">
        <f>IFERROR(IF($J133&gt;0,IF(INDEX('Invullen groen'!$J:$J,$J133)&lt;&gt;0,INDEX('Invullen groen'!$J:$J,$J133),""),""),"")</f>
        <v/>
      </c>
      <c r="I133" s="259">
        <f>IFERROR(IF($J133&gt;0,IF(INDEX('Invullen groen'!$K:$K,$J133)&lt;&gt;0,INDEX('Invullen groen'!$K:$K,$J133),""),""),"")</f>
        <v/>
      </c>
      <c r="J133">
        <f>IFERROR(MATCH(ROW()-4,'Invullen groen'!$P$17:$P$272,0)+16,0)</f>
        <v/>
      </c>
    </row>
    <row r="134" hidden="1" ht="15" customHeight="1" s="418">
      <c r="A134" s="260">
        <f>IFERROR(IF($J134&gt;0,ROW()-4,""),"")</f>
        <v/>
      </c>
      <c r="B134" s="260">
        <f>IFERROR(IF($J134&gt;0,INDEX('Invullen groen'!$A:$A,$J134),""),"")</f>
        <v/>
      </c>
      <c r="C134" s="260">
        <f>IFERROR(IF($J134&gt;0,INDEX('Invullen groen'!$C:$C,$J134),""),"")</f>
        <v/>
      </c>
      <c r="D134" s="260">
        <f>IFERROR(IF($J134&gt;0,INDEX('Invullen groen'!$D:$D,$J134),""),"")</f>
        <v/>
      </c>
      <c r="E134" s="260">
        <f>IFERROR(IF($J134&gt;0,INDEX('Invullen groen'!$G:$G,$J134),""),"")</f>
        <v/>
      </c>
      <c r="F134" s="261">
        <f>IFERROR(IF($J134&gt;0,IF(INDEX('Invullen groen'!$H:$H,$J134)&lt;&gt;0,INDEX('Invullen groen'!$H:$H,$J134),""),""),"")</f>
        <v/>
      </c>
      <c r="G134" s="261">
        <f>IFERROR(IF($J134&gt;0,IF(INDEX('Invullen groen'!$I:$I,$J134)&lt;&gt;0,INDEX('Invullen groen'!$I:$I,$J134),""),""),"")</f>
        <v/>
      </c>
      <c r="H134" s="261">
        <f>IFERROR(IF($J134&gt;0,IF(INDEX('Invullen groen'!$J:$J,$J134)&lt;&gt;0,INDEX('Invullen groen'!$J:$J,$J134),""),""),"")</f>
        <v/>
      </c>
      <c r="I134" s="261">
        <f>IFERROR(IF($J134&gt;0,IF(INDEX('Invullen groen'!$K:$K,$J134)&lt;&gt;0,INDEX('Invullen groen'!$K:$K,$J134),""),""),"")</f>
        <v/>
      </c>
      <c r="J134">
        <f>IFERROR(MATCH(ROW()-4,'Invullen groen'!$P$17:$P$272,0)+16,0)</f>
        <v/>
      </c>
    </row>
    <row r="135" hidden="1" ht="15" customHeight="1" s="418">
      <c r="A135" s="258">
        <f>IFERROR(IF($J135&gt;0,ROW()-4,""),"")</f>
        <v/>
      </c>
      <c r="B135" s="258">
        <f>IFERROR(IF($J135&gt;0,INDEX('Invullen groen'!$A:$A,$J135),""),"")</f>
        <v/>
      </c>
      <c r="C135" s="258">
        <f>IFERROR(IF($J135&gt;0,INDEX('Invullen groen'!$C:$C,$J135),""),"")</f>
        <v/>
      </c>
      <c r="D135" s="258">
        <f>IFERROR(IF($J135&gt;0,INDEX('Invullen groen'!$D:$D,$J135),""),"")</f>
        <v/>
      </c>
      <c r="E135" s="258">
        <f>IFERROR(IF($J135&gt;0,INDEX('Invullen groen'!$G:$G,$J135),""),"")</f>
        <v/>
      </c>
      <c r="F135" s="259">
        <f>IFERROR(IF($J135&gt;0,IF(INDEX('Invullen groen'!$H:$H,$J135)&lt;&gt;0,INDEX('Invullen groen'!$H:$H,$J135),""),""),"")</f>
        <v/>
      </c>
      <c r="G135" s="259">
        <f>IFERROR(IF($J135&gt;0,IF(INDEX('Invullen groen'!$I:$I,$J135)&lt;&gt;0,INDEX('Invullen groen'!$I:$I,$J135),""),""),"")</f>
        <v/>
      </c>
      <c r="H135" s="259">
        <f>IFERROR(IF($J135&gt;0,IF(INDEX('Invullen groen'!$J:$J,$J135)&lt;&gt;0,INDEX('Invullen groen'!$J:$J,$J135),""),""),"")</f>
        <v/>
      </c>
      <c r="I135" s="259">
        <f>IFERROR(IF($J135&gt;0,IF(INDEX('Invullen groen'!$K:$K,$J135)&lt;&gt;0,INDEX('Invullen groen'!$K:$K,$J135),""),""),"")</f>
        <v/>
      </c>
      <c r="J135">
        <f>IFERROR(MATCH(ROW()-4,'Invullen groen'!$P$17:$P$272,0)+16,0)</f>
        <v/>
      </c>
    </row>
    <row r="136" hidden="1" ht="15" customHeight="1" s="418">
      <c r="A136" s="260">
        <f>IFERROR(IF($J136&gt;0,ROW()-4,""),"")</f>
        <v/>
      </c>
      <c r="B136" s="260">
        <f>IFERROR(IF($J136&gt;0,INDEX('Invullen groen'!$A:$A,$J136),""),"")</f>
        <v/>
      </c>
      <c r="C136" s="260">
        <f>IFERROR(IF($J136&gt;0,INDEX('Invullen groen'!$C:$C,$J136),""),"")</f>
        <v/>
      </c>
      <c r="D136" s="260">
        <f>IFERROR(IF($J136&gt;0,INDEX('Invullen groen'!$D:$D,$J136),""),"")</f>
        <v/>
      </c>
      <c r="E136" s="260">
        <f>IFERROR(IF($J136&gt;0,INDEX('Invullen groen'!$G:$G,$J136),""),"")</f>
        <v/>
      </c>
      <c r="F136" s="261">
        <f>IFERROR(IF($J136&gt;0,IF(INDEX('Invullen groen'!$H:$H,$J136)&lt;&gt;0,INDEX('Invullen groen'!$H:$H,$J136),""),""),"")</f>
        <v/>
      </c>
      <c r="G136" s="261">
        <f>IFERROR(IF($J136&gt;0,IF(INDEX('Invullen groen'!$I:$I,$J136)&lt;&gt;0,INDEX('Invullen groen'!$I:$I,$J136),""),""),"")</f>
        <v/>
      </c>
      <c r="H136" s="261">
        <f>IFERROR(IF($J136&gt;0,IF(INDEX('Invullen groen'!$J:$J,$J136)&lt;&gt;0,INDEX('Invullen groen'!$J:$J,$J136),""),""),"")</f>
        <v/>
      </c>
      <c r="I136" s="261">
        <f>IFERROR(IF($J136&gt;0,IF(INDEX('Invullen groen'!$K:$K,$J136)&lt;&gt;0,INDEX('Invullen groen'!$K:$K,$J136),""),""),"")</f>
        <v/>
      </c>
      <c r="J136">
        <f>IFERROR(MATCH(ROW()-4,'Invullen groen'!$P$17:$P$272,0)+16,0)</f>
        <v/>
      </c>
    </row>
    <row r="137" hidden="1" ht="15" customHeight="1" s="418">
      <c r="A137" s="258">
        <f>IFERROR(IF($J137&gt;0,ROW()-4,""),"")</f>
        <v/>
      </c>
      <c r="B137" s="258">
        <f>IFERROR(IF($J137&gt;0,INDEX('Invullen groen'!$A:$A,$J137),""),"")</f>
        <v/>
      </c>
      <c r="C137" s="258">
        <f>IFERROR(IF($J137&gt;0,INDEX('Invullen groen'!$C:$C,$J137),""),"")</f>
        <v/>
      </c>
      <c r="D137" s="258">
        <f>IFERROR(IF($J137&gt;0,INDEX('Invullen groen'!$D:$D,$J137),""),"")</f>
        <v/>
      </c>
      <c r="E137" s="258">
        <f>IFERROR(IF($J137&gt;0,INDEX('Invullen groen'!$G:$G,$J137),""),"")</f>
        <v/>
      </c>
      <c r="F137" s="259">
        <f>IFERROR(IF($J137&gt;0,IF(INDEX('Invullen groen'!$H:$H,$J137)&lt;&gt;0,INDEX('Invullen groen'!$H:$H,$J137),""),""),"")</f>
        <v/>
      </c>
      <c r="G137" s="259">
        <f>IFERROR(IF($J137&gt;0,IF(INDEX('Invullen groen'!$I:$I,$J137)&lt;&gt;0,INDEX('Invullen groen'!$I:$I,$J137),""),""),"")</f>
        <v/>
      </c>
      <c r="H137" s="259">
        <f>IFERROR(IF($J137&gt;0,IF(INDEX('Invullen groen'!$J:$J,$J137)&lt;&gt;0,INDEX('Invullen groen'!$J:$J,$J137),""),""),"")</f>
        <v/>
      </c>
      <c r="I137" s="259">
        <f>IFERROR(IF($J137&gt;0,IF(INDEX('Invullen groen'!$K:$K,$J137)&lt;&gt;0,INDEX('Invullen groen'!$K:$K,$J137),""),""),"")</f>
        <v/>
      </c>
      <c r="J137">
        <f>IFERROR(MATCH(ROW()-4,'Invullen groen'!$P$17:$P$272,0)+16,0)</f>
        <v/>
      </c>
    </row>
    <row r="138" hidden="1" ht="15" customHeight="1" s="418">
      <c r="A138" s="260">
        <f>IFERROR(IF($J138&gt;0,ROW()-4,""),"")</f>
        <v/>
      </c>
      <c r="B138" s="260">
        <f>IFERROR(IF($J138&gt;0,INDEX('Invullen groen'!$A:$A,$J138),""),"")</f>
        <v/>
      </c>
      <c r="C138" s="260">
        <f>IFERROR(IF($J138&gt;0,INDEX('Invullen groen'!$C:$C,$J138),""),"")</f>
        <v/>
      </c>
      <c r="D138" s="260">
        <f>IFERROR(IF($J138&gt;0,INDEX('Invullen groen'!$D:$D,$J138),""),"")</f>
        <v/>
      </c>
      <c r="E138" s="260">
        <f>IFERROR(IF($J138&gt;0,INDEX('Invullen groen'!$G:$G,$J138),""),"")</f>
        <v/>
      </c>
      <c r="F138" s="261">
        <f>IFERROR(IF($J138&gt;0,IF(INDEX('Invullen groen'!$H:$H,$J138)&lt;&gt;0,INDEX('Invullen groen'!$H:$H,$J138),""),""),"")</f>
        <v/>
      </c>
      <c r="G138" s="261">
        <f>IFERROR(IF($J138&gt;0,IF(INDEX('Invullen groen'!$I:$I,$J138)&lt;&gt;0,INDEX('Invullen groen'!$I:$I,$J138),""),""),"")</f>
        <v/>
      </c>
      <c r="H138" s="261">
        <f>IFERROR(IF($J138&gt;0,IF(INDEX('Invullen groen'!$J:$J,$J138)&lt;&gt;0,INDEX('Invullen groen'!$J:$J,$J138),""),""),"")</f>
        <v/>
      </c>
      <c r="I138" s="261">
        <f>IFERROR(IF($J138&gt;0,IF(INDEX('Invullen groen'!$K:$K,$J138)&lt;&gt;0,INDEX('Invullen groen'!$K:$K,$J138),""),""),"")</f>
        <v/>
      </c>
      <c r="J138">
        <f>IFERROR(MATCH(ROW()-4,'Invullen groen'!$P$17:$P$272,0)+16,0)</f>
        <v/>
      </c>
    </row>
    <row r="139" hidden="1" ht="15" customHeight="1" s="418">
      <c r="A139" s="258">
        <f>IFERROR(IF($J139&gt;0,ROW()-4,""),"")</f>
        <v/>
      </c>
      <c r="B139" s="258">
        <f>IFERROR(IF($J139&gt;0,INDEX('Invullen groen'!$A:$A,$J139),""),"")</f>
        <v/>
      </c>
      <c r="C139" s="258">
        <f>IFERROR(IF($J139&gt;0,INDEX('Invullen groen'!$C:$C,$J139),""),"")</f>
        <v/>
      </c>
      <c r="D139" s="258">
        <f>IFERROR(IF($J139&gt;0,INDEX('Invullen groen'!$D:$D,$J139),""),"")</f>
        <v/>
      </c>
      <c r="E139" s="258">
        <f>IFERROR(IF($J139&gt;0,INDEX('Invullen groen'!$G:$G,$J139),""),"")</f>
        <v/>
      </c>
      <c r="F139" s="259">
        <f>IFERROR(IF($J139&gt;0,IF(INDEX('Invullen groen'!$H:$H,$J139)&lt;&gt;0,INDEX('Invullen groen'!$H:$H,$J139),""),""),"")</f>
        <v/>
      </c>
      <c r="G139" s="259">
        <f>IFERROR(IF($J139&gt;0,IF(INDEX('Invullen groen'!$I:$I,$J139)&lt;&gt;0,INDEX('Invullen groen'!$I:$I,$J139),""),""),"")</f>
        <v/>
      </c>
      <c r="H139" s="259">
        <f>IFERROR(IF($J139&gt;0,IF(INDEX('Invullen groen'!$J:$J,$J139)&lt;&gt;0,INDEX('Invullen groen'!$J:$J,$J139),""),""),"")</f>
        <v/>
      </c>
      <c r="I139" s="259">
        <f>IFERROR(IF($J139&gt;0,IF(INDEX('Invullen groen'!$K:$K,$J139)&lt;&gt;0,INDEX('Invullen groen'!$K:$K,$J139),""),""),"")</f>
        <v/>
      </c>
      <c r="J139">
        <f>IFERROR(MATCH(ROW()-4,'Invullen groen'!$P$17:$P$272,0)+16,0)</f>
        <v/>
      </c>
    </row>
    <row r="140" hidden="1" ht="15" customHeight="1" s="418">
      <c r="A140" s="260">
        <f>IFERROR(IF($J140&gt;0,ROW()-4,""),"")</f>
        <v/>
      </c>
      <c r="B140" s="260">
        <f>IFERROR(IF($J140&gt;0,INDEX('Invullen groen'!$A:$A,$J140),""),"")</f>
        <v/>
      </c>
      <c r="C140" s="260">
        <f>IFERROR(IF($J140&gt;0,INDEX('Invullen groen'!$C:$C,$J140),""),"")</f>
        <v/>
      </c>
      <c r="D140" s="260">
        <f>IFERROR(IF($J140&gt;0,INDEX('Invullen groen'!$D:$D,$J140),""),"")</f>
        <v/>
      </c>
      <c r="E140" s="260">
        <f>IFERROR(IF($J140&gt;0,INDEX('Invullen groen'!$G:$G,$J140),""),"")</f>
        <v/>
      </c>
      <c r="F140" s="261">
        <f>IFERROR(IF($J140&gt;0,IF(INDEX('Invullen groen'!$H:$H,$J140)&lt;&gt;0,INDEX('Invullen groen'!$H:$H,$J140),""),""),"")</f>
        <v/>
      </c>
      <c r="G140" s="261">
        <f>IFERROR(IF($J140&gt;0,IF(INDEX('Invullen groen'!$I:$I,$J140)&lt;&gt;0,INDEX('Invullen groen'!$I:$I,$J140),""),""),"")</f>
        <v/>
      </c>
      <c r="H140" s="261">
        <f>IFERROR(IF($J140&gt;0,IF(INDEX('Invullen groen'!$J:$J,$J140)&lt;&gt;0,INDEX('Invullen groen'!$J:$J,$J140),""),""),"")</f>
        <v/>
      </c>
      <c r="I140" s="261">
        <f>IFERROR(IF($J140&gt;0,IF(INDEX('Invullen groen'!$K:$K,$J140)&lt;&gt;0,INDEX('Invullen groen'!$K:$K,$J140),""),""),"")</f>
        <v/>
      </c>
      <c r="J140">
        <f>IFERROR(MATCH(ROW()-4,'Invullen groen'!$P$17:$P$272,0)+16,0)</f>
        <v/>
      </c>
    </row>
    <row r="141" hidden="1" ht="15" customHeight="1" s="418">
      <c r="A141" s="258">
        <f>IFERROR(IF($J141&gt;0,ROW()-4,""),"")</f>
        <v/>
      </c>
      <c r="B141" s="258">
        <f>IFERROR(IF($J141&gt;0,INDEX('Invullen groen'!$A:$A,$J141),""),"")</f>
        <v/>
      </c>
      <c r="C141" s="258">
        <f>IFERROR(IF($J141&gt;0,INDEX('Invullen groen'!$C:$C,$J141),""),"")</f>
        <v/>
      </c>
      <c r="D141" s="258">
        <f>IFERROR(IF($J141&gt;0,INDEX('Invullen groen'!$D:$D,$J141),""),"")</f>
        <v/>
      </c>
      <c r="E141" s="258">
        <f>IFERROR(IF($J141&gt;0,INDEX('Invullen groen'!$G:$G,$J141),""),"")</f>
        <v/>
      </c>
      <c r="F141" s="259">
        <f>IFERROR(IF($J141&gt;0,IF(INDEX('Invullen groen'!$H:$H,$J141)&lt;&gt;0,INDEX('Invullen groen'!$H:$H,$J141),""),""),"")</f>
        <v/>
      </c>
      <c r="G141" s="259">
        <f>IFERROR(IF($J141&gt;0,IF(INDEX('Invullen groen'!$I:$I,$J141)&lt;&gt;0,INDEX('Invullen groen'!$I:$I,$J141),""),""),"")</f>
        <v/>
      </c>
      <c r="H141" s="259">
        <f>IFERROR(IF($J141&gt;0,IF(INDEX('Invullen groen'!$J:$J,$J141)&lt;&gt;0,INDEX('Invullen groen'!$J:$J,$J141),""),""),"")</f>
        <v/>
      </c>
      <c r="I141" s="259">
        <f>IFERROR(IF($J141&gt;0,IF(INDEX('Invullen groen'!$K:$K,$J141)&lt;&gt;0,INDEX('Invullen groen'!$K:$K,$J141),""),""),"")</f>
        <v/>
      </c>
      <c r="J141">
        <f>IFERROR(MATCH(ROW()-4,'Invullen groen'!$P$17:$P$272,0)+16,0)</f>
        <v/>
      </c>
    </row>
    <row r="142" hidden="1" ht="15" customHeight="1" s="418">
      <c r="A142" s="260">
        <f>IFERROR(IF($J142&gt;0,ROW()-4,""),"")</f>
        <v/>
      </c>
      <c r="B142" s="260">
        <f>IFERROR(IF($J142&gt;0,INDEX('Invullen groen'!$A:$A,$J142),""),"")</f>
        <v/>
      </c>
      <c r="C142" s="260">
        <f>IFERROR(IF($J142&gt;0,INDEX('Invullen groen'!$C:$C,$J142),""),"")</f>
        <v/>
      </c>
      <c r="D142" s="260">
        <f>IFERROR(IF($J142&gt;0,INDEX('Invullen groen'!$D:$D,$J142),""),"")</f>
        <v/>
      </c>
      <c r="E142" s="260">
        <f>IFERROR(IF($J142&gt;0,INDEX('Invullen groen'!$G:$G,$J142),""),"")</f>
        <v/>
      </c>
      <c r="F142" s="261">
        <f>IFERROR(IF($J142&gt;0,IF(INDEX('Invullen groen'!$H:$H,$J142)&lt;&gt;0,INDEX('Invullen groen'!$H:$H,$J142),""),""),"")</f>
        <v/>
      </c>
      <c r="G142" s="261">
        <f>IFERROR(IF($J142&gt;0,IF(INDEX('Invullen groen'!$I:$I,$J142)&lt;&gt;0,INDEX('Invullen groen'!$I:$I,$J142),""),""),"")</f>
        <v/>
      </c>
      <c r="H142" s="261">
        <f>IFERROR(IF($J142&gt;0,IF(INDEX('Invullen groen'!$J:$J,$J142)&lt;&gt;0,INDEX('Invullen groen'!$J:$J,$J142),""),""),"")</f>
        <v/>
      </c>
      <c r="I142" s="261">
        <f>IFERROR(IF($J142&gt;0,IF(INDEX('Invullen groen'!$K:$K,$J142)&lt;&gt;0,INDEX('Invullen groen'!$K:$K,$J142),""),""),"")</f>
        <v/>
      </c>
      <c r="J142">
        <f>IFERROR(MATCH(ROW()-4,'Invullen groen'!$P$17:$P$272,0)+16,0)</f>
        <v/>
      </c>
    </row>
    <row r="143" hidden="1" ht="15" customHeight="1" s="418">
      <c r="A143" s="258">
        <f>IFERROR(IF($J143&gt;0,ROW()-4,""),"")</f>
        <v/>
      </c>
      <c r="B143" s="258">
        <f>IFERROR(IF($J143&gt;0,INDEX('Invullen groen'!$A:$A,$J143),""),"")</f>
        <v/>
      </c>
      <c r="C143" s="258">
        <f>IFERROR(IF($J143&gt;0,INDEX('Invullen groen'!$C:$C,$J143),""),"")</f>
        <v/>
      </c>
      <c r="D143" s="258">
        <f>IFERROR(IF($J143&gt;0,INDEX('Invullen groen'!$D:$D,$J143),""),"")</f>
        <v/>
      </c>
      <c r="E143" s="258">
        <f>IFERROR(IF($J143&gt;0,INDEX('Invullen groen'!$G:$G,$J143),""),"")</f>
        <v/>
      </c>
      <c r="F143" s="259">
        <f>IFERROR(IF($J143&gt;0,IF(INDEX('Invullen groen'!$H:$H,$J143)&lt;&gt;0,INDEX('Invullen groen'!$H:$H,$J143),""),""),"")</f>
        <v/>
      </c>
      <c r="G143" s="259">
        <f>IFERROR(IF($J143&gt;0,IF(INDEX('Invullen groen'!$I:$I,$J143)&lt;&gt;0,INDEX('Invullen groen'!$I:$I,$J143),""),""),"")</f>
        <v/>
      </c>
      <c r="H143" s="259">
        <f>IFERROR(IF($J143&gt;0,IF(INDEX('Invullen groen'!$J:$J,$J143)&lt;&gt;0,INDEX('Invullen groen'!$J:$J,$J143),""),""),"")</f>
        <v/>
      </c>
      <c r="I143" s="259">
        <f>IFERROR(IF($J143&gt;0,IF(INDEX('Invullen groen'!$K:$K,$J143)&lt;&gt;0,INDEX('Invullen groen'!$K:$K,$J143),""),""),"")</f>
        <v/>
      </c>
      <c r="J143">
        <f>IFERROR(MATCH(ROW()-4,'Invullen groen'!$P$17:$P$272,0)+16,0)</f>
        <v/>
      </c>
    </row>
    <row r="144" hidden="1" ht="15" customHeight="1" s="418">
      <c r="A144" s="260">
        <f>IFERROR(IF($J144&gt;0,ROW()-4,""),"")</f>
        <v/>
      </c>
      <c r="B144" s="260">
        <f>IFERROR(IF($J144&gt;0,INDEX('Invullen groen'!$A:$A,$J144),""),"")</f>
        <v/>
      </c>
      <c r="C144" s="260">
        <f>IFERROR(IF($J144&gt;0,INDEX('Invullen groen'!$C:$C,$J144),""),"")</f>
        <v/>
      </c>
      <c r="D144" s="260">
        <f>IFERROR(IF($J144&gt;0,INDEX('Invullen groen'!$D:$D,$J144),""),"")</f>
        <v/>
      </c>
      <c r="E144" s="260">
        <f>IFERROR(IF($J144&gt;0,INDEX('Invullen groen'!$G:$G,$J144),""),"")</f>
        <v/>
      </c>
      <c r="F144" s="261">
        <f>IFERROR(IF($J144&gt;0,IF(INDEX('Invullen groen'!$H:$H,$J144)&lt;&gt;0,INDEX('Invullen groen'!$H:$H,$J144),""),""),"")</f>
        <v/>
      </c>
      <c r="G144" s="261">
        <f>IFERROR(IF($J144&gt;0,IF(INDEX('Invullen groen'!$I:$I,$J144)&lt;&gt;0,INDEX('Invullen groen'!$I:$I,$J144),""),""),"")</f>
        <v/>
      </c>
      <c r="H144" s="261">
        <f>IFERROR(IF($J144&gt;0,IF(INDEX('Invullen groen'!$J:$J,$J144)&lt;&gt;0,INDEX('Invullen groen'!$J:$J,$J144),""),""),"")</f>
        <v/>
      </c>
      <c r="I144" s="261">
        <f>IFERROR(IF($J144&gt;0,IF(INDEX('Invullen groen'!$K:$K,$J144)&lt;&gt;0,INDEX('Invullen groen'!$K:$K,$J144),""),""),"")</f>
        <v/>
      </c>
      <c r="J144">
        <f>IFERROR(MATCH(ROW()-4,'Invullen groen'!$P$17:$P$272,0)+16,0)</f>
        <v/>
      </c>
    </row>
    <row r="145" hidden="1" ht="15" customHeight="1" s="418">
      <c r="A145" s="258">
        <f>IFERROR(IF($J145&gt;0,ROW()-4,""),"")</f>
        <v/>
      </c>
      <c r="B145" s="258">
        <f>IFERROR(IF($J145&gt;0,INDEX('Invullen groen'!$A:$A,$J145),""),"")</f>
        <v/>
      </c>
      <c r="C145" s="258">
        <f>IFERROR(IF($J145&gt;0,INDEX('Invullen groen'!$C:$C,$J145),""),"")</f>
        <v/>
      </c>
      <c r="D145" s="258">
        <f>IFERROR(IF($J145&gt;0,INDEX('Invullen groen'!$D:$D,$J145),""),"")</f>
        <v/>
      </c>
      <c r="E145" s="258">
        <f>IFERROR(IF($J145&gt;0,INDEX('Invullen groen'!$G:$G,$J145),""),"")</f>
        <v/>
      </c>
      <c r="F145" s="259">
        <f>IFERROR(IF($J145&gt;0,IF(INDEX('Invullen groen'!$H:$H,$J145)&lt;&gt;0,INDEX('Invullen groen'!$H:$H,$J145),""),""),"")</f>
        <v/>
      </c>
      <c r="G145" s="259">
        <f>IFERROR(IF($J145&gt;0,IF(INDEX('Invullen groen'!$I:$I,$J145)&lt;&gt;0,INDEX('Invullen groen'!$I:$I,$J145),""),""),"")</f>
        <v/>
      </c>
      <c r="H145" s="259">
        <f>IFERROR(IF($J145&gt;0,IF(INDEX('Invullen groen'!$J:$J,$J145)&lt;&gt;0,INDEX('Invullen groen'!$J:$J,$J145),""),""),"")</f>
        <v/>
      </c>
      <c r="I145" s="259">
        <f>IFERROR(IF($J145&gt;0,IF(INDEX('Invullen groen'!$K:$K,$J145)&lt;&gt;0,INDEX('Invullen groen'!$K:$K,$J145),""),""),"")</f>
        <v/>
      </c>
      <c r="J145">
        <f>IFERROR(MATCH(ROW()-4,'Invullen groen'!$P$17:$P$272,0)+16,0)</f>
        <v/>
      </c>
    </row>
    <row r="146" hidden="1" ht="15" customHeight="1" s="418">
      <c r="A146" s="260">
        <f>IFERROR(IF($J146&gt;0,ROW()-4,""),"")</f>
        <v/>
      </c>
      <c r="B146" s="260">
        <f>IFERROR(IF($J146&gt;0,INDEX('Invullen groen'!$A:$A,$J146),""),"")</f>
        <v/>
      </c>
      <c r="C146" s="260">
        <f>IFERROR(IF($J146&gt;0,INDEX('Invullen groen'!$C:$C,$J146),""),"")</f>
        <v/>
      </c>
      <c r="D146" s="260">
        <f>IFERROR(IF($J146&gt;0,INDEX('Invullen groen'!$D:$D,$J146),""),"")</f>
        <v/>
      </c>
      <c r="E146" s="260">
        <f>IFERROR(IF($J146&gt;0,INDEX('Invullen groen'!$G:$G,$J146),""),"")</f>
        <v/>
      </c>
      <c r="F146" s="261">
        <f>IFERROR(IF($J146&gt;0,IF(INDEX('Invullen groen'!$H:$H,$J146)&lt;&gt;0,INDEX('Invullen groen'!$H:$H,$J146),""),""),"")</f>
        <v/>
      </c>
      <c r="G146" s="261">
        <f>IFERROR(IF($J146&gt;0,IF(INDEX('Invullen groen'!$I:$I,$J146)&lt;&gt;0,INDEX('Invullen groen'!$I:$I,$J146),""),""),"")</f>
        <v/>
      </c>
      <c r="H146" s="261">
        <f>IFERROR(IF($J146&gt;0,IF(INDEX('Invullen groen'!$J:$J,$J146)&lt;&gt;0,INDEX('Invullen groen'!$J:$J,$J146),""),""),"")</f>
        <v/>
      </c>
      <c r="I146" s="261">
        <f>IFERROR(IF($J146&gt;0,IF(INDEX('Invullen groen'!$K:$K,$J146)&lt;&gt;0,INDEX('Invullen groen'!$K:$K,$J146),""),""),"")</f>
        <v/>
      </c>
      <c r="J146">
        <f>IFERROR(MATCH(ROW()-4,'Invullen groen'!$P$17:$P$272,0)+16,0)</f>
        <v/>
      </c>
    </row>
    <row r="147" hidden="1" ht="15" customHeight="1" s="418">
      <c r="A147" s="258">
        <f>IFERROR(IF($J147&gt;0,ROW()-4,""),"")</f>
        <v/>
      </c>
      <c r="B147" s="258">
        <f>IFERROR(IF($J147&gt;0,INDEX('Invullen groen'!$A:$A,$J147),""),"")</f>
        <v/>
      </c>
      <c r="C147" s="258">
        <f>IFERROR(IF($J147&gt;0,INDEX('Invullen groen'!$C:$C,$J147),""),"")</f>
        <v/>
      </c>
      <c r="D147" s="258">
        <f>IFERROR(IF($J147&gt;0,INDEX('Invullen groen'!$D:$D,$J147),""),"")</f>
        <v/>
      </c>
      <c r="E147" s="258">
        <f>IFERROR(IF($J147&gt;0,INDEX('Invullen groen'!$G:$G,$J147),""),"")</f>
        <v/>
      </c>
      <c r="F147" s="259">
        <f>IFERROR(IF($J147&gt;0,IF(INDEX('Invullen groen'!$H:$H,$J147)&lt;&gt;0,INDEX('Invullen groen'!$H:$H,$J147),""),""),"")</f>
        <v/>
      </c>
      <c r="G147" s="259">
        <f>IFERROR(IF($J147&gt;0,IF(INDEX('Invullen groen'!$I:$I,$J147)&lt;&gt;0,INDEX('Invullen groen'!$I:$I,$J147),""),""),"")</f>
        <v/>
      </c>
      <c r="H147" s="259">
        <f>IFERROR(IF($J147&gt;0,IF(INDEX('Invullen groen'!$J:$J,$J147)&lt;&gt;0,INDEX('Invullen groen'!$J:$J,$J147),""),""),"")</f>
        <v/>
      </c>
      <c r="I147" s="259">
        <f>IFERROR(IF($J147&gt;0,IF(INDEX('Invullen groen'!$K:$K,$J147)&lt;&gt;0,INDEX('Invullen groen'!$K:$K,$J147),""),""),"")</f>
        <v/>
      </c>
      <c r="J147">
        <f>IFERROR(MATCH(ROW()-4,'Invullen groen'!$P$17:$P$272,0)+16,0)</f>
        <v/>
      </c>
    </row>
    <row r="148" hidden="1" ht="15" customHeight="1" s="418">
      <c r="A148" s="260">
        <f>IFERROR(IF($J148&gt;0,ROW()-4,""),"")</f>
        <v/>
      </c>
      <c r="B148" s="260">
        <f>IFERROR(IF($J148&gt;0,INDEX('Invullen groen'!$A:$A,$J148),""),"")</f>
        <v/>
      </c>
      <c r="C148" s="260">
        <f>IFERROR(IF($J148&gt;0,INDEX('Invullen groen'!$C:$C,$J148),""),"")</f>
        <v/>
      </c>
      <c r="D148" s="260">
        <f>IFERROR(IF($J148&gt;0,INDEX('Invullen groen'!$D:$D,$J148),""),"")</f>
        <v/>
      </c>
      <c r="E148" s="260">
        <f>IFERROR(IF($J148&gt;0,INDEX('Invullen groen'!$G:$G,$J148),""),"")</f>
        <v/>
      </c>
      <c r="F148" s="261">
        <f>IFERROR(IF($J148&gt;0,IF(INDEX('Invullen groen'!$H:$H,$J148)&lt;&gt;0,INDEX('Invullen groen'!$H:$H,$J148),""),""),"")</f>
        <v/>
      </c>
      <c r="G148" s="261">
        <f>IFERROR(IF($J148&gt;0,IF(INDEX('Invullen groen'!$I:$I,$J148)&lt;&gt;0,INDEX('Invullen groen'!$I:$I,$J148),""),""),"")</f>
        <v/>
      </c>
      <c r="H148" s="261">
        <f>IFERROR(IF($J148&gt;0,IF(INDEX('Invullen groen'!$J:$J,$J148)&lt;&gt;0,INDEX('Invullen groen'!$J:$J,$J148),""),""),"")</f>
        <v/>
      </c>
      <c r="I148" s="261">
        <f>IFERROR(IF($J148&gt;0,IF(INDEX('Invullen groen'!$K:$K,$J148)&lt;&gt;0,INDEX('Invullen groen'!$K:$K,$J148),""),""),"")</f>
        <v/>
      </c>
      <c r="J148">
        <f>IFERROR(MATCH(ROW()-4,'Invullen groen'!$P$17:$P$272,0)+16,0)</f>
        <v/>
      </c>
    </row>
    <row r="149" hidden="1" ht="15" customHeight="1" s="418">
      <c r="A149" s="258">
        <f>IFERROR(IF($J149&gt;0,ROW()-4,""),"")</f>
        <v/>
      </c>
      <c r="B149" s="258">
        <f>IFERROR(IF($J149&gt;0,INDEX('Invullen groen'!$A:$A,$J149),""),"")</f>
        <v/>
      </c>
      <c r="C149" s="258">
        <f>IFERROR(IF($J149&gt;0,INDEX('Invullen groen'!$C:$C,$J149),""),"")</f>
        <v/>
      </c>
      <c r="D149" s="258">
        <f>IFERROR(IF($J149&gt;0,INDEX('Invullen groen'!$D:$D,$J149),""),"")</f>
        <v/>
      </c>
      <c r="E149" s="258">
        <f>IFERROR(IF($J149&gt;0,INDEX('Invullen groen'!$G:$G,$J149),""),"")</f>
        <v/>
      </c>
      <c r="F149" s="259">
        <f>IFERROR(IF($J149&gt;0,IF(INDEX('Invullen groen'!$H:$H,$J149)&lt;&gt;0,INDEX('Invullen groen'!$H:$H,$J149),""),""),"")</f>
        <v/>
      </c>
      <c r="G149" s="259">
        <f>IFERROR(IF($J149&gt;0,IF(INDEX('Invullen groen'!$I:$I,$J149)&lt;&gt;0,INDEX('Invullen groen'!$I:$I,$J149),""),""),"")</f>
        <v/>
      </c>
      <c r="H149" s="259">
        <f>IFERROR(IF($J149&gt;0,IF(INDEX('Invullen groen'!$J:$J,$J149)&lt;&gt;0,INDEX('Invullen groen'!$J:$J,$J149),""),""),"")</f>
        <v/>
      </c>
      <c r="I149" s="259">
        <f>IFERROR(IF($J149&gt;0,IF(INDEX('Invullen groen'!$K:$K,$J149)&lt;&gt;0,INDEX('Invullen groen'!$K:$K,$J149),""),""),"")</f>
        <v/>
      </c>
      <c r="J149">
        <f>IFERROR(MATCH(ROW()-4,'Invullen groen'!$P$17:$P$272,0)+16,0)</f>
        <v/>
      </c>
    </row>
    <row r="150" hidden="1" ht="15" customHeight="1" s="418">
      <c r="A150" s="260">
        <f>IFERROR(IF($J150&gt;0,ROW()-4,""),"")</f>
        <v/>
      </c>
      <c r="B150" s="260">
        <f>IFERROR(IF($J150&gt;0,INDEX('Invullen groen'!$A:$A,$J150),""),"")</f>
        <v/>
      </c>
      <c r="C150" s="260">
        <f>IFERROR(IF($J150&gt;0,INDEX('Invullen groen'!$C:$C,$J150),""),"")</f>
        <v/>
      </c>
      <c r="D150" s="260">
        <f>IFERROR(IF($J150&gt;0,INDEX('Invullen groen'!$D:$D,$J150),""),"")</f>
        <v/>
      </c>
      <c r="E150" s="260">
        <f>IFERROR(IF($J150&gt;0,INDEX('Invullen groen'!$G:$G,$J150),""),"")</f>
        <v/>
      </c>
      <c r="F150" s="261">
        <f>IFERROR(IF($J150&gt;0,IF(INDEX('Invullen groen'!$H:$H,$J150)&lt;&gt;0,INDEX('Invullen groen'!$H:$H,$J150),""),""),"")</f>
        <v/>
      </c>
      <c r="G150" s="261">
        <f>IFERROR(IF($J150&gt;0,IF(INDEX('Invullen groen'!$I:$I,$J150)&lt;&gt;0,INDEX('Invullen groen'!$I:$I,$J150),""),""),"")</f>
        <v/>
      </c>
      <c r="H150" s="261">
        <f>IFERROR(IF($J150&gt;0,IF(INDEX('Invullen groen'!$J:$J,$J150)&lt;&gt;0,INDEX('Invullen groen'!$J:$J,$J150),""),""),"")</f>
        <v/>
      </c>
      <c r="I150" s="261">
        <f>IFERROR(IF($J150&gt;0,IF(INDEX('Invullen groen'!$K:$K,$J150)&lt;&gt;0,INDEX('Invullen groen'!$K:$K,$J150),""),""),"")</f>
        <v/>
      </c>
      <c r="J150">
        <f>IFERROR(MATCH(ROW()-4,'Invullen groen'!$P$17:$P$272,0)+16,0)</f>
        <v/>
      </c>
    </row>
    <row r="151" hidden="1" ht="15" customHeight="1" s="418">
      <c r="A151" s="258">
        <f>IFERROR(IF($J151&gt;0,ROW()-4,""),"")</f>
        <v/>
      </c>
      <c r="B151" s="258">
        <f>IFERROR(IF($J151&gt;0,INDEX('Invullen groen'!$A:$A,$J151),""),"")</f>
        <v/>
      </c>
      <c r="C151" s="258">
        <f>IFERROR(IF($J151&gt;0,INDEX('Invullen groen'!$C:$C,$J151),""),"")</f>
        <v/>
      </c>
      <c r="D151" s="258">
        <f>IFERROR(IF($J151&gt;0,INDEX('Invullen groen'!$D:$D,$J151),""),"")</f>
        <v/>
      </c>
      <c r="E151" s="258">
        <f>IFERROR(IF($J151&gt;0,INDEX('Invullen groen'!$G:$G,$J151),""),"")</f>
        <v/>
      </c>
      <c r="F151" s="259">
        <f>IFERROR(IF($J151&gt;0,IF(INDEX('Invullen groen'!$H:$H,$J151)&lt;&gt;0,INDEX('Invullen groen'!$H:$H,$J151),""),""),"")</f>
        <v/>
      </c>
      <c r="G151" s="259">
        <f>IFERROR(IF($J151&gt;0,IF(INDEX('Invullen groen'!$I:$I,$J151)&lt;&gt;0,INDEX('Invullen groen'!$I:$I,$J151),""),""),"")</f>
        <v/>
      </c>
      <c r="H151" s="259">
        <f>IFERROR(IF($J151&gt;0,IF(INDEX('Invullen groen'!$J:$J,$J151)&lt;&gt;0,INDEX('Invullen groen'!$J:$J,$J151),""),""),"")</f>
        <v/>
      </c>
      <c r="I151" s="259">
        <f>IFERROR(IF($J151&gt;0,IF(INDEX('Invullen groen'!$K:$K,$J151)&lt;&gt;0,INDEX('Invullen groen'!$K:$K,$J151),""),""),"")</f>
        <v/>
      </c>
      <c r="J151">
        <f>IFERROR(MATCH(ROW()-4,'Invullen groen'!$P$17:$P$272,0)+16,0)</f>
        <v/>
      </c>
    </row>
    <row r="152" hidden="1" ht="15" customHeight="1" s="418">
      <c r="A152" s="260">
        <f>IFERROR(IF($J152&gt;0,ROW()-4,""),"")</f>
        <v/>
      </c>
      <c r="B152" s="260">
        <f>IFERROR(IF($J152&gt;0,INDEX('Invullen groen'!$A:$A,$J152),""),"")</f>
        <v/>
      </c>
      <c r="C152" s="260">
        <f>IFERROR(IF($J152&gt;0,INDEX('Invullen groen'!$C:$C,$J152),""),"")</f>
        <v/>
      </c>
      <c r="D152" s="260">
        <f>IFERROR(IF($J152&gt;0,INDEX('Invullen groen'!$D:$D,$J152),""),"")</f>
        <v/>
      </c>
      <c r="E152" s="260">
        <f>IFERROR(IF($J152&gt;0,INDEX('Invullen groen'!$G:$G,$J152),""),"")</f>
        <v/>
      </c>
      <c r="F152" s="261">
        <f>IFERROR(IF($J152&gt;0,IF(INDEX('Invullen groen'!$H:$H,$J152)&lt;&gt;0,INDEX('Invullen groen'!$H:$H,$J152),""),""),"")</f>
        <v/>
      </c>
      <c r="G152" s="261">
        <f>IFERROR(IF($J152&gt;0,IF(INDEX('Invullen groen'!$I:$I,$J152)&lt;&gt;0,INDEX('Invullen groen'!$I:$I,$J152),""),""),"")</f>
        <v/>
      </c>
      <c r="H152" s="261">
        <f>IFERROR(IF($J152&gt;0,IF(INDEX('Invullen groen'!$J:$J,$J152)&lt;&gt;0,INDEX('Invullen groen'!$J:$J,$J152),""),""),"")</f>
        <v/>
      </c>
      <c r="I152" s="261">
        <f>IFERROR(IF($J152&gt;0,IF(INDEX('Invullen groen'!$K:$K,$J152)&lt;&gt;0,INDEX('Invullen groen'!$K:$K,$J152),""),""),"")</f>
        <v/>
      </c>
      <c r="J152">
        <f>IFERROR(MATCH(ROW()-4,'Invullen groen'!$P$17:$P$272,0)+16,0)</f>
        <v/>
      </c>
    </row>
    <row r="153" hidden="1" ht="15" customHeight="1" s="418">
      <c r="A153" s="258">
        <f>IFERROR(IF($J153&gt;0,ROW()-4,""),"")</f>
        <v/>
      </c>
      <c r="B153" s="258">
        <f>IFERROR(IF($J153&gt;0,INDEX('Invullen groen'!$A:$A,$J153),""),"")</f>
        <v/>
      </c>
      <c r="C153" s="258">
        <f>IFERROR(IF($J153&gt;0,INDEX('Invullen groen'!$C:$C,$J153),""),"")</f>
        <v/>
      </c>
      <c r="D153" s="258">
        <f>IFERROR(IF($J153&gt;0,INDEX('Invullen groen'!$D:$D,$J153),""),"")</f>
        <v/>
      </c>
      <c r="E153" s="258">
        <f>IFERROR(IF($J153&gt;0,INDEX('Invullen groen'!$G:$G,$J153),""),"")</f>
        <v/>
      </c>
      <c r="F153" s="259">
        <f>IFERROR(IF($J153&gt;0,IF(INDEX('Invullen groen'!$H:$H,$J153)&lt;&gt;0,INDEX('Invullen groen'!$H:$H,$J153),""),""),"")</f>
        <v/>
      </c>
      <c r="G153" s="259">
        <f>IFERROR(IF($J153&gt;0,IF(INDEX('Invullen groen'!$I:$I,$J153)&lt;&gt;0,INDEX('Invullen groen'!$I:$I,$J153),""),""),"")</f>
        <v/>
      </c>
      <c r="H153" s="259">
        <f>IFERROR(IF($J153&gt;0,IF(INDEX('Invullen groen'!$J:$J,$J153)&lt;&gt;0,INDEX('Invullen groen'!$J:$J,$J153),""),""),"")</f>
        <v/>
      </c>
      <c r="I153" s="259">
        <f>IFERROR(IF($J153&gt;0,IF(INDEX('Invullen groen'!$K:$K,$J153)&lt;&gt;0,INDEX('Invullen groen'!$K:$K,$J153),""),""),"")</f>
        <v/>
      </c>
      <c r="J153">
        <f>IFERROR(MATCH(ROW()-4,'Invullen groen'!$P$17:$P$272,0)+16,0)</f>
        <v/>
      </c>
    </row>
    <row r="154" hidden="1" ht="15" customHeight="1" s="418">
      <c r="A154" s="260">
        <f>IFERROR(IF($J154&gt;0,ROW()-4,""),"")</f>
        <v/>
      </c>
      <c r="B154" s="260">
        <f>IFERROR(IF($J154&gt;0,INDEX('Invullen groen'!$A:$A,$J154),""),"")</f>
        <v/>
      </c>
      <c r="C154" s="260">
        <f>IFERROR(IF($J154&gt;0,INDEX('Invullen groen'!$C:$C,$J154),""),"")</f>
        <v/>
      </c>
      <c r="D154" s="260">
        <f>IFERROR(IF($J154&gt;0,INDEX('Invullen groen'!$D:$D,$J154),""),"")</f>
        <v/>
      </c>
      <c r="E154" s="260">
        <f>IFERROR(IF($J154&gt;0,INDEX('Invullen groen'!$G:$G,$J154),""),"")</f>
        <v/>
      </c>
      <c r="F154" s="261">
        <f>IFERROR(IF($J154&gt;0,IF(INDEX('Invullen groen'!$H:$H,$J154)&lt;&gt;0,INDEX('Invullen groen'!$H:$H,$J154),""),""),"")</f>
        <v/>
      </c>
      <c r="G154" s="261">
        <f>IFERROR(IF($J154&gt;0,IF(INDEX('Invullen groen'!$I:$I,$J154)&lt;&gt;0,INDEX('Invullen groen'!$I:$I,$J154),""),""),"")</f>
        <v/>
      </c>
      <c r="H154" s="261">
        <f>IFERROR(IF($J154&gt;0,IF(INDEX('Invullen groen'!$J:$J,$J154)&lt;&gt;0,INDEX('Invullen groen'!$J:$J,$J154),""),""),"")</f>
        <v/>
      </c>
      <c r="I154" s="261">
        <f>IFERROR(IF($J154&gt;0,IF(INDEX('Invullen groen'!$K:$K,$J154)&lt;&gt;0,INDEX('Invullen groen'!$K:$K,$J154),""),""),"")</f>
        <v/>
      </c>
      <c r="J154">
        <f>IFERROR(MATCH(ROW()-4,'Invullen groen'!$P$17:$P$272,0)+16,0)</f>
        <v/>
      </c>
    </row>
    <row r="155" hidden="1" ht="15" customHeight="1" s="418">
      <c r="A155" s="258">
        <f>IFERROR(IF($J155&gt;0,ROW()-4,""),"")</f>
        <v/>
      </c>
      <c r="B155" s="258">
        <f>IFERROR(IF($J155&gt;0,INDEX('Invullen groen'!$A:$A,$J155),""),"")</f>
        <v/>
      </c>
      <c r="C155" s="258">
        <f>IFERROR(IF($J155&gt;0,INDEX('Invullen groen'!$C:$C,$J155),""),"")</f>
        <v/>
      </c>
      <c r="D155" s="258">
        <f>IFERROR(IF($J155&gt;0,INDEX('Invullen groen'!$D:$D,$J155),""),"")</f>
        <v/>
      </c>
      <c r="E155" s="258">
        <f>IFERROR(IF($J155&gt;0,INDEX('Invullen groen'!$G:$G,$J155),""),"")</f>
        <v/>
      </c>
      <c r="F155" s="259">
        <f>IFERROR(IF($J155&gt;0,IF(INDEX('Invullen groen'!$H:$H,$J155)&lt;&gt;0,INDEX('Invullen groen'!$H:$H,$J155),""),""),"")</f>
        <v/>
      </c>
      <c r="G155" s="259">
        <f>IFERROR(IF($J155&gt;0,IF(INDEX('Invullen groen'!$I:$I,$J155)&lt;&gt;0,INDEX('Invullen groen'!$I:$I,$J155),""),""),"")</f>
        <v/>
      </c>
      <c r="H155" s="259">
        <f>IFERROR(IF($J155&gt;0,IF(INDEX('Invullen groen'!$J:$J,$J155)&lt;&gt;0,INDEX('Invullen groen'!$J:$J,$J155),""),""),"")</f>
        <v/>
      </c>
      <c r="I155" s="259">
        <f>IFERROR(IF($J155&gt;0,IF(INDEX('Invullen groen'!$K:$K,$J155)&lt;&gt;0,INDEX('Invullen groen'!$K:$K,$J155),""),""),"")</f>
        <v/>
      </c>
      <c r="J155">
        <f>IFERROR(MATCH(ROW()-4,'Invullen groen'!$P$17:$P$272,0)+16,0)</f>
        <v/>
      </c>
    </row>
    <row r="156" hidden="1" ht="15" customHeight="1" s="418">
      <c r="A156" s="260">
        <f>IFERROR(IF($J156&gt;0,ROW()-4,""),"")</f>
        <v/>
      </c>
      <c r="B156" s="260">
        <f>IFERROR(IF($J156&gt;0,INDEX('Invullen groen'!$A:$A,$J156),""),"")</f>
        <v/>
      </c>
      <c r="C156" s="260">
        <f>IFERROR(IF($J156&gt;0,INDEX('Invullen groen'!$C:$C,$J156),""),"")</f>
        <v/>
      </c>
      <c r="D156" s="260">
        <f>IFERROR(IF($J156&gt;0,INDEX('Invullen groen'!$D:$D,$J156),""),"")</f>
        <v/>
      </c>
      <c r="E156" s="260">
        <f>IFERROR(IF($J156&gt;0,INDEX('Invullen groen'!$G:$G,$J156),""),"")</f>
        <v/>
      </c>
      <c r="F156" s="261">
        <f>IFERROR(IF($J156&gt;0,IF(INDEX('Invullen groen'!$H:$H,$J156)&lt;&gt;0,INDEX('Invullen groen'!$H:$H,$J156),""),""),"")</f>
        <v/>
      </c>
      <c r="G156" s="261">
        <f>IFERROR(IF($J156&gt;0,IF(INDEX('Invullen groen'!$I:$I,$J156)&lt;&gt;0,INDEX('Invullen groen'!$I:$I,$J156),""),""),"")</f>
        <v/>
      </c>
      <c r="H156" s="261">
        <f>IFERROR(IF($J156&gt;0,IF(INDEX('Invullen groen'!$J:$J,$J156)&lt;&gt;0,INDEX('Invullen groen'!$J:$J,$J156),""),""),"")</f>
        <v/>
      </c>
      <c r="I156" s="261">
        <f>IFERROR(IF($J156&gt;0,IF(INDEX('Invullen groen'!$K:$K,$J156)&lt;&gt;0,INDEX('Invullen groen'!$K:$K,$J156),""),""),"")</f>
        <v/>
      </c>
      <c r="J156">
        <f>IFERROR(MATCH(ROW()-4,'Invullen groen'!$P$17:$P$272,0)+16,0)</f>
        <v/>
      </c>
    </row>
    <row r="157" hidden="1" ht="15" customHeight="1" s="418">
      <c r="A157" s="258">
        <f>IFERROR(IF($J157&gt;0,ROW()-4,""),"")</f>
        <v/>
      </c>
      <c r="B157" s="258">
        <f>IFERROR(IF($J157&gt;0,INDEX('Invullen groen'!$A:$A,$J157),""),"")</f>
        <v/>
      </c>
      <c r="C157" s="258">
        <f>IFERROR(IF($J157&gt;0,INDEX('Invullen groen'!$C:$C,$J157),""),"")</f>
        <v/>
      </c>
      <c r="D157" s="258">
        <f>IFERROR(IF($J157&gt;0,INDEX('Invullen groen'!$D:$D,$J157),""),"")</f>
        <v/>
      </c>
      <c r="E157" s="258">
        <f>IFERROR(IF($J157&gt;0,INDEX('Invullen groen'!$G:$G,$J157),""),"")</f>
        <v/>
      </c>
      <c r="F157" s="259">
        <f>IFERROR(IF($J157&gt;0,IF(INDEX('Invullen groen'!$H:$H,$J157)&lt;&gt;0,INDEX('Invullen groen'!$H:$H,$J157),""),""),"")</f>
        <v/>
      </c>
      <c r="G157" s="259">
        <f>IFERROR(IF($J157&gt;0,IF(INDEX('Invullen groen'!$I:$I,$J157)&lt;&gt;0,INDEX('Invullen groen'!$I:$I,$J157),""),""),"")</f>
        <v/>
      </c>
      <c r="H157" s="259">
        <f>IFERROR(IF($J157&gt;0,IF(INDEX('Invullen groen'!$J:$J,$J157)&lt;&gt;0,INDEX('Invullen groen'!$J:$J,$J157),""),""),"")</f>
        <v/>
      </c>
      <c r="I157" s="259">
        <f>IFERROR(IF($J157&gt;0,IF(INDEX('Invullen groen'!$K:$K,$J157)&lt;&gt;0,INDEX('Invullen groen'!$K:$K,$J157),""),""),"")</f>
        <v/>
      </c>
      <c r="J157">
        <f>IFERROR(MATCH(ROW()-4,'Invullen groen'!$P$17:$P$272,0)+16,0)</f>
        <v/>
      </c>
    </row>
    <row r="158" hidden="1" ht="15" customHeight="1" s="418">
      <c r="A158" s="260">
        <f>IFERROR(IF($J158&gt;0,ROW()-4,""),"")</f>
        <v/>
      </c>
      <c r="B158" s="260">
        <f>IFERROR(IF($J158&gt;0,INDEX('Invullen groen'!$A:$A,$J158),""),"")</f>
        <v/>
      </c>
      <c r="C158" s="260">
        <f>IFERROR(IF($J158&gt;0,INDEX('Invullen groen'!$C:$C,$J158),""),"")</f>
        <v/>
      </c>
      <c r="D158" s="260">
        <f>IFERROR(IF($J158&gt;0,INDEX('Invullen groen'!$D:$D,$J158),""),"")</f>
        <v/>
      </c>
      <c r="E158" s="260">
        <f>IFERROR(IF($J158&gt;0,INDEX('Invullen groen'!$G:$G,$J158),""),"")</f>
        <v/>
      </c>
      <c r="F158" s="261">
        <f>IFERROR(IF($J158&gt;0,IF(INDEX('Invullen groen'!$H:$H,$J158)&lt;&gt;0,INDEX('Invullen groen'!$H:$H,$J158),""),""),"")</f>
        <v/>
      </c>
      <c r="G158" s="261">
        <f>IFERROR(IF($J158&gt;0,IF(INDEX('Invullen groen'!$I:$I,$J158)&lt;&gt;0,INDEX('Invullen groen'!$I:$I,$J158),""),""),"")</f>
        <v/>
      </c>
      <c r="H158" s="261">
        <f>IFERROR(IF($J158&gt;0,IF(INDEX('Invullen groen'!$J:$J,$J158)&lt;&gt;0,INDEX('Invullen groen'!$J:$J,$J158),""),""),"")</f>
        <v/>
      </c>
      <c r="I158" s="261">
        <f>IFERROR(IF($J158&gt;0,IF(INDEX('Invullen groen'!$K:$K,$J158)&lt;&gt;0,INDEX('Invullen groen'!$K:$K,$J158),""),""),"")</f>
        <v/>
      </c>
      <c r="J158">
        <f>IFERROR(MATCH(ROW()-4,'Invullen groen'!$P$17:$P$272,0)+16,0)</f>
        <v/>
      </c>
    </row>
    <row r="159" hidden="1" ht="15" customHeight="1" s="418">
      <c r="A159" s="258">
        <f>IFERROR(IF($J159&gt;0,ROW()-4,""),"")</f>
        <v/>
      </c>
      <c r="B159" s="258">
        <f>IFERROR(IF($J159&gt;0,INDEX('Invullen groen'!$A:$A,$J159),""),"")</f>
        <v/>
      </c>
      <c r="C159" s="258">
        <f>IFERROR(IF($J159&gt;0,INDEX('Invullen groen'!$C:$C,$J159),""),"")</f>
        <v/>
      </c>
      <c r="D159" s="258">
        <f>IFERROR(IF($J159&gt;0,INDEX('Invullen groen'!$D:$D,$J159),""),"")</f>
        <v/>
      </c>
      <c r="E159" s="258">
        <f>IFERROR(IF($J159&gt;0,INDEX('Invullen groen'!$G:$G,$J159),""),"")</f>
        <v/>
      </c>
      <c r="F159" s="259">
        <f>IFERROR(IF($J159&gt;0,IF(INDEX('Invullen groen'!$H:$H,$J159)&lt;&gt;0,INDEX('Invullen groen'!$H:$H,$J159),""),""),"")</f>
        <v/>
      </c>
      <c r="G159" s="259">
        <f>IFERROR(IF($J159&gt;0,IF(INDEX('Invullen groen'!$I:$I,$J159)&lt;&gt;0,INDEX('Invullen groen'!$I:$I,$J159),""),""),"")</f>
        <v/>
      </c>
      <c r="H159" s="259">
        <f>IFERROR(IF($J159&gt;0,IF(INDEX('Invullen groen'!$J:$J,$J159)&lt;&gt;0,INDEX('Invullen groen'!$J:$J,$J159),""),""),"")</f>
        <v/>
      </c>
      <c r="I159" s="259">
        <f>IFERROR(IF($J159&gt;0,IF(INDEX('Invullen groen'!$K:$K,$J159)&lt;&gt;0,INDEX('Invullen groen'!$K:$K,$J159),""),""),"")</f>
        <v/>
      </c>
      <c r="J159">
        <f>IFERROR(MATCH(ROW()-4,'Invullen groen'!$P$17:$P$272,0)+16,0)</f>
        <v/>
      </c>
    </row>
    <row r="160" hidden="1" ht="15" customHeight="1" s="418">
      <c r="A160" s="260">
        <f>IFERROR(IF($J160&gt;0,ROW()-4,""),"")</f>
        <v/>
      </c>
      <c r="B160" s="260">
        <f>IFERROR(IF($J160&gt;0,INDEX('Invullen groen'!$A:$A,$J160),""),"")</f>
        <v/>
      </c>
      <c r="C160" s="260">
        <f>IFERROR(IF($J160&gt;0,INDEX('Invullen groen'!$C:$C,$J160),""),"")</f>
        <v/>
      </c>
      <c r="D160" s="260">
        <f>IFERROR(IF($J160&gt;0,INDEX('Invullen groen'!$D:$D,$J160),""),"")</f>
        <v/>
      </c>
      <c r="E160" s="260">
        <f>IFERROR(IF($J160&gt;0,INDEX('Invullen groen'!$G:$G,$J160),""),"")</f>
        <v/>
      </c>
      <c r="F160" s="261">
        <f>IFERROR(IF($J160&gt;0,IF(INDEX('Invullen groen'!$H:$H,$J160)&lt;&gt;0,INDEX('Invullen groen'!$H:$H,$J160),""),""),"")</f>
        <v/>
      </c>
      <c r="G160" s="261">
        <f>IFERROR(IF($J160&gt;0,IF(INDEX('Invullen groen'!$I:$I,$J160)&lt;&gt;0,INDEX('Invullen groen'!$I:$I,$J160),""),""),"")</f>
        <v/>
      </c>
      <c r="H160" s="261">
        <f>IFERROR(IF($J160&gt;0,IF(INDEX('Invullen groen'!$J:$J,$J160)&lt;&gt;0,INDEX('Invullen groen'!$J:$J,$J160),""),""),"")</f>
        <v/>
      </c>
      <c r="I160" s="261">
        <f>IFERROR(IF($J160&gt;0,IF(INDEX('Invullen groen'!$K:$K,$J160)&lt;&gt;0,INDEX('Invullen groen'!$K:$K,$J160),""),""),"")</f>
        <v/>
      </c>
      <c r="J160">
        <f>IFERROR(MATCH(ROW()-4,'Invullen groen'!$P$17:$P$272,0)+16,0)</f>
        <v/>
      </c>
    </row>
    <row r="161" hidden="1" ht="15" customHeight="1" s="418">
      <c r="A161" s="258">
        <f>IFERROR(IF($J161&gt;0,ROW()-4,""),"")</f>
        <v/>
      </c>
      <c r="B161" s="258">
        <f>IFERROR(IF($J161&gt;0,INDEX('Invullen groen'!$A:$A,$J161),""),"")</f>
        <v/>
      </c>
      <c r="C161" s="258">
        <f>IFERROR(IF($J161&gt;0,INDEX('Invullen groen'!$C:$C,$J161),""),"")</f>
        <v/>
      </c>
      <c r="D161" s="258">
        <f>IFERROR(IF($J161&gt;0,INDEX('Invullen groen'!$D:$D,$J161),""),"")</f>
        <v/>
      </c>
      <c r="E161" s="258">
        <f>IFERROR(IF($J161&gt;0,INDEX('Invullen groen'!$G:$G,$J161),""),"")</f>
        <v/>
      </c>
      <c r="F161" s="259">
        <f>IFERROR(IF($J161&gt;0,IF(INDEX('Invullen groen'!$H:$H,$J161)&lt;&gt;0,INDEX('Invullen groen'!$H:$H,$J161),""),""),"")</f>
        <v/>
      </c>
      <c r="G161" s="259">
        <f>IFERROR(IF($J161&gt;0,IF(INDEX('Invullen groen'!$I:$I,$J161)&lt;&gt;0,INDEX('Invullen groen'!$I:$I,$J161),""),""),"")</f>
        <v/>
      </c>
      <c r="H161" s="259">
        <f>IFERROR(IF($J161&gt;0,IF(INDEX('Invullen groen'!$J:$J,$J161)&lt;&gt;0,INDEX('Invullen groen'!$J:$J,$J161),""),""),"")</f>
        <v/>
      </c>
      <c r="I161" s="259">
        <f>IFERROR(IF($J161&gt;0,IF(INDEX('Invullen groen'!$K:$K,$J161)&lt;&gt;0,INDEX('Invullen groen'!$K:$K,$J161),""),""),"")</f>
        <v/>
      </c>
      <c r="J161">
        <f>IFERROR(MATCH(ROW()-4,'Invullen groen'!$P$17:$P$272,0)+16,0)</f>
        <v/>
      </c>
    </row>
    <row r="162" hidden="1" ht="15" customHeight="1" s="418">
      <c r="A162" s="260">
        <f>IFERROR(IF($J162&gt;0,ROW()-4,""),"")</f>
        <v/>
      </c>
      <c r="B162" s="260">
        <f>IFERROR(IF($J162&gt;0,INDEX('Invullen groen'!$A:$A,$J162),""),"")</f>
        <v/>
      </c>
      <c r="C162" s="260">
        <f>IFERROR(IF($J162&gt;0,INDEX('Invullen groen'!$C:$C,$J162),""),"")</f>
        <v/>
      </c>
      <c r="D162" s="260">
        <f>IFERROR(IF($J162&gt;0,INDEX('Invullen groen'!$D:$D,$J162),""),"")</f>
        <v/>
      </c>
      <c r="E162" s="260">
        <f>IFERROR(IF($J162&gt;0,INDEX('Invullen groen'!$G:$G,$J162),""),"")</f>
        <v/>
      </c>
      <c r="F162" s="261">
        <f>IFERROR(IF($J162&gt;0,IF(INDEX('Invullen groen'!$H:$H,$J162)&lt;&gt;0,INDEX('Invullen groen'!$H:$H,$J162),""),""),"")</f>
        <v/>
      </c>
      <c r="G162" s="261">
        <f>IFERROR(IF($J162&gt;0,IF(INDEX('Invullen groen'!$I:$I,$J162)&lt;&gt;0,INDEX('Invullen groen'!$I:$I,$J162),""),""),"")</f>
        <v/>
      </c>
      <c r="H162" s="261">
        <f>IFERROR(IF($J162&gt;0,IF(INDEX('Invullen groen'!$J:$J,$J162)&lt;&gt;0,INDEX('Invullen groen'!$J:$J,$J162),""),""),"")</f>
        <v/>
      </c>
      <c r="I162" s="261">
        <f>IFERROR(IF($J162&gt;0,IF(INDEX('Invullen groen'!$K:$K,$J162)&lt;&gt;0,INDEX('Invullen groen'!$K:$K,$J162),""),""),"")</f>
        <v/>
      </c>
      <c r="J162">
        <f>IFERROR(MATCH(ROW()-4,'Invullen groen'!$P$17:$P$272,0)+16,0)</f>
        <v/>
      </c>
    </row>
    <row r="163" hidden="1" ht="15" customHeight="1" s="418">
      <c r="A163" s="258">
        <f>IFERROR(IF($J163&gt;0,ROW()-4,""),"")</f>
        <v/>
      </c>
      <c r="B163" s="258">
        <f>IFERROR(IF($J163&gt;0,INDEX('Invullen groen'!$A:$A,$J163),""),"")</f>
        <v/>
      </c>
      <c r="C163" s="258">
        <f>IFERROR(IF($J163&gt;0,INDEX('Invullen groen'!$C:$C,$J163),""),"")</f>
        <v/>
      </c>
      <c r="D163" s="258">
        <f>IFERROR(IF($J163&gt;0,INDEX('Invullen groen'!$D:$D,$J163),""),"")</f>
        <v/>
      </c>
      <c r="E163" s="258">
        <f>IFERROR(IF($J163&gt;0,INDEX('Invullen groen'!$G:$G,$J163),""),"")</f>
        <v/>
      </c>
      <c r="F163" s="259">
        <f>IFERROR(IF($J163&gt;0,IF(INDEX('Invullen groen'!$H:$H,$J163)&lt;&gt;0,INDEX('Invullen groen'!$H:$H,$J163),""),""),"")</f>
        <v/>
      </c>
      <c r="G163" s="259">
        <f>IFERROR(IF($J163&gt;0,IF(INDEX('Invullen groen'!$I:$I,$J163)&lt;&gt;0,INDEX('Invullen groen'!$I:$I,$J163),""),""),"")</f>
        <v/>
      </c>
      <c r="H163" s="259">
        <f>IFERROR(IF($J163&gt;0,IF(INDEX('Invullen groen'!$J:$J,$J163)&lt;&gt;0,INDEX('Invullen groen'!$J:$J,$J163),""),""),"")</f>
        <v/>
      </c>
      <c r="I163" s="259">
        <f>IFERROR(IF($J163&gt;0,IF(INDEX('Invullen groen'!$K:$K,$J163)&lt;&gt;0,INDEX('Invullen groen'!$K:$K,$J163),""),""),"")</f>
        <v/>
      </c>
      <c r="J163">
        <f>IFERROR(MATCH(ROW()-4,'Invullen groen'!$P$17:$P$272,0)+16,0)</f>
        <v/>
      </c>
    </row>
    <row r="164" hidden="1" ht="15" customHeight="1" s="418">
      <c r="A164" s="260">
        <f>IFERROR(IF($J164&gt;0,ROW()-4,""),"")</f>
        <v/>
      </c>
      <c r="B164" s="260">
        <f>IFERROR(IF($J164&gt;0,INDEX('Invullen groen'!$A:$A,$J164),""),"")</f>
        <v/>
      </c>
      <c r="C164" s="260">
        <f>IFERROR(IF($J164&gt;0,INDEX('Invullen groen'!$C:$C,$J164),""),"")</f>
        <v/>
      </c>
      <c r="D164" s="260">
        <f>IFERROR(IF($J164&gt;0,INDEX('Invullen groen'!$D:$D,$J164),""),"")</f>
        <v/>
      </c>
      <c r="E164" s="260">
        <f>IFERROR(IF($J164&gt;0,INDEX('Invullen groen'!$G:$G,$J164),""),"")</f>
        <v/>
      </c>
      <c r="F164" s="261">
        <f>IFERROR(IF($J164&gt;0,IF(INDEX('Invullen groen'!$H:$H,$J164)&lt;&gt;0,INDEX('Invullen groen'!$H:$H,$J164),""),""),"")</f>
        <v/>
      </c>
      <c r="G164" s="261">
        <f>IFERROR(IF($J164&gt;0,IF(INDEX('Invullen groen'!$I:$I,$J164)&lt;&gt;0,INDEX('Invullen groen'!$I:$I,$J164),""),""),"")</f>
        <v/>
      </c>
      <c r="H164" s="261">
        <f>IFERROR(IF($J164&gt;0,IF(INDEX('Invullen groen'!$J:$J,$J164)&lt;&gt;0,INDEX('Invullen groen'!$J:$J,$J164),""),""),"")</f>
        <v/>
      </c>
      <c r="I164" s="261">
        <f>IFERROR(IF($J164&gt;0,IF(INDEX('Invullen groen'!$K:$K,$J164)&lt;&gt;0,INDEX('Invullen groen'!$K:$K,$J164),""),""),"")</f>
        <v/>
      </c>
      <c r="J164">
        <f>IFERROR(MATCH(ROW()-4,'Invullen groen'!$P$17:$P$272,0)+16,0)</f>
        <v/>
      </c>
    </row>
    <row r="165" hidden="1" ht="15" customHeight="1" s="418">
      <c r="A165" s="258">
        <f>IFERROR(IF($J165&gt;0,ROW()-4,""),"")</f>
        <v/>
      </c>
      <c r="B165" s="258">
        <f>IFERROR(IF($J165&gt;0,INDEX('Invullen groen'!$A:$A,$J165),""),"")</f>
        <v/>
      </c>
      <c r="C165" s="258">
        <f>IFERROR(IF($J165&gt;0,INDEX('Invullen groen'!$C:$C,$J165),""),"")</f>
        <v/>
      </c>
      <c r="D165" s="258">
        <f>IFERROR(IF($J165&gt;0,INDEX('Invullen groen'!$D:$D,$J165),""),"")</f>
        <v/>
      </c>
      <c r="E165" s="258">
        <f>IFERROR(IF($J165&gt;0,INDEX('Invullen groen'!$G:$G,$J165),""),"")</f>
        <v/>
      </c>
      <c r="F165" s="259">
        <f>IFERROR(IF($J165&gt;0,IF(INDEX('Invullen groen'!$H:$H,$J165)&lt;&gt;0,INDEX('Invullen groen'!$H:$H,$J165),""),""),"")</f>
        <v/>
      </c>
      <c r="G165" s="259">
        <f>IFERROR(IF($J165&gt;0,IF(INDEX('Invullen groen'!$I:$I,$J165)&lt;&gt;0,INDEX('Invullen groen'!$I:$I,$J165),""),""),"")</f>
        <v/>
      </c>
      <c r="H165" s="259">
        <f>IFERROR(IF($J165&gt;0,IF(INDEX('Invullen groen'!$J:$J,$J165)&lt;&gt;0,INDEX('Invullen groen'!$J:$J,$J165),""),""),"")</f>
        <v/>
      </c>
      <c r="I165" s="259">
        <f>IFERROR(IF($J165&gt;0,IF(INDEX('Invullen groen'!$K:$K,$J165)&lt;&gt;0,INDEX('Invullen groen'!$K:$K,$J165),""),""),"")</f>
        <v/>
      </c>
      <c r="J165">
        <f>IFERROR(MATCH(ROW()-4,'Invullen groen'!$P$17:$P$272,0)+16,0)</f>
        <v/>
      </c>
    </row>
    <row r="166" hidden="1" ht="15" customHeight="1" s="418">
      <c r="A166" s="260">
        <f>IFERROR(IF($J166&gt;0,ROW()-4,""),"")</f>
        <v/>
      </c>
      <c r="B166" s="260">
        <f>IFERROR(IF($J166&gt;0,INDEX('Invullen groen'!$A:$A,$J166),""),"")</f>
        <v/>
      </c>
      <c r="C166" s="260">
        <f>IFERROR(IF($J166&gt;0,INDEX('Invullen groen'!$C:$C,$J166),""),"")</f>
        <v/>
      </c>
      <c r="D166" s="260">
        <f>IFERROR(IF($J166&gt;0,INDEX('Invullen groen'!$D:$D,$J166),""),"")</f>
        <v/>
      </c>
      <c r="E166" s="260">
        <f>IFERROR(IF($J166&gt;0,INDEX('Invullen groen'!$G:$G,$J166),""),"")</f>
        <v/>
      </c>
      <c r="F166" s="261">
        <f>IFERROR(IF($J166&gt;0,IF(INDEX('Invullen groen'!$H:$H,$J166)&lt;&gt;0,INDEX('Invullen groen'!$H:$H,$J166),""),""),"")</f>
        <v/>
      </c>
      <c r="G166" s="261">
        <f>IFERROR(IF($J166&gt;0,IF(INDEX('Invullen groen'!$I:$I,$J166)&lt;&gt;0,INDEX('Invullen groen'!$I:$I,$J166),""),""),"")</f>
        <v/>
      </c>
      <c r="H166" s="261">
        <f>IFERROR(IF($J166&gt;0,IF(INDEX('Invullen groen'!$J:$J,$J166)&lt;&gt;0,INDEX('Invullen groen'!$J:$J,$J166),""),""),"")</f>
        <v/>
      </c>
      <c r="I166" s="261">
        <f>IFERROR(IF($J166&gt;0,IF(INDEX('Invullen groen'!$K:$K,$J166)&lt;&gt;0,INDEX('Invullen groen'!$K:$K,$J166),""),""),"")</f>
        <v/>
      </c>
      <c r="J166">
        <f>IFERROR(MATCH(ROW()-4,'Invullen groen'!$P$17:$P$272,0)+16,0)</f>
        <v/>
      </c>
    </row>
    <row r="167" hidden="1" ht="15" customHeight="1" s="418">
      <c r="A167" s="258">
        <f>IFERROR(IF($J167&gt;0,ROW()-4,""),"")</f>
        <v/>
      </c>
      <c r="B167" s="258">
        <f>IFERROR(IF($J167&gt;0,INDEX('Invullen groen'!$A:$A,$J167),""),"")</f>
        <v/>
      </c>
      <c r="C167" s="258">
        <f>IFERROR(IF($J167&gt;0,INDEX('Invullen groen'!$C:$C,$J167),""),"")</f>
        <v/>
      </c>
      <c r="D167" s="258">
        <f>IFERROR(IF($J167&gt;0,INDEX('Invullen groen'!$D:$D,$J167),""),"")</f>
        <v/>
      </c>
      <c r="E167" s="258">
        <f>IFERROR(IF($J167&gt;0,INDEX('Invullen groen'!$G:$G,$J167),""),"")</f>
        <v/>
      </c>
      <c r="F167" s="259">
        <f>IFERROR(IF($J167&gt;0,IF(INDEX('Invullen groen'!$H:$H,$J167)&lt;&gt;0,INDEX('Invullen groen'!$H:$H,$J167),""),""),"")</f>
        <v/>
      </c>
      <c r="G167" s="259">
        <f>IFERROR(IF($J167&gt;0,IF(INDEX('Invullen groen'!$I:$I,$J167)&lt;&gt;0,INDEX('Invullen groen'!$I:$I,$J167),""),""),"")</f>
        <v/>
      </c>
      <c r="H167" s="259">
        <f>IFERROR(IF($J167&gt;0,IF(INDEX('Invullen groen'!$J:$J,$J167)&lt;&gt;0,INDEX('Invullen groen'!$J:$J,$J167),""),""),"")</f>
        <v/>
      </c>
      <c r="I167" s="259">
        <f>IFERROR(IF($J167&gt;0,IF(INDEX('Invullen groen'!$K:$K,$J167)&lt;&gt;0,INDEX('Invullen groen'!$K:$K,$J167),""),""),"")</f>
        <v/>
      </c>
      <c r="J167">
        <f>IFERROR(MATCH(ROW()-4,'Invullen groen'!$P$17:$P$272,0)+16,0)</f>
        <v/>
      </c>
    </row>
    <row r="168" hidden="1" ht="15" customHeight="1" s="418">
      <c r="A168" s="260">
        <f>IFERROR(IF($J168&gt;0,ROW()-4,""),"")</f>
        <v/>
      </c>
      <c r="B168" s="260">
        <f>IFERROR(IF($J168&gt;0,INDEX('Invullen groen'!$A:$A,$J168),""),"")</f>
        <v/>
      </c>
      <c r="C168" s="260">
        <f>IFERROR(IF($J168&gt;0,INDEX('Invullen groen'!$C:$C,$J168),""),"")</f>
        <v/>
      </c>
      <c r="D168" s="260">
        <f>IFERROR(IF($J168&gt;0,INDEX('Invullen groen'!$D:$D,$J168),""),"")</f>
        <v/>
      </c>
      <c r="E168" s="260">
        <f>IFERROR(IF($J168&gt;0,INDEX('Invullen groen'!$G:$G,$J168),""),"")</f>
        <v/>
      </c>
      <c r="F168" s="261">
        <f>IFERROR(IF($J168&gt;0,IF(INDEX('Invullen groen'!$H:$H,$J168)&lt;&gt;0,INDEX('Invullen groen'!$H:$H,$J168),""),""),"")</f>
        <v/>
      </c>
      <c r="G168" s="261">
        <f>IFERROR(IF($J168&gt;0,IF(INDEX('Invullen groen'!$I:$I,$J168)&lt;&gt;0,INDEX('Invullen groen'!$I:$I,$J168),""),""),"")</f>
        <v/>
      </c>
      <c r="H168" s="261">
        <f>IFERROR(IF($J168&gt;0,IF(INDEX('Invullen groen'!$J:$J,$J168)&lt;&gt;0,INDEX('Invullen groen'!$J:$J,$J168),""),""),"")</f>
        <v/>
      </c>
      <c r="I168" s="261">
        <f>IFERROR(IF($J168&gt;0,IF(INDEX('Invullen groen'!$K:$K,$J168)&lt;&gt;0,INDEX('Invullen groen'!$K:$K,$J168),""),""),"")</f>
        <v/>
      </c>
      <c r="J168">
        <f>IFERROR(MATCH(ROW()-4,'Invullen groen'!$P$17:$P$272,0)+16,0)</f>
        <v/>
      </c>
    </row>
    <row r="169" hidden="1" ht="15" customHeight="1" s="418">
      <c r="A169" s="258">
        <f>IFERROR(IF($J169&gt;0,ROW()-4,""),"")</f>
        <v/>
      </c>
      <c r="B169" s="258">
        <f>IFERROR(IF($J169&gt;0,INDEX('Invullen groen'!$A:$A,$J169),""),"")</f>
        <v/>
      </c>
      <c r="C169" s="258">
        <f>IFERROR(IF($J169&gt;0,INDEX('Invullen groen'!$C:$C,$J169),""),"")</f>
        <v/>
      </c>
      <c r="D169" s="258">
        <f>IFERROR(IF($J169&gt;0,INDEX('Invullen groen'!$D:$D,$J169),""),"")</f>
        <v/>
      </c>
      <c r="E169" s="258">
        <f>IFERROR(IF($J169&gt;0,INDEX('Invullen groen'!$G:$G,$J169),""),"")</f>
        <v/>
      </c>
      <c r="F169" s="259">
        <f>IFERROR(IF($J169&gt;0,IF(INDEX('Invullen groen'!$H:$H,$J169)&lt;&gt;0,INDEX('Invullen groen'!$H:$H,$J169),""),""),"")</f>
        <v/>
      </c>
      <c r="G169" s="259">
        <f>IFERROR(IF($J169&gt;0,IF(INDEX('Invullen groen'!$I:$I,$J169)&lt;&gt;0,INDEX('Invullen groen'!$I:$I,$J169),""),""),"")</f>
        <v/>
      </c>
      <c r="H169" s="259">
        <f>IFERROR(IF($J169&gt;0,IF(INDEX('Invullen groen'!$J:$J,$J169)&lt;&gt;0,INDEX('Invullen groen'!$J:$J,$J169),""),""),"")</f>
        <v/>
      </c>
      <c r="I169" s="259">
        <f>IFERROR(IF($J169&gt;0,IF(INDEX('Invullen groen'!$K:$K,$J169)&lt;&gt;0,INDEX('Invullen groen'!$K:$K,$J169),""),""),"")</f>
        <v/>
      </c>
      <c r="J169">
        <f>IFERROR(MATCH(ROW()-4,'Invullen groen'!$P$17:$P$272,0)+16,0)</f>
        <v/>
      </c>
    </row>
    <row r="170" hidden="1" ht="15" customHeight="1" s="418">
      <c r="A170" s="260">
        <f>IFERROR(IF($J170&gt;0,ROW()-4,""),"")</f>
        <v/>
      </c>
      <c r="B170" s="260">
        <f>IFERROR(IF($J170&gt;0,INDEX('Invullen groen'!$A:$A,$J170),""),"")</f>
        <v/>
      </c>
      <c r="C170" s="260">
        <f>IFERROR(IF($J170&gt;0,INDEX('Invullen groen'!$C:$C,$J170),""),"")</f>
        <v/>
      </c>
      <c r="D170" s="260">
        <f>IFERROR(IF($J170&gt;0,INDEX('Invullen groen'!$D:$D,$J170),""),"")</f>
        <v/>
      </c>
      <c r="E170" s="260">
        <f>IFERROR(IF($J170&gt;0,INDEX('Invullen groen'!$G:$G,$J170),""),"")</f>
        <v/>
      </c>
      <c r="F170" s="261">
        <f>IFERROR(IF($J170&gt;0,IF(INDEX('Invullen groen'!$H:$H,$J170)&lt;&gt;0,INDEX('Invullen groen'!$H:$H,$J170),""),""),"")</f>
        <v/>
      </c>
      <c r="G170" s="261">
        <f>IFERROR(IF($J170&gt;0,IF(INDEX('Invullen groen'!$I:$I,$J170)&lt;&gt;0,INDEX('Invullen groen'!$I:$I,$J170),""),""),"")</f>
        <v/>
      </c>
      <c r="H170" s="261">
        <f>IFERROR(IF($J170&gt;0,IF(INDEX('Invullen groen'!$J:$J,$J170)&lt;&gt;0,INDEX('Invullen groen'!$J:$J,$J170),""),""),"")</f>
        <v/>
      </c>
      <c r="I170" s="261">
        <f>IFERROR(IF($J170&gt;0,IF(INDEX('Invullen groen'!$K:$K,$J170)&lt;&gt;0,INDEX('Invullen groen'!$K:$K,$J170),""),""),"")</f>
        <v/>
      </c>
      <c r="J170">
        <f>IFERROR(MATCH(ROW()-4,'Invullen groen'!$P$17:$P$272,0)+16,0)</f>
        <v/>
      </c>
    </row>
    <row r="171" hidden="1" ht="15" customHeight="1" s="418">
      <c r="A171" s="258">
        <f>IFERROR(IF($J171&gt;0,ROW()-4,""),"")</f>
        <v/>
      </c>
      <c r="B171" s="258">
        <f>IFERROR(IF($J171&gt;0,INDEX('Invullen groen'!$A:$A,$J171),""),"")</f>
        <v/>
      </c>
      <c r="C171" s="258">
        <f>IFERROR(IF($J171&gt;0,INDEX('Invullen groen'!$C:$C,$J171),""),"")</f>
        <v/>
      </c>
      <c r="D171" s="258">
        <f>IFERROR(IF($J171&gt;0,INDEX('Invullen groen'!$D:$D,$J171),""),"")</f>
        <v/>
      </c>
      <c r="E171" s="258">
        <f>IFERROR(IF($J171&gt;0,INDEX('Invullen groen'!$G:$G,$J171),""),"")</f>
        <v/>
      </c>
      <c r="F171" s="259">
        <f>IFERROR(IF($J171&gt;0,IF(INDEX('Invullen groen'!$H:$H,$J171)&lt;&gt;0,INDEX('Invullen groen'!$H:$H,$J171),""),""),"")</f>
        <v/>
      </c>
      <c r="G171" s="259">
        <f>IFERROR(IF($J171&gt;0,IF(INDEX('Invullen groen'!$I:$I,$J171)&lt;&gt;0,INDEX('Invullen groen'!$I:$I,$J171),""),""),"")</f>
        <v/>
      </c>
      <c r="H171" s="259">
        <f>IFERROR(IF($J171&gt;0,IF(INDEX('Invullen groen'!$J:$J,$J171)&lt;&gt;0,INDEX('Invullen groen'!$J:$J,$J171),""),""),"")</f>
        <v/>
      </c>
      <c r="I171" s="259">
        <f>IFERROR(IF($J171&gt;0,IF(INDEX('Invullen groen'!$K:$K,$J171)&lt;&gt;0,INDEX('Invullen groen'!$K:$K,$J171),""),""),"")</f>
        <v/>
      </c>
      <c r="J171">
        <f>IFERROR(MATCH(ROW()-4,'Invullen groen'!$P$17:$P$272,0)+16,0)</f>
        <v/>
      </c>
    </row>
    <row r="172" hidden="1" ht="15" customHeight="1" s="418">
      <c r="A172" s="260">
        <f>IFERROR(IF($J172&gt;0,ROW()-4,""),"")</f>
        <v/>
      </c>
      <c r="B172" s="260">
        <f>IFERROR(IF($J172&gt;0,INDEX('Invullen groen'!$A:$A,$J172),""),"")</f>
        <v/>
      </c>
      <c r="C172" s="260">
        <f>IFERROR(IF($J172&gt;0,INDEX('Invullen groen'!$C:$C,$J172),""),"")</f>
        <v/>
      </c>
      <c r="D172" s="260">
        <f>IFERROR(IF($J172&gt;0,INDEX('Invullen groen'!$D:$D,$J172),""),"")</f>
        <v/>
      </c>
      <c r="E172" s="260">
        <f>IFERROR(IF($J172&gt;0,INDEX('Invullen groen'!$G:$G,$J172),""),"")</f>
        <v/>
      </c>
      <c r="F172" s="261">
        <f>IFERROR(IF($J172&gt;0,IF(INDEX('Invullen groen'!$H:$H,$J172)&lt;&gt;0,INDEX('Invullen groen'!$H:$H,$J172),""),""),"")</f>
        <v/>
      </c>
      <c r="G172" s="261">
        <f>IFERROR(IF($J172&gt;0,IF(INDEX('Invullen groen'!$I:$I,$J172)&lt;&gt;0,INDEX('Invullen groen'!$I:$I,$J172),""),""),"")</f>
        <v/>
      </c>
      <c r="H172" s="261">
        <f>IFERROR(IF($J172&gt;0,IF(INDEX('Invullen groen'!$J:$J,$J172)&lt;&gt;0,INDEX('Invullen groen'!$J:$J,$J172),""),""),"")</f>
        <v/>
      </c>
      <c r="I172" s="261">
        <f>IFERROR(IF($J172&gt;0,IF(INDEX('Invullen groen'!$K:$K,$J172)&lt;&gt;0,INDEX('Invullen groen'!$K:$K,$J172),""),""),"")</f>
        <v/>
      </c>
      <c r="J172">
        <f>IFERROR(MATCH(ROW()-4,'Invullen groen'!$P$17:$P$272,0)+16,0)</f>
        <v/>
      </c>
    </row>
    <row r="173" hidden="1" ht="15" customHeight="1" s="418">
      <c r="A173" s="258">
        <f>IFERROR(IF($J173&gt;0,ROW()-4,""),"")</f>
        <v/>
      </c>
      <c r="B173" s="258">
        <f>IFERROR(IF($J173&gt;0,INDEX('Invullen groen'!$A:$A,$J173),""),"")</f>
        <v/>
      </c>
      <c r="C173" s="258">
        <f>IFERROR(IF($J173&gt;0,INDEX('Invullen groen'!$C:$C,$J173),""),"")</f>
        <v/>
      </c>
      <c r="D173" s="258">
        <f>IFERROR(IF($J173&gt;0,INDEX('Invullen groen'!$D:$D,$J173),""),"")</f>
        <v/>
      </c>
      <c r="E173" s="258">
        <f>IFERROR(IF($J173&gt;0,INDEX('Invullen groen'!$G:$G,$J173),""),"")</f>
        <v/>
      </c>
      <c r="F173" s="259">
        <f>IFERROR(IF($J173&gt;0,IF(INDEX('Invullen groen'!$H:$H,$J173)&lt;&gt;0,INDEX('Invullen groen'!$H:$H,$J173),""),""),"")</f>
        <v/>
      </c>
      <c r="G173" s="259">
        <f>IFERROR(IF($J173&gt;0,IF(INDEX('Invullen groen'!$I:$I,$J173)&lt;&gt;0,INDEX('Invullen groen'!$I:$I,$J173),""),""),"")</f>
        <v/>
      </c>
      <c r="H173" s="259">
        <f>IFERROR(IF($J173&gt;0,IF(INDEX('Invullen groen'!$J:$J,$J173)&lt;&gt;0,INDEX('Invullen groen'!$J:$J,$J173),""),""),"")</f>
        <v/>
      </c>
      <c r="I173" s="259">
        <f>IFERROR(IF($J173&gt;0,IF(INDEX('Invullen groen'!$K:$K,$J173)&lt;&gt;0,INDEX('Invullen groen'!$K:$K,$J173),""),""),"")</f>
        <v/>
      </c>
      <c r="J173">
        <f>IFERROR(MATCH(ROW()-4,'Invullen groen'!$P$17:$P$272,0)+16,0)</f>
        <v/>
      </c>
    </row>
    <row r="174" hidden="1" ht="15" customHeight="1" s="418">
      <c r="A174" s="260">
        <f>IFERROR(IF($J174&gt;0,ROW()-4,""),"")</f>
        <v/>
      </c>
      <c r="B174" s="260">
        <f>IFERROR(IF($J174&gt;0,INDEX('Invullen groen'!$A:$A,$J174),""),"")</f>
        <v/>
      </c>
      <c r="C174" s="260">
        <f>IFERROR(IF($J174&gt;0,INDEX('Invullen groen'!$C:$C,$J174),""),"")</f>
        <v/>
      </c>
      <c r="D174" s="260">
        <f>IFERROR(IF($J174&gt;0,INDEX('Invullen groen'!$D:$D,$J174),""),"")</f>
        <v/>
      </c>
      <c r="E174" s="260">
        <f>IFERROR(IF($J174&gt;0,INDEX('Invullen groen'!$G:$G,$J174),""),"")</f>
        <v/>
      </c>
      <c r="F174" s="261">
        <f>IFERROR(IF($J174&gt;0,IF(INDEX('Invullen groen'!$H:$H,$J174)&lt;&gt;0,INDEX('Invullen groen'!$H:$H,$J174),""),""),"")</f>
        <v/>
      </c>
      <c r="G174" s="261">
        <f>IFERROR(IF($J174&gt;0,IF(INDEX('Invullen groen'!$I:$I,$J174)&lt;&gt;0,INDEX('Invullen groen'!$I:$I,$J174),""),""),"")</f>
        <v/>
      </c>
      <c r="H174" s="261">
        <f>IFERROR(IF($J174&gt;0,IF(INDEX('Invullen groen'!$J:$J,$J174)&lt;&gt;0,INDEX('Invullen groen'!$J:$J,$J174),""),""),"")</f>
        <v/>
      </c>
      <c r="I174" s="261">
        <f>IFERROR(IF($J174&gt;0,IF(INDEX('Invullen groen'!$K:$K,$J174)&lt;&gt;0,INDEX('Invullen groen'!$K:$K,$J174),""),""),"")</f>
        <v/>
      </c>
      <c r="J174">
        <f>IFERROR(MATCH(ROW()-4,'Invullen groen'!$P$17:$P$272,0)+16,0)</f>
        <v/>
      </c>
    </row>
    <row r="175" hidden="1" ht="15" customHeight="1" s="418">
      <c r="A175" s="258">
        <f>IFERROR(IF($J175&gt;0,ROW()-4,""),"")</f>
        <v/>
      </c>
      <c r="B175" s="258">
        <f>IFERROR(IF($J175&gt;0,INDEX('Invullen groen'!$A:$A,$J175),""),"")</f>
        <v/>
      </c>
      <c r="C175" s="258">
        <f>IFERROR(IF($J175&gt;0,INDEX('Invullen groen'!$C:$C,$J175),""),"")</f>
        <v/>
      </c>
      <c r="D175" s="258">
        <f>IFERROR(IF($J175&gt;0,INDEX('Invullen groen'!$D:$D,$J175),""),"")</f>
        <v/>
      </c>
      <c r="E175" s="258">
        <f>IFERROR(IF($J175&gt;0,INDEX('Invullen groen'!$G:$G,$J175),""),"")</f>
        <v/>
      </c>
      <c r="F175" s="259">
        <f>IFERROR(IF($J175&gt;0,IF(INDEX('Invullen groen'!$H:$H,$J175)&lt;&gt;0,INDEX('Invullen groen'!$H:$H,$J175),""),""),"")</f>
        <v/>
      </c>
      <c r="G175" s="259">
        <f>IFERROR(IF($J175&gt;0,IF(INDEX('Invullen groen'!$I:$I,$J175)&lt;&gt;0,INDEX('Invullen groen'!$I:$I,$J175),""),""),"")</f>
        <v/>
      </c>
      <c r="H175" s="259">
        <f>IFERROR(IF($J175&gt;0,IF(INDEX('Invullen groen'!$J:$J,$J175)&lt;&gt;0,INDEX('Invullen groen'!$J:$J,$J175),""),""),"")</f>
        <v/>
      </c>
      <c r="I175" s="259">
        <f>IFERROR(IF($J175&gt;0,IF(INDEX('Invullen groen'!$K:$K,$J175)&lt;&gt;0,INDEX('Invullen groen'!$K:$K,$J175),""),""),"")</f>
        <v/>
      </c>
      <c r="J175">
        <f>IFERROR(MATCH(ROW()-4,'Invullen groen'!$P$17:$P$272,0)+16,0)</f>
        <v/>
      </c>
    </row>
    <row r="176" hidden="1" ht="15" customHeight="1" s="418">
      <c r="A176" s="260">
        <f>IFERROR(IF($J176&gt;0,ROW()-4,""),"")</f>
        <v/>
      </c>
      <c r="B176" s="260">
        <f>IFERROR(IF($J176&gt;0,INDEX('Invullen groen'!$A:$A,$J176),""),"")</f>
        <v/>
      </c>
      <c r="C176" s="260">
        <f>IFERROR(IF($J176&gt;0,INDEX('Invullen groen'!$C:$C,$J176),""),"")</f>
        <v/>
      </c>
      <c r="D176" s="260">
        <f>IFERROR(IF($J176&gt;0,INDEX('Invullen groen'!$D:$D,$J176),""),"")</f>
        <v/>
      </c>
      <c r="E176" s="260">
        <f>IFERROR(IF($J176&gt;0,INDEX('Invullen groen'!$G:$G,$J176),""),"")</f>
        <v/>
      </c>
      <c r="F176" s="261">
        <f>IFERROR(IF($J176&gt;0,IF(INDEX('Invullen groen'!$H:$H,$J176)&lt;&gt;0,INDEX('Invullen groen'!$H:$H,$J176),""),""),"")</f>
        <v/>
      </c>
      <c r="G176" s="261">
        <f>IFERROR(IF($J176&gt;0,IF(INDEX('Invullen groen'!$I:$I,$J176)&lt;&gt;0,INDEX('Invullen groen'!$I:$I,$J176),""),""),"")</f>
        <v/>
      </c>
      <c r="H176" s="261">
        <f>IFERROR(IF($J176&gt;0,IF(INDEX('Invullen groen'!$J:$J,$J176)&lt;&gt;0,INDEX('Invullen groen'!$J:$J,$J176),""),""),"")</f>
        <v/>
      </c>
      <c r="I176" s="261">
        <f>IFERROR(IF($J176&gt;0,IF(INDEX('Invullen groen'!$K:$K,$J176)&lt;&gt;0,INDEX('Invullen groen'!$K:$K,$J176),""),""),"")</f>
        <v/>
      </c>
      <c r="J176">
        <f>IFERROR(MATCH(ROW()-4,'Invullen groen'!$P$17:$P$272,0)+16,0)</f>
        <v/>
      </c>
    </row>
    <row r="177" hidden="1" ht="15" customHeight="1" s="418">
      <c r="A177" s="258">
        <f>IFERROR(IF($J177&gt;0,ROW()-4,""),"")</f>
        <v/>
      </c>
      <c r="B177" s="258">
        <f>IFERROR(IF($J177&gt;0,INDEX('Invullen groen'!$A:$A,$J177),""),"")</f>
        <v/>
      </c>
      <c r="C177" s="258">
        <f>IFERROR(IF($J177&gt;0,INDEX('Invullen groen'!$C:$C,$J177),""),"")</f>
        <v/>
      </c>
      <c r="D177" s="258">
        <f>IFERROR(IF($J177&gt;0,INDEX('Invullen groen'!$D:$D,$J177),""),"")</f>
        <v/>
      </c>
      <c r="E177" s="258">
        <f>IFERROR(IF($J177&gt;0,INDEX('Invullen groen'!$G:$G,$J177),""),"")</f>
        <v/>
      </c>
      <c r="F177" s="259">
        <f>IFERROR(IF($J177&gt;0,IF(INDEX('Invullen groen'!$H:$H,$J177)&lt;&gt;0,INDEX('Invullen groen'!$H:$H,$J177),""),""),"")</f>
        <v/>
      </c>
      <c r="G177" s="259">
        <f>IFERROR(IF($J177&gt;0,IF(INDEX('Invullen groen'!$I:$I,$J177)&lt;&gt;0,INDEX('Invullen groen'!$I:$I,$J177),""),""),"")</f>
        <v/>
      </c>
      <c r="H177" s="259">
        <f>IFERROR(IF($J177&gt;0,IF(INDEX('Invullen groen'!$J:$J,$J177)&lt;&gt;0,INDEX('Invullen groen'!$J:$J,$J177),""),""),"")</f>
        <v/>
      </c>
      <c r="I177" s="259">
        <f>IFERROR(IF($J177&gt;0,IF(INDEX('Invullen groen'!$K:$K,$J177)&lt;&gt;0,INDEX('Invullen groen'!$K:$K,$J177),""),""),"")</f>
        <v/>
      </c>
      <c r="J177">
        <f>IFERROR(MATCH(ROW()-4,'Invullen groen'!$P$17:$P$272,0)+16,0)</f>
        <v/>
      </c>
    </row>
    <row r="178" hidden="1" ht="15" customHeight="1" s="418">
      <c r="A178" s="260">
        <f>IFERROR(IF($J178&gt;0,ROW()-4,""),"")</f>
        <v/>
      </c>
      <c r="B178" s="260">
        <f>IFERROR(IF($J178&gt;0,INDEX('Invullen groen'!$A:$A,$J178),""),"")</f>
        <v/>
      </c>
      <c r="C178" s="260">
        <f>IFERROR(IF($J178&gt;0,INDEX('Invullen groen'!$C:$C,$J178),""),"")</f>
        <v/>
      </c>
      <c r="D178" s="260">
        <f>IFERROR(IF($J178&gt;0,INDEX('Invullen groen'!$D:$D,$J178),""),"")</f>
        <v/>
      </c>
      <c r="E178" s="260">
        <f>IFERROR(IF($J178&gt;0,INDEX('Invullen groen'!$G:$G,$J178),""),"")</f>
        <v/>
      </c>
      <c r="F178" s="261">
        <f>IFERROR(IF($J178&gt;0,IF(INDEX('Invullen groen'!$H:$H,$J178)&lt;&gt;0,INDEX('Invullen groen'!$H:$H,$J178),""),""),"")</f>
        <v/>
      </c>
      <c r="G178" s="261">
        <f>IFERROR(IF($J178&gt;0,IF(INDEX('Invullen groen'!$I:$I,$J178)&lt;&gt;0,INDEX('Invullen groen'!$I:$I,$J178),""),""),"")</f>
        <v/>
      </c>
      <c r="H178" s="261">
        <f>IFERROR(IF($J178&gt;0,IF(INDEX('Invullen groen'!$J:$J,$J178)&lt;&gt;0,INDEX('Invullen groen'!$J:$J,$J178),""),""),"")</f>
        <v/>
      </c>
      <c r="I178" s="261">
        <f>IFERROR(IF($J178&gt;0,IF(INDEX('Invullen groen'!$K:$K,$J178)&lt;&gt;0,INDEX('Invullen groen'!$K:$K,$J178),""),""),"")</f>
        <v/>
      </c>
      <c r="J178">
        <f>IFERROR(MATCH(ROW()-4,'Invullen groen'!$P$17:$P$272,0)+16,0)</f>
        <v/>
      </c>
    </row>
    <row r="179" hidden="1" ht="15" customHeight="1" s="418">
      <c r="A179" s="258">
        <f>IFERROR(IF($J179&gt;0,ROW()-4,""),"")</f>
        <v/>
      </c>
      <c r="B179" s="258">
        <f>IFERROR(IF($J179&gt;0,INDEX('Invullen groen'!$A:$A,$J179),""),"")</f>
        <v/>
      </c>
      <c r="C179" s="258">
        <f>IFERROR(IF($J179&gt;0,INDEX('Invullen groen'!$C:$C,$J179),""),"")</f>
        <v/>
      </c>
      <c r="D179" s="258">
        <f>IFERROR(IF($J179&gt;0,INDEX('Invullen groen'!$D:$D,$J179),""),"")</f>
        <v/>
      </c>
      <c r="E179" s="258">
        <f>IFERROR(IF($J179&gt;0,INDEX('Invullen groen'!$G:$G,$J179),""),"")</f>
        <v/>
      </c>
      <c r="F179" s="259">
        <f>IFERROR(IF($J179&gt;0,IF(INDEX('Invullen groen'!$H:$H,$J179)&lt;&gt;0,INDEX('Invullen groen'!$H:$H,$J179),""),""),"")</f>
        <v/>
      </c>
      <c r="G179" s="259">
        <f>IFERROR(IF($J179&gt;0,IF(INDEX('Invullen groen'!$I:$I,$J179)&lt;&gt;0,INDEX('Invullen groen'!$I:$I,$J179),""),""),"")</f>
        <v/>
      </c>
      <c r="H179" s="259">
        <f>IFERROR(IF($J179&gt;0,IF(INDEX('Invullen groen'!$J:$J,$J179)&lt;&gt;0,INDEX('Invullen groen'!$J:$J,$J179),""),""),"")</f>
        <v/>
      </c>
      <c r="I179" s="259">
        <f>IFERROR(IF($J179&gt;0,IF(INDEX('Invullen groen'!$K:$K,$J179)&lt;&gt;0,INDEX('Invullen groen'!$K:$K,$J179),""),""),"")</f>
        <v/>
      </c>
      <c r="J179">
        <f>IFERROR(MATCH(ROW()-4,'Invullen groen'!$P$17:$P$272,0)+16,0)</f>
        <v/>
      </c>
    </row>
    <row r="180" hidden="1" ht="15" customHeight="1" s="418">
      <c r="A180" s="260">
        <f>IFERROR(IF($J180&gt;0,ROW()-4,""),"")</f>
        <v/>
      </c>
      <c r="B180" s="260">
        <f>IFERROR(IF($J180&gt;0,INDEX('Invullen groen'!$A:$A,$J180),""),"")</f>
        <v/>
      </c>
      <c r="C180" s="260">
        <f>IFERROR(IF($J180&gt;0,INDEX('Invullen groen'!$C:$C,$J180),""),"")</f>
        <v/>
      </c>
      <c r="D180" s="260">
        <f>IFERROR(IF($J180&gt;0,INDEX('Invullen groen'!$D:$D,$J180),""),"")</f>
        <v/>
      </c>
      <c r="E180" s="260">
        <f>IFERROR(IF($J180&gt;0,INDEX('Invullen groen'!$G:$G,$J180),""),"")</f>
        <v/>
      </c>
      <c r="F180" s="261">
        <f>IFERROR(IF($J180&gt;0,IF(INDEX('Invullen groen'!$H:$H,$J180)&lt;&gt;0,INDEX('Invullen groen'!$H:$H,$J180),""),""),"")</f>
        <v/>
      </c>
      <c r="G180" s="261">
        <f>IFERROR(IF($J180&gt;0,IF(INDEX('Invullen groen'!$I:$I,$J180)&lt;&gt;0,INDEX('Invullen groen'!$I:$I,$J180),""),""),"")</f>
        <v/>
      </c>
      <c r="H180" s="261">
        <f>IFERROR(IF($J180&gt;0,IF(INDEX('Invullen groen'!$J:$J,$J180)&lt;&gt;0,INDEX('Invullen groen'!$J:$J,$J180),""),""),"")</f>
        <v/>
      </c>
      <c r="I180" s="261">
        <f>IFERROR(IF($J180&gt;0,IF(INDEX('Invullen groen'!$K:$K,$J180)&lt;&gt;0,INDEX('Invullen groen'!$K:$K,$J180),""),""),"")</f>
        <v/>
      </c>
      <c r="J180">
        <f>IFERROR(MATCH(ROW()-4,'Invullen groen'!$P$17:$P$272,0)+16,0)</f>
        <v/>
      </c>
    </row>
    <row r="181" hidden="1" ht="15" customHeight="1" s="418">
      <c r="A181" s="258">
        <f>IFERROR(IF($J181&gt;0,ROW()-4,""),"")</f>
        <v/>
      </c>
      <c r="B181" s="258">
        <f>IFERROR(IF($J181&gt;0,INDEX('Invullen groen'!$A:$A,$J181),""),"")</f>
        <v/>
      </c>
      <c r="C181" s="258">
        <f>IFERROR(IF($J181&gt;0,INDEX('Invullen groen'!$C:$C,$J181),""),"")</f>
        <v/>
      </c>
      <c r="D181" s="258">
        <f>IFERROR(IF($J181&gt;0,INDEX('Invullen groen'!$D:$D,$J181),""),"")</f>
        <v/>
      </c>
      <c r="E181" s="258">
        <f>IFERROR(IF($J181&gt;0,INDEX('Invullen groen'!$G:$G,$J181),""),"")</f>
        <v/>
      </c>
      <c r="F181" s="259">
        <f>IFERROR(IF($J181&gt;0,IF(INDEX('Invullen groen'!$H:$H,$J181)&lt;&gt;0,INDEX('Invullen groen'!$H:$H,$J181),""),""),"")</f>
        <v/>
      </c>
      <c r="G181" s="259">
        <f>IFERROR(IF($J181&gt;0,IF(INDEX('Invullen groen'!$I:$I,$J181)&lt;&gt;0,INDEX('Invullen groen'!$I:$I,$J181),""),""),"")</f>
        <v/>
      </c>
      <c r="H181" s="259">
        <f>IFERROR(IF($J181&gt;0,IF(INDEX('Invullen groen'!$J:$J,$J181)&lt;&gt;0,INDEX('Invullen groen'!$J:$J,$J181),""),""),"")</f>
        <v/>
      </c>
      <c r="I181" s="259">
        <f>IFERROR(IF($J181&gt;0,IF(INDEX('Invullen groen'!$K:$K,$J181)&lt;&gt;0,INDEX('Invullen groen'!$K:$K,$J181),""),""),"")</f>
        <v/>
      </c>
      <c r="J181">
        <f>IFERROR(MATCH(ROW()-4,'Invullen groen'!$P$17:$P$272,0)+16,0)</f>
        <v/>
      </c>
    </row>
    <row r="182" hidden="1" ht="15" customHeight="1" s="418">
      <c r="A182" s="260">
        <f>IFERROR(IF($J182&gt;0,ROW()-4,""),"")</f>
        <v/>
      </c>
      <c r="B182" s="260">
        <f>IFERROR(IF($J182&gt;0,INDEX('Invullen groen'!$A:$A,$J182),""),"")</f>
        <v/>
      </c>
      <c r="C182" s="260">
        <f>IFERROR(IF($J182&gt;0,INDEX('Invullen groen'!$C:$C,$J182),""),"")</f>
        <v/>
      </c>
      <c r="D182" s="260">
        <f>IFERROR(IF($J182&gt;0,INDEX('Invullen groen'!$D:$D,$J182),""),"")</f>
        <v/>
      </c>
      <c r="E182" s="260">
        <f>IFERROR(IF($J182&gt;0,INDEX('Invullen groen'!$G:$G,$J182),""),"")</f>
        <v/>
      </c>
      <c r="F182" s="261">
        <f>IFERROR(IF($J182&gt;0,IF(INDEX('Invullen groen'!$H:$H,$J182)&lt;&gt;0,INDEX('Invullen groen'!$H:$H,$J182),""),""),"")</f>
        <v/>
      </c>
      <c r="G182" s="261">
        <f>IFERROR(IF($J182&gt;0,IF(INDEX('Invullen groen'!$I:$I,$J182)&lt;&gt;0,INDEX('Invullen groen'!$I:$I,$J182),""),""),"")</f>
        <v/>
      </c>
      <c r="H182" s="261">
        <f>IFERROR(IF($J182&gt;0,IF(INDEX('Invullen groen'!$J:$J,$J182)&lt;&gt;0,INDEX('Invullen groen'!$J:$J,$J182),""),""),"")</f>
        <v/>
      </c>
      <c r="I182" s="261">
        <f>IFERROR(IF($J182&gt;0,IF(INDEX('Invullen groen'!$K:$K,$J182)&lt;&gt;0,INDEX('Invullen groen'!$K:$K,$J182),""),""),"")</f>
        <v/>
      </c>
      <c r="J182">
        <f>IFERROR(MATCH(ROW()-4,'Invullen groen'!$P$17:$P$272,0)+16,0)</f>
        <v/>
      </c>
    </row>
    <row r="183" hidden="1" ht="15" customHeight="1" s="418">
      <c r="A183" s="258">
        <f>IFERROR(IF($J183&gt;0,ROW()-4,""),"")</f>
        <v/>
      </c>
      <c r="B183" s="258">
        <f>IFERROR(IF($J183&gt;0,INDEX('Invullen groen'!$A:$A,$J183),""),"")</f>
        <v/>
      </c>
      <c r="C183" s="258">
        <f>IFERROR(IF($J183&gt;0,INDEX('Invullen groen'!$C:$C,$J183),""),"")</f>
        <v/>
      </c>
      <c r="D183" s="258">
        <f>IFERROR(IF($J183&gt;0,INDEX('Invullen groen'!$D:$D,$J183),""),"")</f>
        <v/>
      </c>
      <c r="E183" s="258">
        <f>IFERROR(IF($J183&gt;0,INDEX('Invullen groen'!$G:$G,$J183),""),"")</f>
        <v/>
      </c>
      <c r="F183" s="259">
        <f>IFERROR(IF($J183&gt;0,IF(INDEX('Invullen groen'!$H:$H,$J183)&lt;&gt;0,INDEX('Invullen groen'!$H:$H,$J183),""),""),"")</f>
        <v/>
      </c>
      <c r="G183" s="259">
        <f>IFERROR(IF($J183&gt;0,IF(INDEX('Invullen groen'!$I:$I,$J183)&lt;&gt;0,INDEX('Invullen groen'!$I:$I,$J183),""),""),"")</f>
        <v/>
      </c>
      <c r="H183" s="259">
        <f>IFERROR(IF($J183&gt;0,IF(INDEX('Invullen groen'!$J:$J,$J183)&lt;&gt;0,INDEX('Invullen groen'!$J:$J,$J183),""),""),"")</f>
        <v/>
      </c>
      <c r="I183" s="259">
        <f>IFERROR(IF($J183&gt;0,IF(INDEX('Invullen groen'!$K:$K,$J183)&lt;&gt;0,INDEX('Invullen groen'!$K:$K,$J183),""),""),"")</f>
        <v/>
      </c>
      <c r="J183">
        <f>IFERROR(MATCH(ROW()-4,'Invullen groen'!$P$17:$P$272,0)+16,0)</f>
        <v/>
      </c>
    </row>
    <row r="184" hidden="1" ht="15" customHeight="1" s="418">
      <c r="A184" s="260">
        <f>IFERROR(IF($J184&gt;0,ROW()-4,""),"")</f>
        <v/>
      </c>
      <c r="B184" s="260">
        <f>IFERROR(IF($J184&gt;0,INDEX('Invullen groen'!$A:$A,$J184),""),"")</f>
        <v/>
      </c>
      <c r="C184" s="260">
        <f>IFERROR(IF($J184&gt;0,INDEX('Invullen groen'!$C:$C,$J184),""),"")</f>
        <v/>
      </c>
      <c r="D184" s="260">
        <f>IFERROR(IF($J184&gt;0,INDEX('Invullen groen'!$D:$D,$J184),""),"")</f>
        <v/>
      </c>
      <c r="E184" s="260">
        <f>IFERROR(IF($J184&gt;0,INDEX('Invullen groen'!$G:$G,$J184),""),"")</f>
        <v/>
      </c>
      <c r="F184" s="261">
        <f>IFERROR(IF($J184&gt;0,IF(INDEX('Invullen groen'!$H:$H,$J184)&lt;&gt;0,INDEX('Invullen groen'!$H:$H,$J184),""),""),"")</f>
        <v/>
      </c>
      <c r="G184" s="261">
        <f>IFERROR(IF($J184&gt;0,IF(INDEX('Invullen groen'!$I:$I,$J184)&lt;&gt;0,INDEX('Invullen groen'!$I:$I,$J184),""),""),"")</f>
        <v/>
      </c>
      <c r="H184" s="261">
        <f>IFERROR(IF($J184&gt;0,IF(INDEX('Invullen groen'!$J:$J,$J184)&lt;&gt;0,INDEX('Invullen groen'!$J:$J,$J184),""),""),"")</f>
        <v/>
      </c>
      <c r="I184" s="261">
        <f>IFERROR(IF($J184&gt;0,IF(INDEX('Invullen groen'!$K:$K,$J184)&lt;&gt;0,INDEX('Invullen groen'!$K:$K,$J184),""),""),"")</f>
        <v/>
      </c>
      <c r="J184">
        <f>IFERROR(MATCH(ROW()-4,'Invullen groen'!$P$17:$P$272,0)+16,0)</f>
        <v/>
      </c>
    </row>
    <row r="185" hidden="1" ht="15" customHeight="1" s="418">
      <c r="A185" s="258">
        <f>IFERROR(IF($J185&gt;0,ROW()-4,""),"")</f>
        <v/>
      </c>
      <c r="B185" s="258">
        <f>IFERROR(IF($J185&gt;0,INDEX('Invullen groen'!$A:$A,$J185),""),"")</f>
        <v/>
      </c>
      <c r="C185" s="258">
        <f>IFERROR(IF($J185&gt;0,INDEX('Invullen groen'!$C:$C,$J185),""),"")</f>
        <v/>
      </c>
      <c r="D185" s="258">
        <f>IFERROR(IF($J185&gt;0,INDEX('Invullen groen'!$D:$D,$J185),""),"")</f>
        <v/>
      </c>
      <c r="E185" s="258">
        <f>IFERROR(IF($J185&gt;0,INDEX('Invullen groen'!$G:$G,$J185),""),"")</f>
        <v/>
      </c>
      <c r="F185" s="259">
        <f>IFERROR(IF($J185&gt;0,IF(INDEX('Invullen groen'!$H:$H,$J185)&lt;&gt;0,INDEX('Invullen groen'!$H:$H,$J185),""),""),"")</f>
        <v/>
      </c>
      <c r="G185" s="259">
        <f>IFERROR(IF($J185&gt;0,IF(INDEX('Invullen groen'!$I:$I,$J185)&lt;&gt;0,INDEX('Invullen groen'!$I:$I,$J185),""),""),"")</f>
        <v/>
      </c>
      <c r="H185" s="259">
        <f>IFERROR(IF($J185&gt;0,IF(INDEX('Invullen groen'!$J:$J,$J185)&lt;&gt;0,INDEX('Invullen groen'!$J:$J,$J185),""),""),"")</f>
        <v/>
      </c>
      <c r="I185" s="259">
        <f>IFERROR(IF($J185&gt;0,IF(INDEX('Invullen groen'!$K:$K,$J185)&lt;&gt;0,INDEX('Invullen groen'!$K:$K,$J185),""),""),"")</f>
        <v/>
      </c>
      <c r="J185">
        <f>IFERROR(MATCH(ROW()-4,'Invullen groen'!$P$17:$P$272,0)+16,0)</f>
        <v/>
      </c>
    </row>
    <row r="186" hidden="1" ht="15" customHeight="1" s="418">
      <c r="A186" s="260">
        <f>IFERROR(IF($J186&gt;0,ROW()-4,""),"")</f>
        <v/>
      </c>
      <c r="B186" s="260">
        <f>IFERROR(IF($J186&gt;0,INDEX('Invullen groen'!$A:$A,$J186),""),"")</f>
        <v/>
      </c>
      <c r="C186" s="260">
        <f>IFERROR(IF($J186&gt;0,INDEX('Invullen groen'!$C:$C,$J186),""),"")</f>
        <v/>
      </c>
      <c r="D186" s="260">
        <f>IFERROR(IF($J186&gt;0,INDEX('Invullen groen'!$D:$D,$J186),""),"")</f>
        <v/>
      </c>
      <c r="E186" s="260">
        <f>IFERROR(IF($J186&gt;0,INDEX('Invullen groen'!$G:$G,$J186),""),"")</f>
        <v/>
      </c>
      <c r="F186" s="261">
        <f>IFERROR(IF($J186&gt;0,IF(INDEX('Invullen groen'!$H:$H,$J186)&lt;&gt;0,INDEX('Invullen groen'!$H:$H,$J186),""),""),"")</f>
        <v/>
      </c>
      <c r="G186" s="261">
        <f>IFERROR(IF($J186&gt;0,IF(INDEX('Invullen groen'!$I:$I,$J186)&lt;&gt;0,INDEX('Invullen groen'!$I:$I,$J186),""),""),"")</f>
        <v/>
      </c>
      <c r="H186" s="261">
        <f>IFERROR(IF($J186&gt;0,IF(INDEX('Invullen groen'!$J:$J,$J186)&lt;&gt;0,INDEX('Invullen groen'!$J:$J,$J186),""),""),"")</f>
        <v/>
      </c>
      <c r="I186" s="261">
        <f>IFERROR(IF($J186&gt;0,IF(INDEX('Invullen groen'!$K:$K,$J186)&lt;&gt;0,INDEX('Invullen groen'!$K:$K,$J186),""),""),"")</f>
        <v/>
      </c>
      <c r="J186">
        <f>IFERROR(MATCH(ROW()-4,'Invullen groen'!$P$17:$P$272,0)+16,0)</f>
        <v/>
      </c>
    </row>
    <row r="187" hidden="1" ht="15" customHeight="1" s="418">
      <c r="A187" s="258">
        <f>IFERROR(IF($J187&gt;0,ROW()-4,""),"")</f>
        <v/>
      </c>
      <c r="B187" s="258">
        <f>IFERROR(IF($J187&gt;0,INDEX('Invullen groen'!$A:$A,$J187),""),"")</f>
        <v/>
      </c>
      <c r="C187" s="258">
        <f>IFERROR(IF($J187&gt;0,INDEX('Invullen groen'!$C:$C,$J187),""),"")</f>
        <v/>
      </c>
      <c r="D187" s="258">
        <f>IFERROR(IF($J187&gt;0,INDEX('Invullen groen'!$D:$D,$J187),""),"")</f>
        <v/>
      </c>
      <c r="E187" s="258">
        <f>IFERROR(IF($J187&gt;0,INDEX('Invullen groen'!$G:$G,$J187),""),"")</f>
        <v/>
      </c>
      <c r="F187" s="259">
        <f>IFERROR(IF($J187&gt;0,IF(INDEX('Invullen groen'!$H:$H,$J187)&lt;&gt;0,INDEX('Invullen groen'!$H:$H,$J187),""),""),"")</f>
        <v/>
      </c>
      <c r="G187" s="259">
        <f>IFERROR(IF($J187&gt;0,IF(INDEX('Invullen groen'!$I:$I,$J187)&lt;&gt;0,INDEX('Invullen groen'!$I:$I,$J187),""),""),"")</f>
        <v/>
      </c>
      <c r="H187" s="259">
        <f>IFERROR(IF($J187&gt;0,IF(INDEX('Invullen groen'!$J:$J,$J187)&lt;&gt;0,INDEX('Invullen groen'!$J:$J,$J187),""),""),"")</f>
        <v/>
      </c>
      <c r="I187" s="259">
        <f>IFERROR(IF($J187&gt;0,IF(INDEX('Invullen groen'!$K:$K,$J187)&lt;&gt;0,INDEX('Invullen groen'!$K:$K,$J187),""),""),"")</f>
        <v/>
      </c>
      <c r="J187">
        <f>IFERROR(MATCH(ROW()-4,'Invullen groen'!$P$17:$P$272,0)+16,0)</f>
        <v/>
      </c>
    </row>
    <row r="188" hidden="1" ht="15" customHeight="1" s="418">
      <c r="A188" s="260">
        <f>IFERROR(IF($J188&gt;0,ROW()-4,""),"")</f>
        <v/>
      </c>
      <c r="B188" s="260">
        <f>IFERROR(IF($J188&gt;0,INDEX('Invullen groen'!$A:$A,$J188),""),"")</f>
        <v/>
      </c>
      <c r="C188" s="260">
        <f>IFERROR(IF($J188&gt;0,INDEX('Invullen groen'!$C:$C,$J188),""),"")</f>
        <v/>
      </c>
      <c r="D188" s="260">
        <f>IFERROR(IF($J188&gt;0,INDEX('Invullen groen'!$D:$D,$J188),""),"")</f>
        <v/>
      </c>
      <c r="E188" s="260">
        <f>IFERROR(IF($J188&gt;0,INDEX('Invullen groen'!$G:$G,$J188),""),"")</f>
        <v/>
      </c>
      <c r="F188" s="261">
        <f>IFERROR(IF($J188&gt;0,IF(INDEX('Invullen groen'!$H:$H,$J188)&lt;&gt;0,INDEX('Invullen groen'!$H:$H,$J188),""),""),"")</f>
        <v/>
      </c>
      <c r="G188" s="261">
        <f>IFERROR(IF($J188&gt;0,IF(INDEX('Invullen groen'!$I:$I,$J188)&lt;&gt;0,INDEX('Invullen groen'!$I:$I,$J188),""),""),"")</f>
        <v/>
      </c>
      <c r="H188" s="261">
        <f>IFERROR(IF($J188&gt;0,IF(INDEX('Invullen groen'!$J:$J,$J188)&lt;&gt;0,INDEX('Invullen groen'!$J:$J,$J188),""),""),"")</f>
        <v/>
      </c>
      <c r="I188" s="261">
        <f>IFERROR(IF($J188&gt;0,IF(INDEX('Invullen groen'!$K:$K,$J188)&lt;&gt;0,INDEX('Invullen groen'!$K:$K,$J188),""),""),"")</f>
        <v/>
      </c>
      <c r="J188">
        <f>IFERROR(MATCH(ROW()-4,'Invullen groen'!$P$17:$P$272,0)+16,0)</f>
        <v/>
      </c>
    </row>
    <row r="189" hidden="1" ht="15" customHeight="1" s="418">
      <c r="A189" s="258">
        <f>IFERROR(IF($J189&gt;0,ROW()-4,""),"")</f>
        <v/>
      </c>
      <c r="B189" s="258">
        <f>IFERROR(IF($J189&gt;0,INDEX('Invullen groen'!$A:$A,$J189),""),"")</f>
        <v/>
      </c>
      <c r="C189" s="258">
        <f>IFERROR(IF($J189&gt;0,INDEX('Invullen groen'!$C:$C,$J189),""),"")</f>
        <v/>
      </c>
      <c r="D189" s="258">
        <f>IFERROR(IF($J189&gt;0,INDEX('Invullen groen'!$D:$D,$J189),""),"")</f>
        <v/>
      </c>
      <c r="E189" s="258">
        <f>IFERROR(IF($J189&gt;0,INDEX('Invullen groen'!$G:$G,$J189),""),"")</f>
        <v/>
      </c>
      <c r="F189" s="259">
        <f>IFERROR(IF($J189&gt;0,IF(INDEX('Invullen groen'!$H:$H,$J189)&lt;&gt;0,INDEX('Invullen groen'!$H:$H,$J189),""),""),"")</f>
        <v/>
      </c>
      <c r="G189" s="259">
        <f>IFERROR(IF($J189&gt;0,IF(INDEX('Invullen groen'!$I:$I,$J189)&lt;&gt;0,INDEX('Invullen groen'!$I:$I,$J189),""),""),"")</f>
        <v/>
      </c>
      <c r="H189" s="259">
        <f>IFERROR(IF($J189&gt;0,IF(INDEX('Invullen groen'!$J:$J,$J189)&lt;&gt;0,INDEX('Invullen groen'!$J:$J,$J189),""),""),"")</f>
        <v/>
      </c>
      <c r="I189" s="259">
        <f>IFERROR(IF($J189&gt;0,IF(INDEX('Invullen groen'!$K:$K,$J189)&lt;&gt;0,INDEX('Invullen groen'!$K:$K,$J189),""),""),"")</f>
        <v/>
      </c>
      <c r="J189">
        <f>IFERROR(MATCH(ROW()-4,'Invullen groen'!$P$17:$P$272,0)+16,0)</f>
        <v/>
      </c>
    </row>
    <row r="190" hidden="1" ht="15" customHeight="1" s="418">
      <c r="A190" s="260">
        <f>IFERROR(IF($J190&gt;0,ROW()-4,""),"")</f>
        <v/>
      </c>
      <c r="B190" s="260">
        <f>IFERROR(IF($J190&gt;0,INDEX('Invullen groen'!$A:$A,$J190),""),"")</f>
        <v/>
      </c>
      <c r="C190" s="260">
        <f>IFERROR(IF($J190&gt;0,INDEX('Invullen groen'!$C:$C,$J190),""),"")</f>
        <v/>
      </c>
      <c r="D190" s="260">
        <f>IFERROR(IF($J190&gt;0,INDEX('Invullen groen'!$D:$D,$J190),""),"")</f>
        <v/>
      </c>
      <c r="E190" s="260">
        <f>IFERROR(IF($J190&gt;0,INDEX('Invullen groen'!$G:$G,$J190),""),"")</f>
        <v/>
      </c>
      <c r="F190" s="261">
        <f>IFERROR(IF($J190&gt;0,IF(INDEX('Invullen groen'!$H:$H,$J190)&lt;&gt;0,INDEX('Invullen groen'!$H:$H,$J190),""),""),"")</f>
        <v/>
      </c>
      <c r="G190" s="261">
        <f>IFERROR(IF($J190&gt;0,IF(INDEX('Invullen groen'!$I:$I,$J190)&lt;&gt;0,INDEX('Invullen groen'!$I:$I,$J190),""),""),"")</f>
        <v/>
      </c>
      <c r="H190" s="261">
        <f>IFERROR(IF($J190&gt;0,IF(INDEX('Invullen groen'!$J:$J,$J190)&lt;&gt;0,INDEX('Invullen groen'!$J:$J,$J190),""),""),"")</f>
        <v/>
      </c>
      <c r="I190" s="261">
        <f>IFERROR(IF($J190&gt;0,IF(INDEX('Invullen groen'!$K:$K,$J190)&lt;&gt;0,INDEX('Invullen groen'!$K:$K,$J190),""),""),"")</f>
        <v/>
      </c>
      <c r="J190">
        <f>IFERROR(MATCH(ROW()-4,'Invullen groen'!$P$17:$P$272,0)+16,0)</f>
        <v/>
      </c>
    </row>
    <row r="191" hidden="1" ht="15" customHeight="1" s="418">
      <c r="A191" s="258">
        <f>IFERROR(IF($J191&gt;0,ROW()-4,""),"")</f>
        <v/>
      </c>
      <c r="B191" s="258">
        <f>IFERROR(IF($J191&gt;0,INDEX('Invullen groen'!$A:$A,$J191),""),"")</f>
        <v/>
      </c>
      <c r="C191" s="258">
        <f>IFERROR(IF($J191&gt;0,INDEX('Invullen groen'!$C:$C,$J191),""),"")</f>
        <v/>
      </c>
      <c r="D191" s="258">
        <f>IFERROR(IF($J191&gt;0,INDEX('Invullen groen'!$D:$D,$J191),""),"")</f>
        <v/>
      </c>
      <c r="E191" s="258">
        <f>IFERROR(IF($J191&gt;0,INDEX('Invullen groen'!$G:$G,$J191),""),"")</f>
        <v/>
      </c>
      <c r="F191" s="259">
        <f>IFERROR(IF($J191&gt;0,IF(INDEX('Invullen groen'!$H:$H,$J191)&lt;&gt;0,INDEX('Invullen groen'!$H:$H,$J191),""),""),"")</f>
        <v/>
      </c>
      <c r="G191" s="259">
        <f>IFERROR(IF($J191&gt;0,IF(INDEX('Invullen groen'!$I:$I,$J191)&lt;&gt;0,INDEX('Invullen groen'!$I:$I,$J191),""),""),"")</f>
        <v/>
      </c>
      <c r="H191" s="259">
        <f>IFERROR(IF($J191&gt;0,IF(INDEX('Invullen groen'!$J:$J,$J191)&lt;&gt;0,INDEX('Invullen groen'!$J:$J,$J191),""),""),"")</f>
        <v/>
      </c>
      <c r="I191" s="259">
        <f>IFERROR(IF($J191&gt;0,IF(INDEX('Invullen groen'!$K:$K,$J191)&lt;&gt;0,INDEX('Invullen groen'!$K:$K,$J191),""),""),"")</f>
        <v/>
      </c>
      <c r="J191">
        <f>IFERROR(MATCH(ROW()-4,'Invullen groen'!$P$17:$P$272,0)+16,0)</f>
        <v/>
      </c>
    </row>
    <row r="192" hidden="1" ht="15" customHeight="1" s="418">
      <c r="A192" s="260">
        <f>IFERROR(IF($J192&gt;0,ROW()-4,""),"")</f>
        <v/>
      </c>
      <c r="B192" s="260">
        <f>IFERROR(IF($J192&gt;0,INDEX('Invullen groen'!$A:$A,$J192),""),"")</f>
        <v/>
      </c>
      <c r="C192" s="260">
        <f>IFERROR(IF($J192&gt;0,INDEX('Invullen groen'!$C:$C,$J192),""),"")</f>
        <v/>
      </c>
      <c r="D192" s="260">
        <f>IFERROR(IF($J192&gt;0,INDEX('Invullen groen'!$D:$D,$J192),""),"")</f>
        <v/>
      </c>
      <c r="E192" s="260">
        <f>IFERROR(IF($J192&gt;0,INDEX('Invullen groen'!$G:$G,$J192),""),"")</f>
        <v/>
      </c>
      <c r="F192" s="261">
        <f>IFERROR(IF($J192&gt;0,IF(INDEX('Invullen groen'!$H:$H,$J192)&lt;&gt;0,INDEX('Invullen groen'!$H:$H,$J192),""),""),"")</f>
        <v/>
      </c>
      <c r="G192" s="261">
        <f>IFERROR(IF($J192&gt;0,IF(INDEX('Invullen groen'!$I:$I,$J192)&lt;&gt;0,INDEX('Invullen groen'!$I:$I,$J192),""),""),"")</f>
        <v/>
      </c>
      <c r="H192" s="261">
        <f>IFERROR(IF($J192&gt;0,IF(INDEX('Invullen groen'!$J:$J,$J192)&lt;&gt;0,INDEX('Invullen groen'!$J:$J,$J192),""),""),"")</f>
        <v/>
      </c>
      <c r="I192" s="261">
        <f>IFERROR(IF($J192&gt;0,IF(INDEX('Invullen groen'!$K:$K,$J192)&lt;&gt;0,INDEX('Invullen groen'!$K:$K,$J192),""),""),"")</f>
        <v/>
      </c>
      <c r="J192">
        <f>IFERROR(MATCH(ROW()-4,'Invullen groen'!$P$17:$P$272,0)+16,0)</f>
        <v/>
      </c>
    </row>
    <row r="193" hidden="1" ht="15" customHeight="1" s="418">
      <c r="A193" s="258">
        <f>IFERROR(IF($J193&gt;0,ROW()-4,""),"")</f>
        <v/>
      </c>
      <c r="B193" s="258">
        <f>IFERROR(IF($J193&gt;0,INDEX('Invullen groen'!$A:$A,$J193),""),"")</f>
        <v/>
      </c>
      <c r="C193" s="258">
        <f>IFERROR(IF($J193&gt;0,INDEX('Invullen groen'!$C:$C,$J193),""),"")</f>
        <v/>
      </c>
      <c r="D193" s="258">
        <f>IFERROR(IF($J193&gt;0,INDEX('Invullen groen'!$D:$D,$J193),""),"")</f>
        <v/>
      </c>
      <c r="E193" s="258">
        <f>IFERROR(IF($J193&gt;0,INDEX('Invullen groen'!$G:$G,$J193),""),"")</f>
        <v/>
      </c>
      <c r="F193" s="259">
        <f>IFERROR(IF($J193&gt;0,IF(INDEX('Invullen groen'!$H:$H,$J193)&lt;&gt;0,INDEX('Invullen groen'!$H:$H,$J193),""),""),"")</f>
        <v/>
      </c>
      <c r="G193" s="259">
        <f>IFERROR(IF($J193&gt;0,IF(INDEX('Invullen groen'!$I:$I,$J193)&lt;&gt;0,INDEX('Invullen groen'!$I:$I,$J193),""),""),"")</f>
        <v/>
      </c>
      <c r="H193" s="259">
        <f>IFERROR(IF($J193&gt;0,IF(INDEX('Invullen groen'!$J:$J,$J193)&lt;&gt;0,INDEX('Invullen groen'!$J:$J,$J193),""),""),"")</f>
        <v/>
      </c>
      <c r="I193" s="259">
        <f>IFERROR(IF($J193&gt;0,IF(INDEX('Invullen groen'!$K:$K,$J193)&lt;&gt;0,INDEX('Invullen groen'!$K:$K,$J193),""),""),"")</f>
        <v/>
      </c>
      <c r="J193">
        <f>IFERROR(MATCH(ROW()-4,'Invullen groen'!$P$17:$P$272,0)+16,0)</f>
        <v/>
      </c>
    </row>
    <row r="194" hidden="1" ht="15" customHeight="1" s="418">
      <c r="A194" s="260">
        <f>IFERROR(IF($J194&gt;0,ROW()-4,""),"")</f>
        <v/>
      </c>
      <c r="B194" s="260">
        <f>IFERROR(IF($J194&gt;0,INDEX('Invullen groen'!$A:$A,$J194),""),"")</f>
        <v/>
      </c>
      <c r="C194" s="260">
        <f>IFERROR(IF($J194&gt;0,INDEX('Invullen groen'!$C:$C,$J194),""),"")</f>
        <v/>
      </c>
      <c r="D194" s="260">
        <f>IFERROR(IF($J194&gt;0,INDEX('Invullen groen'!$D:$D,$J194),""),"")</f>
        <v/>
      </c>
      <c r="E194" s="260">
        <f>IFERROR(IF($J194&gt;0,INDEX('Invullen groen'!$G:$G,$J194),""),"")</f>
        <v/>
      </c>
      <c r="F194" s="261">
        <f>IFERROR(IF($J194&gt;0,IF(INDEX('Invullen groen'!$H:$H,$J194)&lt;&gt;0,INDEX('Invullen groen'!$H:$H,$J194),""),""),"")</f>
        <v/>
      </c>
      <c r="G194" s="261">
        <f>IFERROR(IF($J194&gt;0,IF(INDEX('Invullen groen'!$I:$I,$J194)&lt;&gt;0,INDEX('Invullen groen'!$I:$I,$J194),""),""),"")</f>
        <v/>
      </c>
      <c r="H194" s="261">
        <f>IFERROR(IF($J194&gt;0,IF(INDEX('Invullen groen'!$J:$J,$J194)&lt;&gt;0,INDEX('Invullen groen'!$J:$J,$J194),""),""),"")</f>
        <v/>
      </c>
      <c r="I194" s="261">
        <f>IFERROR(IF($J194&gt;0,IF(INDEX('Invullen groen'!$K:$K,$J194)&lt;&gt;0,INDEX('Invullen groen'!$K:$K,$J194),""),""),"")</f>
        <v/>
      </c>
      <c r="J194">
        <f>IFERROR(MATCH(ROW()-4,'Invullen groen'!$P$17:$P$272,0)+16,0)</f>
        <v/>
      </c>
    </row>
    <row r="195" hidden="1" ht="15" customHeight="1" s="418">
      <c r="A195" s="258">
        <f>IFERROR(IF($J195&gt;0,ROW()-4,""),"")</f>
        <v/>
      </c>
      <c r="B195" s="258">
        <f>IFERROR(IF($J195&gt;0,INDEX('Invullen groen'!$A:$A,$J195),""),"")</f>
        <v/>
      </c>
      <c r="C195" s="258">
        <f>IFERROR(IF($J195&gt;0,INDEX('Invullen groen'!$C:$C,$J195),""),"")</f>
        <v/>
      </c>
      <c r="D195" s="258">
        <f>IFERROR(IF($J195&gt;0,INDEX('Invullen groen'!$D:$D,$J195),""),"")</f>
        <v/>
      </c>
      <c r="E195" s="258">
        <f>IFERROR(IF($J195&gt;0,INDEX('Invullen groen'!$G:$G,$J195),""),"")</f>
        <v/>
      </c>
      <c r="F195" s="259">
        <f>IFERROR(IF($J195&gt;0,IF(INDEX('Invullen groen'!$H:$H,$J195)&lt;&gt;0,INDEX('Invullen groen'!$H:$H,$J195),""),""),"")</f>
        <v/>
      </c>
      <c r="G195" s="259">
        <f>IFERROR(IF($J195&gt;0,IF(INDEX('Invullen groen'!$I:$I,$J195)&lt;&gt;0,INDEX('Invullen groen'!$I:$I,$J195),""),""),"")</f>
        <v/>
      </c>
      <c r="H195" s="259">
        <f>IFERROR(IF($J195&gt;0,IF(INDEX('Invullen groen'!$J:$J,$J195)&lt;&gt;0,INDEX('Invullen groen'!$J:$J,$J195),""),""),"")</f>
        <v/>
      </c>
      <c r="I195" s="259">
        <f>IFERROR(IF($J195&gt;0,IF(INDEX('Invullen groen'!$K:$K,$J195)&lt;&gt;0,INDEX('Invullen groen'!$K:$K,$J195),""),""),"")</f>
        <v/>
      </c>
      <c r="J195">
        <f>IFERROR(MATCH(ROW()-4,'Invullen groen'!$P$17:$P$272,0)+16,0)</f>
        <v/>
      </c>
    </row>
    <row r="196" hidden="1" ht="15" customHeight="1" s="418">
      <c r="A196" s="260">
        <f>IFERROR(IF($J196&gt;0,ROW()-4,""),"")</f>
        <v/>
      </c>
      <c r="B196" s="260">
        <f>IFERROR(IF($J196&gt;0,INDEX('Invullen groen'!$A:$A,$J196),""),"")</f>
        <v/>
      </c>
      <c r="C196" s="260">
        <f>IFERROR(IF($J196&gt;0,INDEX('Invullen groen'!$C:$C,$J196),""),"")</f>
        <v/>
      </c>
      <c r="D196" s="260">
        <f>IFERROR(IF($J196&gt;0,INDEX('Invullen groen'!$D:$D,$J196),""),"")</f>
        <v/>
      </c>
      <c r="E196" s="260">
        <f>IFERROR(IF($J196&gt;0,INDEX('Invullen groen'!$G:$G,$J196),""),"")</f>
        <v/>
      </c>
      <c r="F196" s="261">
        <f>IFERROR(IF($J196&gt;0,IF(INDEX('Invullen groen'!$H:$H,$J196)&lt;&gt;0,INDEX('Invullen groen'!$H:$H,$J196),""),""),"")</f>
        <v/>
      </c>
      <c r="G196" s="261">
        <f>IFERROR(IF($J196&gt;0,IF(INDEX('Invullen groen'!$I:$I,$J196)&lt;&gt;0,INDEX('Invullen groen'!$I:$I,$J196),""),""),"")</f>
        <v/>
      </c>
      <c r="H196" s="261">
        <f>IFERROR(IF($J196&gt;0,IF(INDEX('Invullen groen'!$J:$J,$J196)&lt;&gt;0,INDEX('Invullen groen'!$J:$J,$J196),""),""),"")</f>
        <v/>
      </c>
      <c r="I196" s="261">
        <f>IFERROR(IF($J196&gt;0,IF(INDEX('Invullen groen'!$K:$K,$J196)&lt;&gt;0,INDEX('Invullen groen'!$K:$K,$J196),""),""),"")</f>
        <v/>
      </c>
      <c r="J196">
        <f>IFERROR(MATCH(ROW()-4,'Invullen groen'!$P$17:$P$272,0)+16,0)</f>
        <v/>
      </c>
    </row>
    <row r="197" hidden="1" ht="15" customHeight="1" s="418">
      <c r="A197" s="258">
        <f>IFERROR(IF($J197&gt;0,ROW()-4,""),"")</f>
        <v/>
      </c>
      <c r="B197" s="258">
        <f>IFERROR(IF($J197&gt;0,INDEX('Invullen groen'!$A:$A,$J197),""),"")</f>
        <v/>
      </c>
      <c r="C197" s="258">
        <f>IFERROR(IF($J197&gt;0,INDEX('Invullen groen'!$C:$C,$J197),""),"")</f>
        <v/>
      </c>
      <c r="D197" s="258">
        <f>IFERROR(IF($J197&gt;0,INDEX('Invullen groen'!$D:$D,$J197),""),"")</f>
        <v/>
      </c>
      <c r="E197" s="258">
        <f>IFERROR(IF($J197&gt;0,INDEX('Invullen groen'!$G:$G,$J197),""),"")</f>
        <v/>
      </c>
      <c r="F197" s="259">
        <f>IFERROR(IF($J197&gt;0,IF(INDEX('Invullen groen'!$H:$H,$J197)&lt;&gt;0,INDEX('Invullen groen'!$H:$H,$J197),""),""),"")</f>
        <v/>
      </c>
      <c r="G197" s="259">
        <f>IFERROR(IF($J197&gt;0,IF(INDEX('Invullen groen'!$I:$I,$J197)&lt;&gt;0,INDEX('Invullen groen'!$I:$I,$J197),""),""),"")</f>
        <v/>
      </c>
      <c r="H197" s="259">
        <f>IFERROR(IF($J197&gt;0,IF(INDEX('Invullen groen'!$J:$J,$J197)&lt;&gt;0,INDEX('Invullen groen'!$J:$J,$J197),""),""),"")</f>
        <v/>
      </c>
      <c r="I197" s="259">
        <f>IFERROR(IF($J197&gt;0,IF(INDEX('Invullen groen'!$K:$K,$J197)&lt;&gt;0,INDEX('Invullen groen'!$K:$K,$J197),""),""),"")</f>
        <v/>
      </c>
      <c r="J197">
        <f>IFERROR(MATCH(ROW()-4,'Invullen groen'!$P$17:$P$272,0)+16,0)</f>
        <v/>
      </c>
    </row>
    <row r="198" hidden="1" ht="15" customHeight="1" s="418">
      <c r="A198" s="260">
        <f>IFERROR(IF($J198&gt;0,ROW()-4,""),"")</f>
        <v/>
      </c>
      <c r="B198" s="260">
        <f>IFERROR(IF($J198&gt;0,INDEX('Invullen groen'!$A:$A,$J198),""),"")</f>
        <v/>
      </c>
      <c r="C198" s="260">
        <f>IFERROR(IF($J198&gt;0,INDEX('Invullen groen'!$C:$C,$J198),""),"")</f>
        <v/>
      </c>
      <c r="D198" s="260">
        <f>IFERROR(IF($J198&gt;0,INDEX('Invullen groen'!$D:$D,$J198),""),"")</f>
        <v/>
      </c>
      <c r="E198" s="260">
        <f>IFERROR(IF($J198&gt;0,INDEX('Invullen groen'!$G:$G,$J198),""),"")</f>
        <v/>
      </c>
      <c r="F198" s="261">
        <f>IFERROR(IF($J198&gt;0,IF(INDEX('Invullen groen'!$H:$H,$J198)&lt;&gt;0,INDEX('Invullen groen'!$H:$H,$J198),""),""),"")</f>
        <v/>
      </c>
      <c r="G198" s="261">
        <f>IFERROR(IF($J198&gt;0,IF(INDEX('Invullen groen'!$I:$I,$J198)&lt;&gt;0,INDEX('Invullen groen'!$I:$I,$J198),""),""),"")</f>
        <v/>
      </c>
      <c r="H198" s="261">
        <f>IFERROR(IF($J198&gt;0,IF(INDEX('Invullen groen'!$J:$J,$J198)&lt;&gt;0,INDEX('Invullen groen'!$J:$J,$J198),""),""),"")</f>
        <v/>
      </c>
      <c r="I198" s="261">
        <f>IFERROR(IF($J198&gt;0,IF(INDEX('Invullen groen'!$K:$K,$J198)&lt;&gt;0,INDEX('Invullen groen'!$K:$K,$J198),""),""),"")</f>
        <v/>
      </c>
      <c r="J198">
        <f>IFERROR(MATCH(ROW()-4,'Invullen groen'!$P$17:$P$272,0)+16,0)</f>
        <v/>
      </c>
    </row>
    <row r="199" hidden="1" ht="15" customHeight="1" s="418">
      <c r="A199" s="258">
        <f>IFERROR(IF($J199&gt;0,ROW()-4,""),"")</f>
        <v/>
      </c>
      <c r="B199" s="258">
        <f>IFERROR(IF($J199&gt;0,INDEX('Invullen groen'!$A:$A,$J199),""),"")</f>
        <v/>
      </c>
      <c r="C199" s="258">
        <f>IFERROR(IF($J199&gt;0,INDEX('Invullen groen'!$C:$C,$J199),""),"")</f>
        <v/>
      </c>
      <c r="D199" s="258">
        <f>IFERROR(IF($J199&gt;0,INDEX('Invullen groen'!$D:$D,$J199),""),"")</f>
        <v/>
      </c>
      <c r="E199" s="258">
        <f>IFERROR(IF($J199&gt;0,INDEX('Invullen groen'!$G:$G,$J199),""),"")</f>
        <v/>
      </c>
      <c r="F199" s="259">
        <f>IFERROR(IF($J199&gt;0,IF(INDEX('Invullen groen'!$H:$H,$J199)&lt;&gt;0,INDEX('Invullen groen'!$H:$H,$J199),""),""),"")</f>
        <v/>
      </c>
      <c r="G199" s="259">
        <f>IFERROR(IF($J199&gt;0,IF(INDEX('Invullen groen'!$I:$I,$J199)&lt;&gt;0,INDEX('Invullen groen'!$I:$I,$J199),""),""),"")</f>
        <v/>
      </c>
      <c r="H199" s="259">
        <f>IFERROR(IF($J199&gt;0,IF(INDEX('Invullen groen'!$J:$J,$J199)&lt;&gt;0,INDEX('Invullen groen'!$J:$J,$J199),""),""),"")</f>
        <v/>
      </c>
      <c r="I199" s="259">
        <f>IFERROR(IF($J199&gt;0,IF(INDEX('Invullen groen'!$K:$K,$J199)&lt;&gt;0,INDEX('Invullen groen'!$K:$K,$J199),""),""),"")</f>
        <v/>
      </c>
      <c r="J199">
        <f>IFERROR(MATCH(ROW()-4,'Invullen groen'!$P$17:$P$272,0)+16,0)</f>
        <v/>
      </c>
    </row>
    <row r="200" hidden="1" ht="15" customHeight="1" s="418">
      <c r="A200" s="260">
        <f>IFERROR(IF($J200&gt;0,ROW()-4,""),"")</f>
        <v/>
      </c>
      <c r="B200" s="260">
        <f>IFERROR(IF($J200&gt;0,INDEX('Invullen groen'!$A:$A,$J200),""),"")</f>
        <v/>
      </c>
      <c r="C200" s="260">
        <f>IFERROR(IF($J200&gt;0,INDEX('Invullen groen'!$C:$C,$J200),""),"")</f>
        <v/>
      </c>
      <c r="D200" s="260">
        <f>IFERROR(IF($J200&gt;0,INDEX('Invullen groen'!$D:$D,$J200),""),"")</f>
        <v/>
      </c>
      <c r="E200" s="260">
        <f>IFERROR(IF($J200&gt;0,INDEX('Invullen groen'!$G:$G,$J200),""),"")</f>
        <v/>
      </c>
      <c r="F200" s="261">
        <f>IFERROR(IF($J200&gt;0,IF(INDEX('Invullen groen'!$H:$H,$J200)&lt;&gt;0,INDEX('Invullen groen'!$H:$H,$J200),""),""),"")</f>
        <v/>
      </c>
      <c r="G200" s="261">
        <f>IFERROR(IF($J200&gt;0,IF(INDEX('Invullen groen'!$I:$I,$J200)&lt;&gt;0,INDEX('Invullen groen'!$I:$I,$J200),""),""),"")</f>
        <v/>
      </c>
      <c r="H200" s="261">
        <f>IFERROR(IF($J200&gt;0,IF(INDEX('Invullen groen'!$J:$J,$J200)&lt;&gt;0,INDEX('Invullen groen'!$J:$J,$J200),""),""),"")</f>
        <v/>
      </c>
      <c r="I200" s="261">
        <f>IFERROR(IF($J200&gt;0,IF(INDEX('Invullen groen'!$K:$K,$J200)&lt;&gt;0,INDEX('Invullen groen'!$K:$K,$J200),""),""),"")</f>
        <v/>
      </c>
      <c r="J200">
        <f>IFERROR(MATCH(ROW()-4,'Invullen groen'!$P$17:$P$272,0)+16,0)</f>
        <v/>
      </c>
    </row>
    <row r="201" hidden="1" ht="15" customHeight="1" s="418">
      <c r="A201" s="258">
        <f>IFERROR(IF($J201&gt;0,ROW()-4,""),"")</f>
        <v/>
      </c>
      <c r="B201" s="258">
        <f>IFERROR(IF($J201&gt;0,INDEX('Invullen groen'!$A:$A,$J201),""),"")</f>
        <v/>
      </c>
      <c r="C201" s="258">
        <f>IFERROR(IF($J201&gt;0,INDEX('Invullen groen'!$C:$C,$J201),""),"")</f>
        <v/>
      </c>
      <c r="D201" s="258">
        <f>IFERROR(IF($J201&gt;0,INDEX('Invullen groen'!$D:$D,$J201),""),"")</f>
        <v/>
      </c>
      <c r="E201" s="258">
        <f>IFERROR(IF($J201&gt;0,INDEX('Invullen groen'!$G:$G,$J201),""),"")</f>
        <v/>
      </c>
      <c r="F201" s="259">
        <f>IFERROR(IF($J201&gt;0,IF(INDEX('Invullen groen'!$H:$H,$J201)&lt;&gt;0,INDEX('Invullen groen'!$H:$H,$J201),""),""),"")</f>
        <v/>
      </c>
      <c r="G201" s="259">
        <f>IFERROR(IF($J201&gt;0,IF(INDEX('Invullen groen'!$I:$I,$J201)&lt;&gt;0,INDEX('Invullen groen'!$I:$I,$J201),""),""),"")</f>
        <v/>
      </c>
      <c r="H201" s="259">
        <f>IFERROR(IF($J201&gt;0,IF(INDEX('Invullen groen'!$J:$J,$J201)&lt;&gt;0,INDEX('Invullen groen'!$J:$J,$J201),""),""),"")</f>
        <v/>
      </c>
      <c r="I201" s="259">
        <f>IFERROR(IF($J201&gt;0,IF(INDEX('Invullen groen'!$K:$K,$J201)&lt;&gt;0,INDEX('Invullen groen'!$K:$K,$J201),""),""),"")</f>
        <v/>
      </c>
      <c r="J201">
        <f>IFERROR(MATCH(ROW()-4,'Invullen groen'!$P$17:$P$272,0)+16,0)</f>
        <v/>
      </c>
    </row>
    <row r="202" hidden="1" ht="15" customHeight="1" s="418">
      <c r="A202" s="260">
        <f>IFERROR(IF($J202&gt;0,ROW()-4,""),"")</f>
        <v/>
      </c>
      <c r="B202" s="260">
        <f>IFERROR(IF($J202&gt;0,INDEX('Invullen groen'!$A:$A,$J202),""),"")</f>
        <v/>
      </c>
      <c r="C202" s="260">
        <f>IFERROR(IF($J202&gt;0,INDEX('Invullen groen'!$C:$C,$J202),""),"")</f>
        <v/>
      </c>
      <c r="D202" s="260">
        <f>IFERROR(IF($J202&gt;0,INDEX('Invullen groen'!$D:$D,$J202),""),"")</f>
        <v/>
      </c>
      <c r="E202" s="260">
        <f>IFERROR(IF($J202&gt;0,INDEX('Invullen groen'!$G:$G,$J202),""),"")</f>
        <v/>
      </c>
      <c r="F202" s="261">
        <f>IFERROR(IF($J202&gt;0,IF(INDEX('Invullen groen'!$H:$H,$J202)&lt;&gt;0,INDEX('Invullen groen'!$H:$H,$J202),""),""),"")</f>
        <v/>
      </c>
      <c r="G202" s="261">
        <f>IFERROR(IF($J202&gt;0,IF(INDEX('Invullen groen'!$I:$I,$J202)&lt;&gt;0,INDEX('Invullen groen'!$I:$I,$J202),""),""),"")</f>
        <v/>
      </c>
      <c r="H202" s="261">
        <f>IFERROR(IF($J202&gt;0,IF(INDEX('Invullen groen'!$J:$J,$J202)&lt;&gt;0,INDEX('Invullen groen'!$J:$J,$J202),""),""),"")</f>
        <v/>
      </c>
      <c r="I202" s="261">
        <f>IFERROR(IF($J202&gt;0,IF(INDEX('Invullen groen'!$K:$K,$J202)&lt;&gt;0,INDEX('Invullen groen'!$K:$K,$J202),""),""),"")</f>
        <v/>
      </c>
      <c r="J202">
        <f>IFERROR(MATCH(ROW()-4,'Invullen groen'!$P$17:$P$272,0)+16,0)</f>
        <v/>
      </c>
    </row>
    <row r="203" hidden="1" ht="15" customHeight="1" s="418">
      <c r="A203" s="258">
        <f>IFERROR(IF($J203&gt;0,ROW()-4,""),"")</f>
        <v/>
      </c>
      <c r="B203" s="258">
        <f>IFERROR(IF($J203&gt;0,INDEX('Invullen groen'!$A:$A,$J203),""),"")</f>
        <v/>
      </c>
      <c r="C203" s="258">
        <f>IFERROR(IF($J203&gt;0,INDEX('Invullen groen'!$C:$C,$J203),""),"")</f>
        <v/>
      </c>
      <c r="D203" s="258">
        <f>IFERROR(IF($J203&gt;0,INDEX('Invullen groen'!$D:$D,$J203),""),"")</f>
        <v/>
      </c>
      <c r="E203" s="258">
        <f>IFERROR(IF($J203&gt;0,INDEX('Invullen groen'!$G:$G,$J203),""),"")</f>
        <v/>
      </c>
      <c r="F203" s="259">
        <f>IFERROR(IF($J203&gt;0,IF(INDEX('Invullen groen'!$H:$H,$J203)&lt;&gt;0,INDEX('Invullen groen'!$H:$H,$J203),""),""),"")</f>
        <v/>
      </c>
      <c r="G203" s="259">
        <f>IFERROR(IF($J203&gt;0,IF(INDEX('Invullen groen'!$I:$I,$J203)&lt;&gt;0,INDEX('Invullen groen'!$I:$I,$J203),""),""),"")</f>
        <v/>
      </c>
      <c r="H203" s="259">
        <f>IFERROR(IF($J203&gt;0,IF(INDEX('Invullen groen'!$J:$J,$J203)&lt;&gt;0,INDEX('Invullen groen'!$J:$J,$J203),""),""),"")</f>
        <v/>
      </c>
      <c r="I203" s="259">
        <f>IFERROR(IF($J203&gt;0,IF(INDEX('Invullen groen'!$K:$K,$J203)&lt;&gt;0,INDEX('Invullen groen'!$K:$K,$J203),""),""),"")</f>
        <v/>
      </c>
      <c r="J203">
        <f>IFERROR(MATCH(ROW()-4,'Invullen groen'!$P$17:$P$272,0)+16,0)</f>
        <v/>
      </c>
    </row>
    <row r="204" hidden="1" ht="15" customHeight="1" s="418">
      <c r="A204" s="260">
        <f>IFERROR(IF($J204&gt;0,ROW()-4,""),"")</f>
        <v/>
      </c>
      <c r="B204" s="260">
        <f>IFERROR(IF($J204&gt;0,INDEX('Invullen groen'!$A:$A,$J204),""),"")</f>
        <v/>
      </c>
      <c r="C204" s="260">
        <f>IFERROR(IF($J204&gt;0,INDEX('Invullen groen'!$C:$C,$J204),""),"")</f>
        <v/>
      </c>
      <c r="D204" s="260">
        <f>IFERROR(IF($J204&gt;0,INDEX('Invullen groen'!$D:$D,$J204),""),"")</f>
        <v/>
      </c>
      <c r="E204" s="260">
        <f>IFERROR(IF($J204&gt;0,INDEX('Invullen groen'!$G:$G,$J204),""),"")</f>
        <v/>
      </c>
      <c r="F204" s="261">
        <f>IFERROR(IF($J204&gt;0,IF(INDEX('Invullen groen'!$H:$H,$J204)&lt;&gt;0,INDEX('Invullen groen'!$H:$H,$J204),""),""),"")</f>
        <v/>
      </c>
      <c r="G204" s="261">
        <f>IFERROR(IF($J204&gt;0,IF(INDEX('Invullen groen'!$I:$I,$J204)&lt;&gt;0,INDEX('Invullen groen'!$I:$I,$J204),""),""),"")</f>
        <v/>
      </c>
      <c r="H204" s="261">
        <f>IFERROR(IF($J204&gt;0,IF(INDEX('Invullen groen'!$J:$J,$J204)&lt;&gt;0,INDEX('Invullen groen'!$J:$J,$J204),""),""),"")</f>
        <v/>
      </c>
      <c r="I204" s="261">
        <f>IFERROR(IF($J204&gt;0,IF(INDEX('Invullen groen'!$K:$K,$J204)&lt;&gt;0,INDEX('Invullen groen'!$K:$K,$J204),""),""),"")</f>
        <v/>
      </c>
      <c r="J204">
        <f>IFERROR(MATCH(ROW()-4,'Invullen groen'!$P$17:$P$272,0)+16,0)</f>
        <v/>
      </c>
    </row>
    <row r="205" hidden="1" ht="15" customHeight="1" s="418">
      <c r="A205" s="258">
        <f>IFERROR(IF($J205&gt;0,ROW()-4,""),"")</f>
        <v/>
      </c>
      <c r="B205" s="258">
        <f>IFERROR(IF($J205&gt;0,INDEX('Invullen groen'!$A:$A,$J205),""),"")</f>
        <v/>
      </c>
      <c r="C205" s="258">
        <f>IFERROR(IF($J205&gt;0,INDEX('Invullen groen'!$C:$C,$J205),""),"")</f>
        <v/>
      </c>
      <c r="D205" s="258">
        <f>IFERROR(IF($J205&gt;0,INDEX('Invullen groen'!$D:$D,$J205),""),"")</f>
        <v/>
      </c>
      <c r="E205" s="258">
        <f>IFERROR(IF($J205&gt;0,INDEX('Invullen groen'!$G:$G,$J205),""),"")</f>
        <v/>
      </c>
      <c r="F205" s="259">
        <f>IFERROR(IF($J205&gt;0,IF(INDEX('Invullen groen'!$H:$H,$J205)&lt;&gt;0,INDEX('Invullen groen'!$H:$H,$J205),""),""),"")</f>
        <v/>
      </c>
      <c r="G205" s="259">
        <f>IFERROR(IF($J205&gt;0,IF(INDEX('Invullen groen'!$I:$I,$J205)&lt;&gt;0,INDEX('Invullen groen'!$I:$I,$J205),""),""),"")</f>
        <v/>
      </c>
      <c r="H205" s="259">
        <f>IFERROR(IF($J205&gt;0,IF(INDEX('Invullen groen'!$J:$J,$J205)&lt;&gt;0,INDEX('Invullen groen'!$J:$J,$J205),""),""),"")</f>
        <v/>
      </c>
      <c r="I205" s="259">
        <f>IFERROR(IF($J205&gt;0,IF(INDEX('Invullen groen'!$K:$K,$J205)&lt;&gt;0,INDEX('Invullen groen'!$K:$K,$J205),""),""),"")</f>
        <v/>
      </c>
      <c r="J205">
        <f>IFERROR(MATCH(ROW()-4,'Invullen groen'!$P$17:$P$272,0)+16,0)</f>
        <v/>
      </c>
    </row>
    <row r="206" hidden="1" ht="15" customHeight="1" s="418">
      <c r="A206" s="260">
        <f>IFERROR(IF($J206&gt;0,ROW()-4,""),"")</f>
        <v/>
      </c>
      <c r="B206" s="260">
        <f>IFERROR(IF($J206&gt;0,INDEX('Invullen groen'!$A:$A,$J206),""),"")</f>
        <v/>
      </c>
      <c r="C206" s="260">
        <f>IFERROR(IF($J206&gt;0,INDEX('Invullen groen'!$C:$C,$J206),""),"")</f>
        <v/>
      </c>
      <c r="D206" s="260">
        <f>IFERROR(IF($J206&gt;0,INDEX('Invullen groen'!$D:$D,$J206),""),"")</f>
        <v/>
      </c>
      <c r="E206" s="260">
        <f>IFERROR(IF($J206&gt;0,INDEX('Invullen groen'!$G:$G,$J206),""),"")</f>
        <v/>
      </c>
      <c r="F206" s="261">
        <f>IFERROR(IF($J206&gt;0,IF(INDEX('Invullen groen'!$H:$H,$J206)&lt;&gt;0,INDEX('Invullen groen'!$H:$H,$J206),""),""),"")</f>
        <v/>
      </c>
      <c r="G206" s="261">
        <f>IFERROR(IF($J206&gt;0,IF(INDEX('Invullen groen'!$I:$I,$J206)&lt;&gt;0,INDEX('Invullen groen'!$I:$I,$J206),""),""),"")</f>
        <v/>
      </c>
      <c r="H206" s="261">
        <f>IFERROR(IF($J206&gt;0,IF(INDEX('Invullen groen'!$J:$J,$J206)&lt;&gt;0,INDEX('Invullen groen'!$J:$J,$J206),""),""),"")</f>
        <v/>
      </c>
      <c r="I206" s="261">
        <f>IFERROR(IF($J206&gt;0,IF(INDEX('Invullen groen'!$K:$K,$J206)&lt;&gt;0,INDEX('Invullen groen'!$K:$K,$J206),""),""),"")</f>
        <v/>
      </c>
      <c r="J206">
        <f>IFERROR(MATCH(ROW()-4,'Invullen groen'!$P$17:$P$272,0)+16,0)</f>
        <v/>
      </c>
    </row>
    <row r="207" hidden="1" ht="15" customHeight="1" s="418">
      <c r="A207" s="258">
        <f>IFERROR(IF($J207&gt;0,ROW()-4,""),"")</f>
        <v/>
      </c>
      <c r="B207" s="258">
        <f>IFERROR(IF($J207&gt;0,INDEX('Invullen groen'!$A:$A,$J207),""),"")</f>
        <v/>
      </c>
      <c r="C207" s="258">
        <f>IFERROR(IF($J207&gt;0,INDEX('Invullen groen'!$C:$C,$J207),""),"")</f>
        <v/>
      </c>
      <c r="D207" s="258">
        <f>IFERROR(IF($J207&gt;0,INDEX('Invullen groen'!$D:$D,$J207),""),"")</f>
        <v/>
      </c>
      <c r="E207" s="258">
        <f>IFERROR(IF($J207&gt;0,INDEX('Invullen groen'!$G:$G,$J207),""),"")</f>
        <v/>
      </c>
      <c r="F207" s="259">
        <f>IFERROR(IF($J207&gt;0,IF(INDEX('Invullen groen'!$H:$H,$J207)&lt;&gt;0,INDEX('Invullen groen'!$H:$H,$J207),""),""),"")</f>
        <v/>
      </c>
      <c r="G207" s="259">
        <f>IFERROR(IF($J207&gt;0,IF(INDEX('Invullen groen'!$I:$I,$J207)&lt;&gt;0,INDEX('Invullen groen'!$I:$I,$J207),""),""),"")</f>
        <v/>
      </c>
      <c r="H207" s="259">
        <f>IFERROR(IF($J207&gt;0,IF(INDEX('Invullen groen'!$J:$J,$J207)&lt;&gt;0,INDEX('Invullen groen'!$J:$J,$J207),""),""),"")</f>
        <v/>
      </c>
      <c r="I207" s="259">
        <f>IFERROR(IF($J207&gt;0,IF(INDEX('Invullen groen'!$K:$K,$J207)&lt;&gt;0,INDEX('Invullen groen'!$K:$K,$J207),""),""),"")</f>
        <v/>
      </c>
      <c r="J207">
        <f>IFERROR(MATCH(ROW()-4,'Invullen groen'!$P$17:$P$272,0)+16,0)</f>
        <v/>
      </c>
    </row>
    <row r="208" hidden="1" ht="15" customHeight="1" s="418">
      <c r="A208" s="260">
        <f>IFERROR(IF($J208&gt;0,ROW()-4,""),"")</f>
        <v/>
      </c>
      <c r="B208" s="260">
        <f>IFERROR(IF($J208&gt;0,INDEX('Invullen groen'!$A:$A,$J208),""),"")</f>
        <v/>
      </c>
      <c r="C208" s="260">
        <f>IFERROR(IF($J208&gt;0,INDEX('Invullen groen'!$C:$C,$J208),""),"")</f>
        <v/>
      </c>
      <c r="D208" s="260">
        <f>IFERROR(IF($J208&gt;0,INDEX('Invullen groen'!$D:$D,$J208),""),"")</f>
        <v/>
      </c>
      <c r="E208" s="260">
        <f>IFERROR(IF($J208&gt;0,INDEX('Invullen groen'!$G:$G,$J208),""),"")</f>
        <v/>
      </c>
      <c r="F208" s="261">
        <f>IFERROR(IF($J208&gt;0,IF(INDEX('Invullen groen'!$H:$H,$J208)&lt;&gt;0,INDEX('Invullen groen'!$H:$H,$J208),""),""),"")</f>
        <v/>
      </c>
      <c r="G208" s="261">
        <f>IFERROR(IF($J208&gt;0,IF(INDEX('Invullen groen'!$I:$I,$J208)&lt;&gt;0,INDEX('Invullen groen'!$I:$I,$J208),""),""),"")</f>
        <v/>
      </c>
      <c r="H208" s="261">
        <f>IFERROR(IF($J208&gt;0,IF(INDEX('Invullen groen'!$J:$J,$J208)&lt;&gt;0,INDEX('Invullen groen'!$J:$J,$J208),""),""),"")</f>
        <v/>
      </c>
      <c r="I208" s="261">
        <f>IFERROR(IF($J208&gt;0,IF(INDEX('Invullen groen'!$K:$K,$J208)&lt;&gt;0,INDEX('Invullen groen'!$K:$K,$J208),""),""),"")</f>
        <v/>
      </c>
      <c r="J208">
        <f>IFERROR(MATCH(ROW()-4,'Invullen groen'!$P$17:$P$272,0)+16,0)</f>
        <v/>
      </c>
    </row>
    <row r="209" hidden="1" ht="15" customHeight="1" s="418">
      <c r="A209" s="258">
        <f>IFERROR(IF($J209&gt;0,ROW()-4,""),"")</f>
        <v/>
      </c>
      <c r="B209" s="258">
        <f>IFERROR(IF($J209&gt;0,INDEX('Invullen groen'!$A:$A,$J209),""),"")</f>
        <v/>
      </c>
      <c r="C209" s="258">
        <f>IFERROR(IF($J209&gt;0,INDEX('Invullen groen'!$C:$C,$J209),""),"")</f>
        <v/>
      </c>
      <c r="D209" s="258">
        <f>IFERROR(IF($J209&gt;0,INDEX('Invullen groen'!$D:$D,$J209),""),"")</f>
        <v/>
      </c>
      <c r="E209" s="258">
        <f>IFERROR(IF($J209&gt;0,INDEX('Invullen groen'!$G:$G,$J209),""),"")</f>
        <v/>
      </c>
      <c r="F209" s="259">
        <f>IFERROR(IF($J209&gt;0,IF(INDEX('Invullen groen'!$H:$H,$J209)&lt;&gt;0,INDEX('Invullen groen'!$H:$H,$J209),""),""),"")</f>
        <v/>
      </c>
      <c r="G209" s="259">
        <f>IFERROR(IF($J209&gt;0,IF(INDEX('Invullen groen'!$I:$I,$J209)&lt;&gt;0,INDEX('Invullen groen'!$I:$I,$J209),""),""),"")</f>
        <v/>
      </c>
      <c r="H209" s="259">
        <f>IFERROR(IF($J209&gt;0,IF(INDEX('Invullen groen'!$J:$J,$J209)&lt;&gt;0,INDEX('Invullen groen'!$J:$J,$J209),""),""),"")</f>
        <v/>
      </c>
      <c r="I209" s="259">
        <f>IFERROR(IF($J209&gt;0,IF(INDEX('Invullen groen'!$K:$K,$J209)&lt;&gt;0,INDEX('Invullen groen'!$K:$K,$J209),""),""),"")</f>
        <v/>
      </c>
      <c r="J209">
        <f>IFERROR(MATCH(ROW()-4,'Invullen groen'!$P$17:$P$272,0)+16,0)</f>
        <v/>
      </c>
    </row>
    <row r="210" hidden="1" ht="15" customHeight="1" s="418">
      <c r="A210" s="260">
        <f>IFERROR(IF($J210&gt;0,ROW()-4,""),"")</f>
        <v/>
      </c>
      <c r="B210" s="260">
        <f>IFERROR(IF($J210&gt;0,INDEX('Invullen groen'!$A:$A,$J210),""),"")</f>
        <v/>
      </c>
      <c r="C210" s="260">
        <f>IFERROR(IF($J210&gt;0,INDEX('Invullen groen'!$C:$C,$J210),""),"")</f>
        <v/>
      </c>
      <c r="D210" s="260">
        <f>IFERROR(IF($J210&gt;0,INDEX('Invullen groen'!$D:$D,$J210),""),"")</f>
        <v/>
      </c>
      <c r="E210" s="260">
        <f>IFERROR(IF($J210&gt;0,INDEX('Invullen groen'!$G:$G,$J210),""),"")</f>
        <v/>
      </c>
      <c r="F210" s="261">
        <f>IFERROR(IF($J210&gt;0,IF(INDEX('Invullen groen'!$H:$H,$J210)&lt;&gt;0,INDEX('Invullen groen'!$H:$H,$J210),""),""),"")</f>
        <v/>
      </c>
      <c r="G210" s="261">
        <f>IFERROR(IF($J210&gt;0,IF(INDEX('Invullen groen'!$I:$I,$J210)&lt;&gt;0,INDEX('Invullen groen'!$I:$I,$J210),""),""),"")</f>
        <v/>
      </c>
      <c r="H210" s="261">
        <f>IFERROR(IF($J210&gt;0,IF(INDEX('Invullen groen'!$J:$J,$J210)&lt;&gt;0,INDEX('Invullen groen'!$J:$J,$J210),""),""),"")</f>
        <v/>
      </c>
      <c r="I210" s="261">
        <f>IFERROR(IF($J210&gt;0,IF(INDEX('Invullen groen'!$K:$K,$J210)&lt;&gt;0,INDEX('Invullen groen'!$K:$K,$J210),""),""),"")</f>
        <v/>
      </c>
      <c r="J210">
        <f>IFERROR(MATCH(ROW()-4,'Invullen groen'!$P$17:$P$272,0)+16,0)</f>
        <v/>
      </c>
    </row>
    <row r="211" hidden="1" ht="15" customHeight="1" s="418">
      <c r="A211" s="258">
        <f>IFERROR(IF($J211&gt;0,ROW()-4,""),"")</f>
        <v/>
      </c>
      <c r="B211" s="258">
        <f>IFERROR(IF($J211&gt;0,INDEX('Invullen groen'!$A:$A,$J211),""),"")</f>
        <v/>
      </c>
      <c r="C211" s="258">
        <f>IFERROR(IF($J211&gt;0,INDEX('Invullen groen'!$C:$C,$J211),""),"")</f>
        <v/>
      </c>
      <c r="D211" s="258">
        <f>IFERROR(IF($J211&gt;0,INDEX('Invullen groen'!$D:$D,$J211),""),"")</f>
        <v/>
      </c>
      <c r="E211" s="258">
        <f>IFERROR(IF($J211&gt;0,INDEX('Invullen groen'!$G:$G,$J211),""),"")</f>
        <v/>
      </c>
      <c r="F211" s="259">
        <f>IFERROR(IF($J211&gt;0,IF(INDEX('Invullen groen'!$H:$H,$J211)&lt;&gt;0,INDEX('Invullen groen'!$H:$H,$J211),""),""),"")</f>
        <v/>
      </c>
      <c r="G211" s="259">
        <f>IFERROR(IF($J211&gt;0,IF(INDEX('Invullen groen'!$I:$I,$J211)&lt;&gt;0,INDEX('Invullen groen'!$I:$I,$J211),""),""),"")</f>
        <v/>
      </c>
      <c r="H211" s="259">
        <f>IFERROR(IF($J211&gt;0,IF(INDEX('Invullen groen'!$J:$J,$J211)&lt;&gt;0,INDEX('Invullen groen'!$J:$J,$J211),""),""),"")</f>
        <v/>
      </c>
      <c r="I211" s="259">
        <f>IFERROR(IF($J211&gt;0,IF(INDEX('Invullen groen'!$K:$K,$J211)&lt;&gt;0,INDEX('Invullen groen'!$K:$K,$J211),""),""),"")</f>
        <v/>
      </c>
      <c r="J211">
        <f>IFERROR(MATCH(ROW()-4,'Invullen groen'!$P$17:$P$272,0)+16,0)</f>
        <v/>
      </c>
    </row>
    <row r="212" hidden="1" ht="15" customHeight="1" s="418">
      <c r="A212" s="260">
        <f>IFERROR(IF($J212&gt;0,ROW()-4,""),"")</f>
        <v/>
      </c>
      <c r="B212" s="260">
        <f>IFERROR(IF($J212&gt;0,INDEX('Invullen groen'!$A:$A,$J212),""),"")</f>
        <v/>
      </c>
      <c r="C212" s="260">
        <f>IFERROR(IF($J212&gt;0,INDEX('Invullen groen'!$C:$C,$J212),""),"")</f>
        <v/>
      </c>
      <c r="D212" s="260">
        <f>IFERROR(IF($J212&gt;0,INDEX('Invullen groen'!$D:$D,$J212),""),"")</f>
        <v/>
      </c>
      <c r="E212" s="260">
        <f>IFERROR(IF($J212&gt;0,INDEX('Invullen groen'!$G:$G,$J212),""),"")</f>
        <v/>
      </c>
      <c r="F212" s="261">
        <f>IFERROR(IF($J212&gt;0,IF(INDEX('Invullen groen'!$H:$H,$J212)&lt;&gt;0,INDEX('Invullen groen'!$H:$H,$J212),""),""),"")</f>
        <v/>
      </c>
      <c r="G212" s="261">
        <f>IFERROR(IF($J212&gt;0,IF(INDEX('Invullen groen'!$I:$I,$J212)&lt;&gt;0,INDEX('Invullen groen'!$I:$I,$J212),""),""),"")</f>
        <v/>
      </c>
      <c r="H212" s="261">
        <f>IFERROR(IF($J212&gt;0,IF(INDEX('Invullen groen'!$J:$J,$J212)&lt;&gt;0,INDEX('Invullen groen'!$J:$J,$J212),""),""),"")</f>
        <v/>
      </c>
      <c r="I212" s="261">
        <f>IFERROR(IF($J212&gt;0,IF(INDEX('Invullen groen'!$K:$K,$J212)&lt;&gt;0,INDEX('Invullen groen'!$K:$K,$J212),""),""),"")</f>
        <v/>
      </c>
      <c r="J212">
        <f>IFERROR(MATCH(ROW()-4,'Invullen groen'!$P$17:$P$272,0)+16,0)</f>
        <v/>
      </c>
    </row>
    <row r="213" hidden="1" ht="15" customHeight="1" s="418">
      <c r="A213" s="258">
        <f>IFERROR(IF($J213&gt;0,ROW()-4,""),"")</f>
        <v/>
      </c>
      <c r="B213" s="258">
        <f>IFERROR(IF($J213&gt;0,INDEX('Invullen groen'!$A:$A,$J213),""),"")</f>
        <v/>
      </c>
      <c r="C213" s="258">
        <f>IFERROR(IF($J213&gt;0,INDEX('Invullen groen'!$C:$C,$J213),""),"")</f>
        <v/>
      </c>
      <c r="D213" s="258">
        <f>IFERROR(IF($J213&gt;0,INDEX('Invullen groen'!$D:$D,$J213),""),"")</f>
        <v/>
      </c>
      <c r="E213" s="258">
        <f>IFERROR(IF($J213&gt;0,INDEX('Invullen groen'!$G:$G,$J213),""),"")</f>
        <v/>
      </c>
      <c r="F213" s="259">
        <f>IFERROR(IF($J213&gt;0,IF(INDEX('Invullen groen'!$H:$H,$J213)&lt;&gt;0,INDEX('Invullen groen'!$H:$H,$J213),""),""),"")</f>
        <v/>
      </c>
      <c r="G213" s="259">
        <f>IFERROR(IF($J213&gt;0,IF(INDEX('Invullen groen'!$I:$I,$J213)&lt;&gt;0,INDEX('Invullen groen'!$I:$I,$J213),""),""),"")</f>
        <v/>
      </c>
      <c r="H213" s="259">
        <f>IFERROR(IF($J213&gt;0,IF(INDEX('Invullen groen'!$J:$J,$J213)&lt;&gt;0,INDEX('Invullen groen'!$J:$J,$J213),""),""),"")</f>
        <v/>
      </c>
      <c r="I213" s="259">
        <f>IFERROR(IF($J213&gt;0,IF(INDEX('Invullen groen'!$K:$K,$J213)&lt;&gt;0,INDEX('Invullen groen'!$K:$K,$J213),""),""),"")</f>
        <v/>
      </c>
      <c r="J213">
        <f>IFERROR(MATCH(ROW()-4,'Invullen groen'!$P$17:$P$272,0)+16,0)</f>
        <v/>
      </c>
    </row>
    <row r="214" hidden="1" ht="15" customHeight="1" s="418">
      <c r="A214" s="260">
        <f>IFERROR(IF($J214&gt;0,ROW()-4,""),"")</f>
        <v/>
      </c>
      <c r="B214" s="260">
        <f>IFERROR(IF($J214&gt;0,INDEX('Invullen groen'!$A:$A,$J214),""),"")</f>
        <v/>
      </c>
      <c r="C214" s="260">
        <f>IFERROR(IF($J214&gt;0,INDEX('Invullen groen'!$C:$C,$J214),""),"")</f>
        <v/>
      </c>
      <c r="D214" s="260">
        <f>IFERROR(IF($J214&gt;0,INDEX('Invullen groen'!$D:$D,$J214),""),"")</f>
        <v/>
      </c>
      <c r="E214" s="260">
        <f>IFERROR(IF($J214&gt;0,INDEX('Invullen groen'!$G:$G,$J214),""),"")</f>
        <v/>
      </c>
      <c r="F214" s="261">
        <f>IFERROR(IF($J214&gt;0,IF(INDEX('Invullen groen'!$H:$H,$J214)&lt;&gt;0,INDEX('Invullen groen'!$H:$H,$J214),""),""),"")</f>
        <v/>
      </c>
      <c r="G214" s="261">
        <f>IFERROR(IF($J214&gt;0,IF(INDEX('Invullen groen'!$I:$I,$J214)&lt;&gt;0,INDEX('Invullen groen'!$I:$I,$J214),""),""),"")</f>
        <v/>
      </c>
      <c r="H214" s="261">
        <f>IFERROR(IF($J214&gt;0,IF(INDEX('Invullen groen'!$J:$J,$J214)&lt;&gt;0,INDEX('Invullen groen'!$J:$J,$J214),""),""),"")</f>
        <v/>
      </c>
      <c r="I214" s="261">
        <f>IFERROR(IF($J214&gt;0,IF(INDEX('Invullen groen'!$K:$K,$J214)&lt;&gt;0,INDEX('Invullen groen'!$K:$K,$J214),""),""),"")</f>
        <v/>
      </c>
      <c r="J214">
        <f>IFERROR(MATCH(ROW()-4,'Invullen groen'!$P$17:$P$272,0)+16,0)</f>
        <v/>
      </c>
    </row>
    <row r="215" hidden="1" ht="15" customHeight="1" s="418">
      <c r="A215" s="258">
        <f>IFERROR(IF($J215&gt;0,ROW()-4,""),"")</f>
        <v/>
      </c>
      <c r="B215" s="258">
        <f>IFERROR(IF($J215&gt;0,INDEX('Invullen groen'!$A:$A,$J215),""),"")</f>
        <v/>
      </c>
      <c r="C215" s="258">
        <f>IFERROR(IF($J215&gt;0,INDEX('Invullen groen'!$C:$C,$J215),""),"")</f>
        <v/>
      </c>
      <c r="D215" s="258">
        <f>IFERROR(IF($J215&gt;0,INDEX('Invullen groen'!$D:$D,$J215),""),"")</f>
        <v/>
      </c>
      <c r="E215" s="258">
        <f>IFERROR(IF($J215&gt;0,INDEX('Invullen groen'!$G:$G,$J215),""),"")</f>
        <v/>
      </c>
      <c r="F215" s="259">
        <f>IFERROR(IF($J215&gt;0,IF(INDEX('Invullen groen'!$H:$H,$J215)&lt;&gt;0,INDEX('Invullen groen'!$H:$H,$J215),""),""),"")</f>
        <v/>
      </c>
      <c r="G215" s="259">
        <f>IFERROR(IF($J215&gt;0,IF(INDEX('Invullen groen'!$I:$I,$J215)&lt;&gt;0,INDEX('Invullen groen'!$I:$I,$J215),""),""),"")</f>
        <v/>
      </c>
      <c r="H215" s="259">
        <f>IFERROR(IF($J215&gt;0,IF(INDEX('Invullen groen'!$J:$J,$J215)&lt;&gt;0,INDEX('Invullen groen'!$J:$J,$J215),""),""),"")</f>
        <v/>
      </c>
      <c r="I215" s="259">
        <f>IFERROR(IF($J215&gt;0,IF(INDEX('Invullen groen'!$K:$K,$J215)&lt;&gt;0,INDEX('Invullen groen'!$K:$K,$J215),""),""),"")</f>
        <v/>
      </c>
      <c r="J215">
        <f>IFERROR(MATCH(ROW()-4,'Invullen groen'!$P$17:$P$272,0)+16,0)</f>
        <v/>
      </c>
    </row>
    <row r="216" hidden="1" ht="15" customHeight="1" s="418">
      <c r="A216" s="260">
        <f>IFERROR(IF($J216&gt;0,ROW()-4,""),"")</f>
        <v/>
      </c>
      <c r="B216" s="260">
        <f>IFERROR(IF($J216&gt;0,INDEX('Invullen groen'!$A:$A,$J216),""),"")</f>
        <v/>
      </c>
      <c r="C216" s="260">
        <f>IFERROR(IF($J216&gt;0,INDEX('Invullen groen'!$C:$C,$J216),""),"")</f>
        <v/>
      </c>
      <c r="D216" s="260">
        <f>IFERROR(IF($J216&gt;0,INDEX('Invullen groen'!$D:$D,$J216),""),"")</f>
        <v/>
      </c>
      <c r="E216" s="260">
        <f>IFERROR(IF($J216&gt;0,INDEX('Invullen groen'!$G:$G,$J216),""),"")</f>
        <v/>
      </c>
      <c r="F216" s="261">
        <f>IFERROR(IF($J216&gt;0,IF(INDEX('Invullen groen'!$H:$H,$J216)&lt;&gt;0,INDEX('Invullen groen'!$H:$H,$J216),""),""),"")</f>
        <v/>
      </c>
      <c r="G216" s="261">
        <f>IFERROR(IF($J216&gt;0,IF(INDEX('Invullen groen'!$I:$I,$J216)&lt;&gt;0,INDEX('Invullen groen'!$I:$I,$J216),""),""),"")</f>
        <v/>
      </c>
      <c r="H216" s="261">
        <f>IFERROR(IF($J216&gt;0,IF(INDEX('Invullen groen'!$J:$J,$J216)&lt;&gt;0,INDEX('Invullen groen'!$J:$J,$J216),""),""),"")</f>
        <v/>
      </c>
      <c r="I216" s="261">
        <f>IFERROR(IF($J216&gt;0,IF(INDEX('Invullen groen'!$K:$K,$J216)&lt;&gt;0,INDEX('Invullen groen'!$K:$K,$J216),""),""),"")</f>
        <v/>
      </c>
      <c r="J216">
        <f>IFERROR(MATCH(ROW()-4,'Invullen groen'!$P$17:$P$272,0)+16,0)</f>
        <v/>
      </c>
    </row>
    <row r="217" hidden="1" ht="15" customHeight="1" s="418">
      <c r="A217" s="258">
        <f>IFERROR(IF($J217&gt;0,ROW()-4,""),"")</f>
        <v/>
      </c>
      <c r="B217" s="258">
        <f>IFERROR(IF($J217&gt;0,INDEX('Invullen groen'!$A:$A,$J217),""),"")</f>
        <v/>
      </c>
      <c r="C217" s="258">
        <f>IFERROR(IF($J217&gt;0,INDEX('Invullen groen'!$C:$C,$J217),""),"")</f>
        <v/>
      </c>
      <c r="D217" s="258">
        <f>IFERROR(IF($J217&gt;0,INDEX('Invullen groen'!$D:$D,$J217),""),"")</f>
        <v/>
      </c>
      <c r="E217" s="258">
        <f>IFERROR(IF($J217&gt;0,INDEX('Invullen groen'!$G:$G,$J217),""),"")</f>
        <v/>
      </c>
      <c r="F217" s="259">
        <f>IFERROR(IF($J217&gt;0,IF(INDEX('Invullen groen'!$H:$H,$J217)&lt;&gt;0,INDEX('Invullen groen'!$H:$H,$J217),""),""),"")</f>
        <v/>
      </c>
      <c r="G217" s="259">
        <f>IFERROR(IF($J217&gt;0,IF(INDEX('Invullen groen'!$I:$I,$J217)&lt;&gt;0,INDEX('Invullen groen'!$I:$I,$J217),""),""),"")</f>
        <v/>
      </c>
      <c r="H217" s="259">
        <f>IFERROR(IF($J217&gt;0,IF(INDEX('Invullen groen'!$J:$J,$J217)&lt;&gt;0,INDEX('Invullen groen'!$J:$J,$J217),""),""),"")</f>
        <v/>
      </c>
      <c r="I217" s="259">
        <f>IFERROR(IF($J217&gt;0,IF(INDEX('Invullen groen'!$K:$K,$J217)&lt;&gt;0,INDEX('Invullen groen'!$K:$K,$J217),""),""),"")</f>
        <v/>
      </c>
      <c r="J217">
        <f>IFERROR(MATCH(ROW()-4,'Invullen groen'!$P$17:$P$272,0)+16,0)</f>
        <v/>
      </c>
    </row>
    <row r="218" hidden="1" ht="15" customHeight="1" s="418">
      <c r="A218" s="260">
        <f>IFERROR(IF($J218&gt;0,ROW()-4,""),"")</f>
        <v/>
      </c>
      <c r="B218" s="260">
        <f>IFERROR(IF($J218&gt;0,INDEX('Invullen groen'!$A:$A,$J218),""),"")</f>
        <v/>
      </c>
      <c r="C218" s="260">
        <f>IFERROR(IF($J218&gt;0,INDEX('Invullen groen'!$C:$C,$J218),""),"")</f>
        <v/>
      </c>
      <c r="D218" s="260">
        <f>IFERROR(IF($J218&gt;0,INDEX('Invullen groen'!$D:$D,$J218),""),"")</f>
        <v/>
      </c>
      <c r="E218" s="260">
        <f>IFERROR(IF($J218&gt;0,INDEX('Invullen groen'!$G:$G,$J218),""),"")</f>
        <v/>
      </c>
      <c r="F218" s="261">
        <f>IFERROR(IF($J218&gt;0,IF(INDEX('Invullen groen'!$H:$H,$J218)&lt;&gt;0,INDEX('Invullen groen'!$H:$H,$J218),""),""),"")</f>
        <v/>
      </c>
      <c r="G218" s="261">
        <f>IFERROR(IF($J218&gt;0,IF(INDEX('Invullen groen'!$I:$I,$J218)&lt;&gt;0,INDEX('Invullen groen'!$I:$I,$J218),""),""),"")</f>
        <v/>
      </c>
      <c r="H218" s="261">
        <f>IFERROR(IF($J218&gt;0,IF(INDEX('Invullen groen'!$J:$J,$J218)&lt;&gt;0,INDEX('Invullen groen'!$J:$J,$J218),""),""),"")</f>
        <v/>
      </c>
      <c r="I218" s="261">
        <f>IFERROR(IF($J218&gt;0,IF(INDEX('Invullen groen'!$K:$K,$J218)&lt;&gt;0,INDEX('Invullen groen'!$K:$K,$J218),""),""),"")</f>
        <v/>
      </c>
      <c r="J218">
        <f>IFERROR(MATCH(ROW()-4,'Invullen groen'!$P$17:$P$272,0)+16,0)</f>
        <v/>
      </c>
    </row>
    <row r="219" hidden="1" ht="15" customHeight="1" s="418">
      <c r="A219" s="258">
        <f>IFERROR(IF($J219&gt;0,ROW()-4,""),"")</f>
        <v/>
      </c>
      <c r="B219" s="258">
        <f>IFERROR(IF($J219&gt;0,INDEX('Invullen groen'!$A:$A,$J219),""),"")</f>
        <v/>
      </c>
      <c r="C219" s="258">
        <f>IFERROR(IF($J219&gt;0,INDEX('Invullen groen'!$C:$C,$J219),""),"")</f>
        <v/>
      </c>
      <c r="D219" s="258">
        <f>IFERROR(IF($J219&gt;0,INDEX('Invullen groen'!$D:$D,$J219),""),"")</f>
        <v/>
      </c>
      <c r="E219" s="258">
        <f>IFERROR(IF($J219&gt;0,INDEX('Invullen groen'!$G:$G,$J219),""),"")</f>
        <v/>
      </c>
      <c r="F219" s="259">
        <f>IFERROR(IF($J219&gt;0,IF(INDEX('Invullen groen'!$H:$H,$J219)&lt;&gt;0,INDEX('Invullen groen'!$H:$H,$J219),""),""),"")</f>
        <v/>
      </c>
      <c r="G219" s="259">
        <f>IFERROR(IF($J219&gt;0,IF(INDEX('Invullen groen'!$I:$I,$J219)&lt;&gt;0,INDEX('Invullen groen'!$I:$I,$J219),""),""),"")</f>
        <v/>
      </c>
      <c r="H219" s="259">
        <f>IFERROR(IF($J219&gt;0,IF(INDEX('Invullen groen'!$J:$J,$J219)&lt;&gt;0,INDEX('Invullen groen'!$J:$J,$J219),""),""),"")</f>
        <v/>
      </c>
      <c r="I219" s="259">
        <f>IFERROR(IF($J219&gt;0,IF(INDEX('Invullen groen'!$K:$K,$J219)&lt;&gt;0,INDEX('Invullen groen'!$K:$K,$J219),""),""),"")</f>
        <v/>
      </c>
      <c r="J219">
        <f>IFERROR(MATCH(ROW()-4,'Invullen groen'!$P$17:$P$272,0)+16,0)</f>
        <v/>
      </c>
    </row>
    <row r="220" hidden="1" ht="15" customHeight="1" s="418">
      <c r="A220" s="260">
        <f>IFERROR(IF($J220&gt;0,ROW()-4,""),"")</f>
        <v/>
      </c>
      <c r="B220" s="260">
        <f>IFERROR(IF($J220&gt;0,INDEX('Invullen groen'!$A:$A,$J220),""),"")</f>
        <v/>
      </c>
      <c r="C220" s="260">
        <f>IFERROR(IF($J220&gt;0,INDEX('Invullen groen'!$C:$C,$J220),""),"")</f>
        <v/>
      </c>
      <c r="D220" s="260">
        <f>IFERROR(IF($J220&gt;0,INDEX('Invullen groen'!$D:$D,$J220),""),"")</f>
        <v/>
      </c>
      <c r="E220" s="260">
        <f>IFERROR(IF($J220&gt;0,INDEX('Invullen groen'!$G:$G,$J220),""),"")</f>
        <v/>
      </c>
      <c r="F220" s="261">
        <f>IFERROR(IF($J220&gt;0,IF(INDEX('Invullen groen'!$H:$H,$J220)&lt;&gt;0,INDEX('Invullen groen'!$H:$H,$J220),""),""),"")</f>
        <v/>
      </c>
      <c r="G220" s="261">
        <f>IFERROR(IF($J220&gt;0,IF(INDEX('Invullen groen'!$I:$I,$J220)&lt;&gt;0,INDEX('Invullen groen'!$I:$I,$J220),""),""),"")</f>
        <v/>
      </c>
      <c r="H220" s="261">
        <f>IFERROR(IF($J220&gt;0,IF(INDEX('Invullen groen'!$J:$J,$J220)&lt;&gt;0,INDEX('Invullen groen'!$J:$J,$J220),""),""),"")</f>
        <v/>
      </c>
      <c r="I220" s="261">
        <f>IFERROR(IF($J220&gt;0,IF(INDEX('Invullen groen'!$K:$K,$J220)&lt;&gt;0,INDEX('Invullen groen'!$K:$K,$J220),""),""),"")</f>
        <v/>
      </c>
      <c r="J220">
        <f>IFERROR(MATCH(ROW()-4,'Invullen groen'!$P$17:$P$272,0)+16,0)</f>
        <v/>
      </c>
    </row>
    <row r="221" hidden="1" ht="15" customHeight="1" s="418">
      <c r="A221" s="258">
        <f>IFERROR(IF($J221&gt;0,ROW()-4,""),"")</f>
        <v/>
      </c>
      <c r="B221" s="258">
        <f>IFERROR(IF($J221&gt;0,INDEX('Invullen groen'!$A:$A,$J221),""),"")</f>
        <v/>
      </c>
      <c r="C221" s="258">
        <f>IFERROR(IF($J221&gt;0,INDEX('Invullen groen'!$C:$C,$J221),""),"")</f>
        <v/>
      </c>
      <c r="D221" s="258">
        <f>IFERROR(IF($J221&gt;0,INDEX('Invullen groen'!$D:$D,$J221),""),"")</f>
        <v/>
      </c>
      <c r="E221" s="258">
        <f>IFERROR(IF($J221&gt;0,INDEX('Invullen groen'!$G:$G,$J221),""),"")</f>
        <v/>
      </c>
      <c r="F221" s="259">
        <f>IFERROR(IF($J221&gt;0,IF(INDEX('Invullen groen'!$H:$H,$J221)&lt;&gt;0,INDEX('Invullen groen'!$H:$H,$J221),""),""),"")</f>
        <v/>
      </c>
      <c r="G221" s="259">
        <f>IFERROR(IF($J221&gt;0,IF(INDEX('Invullen groen'!$I:$I,$J221)&lt;&gt;0,INDEX('Invullen groen'!$I:$I,$J221),""),""),"")</f>
        <v/>
      </c>
      <c r="H221" s="259">
        <f>IFERROR(IF($J221&gt;0,IF(INDEX('Invullen groen'!$J:$J,$J221)&lt;&gt;0,INDEX('Invullen groen'!$J:$J,$J221),""),""),"")</f>
        <v/>
      </c>
      <c r="I221" s="259">
        <f>IFERROR(IF($J221&gt;0,IF(INDEX('Invullen groen'!$K:$K,$J221)&lt;&gt;0,INDEX('Invullen groen'!$K:$K,$J221),""),""),"")</f>
        <v/>
      </c>
      <c r="J221">
        <f>IFERROR(MATCH(ROW()-4,'Invullen groen'!$P$17:$P$272,0)+16,0)</f>
        <v/>
      </c>
    </row>
    <row r="222" hidden="1" ht="15" customHeight="1" s="418">
      <c r="A222" s="260">
        <f>IFERROR(IF($J222&gt;0,ROW()-4,""),"")</f>
        <v/>
      </c>
      <c r="B222" s="260">
        <f>IFERROR(IF($J222&gt;0,INDEX('Invullen groen'!$A:$A,$J222),""),"")</f>
        <v/>
      </c>
      <c r="C222" s="260">
        <f>IFERROR(IF($J222&gt;0,INDEX('Invullen groen'!$C:$C,$J222),""),"")</f>
        <v/>
      </c>
      <c r="D222" s="260">
        <f>IFERROR(IF($J222&gt;0,INDEX('Invullen groen'!$D:$D,$J222),""),"")</f>
        <v/>
      </c>
      <c r="E222" s="260">
        <f>IFERROR(IF($J222&gt;0,INDEX('Invullen groen'!$G:$G,$J222),""),"")</f>
        <v/>
      </c>
      <c r="F222" s="261">
        <f>IFERROR(IF($J222&gt;0,IF(INDEX('Invullen groen'!$H:$H,$J222)&lt;&gt;0,INDEX('Invullen groen'!$H:$H,$J222),""),""),"")</f>
        <v/>
      </c>
      <c r="G222" s="261">
        <f>IFERROR(IF($J222&gt;0,IF(INDEX('Invullen groen'!$I:$I,$J222)&lt;&gt;0,INDEX('Invullen groen'!$I:$I,$J222),""),""),"")</f>
        <v/>
      </c>
      <c r="H222" s="261">
        <f>IFERROR(IF($J222&gt;0,IF(INDEX('Invullen groen'!$J:$J,$J222)&lt;&gt;0,INDEX('Invullen groen'!$J:$J,$J222),""),""),"")</f>
        <v/>
      </c>
      <c r="I222" s="261">
        <f>IFERROR(IF($J222&gt;0,IF(INDEX('Invullen groen'!$K:$K,$J222)&lt;&gt;0,INDEX('Invullen groen'!$K:$K,$J222),""),""),"")</f>
        <v/>
      </c>
      <c r="J222">
        <f>IFERROR(MATCH(ROW()-4,'Invullen groen'!$P$17:$P$272,0)+16,0)</f>
        <v/>
      </c>
    </row>
    <row r="223" hidden="1" ht="15" customHeight="1" s="418">
      <c r="A223" s="258">
        <f>IFERROR(IF($J223&gt;0,ROW()-4,""),"")</f>
        <v/>
      </c>
      <c r="B223" s="258">
        <f>IFERROR(IF($J223&gt;0,INDEX('Invullen groen'!$A:$A,$J223),""),"")</f>
        <v/>
      </c>
      <c r="C223" s="258">
        <f>IFERROR(IF($J223&gt;0,INDEX('Invullen groen'!$C:$C,$J223),""),"")</f>
        <v/>
      </c>
      <c r="D223" s="258">
        <f>IFERROR(IF($J223&gt;0,INDEX('Invullen groen'!$D:$D,$J223),""),"")</f>
        <v/>
      </c>
      <c r="E223" s="258">
        <f>IFERROR(IF($J223&gt;0,INDEX('Invullen groen'!$G:$G,$J223),""),"")</f>
        <v/>
      </c>
      <c r="F223" s="259">
        <f>IFERROR(IF($J223&gt;0,IF(INDEX('Invullen groen'!$H:$H,$J223)&lt;&gt;0,INDEX('Invullen groen'!$H:$H,$J223),""),""),"")</f>
        <v/>
      </c>
      <c r="G223" s="259">
        <f>IFERROR(IF($J223&gt;0,IF(INDEX('Invullen groen'!$I:$I,$J223)&lt;&gt;0,INDEX('Invullen groen'!$I:$I,$J223),""),""),"")</f>
        <v/>
      </c>
      <c r="H223" s="259">
        <f>IFERROR(IF($J223&gt;0,IF(INDEX('Invullen groen'!$J:$J,$J223)&lt;&gt;0,INDEX('Invullen groen'!$J:$J,$J223),""),""),"")</f>
        <v/>
      </c>
      <c r="I223" s="259">
        <f>IFERROR(IF($J223&gt;0,IF(INDEX('Invullen groen'!$K:$K,$J223)&lt;&gt;0,INDEX('Invullen groen'!$K:$K,$J223),""),""),"")</f>
        <v/>
      </c>
      <c r="J223">
        <f>IFERROR(MATCH(ROW()-4,'Invullen groen'!$P$17:$P$272,0)+16,0)</f>
        <v/>
      </c>
    </row>
    <row r="224" hidden="1" ht="15" customHeight="1" s="418">
      <c r="A224" s="260">
        <f>IFERROR(IF($J224&gt;0,ROW()-4,""),"")</f>
        <v/>
      </c>
      <c r="B224" s="260">
        <f>IFERROR(IF($J224&gt;0,INDEX('Invullen groen'!$A:$A,$J224),""),"")</f>
        <v/>
      </c>
      <c r="C224" s="260">
        <f>IFERROR(IF($J224&gt;0,INDEX('Invullen groen'!$C:$C,$J224),""),"")</f>
        <v/>
      </c>
      <c r="D224" s="260">
        <f>IFERROR(IF($J224&gt;0,INDEX('Invullen groen'!$D:$D,$J224),""),"")</f>
        <v/>
      </c>
      <c r="E224" s="260">
        <f>IFERROR(IF($J224&gt;0,INDEX('Invullen groen'!$G:$G,$J224),""),"")</f>
        <v/>
      </c>
      <c r="F224" s="261">
        <f>IFERROR(IF($J224&gt;0,IF(INDEX('Invullen groen'!$H:$H,$J224)&lt;&gt;0,INDEX('Invullen groen'!$H:$H,$J224),""),""),"")</f>
        <v/>
      </c>
      <c r="G224" s="261">
        <f>IFERROR(IF($J224&gt;0,IF(INDEX('Invullen groen'!$I:$I,$J224)&lt;&gt;0,INDEX('Invullen groen'!$I:$I,$J224),""),""),"")</f>
        <v/>
      </c>
      <c r="H224" s="261">
        <f>IFERROR(IF($J224&gt;0,IF(INDEX('Invullen groen'!$J:$J,$J224)&lt;&gt;0,INDEX('Invullen groen'!$J:$J,$J224),""),""),"")</f>
        <v/>
      </c>
      <c r="I224" s="261">
        <f>IFERROR(IF($J224&gt;0,IF(INDEX('Invullen groen'!$K:$K,$J224)&lt;&gt;0,INDEX('Invullen groen'!$K:$K,$J224),""),""),"")</f>
        <v/>
      </c>
      <c r="J224">
        <f>IFERROR(MATCH(ROW()-4,'Invullen groen'!$P$17:$P$272,0)+16,0)</f>
        <v/>
      </c>
    </row>
    <row r="225" hidden="1" ht="15" customHeight="1" s="418">
      <c r="A225" s="258">
        <f>IFERROR(IF($J225&gt;0,ROW()-4,""),"")</f>
        <v/>
      </c>
      <c r="B225" s="258">
        <f>IFERROR(IF($J225&gt;0,INDEX('Invullen groen'!$A:$A,$J225),""),"")</f>
        <v/>
      </c>
      <c r="C225" s="258">
        <f>IFERROR(IF($J225&gt;0,INDEX('Invullen groen'!$C:$C,$J225),""),"")</f>
        <v/>
      </c>
      <c r="D225" s="258">
        <f>IFERROR(IF($J225&gt;0,INDEX('Invullen groen'!$D:$D,$J225),""),"")</f>
        <v/>
      </c>
      <c r="E225" s="258">
        <f>IFERROR(IF($J225&gt;0,INDEX('Invullen groen'!$G:$G,$J225),""),"")</f>
        <v/>
      </c>
      <c r="F225" s="259">
        <f>IFERROR(IF($J225&gt;0,IF(INDEX('Invullen groen'!$H:$H,$J225)&lt;&gt;0,INDEX('Invullen groen'!$H:$H,$J225),""),""),"")</f>
        <v/>
      </c>
      <c r="G225" s="259">
        <f>IFERROR(IF($J225&gt;0,IF(INDEX('Invullen groen'!$I:$I,$J225)&lt;&gt;0,INDEX('Invullen groen'!$I:$I,$J225),""),""),"")</f>
        <v/>
      </c>
      <c r="H225" s="259">
        <f>IFERROR(IF($J225&gt;0,IF(INDEX('Invullen groen'!$J:$J,$J225)&lt;&gt;0,INDEX('Invullen groen'!$J:$J,$J225),""),""),"")</f>
        <v/>
      </c>
      <c r="I225" s="259">
        <f>IFERROR(IF($J225&gt;0,IF(INDEX('Invullen groen'!$K:$K,$J225)&lt;&gt;0,INDEX('Invullen groen'!$K:$K,$J225),""),""),"")</f>
        <v/>
      </c>
      <c r="J225">
        <f>IFERROR(MATCH(ROW()-4,'Invullen groen'!$P$17:$P$272,0)+16,0)</f>
        <v/>
      </c>
    </row>
    <row r="226" hidden="1" ht="15" customHeight="1" s="418">
      <c r="A226" s="260">
        <f>IFERROR(IF($J226&gt;0,ROW()-4,""),"")</f>
        <v/>
      </c>
      <c r="B226" s="260">
        <f>IFERROR(IF($J226&gt;0,INDEX('Invullen groen'!$A:$A,$J226),""),"")</f>
        <v/>
      </c>
      <c r="C226" s="260">
        <f>IFERROR(IF($J226&gt;0,INDEX('Invullen groen'!$C:$C,$J226),""),"")</f>
        <v/>
      </c>
      <c r="D226" s="260">
        <f>IFERROR(IF($J226&gt;0,INDEX('Invullen groen'!$D:$D,$J226),""),"")</f>
        <v/>
      </c>
      <c r="E226" s="260">
        <f>IFERROR(IF($J226&gt;0,INDEX('Invullen groen'!$G:$G,$J226),""),"")</f>
        <v/>
      </c>
      <c r="F226" s="261">
        <f>IFERROR(IF($J226&gt;0,IF(INDEX('Invullen groen'!$H:$H,$J226)&lt;&gt;0,INDEX('Invullen groen'!$H:$H,$J226),""),""),"")</f>
        <v/>
      </c>
      <c r="G226" s="261">
        <f>IFERROR(IF($J226&gt;0,IF(INDEX('Invullen groen'!$I:$I,$J226)&lt;&gt;0,INDEX('Invullen groen'!$I:$I,$J226),""),""),"")</f>
        <v/>
      </c>
      <c r="H226" s="261">
        <f>IFERROR(IF($J226&gt;0,IF(INDEX('Invullen groen'!$J:$J,$J226)&lt;&gt;0,INDEX('Invullen groen'!$J:$J,$J226),""),""),"")</f>
        <v/>
      </c>
      <c r="I226" s="261">
        <f>IFERROR(IF($J226&gt;0,IF(INDEX('Invullen groen'!$K:$K,$J226)&lt;&gt;0,INDEX('Invullen groen'!$K:$K,$J226),""),""),"")</f>
        <v/>
      </c>
      <c r="J226">
        <f>IFERROR(MATCH(ROW()-4,'Invullen groen'!$P$17:$P$272,0)+16,0)</f>
        <v/>
      </c>
    </row>
    <row r="227" hidden="1" ht="15" customHeight="1" s="418">
      <c r="A227" s="258">
        <f>IFERROR(IF($J227&gt;0,ROW()-4,""),"")</f>
        <v/>
      </c>
      <c r="B227" s="258">
        <f>IFERROR(IF($J227&gt;0,INDEX('Invullen groen'!$A:$A,$J227),""),"")</f>
        <v/>
      </c>
      <c r="C227" s="258">
        <f>IFERROR(IF($J227&gt;0,INDEX('Invullen groen'!$C:$C,$J227),""),"")</f>
        <v/>
      </c>
      <c r="D227" s="258">
        <f>IFERROR(IF($J227&gt;0,INDEX('Invullen groen'!$D:$D,$J227),""),"")</f>
        <v/>
      </c>
      <c r="E227" s="258">
        <f>IFERROR(IF($J227&gt;0,INDEX('Invullen groen'!$G:$G,$J227),""),"")</f>
        <v/>
      </c>
      <c r="F227" s="259">
        <f>IFERROR(IF($J227&gt;0,IF(INDEX('Invullen groen'!$H:$H,$J227)&lt;&gt;0,INDEX('Invullen groen'!$H:$H,$J227),""),""),"")</f>
        <v/>
      </c>
      <c r="G227" s="259">
        <f>IFERROR(IF($J227&gt;0,IF(INDEX('Invullen groen'!$I:$I,$J227)&lt;&gt;0,INDEX('Invullen groen'!$I:$I,$J227),""),""),"")</f>
        <v/>
      </c>
      <c r="H227" s="259">
        <f>IFERROR(IF($J227&gt;0,IF(INDEX('Invullen groen'!$J:$J,$J227)&lt;&gt;0,INDEX('Invullen groen'!$J:$J,$J227),""),""),"")</f>
        <v/>
      </c>
      <c r="I227" s="259">
        <f>IFERROR(IF($J227&gt;0,IF(INDEX('Invullen groen'!$K:$K,$J227)&lt;&gt;0,INDEX('Invullen groen'!$K:$K,$J227),""),""),"")</f>
        <v/>
      </c>
      <c r="J227">
        <f>IFERROR(MATCH(ROW()-4,'Invullen groen'!$P$17:$P$272,0)+16,0)</f>
        <v/>
      </c>
    </row>
    <row r="228" hidden="1" ht="15" customHeight="1" s="418">
      <c r="A228" s="260">
        <f>IFERROR(IF($J228&gt;0,ROW()-4,""),"")</f>
        <v/>
      </c>
      <c r="B228" s="260">
        <f>IFERROR(IF($J228&gt;0,INDEX('Invullen groen'!$A:$A,$J228),""),"")</f>
        <v/>
      </c>
      <c r="C228" s="260">
        <f>IFERROR(IF($J228&gt;0,INDEX('Invullen groen'!$C:$C,$J228),""),"")</f>
        <v/>
      </c>
      <c r="D228" s="260">
        <f>IFERROR(IF($J228&gt;0,INDEX('Invullen groen'!$D:$D,$J228),""),"")</f>
        <v/>
      </c>
      <c r="E228" s="260">
        <f>IFERROR(IF($J228&gt;0,INDEX('Invullen groen'!$G:$G,$J228),""),"")</f>
        <v/>
      </c>
      <c r="F228" s="261">
        <f>IFERROR(IF($J228&gt;0,IF(INDEX('Invullen groen'!$H:$H,$J228)&lt;&gt;0,INDEX('Invullen groen'!$H:$H,$J228),""),""),"")</f>
        <v/>
      </c>
      <c r="G228" s="261">
        <f>IFERROR(IF($J228&gt;0,IF(INDEX('Invullen groen'!$I:$I,$J228)&lt;&gt;0,INDEX('Invullen groen'!$I:$I,$J228),""),""),"")</f>
        <v/>
      </c>
      <c r="H228" s="261">
        <f>IFERROR(IF($J228&gt;0,IF(INDEX('Invullen groen'!$J:$J,$J228)&lt;&gt;0,INDEX('Invullen groen'!$J:$J,$J228),""),""),"")</f>
        <v/>
      </c>
      <c r="I228" s="261">
        <f>IFERROR(IF($J228&gt;0,IF(INDEX('Invullen groen'!$K:$K,$J228)&lt;&gt;0,INDEX('Invullen groen'!$K:$K,$J228),""),""),"")</f>
        <v/>
      </c>
      <c r="J228">
        <f>IFERROR(MATCH(ROW()-4,'Invullen groen'!$P$17:$P$272,0)+16,0)</f>
        <v/>
      </c>
    </row>
    <row r="229" hidden="1" ht="15" customHeight="1" s="418">
      <c r="A229" s="251">
        <f>IFERROR(IF($J229&gt;0,ROW()-4,""),"")</f>
        <v/>
      </c>
      <c r="B229" s="251">
        <f>IFERROR(IF($J229&gt;0,INDEX('Invullen groen'!$A:$A,$J229),""),"")</f>
        <v/>
      </c>
      <c r="C229" s="251">
        <f>IFERROR(IF($J229&gt;0,INDEX('Invullen groen'!$C:$C,$J229),""),"")</f>
        <v/>
      </c>
      <c r="D229" s="251">
        <f>IFERROR(IF($J229&gt;0,INDEX('Invullen groen'!$D:$D,$J229),""),"")</f>
        <v/>
      </c>
      <c r="E229" s="251">
        <f>IFERROR(IF($J229&gt;0,INDEX('Invullen groen'!$G:$G,$J229),""),"")</f>
        <v/>
      </c>
      <c r="F229" s="252">
        <f>IFERROR(IF($J229&gt;0,IF(INDEX('Invullen groen'!$H:$H,$J229)&lt;&gt;0,INDEX('Invullen groen'!$H:$H,$J229),""),""),"")</f>
        <v/>
      </c>
      <c r="G229" s="252">
        <f>IFERROR(IF($J229&gt;0,IF(INDEX('Invullen groen'!$I:$I,$J229)&lt;&gt;0,INDEX('Invullen groen'!$I:$I,$J229),""),""),"")</f>
        <v/>
      </c>
      <c r="H229" s="252">
        <f>IFERROR(IF($J229&gt;0,IF(INDEX('Invullen groen'!$J:$J,$J229)&lt;&gt;0,INDEX('Invullen groen'!$J:$J,$J229),""),""),"")</f>
        <v/>
      </c>
      <c r="I229" s="252">
        <f>IFERROR(IF($J229&gt;0,IF(INDEX('Invullen groen'!$K:$K,$J229)&lt;&gt;0,INDEX('Invullen groen'!$K:$K,$J229),""),""),"")</f>
        <v/>
      </c>
      <c r="J229">
        <f>IFERROR(MATCH(ROW()-4,'Invullen groen'!$P$17:$P$272,0)+16,0)</f>
        <v/>
      </c>
    </row>
    <row r="230" hidden="1" ht="15" customHeight="1" s="418">
      <c r="A230" s="262">
        <f>IFERROR(IF($J230&gt;0,ROW()-4,""),"")</f>
        <v/>
      </c>
      <c r="B230">
        <f>IFERROR(IF($J230&gt;0,INDEX('Invullen groen'!$A:$A,$J230),""),"")</f>
        <v/>
      </c>
      <c r="C230">
        <f>IFERROR(IF($J230&gt;0,INDEX('Invullen groen'!$C:$C,$J230),""),"")</f>
        <v/>
      </c>
      <c r="D230">
        <f>IFERROR(IF($J230&gt;0,INDEX('Invullen groen'!$D:$D,$J230),""),"")</f>
        <v/>
      </c>
      <c r="E230">
        <f>IFERROR(IF($J230&gt;0,INDEX('Invullen groen'!$G:$G,$J230),""),"")</f>
        <v/>
      </c>
      <c r="F230" s="263">
        <f>IFERROR(IF($J230&gt;0,IF(INDEX('Invullen groen'!$H:$H,$J230)&lt;&gt;0,INDEX('Invullen groen'!$H:$H,$J230),""),""),"")</f>
        <v/>
      </c>
      <c r="G230" s="263">
        <f>IFERROR(IF($J230&gt;0,IF(INDEX('Invullen groen'!$I:$I,$J230)&lt;&gt;0,INDEX('Invullen groen'!$I:$I,$J230),""),""),"")</f>
        <v/>
      </c>
      <c r="H230" s="263">
        <f>IFERROR(IF($J230&gt;0,IF(INDEX('Invullen groen'!$J:$J,$J230)&lt;&gt;0,INDEX('Invullen groen'!$J:$J,$J230),""),""),"")</f>
        <v/>
      </c>
      <c r="I230" s="263">
        <f>IFERROR(IF($J230&gt;0,IF(INDEX('Invullen groen'!$K:$K,$J230)&lt;&gt;0,INDEX('Invullen groen'!$K:$K,$J230),""),""),"")</f>
        <v/>
      </c>
      <c r="J230">
        <f>IFERROR(MATCH(ROW()-4,'Invullen groen'!$P$17:$P$272,0)+16,0)</f>
        <v/>
      </c>
    </row>
    <row r="231" hidden="1" ht="15" customHeight="1" s="418">
      <c r="A231" s="264">
        <f>IFERROR(IF($J231&gt;0,ROW()-4,""),"")</f>
        <v/>
      </c>
      <c r="B231">
        <f>IFERROR(IF($J231&gt;0,INDEX('Invullen groen'!$A:$A,$J231),""),"")</f>
        <v/>
      </c>
      <c r="C231">
        <f>IFERROR(IF($J231&gt;0,INDEX('Invullen groen'!$C:$C,$J231),""),"")</f>
        <v/>
      </c>
      <c r="D231">
        <f>IFERROR(IF($J231&gt;0,INDEX('Invullen groen'!$D:$D,$J231),""),"")</f>
        <v/>
      </c>
      <c r="E231">
        <f>IFERROR(IF($J231&gt;0,INDEX('Invullen groen'!$G:$G,$J231),""),"")</f>
        <v/>
      </c>
      <c r="F231" s="265">
        <f>IFERROR(IF($J231&gt;0,IF(INDEX('Invullen groen'!$H:$H,$J231)&lt;&gt;0,INDEX('Invullen groen'!$H:$H,$J231),""),""),"")</f>
        <v/>
      </c>
      <c r="G231" s="265">
        <f>IFERROR(IF($J231&gt;0,IF(INDEX('Invullen groen'!$I:$I,$J231)&lt;&gt;0,INDEX('Invullen groen'!$I:$I,$J231),""),""),"")</f>
        <v/>
      </c>
      <c r="H231" s="265">
        <f>IFERROR(IF($J231&gt;0,IF(INDEX('Invullen groen'!$J:$J,$J231)&lt;&gt;0,INDEX('Invullen groen'!$J:$J,$J231),""),""),"")</f>
        <v/>
      </c>
      <c r="I231" s="265">
        <f>IFERROR(IF($J231&gt;0,IF(INDEX('Invullen groen'!$K:$K,$J231)&lt;&gt;0,INDEX('Invullen groen'!$K:$K,$J231),""),""),"")</f>
        <v/>
      </c>
      <c r="J231">
        <f>IFERROR(MATCH(ROW()-4,'Invullen groen'!$P$17:$P$272,0)+16,0)</f>
        <v/>
      </c>
    </row>
    <row r="232" hidden="1" ht="15" customHeight="1" s="418">
      <c r="A232" s="266">
        <f>IFERROR(IF($J232&gt;0,ROW()-4,""),"")</f>
        <v/>
      </c>
      <c r="B232">
        <f>IFERROR(IF($J232&gt;0,INDEX('Invullen groen'!$A:$A,$J232),""),"")</f>
        <v/>
      </c>
      <c r="C232">
        <f>IFERROR(IF($J232&gt;0,INDEX('Invullen groen'!$C:$C,$J232),""),"")</f>
        <v/>
      </c>
      <c r="D232">
        <f>IFERROR(IF($J232&gt;0,INDEX('Invullen groen'!$D:$D,$J232),""),"")</f>
        <v/>
      </c>
      <c r="E232">
        <f>IFERROR(IF($J232&gt;0,INDEX('Invullen groen'!$G:$G,$J232),""),"")</f>
        <v/>
      </c>
      <c r="F232" s="267">
        <f>IFERROR(IF($J232&gt;0,IF(INDEX('Invullen groen'!$H:$H,$J232)&lt;&gt;0,INDEX('Invullen groen'!$H:$H,$J232),""),""),"")</f>
        <v/>
      </c>
      <c r="G232" s="267">
        <f>IFERROR(IF($J232&gt;0,IF(INDEX('Invullen groen'!$I:$I,$J232)&lt;&gt;0,INDEX('Invullen groen'!$I:$I,$J232),""),""),"")</f>
        <v/>
      </c>
      <c r="H232" s="267">
        <f>IFERROR(IF($J232&gt;0,IF(INDEX('Invullen groen'!$J:$J,$J232)&lt;&gt;0,INDEX('Invullen groen'!$J:$J,$J232),""),""),"")</f>
        <v/>
      </c>
      <c r="I232" s="267">
        <f>IFERROR(IF($J232&gt;0,IF(INDEX('Invullen groen'!$K:$K,$J232)&lt;&gt;0,INDEX('Invullen groen'!$K:$K,$J232),""),""),"")</f>
        <v/>
      </c>
      <c r="J232">
        <f>IFERROR(MATCH(ROW()-4,'Invullen groen'!$P$17:$P$272,0)+16,0)</f>
        <v/>
      </c>
    </row>
    <row r="233" hidden="1" ht="15" customHeight="1" s="418">
      <c r="A233" s="251">
        <f>IFERROR(IF($J233&gt;0,ROW()-4,""),"")</f>
        <v/>
      </c>
      <c r="B233" s="251">
        <f>IFERROR(IF($J233&gt;0,INDEX('Invullen groen'!$A:$A,$J233),""),"")</f>
        <v/>
      </c>
      <c r="C233" s="251">
        <f>IFERROR(IF($J233&gt;0,INDEX('Invullen groen'!$C:$C,$J233),""),"")</f>
        <v/>
      </c>
      <c r="D233" s="251">
        <f>IFERROR(IF($J233&gt;0,INDEX('Invullen groen'!$D:$D,$J233),""),"")</f>
        <v/>
      </c>
      <c r="E233" s="251">
        <f>IFERROR(IF($J233&gt;0,INDEX('Invullen groen'!$G:$G,$J233),""),"")</f>
        <v/>
      </c>
      <c r="F233" s="252">
        <f>IFERROR(IF($J233&gt;0,IF(INDEX('Invullen groen'!$H:$H,$J233)&lt;&gt;0,INDEX('Invullen groen'!$H:$H,$J233),""),""),"")</f>
        <v/>
      </c>
      <c r="G233" s="252">
        <f>IFERROR(IF($J233&gt;0,IF(INDEX('Invullen groen'!$I:$I,$J233)&lt;&gt;0,INDEX('Invullen groen'!$I:$I,$J233),""),""),"")</f>
        <v/>
      </c>
      <c r="H233" s="252">
        <f>IFERROR(IF($J233&gt;0,IF(INDEX('Invullen groen'!$J:$J,$J233)&lt;&gt;0,INDEX('Invullen groen'!$J:$J,$J233),""),""),"")</f>
        <v/>
      </c>
      <c r="I233" s="252">
        <f>IFERROR(IF($J233&gt;0,IF(INDEX('Invullen groen'!$K:$K,$J233)&lt;&gt;0,INDEX('Invullen groen'!$K:$K,$J233),""),""),"")</f>
        <v/>
      </c>
      <c r="J233">
        <f>IFERROR(MATCH(ROW()-4,'Invullen groen'!$P$17:$P$272,0)+16,0)</f>
        <v/>
      </c>
    </row>
    <row r="234" hidden="1" ht="15" customHeight="1" s="418">
      <c r="A234" s="233">
        <f>IFERROR(IF($J234&gt;0,ROW()-4,""),"")</f>
        <v/>
      </c>
      <c r="B234">
        <f>IFERROR(IF($J234&gt;0,INDEX('Invullen groen'!$A:$A,$J234),""),"")</f>
        <v/>
      </c>
      <c r="C234">
        <f>IFERROR(IF($J234&gt;0,INDEX('Invullen groen'!$C:$C,$J234),""),"")</f>
        <v/>
      </c>
      <c r="D234">
        <f>IFERROR(IF($J234&gt;0,INDEX('Invullen groen'!$D:$D,$J234),""),"")</f>
        <v/>
      </c>
      <c r="E234">
        <f>IFERROR(IF($J234&gt;0,INDEX('Invullen groen'!$G:$G,$J234),""),"")</f>
        <v/>
      </c>
      <c r="F234">
        <f>IFERROR(IF($J234&gt;0,IF(INDEX('Invullen groen'!$H:$H,$J234)&lt;&gt;0,INDEX('Invullen groen'!$H:$H,$J234),""),""),"")</f>
        <v/>
      </c>
      <c r="G234">
        <f>IFERROR(IF($J234&gt;0,IF(INDEX('Invullen groen'!$I:$I,$J234)&lt;&gt;0,INDEX('Invullen groen'!$I:$I,$J234),""),""),"")</f>
        <v/>
      </c>
      <c r="H234">
        <f>IFERROR(IF($J234&gt;0,IF(INDEX('Invullen groen'!$J:$J,$J234)&lt;&gt;0,INDEX('Invullen groen'!$J:$J,$J234),""),""),"")</f>
        <v/>
      </c>
      <c r="I234">
        <f>IFERROR(IF($J234&gt;0,IF(INDEX('Invullen groen'!$K:$K,$J234)&lt;&gt;0,INDEX('Invullen groen'!$K:$K,$J234),""),""),"")</f>
        <v/>
      </c>
      <c r="J234">
        <f>IFERROR(MATCH(ROW()-4,'Invullen groen'!$P$17:$P$272,0)+16,0)</f>
        <v/>
      </c>
    </row>
    <row r="235" hidden="1" s="418">
      <c r="A235">
        <f>IFERROR(IF($J235&gt;0,ROW()-4,""),"")</f>
        <v/>
      </c>
      <c r="B235">
        <f>IFERROR(IF($J235&gt;0,INDEX('Invullen groen'!$A:$A,$J235),""),"")</f>
        <v/>
      </c>
      <c r="C235">
        <f>IFERROR(IF($J235&gt;0,INDEX('Invullen groen'!$C:$C,$J235),""),"")</f>
        <v/>
      </c>
      <c r="D235">
        <f>IFERROR(IF($J235&gt;0,INDEX('Invullen groen'!$D:$D,$J235),""),"")</f>
        <v/>
      </c>
      <c r="E235">
        <f>IFERROR(IF($J235&gt;0,INDEX('Invullen groen'!$G:$G,$J235),""),"")</f>
        <v/>
      </c>
      <c r="F235">
        <f>IFERROR(IF($J235&gt;0,IF(INDEX('Invullen groen'!$H:$H,$J235)&lt;&gt;0,INDEX('Invullen groen'!$H:$H,$J235),""),""),"")</f>
        <v/>
      </c>
      <c r="G235">
        <f>IFERROR(IF($J235&gt;0,IF(INDEX('Invullen groen'!$I:$I,$J235)&lt;&gt;0,INDEX('Invullen groen'!$I:$I,$J235),""),""),"")</f>
        <v/>
      </c>
      <c r="H235">
        <f>IFERROR(IF($J235&gt;0,IF(INDEX('Invullen groen'!$J:$J,$J235)&lt;&gt;0,INDEX('Invullen groen'!$J:$J,$J235),""),""),"")</f>
        <v/>
      </c>
      <c r="I235">
        <f>IFERROR(IF($J235&gt;0,IF(INDEX('Invullen groen'!$K:$K,$J235)&lt;&gt;0,INDEX('Invullen groen'!$K:$K,$J235),""),""),"")</f>
        <v/>
      </c>
      <c r="J235">
        <f>IFERROR(MATCH(ROW()-4,'Invullen groen'!$P$17:$P$272,0)+16,0)</f>
        <v/>
      </c>
    </row>
    <row r="236" hidden="1" s="418">
      <c r="A236">
        <f>IFERROR(IF($J236&gt;0,ROW()-4,""),"")</f>
        <v/>
      </c>
      <c r="B236">
        <f>IFERROR(IF($J236&gt;0,INDEX('Invullen groen'!$A:$A,$J236),""),"")</f>
        <v/>
      </c>
      <c r="C236">
        <f>IFERROR(IF($J236&gt;0,INDEX('Invullen groen'!$C:$C,$J236),""),"")</f>
        <v/>
      </c>
      <c r="D236">
        <f>IFERROR(IF($J236&gt;0,INDEX('Invullen groen'!$D:$D,$J236),""),"")</f>
        <v/>
      </c>
      <c r="E236">
        <f>IFERROR(IF($J236&gt;0,INDEX('Invullen groen'!$G:$G,$J236),""),"")</f>
        <v/>
      </c>
      <c r="F236">
        <f>IFERROR(IF($J236&gt;0,IF(INDEX('Invullen groen'!$H:$H,$J236)&lt;&gt;0,INDEX('Invullen groen'!$H:$H,$J236),""),""),"")</f>
        <v/>
      </c>
      <c r="G236">
        <f>IFERROR(IF($J236&gt;0,IF(INDEX('Invullen groen'!$I:$I,$J236)&lt;&gt;0,INDEX('Invullen groen'!$I:$I,$J236),""),""),"")</f>
        <v/>
      </c>
      <c r="H236">
        <f>IFERROR(IF($J236&gt;0,IF(INDEX('Invullen groen'!$J:$J,$J236)&lt;&gt;0,INDEX('Invullen groen'!$J:$J,$J236),""),""),"")</f>
        <v/>
      </c>
      <c r="I236">
        <f>IFERROR(IF($J236&gt;0,IF(INDEX('Invullen groen'!$K:$K,$J236)&lt;&gt;0,INDEX('Invullen groen'!$K:$K,$J236),""),""),"")</f>
        <v/>
      </c>
      <c r="J236">
        <f>IFERROR(MATCH(ROW()-4,'Invullen groen'!$P$17:$P$272,0)+16,0)</f>
        <v/>
      </c>
    </row>
    <row r="237" hidden="1" s="418">
      <c r="A237">
        <f>IFERROR(IF($J237&gt;0,ROW()-4,""),"")</f>
        <v/>
      </c>
      <c r="B237">
        <f>IFERROR(IF($J237&gt;0,INDEX('Invullen groen'!$A:$A,$J237),""),"")</f>
        <v/>
      </c>
      <c r="C237">
        <f>IFERROR(IF($J237&gt;0,INDEX('Invullen groen'!$C:$C,$J237),""),"")</f>
        <v/>
      </c>
      <c r="D237">
        <f>IFERROR(IF($J237&gt;0,INDEX('Invullen groen'!$D:$D,$J237),""),"")</f>
        <v/>
      </c>
      <c r="E237">
        <f>IFERROR(IF($J237&gt;0,INDEX('Invullen groen'!$G:$G,$J237),""),"")</f>
        <v/>
      </c>
      <c r="F237">
        <f>IFERROR(IF($J237&gt;0,IF(INDEX('Invullen groen'!$H:$H,$J237)&lt;&gt;0,INDEX('Invullen groen'!$H:$H,$J237),""),""),"")</f>
        <v/>
      </c>
      <c r="G237">
        <f>IFERROR(IF($J237&gt;0,IF(INDEX('Invullen groen'!$I:$I,$J237)&lt;&gt;0,INDEX('Invullen groen'!$I:$I,$J237),""),""),"")</f>
        <v/>
      </c>
      <c r="H237">
        <f>IFERROR(IF($J237&gt;0,IF(INDEX('Invullen groen'!$J:$J,$J237)&lt;&gt;0,INDEX('Invullen groen'!$J:$J,$J237),""),""),"")</f>
        <v/>
      </c>
      <c r="I237">
        <f>IFERROR(IF($J237&gt;0,IF(INDEX('Invullen groen'!$K:$K,$J237)&lt;&gt;0,INDEX('Invullen groen'!$K:$K,$J237),""),""),"")</f>
        <v/>
      </c>
      <c r="J237">
        <f>IFERROR(MATCH(ROW()-4,'Invullen groen'!$P$17:$P$272,0)+16,0)</f>
        <v/>
      </c>
    </row>
    <row r="238" hidden="1" s="418">
      <c r="A238">
        <f>IFERROR(IF($J238&gt;0,ROW()-4,""),"")</f>
        <v/>
      </c>
      <c r="B238">
        <f>IFERROR(IF($J238&gt;0,INDEX('Invullen groen'!$A:$A,$J238),""),"")</f>
        <v/>
      </c>
      <c r="C238">
        <f>IFERROR(IF($J238&gt;0,INDEX('Invullen groen'!$C:$C,$J238),""),"")</f>
        <v/>
      </c>
      <c r="D238">
        <f>IFERROR(IF($J238&gt;0,INDEX('Invullen groen'!$D:$D,$J238),""),"")</f>
        <v/>
      </c>
      <c r="E238">
        <f>IFERROR(IF($J238&gt;0,INDEX('Invullen groen'!$G:$G,$J238),""),"")</f>
        <v/>
      </c>
      <c r="F238">
        <f>IFERROR(IF($J238&gt;0,IF(INDEX('Invullen groen'!$H:$H,$J238)&lt;&gt;0,INDEX('Invullen groen'!$H:$H,$J238),""),""),"")</f>
        <v/>
      </c>
      <c r="G238">
        <f>IFERROR(IF($J238&gt;0,IF(INDEX('Invullen groen'!$I:$I,$J238)&lt;&gt;0,INDEX('Invullen groen'!$I:$I,$J238),""),""),"")</f>
        <v/>
      </c>
      <c r="H238">
        <f>IFERROR(IF($J238&gt;0,IF(INDEX('Invullen groen'!$J:$J,$J238)&lt;&gt;0,INDEX('Invullen groen'!$J:$J,$J238),""),""),"")</f>
        <v/>
      </c>
      <c r="I238">
        <f>IFERROR(IF($J238&gt;0,IF(INDEX('Invullen groen'!$K:$K,$J238)&lt;&gt;0,INDEX('Invullen groen'!$K:$K,$J238),""),""),"")</f>
        <v/>
      </c>
      <c r="J238">
        <f>IFERROR(MATCH(ROW()-4,'Invullen groen'!$P$17:$P$272,0)+16,0)</f>
        <v/>
      </c>
    </row>
    <row r="239" hidden="1" s="418">
      <c r="A239">
        <f>IFERROR(IF($J239&gt;0,ROW()-4,""),"")</f>
        <v/>
      </c>
      <c r="B239">
        <f>IFERROR(IF($J239&gt;0,INDEX('Invullen groen'!$A:$A,$J239),""),"")</f>
        <v/>
      </c>
      <c r="C239">
        <f>IFERROR(IF($J239&gt;0,INDEX('Invullen groen'!$C:$C,$J239),""),"")</f>
        <v/>
      </c>
      <c r="D239">
        <f>IFERROR(IF($J239&gt;0,INDEX('Invullen groen'!$D:$D,$J239),""),"")</f>
        <v/>
      </c>
      <c r="E239">
        <f>IFERROR(IF($J239&gt;0,INDEX('Invullen groen'!$G:$G,$J239),""),"")</f>
        <v/>
      </c>
      <c r="F239">
        <f>IFERROR(IF($J239&gt;0,IF(INDEX('Invullen groen'!$H:$H,$J239)&lt;&gt;0,INDEX('Invullen groen'!$H:$H,$J239),""),""),"")</f>
        <v/>
      </c>
      <c r="G239">
        <f>IFERROR(IF($J239&gt;0,IF(INDEX('Invullen groen'!$I:$I,$J239)&lt;&gt;0,INDEX('Invullen groen'!$I:$I,$J239),""),""),"")</f>
        <v/>
      </c>
      <c r="H239">
        <f>IFERROR(IF($J239&gt;0,IF(INDEX('Invullen groen'!$J:$J,$J239)&lt;&gt;0,INDEX('Invullen groen'!$J:$J,$J239),""),""),"")</f>
        <v/>
      </c>
      <c r="I239">
        <f>IFERROR(IF($J239&gt;0,IF(INDEX('Invullen groen'!$K:$K,$J239)&lt;&gt;0,INDEX('Invullen groen'!$K:$K,$J239),""),""),"")</f>
        <v/>
      </c>
      <c r="J239">
        <f>IFERROR(MATCH(ROW()-4,'Invullen groen'!$P$17:$P$272,0)+16,0)</f>
        <v/>
      </c>
    </row>
    <row r="241">
      <c r="A241" t="inlineStr">
        <is>
          <t>Totaal lasten</t>
        </is>
      </c>
      <c r="F241">
        <f>SUMIF('Invullen groen'!Q17:Q272,"&gt;0",'Invullen groen'!Q17:Q272)</f>
        <v/>
      </c>
      <c r="G241">
        <f>SUMIF('Invullen groen'!Q17:Q272,"&gt;0",'Invullen groen'!I17:I272)</f>
        <v/>
      </c>
      <c r="H241">
        <f>SUMIF('Invullen groen'!Q17:Q272,"&gt;0",'Invullen groen'!J17:J272)</f>
        <v/>
      </c>
      <c r="I241">
        <f>SUMIF('Invullen groen'!Q17:Q272,"&gt;0",'Invullen groen'!K17:K272)</f>
        <v/>
      </c>
    </row>
    <row r="242">
      <c r="A242" t="inlineStr">
        <is>
          <t>Totaal baten</t>
        </is>
      </c>
      <c r="F242">
        <f>SUMIF('Invullen groen'!R17:R272,"&lt;&gt;0",'Invullen groen'!R17:R272)</f>
        <v/>
      </c>
    </row>
    <row r="243">
      <c r="A243" t="inlineStr">
        <is>
          <t>Saldo (lasten + baten)</t>
        </is>
      </c>
      <c r="F243">
        <f>F241+F242</f>
        <v/>
      </c>
      <c r="G243">
        <f>G241</f>
        <v/>
      </c>
      <c r="H243">
        <f>H241</f>
        <v/>
      </c>
      <c r="I243">
        <f>I241</f>
        <v/>
      </c>
    </row>
    <row r="245">
      <c r="A245" t="inlineStr">
        <is>
          <t>Automatisch bijgewerkt vanuit tabblad 'Invullen groen' — geen invoer vereist</t>
        </is>
      </c>
    </row>
  </sheetData>
  <mergeCells count="2">
    <mergeCell ref="A1:I1"/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A5FA8"/>
    <outlinePr summaryBelow="1" summaryRight="1"/>
    <pageSetUpPr/>
  </sheetPr>
  <dimension ref="A1:G20"/>
  <sheetViews>
    <sheetView workbookViewId="0">
      <selection activeCell="D16" sqref="D16"/>
    </sheetView>
  </sheetViews>
  <sheetFormatPr baseColWidth="8" defaultRowHeight="14.4"/>
  <cols>
    <col width="42" customWidth="1" style="418" min="1" max="1"/>
    <col width="14" customWidth="1" style="418" min="2" max="7"/>
  </cols>
  <sheetData>
    <row r="1" ht="24" customHeight="1" s="418">
      <c r="A1" s="433" t="inlineStr">
        <is>
          <t>Samenvatting per programma</t>
        </is>
      </c>
    </row>
    <row r="2" ht="18" customHeight="1" s="418">
      <c r="A2" s="434">
        <f>'Invullen groen'!A4</f>
        <v/>
      </c>
      <c r="E2" s="192" t="n"/>
      <c r="F2" s="192" t="n"/>
      <c r="G2" s="192" t="n"/>
    </row>
    <row r="3" ht="6" customHeight="1" s="418">
      <c r="A3" s="193" t="n"/>
      <c r="B3" s="193" t="n"/>
      <c r="C3" s="193" t="n"/>
      <c r="D3" s="193" t="n"/>
      <c r="E3" s="193" t="n"/>
      <c r="F3" s="193" t="n"/>
      <c r="G3" s="193" t="n"/>
    </row>
    <row r="4" ht="18" customHeight="1" s="418">
      <c r="A4" s="194" t="inlineStr">
        <is>
          <t>Programma</t>
        </is>
      </c>
      <c r="B4" s="195" t="inlineStr">
        <is>
          <t>Lasten 2026</t>
        </is>
      </c>
      <c r="C4" s="195" t="inlineStr">
        <is>
          <t>Baten 2026</t>
        </is>
      </c>
      <c r="D4" s="195" t="inlineStr">
        <is>
          <t>Saldo 2026</t>
        </is>
      </c>
      <c r="E4" s="195" t="inlineStr">
        <is>
          <t>MJR 2027</t>
        </is>
      </c>
      <c r="F4" s="195" t="inlineStr">
        <is>
          <t>MJR 2028</t>
        </is>
      </c>
      <c r="G4" s="195" t="inlineStr">
        <is>
          <t>MJR 2029</t>
        </is>
      </c>
    </row>
    <row r="5" ht="18" customHeight="1" s="418">
      <c r="A5" s="196" t="inlineStr">
        <is>
          <t>Bestuur en Ondersteuning</t>
        </is>
      </c>
      <c r="B5" s="197">
        <f>SUMPRODUCT((LOWER('Invullen groen'!A17:A74)="bestuur en ondersteuning")*('Invullen groen'!H17:H74&gt;0)*'Invullen groen'!H17:H74)</f>
        <v/>
      </c>
      <c r="C5" s="197">
        <f>SUMPRODUCT((LOWER('Invullen groen'!A17:A74)="bestuur en ondersteuning")*('Invullen groen'!H17:H74&lt;0)*'Invullen groen'!H17:H74)</f>
        <v/>
      </c>
      <c r="D5" s="197">
        <f>B5+C5</f>
        <v/>
      </c>
      <c r="E5" s="197">
        <f>SUMPRODUCT((LOWER('Invullen groen'!A17:A74)="bestuur en ondersteuning")*IFERROR('Invullen groen'!I17:I74*1,0))</f>
        <v/>
      </c>
      <c r="F5" s="197">
        <f>SUMPRODUCT((LOWER('Invullen groen'!A17:A74)="bestuur en ondersteuning")*IFERROR('Invullen groen'!J17:J74*1,0))</f>
        <v/>
      </c>
      <c r="G5" s="197">
        <f>SUMPRODUCT((LOWER('Invullen groen'!A17:A74)="bestuur en ondersteuning")*IFERROR('Invullen groen'!K17:K74*1,0))</f>
        <v/>
      </c>
    </row>
    <row r="6" ht="18" customHeight="1" s="418">
      <c r="A6" s="198" t="inlineStr">
        <is>
          <t>Veiligheid</t>
        </is>
      </c>
      <c r="B6" s="199">
        <f>SUMPRODUCT((LOWER('Invullen groen'!A17:A74)="veiligheid")*('Invullen groen'!H17:H74&gt;0)*'Invullen groen'!H17:H74)</f>
        <v/>
      </c>
      <c r="C6" s="199">
        <f>SUMPRODUCT((LOWER('Invullen groen'!A17:A74)="veiligheid")*('Invullen groen'!H17:H74&lt;0)*'Invullen groen'!H17:H74)</f>
        <v/>
      </c>
      <c r="D6" s="199">
        <f>B6+C6</f>
        <v/>
      </c>
      <c r="E6" s="199">
        <f>SUMPRODUCT((LOWER('Invullen groen'!A17:A74)="veiligheid")*IFERROR('Invullen groen'!I17:I74*1,0))</f>
        <v/>
      </c>
      <c r="F6" s="199">
        <f>SUMPRODUCT((LOWER('Invullen groen'!A17:A74)="veiligheid")*IFERROR('Invullen groen'!J17:J74*1,0))</f>
        <v/>
      </c>
      <c r="G6" s="199">
        <f>SUMPRODUCT((LOWER('Invullen groen'!A17:A74)="veiligheid")*IFERROR('Invullen groen'!K17:K74*1,0))</f>
        <v/>
      </c>
    </row>
    <row r="7" ht="18" customHeight="1" s="418">
      <c r="A7" s="196" t="inlineStr">
        <is>
          <t>Verkeer, Vervoer en Waterstaat</t>
        </is>
      </c>
      <c r="B7" s="197">
        <f>SUMPRODUCT((LOWER('Invullen groen'!A17:A74)="verkeer, vervoer en waterstaat")*('Invullen groen'!H17:H74&gt;0)*'Invullen groen'!H17:H74)</f>
        <v/>
      </c>
      <c r="C7" s="197">
        <f>SUMPRODUCT((LOWER('Invullen groen'!A17:A74)="verkeer, vervoer en waterstaat")*('Invullen groen'!H17:H74&lt;0)*'Invullen groen'!H17:H74)</f>
        <v/>
      </c>
      <c r="D7" s="197">
        <f>B7+C7</f>
        <v/>
      </c>
      <c r="E7" s="197">
        <f>SUMPRODUCT((LOWER('Invullen groen'!A17:A74)="verkeer, vervoer en waterstaat")*IFERROR('Invullen groen'!I17:I74*1,0))</f>
        <v/>
      </c>
      <c r="F7" s="197">
        <f>SUMPRODUCT((LOWER('Invullen groen'!A17:A74)="verkeer, vervoer en waterstaat")*IFERROR('Invullen groen'!J17:J74*1,0))</f>
        <v/>
      </c>
      <c r="G7" s="197">
        <f>SUMPRODUCT((LOWER('Invullen groen'!A17:A74)="verkeer, vervoer en waterstaat")*IFERROR('Invullen groen'!K17:K74*1,0))</f>
        <v/>
      </c>
    </row>
    <row r="8" ht="18" customHeight="1" s="418">
      <c r="A8" s="198" t="inlineStr">
        <is>
          <t>Economie</t>
        </is>
      </c>
      <c r="B8" s="199">
        <f>SUMPRODUCT((LOWER('Invullen groen'!A17:A74)="economie")*('Invullen groen'!H17:H74&gt;0)*'Invullen groen'!H17:H74)</f>
        <v/>
      </c>
      <c r="C8" s="199">
        <f>SUMPRODUCT((LOWER('Invullen groen'!A17:A74)="economie")*('Invullen groen'!H17:H74&lt;0)*'Invullen groen'!H17:H74)</f>
        <v/>
      </c>
      <c r="D8" s="199">
        <f>B8+C8</f>
        <v/>
      </c>
      <c r="E8" s="199">
        <f>SUMPRODUCT((LOWER('Invullen groen'!A17:A74)="economie")*IFERROR('Invullen groen'!I17:I74*1,0))</f>
        <v/>
      </c>
      <c r="F8" s="199">
        <f>SUMPRODUCT((LOWER('Invullen groen'!A17:A74)="economie")*IFERROR('Invullen groen'!J17:J74*1,0))</f>
        <v/>
      </c>
      <c r="G8" s="199">
        <f>SUMPRODUCT((LOWER('Invullen groen'!A17:A74)="economie")*IFERROR('Invullen groen'!K17:K74*1,0))</f>
        <v/>
      </c>
    </row>
    <row r="9" ht="18" customHeight="1" s="418">
      <c r="A9" s="196" t="inlineStr">
        <is>
          <t>Onderwijs</t>
        </is>
      </c>
      <c r="B9" s="197">
        <f>SUMPRODUCT((LOWER('Invullen groen'!A17:A74)="onderwijs")*('Invullen groen'!H17:H74&gt;0)*'Invullen groen'!H17:H74)</f>
        <v/>
      </c>
      <c r="C9" s="197">
        <f>SUMPRODUCT((LOWER('Invullen groen'!A17:A74)="onderwijs")*('Invullen groen'!H17:H74&lt;0)*'Invullen groen'!H17:H74)</f>
        <v/>
      </c>
      <c r="D9" s="197">
        <f>B9+C9</f>
        <v/>
      </c>
      <c r="E9" s="197">
        <f>SUMPRODUCT((LOWER('Invullen groen'!A17:A74)="onderwijs")*IFERROR('Invullen groen'!I17:I74*1,0))</f>
        <v/>
      </c>
      <c r="F9" s="197">
        <f>SUMPRODUCT((LOWER('Invullen groen'!A17:A74)="onderwijs")*IFERROR('Invullen groen'!J17:J74*1,0))</f>
        <v/>
      </c>
      <c r="G9" s="197">
        <f>SUMPRODUCT((LOWER('Invullen groen'!A17:A74)="onderwijs")*IFERROR('Invullen groen'!K17:K74*1,0))</f>
        <v/>
      </c>
    </row>
    <row r="10" ht="18" customHeight="1" s="418">
      <c r="A10" s="198" t="inlineStr">
        <is>
          <t>Sport, Cultuur en Recreatie</t>
        </is>
      </c>
      <c r="B10" s="199">
        <f>SUMPRODUCT((LOWER('Invullen groen'!A17:A74)="sport, cultuur en recreatie")*('Invullen groen'!H17:H74&gt;0)*'Invullen groen'!H17:H74)</f>
        <v/>
      </c>
      <c r="C10" s="199">
        <f>SUMPRODUCT((LOWER('Invullen groen'!A17:A74)="sport, cultuur en recreatie")*('Invullen groen'!H17:H74&lt;0)*'Invullen groen'!H17:H74)</f>
        <v/>
      </c>
      <c r="D10" s="199">
        <f>B10+C10</f>
        <v/>
      </c>
      <c r="E10" s="199">
        <f>SUMPRODUCT((LOWER('Invullen groen'!A17:A74)="sport, cultuur en recreatie")*IFERROR('Invullen groen'!I17:I74*1,0))</f>
        <v/>
      </c>
      <c r="F10" s="199">
        <f>SUMPRODUCT((LOWER('Invullen groen'!A17:A74)="sport, cultuur en recreatie")*IFERROR('Invullen groen'!J17:J74*1,0))</f>
        <v/>
      </c>
      <c r="G10" s="199">
        <f>SUMPRODUCT((LOWER('Invullen groen'!A17:A74)="sport, cultuur en recreatie")*IFERROR('Invullen groen'!K17:K74*1,0))</f>
        <v/>
      </c>
    </row>
    <row r="11" ht="18" customHeight="1" s="418">
      <c r="A11" s="196" t="inlineStr">
        <is>
          <t>Sociaal Domein</t>
        </is>
      </c>
      <c r="B11" s="197">
        <f>SUMPRODUCT((LOWER('Invullen groen'!A17:A74)="sociaal domein")*('Invullen groen'!H17:H74&gt;0)*'Invullen groen'!H17:H74)</f>
        <v/>
      </c>
      <c r="C11" s="197">
        <f>SUMPRODUCT((LOWER('Invullen groen'!A17:A74)="sociaal domein")*('Invullen groen'!H17:H74&lt;0)*'Invullen groen'!H17:H74)</f>
        <v/>
      </c>
      <c r="D11" s="197">
        <f>B11+C11</f>
        <v/>
      </c>
      <c r="E11" s="197">
        <f>SUMPRODUCT((LOWER('Invullen groen'!A17:A74)="sociaal domein")*IFERROR('Invullen groen'!I17:I74*1,0))</f>
        <v/>
      </c>
      <c r="F11" s="197">
        <f>SUMPRODUCT((LOWER('Invullen groen'!A17:A74)="sociaal domein")*IFERROR('Invullen groen'!J17:J74*1,0))</f>
        <v/>
      </c>
      <c r="G11" s="197">
        <f>SUMPRODUCT((LOWER('Invullen groen'!A17:A74)="sociaal domein")*IFERROR('Invullen groen'!K17:K74*1,0))</f>
        <v/>
      </c>
    </row>
    <row r="12" ht="18" customHeight="1" s="418">
      <c r="A12" s="198" t="inlineStr">
        <is>
          <t>Volksgezondheid en Milieu</t>
        </is>
      </c>
      <c r="B12" s="199">
        <f>SUMPRODUCT((LOWER('Invullen groen'!A17:A74)="volksgezondheid en milieu")*('Invullen groen'!H17:H74&gt;0)*'Invullen groen'!H17:H74)</f>
        <v/>
      </c>
      <c r="C12" s="199">
        <f>SUMPRODUCT((LOWER('Invullen groen'!A17:A74)="volksgezondheid en milieu")*('Invullen groen'!H17:H74&lt;0)*'Invullen groen'!H17:H74)</f>
        <v/>
      </c>
      <c r="D12" s="199">
        <f>B12+C12</f>
        <v/>
      </c>
      <c r="E12" s="199">
        <f>SUMPRODUCT((LOWER('Invullen groen'!A17:A74)="volksgezondheid en milieu")*IFERROR('Invullen groen'!I17:I74*1,0))</f>
        <v/>
      </c>
      <c r="F12" s="199">
        <f>SUMPRODUCT((LOWER('Invullen groen'!A17:A74)="volksgezondheid en milieu")*IFERROR('Invullen groen'!J17:J74*1,0))</f>
        <v/>
      </c>
      <c r="G12" s="199">
        <f>SUMPRODUCT((LOWER('Invullen groen'!A17:A74)="volksgezondheid en milieu")*IFERROR('Invullen groen'!K17:K74*1,0))</f>
        <v/>
      </c>
    </row>
    <row r="13" ht="18" customHeight="1" s="418">
      <c r="A13" s="196" t="inlineStr">
        <is>
          <t>Volkshuisvesting, RO en Stedelijke Vernieuwing</t>
        </is>
      </c>
      <c r="B13" s="197">
        <f>SUMPRODUCT((LOWER('Invullen groen'!A17:A74)="volkshuisv., ro en stedelijke vernieuwing")*('Invullen groen'!H17:H74&gt;0)*'Invullen groen'!H17:H74)</f>
        <v/>
      </c>
      <c r="C13" s="197">
        <f>SUMPRODUCT((LOWER('Invullen groen'!A17:A74)="volkshuisv., ro en stedelijke vernieuwing")*('Invullen groen'!H17:H74&lt;0)*'Invullen groen'!H17:H74)</f>
        <v/>
      </c>
      <c r="D13" s="197">
        <f>B13+C13</f>
        <v/>
      </c>
      <c r="E13" s="197">
        <f>SUMPRODUCT((LOWER('Invullen groen'!A17:A74)="volkshuisv., ro en stedelijke vernieuwing")*IFERROR('Invullen groen'!I17:I74*1,0))</f>
        <v/>
      </c>
      <c r="F13" s="197">
        <f>SUMPRODUCT((LOWER('Invullen groen'!A17:A74)="volkshuisv., ro en stedelijke vernieuwing")*IFERROR('Invullen groen'!J17:J74*1,0))</f>
        <v/>
      </c>
      <c r="G13" s="197">
        <f>SUMPRODUCT((LOWER('Invullen groen'!A17:A74)="volkshuisv., ro en stedelijke vernieuwing")*IFERROR('Invullen groen'!K17:K74*1,0))</f>
        <v/>
      </c>
    </row>
    <row r="14" ht="18" customHeight="1" s="418">
      <c r="A14" s="425" t="inlineStr">
        <is>
          <t>Totaal begrotingswijziging</t>
        </is>
      </c>
      <c r="B14" s="200">
        <f>SUM(B5:B13)</f>
        <v/>
      </c>
      <c r="C14" s="200">
        <f>SUM(C5:C13)</f>
        <v/>
      </c>
      <c r="D14" s="200">
        <f>SUM(D5:D13)</f>
        <v/>
      </c>
      <c r="E14" s="200">
        <f>SUM(E5:E13)</f>
        <v/>
      </c>
      <c r="F14" s="200">
        <f>SUM(F5:F13)</f>
        <v/>
      </c>
      <c r="G14" s="200">
        <f>SUM(G5:G13)</f>
        <v/>
      </c>
    </row>
    <row r="15" ht="18" customHeight="1" s="418">
      <c r="A15" s="422" t="inlineStr">
        <is>
          <t>Financiële foto</t>
        </is>
      </c>
      <c r="B15" s="435" t="n"/>
      <c r="C15" s="435" t="n"/>
      <c r="D15" s="435" t="n"/>
      <c r="E15" s="435" t="n"/>
      <c r="F15" s="435" t="n"/>
      <c r="G15" s="435" t="n"/>
    </row>
    <row r="16" ht="18" customHeight="1" s="418">
      <c r="A16" s="201" t="inlineStr">
        <is>
          <t>Begin saldo financiële foto (vóór wijziging)</t>
        </is>
      </c>
      <c r="B16" s="430" t="n"/>
      <c r="C16" s="430" t="n"/>
      <c r="D16" s="202" t="n"/>
      <c r="E16" s="202" t="n"/>
      <c r="F16" s="202" t="n"/>
      <c r="G16" s="202" t="n"/>
    </row>
    <row r="17" ht="18" customHeight="1" s="418">
      <c r="A17" s="203" t="inlineStr">
        <is>
          <t>Eind saldo financiële foto (ná wijziging)</t>
        </is>
      </c>
      <c r="B17" s="204">
        <f>B16+B14</f>
        <v/>
      </c>
      <c r="C17" s="204">
        <f>C16+C14</f>
        <v/>
      </c>
      <c r="D17" s="204">
        <f>D16+D14</f>
        <v/>
      </c>
      <c r="E17" s="204">
        <f>E16+E14</f>
        <v/>
      </c>
      <c r="F17" s="204">
        <f>F16+F14</f>
        <v/>
      </c>
      <c r="G17" s="204">
        <f>G16+G14</f>
        <v/>
      </c>
    </row>
    <row r="18" ht="18" customHeight="1" s="418">
      <c r="A18" s="436" t="inlineStr">
        <is>
          <t>Begin saldo: handmatig invullen vanuit de meest recente financiële foto (vóór de wijziging)  |  − = positief saldo</t>
        </is>
      </c>
    </row>
    <row r="19" ht="18" customHeight="1" s="418">
      <c r="A19" s="193" t="n"/>
      <c r="B19" s="193" t="n"/>
      <c r="C19" s="193" t="n"/>
      <c r="D19" s="193" t="n"/>
      <c r="E19" s="193" t="n"/>
      <c r="F19" s="193" t="n"/>
      <c r="G19" s="193" t="n"/>
    </row>
    <row r="20" ht="18" customHeight="1" s="418">
      <c r="A20" s="205" t="inlineStr">
        <is>
          <t>Controle exploitatie (moet 0 zijn)</t>
        </is>
      </c>
      <c r="B20" s="206">
        <f>IFERROR('Invullen groen'!H112,0)</f>
        <v/>
      </c>
      <c r="C20" s="207" t="n"/>
      <c r="D20" s="207" t="n"/>
      <c r="E20" s="207" t="n"/>
      <c r="F20" s="207" t="n"/>
      <c r="G20" s="207" t="n"/>
    </row>
    <row r="21" ht="18" customHeight="1" s="418"/>
    <row r="22" ht="18" customHeight="1" s="418"/>
    <row r="23" ht="18" customHeight="1" s="418"/>
    <row r="24" ht="18" customHeight="1" s="418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A2020"/>
    <outlinePr summaryBelow="1" summaryRight="1"/>
    <pageSetUpPr/>
  </sheetPr>
  <dimension ref="A1:H235"/>
  <sheetViews>
    <sheetView workbookViewId="0">
      <selection activeCell="A1" sqref="A1:H1"/>
    </sheetView>
  </sheetViews>
  <sheetFormatPr baseColWidth="8" defaultRowHeight="14.4"/>
  <cols>
    <col width="5" customWidth="1" style="418" min="1" max="1"/>
    <col width="30" customWidth="1" style="418" min="2" max="3"/>
    <col width="16" customWidth="1" style="418" min="4" max="4"/>
    <col width="5" customWidth="1" style="418" min="5" max="5"/>
    <col width="30" customWidth="1" style="418" min="6" max="7"/>
    <col width="16" customWidth="1" style="418" min="8" max="8"/>
  </cols>
  <sheetData>
    <row r="1" ht="24" customHeight="1" s="418">
      <c r="A1" s="431" t="inlineStr">
        <is>
          <t>Dekkingsoverzicht begrotingswijziging</t>
        </is>
      </c>
    </row>
    <row r="2" ht="18" customHeight="1" s="418">
      <c r="A2" s="437">
        <f>'Invullen groen'!A4</f>
        <v/>
      </c>
      <c r="E2" s="428" t="n"/>
      <c r="F2" s="428" t="n"/>
      <c r="G2" s="428" t="n"/>
      <c r="H2" s="268" t="n"/>
    </row>
    <row r="3" ht="6" customHeight="1" s="418">
      <c r="A3" s="193" t="n"/>
      <c r="B3" s="193" t="n"/>
      <c r="C3" s="193" t="n"/>
      <c r="D3" s="254" t="n"/>
      <c r="E3" s="193" t="n"/>
      <c r="F3" s="193" t="n"/>
      <c r="G3" s="193" t="n"/>
      <c r="H3" s="254" t="n"/>
    </row>
    <row r="4" ht="18" customHeight="1" s="418">
      <c r="A4" s="438" t="inlineStr">
        <is>
          <t>WAARVOOR — Uitgaven / Lasten</t>
        </is>
      </c>
      <c r="F4" s="439" t="inlineStr">
        <is>
          <t>WAARMEE GEDEKT — Baten / Onttrekkingen</t>
        </is>
      </c>
    </row>
    <row r="5" ht="18" customHeight="1" s="418">
      <c r="A5" s="151" t="inlineStr">
        <is>
          <t>Nr.</t>
        </is>
      </c>
      <c r="B5" s="151" t="inlineStr">
        <is>
          <t>Programma</t>
        </is>
      </c>
      <c r="C5" s="151" t="inlineStr">
        <is>
          <t>Omschrijving</t>
        </is>
      </c>
      <c r="D5" s="166" t="inlineStr">
        <is>
          <t>Bedrag 2026</t>
        </is>
      </c>
      <c r="F5" s="152" t="inlineStr">
        <is>
          <t>Programma</t>
        </is>
      </c>
      <c r="G5" s="152" t="inlineStr">
        <is>
          <t>Omschrijving / bron</t>
        </is>
      </c>
      <c r="H5" s="167" t="inlineStr">
        <is>
          <t>Bedrag 2026</t>
        </is>
      </c>
    </row>
    <row r="6" ht="15" customHeight="1" s="418">
      <c r="A6" s="260">
        <f>IFERROR(IF('Invullen groen'!H17&gt;0,1,""),"")</f>
        <v/>
      </c>
      <c r="B6" s="260">
        <f>IFERROR(IF('Invullen groen'!H17&gt;0,'Invullen groen'!A17,""),"")</f>
        <v/>
      </c>
      <c r="C6" s="260">
        <f>IFERROR(IF('Invullen groen'!H17&gt;0,'Invullen groen'!G17,""),"")</f>
        <v/>
      </c>
      <c r="D6" s="261">
        <f>IFERROR(IF('Invullen groen'!H17&gt;0,'Invullen groen'!H17,""),"")</f>
        <v/>
      </c>
      <c r="E6" s="233" t="n"/>
      <c r="F6" s="260">
        <f>IFERROR(IF('Invullen groen'!H78&lt;&gt;0,'Invullen groen'!A78,""),"")</f>
        <v/>
      </c>
      <c r="G6" s="260">
        <f>IFERROR(IF('Invullen groen'!H78&lt;&gt;0,'Invullen groen'!G78,""),"")</f>
        <v/>
      </c>
      <c r="H6" s="261">
        <f>IFERROR(IF('Invullen groen'!H78&lt;&gt;0,'Invullen groen'!H78,""),"")</f>
        <v/>
      </c>
    </row>
    <row r="7" ht="15" customHeight="1" s="418">
      <c r="A7" s="258">
        <f>IFERROR(IF('Invullen groen'!H18&gt;0,2,""),"")</f>
        <v/>
      </c>
      <c r="B7" s="258">
        <f>IFERROR(IF('Invullen groen'!H18&gt;0,'Invullen groen'!A18,""),"")</f>
        <v/>
      </c>
      <c r="C7" s="258">
        <f>IFERROR(IF('Invullen groen'!H18&gt;0,'Invullen groen'!G18,""),"")</f>
        <v/>
      </c>
      <c r="D7" s="259">
        <f>IFERROR(IF('Invullen groen'!H18&gt;0,'Invullen groen'!H18,""),"")</f>
        <v/>
      </c>
      <c r="E7" s="251" t="n"/>
      <c r="F7" s="258">
        <f>IFERROR(IF('Invullen groen'!H79&lt;&gt;0,'Invullen groen'!A79,""),"")</f>
        <v/>
      </c>
      <c r="G7" s="258">
        <f>IFERROR(IF('Invullen groen'!H79&lt;&gt;0,'Invullen groen'!G79,""),"")</f>
        <v/>
      </c>
      <c r="H7" s="259">
        <f>IFERROR(IF('Invullen groen'!H79&lt;&gt;0,'Invullen groen'!H79,""),"")</f>
        <v/>
      </c>
    </row>
    <row r="8" ht="15" customHeight="1" s="418">
      <c r="A8" s="260">
        <f>IFERROR(IF('Invullen groen'!H19&gt;0,3,""),"")</f>
        <v/>
      </c>
      <c r="B8" s="260">
        <f>IFERROR(IF('Invullen groen'!H19&gt;0,'Invullen groen'!A19,""),"")</f>
        <v/>
      </c>
      <c r="C8" s="260">
        <f>IFERROR(IF('Invullen groen'!H19&gt;0,'Invullen groen'!G19,""),"")</f>
        <v/>
      </c>
      <c r="D8" s="261">
        <f>IFERROR(IF('Invullen groen'!H19&gt;0,'Invullen groen'!H19,""),"")</f>
        <v/>
      </c>
      <c r="E8" s="233" t="n"/>
      <c r="F8" s="260">
        <f>IFERROR(IF('Invullen groen'!H80&lt;&gt;0,'Invullen groen'!A80,""),"")</f>
        <v/>
      </c>
      <c r="G8" s="260">
        <f>IFERROR(IF('Invullen groen'!H80&lt;&gt;0,'Invullen groen'!G80,""),"")</f>
        <v/>
      </c>
      <c r="H8" s="261">
        <f>IFERROR(IF('Invullen groen'!H80&lt;&gt;0,'Invullen groen'!H80,""),"")</f>
        <v/>
      </c>
    </row>
    <row r="9" ht="15" customHeight="1" s="418">
      <c r="A9" s="258">
        <f>IFERROR(IF('Invullen groen'!H20&gt;0,4,""),"")</f>
        <v/>
      </c>
      <c r="B9" s="258">
        <f>IFERROR(IF('Invullen groen'!H20&gt;0,'Invullen groen'!A20,""),"")</f>
        <v/>
      </c>
      <c r="C9" s="258">
        <f>IFERROR(IF('Invullen groen'!H20&gt;0,'Invullen groen'!G20,""),"")</f>
        <v/>
      </c>
      <c r="D9" s="259">
        <f>IFERROR(IF('Invullen groen'!H20&gt;0,'Invullen groen'!H20,""),"")</f>
        <v/>
      </c>
      <c r="E9" s="251" t="n"/>
      <c r="F9" s="258">
        <f>IFERROR(IF('Invullen groen'!H81&lt;&gt;0,'Invullen groen'!A81,""),"")</f>
        <v/>
      </c>
      <c r="G9" s="258">
        <f>IFERROR(IF('Invullen groen'!H81&lt;&gt;0,'Invullen groen'!G81,""),"")</f>
        <v/>
      </c>
      <c r="H9" s="259">
        <f>IFERROR(IF('Invullen groen'!H81&lt;&gt;0,'Invullen groen'!H81,""),"")</f>
        <v/>
      </c>
    </row>
    <row r="10" ht="15" customHeight="1" s="418">
      <c r="A10" s="260">
        <f>IFERROR(IF('Invullen groen'!H21&gt;0,5,""),"")</f>
        <v/>
      </c>
      <c r="B10" s="260">
        <f>IFERROR(IF('Invullen groen'!H21&gt;0,'Invullen groen'!A21,""),"")</f>
        <v/>
      </c>
      <c r="C10" s="260">
        <f>IFERROR(IF('Invullen groen'!H21&gt;0,'Invullen groen'!G21,""),"")</f>
        <v/>
      </c>
      <c r="D10" s="261">
        <f>IFERROR(IF('Invullen groen'!H21&gt;0,'Invullen groen'!H21,""),"")</f>
        <v/>
      </c>
      <c r="E10" s="233" t="n"/>
      <c r="F10" s="260">
        <f>IFERROR(IF('Invullen groen'!H82&lt;&gt;0,'Invullen groen'!A82,""),"")</f>
        <v/>
      </c>
      <c r="G10" s="260">
        <f>IFERROR(IF('Invullen groen'!H82&lt;&gt;0,'Invullen groen'!G82,""),"")</f>
        <v/>
      </c>
      <c r="H10" s="261">
        <f>IFERROR(IF('Invullen groen'!H82&lt;&gt;0,'Invullen groen'!H82,""),"")</f>
        <v/>
      </c>
    </row>
    <row r="11" ht="15" customHeight="1" s="418">
      <c r="A11" s="258">
        <f>IFERROR(IF('Invullen groen'!H22&gt;0,6,""),"")</f>
        <v/>
      </c>
      <c r="B11" s="258">
        <f>IFERROR(IF('Invullen groen'!H22&gt;0,'Invullen groen'!A22,""),"")</f>
        <v/>
      </c>
      <c r="C11" s="258">
        <f>IFERROR(IF('Invullen groen'!H22&gt;0,'Invullen groen'!G22,""),"")</f>
        <v/>
      </c>
      <c r="D11" s="259">
        <f>IFERROR(IF('Invullen groen'!H22&gt;0,'Invullen groen'!H22,""),"")</f>
        <v/>
      </c>
      <c r="E11" s="251" t="n"/>
      <c r="F11" s="258">
        <f>IFERROR(IF('Invullen groen'!H83&lt;&gt;0,'Invullen groen'!A83,""),"")</f>
        <v/>
      </c>
      <c r="G11" s="258">
        <f>IFERROR(IF('Invullen groen'!H83&lt;&gt;0,'Invullen groen'!G83,""),"")</f>
        <v/>
      </c>
      <c r="H11" s="259">
        <f>IFERROR(IF('Invullen groen'!H83&lt;&gt;0,'Invullen groen'!H83,""),"")</f>
        <v/>
      </c>
    </row>
    <row r="12" ht="15" customHeight="1" s="418">
      <c r="A12" s="260">
        <f>IFERROR(IF('Invullen groen'!H23&gt;0,7,""),"")</f>
        <v/>
      </c>
      <c r="B12" s="260">
        <f>IFERROR(IF('Invullen groen'!H23&gt;0,'Invullen groen'!A23,""),"")</f>
        <v/>
      </c>
      <c r="C12" s="260">
        <f>IFERROR(IF('Invullen groen'!H23&gt;0,'Invullen groen'!G23,""),"")</f>
        <v/>
      </c>
      <c r="D12" s="261">
        <f>IFERROR(IF('Invullen groen'!H23&gt;0,'Invullen groen'!H23,""),"")</f>
        <v/>
      </c>
      <c r="E12" s="233" t="n"/>
      <c r="F12" s="260">
        <f>IFERROR(IF('Invullen groen'!H84&lt;&gt;0,'Invullen groen'!A84,""),"")</f>
        <v/>
      </c>
      <c r="G12" s="260">
        <f>IFERROR(IF('Invullen groen'!H84&lt;&gt;0,'Invullen groen'!G84,""),"")</f>
        <v/>
      </c>
      <c r="H12" s="261">
        <f>IFERROR(IF('Invullen groen'!H84&lt;&gt;0,'Invullen groen'!H84,""),"")</f>
        <v/>
      </c>
    </row>
    <row r="13" ht="15" customHeight="1" s="418">
      <c r="A13" s="258">
        <f>IFERROR(IF('Invullen groen'!H24&gt;0,8,""),"")</f>
        <v/>
      </c>
      <c r="B13" s="258">
        <f>IFERROR(IF('Invullen groen'!H24&gt;0,'Invullen groen'!A24,""),"")</f>
        <v/>
      </c>
      <c r="C13" s="258">
        <f>IFERROR(IF('Invullen groen'!H24&gt;0,'Invullen groen'!G24,""),"")</f>
        <v/>
      </c>
      <c r="D13" s="259">
        <f>IFERROR(IF('Invullen groen'!H24&gt;0,'Invullen groen'!H24,""),"")</f>
        <v/>
      </c>
      <c r="E13" s="251" t="n"/>
      <c r="F13" s="258">
        <f>IFERROR(IF('Invullen groen'!H85&lt;&gt;0,'Invullen groen'!A85,""),"")</f>
        <v/>
      </c>
      <c r="G13" s="258">
        <f>IFERROR(IF('Invullen groen'!H85&lt;&gt;0,'Invullen groen'!G85,""),"")</f>
        <v/>
      </c>
      <c r="H13" s="259">
        <f>IFERROR(IF('Invullen groen'!H85&lt;&gt;0,'Invullen groen'!H85,""),"")</f>
        <v/>
      </c>
    </row>
    <row r="14" ht="15" customHeight="1" s="418">
      <c r="A14" s="260">
        <f>IFERROR(IF('Invullen groen'!H25&gt;0,9,""),"")</f>
        <v/>
      </c>
      <c r="B14" s="260">
        <f>IFERROR(IF('Invullen groen'!H25&gt;0,'Invullen groen'!A25,""),"")</f>
        <v/>
      </c>
      <c r="C14" s="260">
        <f>IFERROR(IF('Invullen groen'!H25&gt;0,'Invullen groen'!G25,""),"")</f>
        <v/>
      </c>
      <c r="D14" s="261">
        <f>IFERROR(IF('Invullen groen'!H25&gt;0,'Invullen groen'!H25,""),"")</f>
        <v/>
      </c>
      <c r="E14" s="233" t="n"/>
      <c r="F14" s="260">
        <f>IFERROR(IF('Invullen groen'!H86&lt;&gt;0,'Invullen groen'!A86,""),"")</f>
        <v/>
      </c>
      <c r="G14" s="260">
        <f>IFERROR(IF('Invullen groen'!H86&lt;&gt;0,'Invullen groen'!G86,""),"")</f>
        <v/>
      </c>
      <c r="H14" s="261">
        <f>IFERROR(IF('Invullen groen'!H86&lt;&gt;0,'Invullen groen'!H86,""),"")</f>
        <v/>
      </c>
    </row>
    <row r="15" ht="15" customHeight="1" s="418">
      <c r="A15" s="258">
        <f>IFERROR(IF('Invullen groen'!H26&gt;0,10,""),"")</f>
        <v/>
      </c>
      <c r="B15" s="258">
        <f>IFERROR(IF('Invullen groen'!H26&gt;0,'Invullen groen'!A26,""),"")</f>
        <v/>
      </c>
      <c r="C15" s="258">
        <f>IFERROR(IF('Invullen groen'!H26&gt;0,'Invullen groen'!G26,""),"")</f>
        <v/>
      </c>
      <c r="D15" s="259">
        <f>IFERROR(IF('Invullen groen'!H26&gt;0,'Invullen groen'!H26,""),"")</f>
        <v/>
      </c>
      <c r="E15" s="251" t="n"/>
      <c r="F15" s="258">
        <f>IFERROR(IF('Invullen groen'!H87&lt;&gt;0,'Invullen groen'!A87,""),"")</f>
        <v/>
      </c>
      <c r="G15" s="258">
        <f>IFERROR(IF('Invullen groen'!H87&lt;&gt;0,'Invullen groen'!G87,""),"")</f>
        <v/>
      </c>
      <c r="H15" s="259">
        <f>IFERROR(IF('Invullen groen'!H87&lt;&gt;0,'Invullen groen'!H87,""),"")</f>
        <v/>
      </c>
    </row>
    <row r="16" ht="15" customHeight="1" s="418">
      <c r="A16" s="260">
        <f>IFERROR(IF('Invullen groen'!H27&gt;0,11,""),"")</f>
        <v/>
      </c>
      <c r="B16" s="260">
        <f>IFERROR(IF('Invullen groen'!H27&gt;0,'Invullen groen'!A27,""),"")</f>
        <v/>
      </c>
      <c r="C16" s="260">
        <f>IFERROR(IF('Invullen groen'!H27&gt;0,'Invullen groen'!G27,""),"")</f>
        <v/>
      </c>
      <c r="D16" s="261">
        <f>IFERROR(IF('Invullen groen'!H27&gt;0,'Invullen groen'!H27,""),"")</f>
        <v/>
      </c>
      <c r="E16" s="233" t="n"/>
      <c r="F16" s="260">
        <f>IFERROR(IF('Invullen groen'!H88&lt;&gt;0,'Invullen groen'!A88,""),"")</f>
        <v/>
      </c>
      <c r="G16" s="260">
        <f>IFERROR(IF('Invullen groen'!H88&lt;&gt;0,'Invullen groen'!G88,""),"")</f>
        <v/>
      </c>
      <c r="H16" s="261">
        <f>IFERROR(IF('Invullen groen'!H88&lt;&gt;0,'Invullen groen'!H88,""),"")</f>
        <v/>
      </c>
    </row>
    <row r="17" ht="15" customHeight="1" s="418">
      <c r="A17" s="258">
        <f>IFERROR(IF('Invullen groen'!H28&gt;0,12,""),"")</f>
        <v/>
      </c>
      <c r="B17" s="258">
        <f>IFERROR(IF('Invullen groen'!H28&gt;0,'Invullen groen'!A28,""),"")</f>
        <v/>
      </c>
      <c r="C17" s="258">
        <f>IFERROR(IF('Invullen groen'!H28&gt;0,'Invullen groen'!G28,""),"")</f>
        <v/>
      </c>
      <c r="D17" s="259">
        <f>IFERROR(IF('Invullen groen'!H28&gt;0,'Invullen groen'!H28,""),"")</f>
        <v/>
      </c>
      <c r="E17" s="251" t="n"/>
      <c r="F17" s="258">
        <f>IFERROR(IF('Invullen groen'!H89&lt;&gt;0,'Invullen groen'!A89,""),"")</f>
        <v/>
      </c>
      <c r="G17" s="258">
        <f>IFERROR(IF('Invullen groen'!H89&lt;&gt;0,'Invullen groen'!G89,""),"")</f>
        <v/>
      </c>
      <c r="H17" s="259">
        <f>IFERROR(IF('Invullen groen'!H89&lt;&gt;0,'Invullen groen'!H89,""),"")</f>
        <v/>
      </c>
    </row>
    <row r="18" ht="15" customHeight="1" s="418">
      <c r="A18" s="260">
        <f>IFERROR(IF('Invullen groen'!H29&gt;0,13,""),"")</f>
        <v/>
      </c>
      <c r="B18" s="260">
        <f>IFERROR(IF('Invullen groen'!H29&gt;0,'Invullen groen'!A29,""),"")</f>
        <v/>
      </c>
      <c r="C18" s="260">
        <f>IFERROR(IF('Invullen groen'!H29&gt;0,'Invullen groen'!G29,""),"")</f>
        <v/>
      </c>
      <c r="D18" s="261">
        <f>IFERROR(IF('Invullen groen'!H29&gt;0,'Invullen groen'!H29,""),"")</f>
        <v/>
      </c>
      <c r="E18" s="233" t="n"/>
      <c r="F18" s="260">
        <f>IFERROR(IF('Invullen groen'!H90&lt;&gt;0,'Invullen groen'!A90,""),"")</f>
        <v/>
      </c>
      <c r="G18" s="260">
        <f>IFERROR(IF('Invullen groen'!H90&lt;&gt;0,'Invullen groen'!G90,""),"")</f>
        <v/>
      </c>
      <c r="H18" s="261">
        <f>IFERROR(IF('Invullen groen'!H90&lt;&gt;0,'Invullen groen'!H90,""),"")</f>
        <v/>
      </c>
    </row>
    <row r="19" ht="15" customHeight="1" s="418">
      <c r="A19" s="258">
        <f>IFERROR(IF('Invullen groen'!H30&gt;0,14,""),"")</f>
        <v/>
      </c>
      <c r="B19" s="258">
        <f>IFERROR(IF('Invullen groen'!H30&gt;0,'Invullen groen'!A30,""),"")</f>
        <v/>
      </c>
      <c r="C19" s="258">
        <f>IFERROR(IF('Invullen groen'!H30&gt;0,'Invullen groen'!G30,""),"")</f>
        <v/>
      </c>
      <c r="D19" s="259">
        <f>IFERROR(IF('Invullen groen'!H30&gt;0,'Invullen groen'!H30,""),"")</f>
        <v/>
      </c>
      <c r="E19" s="251" t="n"/>
      <c r="F19" s="258">
        <f>IFERROR(IF('Invullen groen'!H91&lt;&gt;0,'Invullen groen'!A91,""),"")</f>
        <v/>
      </c>
      <c r="G19" s="258">
        <f>IFERROR(IF('Invullen groen'!H91&lt;&gt;0,'Invullen groen'!G91,""),"")</f>
        <v/>
      </c>
      <c r="H19" s="259">
        <f>IFERROR(IF('Invullen groen'!H91&lt;&gt;0,'Invullen groen'!H91,""),"")</f>
        <v/>
      </c>
    </row>
    <row r="20" ht="15" customHeight="1" s="418">
      <c r="A20" s="260">
        <f>IFERROR(IF('Invullen groen'!H31&gt;0,15,""),"")</f>
        <v/>
      </c>
      <c r="B20" s="260">
        <f>IFERROR(IF('Invullen groen'!H31&gt;0,'Invullen groen'!A31,""),"")</f>
        <v/>
      </c>
      <c r="C20" s="260">
        <f>IFERROR(IF('Invullen groen'!H31&gt;0,'Invullen groen'!G31,""),"")</f>
        <v/>
      </c>
      <c r="D20" s="261">
        <f>IFERROR(IF('Invullen groen'!H31&gt;0,'Invullen groen'!H31,""),"")</f>
        <v/>
      </c>
      <c r="E20" s="233" t="n"/>
      <c r="F20" s="260">
        <f>IFERROR(IF('Invullen groen'!H92&lt;&gt;0,'Invullen groen'!A92,""),"")</f>
        <v/>
      </c>
      <c r="G20" s="260">
        <f>IFERROR(IF('Invullen groen'!H92&lt;&gt;0,'Invullen groen'!G92,""),"")</f>
        <v/>
      </c>
      <c r="H20" s="261">
        <f>IFERROR(IF('Invullen groen'!H92&lt;&gt;0,'Invullen groen'!H92,""),"")</f>
        <v/>
      </c>
    </row>
    <row r="21" ht="15" customHeight="1" s="418">
      <c r="A21" s="258">
        <f>IFERROR(IF('Invullen groen'!H32&gt;0,16,""),"")</f>
        <v/>
      </c>
      <c r="B21" s="258">
        <f>IFERROR(IF('Invullen groen'!H32&gt;0,'Invullen groen'!A32,""),"")</f>
        <v/>
      </c>
      <c r="C21" s="258">
        <f>IFERROR(IF('Invullen groen'!H32&gt;0,'Invullen groen'!G32,""),"")</f>
        <v/>
      </c>
      <c r="D21" s="259">
        <f>IFERROR(IF('Invullen groen'!H32&gt;0,'Invullen groen'!H32,""),"")</f>
        <v/>
      </c>
      <c r="E21" s="251" t="n"/>
      <c r="F21" s="258">
        <f>IFERROR(IF('Invullen groen'!H93&lt;&gt;0,'Invullen groen'!A93,""),"")</f>
        <v/>
      </c>
      <c r="G21" s="258">
        <f>IFERROR(IF('Invullen groen'!H93&lt;&gt;0,'Invullen groen'!G93,""),"")</f>
        <v/>
      </c>
      <c r="H21" s="259">
        <f>IFERROR(IF('Invullen groen'!H93&lt;&gt;0,'Invullen groen'!H93,""),"")</f>
        <v/>
      </c>
    </row>
    <row r="22" ht="15" customHeight="1" s="418">
      <c r="A22" s="260">
        <f>IFERROR(IF('Invullen groen'!H33&gt;0,17,""),"")</f>
        <v/>
      </c>
      <c r="B22" s="260">
        <f>IFERROR(IF('Invullen groen'!H33&gt;0,'Invullen groen'!A33,""),"")</f>
        <v/>
      </c>
      <c r="C22" s="260">
        <f>IFERROR(IF('Invullen groen'!H33&gt;0,'Invullen groen'!G33,""),"")</f>
        <v/>
      </c>
      <c r="D22" s="261">
        <f>IFERROR(IF('Invullen groen'!H33&gt;0,'Invullen groen'!H33,""),"")</f>
        <v/>
      </c>
      <c r="E22" s="233" t="n"/>
      <c r="F22" s="260">
        <f>IFERROR(IF('Invullen groen'!H94&lt;&gt;0,'Invullen groen'!A94,""),"")</f>
        <v/>
      </c>
      <c r="G22" s="260">
        <f>IFERROR(IF('Invullen groen'!H94&lt;&gt;0,'Invullen groen'!G94,""),"")</f>
        <v/>
      </c>
      <c r="H22" s="261">
        <f>IFERROR(IF('Invullen groen'!H94&lt;&gt;0,'Invullen groen'!H94,""),"")</f>
        <v/>
      </c>
    </row>
    <row r="23" ht="15" customHeight="1" s="418">
      <c r="A23" s="258">
        <f>IFERROR(IF('Invullen groen'!H34&gt;0,18,""),"")</f>
        <v/>
      </c>
      <c r="B23" s="258">
        <f>IFERROR(IF('Invullen groen'!H34&gt;0,'Invullen groen'!A34,""),"")</f>
        <v/>
      </c>
      <c r="C23" s="258">
        <f>IFERROR(IF('Invullen groen'!H34&gt;0,'Invullen groen'!G34,""),"")</f>
        <v/>
      </c>
      <c r="D23" s="259">
        <f>IFERROR(IF('Invullen groen'!H34&gt;0,'Invullen groen'!H34,""),"")</f>
        <v/>
      </c>
      <c r="E23" s="251" t="n"/>
      <c r="F23" s="258">
        <f>IFERROR(IF('Invullen groen'!H95&lt;&gt;0,'Invullen groen'!A95,""),"")</f>
        <v/>
      </c>
      <c r="G23" s="258">
        <f>IFERROR(IF('Invullen groen'!H95&lt;&gt;0,'Invullen groen'!G95,""),"")</f>
        <v/>
      </c>
      <c r="H23" s="259">
        <f>IFERROR(IF('Invullen groen'!H95&lt;&gt;0,'Invullen groen'!H95,""),"")</f>
        <v/>
      </c>
    </row>
    <row r="24" ht="15" customHeight="1" s="418">
      <c r="A24" s="260">
        <f>IFERROR(IF('Invullen groen'!H35&gt;0,19,""),"")</f>
        <v/>
      </c>
      <c r="B24" s="260">
        <f>IFERROR(IF('Invullen groen'!H35&gt;0,'Invullen groen'!A35,""),"")</f>
        <v/>
      </c>
      <c r="C24" s="260">
        <f>IFERROR(IF('Invullen groen'!H35&gt;0,'Invullen groen'!G35,""),"")</f>
        <v/>
      </c>
      <c r="D24" s="261">
        <f>IFERROR(IF('Invullen groen'!H35&gt;0,'Invullen groen'!H35,""),"")</f>
        <v/>
      </c>
      <c r="E24" s="233" t="n"/>
      <c r="F24" s="260">
        <f>IFERROR(IF('Invullen groen'!H96&lt;&gt;0,'Invullen groen'!A96,""),"")</f>
        <v/>
      </c>
      <c r="G24" s="260">
        <f>IFERROR(IF('Invullen groen'!H96&lt;&gt;0,'Invullen groen'!G96,""),"")</f>
        <v/>
      </c>
      <c r="H24" s="261">
        <f>IFERROR(IF('Invullen groen'!H96&lt;&gt;0,'Invullen groen'!H96,""),"")</f>
        <v/>
      </c>
    </row>
    <row r="25" ht="15" customHeight="1" s="418">
      <c r="A25" s="258">
        <f>IFERROR(IF('Invullen groen'!H36&gt;0,20,""),"")</f>
        <v/>
      </c>
      <c r="B25" s="258">
        <f>IFERROR(IF('Invullen groen'!H36&gt;0,'Invullen groen'!A36,""),"")</f>
        <v/>
      </c>
      <c r="C25" s="258">
        <f>IFERROR(IF('Invullen groen'!H36&gt;0,'Invullen groen'!G36,""),"")</f>
        <v/>
      </c>
      <c r="D25" s="259">
        <f>IFERROR(IF('Invullen groen'!H36&gt;0,'Invullen groen'!H36,""),"")</f>
        <v/>
      </c>
      <c r="E25" s="251" t="n"/>
      <c r="F25" s="258">
        <f>IFERROR(IF('Invullen groen'!H97&lt;&gt;0,'Invullen groen'!A97,""),"")</f>
        <v/>
      </c>
      <c r="G25" s="258">
        <f>IFERROR(IF('Invullen groen'!H97&lt;&gt;0,'Invullen groen'!G97,""),"")</f>
        <v/>
      </c>
      <c r="H25" s="259">
        <f>IFERROR(IF('Invullen groen'!H97&lt;&gt;0,'Invullen groen'!H97,""),"")</f>
        <v/>
      </c>
    </row>
    <row r="26" ht="15" customHeight="1" s="418">
      <c r="A26" s="260">
        <f>IFERROR(IF('Invullen groen'!H37&gt;0,21,""),"")</f>
        <v/>
      </c>
      <c r="B26" s="260">
        <f>IFERROR(IF('Invullen groen'!H37&gt;0,'Invullen groen'!A37,""),"")</f>
        <v/>
      </c>
      <c r="C26" s="260">
        <f>IFERROR(IF('Invullen groen'!H37&gt;0,'Invullen groen'!G37,""),"")</f>
        <v/>
      </c>
      <c r="D26" s="261">
        <f>IFERROR(IF('Invullen groen'!H37&gt;0,'Invullen groen'!H37,""),"")</f>
        <v/>
      </c>
      <c r="E26" s="233" t="n"/>
      <c r="F26" s="260">
        <f>IFERROR(IF('Invullen groen'!H98&lt;&gt;0,'Invullen groen'!A98,""),"")</f>
        <v/>
      </c>
      <c r="G26" s="260">
        <f>IFERROR(IF('Invullen groen'!H98&lt;&gt;0,'Invullen groen'!G98,""),"")</f>
        <v/>
      </c>
      <c r="H26" s="261">
        <f>IFERROR(IF('Invullen groen'!H98&lt;&gt;0,'Invullen groen'!H98,""),"")</f>
        <v/>
      </c>
    </row>
    <row r="27" ht="15" customHeight="1" s="418">
      <c r="A27" s="258">
        <f>IFERROR(IF('Invullen groen'!H38&gt;0,22,""),"")</f>
        <v/>
      </c>
      <c r="B27" s="258">
        <f>IFERROR(IF('Invullen groen'!H38&gt;0,'Invullen groen'!A38,""),"")</f>
        <v/>
      </c>
      <c r="C27" s="258">
        <f>IFERROR(IF('Invullen groen'!H38&gt;0,'Invullen groen'!G38,""),"")</f>
        <v/>
      </c>
      <c r="D27" s="259">
        <f>IFERROR(IF('Invullen groen'!H38&gt;0,'Invullen groen'!H38,""),"")</f>
        <v/>
      </c>
      <c r="E27" s="251" t="n"/>
      <c r="F27" s="258">
        <f>IFERROR(IF('Invullen groen'!H99&lt;&gt;0,'Invullen groen'!A99,""),"")</f>
        <v/>
      </c>
      <c r="G27" s="258">
        <f>IFERROR(IF('Invullen groen'!H99&lt;&gt;0,'Invullen groen'!G99,""),"")</f>
        <v/>
      </c>
      <c r="H27" s="259">
        <f>IFERROR(IF('Invullen groen'!H99&lt;&gt;0,'Invullen groen'!H99,""),"")</f>
        <v/>
      </c>
    </row>
    <row r="28" ht="15" customHeight="1" s="418">
      <c r="A28" s="260">
        <f>IFERROR(IF('Invullen groen'!H39&gt;0,23,""),"")</f>
        <v/>
      </c>
      <c r="B28" s="260">
        <f>IFERROR(IF('Invullen groen'!H39&gt;0,'Invullen groen'!A39,""),"")</f>
        <v/>
      </c>
      <c r="C28" s="260">
        <f>IFERROR(IF('Invullen groen'!H39&gt;0,'Invullen groen'!G39,""),"")</f>
        <v/>
      </c>
      <c r="D28" s="261">
        <f>IFERROR(IF('Invullen groen'!H39&gt;0,'Invullen groen'!H39,""),"")</f>
        <v/>
      </c>
      <c r="E28" s="233" t="n"/>
      <c r="F28" s="260">
        <f>IFERROR(IF('Invullen groen'!H100&lt;&gt;0,'Invullen groen'!A100,""),"")</f>
        <v/>
      </c>
      <c r="G28" s="260">
        <f>IFERROR(IF('Invullen groen'!H100&lt;&gt;0,'Invullen groen'!G100,""),"")</f>
        <v/>
      </c>
      <c r="H28" s="261">
        <f>IFERROR(IF('Invullen groen'!H100&lt;&gt;0,'Invullen groen'!H100,""),"")</f>
        <v/>
      </c>
    </row>
    <row r="29" ht="15" customHeight="1" s="418">
      <c r="A29" s="258">
        <f>IFERROR(IF('Invullen groen'!H40&gt;0,24,""),"")</f>
        <v/>
      </c>
      <c r="B29" s="258">
        <f>IFERROR(IF('Invullen groen'!H40&gt;0,'Invullen groen'!A40,""),"")</f>
        <v/>
      </c>
      <c r="C29" s="258">
        <f>IFERROR(IF('Invullen groen'!H40&gt;0,'Invullen groen'!G40,""),"")</f>
        <v/>
      </c>
      <c r="D29" s="259">
        <f>IFERROR(IF('Invullen groen'!H40&gt;0,'Invullen groen'!H40,""),"")</f>
        <v/>
      </c>
      <c r="E29" s="251" t="n"/>
      <c r="F29" s="258">
        <f>IFERROR(IF('Invullen groen'!H101&lt;&gt;0,'Invullen groen'!A101,""),"")</f>
        <v/>
      </c>
      <c r="G29" s="258">
        <f>IFERROR(IF('Invullen groen'!H101&lt;&gt;0,'Invullen groen'!G101,""),"")</f>
        <v/>
      </c>
      <c r="H29" s="259">
        <f>IFERROR(IF('Invullen groen'!H101&lt;&gt;0,'Invullen groen'!H101,""),"")</f>
        <v/>
      </c>
    </row>
    <row r="30" ht="15" customHeight="1" s="418">
      <c r="A30" s="260">
        <f>IFERROR(IF('Invullen groen'!H41&gt;0,25,""),"")</f>
        <v/>
      </c>
      <c r="B30" s="260">
        <f>IFERROR(IF('Invullen groen'!H41&gt;0,'Invullen groen'!A41,""),"")</f>
        <v/>
      </c>
      <c r="C30" s="260">
        <f>IFERROR(IF('Invullen groen'!H41&gt;0,'Invullen groen'!G41,""),"")</f>
        <v/>
      </c>
      <c r="D30" s="261">
        <f>IFERROR(IF('Invullen groen'!H41&gt;0,'Invullen groen'!H41,""),"")</f>
        <v/>
      </c>
      <c r="E30" s="233" t="n"/>
      <c r="F30" s="260">
        <f>IFERROR(IF('Invullen groen'!H102&lt;&gt;0,'Invullen groen'!A102,""),"")</f>
        <v/>
      </c>
      <c r="G30" s="260">
        <f>IFERROR(IF('Invullen groen'!H102&lt;&gt;0,'Invullen groen'!G102,""),"")</f>
        <v/>
      </c>
      <c r="H30" s="261">
        <f>IFERROR(IF('Invullen groen'!H102&lt;&gt;0,'Invullen groen'!H102,""),"")</f>
        <v/>
      </c>
    </row>
    <row r="31" ht="15" customHeight="1" s="418">
      <c r="A31" s="258">
        <f>IFERROR(IF('Invullen groen'!H42&gt;0,26,""),"")</f>
        <v/>
      </c>
      <c r="B31" s="258">
        <f>IFERROR(IF('Invullen groen'!H42&gt;0,'Invullen groen'!A42,""),"")</f>
        <v/>
      </c>
      <c r="C31" s="258">
        <f>IFERROR(IF('Invullen groen'!H42&gt;0,'Invullen groen'!G42,""),"")</f>
        <v/>
      </c>
      <c r="D31" s="259">
        <f>IFERROR(IF('Invullen groen'!H42&gt;0,'Invullen groen'!H42,""),"")</f>
        <v/>
      </c>
      <c r="E31" s="251" t="n"/>
      <c r="F31" s="258">
        <f>IFERROR(IF('Invullen groen'!H103&lt;&gt;0,'Invullen groen'!A103,""),"")</f>
        <v/>
      </c>
      <c r="G31" s="258">
        <f>IFERROR(IF('Invullen groen'!H103&lt;&gt;0,'Invullen groen'!G103,""),"")</f>
        <v/>
      </c>
      <c r="H31" s="259">
        <f>IFERROR(IF('Invullen groen'!H103&lt;&gt;0,'Invullen groen'!H103,""),"")</f>
        <v/>
      </c>
    </row>
    <row r="32" ht="15" customHeight="1" s="418">
      <c r="A32" s="260">
        <f>IFERROR(IF('Invullen groen'!H43&gt;0,27,""),"")</f>
        <v/>
      </c>
      <c r="B32" s="260">
        <f>IFERROR(IF('Invullen groen'!H43&gt;0,'Invullen groen'!A43,""),"")</f>
        <v/>
      </c>
      <c r="C32" s="260">
        <f>IFERROR(IF('Invullen groen'!H43&gt;0,'Invullen groen'!G43,""),"")</f>
        <v/>
      </c>
      <c r="D32" s="261">
        <f>IFERROR(IF('Invullen groen'!H43&gt;0,'Invullen groen'!H43,""),"")</f>
        <v/>
      </c>
      <c r="E32" s="233" t="n"/>
      <c r="F32" s="260">
        <f>IFERROR(IF('Invullen groen'!H104&lt;&gt;0,'Invullen groen'!A104,""),"")</f>
        <v/>
      </c>
      <c r="G32" s="260">
        <f>IFERROR(IF('Invullen groen'!H104&lt;&gt;0,'Invullen groen'!G104,""),"")</f>
        <v/>
      </c>
      <c r="H32" s="261">
        <f>IFERROR(IF('Invullen groen'!H104&lt;&gt;0,'Invullen groen'!H104,""),"")</f>
        <v/>
      </c>
    </row>
    <row r="33" ht="15" customHeight="1" s="418">
      <c r="A33" s="258">
        <f>IFERROR(IF('Invullen groen'!H44&gt;0,28,""),"")</f>
        <v/>
      </c>
      <c r="B33" s="258">
        <f>IFERROR(IF('Invullen groen'!H44&gt;0,'Invullen groen'!A44,""),"")</f>
        <v/>
      </c>
      <c r="C33" s="258">
        <f>IFERROR(IF('Invullen groen'!H44&gt;0,'Invullen groen'!G44,""),"")</f>
        <v/>
      </c>
      <c r="D33" s="259">
        <f>IFERROR(IF('Invullen groen'!H44&gt;0,'Invullen groen'!H44,""),"")</f>
        <v/>
      </c>
      <c r="E33" s="251" t="n"/>
      <c r="F33" s="258">
        <f>IFERROR(IF('Invullen groen'!H105&lt;&gt;0,'Invullen groen'!A105,""),"")</f>
        <v/>
      </c>
      <c r="G33" s="258">
        <f>IFERROR(IF('Invullen groen'!H105&lt;&gt;0,'Invullen groen'!G105,""),"")</f>
        <v/>
      </c>
      <c r="H33" s="259">
        <f>IFERROR(IF('Invullen groen'!H105&lt;&gt;0,'Invullen groen'!H105,""),"")</f>
        <v/>
      </c>
    </row>
    <row r="34" ht="15" customHeight="1" s="418">
      <c r="A34" s="260">
        <f>IFERROR(IF('Invullen groen'!H45&gt;0,29,""),"")</f>
        <v/>
      </c>
      <c r="B34" s="260">
        <f>IFERROR(IF('Invullen groen'!H45&gt;0,'Invullen groen'!A45,""),"")</f>
        <v/>
      </c>
      <c r="C34" s="260">
        <f>IFERROR(IF('Invullen groen'!H45&gt;0,'Invullen groen'!G45,""),"")</f>
        <v/>
      </c>
      <c r="D34" s="261">
        <f>IFERROR(IF('Invullen groen'!H45&gt;0,'Invullen groen'!H45,""),"")</f>
        <v/>
      </c>
      <c r="E34" s="233" t="n"/>
      <c r="F34" s="260">
        <f>IFERROR(IF('Invullen groen'!H106&lt;&gt;0,'Invullen groen'!A106,""),"")</f>
        <v/>
      </c>
      <c r="G34" s="260">
        <f>IFERROR(IF('Invullen groen'!H106&lt;&gt;0,'Invullen groen'!G106,""),"")</f>
        <v/>
      </c>
      <c r="H34" s="261">
        <f>IFERROR(IF('Invullen groen'!H106&lt;&gt;0,'Invullen groen'!H106,""),"")</f>
        <v/>
      </c>
    </row>
    <row r="35" ht="15" customHeight="1" s="418">
      <c r="A35" s="258">
        <f>IFERROR(IF('Invullen groen'!H46&gt;0,30,""),"")</f>
        <v/>
      </c>
      <c r="B35" s="258">
        <f>IFERROR(IF('Invullen groen'!H46&gt;0,'Invullen groen'!A46,""),"")</f>
        <v/>
      </c>
      <c r="C35" s="258">
        <f>IFERROR(IF('Invullen groen'!H46&gt;0,'Invullen groen'!G46,""),"")</f>
        <v/>
      </c>
      <c r="D35" s="259">
        <f>IFERROR(IF('Invullen groen'!H46&gt;0,'Invullen groen'!H46,""),"")</f>
        <v/>
      </c>
      <c r="E35" s="251" t="n"/>
      <c r="F35" s="258">
        <f>IFERROR(IF('Invullen groen'!H107&lt;&gt;0,'Invullen groen'!A107,""),"")</f>
        <v/>
      </c>
      <c r="G35" s="258">
        <f>IFERROR(IF('Invullen groen'!H107&lt;&gt;0,'Invullen groen'!G107,""),"")</f>
        <v/>
      </c>
      <c r="H35" s="259">
        <f>IFERROR(IF('Invullen groen'!H107&lt;&gt;0,'Invullen groen'!H107,""),"")</f>
        <v/>
      </c>
    </row>
    <row r="36" ht="15" customHeight="1" s="418">
      <c r="A36" s="260">
        <f>IFERROR(IF('Invullen groen'!H47&gt;0,31,""),"")</f>
        <v/>
      </c>
      <c r="B36" s="260">
        <f>IFERROR(IF('Invullen groen'!H47&gt;0,'Invullen groen'!A47,""),"")</f>
        <v/>
      </c>
      <c r="C36" s="260">
        <f>IFERROR(IF('Invullen groen'!H47&gt;0,'Invullen groen'!G47,""),"")</f>
        <v/>
      </c>
      <c r="D36" s="261">
        <f>IFERROR(IF('Invullen groen'!H47&gt;0,'Invullen groen'!H47,""),"")</f>
        <v/>
      </c>
      <c r="E36" s="233" t="n"/>
      <c r="F36" s="260">
        <f>IFERROR(IF('Invullen groen'!H108&lt;&gt;0,'Invullen groen'!A108,""),"")</f>
        <v/>
      </c>
      <c r="G36" s="260">
        <f>IFERROR(IF('Invullen groen'!H108&lt;&gt;0,'Invullen groen'!G108,""),"")</f>
        <v/>
      </c>
      <c r="H36" s="261">
        <f>IFERROR(IF('Invullen groen'!H108&lt;&gt;0,'Invullen groen'!H108,""),"")</f>
        <v/>
      </c>
    </row>
    <row r="37" ht="15" customHeight="1" s="418">
      <c r="A37" s="258">
        <f>IFERROR(IF('Invullen groen'!H48&gt;0,32,""),"")</f>
        <v/>
      </c>
      <c r="B37" s="258">
        <f>IFERROR(IF('Invullen groen'!H48&gt;0,'Invullen groen'!A48,""),"")</f>
        <v/>
      </c>
      <c r="C37" s="258">
        <f>IFERROR(IF('Invullen groen'!H48&gt;0,'Invullen groen'!G48,""),"")</f>
        <v/>
      </c>
      <c r="D37" s="259">
        <f>IFERROR(IF('Invullen groen'!H48&gt;0,'Invullen groen'!H48,""),"")</f>
        <v/>
      </c>
      <c r="E37" s="251" t="n"/>
      <c r="F37" s="258">
        <f>IFERROR(IF('Invullen groen'!H109&lt;&gt;0,'Invullen groen'!A109,""),"")</f>
        <v/>
      </c>
      <c r="G37" s="258">
        <f>IFERROR(IF('Invullen groen'!H109&lt;&gt;0,'Invullen groen'!G109,""),"")</f>
        <v/>
      </c>
      <c r="H37" s="259">
        <f>IFERROR(IF('Invullen groen'!H109&lt;&gt;0,'Invullen groen'!H109,""),"")</f>
        <v/>
      </c>
    </row>
    <row r="38" ht="15" customHeight="1" s="418">
      <c r="A38" s="260">
        <f>IFERROR(IF('Invullen groen'!H49&gt;0,33,""),"")</f>
        <v/>
      </c>
      <c r="B38" s="260">
        <f>IFERROR(IF('Invullen groen'!H49&gt;0,'Invullen groen'!A49,""),"")</f>
        <v/>
      </c>
      <c r="C38" s="260">
        <f>IFERROR(IF('Invullen groen'!H49&gt;0,'Invullen groen'!G49,""),"")</f>
        <v/>
      </c>
      <c r="D38" s="261">
        <f>IFERROR(IF('Invullen groen'!H49&gt;0,'Invullen groen'!H49,""),"")</f>
        <v/>
      </c>
      <c r="E38" s="233" t="n"/>
      <c r="F38" s="260" t="n"/>
      <c r="G38" s="260" t="n"/>
      <c r="H38" s="261" t="n"/>
    </row>
    <row r="39" ht="15" customHeight="1" s="418">
      <c r="A39" s="258">
        <f>IFERROR(IF('Invullen groen'!H50&gt;0,34,""),"")</f>
        <v/>
      </c>
      <c r="B39" s="258">
        <f>IFERROR(IF('Invullen groen'!H50&gt;0,'Invullen groen'!A50,""),"")</f>
        <v/>
      </c>
      <c r="C39" s="258">
        <f>IFERROR(IF('Invullen groen'!H50&gt;0,'Invullen groen'!G50,""),"")</f>
        <v/>
      </c>
      <c r="D39" s="259">
        <f>IFERROR(IF('Invullen groen'!H50&gt;0,'Invullen groen'!H50,""),"")</f>
        <v/>
      </c>
      <c r="E39" s="251" t="n"/>
      <c r="F39" s="258" t="n"/>
      <c r="G39" s="258" t="n"/>
      <c r="H39" s="259" t="n"/>
    </row>
    <row r="40" ht="15" customHeight="1" s="418">
      <c r="A40" s="260">
        <f>IFERROR(IF('Invullen groen'!H51&gt;0,35,""),"")</f>
        <v/>
      </c>
      <c r="B40" s="260">
        <f>IFERROR(IF('Invullen groen'!H51&gt;0,'Invullen groen'!A51,""),"")</f>
        <v/>
      </c>
      <c r="C40" s="260">
        <f>IFERROR(IF('Invullen groen'!H51&gt;0,'Invullen groen'!G51,""),"")</f>
        <v/>
      </c>
      <c r="D40" s="261">
        <f>IFERROR(IF('Invullen groen'!H51&gt;0,'Invullen groen'!H51,""),"")</f>
        <v/>
      </c>
      <c r="E40" s="233" t="n"/>
      <c r="F40" s="260" t="n"/>
      <c r="G40" s="260" t="n"/>
      <c r="H40" s="261" t="n"/>
    </row>
    <row r="41" ht="15" customHeight="1" s="418">
      <c r="A41" s="258">
        <f>IFERROR(IF('Invullen groen'!H52&gt;0,36,""),"")</f>
        <v/>
      </c>
      <c r="B41" s="258">
        <f>IFERROR(IF('Invullen groen'!H52&gt;0,'Invullen groen'!A52,""),"")</f>
        <v/>
      </c>
      <c r="C41" s="258">
        <f>IFERROR(IF('Invullen groen'!H52&gt;0,'Invullen groen'!G52,""),"")</f>
        <v/>
      </c>
      <c r="D41" s="259">
        <f>IFERROR(IF('Invullen groen'!H52&gt;0,'Invullen groen'!H52,""),"")</f>
        <v/>
      </c>
      <c r="E41" s="251" t="n"/>
      <c r="F41" s="258" t="n"/>
      <c r="G41" s="258" t="n"/>
      <c r="H41" s="259" t="n"/>
    </row>
    <row r="42" ht="15" customHeight="1" s="418">
      <c r="A42" s="260">
        <f>IFERROR(IF('Invullen groen'!H53&gt;0,37,""),"")</f>
        <v/>
      </c>
      <c r="B42" s="260">
        <f>IFERROR(IF('Invullen groen'!H53&gt;0,'Invullen groen'!A53,""),"")</f>
        <v/>
      </c>
      <c r="C42" s="260">
        <f>IFERROR(IF('Invullen groen'!H53&gt;0,'Invullen groen'!G53,""),"")</f>
        <v/>
      </c>
      <c r="D42" s="261">
        <f>IFERROR(IF('Invullen groen'!H53&gt;0,'Invullen groen'!H53,""),"")</f>
        <v/>
      </c>
      <c r="E42" s="233" t="n"/>
      <c r="F42" s="260" t="n"/>
      <c r="G42" s="260" t="n"/>
      <c r="H42" s="261" t="n"/>
    </row>
    <row r="43" ht="15" customHeight="1" s="418">
      <c r="A43" s="258">
        <f>IFERROR(IF('Invullen groen'!H54&gt;0,38,""),"")</f>
        <v/>
      </c>
      <c r="B43" s="258">
        <f>IFERROR(IF('Invullen groen'!H54&gt;0,'Invullen groen'!A54,""),"")</f>
        <v/>
      </c>
      <c r="C43" s="258">
        <f>IFERROR(IF('Invullen groen'!H54&gt;0,'Invullen groen'!G54,""),"")</f>
        <v/>
      </c>
      <c r="D43" s="259">
        <f>IFERROR(IF('Invullen groen'!H54&gt;0,'Invullen groen'!H54,""),"")</f>
        <v/>
      </c>
      <c r="E43" s="251" t="n"/>
      <c r="F43" s="258" t="n"/>
      <c r="G43" s="258" t="n"/>
      <c r="H43" s="259" t="n"/>
    </row>
    <row r="44" ht="15" customHeight="1" s="418">
      <c r="A44" s="260">
        <f>IFERROR(IF('Invullen groen'!H55&gt;0,39,""),"")</f>
        <v/>
      </c>
      <c r="B44" s="260">
        <f>IFERROR(IF('Invullen groen'!H55&gt;0,'Invullen groen'!A55,""),"")</f>
        <v/>
      </c>
      <c r="C44" s="260">
        <f>IFERROR(IF('Invullen groen'!H55&gt;0,'Invullen groen'!G55,""),"")</f>
        <v/>
      </c>
      <c r="D44" s="261">
        <f>IFERROR(IF('Invullen groen'!H55&gt;0,'Invullen groen'!H55,""),"")</f>
        <v/>
      </c>
      <c r="E44" s="233" t="n"/>
      <c r="F44" s="260" t="n"/>
      <c r="G44" s="260" t="n"/>
      <c r="H44" s="261" t="n"/>
    </row>
    <row r="45" ht="15" customHeight="1" s="418">
      <c r="A45" s="258">
        <f>IFERROR(IF('Invullen groen'!H56&gt;0,40,""),"")</f>
        <v/>
      </c>
      <c r="B45" s="258">
        <f>IFERROR(IF('Invullen groen'!H56&gt;0,'Invullen groen'!A56,""),"")</f>
        <v/>
      </c>
      <c r="C45" s="258">
        <f>IFERROR(IF('Invullen groen'!H56&gt;0,'Invullen groen'!G56,""),"")</f>
        <v/>
      </c>
      <c r="D45" s="259">
        <f>IFERROR(IF('Invullen groen'!H56&gt;0,'Invullen groen'!H56,""),"")</f>
        <v/>
      </c>
      <c r="E45" s="251" t="n"/>
      <c r="F45" s="258" t="n"/>
      <c r="G45" s="258" t="n"/>
      <c r="H45" s="259" t="n"/>
    </row>
    <row r="46" ht="15" customHeight="1" s="418">
      <c r="A46" s="260">
        <f>IFERROR(IF('Invullen groen'!H57&gt;0,41,""),"")</f>
        <v/>
      </c>
      <c r="B46" s="260">
        <f>IFERROR(IF('Invullen groen'!H57&gt;0,'Invullen groen'!A57,""),"")</f>
        <v/>
      </c>
      <c r="C46" s="260">
        <f>IFERROR(IF('Invullen groen'!H57&gt;0,'Invullen groen'!G57,""),"")</f>
        <v/>
      </c>
      <c r="D46" s="261">
        <f>IFERROR(IF('Invullen groen'!H57&gt;0,'Invullen groen'!H57,""),"")</f>
        <v/>
      </c>
      <c r="E46" s="233" t="n"/>
      <c r="F46" s="260" t="n"/>
      <c r="G46" s="260" t="n"/>
      <c r="H46" s="261" t="n"/>
    </row>
    <row r="47" ht="15" customHeight="1" s="418">
      <c r="A47" s="258">
        <f>IFERROR(IF('Invullen groen'!H58&gt;0,42,""),"")</f>
        <v/>
      </c>
      <c r="B47" s="258">
        <f>IFERROR(IF('Invullen groen'!H58&gt;0,'Invullen groen'!A58,""),"")</f>
        <v/>
      </c>
      <c r="C47" s="258">
        <f>IFERROR(IF('Invullen groen'!H58&gt;0,'Invullen groen'!G58,""),"")</f>
        <v/>
      </c>
      <c r="D47" s="259">
        <f>IFERROR(IF('Invullen groen'!H58&gt;0,'Invullen groen'!H58,""),"")</f>
        <v/>
      </c>
      <c r="E47" s="251" t="n"/>
      <c r="F47" s="258" t="n"/>
      <c r="G47" s="258" t="n"/>
      <c r="H47" s="259" t="n"/>
    </row>
    <row r="48" ht="15" customHeight="1" s="418">
      <c r="A48" s="260">
        <f>IFERROR(IF('Invullen groen'!H59&gt;0,43,""),"")</f>
        <v/>
      </c>
      <c r="B48" s="260">
        <f>IFERROR(IF('Invullen groen'!H59&gt;0,'Invullen groen'!A59,""),"")</f>
        <v/>
      </c>
      <c r="C48" s="260">
        <f>IFERROR(IF('Invullen groen'!H59&gt;0,'Invullen groen'!G59,""),"")</f>
        <v/>
      </c>
      <c r="D48" s="261">
        <f>IFERROR(IF('Invullen groen'!H59&gt;0,'Invullen groen'!H59,""),"")</f>
        <v/>
      </c>
      <c r="E48" s="233" t="n"/>
      <c r="F48" s="260" t="n"/>
      <c r="G48" s="260" t="n"/>
      <c r="H48" s="261" t="n"/>
    </row>
    <row r="49" ht="15" customHeight="1" s="418">
      <c r="A49" s="258">
        <f>IFERROR(IF('Invullen groen'!H60&gt;0,44,""),"")</f>
        <v/>
      </c>
      <c r="B49" s="258">
        <f>IFERROR(IF('Invullen groen'!H60&gt;0,'Invullen groen'!A60,""),"")</f>
        <v/>
      </c>
      <c r="C49" s="258">
        <f>IFERROR(IF('Invullen groen'!H60&gt;0,'Invullen groen'!G60,""),"")</f>
        <v/>
      </c>
      <c r="D49" s="259">
        <f>IFERROR(IF('Invullen groen'!H60&gt;0,'Invullen groen'!H60,""),"")</f>
        <v/>
      </c>
      <c r="E49" s="251" t="n"/>
      <c r="F49" s="258" t="n"/>
      <c r="G49" s="258" t="n"/>
      <c r="H49" s="259" t="n"/>
    </row>
    <row r="50" ht="15" customHeight="1" s="418">
      <c r="A50" s="260">
        <f>IFERROR(IF('Invullen groen'!H61&gt;0,45,""),"")</f>
        <v/>
      </c>
      <c r="B50" s="260">
        <f>IFERROR(IF('Invullen groen'!H61&gt;0,'Invullen groen'!A61,""),"")</f>
        <v/>
      </c>
      <c r="C50" s="260">
        <f>IFERROR(IF('Invullen groen'!H61&gt;0,'Invullen groen'!G61,""),"")</f>
        <v/>
      </c>
      <c r="D50" s="261">
        <f>IFERROR(IF('Invullen groen'!H61&gt;0,'Invullen groen'!H61,""),"")</f>
        <v/>
      </c>
      <c r="E50" s="233" t="n"/>
      <c r="F50" s="260" t="n"/>
      <c r="G50" s="260" t="n"/>
      <c r="H50" s="261" t="n"/>
    </row>
    <row r="51" ht="15" customHeight="1" s="418">
      <c r="A51" s="258">
        <f>IFERROR(IF('Invullen groen'!H62&gt;0,46,""),"")</f>
        <v/>
      </c>
      <c r="B51" s="258">
        <f>IFERROR(IF('Invullen groen'!H62&gt;0,'Invullen groen'!A62,""),"")</f>
        <v/>
      </c>
      <c r="C51" s="258">
        <f>IFERROR(IF('Invullen groen'!H62&gt;0,'Invullen groen'!G62,""),"")</f>
        <v/>
      </c>
      <c r="D51" s="259">
        <f>IFERROR(IF('Invullen groen'!H62&gt;0,'Invullen groen'!H62,""),"")</f>
        <v/>
      </c>
      <c r="E51" s="251" t="n"/>
      <c r="F51" s="258" t="n"/>
      <c r="G51" s="258" t="n"/>
      <c r="H51" s="259" t="n"/>
    </row>
    <row r="52" ht="15" customHeight="1" s="418">
      <c r="A52" s="260">
        <f>IFERROR(IF('Invullen groen'!H63&gt;0,47,""),"")</f>
        <v/>
      </c>
      <c r="B52" s="260">
        <f>IFERROR(IF('Invullen groen'!H63&gt;0,'Invullen groen'!A63,""),"")</f>
        <v/>
      </c>
      <c r="C52" s="260">
        <f>IFERROR(IF('Invullen groen'!H63&gt;0,'Invullen groen'!G63,""),"")</f>
        <v/>
      </c>
      <c r="D52" s="261">
        <f>IFERROR(IF('Invullen groen'!H63&gt;0,'Invullen groen'!H63,""),"")</f>
        <v/>
      </c>
      <c r="E52" s="233" t="n"/>
      <c r="F52" s="260" t="n"/>
      <c r="G52" s="260" t="n"/>
      <c r="H52" s="261" t="n"/>
    </row>
    <row r="53" ht="15" customHeight="1" s="418">
      <c r="A53" s="258">
        <f>IFERROR(IF('Invullen groen'!H64&gt;0,48,""),"")</f>
        <v/>
      </c>
      <c r="B53" s="258">
        <f>IFERROR(IF('Invullen groen'!H64&gt;0,'Invullen groen'!A64,""),"")</f>
        <v/>
      </c>
      <c r="C53" s="258">
        <f>IFERROR(IF('Invullen groen'!H64&gt;0,'Invullen groen'!G64,""),"")</f>
        <v/>
      </c>
      <c r="D53" s="259">
        <f>IFERROR(IF('Invullen groen'!H64&gt;0,'Invullen groen'!H64,""),"")</f>
        <v/>
      </c>
      <c r="E53" s="251" t="n"/>
      <c r="F53" s="258" t="n"/>
      <c r="G53" s="258" t="n"/>
      <c r="H53" s="259" t="n"/>
    </row>
    <row r="54" ht="15" customHeight="1" s="418">
      <c r="A54" s="260">
        <f>IFERROR(IF('Invullen groen'!H65&gt;0,49,""),"")</f>
        <v/>
      </c>
      <c r="B54" s="260">
        <f>IFERROR(IF('Invullen groen'!H65&gt;0,'Invullen groen'!A65,""),"")</f>
        <v/>
      </c>
      <c r="C54" s="260">
        <f>IFERROR(IF('Invullen groen'!H65&gt;0,'Invullen groen'!G65,""),"")</f>
        <v/>
      </c>
      <c r="D54" s="261">
        <f>IFERROR(IF('Invullen groen'!H65&gt;0,'Invullen groen'!H65,""),"")</f>
        <v/>
      </c>
      <c r="E54" s="233" t="n"/>
      <c r="F54" s="260" t="n"/>
      <c r="G54" s="260" t="n"/>
      <c r="H54" s="261" t="n"/>
    </row>
    <row r="55" ht="15" customHeight="1" s="418">
      <c r="A55" s="258">
        <f>IFERROR(IF('Invullen groen'!H66&gt;0,50,""),"")</f>
        <v/>
      </c>
      <c r="B55" s="258">
        <f>IFERROR(IF('Invullen groen'!H66&gt;0,'Invullen groen'!A66,""),"")</f>
        <v/>
      </c>
      <c r="C55" s="258">
        <f>IFERROR(IF('Invullen groen'!H66&gt;0,'Invullen groen'!G66,""),"")</f>
        <v/>
      </c>
      <c r="D55" s="259">
        <f>IFERROR(IF('Invullen groen'!H66&gt;0,'Invullen groen'!H66,""),"")</f>
        <v/>
      </c>
      <c r="E55" s="251" t="n"/>
      <c r="F55" s="258" t="n"/>
      <c r="G55" s="258" t="n"/>
      <c r="H55" s="259" t="n"/>
    </row>
    <row r="56" ht="15" customHeight="1" s="418">
      <c r="A56" s="260">
        <f>IFERROR(IF('Invullen groen'!H67&gt;0,51,""),"")</f>
        <v/>
      </c>
      <c r="B56" s="260">
        <f>IFERROR(IF('Invullen groen'!H67&gt;0,'Invullen groen'!A67,""),"")</f>
        <v/>
      </c>
      <c r="C56" s="260">
        <f>IFERROR(IF('Invullen groen'!H67&gt;0,'Invullen groen'!G67,""),"")</f>
        <v/>
      </c>
      <c r="D56" s="261">
        <f>IFERROR(IF('Invullen groen'!H67&gt;0,'Invullen groen'!H67,""),"")</f>
        <v/>
      </c>
      <c r="E56" s="233" t="n"/>
      <c r="F56" s="260" t="n"/>
      <c r="G56" s="260" t="n"/>
      <c r="H56" s="261" t="n"/>
    </row>
    <row r="57" ht="15" customHeight="1" s="418">
      <c r="A57" s="258">
        <f>IFERROR(IF('Invullen groen'!H68&gt;0,52,""),"")</f>
        <v/>
      </c>
      <c r="B57" s="258">
        <f>IFERROR(IF('Invullen groen'!H68&gt;0,'Invullen groen'!A68,""),"")</f>
        <v/>
      </c>
      <c r="C57" s="258">
        <f>IFERROR(IF('Invullen groen'!H68&gt;0,'Invullen groen'!G68,""),"")</f>
        <v/>
      </c>
      <c r="D57" s="259">
        <f>IFERROR(IF('Invullen groen'!H68&gt;0,'Invullen groen'!H68,""),"")</f>
        <v/>
      </c>
      <c r="E57" s="251" t="n"/>
      <c r="F57" s="258" t="n"/>
      <c r="G57" s="258" t="n"/>
      <c r="H57" s="259" t="n"/>
    </row>
    <row r="58" ht="15" customHeight="1" s="418">
      <c r="A58" s="260">
        <f>IFERROR(IF('Invullen groen'!H69&gt;0,53,""),"")</f>
        <v/>
      </c>
      <c r="B58" s="260">
        <f>IFERROR(IF('Invullen groen'!H69&gt;0,'Invullen groen'!A69,""),"")</f>
        <v/>
      </c>
      <c r="C58" s="260">
        <f>IFERROR(IF('Invullen groen'!H69&gt;0,'Invullen groen'!G69,""),"")</f>
        <v/>
      </c>
      <c r="D58" s="261">
        <f>IFERROR(IF('Invullen groen'!H69&gt;0,'Invullen groen'!H69,""),"")</f>
        <v/>
      </c>
      <c r="E58" s="233" t="n"/>
      <c r="F58" s="260" t="n"/>
      <c r="G58" s="260" t="n"/>
      <c r="H58" s="261" t="n"/>
    </row>
    <row r="59" ht="15" customHeight="1" s="418">
      <c r="A59" s="258">
        <f>IFERROR(IF('Invullen groen'!H70&gt;0,54,""),"")</f>
        <v/>
      </c>
      <c r="B59" s="258">
        <f>IFERROR(IF('Invullen groen'!H70&gt;0,'Invullen groen'!A70,""),"")</f>
        <v/>
      </c>
      <c r="C59" s="258">
        <f>IFERROR(IF('Invullen groen'!H70&gt;0,'Invullen groen'!G70,""),"")</f>
        <v/>
      </c>
      <c r="D59" s="259">
        <f>IFERROR(IF('Invullen groen'!H70&gt;0,'Invullen groen'!H70,""),"")</f>
        <v/>
      </c>
      <c r="E59" s="251" t="n"/>
      <c r="F59" s="258" t="n"/>
      <c r="G59" s="258" t="n"/>
      <c r="H59" s="259" t="n"/>
    </row>
    <row r="60" ht="15" customHeight="1" s="418">
      <c r="A60" s="260">
        <f>IFERROR(IF('Invullen groen'!H71&gt;0,55,""),"")</f>
        <v/>
      </c>
      <c r="B60" s="260">
        <f>IFERROR(IF('Invullen groen'!H71&gt;0,'Invullen groen'!A71,""),"")</f>
        <v/>
      </c>
      <c r="C60" s="260">
        <f>IFERROR(IF('Invullen groen'!H71&gt;0,'Invullen groen'!G71,""),"")</f>
        <v/>
      </c>
      <c r="D60" s="261">
        <f>IFERROR(IF('Invullen groen'!H71&gt;0,'Invullen groen'!H71,""),"")</f>
        <v/>
      </c>
      <c r="E60" s="233" t="n"/>
      <c r="F60" s="260" t="n"/>
      <c r="G60" s="260" t="n"/>
      <c r="H60" s="261" t="n"/>
    </row>
    <row r="61" ht="15" customHeight="1" s="418">
      <c r="A61" s="258">
        <f>IFERROR(IF('Invullen groen'!H72&gt;0,56,""),"")</f>
        <v/>
      </c>
      <c r="B61" s="258">
        <f>IFERROR(IF('Invullen groen'!H72&gt;0,'Invullen groen'!A72,""),"")</f>
        <v/>
      </c>
      <c r="C61" s="258">
        <f>IFERROR(IF('Invullen groen'!H72&gt;0,'Invullen groen'!G72,""),"")</f>
        <v/>
      </c>
      <c r="D61" s="259">
        <f>IFERROR(IF('Invullen groen'!H72&gt;0,'Invullen groen'!H72,""),"")</f>
        <v/>
      </c>
      <c r="E61" s="251" t="n"/>
      <c r="F61" s="258" t="n"/>
      <c r="G61" s="258" t="n"/>
      <c r="H61" s="259" t="n"/>
    </row>
    <row r="62" ht="15" customHeight="1" s="418">
      <c r="A62" s="260">
        <f>IFERROR(IF('Invullen groen'!H73&gt;0,57,""),"")</f>
        <v/>
      </c>
      <c r="B62" s="260">
        <f>IFERROR(IF('Invullen groen'!H73&gt;0,'Invullen groen'!A73,""),"")</f>
        <v/>
      </c>
      <c r="C62" s="260">
        <f>IFERROR(IF('Invullen groen'!H73&gt;0,'Invullen groen'!G73,""),"")</f>
        <v/>
      </c>
      <c r="D62" s="261">
        <f>IFERROR(IF('Invullen groen'!H73&gt;0,'Invullen groen'!H73,""),"")</f>
        <v/>
      </c>
      <c r="E62" s="233" t="n"/>
      <c r="F62" s="260" t="n"/>
      <c r="G62" s="260" t="n"/>
      <c r="H62" s="261" t="n"/>
    </row>
    <row r="63" ht="13.95" customHeight="1" s="418">
      <c r="A63" s="149">
        <f>IFERROR(IF('Invullen groen'!H74&gt;0,58,""),"")</f>
        <v/>
      </c>
      <c r="B63" s="149">
        <f>IFERROR(IF('Invullen groen'!H74&gt;0,'Invullen groen'!A74,""),"")</f>
        <v/>
      </c>
      <c r="C63" s="149">
        <f>IFERROR(IF('Invullen groen'!H74&gt;0,'Invullen groen'!G74,""),"")</f>
        <v/>
      </c>
      <c r="D63" s="161">
        <f>IFERROR(IF('Invullen groen'!H74&gt;0,'Invullen groen'!H74,""),"")</f>
        <v/>
      </c>
      <c r="F63" s="149" t="n"/>
      <c r="G63" s="149" t="n"/>
      <c r="H63" s="161" t="n"/>
    </row>
    <row r="64" ht="18" customHeight="1" s="418">
      <c r="A64" s="269" t="inlineStr">
        <is>
          <t>Totaal lasten</t>
        </is>
      </c>
      <c r="B64" s="269" t="n"/>
      <c r="C64" s="269" t="n"/>
      <c r="D64" s="270">
        <f>SUM(D6:D63)</f>
        <v/>
      </c>
      <c r="E64" s="191" t="n"/>
      <c r="F64" s="269" t="inlineStr">
        <is>
          <t>Totaal dekking / baten</t>
        </is>
      </c>
      <c r="G64" s="269" t="n"/>
      <c r="H64" s="270">
        <f>SUM(H6:H37)</f>
        <v/>
      </c>
    </row>
    <row r="65" ht="18" customHeight="1" s="418">
      <c r="A65" s="271">
        <f>IF(D64+H64=0,"✓  Budgettair neutraal — saldo = 0","⚠  Niet budgettair neutraal: "&amp;TEXT(D64+H64,"#.##0"))</f>
        <v/>
      </c>
      <c r="B65" s="271" t="n"/>
      <c r="C65" s="271" t="n"/>
      <c r="D65" s="272" t="n"/>
      <c r="E65" s="273" t="n"/>
      <c r="F65" s="271" t="n"/>
      <c r="G65" s="271" t="n"/>
      <c r="H65" s="272" t="n"/>
    </row>
    <row r="66" ht="13.95" customHeight="1" s="418">
      <c r="A66" s="149" t="n"/>
      <c r="B66" s="149" t="n"/>
      <c r="C66" s="149" t="n"/>
      <c r="D66" s="161" t="n"/>
      <c r="F66" s="149" t="n"/>
      <c r="G66" s="149" t="n"/>
      <c r="H66" s="161" t="n"/>
    </row>
    <row r="67" ht="13.95" customHeight="1" s="418">
      <c r="A67" s="184" t="inlineStr">
        <is>
          <t>Lasten = positieve bedragen sectie A (Uitgaven) | Baten/Dekking = sectie B (Dekking uitgaven en inkomsten)</t>
        </is>
      </c>
      <c r="B67" s="149" t="n"/>
      <c r="C67" s="149" t="n"/>
      <c r="D67" s="161" t="n"/>
      <c r="F67" s="149" t="n"/>
      <c r="G67" s="149" t="n"/>
      <c r="H67" s="161" t="n"/>
    </row>
    <row r="68" ht="13.95" customHeight="1" s="418">
      <c r="A68" s="149" t="n"/>
      <c r="B68" s="149" t="n"/>
      <c r="C68" s="149" t="n"/>
      <c r="D68" s="161" t="n"/>
      <c r="F68" s="149" t="n"/>
      <c r="G68" s="149" t="n"/>
      <c r="H68" s="161" t="n"/>
    </row>
    <row r="69" ht="13.95" customHeight="1" s="418">
      <c r="A69" s="149" t="n"/>
      <c r="B69" s="149" t="n"/>
      <c r="C69" s="149" t="n"/>
      <c r="D69" s="161" t="n"/>
      <c r="F69" s="149" t="n"/>
      <c r="G69" s="149" t="n"/>
      <c r="H69" s="161" t="n"/>
    </row>
    <row r="70" ht="13.95" customHeight="1" s="418">
      <c r="A70" s="149" t="n"/>
      <c r="B70" s="149" t="n"/>
      <c r="C70" s="149" t="n"/>
      <c r="D70" s="161" t="n"/>
      <c r="F70" s="149" t="n"/>
      <c r="G70" s="149" t="n"/>
      <c r="H70" s="161" t="n"/>
    </row>
    <row r="71" ht="13.95" customHeight="1" s="418">
      <c r="A71" s="149" t="n"/>
      <c r="B71" s="149" t="n"/>
      <c r="C71" s="149" t="n"/>
      <c r="D71" s="161" t="n"/>
      <c r="F71" s="149" t="n"/>
      <c r="G71" s="149" t="n"/>
      <c r="H71" s="161" t="n"/>
    </row>
    <row r="72" ht="13.95" customHeight="1" s="418">
      <c r="A72" s="149" t="n"/>
      <c r="B72" s="149" t="n"/>
      <c r="C72" s="149" t="n"/>
      <c r="D72" s="161" t="n"/>
      <c r="F72" s="149" t="n"/>
      <c r="G72" s="149" t="n"/>
      <c r="H72" s="161" t="n"/>
    </row>
    <row r="73" ht="13.95" customHeight="1" s="418">
      <c r="A73" s="149" t="n"/>
      <c r="B73" s="149" t="n"/>
      <c r="C73" s="149" t="n"/>
      <c r="D73" s="161" t="n"/>
      <c r="F73" s="149" t="n"/>
      <c r="G73" s="149" t="n"/>
      <c r="H73" s="161" t="n"/>
    </row>
    <row r="74" ht="13.95" customHeight="1" s="418">
      <c r="A74" s="149" t="n"/>
      <c r="B74" s="149" t="n"/>
      <c r="C74" s="149" t="n"/>
      <c r="D74" s="161" t="n"/>
      <c r="F74" s="149" t="n"/>
      <c r="G74" s="149" t="n"/>
      <c r="H74" s="161" t="n"/>
    </row>
    <row r="75" ht="13.95" customHeight="1" s="418">
      <c r="A75" s="149" t="n"/>
      <c r="B75" s="149" t="n"/>
      <c r="C75" s="149" t="n"/>
      <c r="D75" s="161" t="n"/>
      <c r="F75" s="149" t="n"/>
      <c r="G75" s="149" t="n"/>
      <c r="H75" s="161" t="n"/>
    </row>
    <row r="76" ht="13.95" customHeight="1" s="418">
      <c r="A76" s="149" t="n"/>
      <c r="B76" s="149" t="n"/>
      <c r="C76" s="149" t="n"/>
      <c r="D76" s="161" t="n"/>
      <c r="F76" s="149" t="n"/>
      <c r="G76" s="149" t="n"/>
      <c r="H76" s="161" t="n"/>
    </row>
    <row r="77" ht="13.95" customHeight="1" s="418">
      <c r="A77" s="149" t="n"/>
      <c r="B77" s="149" t="n"/>
      <c r="C77" s="149" t="n"/>
      <c r="D77" s="161" t="n"/>
      <c r="F77" s="149" t="n"/>
      <c r="G77" s="149" t="n"/>
      <c r="H77" s="161" t="n"/>
    </row>
    <row r="78" ht="13.95" customHeight="1" s="418">
      <c r="A78" s="149" t="n"/>
      <c r="B78" s="149" t="n"/>
      <c r="C78" s="149" t="n"/>
      <c r="D78" s="161" t="n"/>
      <c r="F78" s="149" t="n"/>
      <c r="G78" s="149" t="n"/>
      <c r="H78" s="161" t="n"/>
    </row>
    <row r="79" ht="13.95" customHeight="1" s="418">
      <c r="A79" s="149" t="n"/>
      <c r="B79" s="149" t="n"/>
      <c r="C79" s="149" t="n"/>
      <c r="D79" s="161" t="n"/>
      <c r="F79" s="149" t="n"/>
      <c r="G79" s="149" t="n"/>
      <c r="H79" s="161" t="n"/>
    </row>
    <row r="80" ht="13.95" customHeight="1" s="418">
      <c r="A80" s="149" t="n"/>
      <c r="B80" s="149" t="n"/>
      <c r="C80" s="149" t="n"/>
      <c r="D80" s="161" t="n"/>
      <c r="F80" s="149" t="n"/>
      <c r="G80" s="149" t="n"/>
      <c r="H80" s="161" t="n"/>
    </row>
    <row r="81" ht="13.95" customHeight="1" s="418">
      <c r="A81" s="149" t="n"/>
      <c r="B81" s="149" t="n"/>
      <c r="C81" s="149" t="n"/>
      <c r="D81" s="161" t="n"/>
      <c r="F81" s="149" t="n"/>
      <c r="G81" s="149" t="n"/>
      <c r="H81" s="161" t="n"/>
    </row>
    <row r="82" ht="13.95" customHeight="1" s="418">
      <c r="A82" s="149" t="n"/>
      <c r="B82" s="149" t="n"/>
      <c r="C82" s="149" t="n"/>
      <c r="D82" s="161" t="n"/>
      <c r="F82" s="149" t="n"/>
      <c r="G82" s="149" t="n"/>
      <c r="H82" s="161" t="n"/>
    </row>
    <row r="83" ht="13.95" customHeight="1" s="418">
      <c r="A83" s="149" t="n"/>
      <c r="B83" s="149" t="n"/>
      <c r="C83" s="149" t="n"/>
      <c r="D83" s="161" t="n"/>
      <c r="F83" s="149" t="n"/>
      <c r="G83" s="149" t="n"/>
      <c r="H83" s="161" t="n"/>
    </row>
    <row r="84" ht="13.95" customHeight="1" s="418">
      <c r="A84" s="149" t="n"/>
      <c r="B84" s="149" t="n"/>
      <c r="C84" s="149" t="n"/>
      <c r="D84" s="161" t="n"/>
      <c r="F84" s="149" t="n"/>
      <c r="G84" s="149" t="n"/>
      <c r="H84" s="161" t="n"/>
    </row>
    <row r="85" ht="13.95" customHeight="1" s="418">
      <c r="A85" s="149" t="n"/>
      <c r="B85" s="149" t="n"/>
      <c r="C85" s="149" t="n"/>
      <c r="D85" s="161" t="n"/>
      <c r="F85" s="149" t="n"/>
      <c r="G85" s="149" t="n"/>
      <c r="H85" s="161" t="n"/>
    </row>
    <row r="86" ht="13.95" customHeight="1" s="418">
      <c r="A86" s="149" t="n"/>
      <c r="B86" s="149" t="n"/>
      <c r="C86" s="149" t="n"/>
      <c r="D86" s="161" t="n"/>
      <c r="F86" s="149" t="n"/>
      <c r="G86" s="149" t="n"/>
      <c r="H86" s="161" t="n"/>
    </row>
    <row r="87" ht="13.95" customHeight="1" s="418">
      <c r="A87" s="149" t="n"/>
      <c r="B87" s="149" t="n"/>
      <c r="C87" s="149" t="n"/>
      <c r="D87" s="161" t="n"/>
      <c r="F87" s="149" t="n"/>
      <c r="G87" s="149" t="n"/>
      <c r="H87" s="161" t="n"/>
    </row>
    <row r="88" ht="13.95" customHeight="1" s="418">
      <c r="A88" s="149" t="n"/>
      <c r="B88" s="149" t="n"/>
      <c r="C88" s="149" t="n"/>
      <c r="D88" s="161" t="n"/>
      <c r="F88" s="149" t="n"/>
      <c r="G88" s="149" t="n"/>
      <c r="H88" s="161" t="n"/>
    </row>
    <row r="89" ht="13.95" customHeight="1" s="418">
      <c r="A89" s="149" t="n"/>
      <c r="B89" s="149" t="n"/>
      <c r="C89" s="149" t="n"/>
      <c r="D89" s="161" t="n"/>
      <c r="F89" s="149" t="n"/>
      <c r="G89" s="149" t="n"/>
      <c r="H89" s="161" t="n"/>
    </row>
    <row r="90" ht="13.95" customHeight="1" s="418">
      <c r="A90" s="149" t="n"/>
      <c r="B90" s="149" t="n"/>
      <c r="C90" s="149" t="n"/>
      <c r="D90" s="161" t="n"/>
      <c r="F90" s="149" t="n"/>
      <c r="G90" s="149" t="n"/>
      <c r="H90" s="161" t="n"/>
    </row>
    <row r="91" ht="13.95" customHeight="1" s="418">
      <c r="A91" s="149" t="n"/>
      <c r="B91" s="149" t="n"/>
      <c r="C91" s="149" t="n"/>
      <c r="D91" s="161" t="n"/>
      <c r="F91" s="149" t="n"/>
      <c r="G91" s="149" t="n"/>
      <c r="H91" s="161" t="n"/>
    </row>
    <row r="92" ht="13.95" customHeight="1" s="418">
      <c r="A92" s="149" t="n"/>
      <c r="B92" s="149" t="n"/>
      <c r="C92" s="149" t="n"/>
      <c r="D92" s="161" t="n"/>
      <c r="F92" s="149" t="n"/>
      <c r="G92" s="149" t="n"/>
      <c r="H92" s="161" t="n"/>
    </row>
    <row r="93" ht="13.95" customHeight="1" s="418">
      <c r="A93" s="149" t="n"/>
      <c r="B93" s="149" t="n"/>
      <c r="C93" s="149" t="n"/>
      <c r="D93" s="161" t="n"/>
      <c r="F93" s="149" t="n"/>
      <c r="G93" s="149" t="n"/>
      <c r="H93" s="161" t="n"/>
    </row>
    <row r="94" ht="13.95" customHeight="1" s="418">
      <c r="A94" s="149" t="n"/>
      <c r="B94" s="149" t="n"/>
      <c r="C94" s="149" t="n"/>
      <c r="D94" s="161" t="n"/>
      <c r="F94" s="149" t="n"/>
      <c r="G94" s="149" t="n"/>
      <c r="H94" s="161" t="n"/>
    </row>
    <row r="95" ht="13.95" customHeight="1" s="418">
      <c r="A95" s="149" t="n"/>
      <c r="B95" s="149" t="n"/>
      <c r="C95" s="149" t="n"/>
      <c r="D95" s="161" t="n"/>
      <c r="F95" s="149" t="n"/>
      <c r="G95" s="149" t="n"/>
      <c r="H95" s="161" t="n"/>
    </row>
    <row r="96" ht="13.95" customHeight="1" s="418">
      <c r="A96" s="149" t="n"/>
      <c r="B96" s="149" t="n"/>
      <c r="C96" s="149" t="n"/>
      <c r="D96" s="161" t="n"/>
      <c r="F96" s="149" t="n"/>
      <c r="G96" s="149" t="n"/>
      <c r="H96" s="161" t="n"/>
    </row>
    <row r="97" ht="13.95" customHeight="1" s="418">
      <c r="A97" s="149" t="n"/>
      <c r="B97" s="149" t="n"/>
      <c r="C97" s="149" t="n"/>
      <c r="D97" s="161" t="n"/>
      <c r="F97" s="149" t="n"/>
      <c r="G97" s="149" t="n"/>
      <c r="H97" s="161" t="n"/>
    </row>
    <row r="98" ht="13.95" customHeight="1" s="418">
      <c r="A98" s="149" t="n"/>
      <c r="B98" s="149" t="n"/>
      <c r="C98" s="149" t="n"/>
      <c r="D98" s="161" t="n"/>
      <c r="F98" s="149" t="n"/>
      <c r="G98" s="149" t="n"/>
      <c r="H98" s="161" t="n"/>
    </row>
    <row r="99" ht="13.95" customHeight="1" s="418">
      <c r="A99" s="149" t="n"/>
      <c r="B99" s="149" t="n"/>
      <c r="C99" s="149" t="n"/>
      <c r="D99" s="161" t="n"/>
      <c r="F99" s="149" t="n"/>
      <c r="G99" s="149" t="n"/>
      <c r="H99" s="161" t="n"/>
    </row>
    <row r="100" ht="13.95" customHeight="1" s="418">
      <c r="A100" s="149" t="n"/>
      <c r="B100" s="149" t="n"/>
      <c r="C100" s="149" t="n"/>
      <c r="D100" s="161" t="n"/>
      <c r="F100" s="149" t="n"/>
      <c r="G100" s="149" t="n"/>
      <c r="H100" s="161" t="n"/>
    </row>
    <row r="101" ht="13.95" customHeight="1" s="418">
      <c r="A101" s="149" t="n"/>
      <c r="B101" s="149" t="n"/>
      <c r="C101" s="149" t="n"/>
      <c r="D101" s="161" t="n"/>
      <c r="F101" s="149" t="n"/>
      <c r="G101" s="149" t="n"/>
      <c r="H101" s="161" t="n"/>
    </row>
    <row r="102" ht="13.95" customHeight="1" s="418">
      <c r="A102" s="149" t="n"/>
      <c r="B102" s="149" t="n"/>
      <c r="C102" s="149" t="n"/>
      <c r="D102" s="161" t="n"/>
      <c r="F102" s="149" t="n"/>
      <c r="G102" s="149" t="n"/>
      <c r="H102" s="161" t="n"/>
    </row>
    <row r="103" ht="13.95" customHeight="1" s="418">
      <c r="A103" s="149" t="n"/>
      <c r="B103" s="149" t="n"/>
      <c r="C103" s="149" t="n"/>
      <c r="D103" s="161" t="n"/>
      <c r="F103" s="149" t="n"/>
      <c r="G103" s="149" t="n"/>
      <c r="H103" s="161" t="n"/>
    </row>
    <row r="104" ht="13.95" customHeight="1" s="418">
      <c r="A104" s="149" t="n"/>
      <c r="B104" s="149" t="n"/>
      <c r="C104" s="149" t="n"/>
      <c r="D104" s="161" t="n"/>
      <c r="F104" s="149" t="n"/>
      <c r="G104" s="149" t="n"/>
      <c r="H104" s="161" t="n"/>
    </row>
    <row r="105" ht="13.95" customHeight="1" s="418">
      <c r="A105" s="149" t="n"/>
      <c r="B105" s="149" t="n"/>
      <c r="C105" s="149" t="n"/>
      <c r="D105" s="161" t="n"/>
      <c r="F105" s="149" t="n"/>
      <c r="G105" s="149" t="n"/>
      <c r="H105" s="161" t="n"/>
    </row>
    <row r="106" ht="13.95" customHeight="1" s="418">
      <c r="A106" s="149" t="n"/>
      <c r="B106" s="149" t="n"/>
      <c r="C106" s="149" t="n"/>
      <c r="D106" s="161" t="n"/>
      <c r="F106" s="149" t="n"/>
      <c r="G106" s="149" t="n"/>
      <c r="H106" s="161" t="n"/>
    </row>
    <row r="107" ht="13.95" customHeight="1" s="418">
      <c r="A107" s="149" t="n"/>
      <c r="B107" s="149" t="n"/>
      <c r="C107" s="149" t="n"/>
      <c r="D107" s="161" t="n"/>
      <c r="F107" s="149" t="n"/>
      <c r="G107" s="149" t="n"/>
      <c r="H107" s="161" t="n"/>
    </row>
    <row r="108" ht="13.95" customHeight="1" s="418">
      <c r="A108" s="149" t="n"/>
      <c r="B108" s="149" t="n"/>
      <c r="C108" s="149" t="n"/>
      <c r="D108" s="161" t="n"/>
      <c r="F108" s="149" t="n"/>
      <c r="G108" s="149" t="n"/>
      <c r="H108" s="161" t="n"/>
    </row>
    <row r="109" ht="13.95" customHeight="1" s="418">
      <c r="A109" s="149" t="n"/>
      <c r="B109" s="149" t="n"/>
      <c r="C109" s="149" t="n"/>
      <c r="D109" s="161" t="n"/>
      <c r="F109" s="149" t="n"/>
      <c r="G109" s="149" t="n"/>
      <c r="H109" s="161" t="n"/>
    </row>
    <row r="110" ht="13.95" customHeight="1" s="418">
      <c r="A110" s="149" t="n"/>
      <c r="B110" s="149" t="n"/>
      <c r="C110" s="149" t="n"/>
      <c r="D110" s="161" t="n"/>
      <c r="F110" s="149" t="n"/>
      <c r="G110" s="149" t="n"/>
      <c r="H110" s="161" t="n"/>
    </row>
    <row r="111" ht="13.95" customHeight="1" s="418">
      <c r="A111" s="149" t="n"/>
      <c r="B111" s="149" t="n"/>
      <c r="C111" s="149" t="n"/>
      <c r="D111" s="161" t="n"/>
      <c r="F111" s="149" t="n"/>
      <c r="G111" s="149" t="n"/>
      <c r="H111" s="161" t="n"/>
    </row>
    <row r="112" ht="13.95" customHeight="1" s="418">
      <c r="A112" s="149" t="n"/>
      <c r="B112" s="149" t="n"/>
      <c r="C112" s="149" t="n"/>
      <c r="D112" s="161" t="n"/>
      <c r="F112" s="149" t="n"/>
      <c r="G112" s="149" t="n"/>
      <c r="H112" s="161" t="n"/>
    </row>
    <row r="113" ht="13.95" customHeight="1" s="418">
      <c r="A113" s="149" t="n"/>
      <c r="B113" s="149" t="n"/>
      <c r="C113" s="149" t="n"/>
      <c r="D113" s="161" t="n"/>
      <c r="F113" s="149" t="n"/>
      <c r="G113" s="149" t="n"/>
      <c r="H113" s="161" t="n"/>
    </row>
    <row r="114" ht="13.95" customHeight="1" s="418">
      <c r="A114" s="149" t="n"/>
      <c r="B114" s="149" t="n"/>
      <c r="C114" s="149" t="n"/>
      <c r="D114" s="161" t="n"/>
      <c r="F114" s="149" t="n"/>
      <c r="G114" s="149" t="n"/>
      <c r="H114" s="161" t="n"/>
    </row>
    <row r="115" ht="13.95" customHeight="1" s="418">
      <c r="A115" s="149" t="n"/>
      <c r="B115" s="149" t="n"/>
      <c r="C115" s="149" t="n"/>
      <c r="D115" s="161" t="n"/>
      <c r="F115" s="149" t="n"/>
      <c r="G115" s="149" t="n"/>
      <c r="H115" s="161" t="n"/>
    </row>
    <row r="116" ht="13.95" customHeight="1" s="418">
      <c r="A116" s="149" t="n"/>
      <c r="B116" s="149" t="n"/>
      <c r="C116" s="149" t="n"/>
      <c r="D116" s="161" t="n"/>
      <c r="F116" s="149" t="n"/>
      <c r="G116" s="149" t="n"/>
      <c r="H116" s="161" t="n"/>
    </row>
    <row r="117" ht="13.95" customHeight="1" s="418">
      <c r="A117" s="149" t="n"/>
      <c r="B117" s="149" t="n"/>
      <c r="C117" s="149" t="n"/>
      <c r="D117" s="161" t="n"/>
      <c r="F117" s="149" t="n"/>
      <c r="G117" s="149" t="n"/>
      <c r="H117" s="161" t="n"/>
    </row>
    <row r="118" ht="13.95" customHeight="1" s="418">
      <c r="A118" s="149" t="n"/>
      <c r="B118" s="149" t="n"/>
      <c r="C118" s="149" t="n"/>
      <c r="D118" s="161" t="n"/>
      <c r="F118" s="149" t="n"/>
      <c r="G118" s="149" t="n"/>
      <c r="H118" s="161" t="n"/>
    </row>
    <row r="119" ht="13.95" customHeight="1" s="418">
      <c r="A119" s="149" t="n"/>
      <c r="B119" s="149" t="n"/>
      <c r="C119" s="149" t="n"/>
      <c r="D119" s="161" t="n"/>
      <c r="F119" s="149" t="n"/>
      <c r="G119" s="149" t="n"/>
      <c r="H119" s="161" t="n"/>
    </row>
    <row r="120" ht="13.95" customHeight="1" s="418">
      <c r="A120" s="149" t="n"/>
      <c r="B120" s="149" t="n"/>
      <c r="C120" s="149" t="n"/>
      <c r="D120" s="161" t="n"/>
      <c r="F120" s="149" t="n"/>
      <c r="G120" s="149" t="n"/>
      <c r="H120" s="161" t="n"/>
    </row>
    <row r="121" ht="13.95" customHeight="1" s="418">
      <c r="A121" s="149" t="n"/>
      <c r="B121" s="149" t="n"/>
      <c r="C121" s="149" t="n"/>
      <c r="D121" s="161" t="n"/>
      <c r="F121" s="149" t="n"/>
      <c r="G121" s="149" t="n"/>
      <c r="H121" s="161" t="n"/>
    </row>
    <row r="122" ht="13.95" customHeight="1" s="418">
      <c r="A122" s="149" t="n"/>
      <c r="B122" s="149" t="n"/>
      <c r="C122" s="149" t="n"/>
      <c r="D122" s="161" t="n"/>
      <c r="F122" s="149" t="n"/>
      <c r="G122" s="149" t="n"/>
      <c r="H122" s="161" t="n"/>
    </row>
    <row r="123" ht="13.95" customHeight="1" s="418">
      <c r="A123" s="149" t="n"/>
      <c r="B123" s="149" t="n"/>
      <c r="C123" s="149" t="n"/>
      <c r="D123" s="161" t="n"/>
      <c r="F123" s="149" t="n"/>
      <c r="G123" s="149" t="n"/>
      <c r="H123" s="161" t="n"/>
    </row>
    <row r="124" ht="13.95" customHeight="1" s="418">
      <c r="A124" s="149" t="n"/>
      <c r="B124" s="149" t="n"/>
      <c r="C124" s="149" t="n"/>
      <c r="D124" s="161" t="n"/>
      <c r="F124" s="149" t="n"/>
      <c r="G124" s="149" t="n"/>
      <c r="H124" s="161" t="n"/>
    </row>
    <row r="125" ht="13.95" customHeight="1" s="418">
      <c r="A125" s="149" t="n"/>
      <c r="B125" s="149" t="n"/>
      <c r="C125" s="149" t="n"/>
      <c r="D125" s="161" t="n"/>
      <c r="F125" s="149" t="n"/>
      <c r="G125" s="149" t="n"/>
      <c r="H125" s="161" t="n"/>
    </row>
    <row r="126" ht="13.95" customHeight="1" s="418">
      <c r="A126" s="149" t="n"/>
      <c r="B126" s="149" t="n"/>
      <c r="C126" s="149" t="n"/>
      <c r="D126" s="161" t="n"/>
      <c r="F126" s="149" t="n"/>
      <c r="G126" s="149" t="n"/>
      <c r="H126" s="161" t="n"/>
    </row>
    <row r="127" ht="13.95" customHeight="1" s="418">
      <c r="A127" s="149" t="n"/>
      <c r="B127" s="149" t="n"/>
      <c r="C127" s="149" t="n"/>
      <c r="D127" s="161" t="n"/>
      <c r="F127" s="149" t="n"/>
      <c r="G127" s="149" t="n"/>
      <c r="H127" s="161" t="n"/>
    </row>
    <row r="128" ht="13.95" customHeight="1" s="418">
      <c r="A128" s="149" t="n"/>
      <c r="B128" s="149" t="n"/>
      <c r="C128" s="149" t="n"/>
      <c r="D128" s="161" t="n"/>
      <c r="F128" s="149" t="n"/>
      <c r="G128" s="149" t="n"/>
      <c r="H128" s="161" t="n"/>
    </row>
    <row r="129" ht="13.95" customHeight="1" s="418">
      <c r="A129" s="149" t="n"/>
      <c r="B129" s="149" t="n"/>
      <c r="C129" s="149" t="n"/>
      <c r="D129" s="161" t="n"/>
      <c r="F129" s="149" t="n"/>
      <c r="G129" s="149" t="n"/>
      <c r="H129" s="161" t="n"/>
    </row>
    <row r="130" ht="13.95" customHeight="1" s="418">
      <c r="A130" s="149" t="n"/>
      <c r="B130" s="149" t="n"/>
      <c r="C130" s="149" t="n"/>
      <c r="D130" s="161" t="n"/>
      <c r="F130" s="149" t="n"/>
      <c r="G130" s="149" t="n"/>
      <c r="H130" s="161" t="n"/>
    </row>
    <row r="131" ht="13.95" customHeight="1" s="418">
      <c r="A131" s="149" t="n"/>
      <c r="B131" s="149" t="n"/>
      <c r="C131" s="149" t="n"/>
      <c r="D131" s="161" t="n"/>
      <c r="F131" s="149" t="n"/>
      <c r="G131" s="149" t="n"/>
      <c r="H131" s="161" t="n"/>
    </row>
    <row r="132" ht="13.95" customHeight="1" s="418">
      <c r="A132" s="149" t="n"/>
      <c r="B132" s="149" t="n"/>
      <c r="C132" s="149" t="n"/>
      <c r="D132" s="161" t="n"/>
      <c r="F132" s="149" t="n"/>
      <c r="G132" s="149" t="n"/>
      <c r="H132" s="161" t="n"/>
    </row>
    <row r="133" ht="13.95" customHeight="1" s="418">
      <c r="A133" s="149" t="n"/>
      <c r="B133" s="149" t="n"/>
      <c r="C133" s="149" t="n"/>
      <c r="D133" s="161" t="n"/>
      <c r="F133" s="149" t="n"/>
      <c r="G133" s="149" t="n"/>
      <c r="H133" s="161" t="n"/>
    </row>
    <row r="134" ht="13.95" customHeight="1" s="418">
      <c r="A134" s="149" t="n"/>
      <c r="B134" s="149" t="n"/>
      <c r="C134" s="149" t="n"/>
      <c r="D134" s="161" t="n"/>
      <c r="F134" s="149" t="n"/>
      <c r="G134" s="149" t="n"/>
      <c r="H134" s="161" t="n"/>
    </row>
    <row r="135" ht="13.95" customHeight="1" s="418">
      <c r="A135" s="149" t="n"/>
      <c r="B135" s="149" t="n"/>
      <c r="C135" s="149" t="n"/>
      <c r="D135" s="161" t="n"/>
      <c r="F135" s="149" t="n"/>
      <c r="G135" s="149" t="n"/>
      <c r="H135" s="161" t="n"/>
    </row>
    <row r="136" ht="13.95" customHeight="1" s="418">
      <c r="A136" s="149" t="n"/>
      <c r="B136" s="149" t="n"/>
      <c r="C136" s="149" t="n"/>
      <c r="D136" s="161" t="n"/>
      <c r="F136" s="149" t="n"/>
      <c r="G136" s="149" t="n"/>
      <c r="H136" s="161" t="n"/>
    </row>
    <row r="137" ht="13.95" customHeight="1" s="418">
      <c r="A137" s="149" t="n"/>
      <c r="B137" s="149" t="n"/>
      <c r="C137" s="149" t="n"/>
      <c r="D137" s="161" t="n"/>
      <c r="F137" s="149" t="n"/>
      <c r="G137" s="149" t="n"/>
      <c r="H137" s="161" t="n"/>
    </row>
    <row r="138" ht="13.95" customHeight="1" s="418">
      <c r="A138" s="149" t="n"/>
      <c r="B138" s="149" t="n"/>
      <c r="C138" s="149" t="n"/>
      <c r="D138" s="161" t="n"/>
      <c r="F138" s="149" t="n"/>
      <c r="G138" s="149" t="n"/>
      <c r="H138" s="161" t="n"/>
    </row>
    <row r="139" ht="13.95" customHeight="1" s="418">
      <c r="A139" s="149" t="n"/>
      <c r="B139" s="149" t="n"/>
      <c r="C139" s="149" t="n"/>
      <c r="D139" s="161" t="n"/>
      <c r="F139" s="149" t="n"/>
      <c r="G139" s="149" t="n"/>
      <c r="H139" s="161" t="n"/>
    </row>
    <row r="140" ht="13.95" customHeight="1" s="418">
      <c r="A140" s="149" t="n"/>
      <c r="B140" s="149" t="n"/>
      <c r="C140" s="149" t="n"/>
      <c r="D140" s="161" t="n"/>
      <c r="F140" s="149" t="n"/>
      <c r="G140" s="149" t="n"/>
      <c r="H140" s="161" t="n"/>
    </row>
    <row r="141" ht="13.95" customHeight="1" s="418">
      <c r="A141" s="149" t="n"/>
      <c r="B141" s="149" t="n"/>
      <c r="C141" s="149" t="n"/>
      <c r="D141" s="161" t="n"/>
      <c r="F141" s="149" t="n"/>
      <c r="G141" s="149" t="n"/>
      <c r="H141" s="161" t="n"/>
    </row>
    <row r="142" ht="13.95" customHeight="1" s="418">
      <c r="A142" s="149" t="n"/>
      <c r="B142" s="149" t="n"/>
      <c r="C142" s="149" t="n"/>
      <c r="D142" s="161" t="n"/>
      <c r="F142" s="149" t="n"/>
      <c r="G142" s="149" t="n"/>
      <c r="H142" s="161" t="n"/>
    </row>
    <row r="143" ht="13.95" customHeight="1" s="418">
      <c r="A143" s="149" t="n"/>
      <c r="B143" s="149" t="n"/>
      <c r="C143" s="149" t="n"/>
      <c r="D143" s="161" t="n"/>
      <c r="F143" s="149" t="n"/>
      <c r="G143" s="149" t="n"/>
      <c r="H143" s="161" t="n"/>
    </row>
    <row r="144" ht="13.95" customHeight="1" s="418">
      <c r="A144" s="149" t="n"/>
      <c r="B144" s="149" t="n"/>
      <c r="C144" s="149" t="n"/>
      <c r="D144" s="161" t="n"/>
      <c r="F144" s="149" t="n"/>
      <c r="G144" s="149" t="n"/>
      <c r="H144" s="161" t="n"/>
    </row>
    <row r="145" ht="13.95" customHeight="1" s="418">
      <c r="A145" s="149" t="n"/>
      <c r="B145" s="149" t="n"/>
      <c r="C145" s="149" t="n"/>
      <c r="D145" s="161" t="n"/>
      <c r="F145" s="149" t="n"/>
      <c r="G145" s="149" t="n"/>
      <c r="H145" s="161" t="n"/>
    </row>
    <row r="146" ht="13.95" customHeight="1" s="418">
      <c r="A146" s="149" t="n"/>
      <c r="B146" s="149" t="n"/>
      <c r="C146" s="149" t="n"/>
      <c r="D146" s="161" t="n"/>
      <c r="F146" s="149" t="n"/>
      <c r="G146" s="149" t="n"/>
      <c r="H146" s="161" t="n"/>
    </row>
    <row r="147" ht="13.95" customHeight="1" s="418">
      <c r="A147" s="149" t="n"/>
      <c r="B147" s="149" t="n"/>
      <c r="C147" s="149" t="n"/>
      <c r="D147" s="161" t="n"/>
      <c r="F147" s="149" t="n"/>
      <c r="G147" s="149" t="n"/>
      <c r="H147" s="161" t="n"/>
    </row>
    <row r="148" ht="13.95" customHeight="1" s="418">
      <c r="A148" s="149" t="n"/>
      <c r="B148" s="149" t="n"/>
      <c r="C148" s="149" t="n"/>
      <c r="D148" s="161" t="n"/>
      <c r="F148" s="149" t="n"/>
      <c r="G148" s="149" t="n"/>
      <c r="H148" s="161" t="n"/>
    </row>
    <row r="149" ht="13.95" customHeight="1" s="418">
      <c r="A149" s="149" t="n"/>
      <c r="B149" s="149" t="n"/>
      <c r="C149" s="149" t="n"/>
      <c r="D149" s="161" t="n"/>
      <c r="F149" s="149" t="n"/>
      <c r="G149" s="149" t="n"/>
      <c r="H149" s="161" t="n"/>
    </row>
    <row r="150" ht="13.95" customHeight="1" s="418">
      <c r="A150" s="149" t="n"/>
      <c r="B150" s="149" t="n"/>
      <c r="C150" s="149" t="n"/>
      <c r="D150" s="161" t="n"/>
      <c r="F150" s="149" t="n"/>
      <c r="G150" s="149" t="n"/>
      <c r="H150" s="161" t="n"/>
    </row>
    <row r="151" ht="13.95" customHeight="1" s="418">
      <c r="A151" s="149" t="n"/>
      <c r="B151" s="149" t="n"/>
      <c r="C151" s="149" t="n"/>
      <c r="D151" s="161" t="n"/>
      <c r="F151" s="149" t="n"/>
      <c r="G151" s="149" t="n"/>
      <c r="H151" s="161" t="n"/>
    </row>
    <row r="152" ht="13.95" customHeight="1" s="418">
      <c r="A152" s="149" t="n"/>
      <c r="B152" s="149" t="n"/>
      <c r="C152" s="149" t="n"/>
      <c r="D152" s="161" t="n"/>
      <c r="F152" s="149" t="n"/>
      <c r="G152" s="149" t="n"/>
      <c r="H152" s="161" t="n"/>
    </row>
    <row r="153" ht="13.95" customHeight="1" s="418">
      <c r="A153" s="149" t="n"/>
      <c r="B153" s="149" t="n"/>
      <c r="C153" s="149" t="n"/>
      <c r="D153" s="161" t="n"/>
      <c r="F153" s="149" t="n"/>
      <c r="G153" s="149" t="n"/>
      <c r="H153" s="161" t="n"/>
    </row>
    <row r="154" ht="13.95" customHeight="1" s="418">
      <c r="A154" s="149" t="n"/>
      <c r="B154" s="149" t="n"/>
      <c r="C154" s="149" t="n"/>
      <c r="D154" s="161" t="n"/>
      <c r="F154" s="149" t="n"/>
      <c r="G154" s="149" t="n"/>
      <c r="H154" s="161" t="n"/>
    </row>
    <row r="155" ht="13.95" customHeight="1" s="418">
      <c r="A155" s="149" t="n"/>
      <c r="B155" s="149" t="n"/>
      <c r="C155" s="149" t="n"/>
      <c r="D155" s="161" t="n"/>
      <c r="F155" s="149" t="n"/>
      <c r="G155" s="149" t="n"/>
      <c r="H155" s="161" t="n"/>
    </row>
    <row r="156" ht="13.95" customHeight="1" s="418">
      <c r="A156" s="149" t="n"/>
      <c r="B156" s="149" t="n"/>
      <c r="C156" s="149" t="n"/>
      <c r="D156" s="161" t="n"/>
      <c r="F156" s="149" t="n"/>
      <c r="G156" s="149" t="n"/>
      <c r="H156" s="161" t="n"/>
    </row>
    <row r="157" ht="13.95" customHeight="1" s="418">
      <c r="A157" s="149" t="n"/>
      <c r="B157" s="149" t="n"/>
      <c r="C157" s="149" t="n"/>
      <c r="D157" s="161" t="n"/>
      <c r="F157" s="149" t="n"/>
      <c r="G157" s="149" t="n"/>
      <c r="H157" s="161" t="n"/>
    </row>
    <row r="158" ht="13.95" customHeight="1" s="418">
      <c r="A158" s="149" t="n"/>
      <c r="B158" s="149" t="n"/>
      <c r="C158" s="149" t="n"/>
      <c r="D158" s="161" t="n"/>
      <c r="F158" s="149" t="n"/>
      <c r="G158" s="149" t="n"/>
      <c r="H158" s="161" t="n"/>
    </row>
    <row r="159" ht="13.95" customHeight="1" s="418">
      <c r="A159" s="149" t="n"/>
      <c r="B159" s="149" t="n"/>
      <c r="C159" s="149" t="n"/>
      <c r="D159" s="161" t="n"/>
      <c r="F159" s="149" t="n"/>
      <c r="G159" s="149" t="n"/>
      <c r="H159" s="161" t="n"/>
    </row>
    <row r="160" ht="13.95" customHeight="1" s="418">
      <c r="A160" s="149" t="n"/>
      <c r="B160" s="149" t="n"/>
      <c r="C160" s="149" t="n"/>
      <c r="D160" s="161" t="n"/>
      <c r="F160" s="149" t="n"/>
      <c r="G160" s="149" t="n"/>
      <c r="H160" s="161" t="n"/>
    </row>
    <row r="161" ht="13.95" customHeight="1" s="418">
      <c r="A161" s="149" t="n"/>
      <c r="B161" s="149" t="n"/>
      <c r="C161" s="149" t="n"/>
      <c r="D161" s="161" t="n"/>
      <c r="F161" s="149" t="n"/>
      <c r="G161" s="149" t="n"/>
      <c r="H161" s="161" t="n"/>
    </row>
    <row r="162" ht="13.95" customHeight="1" s="418">
      <c r="A162" s="149" t="n"/>
      <c r="B162" s="149" t="n"/>
      <c r="C162" s="149" t="n"/>
      <c r="D162" s="161" t="n"/>
      <c r="F162" s="149" t="n"/>
      <c r="G162" s="149" t="n"/>
      <c r="H162" s="161" t="n"/>
    </row>
    <row r="163" ht="13.95" customHeight="1" s="418">
      <c r="A163" s="149" t="n"/>
      <c r="B163" s="149" t="n"/>
      <c r="C163" s="149" t="n"/>
      <c r="D163" s="161" t="n"/>
      <c r="F163" s="149" t="n"/>
      <c r="G163" s="149" t="n"/>
      <c r="H163" s="161" t="n"/>
    </row>
    <row r="164" ht="13.95" customHeight="1" s="418">
      <c r="A164" s="149" t="n"/>
      <c r="B164" s="149" t="n"/>
      <c r="C164" s="149" t="n"/>
      <c r="D164" s="161" t="n"/>
      <c r="F164" s="149" t="n"/>
      <c r="G164" s="149" t="n"/>
      <c r="H164" s="161" t="n"/>
    </row>
    <row r="165" ht="13.95" customHeight="1" s="418">
      <c r="A165" s="149" t="n"/>
      <c r="B165" s="149" t="n"/>
      <c r="C165" s="149" t="n"/>
      <c r="D165" s="161" t="n"/>
      <c r="F165" s="149" t="n"/>
      <c r="G165" s="149" t="n"/>
      <c r="H165" s="161" t="n"/>
    </row>
    <row r="166" ht="13.95" customHeight="1" s="418">
      <c r="A166" s="149" t="n"/>
      <c r="B166" s="149" t="n"/>
      <c r="C166" s="149" t="n"/>
      <c r="D166" s="161" t="n"/>
      <c r="F166" s="149" t="n"/>
      <c r="G166" s="149" t="n"/>
      <c r="H166" s="161" t="n"/>
    </row>
    <row r="167" ht="13.95" customHeight="1" s="418">
      <c r="A167" s="149" t="n"/>
      <c r="B167" s="149" t="n"/>
      <c r="C167" s="149" t="n"/>
      <c r="D167" s="161" t="n"/>
      <c r="F167" s="149" t="n"/>
      <c r="G167" s="149" t="n"/>
      <c r="H167" s="161" t="n"/>
    </row>
    <row r="168" ht="13.95" customHeight="1" s="418">
      <c r="A168" s="149" t="n"/>
      <c r="B168" s="149" t="n"/>
      <c r="C168" s="149" t="n"/>
      <c r="D168" s="161" t="n"/>
      <c r="F168" s="149" t="n"/>
      <c r="G168" s="149" t="n"/>
      <c r="H168" s="161" t="n"/>
    </row>
    <row r="169" ht="13.95" customHeight="1" s="418">
      <c r="A169" s="149" t="n"/>
      <c r="B169" s="149" t="n"/>
      <c r="C169" s="149" t="n"/>
      <c r="D169" s="161" t="n"/>
      <c r="F169" s="149" t="n"/>
      <c r="G169" s="149" t="n"/>
      <c r="H169" s="161" t="n"/>
    </row>
    <row r="170" ht="13.95" customHeight="1" s="418">
      <c r="A170" s="149" t="n"/>
      <c r="B170" s="149" t="n"/>
      <c r="C170" s="149" t="n"/>
      <c r="D170" s="161" t="n"/>
      <c r="F170" s="149" t="n"/>
      <c r="G170" s="149" t="n"/>
      <c r="H170" s="161" t="n"/>
    </row>
    <row r="171" ht="13.95" customHeight="1" s="418">
      <c r="A171" s="149" t="n"/>
      <c r="B171" s="149" t="n"/>
      <c r="C171" s="149" t="n"/>
      <c r="D171" s="161" t="n"/>
      <c r="F171" s="149" t="n"/>
      <c r="G171" s="149" t="n"/>
      <c r="H171" s="161" t="n"/>
    </row>
    <row r="172" ht="13.95" customHeight="1" s="418">
      <c r="A172" s="149" t="n"/>
      <c r="B172" s="149" t="n"/>
      <c r="C172" s="149" t="n"/>
      <c r="D172" s="161" t="n"/>
      <c r="F172" s="149" t="n"/>
      <c r="G172" s="149" t="n"/>
      <c r="H172" s="161" t="n"/>
    </row>
    <row r="173" ht="13.95" customHeight="1" s="418">
      <c r="A173" s="149" t="n"/>
      <c r="B173" s="149" t="n"/>
      <c r="C173" s="149" t="n"/>
      <c r="D173" s="161" t="n"/>
      <c r="F173" s="149" t="n"/>
      <c r="G173" s="149" t="n"/>
      <c r="H173" s="161" t="n"/>
    </row>
    <row r="174" ht="13.95" customHeight="1" s="418">
      <c r="A174" s="149" t="n"/>
      <c r="B174" s="149" t="n"/>
      <c r="C174" s="149" t="n"/>
      <c r="D174" s="161" t="n"/>
      <c r="F174" s="149" t="n"/>
      <c r="G174" s="149" t="n"/>
      <c r="H174" s="161" t="n"/>
    </row>
    <row r="175" ht="13.95" customHeight="1" s="418">
      <c r="A175" s="149" t="n"/>
      <c r="B175" s="149" t="n"/>
      <c r="C175" s="149" t="n"/>
      <c r="D175" s="161" t="n"/>
      <c r="F175" s="149" t="n"/>
      <c r="G175" s="149" t="n"/>
      <c r="H175" s="161" t="n"/>
    </row>
    <row r="176" ht="13.95" customHeight="1" s="418">
      <c r="A176" s="149" t="n"/>
      <c r="B176" s="149" t="n"/>
      <c r="C176" s="149" t="n"/>
      <c r="D176" s="161" t="n"/>
      <c r="F176" s="149" t="n"/>
      <c r="G176" s="149" t="n"/>
      <c r="H176" s="161" t="n"/>
    </row>
    <row r="177" ht="13.95" customHeight="1" s="418">
      <c r="A177" s="149" t="n"/>
      <c r="B177" s="149" t="n"/>
      <c r="C177" s="149" t="n"/>
      <c r="D177" s="161" t="n"/>
      <c r="F177" s="149" t="n"/>
      <c r="G177" s="149" t="n"/>
      <c r="H177" s="161" t="n"/>
    </row>
    <row r="178" ht="13.95" customHeight="1" s="418">
      <c r="A178" s="149" t="n"/>
      <c r="B178" s="149" t="n"/>
      <c r="C178" s="149" t="n"/>
      <c r="D178" s="161" t="n"/>
      <c r="F178" s="149" t="n"/>
      <c r="G178" s="149" t="n"/>
      <c r="H178" s="161" t="n"/>
    </row>
    <row r="179" ht="13.95" customHeight="1" s="418">
      <c r="A179" s="149" t="n"/>
      <c r="B179" s="149" t="n"/>
      <c r="C179" s="149" t="n"/>
      <c r="D179" s="161" t="n"/>
      <c r="F179" s="149" t="n"/>
      <c r="G179" s="149" t="n"/>
      <c r="H179" s="161" t="n"/>
    </row>
    <row r="180" ht="13.95" customHeight="1" s="418">
      <c r="A180" s="149" t="n"/>
      <c r="B180" s="149" t="n"/>
      <c r="C180" s="149" t="n"/>
      <c r="D180" s="161" t="n"/>
      <c r="F180" s="149" t="n"/>
      <c r="G180" s="149" t="n"/>
      <c r="H180" s="161" t="n"/>
    </row>
    <row r="181" ht="13.95" customHeight="1" s="418">
      <c r="A181" s="149" t="n"/>
      <c r="B181" s="149" t="n"/>
      <c r="C181" s="149" t="n"/>
      <c r="D181" s="161" t="n"/>
      <c r="F181" s="149" t="n"/>
      <c r="G181" s="149" t="n"/>
      <c r="H181" s="161" t="n"/>
    </row>
    <row r="182" ht="13.95" customHeight="1" s="418">
      <c r="A182" s="149" t="n"/>
      <c r="B182" s="149" t="n"/>
      <c r="C182" s="149" t="n"/>
      <c r="D182" s="161" t="n"/>
      <c r="F182" s="149" t="n"/>
      <c r="G182" s="149" t="n"/>
      <c r="H182" s="161" t="n"/>
    </row>
    <row r="183" ht="13.95" customHeight="1" s="418">
      <c r="A183" s="149" t="n"/>
      <c r="B183" s="149" t="n"/>
      <c r="C183" s="149" t="n"/>
      <c r="D183" s="161" t="n"/>
      <c r="F183" s="149" t="n"/>
      <c r="G183" s="149" t="n"/>
      <c r="H183" s="161" t="n"/>
    </row>
    <row r="184" ht="13.95" customHeight="1" s="418">
      <c r="A184" s="149" t="n"/>
      <c r="B184" s="149" t="n"/>
      <c r="C184" s="149" t="n"/>
      <c r="D184" s="161" t="n"/>
      <c r="F184" s="149" t="n"/>
      <c r="G184" s="149" t="n"/>
      <c r="H184" s="161" t="n"/>
    </row>
    <row r="185" ht="13.95" customHeight="1" s="418">
      <c r="A185" s="149" t="n"/>
      <c r="B185" s="149" t="n"/>
      <c r="C185" s="149" t="n"/>
      <c r="D185" s="161" t="n"/>
      <c r="F185" s="149" t="n"/>
      <c r="G185" s="149" t="n"/>
      <c r="H185" s="161" t="n"/>
    </row>
    <row r="186" ht="13.95" customHeight="1" s="418">
      <c r="A186" s="149" t="n"/>
      <c r="B186" s="149" t="n"/>
      <c r="C186" s="149" t="n"/>
      <c r="D186" s="161" t="n"/>
      <c r="F186" s="149" t="n"/>
      <c r="G186" s="149" t="n"/>
      <c r="H186" s="161" t="n"/>
    </row>
    <row r="187" ht="13.95" customHeight="1" s="418">
      <c r="A187" s="149" t="n"/>
      <c r="B187" s="149" t="n"/>
      <c r="C187" s="149" t="n"/>
      <c r="D187" s="161" t="n"/>
      <c r="F187" s="149" t="n"/>
      <c r="G187" s="149" t="n"/>
      <c r="H187" s="161" t="n"/>
    </row>
    <row r="188" ht="13.95" customHeight="1" s="418">
      <c r="A188" s="149" t="n"/>
      <c r="B188" s="149" t="n"/>
      <c r="C188" s="149" t="n"/>
      <c r="D188" s="161" t="n"/>
      <c r="F188" s="149" t="n"/>
      <c r="G188" s="149" t="n"/>
      <c r="H188" s="161" t="n"/>
    </row>
    <row r="189" ht="13.95" customHeight="1" s="418">
      <c r="A189" s="149" t="n"/>
      <c r="B189" s="149" t="n"/>
      <c r="C189" s="149" t="n"/>
      <c r="D189" s="161" t="n"/>
      <c r="F189" s="149" t="n"/>
      <c r="G189" s="149" t="n"/>
      <c r="H189" s="161" t="n"/>
    </row>
    <row r="190" ht="13.95" customHeight="1" s="418">
      <c r="A190" s="149" t="n"/>
      <c r="B190" s="149" t="n"/>
      <c r="C190" s="149" t="n"/>
      <c r="D190" s="161" t="n"/>
      <c r="F190" s="149" t="n"/>
      <c r="G190" s="149" t="n"/>
      <c r="H190" s="161" t="n"/>
    </row>
    <row r="191" ht="13.95" customHeight="1" s="418">
      <c r="A191" s="149" t="n"/>
      <c r="B191" s="149" t="n"/>
      <c r="C191" s="149" t="n"/>
      <c r="D191" s="161" t="n"/>
      <c r="F191" s="149" t="n"/>
      <c r="G191" s="149" t="n"/>
      <c r="H191" s="161" t="n"/>
    </row>
    <row r="192" ht="13.95" customHeight="1" s="418">
      <c r="A192" s="149" t="n"/>
      <c r="B192" s="149" t="n"/>
      <c r="C192" s="149" t="n"/>
      <c r="D192" s="161" t="n"/>
      <c r="F192" s="149" t="n"/>
      <c r="G192" s="149" t="n"/>
      <c r="H192" s="161" t="n"/>
    </row>
    <row r="193" ht="13.95" customHeight="1" s="418">
      <c r="A193" s="149" t="n"/>
      <c r="B193" s="149" t="n"/>
      <c r="C193" s="149" t="n"/>
      <c r="D193" s="161" t="n"/>
      <c r="F193" s="149" t="n"/>
      <c r="G193" s="149" t="n"/>
      <c r="H193" s="161" t="n"/>
    </row>
    <row r="194" ht="13.95" customHeight="1" s="418">
      <c r="A194" s="149" t="n"/>
      <c r="B194" s="149" t="n"/>
      <c r="C194" s="149" t="n"/>
      <c r="D194" s="161" t="n"/>
      <c r="F194" s="149" t="n"/>
      <c r="G194" s="149" t="n"/>
      <c r="H194" s="161" t="n"/>
    </row>
    <row r="195" ht="13.95" customHeight="1" s="418">
      <c r="A195" s="149" t="n"/>
      <c r="B195" s="149" t="n"/>
      <c r="C195" s="149" t="n"/>
      <c r="D195" s="161" t="n"/>
      <c r="F195" s="149" t="n"/>
      <c r="G195" s="149" t="n"/>
      <c r="H195" s="161" t="n"/>
    </row>
    <row r="196" ht="13.95" customHeight="1" s="418">
      <c r="A196" s="149" t="n"/>
      <c r="B196" s="149" t="n"/>
      <c r="C196" s="149" t="n"/>
      <c r="D196" s="161" t="n"/>
      <c r="F196" s="149" t="n"/>
      <c r="G196" s="149" t="n"/>
      <c r="H196" s="161" t="n"/>
    </row>
    <row r="197" ht="13.95" customHeight="1" s="418">
      <c r="A197" s="149" t="n"/>
      <c r="B197" s="149" t="n"/>
      <c r="C197" s="149" t="n"/>
      <c r="D197" s="161" t="n"/>
      <c r="F197" s="149" t="n"/>
      <c r="G197" s="149" t="n"/>
      <c r="H197" s="161" t="n"/>
    </row>
    <row r="198" ht="13.95" customHeight="1" s="418">
      <c r="A198" s="149" t="n"/>
      <c r="B198" s="149" t="n"/>
      <c r="C198" s="149" t="n"/>
      <c r="D198" s="161" t="n"/>
      <c r="F198" s="149" t="n"/>
      <c r="G198" s="149" t="n"/>
      <c r="H198" s="161" t="n"/>
    </row>
    <row r="199" ht="13.95" customHeight="1" s="418">
      <c r="A199" s="149" t="n"/>
      <c r="B199" s="149" t="n"/>
      <c r="C199" s="149" t="n"/>
      <c r="D199" s="161" t="n"/>
      <c r="F199" s="149" t="n"/>
      <c r="G199" s="149" t="n"/>
      <c r="H199" s="161" t="n"/>
    </row>
    <row r="200" ht="13.95" customHeight="1" s="418">
      <c r="A200" s="149" t="n"/>
      <c r="B200" s="149" t="n"/>
      <c r="C200" s="149" t="n"/>
      <c r="D200" s="161" t="n"/>
      <c r="F200" s="149" t="n"/>
      <c r="G200" s="149" t="n"/>
      <c r="H200" s="161" t="n"/>
    </row>
    <row r="201" ht="13.95" customHeight="1" s="418">
      <c r="A201" s="149" t="n"/>
      <c r="B201" s="149" t="n"/>
      <c r="C201" s="149" t="n"/>
      <c r="D201" s="161" t="n"/>
      <c r="F201" s="149" t="n"/>
      <c r="G201" s="149" t="n"/>
      <c r="H201" s="161" t="n"/>
    </row>
    <row r="202" ht="13.95" customHeight="1" s="418">
      <c r="A202" s="149" t="n"/>
      <c r="B202" s="149" t="n"/>
      <c r="C202" s="149" t="n"/>
      <c r="D202" s="161" t="n"/>
      <c r="F202" s="149" t="n"/>
      <c r="G202" s="149" t="n"/>
      <c r="H202" s="161" t="n"/>
    </row>
    <row r="203" ht="13.95" customHeight="1" s="418">
      <c r="A203" s="149" t="n"/>
      <c r="B203" s="149" t="n"/>
      <c r="C203" s="149" t="n"/>
      <c r="D203" s="161" t="n"/>
      <c r="F203" s="149" t="n"/>
      <c r="G203" s="149" t="n"/>
      <c r="H203" s="161" t="n"/>
    </row>
    <row r="204" ht="13.95" customHeight="1" s="418">
      <c r="A204" s="149" t="n"/>
      <c r="B204" s="149" t="n"/>
      <c r="C204" s="149" t="n"/>
      <c r="D204" s="161" t="n"/>
      <c r="F204" s="149" t="n"/>
      <c r="G204" s="149" t="n"/>
      <c r="H204" s="161" t="n"/>
    </row>
    <row r="205" ht="13.95" customHeight="1" s="418">
      <c r="A205" s="149" t="n"/>
      <c r="B205" s="149" t="n"/>
      <c r="C205" s="149" t="n"/>
      <c r="D205" s="161" t="n"/>
      <c r="F205" s="149" t="n"/>
      <c r="G205" s="149" t="n"/>
      <c r="H205" s="161" t="n"/>
    </row>
    <row r="206" ht="13.95" customHeight="1" s="418">
      <c r="A206" s="149" t="n"/>
      <c r="B206" s="149" t="n"/>
      <c r="C206" s="149" t="n"/>
      <c r="D206" s="161" t="n"/>
      <c r="F206" s="149" t="n"/>
      <c r="G206" s="149" t="n"/>
      <c r="H206" s="161" t="n"/>
    </row>
    <row r="207" ht="13.95" customHeight="1" s="418">
      <c r="A207" s="149" t="n"/>
      <c r="B207" s="149" t="n"/>
      <c r="C207" s="149" t="n"/>
      <c r="D207" s="161" t="n"/>
      <c r="F207" s="149" t="n"/>
      <c r="G207" s="149" t="n"/>
      <c r="H207" s="161" t="n"/>
    </row>
    <row r="208" ht="13.95" customHeight="1" s="418">
      <c r="A208" s="149" t="n"/>
      <c r="B208" s="149" t="n"/>
      <c r="C208" s="149" t="n"/>
      <c r="D208" s="161" t="n"/>
      <c r="F208" s="149" t="n"/>
      <c r="G208" s="149" t="n"/>
      <c r="H208" s="161" t="n"/>
    </row>
    <row r="209" ht="13.95" customHeight="1" s="418">
      <c r="A209" s="149" t="n"/>
      <c r="B209" s="149" t="n"/>
      <c r="C209" s="149" t="n"/>
      <c r="D209" s="161" t="n"/>
      <c r="F209" s="149" t="n"/>
      <c r="G209" s="149" t="n"/>
      <c r="H209" s="161" t="n"/>
    </row>
    <row r="210" ht="13.95" customHeight="1" s="418">
      <c r="A210" s="149" t="n"/>
      <c r="B210" s="149" t="n"/>
      <c r="C210" s="149" t="n"/>
      <c r="D210" s="161" t="n"/>
      <c r="F210" s="149" t="n"/>
      <c r="G210" s="149" t="n"/>
      <c r="H210" s="161" t="n"/>
    </row>
    <row r="211" ht="13.95" customHeight="1" s="418">
      <c r="A211" s="149" t="n"/>
      <c r="B211" s="149" t="n"/>
      <c r="C211" s="149" t="n"/>
      <c r="D211" s="161" t="n"/>
      <c r="F211" s="149" t="n"/>
      <c r="G211" s="149" t="n"/>
      <c r="H211" s="161" t="n"/>
    </row>
    <row r="212" ht="13.95" customHeight="1" s="418">
      <c r="A212" s="149" t="n"/>
      <c r="B212" s="149" t="n"/>
      <c r="C212" s="149" t="n"/>
      <c r="D212" s="161" t="n"/>
      <c r="F212" s="149" t="n"/>
      <c r="G212" s="149" t="n"/>
      <c r="H212" s="161" t="n"/>
    </row>
    <row r="213" ht="13.95" customHeight="1" s="418">
      <c r="A213" s="149" t="n"/>
      <c r="B213" s="149" t="n"/>
      <c r="C213" s="149" t="n"/>
      <c r="D213" s="161" t="n"/>
      <c r="F213" s="149" t="n"/>
      <c r="G213" s="149" t="n"/>
      <c r="H213" s="161" t="n"/>
    </row>
    <row r="214" ht="13.95" customHeight="1" s="418">
      <c r="A214" s="149" t="n"/>
      <c r="B214" s="149" t="n"/>
      <c r="C214" s="149" t="n"/>
      <c r="D214" s="161" t="n"/>
      <c r="F214" s="149" t="n"/>
      <c r="G214" s="149" t="n"/>
      <c r="H214" s="161" t="n"/>
    </row>
    <row r="215" ht="13.95" customHeight="1" s="418">
      <c r="A215" s="149" t="n"/>
      <c r="B215" s="149" t="n"/>
      <c r="C215" s="149" t="n"/>
      <c r="D215" s="161" t="n"/>
      <c r="F215" s="149" t="n"/>
      <c r="G215" s="149" t="n"/>
      <c r="H215" s="161" t="n"/>
    </row>
    <row r="216" ht="13.95" customHeight="1" s="418">
      <c r="A216" s="149" t="n"/>
      <c r="B216" s="149" t="n"/>
      <c r="C216" s="149" t="n"/>
      <c r="D216" s="161" t="n"/>
      <c r="F216" s="149" t="n"/>
      <c r="G216" s="149" t="n"/>
      <c r="H216" s="161" t="n"/>
    </row>
    <row r="217" ht="13.95" customHeight="1" s="418">
      <c r="A217" s="149" t="n"/>
      <c r="B217" s="149" t="n"/>
      <c r="C217" s="149" t="n"/>
      <c r="D217" s="161" t="n"/>
      <c r="F217" s="149" t="n"/>
      <c r="G217" s="149" t="n"/>
      <c r="H217" s="161" t="n"/>
    </row>
    <row r="218" ht="13.95" customHeight="1" s="418">
      <c r="A218" s="149" t="n"/>
      <c r="B218" s="149" t="n"/>
      <c r="C218" s="149" t="n"/>
      <c r="D218" s="161" t="n"/>
      <c r="F218" s="149" t="n"/>
      <c r="G218" s="149" t="n"/>
      <c r="H218" s="161" t="n"/>
    </row>
    <row r="219" ht="13.95" customHeight="1" s="418">
      <c r="A219" s="149" t="n"/>
      <c r="B219" s="149" t="n"/>
      <c r="C219" s="149" t="n"/>
      <c r="D219" s="161" t="n"/>
      <c r="F219" s="149" t="n"/>
      <c r="G219" s="149" t="n"/>
      <c r="H219" s="161" t="n"/>
    </row>
    <row r="220" ht="13.95" customHeight="1" s="418">
      <c r="A220" s="149" t="n"/>
      <c r="B220" s="149" t="n"/>
      <c r="C220" s="149" t="n"/>
      <c r="D220" s="161" t="n"/>
      <c r="F220" s="149" t="n"/>
      <c r="G220" s="149" t="n"/>
      <c r="H220" s="161" t="n"/>
    </row>
    <row r="221" ht="13.95" customHeight="1" s="418">
      <c r="A221" s="149" t="n"/>
      <c r="B221" s="149" t="n"/>
      <c r="C221" s="149" t="n"/>
      <c r="D221" s="161" t="n"/>
      <c r="F221" s="149" t="n"/>
      <c r="G221" s="149" t="n"/>
      <c r="H221" s="161" t="n"/>
    </row>
    <row r="222" ht="13.95" customHeight="1" s="418">
      <c r="A222" s="149" t="n"/>
      <c r="B222" s="149" t="n"/>
      <c r="C222" s="149" t="n"/>
      <c r="D222" s="161" t="n"/>
      <c r="F222" s="149" t="n"/>
      <c r="G222" s="149" t="n"/>
      <c r="H222" s="161" t="n"/>
    </row>
    <row r="223" ht="13.95" customHeight="1" s="418">
      <c r="A223" s="149" t="n"/>
      <c r="B223" s="149" t="n"/>
      <c r="C223" s="149" t="n"/>
      <c r="D223" s="161" t="n"/>
      <c r="F223" s="149" t="n"/>
      <c r="G223" s="149" t="n"/>
      <c r="H223" s="161" t="n"/>
    </row>
    <row r="224" ht="13.95" customHeight="1" s="418">
      <c r="A224" s="149" t="n"/>
      <c r="B224" s="149" t="n"/>
      <c r="C224" s="149" t="n"/>
      <c r="D224" s="161" t="n"/>
      <c r="F224" s="149" t="n"/>
      <c r="G224" s="149" t="n"/>
      <c r="H224" s="161" t="n"/>
    </row>
    <row r="225" ht="13.95" customHeight="1" s="418">
      <c r="A225" s="149" t="n"/>
      <c r="B225" s="149" t="n"/>
      <c r="C225" s="149" t="n"/>
      <c r="D225" s="161" t="n"/>
      <c r="F225" s="149" t="n"/>
      <c r="G225" s="149" t="n"/>
      <c r="H225" s="161" t="n"/>
    </row>
    <row r="226" ht="13.95" customHeight="1" s="418">
      <c r="A226" s="149" t="n"/>
      <c r="B226" s="149" t="n"/>
      <c r="C226" s="149" t="n"/>
      <c r="D226" s="161" t="n"/>
      <c r="F226" s="149" t="n"/>
      <c r="G226" s="149" t="n"/>
      <c r="H226" s="161" t="n"/>
    </row>
    <row r="227" ht="13.95" customHeight="1" s="418">
      <c r="A227" s="149" t="n"/>
      <c r="B227" s="149" t="n"/>
      <c r="C227" s="149" t="n"/>
      <c r="D227" s="161" t="n"/>
      <c r="F227" s="149" t="n"/>
      <c r="G227" s="149" t="n"/>
      <c r="H227" s="161" t="n"/>
    </row>
    <row r="228" ht="13.95" customHeight="1" s="418">
      <c r="A228" s="149" t="n"/>
      <c r="B228" s="149" t="n"/>
      <c r="C228" s="149" t="n"/>
      <c r="D228" s="161" t="n"/>
      <c r="F228" s="149" t="n"/>
      <c r="G228" s="149" t="n"/>
      <c r="H228" s="161" t="n"/>
    </row>
    <row r="229" ht="13.95" customHeight="1" s="418">
      <c r="A229" s="149" t="n"/>
      <c r="B229" s="149" t="n"/>
      <c r="C229" s="149" t="n"/>
      <c r="D229" s="161" t="n"/>
      <c r="F229" s="149" t="n"/>
      <c r="G229" s="149" t="n"/>
      <c r="H229" s="161" t="n"/>
    </row>
    <row r="230">
      <c r="D230" s="160" t="n"/>
      <c r="H230" s="160" t="n"/>
    </row>
    <row r="231" ht="15" customHeight="1" s="418">
      <c r="A231" s="162" t="n"/>
      <c r="D231" s="163" t="n"/>
      <c r="F231" s="164" t="n"/>
      <c r="H231" s="165" t="n"/>
    </row>
    <row r="232">
      <c r="D232" s="160" t="n"/>
      <c r="H232" s="160" t="n"/>
    </row>
    <row r="233" ht="19.95" customHeight="1" s="418">
      <c r="A233" s="153" t="n"/>
      <c r="H233" s="160" t="n"/>
    </row>
    <row r="234">
      <c r="D234" s="160" t="n"/>
      <c r="H234" s="160" t="n"/>
    </row>
    <row r="235">
      <c r="A235" s="150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opLeftCell="A297" workbookViewId="0">
      <selection activeCell="H324" sqref="H324"/>
    </sheetView>
  </sheetViews>
  <sheetFormatPr baseColWidth="8" defaultColWidth="9.109375" defaultRowHeight="13.2"/>
  <cols>
    <col width="7.88671875" bestFit="1" customWidth="1" style="99" min="1" max="1"/>
    <col width="35.5546875" customWidth="1" style="99" min="2" max="2"/>
    <col width="7.5546875" customWidth="1" style="100" min="3" max="3"/>
    <col width="36.109375" customWidth="1" style="100" min="4" max="4"/>
    <col width="9.109375" customWidth="1" style="99" min="5" max="5"/>
    <col width="30.6640625" customWidth="1" style="99" min="6" max="6"/>
    <col width="25.109375" customWidth="1" style="99" min="7" max="7"/>
    <col width="9.109375" customWidth="1" style="2" min="8" max="8"/>
    <col width="60.44140625" bestFit="1" customWidth="1" style="1" min="9" max="9"/>
    <col hidden="1" width="13" customWidth="1" style="2" min="10" max="10"/>
    <col hidden="1" width="8.6640625" customWidth="1" style="1" min="11" max="11"/>
    <col width="8.6640625" customWidth="1" style="1" min="12" max="12"/>
    <col width="9.109375" customWidth="1" style="1" min="13" max="13"/>
    <col width="9.109375" customWidth="1" style="1" min="14" max="16384"/>
  </cols>
  <sheetData>
    <row r="1" customFormat="1" s="91">
      <c r="A1" s="84" t="inlineStr">
        <is>
          <t>Grootb</t>
        </is>
      </c>
      <c r="B1" s="84" t="inlineStr">
        <is>
          <t>Omschrijving grootboeknummer</t>
        </is>
      </c>
      <c r="C1" s="85" t="inlineStr">
        <is>
          <t>htv</t>
        </is>
      </c>
      <c r="D1" s="85" t="inlineStr">
        <is>
          <t>omschrijving programma</t>
        </is>
      </c>
      <c r="E1" s="84" t="inlineStr">
        <is>
          <t>taakveld</t>
        </is>
      </c>
      <c r="F1" s="84" t="inlineStr">
        <is>
          <t>omschrijving taakveld</t>
        </is>
      </c>
      <c r="G1" s="84" t="n"/>
      <c r="H1" s="89" t="inlineStr">
        <is>
          <t>Cat</t>
        </is>
      </c>
      <c r="I1" s="90" t="inlineStr">
        <is>
          <t>Omschr categorie</t>
        </is>
      </c>
      <c r="J1" s="117" t="inlineStr">
        <is>
          <t>Hulptabel kolom D</t>
        </is>
      </c>
      <c r="K1" s="99" t="n"/>
      <c r="L1" s="1" t="n"/>
      <c r="M1" s="1" t="n"/>
      <c r="N1" s="1" t="n"/>
    </row>
    <row r="2" ht="15" customHeight="1" s="418">
      <c r="A2" s="99" t="n">
        <v>601001</v>
      </c>
      <c r="B2" s="99" t="inlineStr">
        <is>
          <t>kosten raad</t>
        </is>
      </c>
      <c r="C2" s="1" t="n"/>
      <c r="D2" s="14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110" t="n">
        <v>41100</v>
      </c>
      <c r="I2" s="111" t="inlineStr">
        <is>
          <t>salarissen</t>
        </is>
      </c>
      <c r="J2" s="109" t="n">
        <v>0</v>
      </c>
      <c r="K2" s="118" t="inlineStr">
        <is>
          <t>bestuur en ondersteuning</t>
        </is>
      </c>
      <c r="L2" s="101" t="n"/>
    </row>
    <row r="3" ht="15" customHeight="1" s="418">
      <c r="A3" s="99" t="n">
        <v>601002</v>
      </c>
      <c r="B3" s="99" t="inlineStr">
        <is>
          <t>werkbudget griffie</t>
        </is>
      </c>
      <c r="C3" s="1" t="n"/>
      <c r="D3" s="14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110" t="n">
        <v>41101</v>
      </c>
      <c r="I3" s="111" t="inlineStr">
        <is>
          <t>uitkeringen voormalig personeel</t>
        </is>
      </c>
      <c r="J3" s="109" t="n">
        <v>1</v>
      </c>
      <c r="K3" s="118" t="inlineStr">
        <is>
          <t>veiligheid</t>
        </is>
      </c>
      <c r="L3" s="101" t="n"/>
    </row>
    <row r="4" ht="15" customHeight="1" s="418">
      <c r="A4" s="99" t="n">
        <v>601003</v>
      </c>
      <c r="B4" s="99" t="inlineStr">
        <is>
          <t>rekenkamerfunctie</t>
        </is>
      </c>
      <c r="C4" s="1" t="n"/>
      <c r="D4" s="14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110" t="n">
        <v>41102</v>
      </c>
      <c r="I4" s="111" t="inlineStr">
        <is>
          <t>sociale verzekeringswetten</t>
        </is>
      </c>
      <c r="J4" s="109" t="n">
        <v>2</v>
      </c>
      <c r="K4" s="118" t="inlineStr">
        <is>
          <t>verkeer, vervoer en waterstaat</t>
        </is>
      </c>
      <c r="L4" s="101" t="n"/>
    </row>
    <row r="5" ht="15" customHeight="1" s="418">
      <c r="A5" s="99" t="n">
        <v>601004</v>
      </c>
      <c r="B5" s="99" t="inlineStr">
        <is>
          <t>gemeentefinanciën</t>
        </is>
      </c>
      <c r="C5" s="1" t="n"/>
      <c r="D5" s="14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110" t="n">
        <v>41103</v>
      </c>
      <c r="I5" s="111" t="inlineStr">
        <is>
          <t>sociale lasten voorgaande jaren</t>
        </is>
      </c>
      <c r="J5" s="109" t="n">
        <v>3</v>
      </c>
      <c r="K5" s="118" t="inlineStr">
        <is>
          <t>economie</t>
        </is>
      </c>
      <c r="L5" s="101" t="n"/>
    </row>
    <row r="6" ht="15" customHeight="1" s="418">
      <c r="A6" s="99" t="n">
        <v>601005</v>
      </c>
      <c r="B6" s="99" t="inlineStr">
        <is>
          <t>jeugdraad</t>
        </is>
      </c>
      <c r="C6" s="1" t="n"/>
      <c r="D6" s="14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110" t="n">
        <v>41104</v>
      </c>
      <c r="I6" s="111" t="inlineStr">
        <is>
          <t>vergoedingen stagiares</t>
        </is>
      </c>
      <c r="J6" s="109" t="n">
        <v>4</v>
      </c>
      <c r="K6" s="118" t="inlineStr">
        <is>
          <t>onderwijs</t>
        </is>
      </c>
      <c r="L6" s="101" t="n"/>
    </row>
    <row r="7" ht="15" customHeight="1" s="418">
      <c r="A7" s="99" t="n">
        <v>601006</v>
      </c>
      <c r="B7" s="99" t="inlineStr">
        <is>
          <t>burgemeester</t>
        </is>
      </c>
      <c r="C7" s="1" t="n"/>
      <c r="D7" s="14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110" t="n">
        <v>41105</v>
      </c>
      <c r="I7" s="111" t="inlineStr">
        <is>
          <t>corona salarissen</t>
        </is>
      </c>
      <c r="J7" s="109" t="n">
        <v>5</v>
      </c>
      <c r="K7" s="118" t="inlineStr">
        <is>
          <t>sport, cultuur en recreatie</t>
        </is>
      </c>
      <c r="L7" s="101" t="n"/>
    </row>
    <row r="8" ht="15" customHeight="1" s="418">
      <c r="A8" s="99" t="n">
        <v>601007</v>
      </c>
      <c r="B8" s="99" t="inlineStr">
        <is>
          <t>kosten voormalig b&amp;w</t>
        </is>
      </c>
      <c r="C8" s="1" t="n"/>
      <c r="D8" s="14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110" t="n">
        <v>42100</v>
      </c>
      <c r="I8" s="111" t="inlineStr">
        <is>
          <t>belastingen en heffingen</t>
        </is>
      </c>
      <c r="J8" s="109" t="n">
        <v>6</v>
      </c>
      <c r="K8" s="118" t="inlineStr">
        <is>
          <t>sociaal domein</t>
        </is>
      </c>
      <c r="L8" s="101" t="n"/>
    </row>
    <row r="9" ht="15" customHeight="1" s="418">
      <c r="A9" s="99" t="n">
        <v>601008</v>
      </c>
      <c r="B9" s="99" t="inlineStr">
        <is>
          <t>college van b&amp;w</t>
        </is>
      </c>
      <c r="C9" s="1" t="n"/>
      <c r="D9" s="14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110" t="n">
        <v>43100</v>
      </c>
      <c r="I9" s="111" t="inlineStr">
        <is>
          <t>grondaankopen</t>
        </is>
      </c>
      <c r="J9" s="109" t="n">
        <v>7</v>
      </c>
      <c r="K9" s="118" t="inlineStr">
        <is>
          <t>volksgezondheid en milieu</t>
        </is>
      </c>
      <c r="L9" s="101" t="n"/>
    </row>
    <row r="10" ht="15" customHeight="1" s="418">
      <c r="A10" s="99" t="n">
        <v>601009</v>
      </c>
      <c r="B10" s="99" t="inlineStr">
        <is>
          <t>sociaal-cultureel fonds</t>
        </is>
      </c>
      <c r="C10" s="1" t="n"/>
      <c r="D10" s="14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110" t="n">
        <v>43200</v>
      </c>
      <c r="I10" s="111" t="inlineStr">
        <is>
          <t>uitbestede investeringen</t>
        </is>
      </c>
      <c r="J10" s="109" t="n">
        <v>8</v>
      </c>
      <c r="K10" s="118" t="inlineStr">
        <is>
          <t>volkshuisv., ro en stedelijke vernieuwing</t>
        </is>
      </c>
      <c r="L10" s="101" t="n"/>
    </row>
    <row r="11" ht="15" customHeight="1" s="418">
      <c r="A11" s="99" t="n">
        <v>601010</v>
      </c>
      <c r="B11" s="99" t="inlineStr">
        <is>
          <t>kosten representatie</t>
        </is>
      </c>
      <c r="C11" s="1" t="n"/>
      <c r="D11" s="14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110" t="n">
        <v>43201</v>
      </c>
      <c r="I11" s="111" t="inlineStr">
        <is>
          <t>duurzame roerende goederen</t>
        </is>
      </c>
      <c r="J11" s="109" t="n"/>
      <c r="K11" s="118" t="n"/>
      <c r="L11" s="101" t="n"/>
    </row>
    <row r="12" ht="15" customHeight="1" s="418">
      <c r="A12" s="99" t="n">
        <v>601011</v>
      </c>
      <c r="B12" s="99" t="inlineStr">
        <is>
          <t>broodjes, bloemen ed</t>
        </is>
      </c>
      <c r="C12" s="1" t="n"/>
      <c r="D12" s="14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110" t="n">
        <v>43299</v>
      </c>
      <c r="I12" s="111" t="inlineStr">
        <is>
          <t>overboeking uitbestede investeringen</t>
        </is>
      </c>
      <c r="J12" s="109" t="n"/>
      <c r="K12" s="118" t="n"/>
      <c r="L12" s="101" t="n"/>
    </row>
    <row r="13" ht="15" customHeight="1" s="418">
      <c r="A13" s="99" t="n">
        <v>601012</v>
      </c>
      <c r="B13" s="99" t="inlineStr">
        <is>
          <t>metropoolregio eindhoven</t>
        </is>
      </c>
      <c r="C13" s="1" t="n"/>
      <c r="D13" s="14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110" t="n">
        <v>43301</v>
      </c>
      <c r="I13" s="111" t="inlineStr">
        <is>
          <t>pachten erfpacht ed</t>
        </is>
      </c>
      <c r="J13" s="109" t="n"/>
      <c r="K13" s="118" t="n"/>
      <c r="L13" s="101" t="n"/>
    </row>
    <row r="14" ht="15" customHeight="1" s="418">
      <c r="A14" s="99" t="n">
        <v>601013</v>
      </c>
      <c r="B14" s="99" t="inlineStr">
        <is>
          <t>stimuleringsfonds</t>
        </is>
      </c>
      <c r="C14" s="1" t="n"/>
      <c r="D14" s="14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110" t="n">
        <v>43410</v>
      </c>
      <c r="I14" s="112" t="inlineStr">
        <is>
          <t>sociale verstrekkingen in natura</t>
        </is>
      </c>
      <c r="J14" s="109" t="n"/>
      <c r="K14" s="118" t="n"/>
      <c r="L14" s="101" t="n"/>
    </row>
    <row r="15">
      <c r="A15" s="99" t="n">
        <v>601014</v>
      </c>
      <c r="B15" s="99" t="inlineStr">
        <is>
          <t>regionale projecten</t>
        </is>
      </c>
      <c r="C15" s="1" t="n"/>
      <c r="D15" s="14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110" t="n">
        <v>43411</v>
      </c>
      <c r="I15" s="114" t="inlineStr">
        <is>
          <t>corona soc verstrekking</t>
        </is>
      </c>
      <c r="J15" s="109" t="n"/>
      <c r="K15" s="118" t="n"/>
      <c r="L15" s="101" t="n"/>
    </row>
    <row r="16" ht="15" customHeight="1" s="418">
      <c r="A16" s="99" t="n">
        <v>601015</v>
      </c>
      <c r="B16" s="99" t="inlineStr">
        <is>
          <t>campus samenwerking</t>
        </is>
      </c>
      <c r="C16" s="1" t="n"/>
      <c r="D16" s="14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110" t="n">
        <v>43511</v>
      </c>
      <c r="I16" s="112" t="inlineStr">
        <is>
          <t>inhuur personeel</t>
        </is>
      </c>
      <c r="J16" s="109" t="n"/>
      <c r="K16" s="118" t="n"/>
      <c r="L16" s="101" t="n"/>
    </row>
    <row r="17" ht="15" customHeight="1" s="418">
      <c r="A17" s="99" t="n">
        <v>601016</v>
      </c>
      <c r="B17" s="99" t="inlineStr">
        <is>
          <t>bestuurlijk platf sted gebied eindh</t>
        </is>
      </c>
      <c r="C17" s="1" t="n"/>
      <c r="D17" s="14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110" t="n">
        <v>43512</v>
      </c>
      <c r="I17" s="112" t="inlineStr">
        <is>
          <t>corona inhuur personeel</t>
        </is>
      </c>
      <c r="J17" s="109" t="n"/>
      <c r="K17" s="118" t="n"/>
      <c r="L17" s="101" t="n"/>
    </row>
    <row r="18" ht="15" customHeight="1" s="418">
      <c r="A18" s="99" t="n">
        <v>601017</v>
      </c>
      <c r="B18" s="99" t="inlineStr">
        <is>
          <t>project voorzieningen sge</t>
        </is>
      </c>
      <c r="C18" s="1" t="n"/>
      <c r="D18" s="14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110" t="n">
        <v>43801</v>
      </c>
      <c r="I18" s="111" t="inlineStr">
        <is>
          <t>gasverbruik</t>
        </is>
      </c>
      <c r="J18" s="109" t="n"/>
      <c r="K18" s="118" t="n"/>
      <c r="L18" s="101" t="n"/>
    </row>
    <row r="19" ht="15" customHeight="1" s="418">
      <c r="A19" s="99" t="n">
        <v>601018</v>
      </c>
      <c r="B19" s="99" t="inlineStr">
        <is>
          <t>challenge ontsluiting</t>
        </is>
      </c>
      <c r="C19" s="1" t="n"/>
      <c r="D19" s="14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110" t="n">
        <v>43802</v>
      </c>
      <c r="I19" s="111" t="inlineStr">
        <is>
          <t>electriciteitsverbruik</t>
        </is>
      </c>
      <c r="K19" s="101" t="n"/>
      <c r="L19" s="101" t="n"/>
    </row>
    <row r="20" ht="15" customHeight="1" s="418">
      <c r="A20" s="99" t="n">
        <v>601019</v>
      </c>
      <c r="B20" s="99" t="inlineStr">
        <is>
          <t>contributies/lidmaatschappen</t>
        </is>
      </c>
      <c r="C20" s="1" t="n"/>
      <c r="D20" s="14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110" t="n">
        <v>43803</v>
      </c>
      <c r="I20" s="111" t="inlineStr">
        <is>
          <t>brandstoffen</t>
        </is>
      </c>
      <c r="K20" s="101" t="n"/>
      <c r="L20" s="101" t="n"/>
    </row>
    <row r="21" ht="15" customHeight="1" s="418">
      <c r="A21" s="99" t="n">
        <v>601020</v>
      </c>
      <c r="B21" s="99" t="inlineStr">
        <is>
          <t>samenwerking best oirschot</t>
        </is>
      </c>
      <c r="C21" s="1" t="n"/>
      <c r="D21" s="14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110" t="n">
        <v>43804</v>
      </c>
      <c r="I21" s="111" t="inlineStr">
        <is>
          <t>kosten algemene plannen</t>
        </is>
      </c>
      <c r="K21" s="101" t="n"/>
      <c r="L21" s="101" t="n"/>
    </row>
    <row r="22" ht="15" customHeight="1" s="418">
      <c r="A22" s="99" t="n">
        <v>601901</v>
      </c>
      <c r="B22" s="99" t="inlineStr">
        <is>
          <t>directe toerek bestuur</t>
        </is>
      </c>
      <c r="C22" s="1" t="n"/>
      <c r="D22" s="14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110" t="n">
        <v>43805</v>
      </c>
      <c r="I22" s="111" t="inlineStr">
        <is>
          <t>huurlasten</t>
        </is>
      </c>
      <c r="K22" s="101" t="n"/>
      <c r="L22" s="101" t="n"/>
    </row>
    <row r="23" ht="15" customHeight="1" s="418">
      <c r="A23" s="99" t="n">
        <v>601902</v>
      </c>
      <c r="B23" s="99" t="inlineStr">
        <is>
          <t>directe toerek regionale samenwerk</t>
        </is>
      </c>
      <c r="C23" s="1" t="n"/>
      <c r="D23" s="14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110" t="n">
        <v>43806</v>
      </c>
      <c r="I23" s="111" t="inlineStr">
        <is>
          <t>verzekeringen</t>
        </is>
      </c>
    </row>
    <row r="24" ht="15" customHeight="1" s="418">
      <c r="A24" s="99" t="n">
        <v>602001</v>
      </c>
      <c r="B24" s="99" t="inlineStr">
        <is>
          <t>burgelijke stand (1)</t>
        </is>
      </c>
      <c r="C24" s="1" t="n"/>
      <c r="D24" s="14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110" t="n">
        <v>43807</v>
      </c>
      <c r="I24" s="111" t="inlineStr">
        <is>
          <t>geneeskundig onderzoek personeel</t>
        </is>
      </c>
    </row>
    <row r="25" ht="15" customHeight="1" s="418">
      <c r="A25" s="99" t="n">
        <v>602002</v>
      </c>
      <c r="B25" s="99" t="inlineStr">
        <is>
          <t>reisdocumenten (2)</t>
        </is>
      </c>
      <c r="C25" s="1" t="n"/>
      <c r="D25" s="14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110" t="n">
        <v>43808</v>
      </c>
      <c r="I25" s="111" t="inlineStr">
        <is>
          <t>werving nieuw personeel</t>
        </is>
      </c>
    </row>
    <row r="26" ht="15" customHeight="1" s="418">
      <c r="A26" s="99" t="n">
        <v>602003</v>
      </c>
      <c r="B26" s="99" t="inlineStr">
        <is>
          <t>rijbewijzen (3)</t>
        </is>
      </c>
      <c r="C26" s="1" t="n"/>
      <c r="D26" s="14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110" t="n">
        <v>43809</v>
      </c>
      <c r="I26" s="111" t="inlineStr">
        <is>
          <t>advies en ondersteuning</t>
        </is>
      </c>
    </row>
    <row r="27" ht="15" customHeight="1" s="418">
      <c r="A27" s="99" t="n">
        <v>602004</v>
      </c>
      <c r="B27" s="99" t="inlineStr">
        <is>
          <t>basisregistratie personen (4)</t>
        </is>
      </c>
      <c r="C27" s="1" t="n"/>
      <c r="D27" s="14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110" t="n">
        <v>43810</v>
      </c>
      <c r="I27" s="111" t="inlineStr">
        <is>
          <t>lokaal personeelsbeleid</t>
        </is>
      </c>
    </row>
    <row r="28" ht="15" customHeight="1" s="418">
      <c r="A28" s="99" t="n">
        <v>602005</v>
      </c>
      <c r="B28" s="99" t="inlineStr">
        <is>
          <t>leges overig publiekszaken (5)</t>
        </is>
      </c>
      <c r="C28" s="1" t="n"/>
      <c r="D28" s="14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110" t="n">
        <v>43811</v>
      </c>
      <c r="I28" s="111" t="inlineStr">
        <is>
          <t>presentiegelden</t>
        </is>
      </c>
    </row>
    <row r="29" ht="15" customHeight="1" s="418">
      <c r="A29" s="99" t="n">
        <v>602006</v>
      </c>
      <c r="B29" s="99" t="inlineStr">
        <is>
          <t>verkiezingen (6)</t>
        </is>
      </c>
      <c r="C29" s="1" t="n"/>
      <c r="D29" s="14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110" t="n">
        <v>43812</v>
      </c>
      <c r="I29" s="111" t="inlineStr">
        <is>
          <t>overige goederen en diensten</t>
        </is>
      </c>
    </row>
    <row r="30" ht="15" customHeight="1" s="418">
      <c r="A30" s="99" t="n">
        <v>602007</v>
      </c>
      <c r="B30" s="99" t="inlineStr">
        <is>
          <t>publiekszaken</t>
        </is>
      </c>
      <c r="C30" s="1" t="n"/>
      <c r="D30" s="14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110" t="n">
        <v>43813</v>
      </c>
      <c r="I30" s="111" t="inlineStr">
        <is>
          <t>juridische kosten</t>
        </is>
      </c>
    </row>
    <row r="31" ht="15" customHeight="1" s="418">
      <c r="A31" s="99" t="n">
        <v>602901</v>
      </c>
      <c r="B31" s="99" t="inlineStr">
        <is>
          <t>directe toerek 1 burgerlijke stand</t>
        </is>
      </c>
      <c r="C31" s="1" t="n"/>
      <c r="D31" s="14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110" t="n">
        <v>43814</v>
      </c>
      <c r="I31" s="111" t="inlineStr">
        <is>
          <t>overig vaste uitgaven</t>
        </is>
      </c>
    </row>
    <row r="32" ht="15" customHeight="1" s="418">
      <c r="A32" s="99" t="n">
        <v>602902</v>
      </c>
      <c r="B32" s="99" t="inlineStr">
        <is>
          <t>directe toerek 2 reisdocumenten</t>
        </is>
      </c>
      <c r="C32" s="1" t="n"/>
      <c r="D32" s="14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110" t="n">
        <v>43815</v>
      </c>
      <c r="I32" s="111" t="inlineStr">
        <is>
          <t>huisvuilinzameling</t>
        </is>
      </c>
    </row>
    <row r="33" ht="15" customHeight="1" s="418">
      <c r="A33" s="99" t="n">
        <v>602903</v>
      </c>
      <c r="B33" s="99" t="inlineStr">
        <is>
          <t>directe toerek 3 rijbewijzen</t>
        </is>
      </c>
      <c r="C33" s="1" t="n"/>
      <c r="D33" s="14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110" t="n">
        <v>43816</v>
      </c>
      <c r="I33" s="111" t="inlineStr">
        <is>
          <t>afvalverwerking</t>
        </is>
      </c>
    </row>
    <row r="34" ht="15" customHeight="1" s="418">
      <c r="A34" s="99" t="n">
        <v>602904</v>
      </c>
      <c r="B34" s="99" t="inlineStr">
        <is>
          <t>directe toerek 4 verstrekkingen brp</t>
        </is>
      </c>
      <c r="C34" s="1" t="n"/>
      <c r="D34" s="14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110" t="n">
        <v>43817</v>
      </c>
      <c r="I34" s="112" t="inlineStr">
        <is>
          <t>exploitatie vastgoed</t>
        </is>
      </c>
    </row>
    <row r="35" ht="15" customHeight="1" s="418">
      <c r="A35" s="99" t="n">
        <v>602905</v>
      </c>
      <c r="B35" s="99" t="inlineStr">
        <is>
          <t xml:space="preserve">directe toerek 5 overige leges </t>
        </is>
      </c>
      <c r="C35" s="1" t="n"/>
      <c r="D35" s="14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110" t="n">
        <v>43818</v>
      </c>
      <c r="I35" s="112" t="inlineStr">
        <is>
          <t>werkkostenregeling</t>
        </is>
      </c>
    </row>
    <row r="36" ht="15" customHeight="1" s="418">
      <c r="A36" s="99" t="n">
        <v>602906</v>
      </c>
      <c r="B36" s="99" t="inlineStr">
        <is>
          <t>directe toerek publiekszaken</t>
        </is>
      </c>
      <c r="C36" s="1" t="n"/>
      <c r="D36" s="14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110" t="n">
        <v>43819</v>
      </c>
      <c r="I36" s="112" t="inlineStr">
        <is>
          <t>studie en opleiding</t>
        </is>
      </c>
    </row>
    <row r="37" ht="15" customHeight="1" s="418">
      <c r="A37" s="99" t="n">
        <v>602907</v>
      </c>
      <c r="B37" s="99" t="inlineStr">
        <is>
          <t>directe toerek verkiezingen</t>
        </is>
      </c>
      <c r="C37" s="1" t="n"/>
      <c r="D37" s="14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110" t="n">
        <v>43820</v>
      </c>
      <c r="I37" s="112" t="inlineStr">
        <is>
          <t>coronakosten algemeen</t>
        </is>
      </c>
    </row>
    <row r="38" ht="15" customHeight="1" s="418">
      <c r="A38" s="99" t="n">
        <v>603001</v>
      </c>
      <c r="B38" s="99" t="inlineStr">
        <is>
          <t>strategische gronden</t>
        </is>
      </c>
      <c r="C38" s="1" t="n"/>
      <c r="D38" s="14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110" t="n">
        <v>44110</v>
      </c>
      <c r="I38" s="112" t="inlineStr">
        <is>
          <t>sociale verstrekkingen in geld</t>
        </is>
      </c>
    </row>
    <row r="39" ht="15" customHeight="1" s="418">
      <c r="A39" s="99" t="n">
        <v>603002</v>
      </c>
      <c r="B39" s="99" t="inlineStr">
        <is>
          <t>garageboxen</t>
        </is>
      </c>
      <c r="C39" s="1" t="n"/>
      <c r="D39" s="14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110" t="n">
        <v>44111</v>
      </c>
      <c r="I39" s="111" t="inlineStr">
        <is>
          <t>overige kosten participatie</t>
        </is>
      </c>
    </row>
    <row r="40">
      <c r="A40" s="99" t="n">
        <v>603003</v>
      </c>
      <c r="B40" s="99" t="inlineStr">
        <is>
          <t>hartenvier 2</t>
        </is>
      </c>
      <c r="C40" s="1" t="n"/>
      <c r="D40" s="14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110" t="n">
        <v>44112</v>
      </c>
      <c r="I40" s="114" t="inlineStr">
        <is>
          <t>corona soc uitkeringen</t>
        </is>
      </c>
    </row>
    <row r="41" ht="15" customHeight="1" s="418">
      <c r="A41" s="99" t="n">
        <v>603004</v>
      </c>
      <c r="B41" s="99" t="inlineStr">
        <is>
          <t>i van de boschstraat 2a</t>
        </is>
      </c>
      <c r="C41" s="1" t="n"/>
      <c r="D41" s="14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110" t="n">
        <v>44310</v>
      </c>
      <c r="I41" s="111" t="inlineStr">
        <is>
          <t>inkomensoverdr aan het rijk</t>
        </is>
      </c>
    </row>
    <row r="42" ht="15" customHeight="1" s="418">
      <c r="A42" s="99" t="n">
        <v>603005</v>
      </c>
      <c r="B42" s="99" t="inlineStr">
        <is>
          <t>algemene lasten gebouwenbeheer</t>
        </is>
      </c>
      <c r="C42" s="1" t="n"/>
      <c r="D42" s="14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110" t="n">
        <v>44311</v>
      </c>
      <c r="I42" s="111" t="inlineStr">
        <is>
          <t>corona ink ovdr ah rijk</t>
        </is>
      </c>
    </row>
    <row r="43" ht="15" customHeight="1" s="418">
      <c r="A43" s="99" t="n">
        <v>603006</v>
      </c>
      <c r="B43" s="99" t="inlineStr">
        <is>
          <t>erfpachtovereenkomst best zoo</t>
        </is>
      </c>
      <c r="C43" s="1" t="n"/>
      <c r="D43" s="14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110" t="n">
        <v>44320</v>
      </c>
      <c r="I43" s="111" t="inlineStr">
        <is>
          <t>inkomensoverdr aan gemeenten</t>
        </is>
      </c>
    </row>
    <row r="44" ht="15" customHeight="1" s="418">
      <c r="A44" s="99" t="n">
        <v>603007</v>
      </c>
      <c r="B44" s="99" t="inlineStr">
        <is>
          <t>kon emmalaan 25</t>
        </is>
      </c>
      <c r="C44" s="1" t="n"/>
      <c r="D44" s="14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110" t="n">
        <v>44330</v>
      </c>
      <c r="I44" s="111" t="inlineStr">
        <is>
          <t>inkomensoverdr aan gem regelingen</t>
        </is>
      </c>
    </row>
    <row r="45">
      <c r="A45" s="99" t="n">
        <v>603008</v>
      </c>
      <c r="B45" s="99" t="inlineStr">
        <is>
          <t>molenstraat 1b</t>
        </is>
      </c>
      <c r="C45" s="1" t="n"/>
      <c r="D45" s="14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110" t="n">
        <v>44331</v>
      </c>
      <c r="I45" s="114" t="inlineStr">
        <is>
          <t>corona ink ovdr gem regelingen</t>
        </is>
      </c>
    </row>
    <row r="46" ht="15" customHeight="1" s="418">
      <c r="A46" s="99" t="n">
        <v>603009</v>
      </c>
      <c r="B46" s="99" t="inlineStr">
        <is>
          <t>h hartstraat 1 (en 1a)</t>
        </is>
      </c>
      <c r="C46" s="1" t="n"/>
      <c r="D46" s="14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110" t="n">
        <v>44340</v>
      </c>
      <c r="I46" s="111" t="inlineStr">
        <is>
          <t>inkomensoverdr aan provincie</t>
        </is>
      </c>
    </row>
    <row r="47" ht="15" customHeight="1" s="418">
      <c r="A47" s="99" t="n">
        <v>603010</v>
      </c>
      <c r="B47" s="99" t="inlineStr">
        <is>
          <t>verhuur spoorstraat 1</t>
        </is>
      </c>
      <c r="C47" s="1" t="n"/>
      <c r="D47" s="14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110" t="n">
        <v>44350</v>
      </c>
      <c r="I47" s="111" t="inlineStr">
        <is>
          <t>inkomensoverdr aan het waterschap</t>
        </is>
      </c>
    </row>
    <row r="48" ht="15" customHeight="1" s="418">
      <c r="A48" s="99" t="n">
        <v>603011</v>
      </c>
      <c r="B48" s="99" t="inlineStr">
        <is>
          <t>willem alexanderpark 11</t>
        </is>
      </c>
      <c r="C48" s="1" t="n"/>
      <c r="D48" s="14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110" t="n">
        <v>44360</v>
      </c>
      <c r="I48" s="111" t="inlineStr">
        <is>
          <t>inkomensoverdr aan overige overheden</t>
        </is>
      </c>
    </row>
    <row r="49" ht="15" customHeight="1" s="418">
      <c r="A49" s="99" t="n">
        <v>603012</v>
      </c>
      <c r="B49" s="99" t="inlineStr">
        <is>
          <t>aarleseweg 3</t>
        </is>
      </c>
      <c r="C49" s="1" t="n"/>
      <c r="D49" s="14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110" t="n">
        <v>44370</v>
      </c>
      <c r="I49" s="111" t="inlineStr">
        <is>
          <t>inkomensoverd aan de eu</t>
        </is>
      </c>
    </row>
    <row r="50" ht="15" customHeight="1" s="418">
      <c r="A50" s="99" t="n">
        <v>603013</v>
      </c>
      <c r="B50" s="99" t="inlineStr">
        <is>
          <t>stationsstraat 19</t>
        </is>
      </c>
      <c r="C50" s="1" t="n"/>
      <c r="D50" s="14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110" t="n">
        <v>44380</v>
      </c>
      <c r="I50" s="111" t="inlineStr">
        <is>
          <t>inkomensoverdr aan instell/personen</t>
        </is>
      </c>
    </row>
    <row r="51">
      <c r="A51" s="99" t="n">
        <v>603014</v>
      </c>
      <c r="B51" s="99" t="inlineStr">
        <is>
          <t>veldweg 14 en 16</t>
        </is>
      </c>
      <c r="C51" s="1" t="n"/>
      <c r="D51" s="14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110" t="n">
        <v>44381</v>
      </c>
      <c r="I51" s="114" t="inlineStr">
        <is>
          <t>corona inkovdr ov instell/personen</t>
        </is>
      </c>
    </row>
    <row r="52" ht="15" customHeight="1" s="418">
      <c r="A52" s="99" t="n">
        <v>603015</v>
      </c>
      <c r="B52" s="99" t="inlineStr">
        <is>
          <t>afgewikkelde complexen</t>
        </is>
      </c>
      <c r="C52" s="1" t="n"/>
      <c r="D52" s="14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110" t="n">
        <v>44390</v>
      </c>
      <c r="I52" s="111" t="inlineStr">
        <is>
          <t>inkomensoverdr onverdeeld</t>
        </is>
      </c>
    </row>
    <row r="53" ht="14.25" customHeight="1" s="418">
      <c r="A53" s="99" t="n">
        <v>603016</v>
      </c>
      <c r="B53" s="99" t="inlineStr">
        <is>
          <t>covid19 steunmaatregel huurders</t>
        </is>
      </c>
      <c r="C53" s="1" t="n"/>
      <c r="D53" s="14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110" t="n">
        <v>44391</v>
      </c>
      <c r="I53" s="114" t="inlineStr">
        <is>
          <t>corona ink overdr onverdeeld</t>
        </is>
      </c>
    </row>
    <row r="54" ht="14.25" customHeight="1" s="418">
      <c r="A54" s="99" t="n">
        <v>603017</v>
      </c>
      <c r="B54" s="99" t="inlineStr">
        <is>
          <t>vermeerstraat 21</t>
        </is>
      </c>
      <c r="C54" s="1" t="n"/>
      <c r="D54" s="14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110" t="n">
        <v>44410</v>
      </c>
      <c r="I54" s="113" t="inlineStr">
        <is>
          <t>kapitaaloverdr aan het rijk</t>
        </is>
      </c>
    </row>
    <row r="55" ht="15" customHeight="1" s="418">
      <c r="A55" s="99" t="n">
        <v>603018</v>
      </c>
      <c r="B55" s="99" t="inlineStr">
        <is>
          <t>wildheuvel 21/23(leegstand)</t>
        </is>
      </c>
      <c r="C55" s="1" t="n"/>
      <c r="D55" s="14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110" t="n">
        <v>44420</v>
      </c>
      <c r="I55" s="113" t="inlineStr">
        <is>
          <t>kapitaaloverdr aan gemeenten</t>
        </is>
      </c>
    </row>
    <row r="56" ht="15" customHeight="1" s="418">
      <c r="A56" s="99" t="n">
        <v>603019</v>
      </c>
      <c r="B56" s="99" t="inlineStr">
        <is>
          <t>afboeking iva onderz/ontwikk kosten</t>
        </is>
      </c>
      <c r="C56" s="1" t="n"/>
      <c r="D56" s="14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110" t="n">
        <v>44430</v>
      </c>
      <c r="I56" s="113" t="inlineStr">
        <is>
          <t>kapitaaloverd aan gem regelingen</t>
        </is>
      </c>
    </row>
    <row r="57" ht="12.75" customHeight="1" s="418">
      <c r="A57" s="99" t="n">
        <v>603901</v>
      </c>
      <c r="B57" s="99" t="inlineStr">
        <is>
          <t>directe toerek ov gebouwen grond</t>
        </is>
      </c>
      <c r="C57" s="1" t="n"/>
      <c r="D57" s="14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110" t="n">
        <v>44440</v>
      </c>
      <c r="I57" s="113" t="inlineStr">
        <is>
          <t>kapitaaloverdr aan provincie</t>
        </is>
      </c>
    </row>
    <row r="58" ht="15" customHeight="1" s="418">
      <c r="A58" s="99" t="n">
        <v>604001</v>
      </c>
      <c r="B58" s="99" t="inlineStr">
        <is>
          <t>uitkeringen voormalig personeel</t>
        </is>
      </c>
      <c r="C58" s="1" t="n"/>
      <c r="D58" s="14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110" t="n">
        <v>44450</v>
      </c>
      <c r="I58" s="113" t="inlineStr">
        <is>
          <t>kapitaaloverdr aan het waterschap</t>
        </is>
      </c>
    </row>
    <row r="59" ht="15" customHeight="1" s="418">
      <c r="A59" s="99" t="n">
        <v>604002</v>
      </c>
      <c r="B59" s="99" t="inlineStr">
        <is>
          <t>ov pers lasten niet direct toewijsb</t>
        </is>
      </c>
      <c r="C59" s="1" t="n"/>
      <c r="D59" s="14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110" t="n">
        <v>44460</v>
      </c>
      <c r="I59" s="113" t="inlineStr">
        <is>
          <t>kapitaaloverdr aan overige overheden</t>
        </is>
      </c>
    </row>
    <row r="60" ht="15" customHeight="1" s="418">
      <c r="A60" s="99" t="n">
        <v>604003</v>
      </c>
      <c r="B60" s="99" t="inlineStr">
        <is>
          <t>terugontv salarissen en uitkeringen</t>
        </is>
      </c>
      <c r="C60" s="1" t="n"/>
      <c r="D60" s="14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110" t="n">
        <v>44470</v>
      </c>
      <c r="I60" s="113" t="inlineStr">
        <is>
          <t>kapitaaloverdr aan de eu</t>
        </is>
      </c>
    </row>
    <row r="61" ht="15" customHeight="1" s="418">
      <c r="A61" s="99" t="n">
        <v>604004</v>
      </c>
      <c r="B61" s="99" t="inlineStr">
        <is>
          <t>lokaal arbeidsvoorwaardenbeleid</t>
        </is>
      </c>
      <c r="C61" s="1" t="n"/>
      <c r="D61" s="14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110" t="n">
        <v>44480</v>
      </c>
      <c r="I61" s="113" t="inlineStr">
        <is>
          <t>kapitaaloverdr aan instell/personen</t>
        </is>
      </c>
    </row>
    <row r="62">
      <c r="A62" s="99" t="n">
        <v>604005</v>
      </c>
      <c r="B62" s="99" t="inlineStr">
        <is>
          <t>samen op reis</t>
        </is>
      </c>
      <c r="C62" s="1" t="n"/>
      <c r="D62" s="14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110" t="n">
        <v>44481</v>
      </c>
      <c r="I62" s="114" t="inlineStr">
        <is>
          <t>corona kap ovdr ov instell/personen</t>
        </is>
      </c>
    </row>
    <row r="63" ht="15" customHeight="1" s="418">
      <c r="A63" s="99" t="n">
        <v>604006</v>
      </c>
      <c r="B63" s="99" t="inlineStr">
        <is>
          <t>exploitatielasten gemeentehuis</t>
        </is>
      </c>
      <c r="C63" s="1" t="n"/>
      <c r="D63" s="14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110" t="n">
        <v>44490</v>
      </c>
      <c r="I63" s="113" t="inlineStr">
        <is>
          <t>kapitaaloverdr onverdeeld</t>
        </is>
      </c>
    </row>
    <row r="64" ht="15" customHeight="1" s="418">
      <c r="A64" s="99" t="n">
        <v>604007</v>
      </c>
      <c r="B64" s="99" t="inlineStr">
        <is>
          <t>dienstverleningsvisie</t>
        </is>
      </c>
      <c r="C64" s="1" t="n"/>
      <c r="D64" s="14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110" t="n">
        <v>44510</v>
      </c>
      <c r="I64" s="113" t="inlineStr">
        <is>
          <t>investeringsbijdr rijk</t>
        </is>
      </c>
      <c r="M64" s="101" t="n"/>
      <c r="N64" s="101" t="n"/>
      <c r="O64" s="101" t="n"/>
    </row>
    <row r="65" ht="15" customHeight="1" s="418">
      <c r="A65" s="99" t="n">
        <v>604008</v>
      </c>
      <c r="B65" s="99" t="inlineStr">
        <is>
          <t>bodediensten</t>
        </is>
      </c>
      <c r="C65" s="1" t="n"/>
      <c r="D65" s="14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110" t="n">
        <v>44520</v>
      </c>
      <c r="I65" s="113" t="inlineStr">
        <is>
          <t>investeringsbijdr gemeenten</t>
        </is>
      </c>
      <c r="M65" s="101" t="n"/>
      <c r="N65" s="101" t="n"/>
      <c r="O65" s="101" t="n"/>
    </row>
    <row r="66" ht="15" customHeight="1" s="418">
      <c r="A66" s="99" t="n">
        <v>604009</v>
      </c>
      <c r="B66" s="99" t="inlineStr">
        <is>
          <t>keuken en keukenbenodigdheden</t>
        </is>
      </c>
      <c r="C66" s="1" t="n"/>
      <c r="D66" s="14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110" t="n">
        <v>44530</v>
      </c>
      <c r="I66" s="113" t="inlineStr">
        <is>
          <t>investeringsbijdr gem regelingen</t>
        </is>
      </c>
      <c r="M66" s="101" t="n"/>
      <c r="N66" s="101" t="n"/>
      <c r="O66" s="101" t="n"/>
    </row>
    <row r="67" ht="15" customHeight="1" s="418">
      <c r="A67" s="99" t="n">
        <v>604010</v>
      </c>
      <c r="B67" s="99" t="inlineStr">
        <is>
          <t>telefonie</t>
        </is>
      </c>
      <c r="C67" s="1" t="n"/>
      <c r="D67" s="14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110" t="n">
        <v>44540</v>
      </c>
      <c r="I67" s="113" t="inlineStr">
        <is>
          <t>investeringsbijdr provincie</t>
        </is>
      </c>
      <c r="M67" s="101" t="n"/>
      <c r="N67" s="101" t="n"/>
      <c r="O67" s="101" t="n"/>
    </row>
    <row r="68" ht="12.75" customHeight="1" s="418">
      <c r="A68" s="99" t="n">
        <v>604011</v>
      </c>
      <c r="B68" s="99" t="inlineStr">
        <is>
          <t>huisdrukkerij</t>
        </is>
      </c>
      <c r="C68" s="1" t="n"/>
      <c r="D68" s="14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110" t="n">
        <v>44550</v>
      </c>
      <c r="I68" s="113" t="inlineStr">
        <is>
          <t>investeringsbijdr waterschappen</t>
        </is>
      </c>
      <c r="M68" s="101" t="n"/>
      <c r="N68" s="101" t="n"/>
      <c r="O68" s="101" t="n"/>
    </row>
    <row r="69" ht="15" customHeight="1" s="418">
      <c r="A69" s="99" t="n">
        <v>604012</v>
      </c>
      <c r="B69" s="99" t="inlineStr">
        <is>
          <t>vakliteratuur</t>
        </is>
      </c>
      <c r="C69" s="1" t="n"/>
      <c r="D69" s="14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110" t="n">
        <v>44560</v>
      </c>
      <c r="I69" s="113" t="inlineStr">
        <is>
          <t>investeringsbijdr ov overheden</t>
        </is>
      </c>
      <c r="M69" s="101" t="n"/>
      <c r="N69" s="101" t="n"/>
      <c r="O69" s="101" t="n"/>
    </row>
    <row r="70" ht="12.75" customHeight="1" s="418">
      <c r="A70" s="99" t="n">
        <v>604013</v>
      </c>
      <c r="B70" s="99" t="inlineStr">
        <is>
          <t>archief</t>
        </is>
      </c>
      <c r="C70" s="1" t="n"/>
      <c r="D70" s="14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110" t="n">
        <v>44570</v>
      </c>
      <c r="I70" s="113" t="inlineStr">
        <is>
          <t>investeringsbijdr europese unie</t>
        </is>
      </c>
      <c r="M70" s="101" t="n"/>
      <c r="N70" s="101" t="n"/>
      <c r="O70" s="101" t="n"/>
    </row>
    <row r="71" ht="15" customHeight="1" s="418">
      <c r="A71" s="99" t="n">
        <v>604014</v>
      </c>
      <c r="B71" s="99" t="inlineStr">
        <is>
          <t>bedrijfshulpverlening(bhv)</t>
        </is>
      </c>
      <c r="C71" s="1" t="n"/>
      <c r="D71" s="14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110" t="n">
        <v>44580</v>
      </c>
      <c r="I71" s="113" t="inlineStr">
        <is>
          <t>investeringsbijdr ov instell/person</t>
        </is>
      </c>
      <c r="M71" s="101" t="n"/>
      <c r="N71" s="101" t="n"/>
      <c r="O71" s="101" t="n"/>
    </row>
    <row r="72" ht="15" customHeight="1" s="418">
      <c r="A72" s="99" t="n">
        <v>604015</v>
      </c>
      <c r="B72" s="99" t="inlineStr">
        <is>
          <t>inventaris</t>
        </is>
      </c>
      <c r="C72" s="1" t="n"/>
      <c r="D72" s="14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110" t="n">
        <v>44660</v>
      </c>
      <c r="I72" s="113" t="inlineStr">
        <is>
          <t>overige kapitaaloverdr overheid</t>
        </is>
      </c>
      <c r="M72" s="101" t="n"/>
      <c r="N72" s="101" t="n"/>
      <c r="O72" s="101" t="n"/>
    </row>
    <row r="73" ht="15" customHeight="1" s="418">
      <c r="A73" s="99" t="n">
        <v>604016</v>
      </c>
      <c r="B73" s="99" t="inlineStr">
        <is>
          <t>facilitaire zaken</t>
        </is>
      </c>
      <c r="C73" s="1" t="n"/>
      <c r="D73" s="14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110" t="n">
        <v>44680</v>
      </c>
      <c r="I73" s="113" t="inlineStr">
        <is>
          <t>overige kapitaaloverdr instel/person</t>
        </is>
      </c>
      <c r="M73" s="101" t="n"/>
      <c r="N73" s="101" t="n"/>
      <c r="O73" s="101" t="n"/>
    </row>
    <row r="74" ht="15" customHeight="1" s="418">
      <c r="A74" s="99" t="n">
        <v>604017</v>
      </c>
      <c r="B74" s="99" t="inlineStr">
        <is>
          <t>automatisering</t>
        </is>
      </c>
      <c r="C74" s="1" t="n"/>
      <c r="D74" s="14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110" t="n">
        <v>45100</v>
      </c>
      <c r="I74" s="111" t="inlineStr">
        <is>
          <t>betaalde rente</t>
        </is>
      </c>
      <c r="M74" s="101" t="n"/>
      <c r="N74" s="101" t="n"/>
      <c r="O74" s="101" t="n"/>
    </row>
    <row r="75" ht="15" customHeight="1" s="418">
      <c r="A75" s="99" t="n">
        <v>604018</v>
      </c>
      <c r="B75" s="99" t="inlineStr">
        <is>
          <t>informatiemanagement</t>
        </is>
      </c>
      <c r="C75" s="1" t="n"/>
      <c r="D75" s="14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110" t="n">
        <v>46100</v>
      </c>
      <c r="I75" s="111" t="inlineStr">
        <is>
          <t>financiele transactie</t>
        </is>
      </c>
      <c r="M75" s="101" t="n"/>
      <c r="N75" s="101" t="n"/>
      <c r="O75" s="101" t="n"/>
    </row>
    <row r="76" ht="15" customHeight="1" s="418">
      <c r="A76" s="99" t="n">
        <v>604019</v>
      </c>
      <c r="B76" s="99" t="inlineStr">
        <is>
          <t>informatievoorziening</t>
        </is>
      </c>
      <c r="C76" s="1" t="n"/>
      <c r="D76" s="14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110" t="n">
        <v>46101</v>
      </c>
      <c r="I76" s="111" t="inlineStr">
        <is>
          <t>chartaal geld depos</t>
        </is>
      </c>
      <c r="M76" s="101" t="n"/>
      <c r="N76" s="101" t="n"/>
      <c r="O76" s="101" t="n"/>
    </row>
    <row r="77" ht="15" customHeight="1" s="418">
      <c r="A77" s="99" t="n">
        <v>604020</v>
      </c>
      <c r="B77" s="99" t="inlineStr">
        <is>
          <t>management i&amp;o</t>
        </is>
      </c>
      <c r="C77" s="1" t="n"/>
      <c r="D77" s="14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110" t="n">
        <v>46102</v>
      </c>
      <c r="I77" s="111" t="inlineStr">
        <is>
          <t>langlop eff muv aand</t>
        </is>
      </c>
      <c r="M77" s="101" t="n"/>
      <c r="N77" s="101" t="n"/>
      <c r="O77" s="101" t="n"/>
    </row>
    <row r="78" ht="15" customHeight="1" s="418">
      <c r="A78" s="99" t="n">
        <v>604021</v>
      </c>
      <c r="B78" s="99" t="inlineStr">
        <is>
          <t>gba</t>
        </is>
      </c>
      <c r="C78" s="1" t="n"/>
      <c r="D78" s="14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110" t="n">
        <v>46103</v>
      </c>
      <c r="I78" s="111" t="inlineStr">
        <is>
          <t>kortlopende leningen</t>
        </is>
      </c>
      <c r="M78" s="101" t="n"/>
      <c r="N78" s="101" t="n"/>
      <c r="O78" s="101" t="n"/>
    </row>
    <row r="79" ht="15" customHeight="1" s="418">
      <c r="A79" s="99" t="n">
        <v>604022</v>
      </c>
      <c r="B79" s="99" t="inlineStr">
        <is>
          <t>Implementatie big (P248)</t>
        </is>
      </c>
      <c r="C79" s="1" t="n"/>
      <c r="D79" s="14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110" t="n">
        <v>46104</v>
      </c>
      <c r="I79" s="111" t="inlineStr">
        <is>
          <t>verstrekte langlopende leningen</t>
        </is>
      </c>
      <c r="M79" s="101" t="n"/>
      <c r="N79" s="101" t="n"/>
      <c r="O79" s="101" t="n"/>
    </row>
    <row r="80" ht="15" customHeight="1" s="418">
      <c r="A80" s="99" t="n">
        <v>604023</v>
      </c>
      <c r="B80" s="99" t="inlineStr">
        <is>
          <t>contributies/lidmaatschapp algemeen</t>
        </is>
      </c>
      <c r="C80" s="1" t="n"/>
      <c r="D80" s="14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110" t="n">
        <v>46105</v>
      </c>
      <c r="I80" s="111" t="inlineStr">
        <is>
          <t>afloss opgenom langlopende leningen</t>
        </is>
      </c>
      <c r="M80" s="101" t="n"/>
      <c r="N80" s="101" t="n"/>
      <c r="O80" s="101" t="n"/>
    </row>
    <row r="81" ht="15" customHeight="1" s="418">
      <c r="A81" s="99" t="n">
        <v>604024</v>
      </c>
      <c r="B81" s="99" t="inlineStr">
        <is>
          <t>personeel en organisatie</t>
        </is>
      </c>
      <c r="C81" s="1" t="n"/>
      <c r="D81" s="14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110" t="n">
        <v>46106</v>
      </c>
      <c r="I81" s="111" t="inlineStr">
        <is>
          <t>aandelen ov deelnem</t>
        </is>
      </c>
      <c r="M81" s="101" t="n"/>
      <c r="N81" s="101" t="n"/>
      <c r="O81" s="101" t="n"/>
    </row>
    <row r="82" ht="15" customHeight="1" s="418">
      <c r="A82" s="99" t="n">
        <v>604025</v>
      </c>
      <c r="B82" s="99" t="inlineStr">
        <is>
          <t>management fi</t>
        </is>
      </c>
      <c r="C82" s="1" t="n"/>
      <c r="D82" s="14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110" t="n">
        <v>46107</v>
      </c>
      <c r="I82" s="111" t="inlineStr">
        <is>
          <t>corona verstrekte langl geldlen</t>
        </is>
      </c>
      <c r="M82" s="101" t="n"/>
      <c r="N82" s="101" t="n"/>
      <c r="O82" s="101" t="n"/>
    </row>
    <row r="83" ht="15" customHeight="1" s="418">
      <c r="A83" s="99" t="n">
        <v>604026</v>
      </c>
      <c r="B83" s="99" t="inlineStr">
        <is>
          <t>management advies en financien</t>
        </is>
      </c>
      <c r="C83" s="1" t="n"/>
      <c r="D83" s="14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110" t="n">
        <v>47100</v>
      </c>
      <c r="I83" s="111" t="inlineStr">
        <is>
          <t>reserveringen</t>
        </is>
      </c>
      <c r="M83" s="101" t="n"/>
      <c r="N83" s="101" t="n"/>
      <c r="O83" s="101" t="n"/>
    </row>
    <row r="84" ht="15" customHeight="1" s="418">
      <c r="A84" s="99" t="n">
        <v>604027</v>
      </c>
      <c r="B84" s="99" t="inlineStr">
        <is>
          <t>financiele administratie</t>
        </is>
      </c>
      <c r="C84" s="1" t="n"/>
      <c r="D84" s="14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110" t="n">
        <v>47101</v>
      </c>
      <c r="I84" s="111" t="inlineStr">
        <is>
          <t>reservering resultaat</t>
        </is>
      </c>
      <c r="M84" s="101" t="n"/>
      <c r="N84" s="101" t="n"/>
      <c r="O84" s="101" t="n"/>
    </row>
    <row r="85" ht="15" customHeight="1" s="418">
      <c r="A85" s="99" t="n">
        <v>604028</v>
      </c>
      <c r="B85" s="99" t="inlineStr">
        <is>
          <t>financieel beleid</t>
        </is>
      </c>
      <c r="C85" s="1" t="n"/>
      <c r="D85" s="14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110" t="n">
        <v>47200</v>
      </c>
      <c r="I85" s="111" t="inlineStr">
        <is>
          <t>voorziening contante waarde</t>
        </is>
      </c>
      <c r="M85" s="101" t="n"/>
      <c r="N85" s="101" t="n"/>
      <c r="O85" s="101" t="n"/>
    </row>
    <row r="86" ht="15" customHeight="1" s="418">
      <c r="A86" s="99" t="n">
        <v>604029</v>
      </c>
      <c r="B86" s="99" t="inlineStr">
        <is>
          <t>communicatie</t>
        </is>
      </c>
      <c r="C86" s="1" t="n"/>
      <c r="D86" s="14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110" t="n">
        <v>47201</v>
      </c>
      <c r="I86" s="111" t="inlineStr">
        <is>
          <t>onderhoudsvoorzieningen</t>
        </is>
      </c>
      <c r="M86" s="101" t="n"/>
      <c r="N86" s="101" t="n"/>
      <c r="O86" s="101" t="n"/>
    </row>
    <row r="87" ht="15" customHeight="1" s="418">
      <c r="A87" s="99" t="n">
        <v>604030</v>
      </c>
      <c r="B87" s="99" t="inlineStr">
        <is>
          <t>advertentiekosten</t>
        </is>
      </c>
      <c r="C87" s="1" t="n"/>
      <c r="D87" s="14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110" t="n">
        <v>47300</v>
      </c>
      <c r="I87" s="111" t="inlineStr">
        <is>
          <t>afschrijvingen</t>
        </is>
      </c>
      <c r="M87" s="101" t="n"/>
      <c r="N87" s="101" t="n"/>
      <c r="O87" s="101" t="n"/>
    </row>
    <row r="88" ht="15" customHeight="1" s="418">
      <c r="A88" s="99" t="n">
        <v>604031</v>
      </c>
      <c r="B88" s="99" t="inlineStr">
        <is>
          <t>digitale dienstverlening</t>
        </is>
      </c>
      <c r="C88" s="1" t="n"/>
      <c r="D88" s="14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110" t="n">
        <v>47400</v>
      </c>
      <c r="I88" s="111" t="inlineStr">
        <is>
          <t>toegerekende rente</t>
        </is>
      </c>
      <c r="M88" s="101" t="n"/>
      <c r="N88" s="101" t="n"/>
      <c r="O88" s="101" t="n"/>
    </row>
    <row r="89" ht="15" customHeight="1" s="418">
      <c r="A89" s="99" t="n">
        <v>604032</v>
      </c>
      <c r="B89" s="99" t="inlineStr">
        <is>
          <t xml:space="preserve">juridische zaken </t>
        </is>
      </c>
      <c r="C89" s="1" t="n"/>
      <c r="D89" s="14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110" t="n">
        <v>47500</v>
      </c>
      <c r="I89" s="113" t="inlineStr">
        <is>
          <t>mutatie boekwaarde bouwgrond</t>
        </is>
      </c>
      <c r="M89" s="101" t="n"/>
      <c r="N89" s="101" t="n"/>
      <c r="O89" s="101" t="n"/>
    </row>
    <row r="90" ht="15" customHeight="1" s="418">
      <c r="A90" s="99" t="n">
        <v>604033</v>
      </c>
      <c r="B90" s="99" t="inlineStr">
        <is>
          <t>kwaliteit &amp; control</t>
        </is>
      </c>
      <c r="C90" s="1" t="n"/>
      <c r="D90" s="14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110" t="n">
        <v>47501</v>
      </c>
      <c r="I90" s="111" t="inlineStr">
        <is>
          <t>verrekeningen</t>
        </is>
      </c>
      <c r="M90" s="101" t="n"/>
      <c r="N90" s="101" t="n"/>
      <c r="O90" s="101" t="n"/>
    </row>
    <row r="91" ht="15" customHeight="1" s="418">
      <c r="A91" s="99" t="n">
        <v>604034</v>
      </c>
      <c r="B91" s="99" t="inlineStr">
        <is>
          <t>directie</t>
        </is>
      </c>
      <c r="C91" s="1" t="n"/>
      <c r="D91" s="14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115" t="n">
        <v>82210</v>
      </c>
      <c r="I91" s="113" t="inlineStr">
        <is>
          <t>belasting producenten</t>
        </is>
      </c>
      <c r="M91" s="101" t="n"/>
      <c r="N91" s="101" t="n"/>
      <c r="O91" s="101" t="n"/>
    </row>
    <row r="92">
      <c r="A92" s="99" t="n">
        <v>604035</v>
      </c>
      <c r="B92" s="99" t="inlineStr">
        <is>
          <t>ondernemingsraad</t>
        </is>
      </c>
      <c r="C92" s="1" t="n"/>
      <c r="D92" s="14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110" t="n">
        <v>82211</v>
      </c>
      <c r="I92" s="114" t="inlineStr">
        <is>
          <t>corona belasting op producenten</t>
        </is>
      </c>
      <c r="M92" s="101" t="n"/>
      <c r="N92" s="101" t="n"/>
      <c r="O92" s="101" t="n"/>
    </row>
    <row r="93" ht="15" customHeight="1" s="418">
      <c r="A93" s="99" t="n">
        <v>604036</v>
      </c>
      <c r="B93" s="99" t="inlineStr">
        <is>
          <t>terugontvangsten salarissen</t>
        </is>
      </c>
      <c r="C93" s="1" t="n"/>
      <c r="D93" s="14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115" t="n">
        <v>82220</v>
      </c>
      <c r="I93" s="113" t="inlineStr">
        <is>
          <t>belasting inkomen gezinnen</t>
        </is>
      </c>
      <c r="M93" s="101" t="n"/>
      <c r="N93" s="101" t="n"/>
      <c r="O93" s="101" t="n"/>
    </row>
    <row r="94" ht="15" customHeight="1" s="418">
      <c r="A94" s="99" t="n">
        <v>604037</v>
      </c>
      <c r="B94" s="99" t="inlineStr">
        <is>
          <t>management r&amp;o</t>
        </is>
      </c>
      <c r="C94" s="1" t="n"/>
      <c r="D94" s="14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115" t="n">
        <v>83100</v>
      </c>
      <c r="I94" s="113" t="inlineStr">
        <is>
          <t>grondverkopen</t>
        </is>
      </c>
      <c r="M94" s="101" t="n"/>
      <c r="N94" s="101" t="n"/>
      <c r="O94" s="101" t="n"/>
    </row>
    <row r="95" ht="15" customHeight="1" s="418">
      <c r="A95" s="99" t="n">
        <v>604038</v>
      </c>
      <c r="B95" s="99" t="inlineStr">
        <is>
          <t>vastgoedbeheer</t>
        </is>
      </c>
      <c r="C95" s="1" t="n"/>
      <c r="D95" s="14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115" t="n">
        <v>83200</v>
      </c>
      <c r="I95" s="113" t="inlineStr">
        <is>
          <t>duurzame investeringen</t>
        </is>
      </c>
      <c r="M95" s="101" t="n"/>
      <c r="N95" s="101" t="n"/>
      <c r="O95" s="101" t="n"/>
    </row>
    <row r="96" ht="15" customHeight="1" s="418">
      <c r="A96" s="99" t="n">
        <v>604039</v>
      </c>
      <c r="B96" s="99" t="inlineStr">
        <is>
          <t>management oz</t>
        </is>
      </c>
      <c r="C96" s="1" t="n"/>
      <c r="D96" s="14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115" t="n">
        <v>83300</v>
      </c>
      <c r="I96" s="113" t="inlineStr">
        <is>
          <t>pachten</t>
        </is>
      </c>
      <c r="M96" s="101" t="n"/>
      <c r="N96" s="101" t="n"/>
      <c r="O96" s="101" t="n"/>
    </row>
    <row r="97" ht="15" customHeight="1" s="418">
      <c r="A97" s="99" t="n">
        <v>604040</v>
      </c>
      <c r="B97" s="99" t="inlineStr">
        <is>
          <t>management pz</t>
        </is>
      </c>
      <c r="C97" s="1" t="n"/>
      <c r="D97" s="14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110" t="n">
        <v>83301</v>
      </c>
      <c r="I97" s="114" t="inlineStr">
        <is>
          <t>corona pachten</t>
        </is>
      </c>
      <c r="M97" s="101" t="n"/>
      <c r="N97" s="101" t="n"/>
      <c r="O97" s="101" t="n"/>
    </row>
    <row r="98" ht="12.75" customHeight="1" s="418">
      <c r="A98" s="99" t="n">
        <v>604041</v>
      </c>
      <c r="B98" s="99" t="inlineStr">
        <is>
          <t>tic/tkcc</t>
        </is>
      </c>
      <c r="C98" s="1" t="n"/>
      <c r="D98" s="14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115" t="n">
        <v>83420</v>
      </c>
      <c r="I98" s="113" t="inlineStr">
        <is>
          <t>verhaal sociale uitkeringen natura</t>
        </is>
      </c>
      <c r="M98" s="101" t="n"/>
      <c r="N98" s="101" t="n"/>
      <c r="O98" s="101" t="n"/>
    </row>
    <row r="99" ht="15" customHeight="1" s="418">
      <c r="A99" s="99" t="n">
        <v>604042</v>
      </c>
      <c r="B99" s="99" t="inlineStr">
        <is>
          <t xml:space="preserve">flexibele schil 1e lijn </t>
        </is>
      </c>
      <c r="C99" s="1" t="n"/>
      <c r="D99" s="14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110" t="n">
        <v>83421</v>
      </c>
      <c r="I99" s="114" t="inlineStr">
        <is>
          <t>corona eigen bijdr/verhaal</t>
        </is>
      </c>
      <c r="M99" s="101" t="n"/>
      <c r="N99" s="101" t="n"/>
      <c r="O99" s="101" t="n"/>
    </row>
    <row r="100" ht="15" customHeight="1" s="418">
      <c r="A100" s="99" t="n">
        <v>604043</v>
      </c>
      <c r="B100" s="99" t="inlineStr">
        <is>
          <t>flexibele schil 2e lijn</t>
        </is>
      </c>
      <c r="C100" s="1" t="n"/>
      <c r="D100" s="14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115" t="n">
        <v>83520</v>
      </c>
      <c r="I100" s="113" t="inlineStr">
        <is>
          <t>vergoedingen voor personeel</t>
        </is>
      </c>
      <c r="M100" s="101" t="n"/>
      <c r="N100" s="101" t="n"/>
      <c r="O100" s="101" t="n"/>
    </row>
    <row r="101" ht="15" customHeight="1" s="418">
      <c r="A101" s="99" t="n">
        <v>604044</v>
      </c>
      <c r="B101" s="99" t="inlineStr">
        <is>
          <t>management b&amp;r</t>
        </is>
      </c>
      <c r="C101" s="1" t="n"/>
      <c r="D101" s="14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115" t="n">
        <v>83600</v>
      </c>
      <c r="I101" s="113" t="inlineStr">
        <is>
          <t>huren</t>
        </is>
      </c>
      <c r="M101" s="101" t="n"/>
      <c r="N101" s="101" t="n"/>
      <c r="O101" s="101" t="n"/>
    </row>
    <row r="102" ht="15" customHeight="1" s="418">
      <c r="A102" s="99" t="n">
        <v>604045</v>
      </c>
      <c r="B102" s="99" t="inlineStr">
        <is>
          <t>gemeentewerf</t>
        </is>
      </c>
      <c r="C102" s="1" t="n"/>
      <c r="D102" s="14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115" t="n">
        <v>83601</v>
      </c>
      <c r="I102" s="114" t="inlineStr">
        <is>
          <t>corona huren</t>
        </is>
      </c>
      <c r="M102" s="101" t="n"/>
      <c r="N102" s="101" t="n"/>
      <c r="O102" s="101" t="n"/>
    </row>
    <row r="103" ht="15" customHeight="1" s="418">
      <c r="A103" s="99" t="n">
        <v>604046</v>
      </c>
      <c r="B103" s="99" t="inlineStr">
        <is>
          <t>gereedschappen</t>
        </is>
      </c>
      <c r="C103" s="1" t="n"/>
      <c r="D103" s="14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115" t="n">
        <v>83700</v>
      </c>
      <c r="I103" s="113" t="inlineStr">
        <is>
          <t>leges en rechten</t>
        </is>
      </c>
      <c r="M103" s="101" t="n"/>
      <c r="N103" s="101" t="n"/>
      <c r="O103" s="101" t="n"/>
    </row>
    <row r="104" ht="15" customHeight="1" s="418">
      <c r="A104" s="99" t="n">
        <v>604047</v>
      </c>
      <c r="B104" s="99" t="inlineStr">
        <is>
          <t>vrachtwagen met laadkraan</t>
        </is>
      </c>
      <c r="C104" s="1" t="n"/>
      <c r="D104" s="14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110" t="n">
        <v>83701</v>
      </c>
      <c r="I104" s="114" t="inlineStr">
        <is>
          <t>corona leges en andere rechten</t>
        </is>
      </c>
      <c r="M104" s="101" t="n"/>
      <c r="N104" s="101" t="n"/>
      <c r="O104" s="101" t="n"/>
    </row>
    <row r="105" ht="15" customHeight="1" s="418">
      <c r="A105" s="99" t="n">
        <v>604048</v>
      </c>
      <c r="B105" s="99" t="inlineStr">
        <is>
          <t>voertuigen/gereedschappen algemeen</t>
        </is>
      </c>
      <c r="C105" s="1" t="n"/>
      <c r="D105" s="14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115" t="n">
        <v>83800</v>
      </c>
      <c r="I105" s="113" t="inlineStr">
        <is>
          <t>overige goederen en diensten</t>
        </is>
      </c>
    </row>
    <row r="106" ht="15" customHeight="1" s="418">
      <c r="A106" s="99" t="n">
        <v>604049</v>
      </c>
      <c r="B106" s="99" t="inlineStr">
        <is>
          <t>bestelwagen timmerman</t>
        </is>
      </c>
      <c r="C106" s="1" t="n"/>
      <c r="D106" s="14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115" t="n">
        <v>83801</v>
      </c>
      <c r="I106" s="113" t="inlineStr">
        <is>
          <t>corona ov goed/dnst</t>
        </is>
      </c>
    </row>
    <row r="107" ht="15" customHeight="1" s="418">
      <c r="A107" s="99" t="n">
        <v>604050</v>
      </c>
      <c r="B107" s="99" t="inlineStr">
        <is>
          <t>dienstauto's</t>
        </is>
      </c>
      <c r="C107" s="1" t="n"/>
      <c r="D107" s="14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115" t="n">
        <v>84120</v>
      </c>
      <c r="I107" s="113" t="inlineStr">
        <is>
          <t>verhaal sociale uitkeringen geld</t>
        </is>
      </c>
    </row>
    <row r="108" ht="15" customHeight="1" s="418">
      <c r="A108" s="99" t="n">
        <v>604051</v>
      </c>
      <c r="B108" s="99" t="inlineStr">
        <is>
          <t>project samen gaan</t>
        </is>
      </c>
      <c r="C108" s="1" t="n"/>
      <c r="D108" s="14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115" t="n">
        <v>84121</v>
      </c>
      <c r="I108" s="116" t="inlineStr">
        <is>
          <t>corona bijdr/verhaal uitk in geld</t>
        </is>
      </c>
    </row>
    <row r="109" ht="15" customHeight="1" s="418">
      <c r="A109" s="99" t="n">
        <v>604052</v>
      </c>
      <c r="B109" s="99" t="inlineStr">
        <is>
          <t>visie nieuwbouw</t>
        </is>
      </c>
      <c r="C109" s="1" t="n"/>
      <c r="D109" s="14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115" t="n">
        <v>84310</v>
      </c>
      <c r="I109" s="111" t="inlineStr">
        <is>
          <t>inkomensoverdr van het rijk</t>
        </is>
      </c>
    </row>
    <row r="110">
      <c r="A110" s="99" t="n">
        <v>604053</v>
      </c>
      <c r="B110" s="99" t="inlineStr">
        <is>
          <t>werkbudget interne dienstverl</t>
        </is>
      </c>
      <c r="C110" s="1" t="n"/>
      <c r="D110" s="14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110" t="n">
        <v>84311</v>
      </c>
      <c r="I110" s="114" t="inlineStr">
        <is>
          <t>corona ovdr van het rijk</t>
        </is>
      </c>
    </row>
    <row r="111" ht="15" customHeight="1" s="418">
      <c r="A111" s="99" t="n">
        <v>604054</v>
      </c>
      <c r="B111" s="99" t="inlineStr">
        <is>
          <t>verbetering bereikbaarheid</t>
        </is>
      </c>
      <c r="C111" s="1" t="n"/>
      <c r="D111" s="14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115" t="n">
        <v>84320</v>
      </c>
      <c r="I111" s="111" t="inlineStr">
        <is>
          <t>inkomensoverdr van gemeenten</t>
        </is>
      </c>
    </row>
    <row r="112" ht="15" customHeight="1" s="418">
      <c r="A112" s="99" t="n">
        <v>604055</v>
      </c>
      <c r="B112" s="99" t="inlineStr">
        <is>
          <t>serviceformules en klantreizen</t>
        </is>
      </c>
      <c r="C112" s="1" t="n"/>
      <c r="D112" s="14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115" t="n">
        <v>84330</v>
      </c>
      <c r="I112" s="111" t="inlineStr">
        <is>
          <t>inkomensoverdr van gem regelingen</t>
        </is>
      </c>
    </row>
    <row r="113" ht="15" customHeight="1" s="418">
      <c r="A113" s="99" t="n">
        <v>604056</v>
      </c>
      <c r="B113" s="99" t="inlineStr">
        <is>
          <t>management domein omgeving</t>
        </is>
      </c>
      <c r="C113" s="1" t="n"/>
      <c r="D113" s="14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115" t="n">
        <v>84331</v>
      </c>
      <c r="I113" s="111" t="inlineStr">
        <is>
          <t>corona ovdr van gem regelingen</t>
        </is>
      </c>
    </row>
    <row r="114" ht="15" customHeight="1" s="418">
      <c r="A114" s="99" t="n">
        <v>604057</v>
      </c>
      <c r="B114" s="99" t="inlineStr">
        <is>
          <t>management domein samenleving</t>
        </is>
      </c>
      <c r="C114" s="1" t="n"/>
      <c r="D114" s="14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115" t="n">
        <v>84340</v>
      </c>
      <c r="I114" s="111" t="inlineStr">
        <is>
          <t>inkomensoverdr van provincie</t>
        </is>
      </c>
    </row>
    <row r="115" ht="15" customHeight="1" s="418">
      <c r="A115" s="99" t="n">
        <v>604058</v>
      </c>
      <c r="B115" s="99" t="inlineStr">
        <is>
          <t>management domein bedrijfsvoering</t>
        </is>
      </c>
      <c r="C115" s="1" t="n"/>
      <c r="D115" s="14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115" t="n">
        <v>84350</v>
      </c>
      <c r="I115" s="111" t="inlineStr">
        <is>
          <t>inkomensoverdr aan het waterschap</t>
        </is>
      </c>
    </row>
    <row r="116" ht="15" customHeight="1" s="418">
      <c r="A116" s="99" t="n">
        <v>604059</v>
      </c>
      <c r="B116" s="99" t="inlineStr">
        <is>
          <t>project cloud(tlv R219)</t>
        </is>
      </c>
      <c r="C116" s="1" t="n"/>
      <c r="D116" s="14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115" t="n">
        <v>84360</v>
      </c>
      <c r="I116" s="111" t="inlineStr">
        <is>
          <t>inkomensoverdr van overige overheden</t>
        </is>
      </c>
    </row>
    <row r="117" ht="15" customHeight="1" s="418">
      <c r="A117" s="99" t="n">
        <v>604060</v>
      </c>
      <c r="B117" s="99" t="inlineStr">
        <is>
          <t>project tijdelijke huisvesting</t>
        </is>
      </c>
      <c r="C117" s="1" t="n"/>
      <c r="D117" s="14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115" t="n">
        <v>84370</v>
      </c>
      <c r="I117" s="111" t="inlineStr">
        <is>
          <t>inkomensoverd van de eu</t>
        </is>
      </c>
    </row>
    <row r="118" ht="15" customHeight="1" s="418">
      <c r="A118" s="99" t="n">
        <v>604061</v>
      </c>
      <c r="B118" s="99" t="inlineStr">
        <is>
          <t>onderzoeken inwoners</t>
        </is>
      </c>
      <c r="C118" s="1" t="n"/>
      <c r="D118" s="14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115" t="n">
        <v>84380</v>
      </c>
      <c r="I118" s="111" t="inlineStr">
        <is>
          <t>inkomensoverdr van instell/personen</t>
        </is>
      </c>
    </row>
    <row r="119" ht="15" customHeight="1" s="418">
      <c r="A119" s="99" t="n">
        <v>604062</v>
      </c>
      <c r="B119" s="99" t="inlineStr">
        <is>
          <t>informatievrz mbt wet woo</t>
        </is>
      </c>
      <c r="C119" s="1" t="n"/>
      <c r="D119" s="14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115" t="n">
        <v>84390</v>
      </c>
      <c r="I119" s="111" t="inlineStr">
        <is>
          <t>inkomensoverdr onverdeeld</t>
        </is>
      </c>
    </row>
    <row r="120" ht="12.75" customHeight="1" s="418">
      <c r="A120" s="99" t="n">
        <v>604901</v>
      </c>
      <c r="B120" s="99" t="inlineStr">
        <is>
          <t>directe toerek overhead</t>
        </is>
      </c>
      <c r="C120" s="1" t="n"/>
      <c r="D120" s="14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115" t="n">
        <v>84410</v>
      </c>
      <c r="I120" s="113" t="inlineStr">
        <is>
          <t>kapitaaloverdr van het rijk</t>
        </is>
      </c>
    </row>
    <row r="121" ht="15" customHeight="1" s="418">
      <c r="A121" s="99" t="n">
        <v>604902</v>
      </c>
      <c r="B121" s="99" t="inlineStr">
        <is>
          <t>doorbelasting kosten</t>
        </is>
      </c>
      <c r="C121" s="1" t="n"/>
      <c r="D121" s="14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115" t="n">
        <v>84420</v>
      </c>
      <c r="I121" s="113" t="inlineStr">
        <is>
          <t>kapitaaloverdr van gemeenten</t>
        </is>
      </c>
    </row>
    <row r="122" ht="15" customHeight="1" s="418">
      <c r="A122" s="99" t="n">
        <v>605001</v>
      </c>
      <c r="B122" s="99" t="inlineStr">
        <is>
          <t>aandelen en dividend</t>
        </is>
      </c>
      <c r="C122" s="1" t="n"/>
      <c r="D122" s="14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115" t="n">
        <v>84430</v>
      </c>
      <c r="I122" s="113" t="inlineStr">
        <is>
          <t>kapitaaloverd van gem regelingen</t>
        </is>
      </c>
    </row>
    <row r="123" ht="15" customHeight="1" s="418">
      <c r="A123" s="99" t="n">
        <v>605002</v>
      </c>
      <c r="B123" s="99" t="inlineStr">
        <is>
          <t>leningen publieke taak</t>
        </is>
      </c>
      <c r="C123" s="1" t="n"/>
      <c r="D123" s="14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115" t="n">
        <v>84440</v>
      </c>
      <c r="I123" s="113" t="inlineStr">
        <is>
          <t>kapitaaloverdr van provincie</t>
        </is>
      </c>
    </row>
    <row r="124" ht="15" customHeight="1" s="418">
      <c r="A124" s="99" t="n">
        <v>605003</v>
      </c>
      <c r="B124" s="103" t="inlineStr">
        <is>
          <t>rente</t>
        </is>
      </c>
      <c r="C124" s="1" t="n"/>
      <c r="D124" s="14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115" t="n">
        <v>84450</v>
      </c>
      <c r="I124" s="113" t="inlineStr">
        <is>
          <t>kapitaaloverdr van het waterschap</t>
        </is>
      </c>
    </row>
    <row r="125" ht="15" customHeight="1" s="418">
      <c r="A125" s="99" t="n">
        <v>605901</v>
      </c>
      <c r="B125" s="99" t="inlineStr">
        <is>
          <t>directe toerek treasury</t>
        </is>
      </c>
      <c r="C125" s="1" t="n"/>
      <c r="D125" s="14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115" t="n">
        <v>84460</v>
      </c>
      <c r="I125" s="113" t="inlineStr">
        <is>
          <t>kapitaaloverdr van overige overheden</t>
        </is>
      </c>
    </row>
    <row r="126" ht="15" customHeight="1" s="418">
      <c r="A126" s="99" t="n">
        <v>606001</v>
      </c>
      <c r="B126" s="103" t="inlineStr">
        <is>
          <t>ozb eigendom woningen</t>
        </is>
      </c>
      <c r="C126" s="1" t="n"/>
      <c r="D126" s="14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115" t="n">
        <v>84470</v>
      </c>
      <c r="I126" s="113" t="inlineStr">
        <is>
          <t>kapitaaloverdr van de eu</t>
        </is>
      </c>
    </row>
    <row r="127" ht="15" customHeight="1" s="418">
      <c r="A127" s="99" t="n">
        <v>606002</v>
      </c>
      <c r="B127" s="99" t="inlineStr">
        <is>
          <t>uitvoering van de wet woz.</t>
        </is>
      </c>
      <c r="C127" s="1" t="n"/>
      <c r="D127" s="14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115" t="n">
        <v>84480</v>
      </c>
      <c r="I127" s="113" t="inlineStr">
        <is>
          <t>kapitaaloverdr van instell/personen</t>
        </is>
      </c>
    </row>
    <row r="128" ht="15" customHeight="1" s="418">
      <c r="A128" s="99" t="n">
        <v>606003</v>
      </c>
      <c r="B128" s="99" t="inlineStr">
        <is>
          <t>heffen invorderen bel en heff</t>
        </is>
      </c>
      <c r="C128" s="1" t="n"/>
      <c r="D128" s="14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115" t="n">
        <v>84480</v>
      </c>
      <c r="I128" s="113" t="inlineStr">
        <is>
          <t>kapitaaloverdr van instell/personen</t>
        </is>
      </c>
    </row>
    <row r="129" ht="15" customHeight="1" s="418">
      <c r="A129" s="99" t="n">
        <v>606901</v>
      </c>
      <c r="B129" s="103" t="inlineStr">
        <is>
          <t>directe toerekening ozb woningen</t>
        </is>
      </c>
      <c r="C129" s="1" t="n"/>
      <c r="D129" s="14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115" t="n">
        <v>84490</v>
      </c>
      <c r="I129" s="113" t="inlineStr">
        <is>
          <t>kapitaaloverdr onverdeeld</t>
        </is>
      </c>
    </row>
    <row r="130" ht="15" customHeight="1" s="418">
      <c r="A130" s="99" t="n">
        <v>607001</v>
      </c>
      <c r="B130" s="103" t="inlineStr">
        <is>
          <t>ozb gebruik niet woningen</t>
        </is>
      </c>
      <c r="C130" s="1" t="n"/>
      <c r="D130" s="14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115" t="n">
        <v>84490</v>
      </c>
      <c r="I130" s="113" t="inlineStr">
        <is>
          <t>kapitaaloverdr onverdeeld</t>
        </is>
      </c>
    </row>
    <row r="131" ht="15" customHeight="1" s="418">
      <c r="A131" s="99" t="n">
        <v>607002</v>
      </c>
      <c r="B131" s="103" t="inlineStr">
        <is>
          <t>ozb eigendom niet woningen</t>
        </is>
      </c>
      <c r="C131" s="1" t="n"/>
      <c r="D131" s="14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115" t="n">
        <v>84510</v>
      </c>
      <c r="I131" s="113" t="inlineStr">
        <is>
          <t>investeringsbijdr rijk</t>
        </is>
      </c>
    </row>
    <row r="132" ht="15" customHeight="1" s="418">
      <c r="A132" s="99" t="n">
        <v>607901</v>
      </c>
      <c r="B132" s="103" t="inlineStr">
        <is>
          <t>directe toerek ozb niet woningen</t>
        </is>
      </c>
      <c r="C132" s="1" t="n"/>
      <c r="D132" s="14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115" t="n">
        <v>84520</v>
      </c>
      <c r="I132" s="113" t="inlineStr">
        <is>
          <t>investeringsbijdr gemeenten</t>
        </is>
      </c>
    </row>
    <row r="133" ht="15" customHeight="1" s="418">
      <c r="A133" s="99" t="n">
        <v>609001</v>
      </c>
      <c r="B133" s="99" t="inlineStr">
        <is>
          <t>bouwgrondbelasting koekoekbos</t>
        </is>
      </c>
      <c r="C133" s="1" t="n"/>
      <c r="D133" s="14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115" t="n">
        <v>84530</v>
      </c>
      <c r="I133" s="113" t="inlineStr">
        <is>
          <t>investeringsbijdr gem regelingen</t>
        </is>
      </c>
    </row>
    <row r="134" ht="15" customHeight="1" s="418">
      <c r="A134" s="99" t="n">
        <v>609002</v>
      </c>
      <c r="B134" s="99" t="inlineStr">
        <is>
          <t>reclamebelasting</t>
        </is>
      </c>
      <c r="C134" s="1" t="n"/>
      <c r="D134" s="14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115" t="n">
        <v>84540</v>
      </c>
      <c r="I134" s="113" t="inlineStr">
        <is>
          <t>investeringsbijdr provincie</t>
        </is>
      </c>
    </row>
    <row r="135" ht="15" customHeight="1" s="418">
      <c r="A135" s="99" t="n">
        <v>609003</v>
      </c>
      <c r="B135" s="99" t="inlineStr">
        <is>
          <t>precariobelasting</t>
        </is>
      </c>
      <c r="C135" s="1" t="n"/>
      <c r="D135" s="14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115" t="n">
        <v>84550</v>
      </c>
      <c r="I135" s="113" t="inlineStr">
        <is>
          <t>investeringsbijdr waterschappen</t>
        </is>
      </c>
    </row>
    <row r="136" ht="15" customHeight="1" s="418">
      <c r="A136" s="99" t="n">
        <v>609901</v>
      </c>
      <c r="B136" s="103" t="inlineStr">
        <is>
          <t>directe toerek belastingen ov</t>
        </is>
      </c>
      <c r="C136" s="1" t="n"/>
      <c r="D136" s="14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115" t="n">
        <v>84560</v>
      </c>
      <c r="I136" s="113" t="inlineStr">
        <is>
          <t>investeringsbijdr ov overheden</t>
        </is>
      </c>
    </row>
    <row r="137" ht="15" customHeight="1" s="418">
      <c r="A137" s="99" t="n">
        <v>610001</v>
      </c>
      <c r="B137" s="99" t="inlineStr">
        <is>
          <t>algemene uitkering</t>
        </is>
      </c>
      <c r="C137" s="1" t="n"/>
      <c r="D137" s="14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115" t="n">
        <v>84570</v>
      </c>
      <c r="I137" s="113" t="inlineStr">
        <is>
          <t>investeringsbijdr europese unie</t>
        </is>
      </c>
    </row>
    <row r="138" ht="15" customHeight="1" s="418">
      <c r="A138" s="99" t="n">
        <v>610901</v>
      </c>
      <c r="B138" s="99" t="inlineStr">
        <is>
          <t>directie toerek alg uitkering</t>
        </is>
      </c>
      <c r="C138" s="1" t="n"/>
      <c r="D138" s="14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115" t="n">
        <v>84580</v>
      </c>
      <c r="I138" s="113" t="inlineStr">
        <is>
          <t>investeringsbijdr ov instell/person</t>
        </is>
      </c>
    </row>
    <row r="139" ht="15" customHeight="1" s="418">
      <c r="A139" s="99" t="n">
        <v>611001</v>
      </c>
      <c r="B139" s="99" t="inlineStr">
        <is>
          <t>incident last/baat grond</t>
        </is>
      </c>
      <c r="C139" s="1" t="n"/>
      <c r="D139" s="14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115" t="n">
        <v>84660</v>
      </c>
      <c r="I139" s="113" t="inlineStr">
        <is>
          <t>overige kapitaaloverdr overheid</t>
        </is>
      </c>
    </row>
    <row r="140" ht="15" customHeight="1" s="418">
      <c r="A140" s="99" t="n">
        <v>611002</v>
      </c>
      <c r="B140" s="99" t="inlineStr">
        <is>
          <t>onvoorziene uitgaven</t>
        </is>
      </c>
      <c r="C140" s="1" t="n"/>
      <c r="D140" s="14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115" t="n">
        <v>84680</v>
      </c>
      <c r="I140" s="113" t="inlineStr">
        <is>
          <t>overige kapitaaloverdr instel/person</t>
        </is>
      </c>
    </row>
    <row r="141" ht="15" customHeight="1" s="418">
      <c r="A141" s="99" t="n">
        <v>611003</v>
      </c>
      <c r="B141" s="99" t="inlineStr">
        <is>
          <t>stelpost bezuinigingsmaatregelen</t>
        </is>
      </c>
      <c r="C141" s="1" t="n"/>
      <c r="D141" s="14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115" t="n">
        <v>85100</v>
      </c>
      <c r="I141" s="113" t="inlineStr">
        <is>
          <t>renteontvangsten</t>
        </is>
      </c>
    </row>
    <row r="142" ht="12.75" customHeight="1" s="418">
      <c r="A142" s="99" t="n">
        <v>611004</v>
      </c>
      <c r="B142" s="99" t="inlineStr">
        <is>
          <t>stelpost lasten nieuwe invest/beleid</t>
        </is>
      </c>
      <c r="C142" s="1" t="n"/>
      <c r="D142" s="14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115" t="n">
        <v>85100</v>
      </c>
      <c r="I142" s="113" t="inlineStr">
        <is>
          <t>renteontvangsten</t>
        </is>
      </c>
    </row>
    <row r="143" ht="15" customHeight="1" s="418">
      <c r="A143" s="99" t="n">
        <v>611005</v>
      </c>
      <c r="B143" s="99" t="inlineStr">
        <is>
          <t>stelpost loon- en prijsstijging</t>
        </is>
      </c>
      <c r="C143" s="1" t="n"/>
      <c r="D143" s="14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115" t="n">
        <v>85200</v>
      </c>
      <c r="I143" s="113" t="inlineStr">
        <is>
          <t>winstuitkeringen</t>
        </is>
      </c>
    </row>
    <row r="144" ht="15" customHeight="1" s="418">
      <c r="A144" s="99" t="n">
        <v>611006</v>
      </c>
      <c r="B144" s="99" t="inlineStr">
        <is>
          <t>niet compensabele btw</t>
        </is>
      </c>
      <c r="C144" s="1" t="n"/>
      <c r="D144" s="14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115" t="n">
        <v>85200</v>
      </c>
      <c r="I144" s="113" t="inlineStr">
        <is>
          <t>winstuitkeringen</t>
        </is>
      </c>
    </row>
    <row r="145" ht="15" customHeight="1" s="418">
      <c r="A145" s="99" t="n">
        <v>611007</v>
      </c>
      <c r="B145" s="99" t="inlineStr">
        <is>
          <t>compensabele btw mbt afval en riol</t>
        </is>
      </c>
      <c r="C145" s="1" t="n"/>
      <c r="D145" s="14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110" t="n">
        <v>85201</v>
      </c>
      <c r="I145" s="114" t="inlineStr">
        <is>
          <t>corona winstuitkeringen</t>
        </is>
      </c>
    </row>
    <row r="146">
      <c r="A146" s="99" t="n">
        <v>611008</v>
      </c>
      <c r="B146" s="99" t="inlineStr">
        <is>
          <t>incidentele baten en lasten</t>
        </is>
      </c>
      <c r="C146" s="1" t="n"/>
      <c r="D146" s="14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110" t="n">
        <v>85201</v>
      </c>
      <c r="I146" s="114" t="inlineStr">
        <is>
          <t>corona winstuitkeringen</t>
        </is>
      </c>
    </row>
    <row r="147" ht="15" customHeight="1" s="418">
      <c r="A147" s="99" t="n">
        <v>611009</v>
      </c>
      <c r="B147" s="99" t="inlineStr">
        <is>
          <t>voorziening dubieuze debiteuren</t>
        </is>
      </c>
      <c r="C147" s="1" t="n"/>
      <c r="D147" s="14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115" t="n">
        <v>86100</v>
      </c>
      <c r="I147" s="111" t="inlineStr">
        <is>
          <t>financiele transactie</t>
        </is>
      </c>
    </row>
    <row r="148" ht="15" customHeight="1" s="418">
      <c r="A148" s="99" t="n">
        <v>611010</v>
      </c>
      <c r="B148" s="99" t="inlineStr">
        <is>
          <t>administratief te verdelen budgetten</t>
        </is>
      </c>
      <c r="C148" s="1" t="n"/>
      <c r="D148" s="14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115" t="n">
        <v>86100</v>
      </c>
      <c r="I148" s="111" t="inlineStr">
        <is>
          <t>financiele transactie</t>
        </is>
      </c>
    </row>
    <row r="149" ht="15" customHeight="1" s="418">
      <c r="A149" s="99" t="n">
        <v>611011</v>
      </c>
      <c r="B149" s="99" t="inlineStr">
        <is>
          <t>verleende garanties</t>
        </is>
      </c>
      <c r="C149" s="1" t="n"/>
      <c r="D149" s="14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115" t="n">
        <v>86101</v>
      </c>
      <c r="I149" s="111" t="inlineStr">
        <is>
          <t>chartaal geld depos</t>
        </is>
      </c>
    </row>
    <row r="150" ht="15" customHeight="1" s="418">
      <c r="A150" s="99" t="n">
        <v>611901</v>
      </c>
      <c r="B150" s="103" t="inlineStr">
        <is>
          <t>directe toerek ov baten en lasten</t>
        </is>
      </c>
      <c r="C150" s="1" t="n"/>
      <c r="D150" s="14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115" t="n">
        <v>86101</v>
      </c>
      <c r="I150" s="111" t="inlineStr">
        <is>
          <t>chartaal geld depos</t>
        </is>
      </c>
    </row>
    <row r="151" ht="15" customHeight="1" s="418">
      <c r="A151" s="99" t="n">
        <v>612001</v>
      </c>
      <c r="B151" s="99" t="inlineStr">
        <is>
          <t>vennootschapsbelasting (vpb)</t>
        </is>
      </c>
      <c r="C151" s="1" t="n"/>
      <c r="D151" s="14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115" t="n">
        <v>86102</v>
      </c>
      <c r="I151" s="111" t="inlineStr">
        <is>
          <t>langlop eff muv aand</t>
        </is>
      </c>
    </row>
    <row r="152" ht="15" customHeight="1" s="418">
      <c r="A152" s="99" t="n">
        <v>612901</v>
      </c>
      <c r="B152" s="103" t="inlineStr">
        <is>
          <t>directe toerek vpb</t>
        </is>
      </c>
      <c r="C152" s="1" t="n"/>
      <c r="D152" s="14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115" t="n">
        <v>86102</v>
      </c>
      <c r="I152" s="111" t="inlineStr">
        <is>
          <t>langlop eff muv aand</t>
        </is>
      </c>
    </row>
    <row r="153" ht="15" customHeight="1" s="418">
      <c r="A153" s="99" t="n">
        <v>613001</v>
      </c>
      <c r="B153" s="99" t="inlineStr">
        <is>
          <t>mutatie reserve t01</t>
        </is>
      </c>
      <c r="C153" s="1" t="n"/>
      <c r="D153" s="14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115" t="n">
        <v>86103</v>
      </c>
      <c r="I153" s="111" t="inlineStr">
        <is>
          <t>kortlopende leningen</t>
        </is>
      </c>
    </row>
    <row r="154" ht="15" customHeight="1" s="418">
      <c r="A154" s="99" t="n">
        <v>613002</v>
      </c>
      <c r="B154" s="99" t="inlineStr">
        <is>
          <t>mutatie reserve t02</t>
        </is>
      </c>
      <c r="C154" s="1" t="n"/>
      <c r="D154" s="14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115" t="n">
        <v>86103</v>
      </c>
      <c r="I154" s="111" t="inlineStr">
        <is>
          <t>kortlopende leningen</t>
        </is>
      </c>
    </row>
    <row r="155" ht="15" customHeight="1" s="418">
      <c r="A155" s="99" t="n">
        <v>613003</v>
      </c>
      <c r="B155" s="99" t="inlineStr">
        <is>
          <t>mutatie reserve t03</t>
        </is>
      </c>
      <c r="C155" s="1" t="n"/>
      <c r="D155" s="14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115" t="n">
        <v>86104</v>
      </c>
      <c r="I155" s="111" t="inlineStr">
        <is>
          <t>aflos verstrekt langlopende leningen</t>
        </is>
      </c>
    </row>
    <row r="156" ht="15" customHeight="1" s="418">
      <c r="A156" s="99" t="n">
        <v>613004</v>
      </c>
      <c r="B156" s="99" t="inlineStr">
        <is>
          <t>mutatie reserve t04</t>
        </is>
      </c>
      <c r="C156" s="1" t="n"/>
      <c r="D156" s="14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115" t="n">
        <v>86104</v>
      </c>
      <c r="I156" s="111" t="inlineStr">
        <is>
          <t>aflos verstrekt langlopende leningen</t>
        </is>
      </c>
    </row>
    <row r="157" ht="15" customHeight="1" s="418">
      <c r="A157" s="99" t="n">
        <v>613005</v>
      </c>
      <c r="B157" s="99" t="inlineStr">
        <is>
          <t>mutatie reserve t05</t>
        </is>
      </c>
      <c r="C157" s="1" t="n"/>
      <c r="D157" s="14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115" t="n">
        <v>86105</v>
      </c>
      <c r="I157" t="inlineStr">
        <is>
          <t>opgen langl geldlen</t>
        </is>
      </c>
    </row>
    <row r="158" ht="15" customHeight="1" s="418">
      <c r="A158" s="99" t="n">
        <v>613006</v>
      </c>
      <c r="B158" s="99" t="inlineStr">
        <is>
          <t>mutatie reserve t061</t>
        </is>
      </c>
      <c r="C158" s="1" t="n"/>
      <c r="D158" s="14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115" t="n">
        <v>86105</v>
      </c>
      <c r="I158" t="inlineStr">
        <is>
          <t>opgen langl geldlen</t>
        </is>
      </c>
    </row>
    <row r="159" ht="15" customHeight="1" s="418">
      <c r="A159" s="99" t="n">
        <v>613007</v>
      </c>
      <c r="B159" s="99" t="inlineStr">
        <is>
          <t>mutatie reserve t062</t>
        </is>
      </c>
      <c r="C159" s="1" t="n"/>
      <c r="D159" s="14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115" t="n">
        <v>86106</v>
      </c>
      <c r="I159" t="inlineStr">
        <is>
          <t>aandel ov deelneming</t>
        </is>
      </c>
    </row>
    <row r="160" ht="15" customHeight="1" s="418">
      <c r="A160" s="99" t="n">
        <v>613008</v>
      </c>
      <c r="B160" s="99" t="inlineStr">
        <is>
          <t>mutatie reserve t063</t>
        </is>
      </c>
      <c r="C160" s="1" t="n"/>
      <c r="D160" s="14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115" t="n">
        <v>86106</v>
      </c>
      <c r="I160" t="inlineStr">
        <is>
          <t>aandel ov deelneming</t>
        </is>
      </c>
    </row>
    <row r="161" ht="12.75" customHeight="1" s="418">
      <c r="A161" s="99" t="n">
        <v>613009</v>
      </c>
      <c r="B161" s="99" t="inlineStr">
        <is>
          <t>mutatie reserve t064</t>
        </is>
      </c>
      <c r="C161" s="1" t="n"/>
      <c r="D161" s="14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115" t="n">
        <v>87100</v>
      </c>
      <c r="I161" s="113" t="inlineStr">
        <is>
          <t>reserveringen</t>
        </is>
      </c>
    </row>
    <row r="162" ht="15" customHeight="1" s="418">
      <c r="A162" s="99" t="n">
        <v>613010</v>
      </c>
      <c r="B162" s="99" t="inlineStr">
        <is>
          <t>mutatie reserve t07</t>
        </is>
      </c>
      <c r="C162" s="1" t="n"/>
      <c r="D162" s="14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115" t="n">
        <v>87100</v>
      </c>
      <c r="I162" s="113" t="inlineStr">
        <is>
          <t>reserveringen</t>
        </is>
      </c>
    </row>
    <row r="163" ht="15" customHeight="1" s="418">
      <c r="A163" s="99" t="n">
        <v>613011</v>
      </c>
      <c r="B163" s="99" t="inlineStr">
        <is>
          <t>mutatie reserve t08</t>
        </is>
      </c>
      <c r="C163" s="1" t="n"/>
      <c r="D163" s="14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115" t="n">
        <v>87101</v>
      </c>
      <c r="I163" s="113" t="inlineStr">
        <is>
          <t>reservering resultaat</t>
        </is>
      </c>
    </row>
    <row r="164" ht="15" customHeight="1" s="418">
      <c r="A164" s="99" t="n">
        <v>613012</v>
      </c>
      <c r="B164" s="99" t="inlineStr">
        <is>
          <t>mutatie reserve t09</t>
        </is>
      </c>
      <c r="C164" s="1" t="n"/>
      <c r="D164" s="14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115" t="n">
        <v>87101</v>
      </c>
      <c r="I164" s="113" t="inlineStr">
        <is>
          <t>reservering resultaat</t>
        </is>
      </c>
    </row>
    <row r="165" ht="15" customHeight="1" s="418">
      <c r="A165" s="99" t="n">
        <v>613013</v>
      </c>
      <c r="B165" s="99" t="inlineStr">
        <is>
          <t>mutatie reserve t010</t>
        </is>
      </c>
      <c r="C165" s="1" t="n"/>
      <c r="D165" s="14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115" t="n">
        <v>87200</v>
      </c>
      <c r="I165" s="113" t="inlineStr">
        <is>
          <t>voorziening contante waarde</t>
        </is>
      </c>
    </row>
    <row r="166" ht="15" customHeight="1" s="418">
      <c r="A166" s="99" t="n">
        <v>613014</v>
      </c>
      <c r="B166" s="99" t="inlineStr">
        <is>
          <t>mutatie reserve t011</t>
        </is>
      </c>
      <c r="C166" s="1" t="n"/>
      <c r="D166" s="14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115" t="n">
        <v>87200</v>
      </c>
      <c r="I166" s="113" t="inlineStr">
        <is>
          <t>voorziening contante waarde</t>
        </is>
      </c>
    </row>
    <row r="167" ht="15" customHeight="1" s="418">
      <c r="A167" s="99" t="n">
        <v>613015</v>
      </c>
      <c r="B167" s="99" t="inlineStr">
        <is>
          <t>mutatie reserve t11</t>
        </is>
      </c>
      <c r="C167" s="1" t="n"/>
      <c r="D167" s="14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115" t="n">
        <v>87201</v>
      </c>
      <c r="I167" s="113" t="inlineStr">
        <is>
          <t>onderhoudsvoorziening</t>
        </is>
      </c>
    </row>
    <row r="168" ht="15" customHeight="1" s="418">
      <c r="A168" s="99" t="n">
        <v>613016</v>
      </c>
      <c r="B168" s="99" t="inlineStr">
        <is>
          <t>mutatie reserve t12</t>
        </is>
      </c>
      <c r="C168" s="1" t="n"/>
      <c r="D168" s="14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115" t="n">
        <v>87201</v>
      </c>
      <c r="I168" s="113" t="inlineStr">
        <is>
          <t>onderhoudsvoorziening</t>
        </is>
      </c>
    </row>
    <row r="169" ht="15" customHeight="1" s="418">
      <c r="A169" s="99" t="n">
        <v>613017</v>
      </c>
      <c r="B169" s="99" t="inlineStr">
        <is>
          <t>mutatie reserve t21</t>
        </is>
      </c>
      <c r="C169" s="1" t="n"/>
      <c r="D169" s="14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115" t="n">
        <v>87301</v>
      </c>
      <c r="I169" s="113" t="inlineStr">
        <is>
          <t>afschrijvingen</t>
        </is>
      </c>
    </row>
    <row r="170" ht="15" customHeight="1" s="418">
      <c r="A170" s="99" t="n">
        <v>613018</v>
      </c>
      <c r="B170" s="99" t="inlineStr">
        <is>
          <t>mutatie reserve t22</t>
        </is>
      </c>
      <c r="C170" s="1" t="n"/>
      <c r="D170" s="14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115" t="n">
        <v>87301</v>
      </c>
      <c r="I170" s="113" t="inlineStr">
        <is>
          <t>afschrijvingen</t>
        </is>
      </c>
    </row>
    <row r="171" ht="15" customHeight="1" s="418">
      <c r="A171" s="99" t="n">
        <v>613019</v>
      </c>
      <c r="B171" s="99" t="inlineStr">
        <is>
          <t>mutatie reserve t23</t>
        </is>
      </c>
      <c r="C171" s="1" t="n"/>
      <c r="D171" s="14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115" t="n">
        <v>87500</v>
      </c>
      <c r="I171" s="113" t="inlineStr">
        <is>
          <t>mutatie boekwaarde bouwgrond</t>
        </is>
      </c>
    </row>
    <row r="172" ht="15" customHeight="1" s="418">
      <c r="A172" s="99" t="n">
        <v>613020</v>
      </c>
      <c r="B172" s="99" t="inlineStr">
        <is>
          <t>mutatie reserve t24</t>
        </is>
      </c>
      <c r="C172" s="1" t="n"/>
      <c r="D172" s="14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115" t="n">
        <v>87500</v>
      </c>
      <c r="I172" s="113" t="inlineStr">
        <is>
          <t>mutatie boekwaarde bouwgrond</t>
        </is>
      </c>
    </row>
    <row r="173" ht="15" customHeight="1" s="418">
      <c r="A173" s="99" t="n">
        <v>613021</v>
      </c>
      <c r="B173" s="99" t="inlineStr">
        <is>
          <t>mutatie reserve t25</t>
        </is>
      </c>
      <c r="C173" s="1" t="n"/>
      <c r="D173" s="14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115" t="n">
        <v>87501</v>
      </c>
      <c r="I173" s="113" t="inlineStr">
        <is>
          <t>verrekeningen</t>
        </is>
      </c>
    </row>
    <row r="174" ht="15" customHeight="1" s="418">
      <c r="A174" s="99" t="n">
        <v>613022</v>
      </c>
      <c r="B174" s="99" t="inlineStr">
        <is>
          <t>mutatie reserve t31</t>
        </is>
      </c>
      <c r="C174" s="1" t="n"/>
      <c r="D174" s="14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115" t="n">
        <v>87501</v>
      </c>
      <c r="I174" s="113" t="inlineStr">
        <is>
          <t>verrekeningen</t>
        </is>
      </c>
    </row>
    <row r="175">
      <c r="A175" s="99" t="n">
        <v>613023</v>
      </c>
      <c r="B175" s="99" t="inlineStr">
        <is>
          <t>mutatie reserve t32</t>
        </is>
      </c>
      <c r="C175" s="1" t="n"/>
      <c r="D175" s="14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99" t="n">
        <v>613024</v>
      </c>
      <c r="B176" s="99" t="inlineStr">
        <is>
          <t>mutatie reserve t33</t>
        </is>
      </c>
      <c r="C176" s="1" t="n"/>
      <c r="D176" s="14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99" t="n">
        <v>613025</v>
      </c>
      <c r="B177" s="99" t="inlineStr">
        <is>
          <t>mutatie reserve t34</t>
        </is>
      </c>
      <c r="C177" s="1" t="n"/>
      <c r="D177" s="14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99" t="n">
        <v>613026</v>
      </c>
      <c r="B178" s="99" t="inlineStr">
        <is>
          <t>mutatie reserve t41</t>
        </is>
      </c>
      <c r="C178" s="1" t="n"/>
      <c r="D178" s="14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99" t="n">
        <v>613027</v>
      </c>
      <c r="B179" s="99" t="inlineStr">
        <is>
          <t>mutatie reserve t42</t>
        </is>
      </c>
      <c r="C179" s="1" t="n"/>
      <c r="D179" s="14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99" t="n">
        <v>613028</v>
      </c>
      <c r="B180" s="99" t="inlineStr">
        <is>
          <t>mutatie reserve t43</t>
        </is>
      </c>
      <c r="C180" s="1" t="n"/>
      <c r="D180" s="14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99" t="n">
        <v>613029</v>
      </c>
      <c r="B181" s="99" t="inlineStr">
        <is>
          <t>mutatie reserve t51</t>
        </is>
      </c>
      <c r="C181" s="1" t="n"/>
      <c r="D181" s="14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99" t="n">
        <v>613030</v>
      </c>
      <c r="B182" s="99" t="inlineStr">
        <is>
          <t>mutatie reserve t52</t>
        </is>
      </c>
      <c r="C182" s="1" t="n"/>
      <c r="D182" s="14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99" t="n">
        <v>613031</v>
      </c>
      <c r="B183" s="99" t="inlineStr">
        <is>
          <t>mutatie reserve t53</t>
        </is>
      </c>
      <c r="C183" s="1" t="n"/>
      <c r="D183" s="14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99" t="n">
        <v>613032</v>
      </c>
      <c r="B184" s="99" t="inlineStr">
        <is>
          <t>mutatie reserve t54</t>
        </is>
      </c>
      <c r="C184" s="1" t="n"/>
      <c r="D184" s="14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99" t="n">
        <v>613033</v>
      </c>
      <c r="B185" s="99" t="inlineStr">
        <is>
          <t>mutatie reserve t55</t>
        </is>
      </c>
      <c r="C185" s="1" t="n"/>
      <c r="D185" s="14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99" t="n">
        <v>613034</v>
      </c>
      <c r="B186" s="99" t="inlineStr">
        <is>
          <t>mutatie reserve t56</t>
        </is>
      </c>
      <c r="C186" s="1" t="n"/>
      <c r="D186" s="14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99" t="n">
        <v>613035</v>
      </c>
      <c r="B187" s="99" t="inlineStr">
        <is>
          <t>mutatie reserve t57</t>
        </is>
      </c>
      <c r="C187" s="1" t="n"/>
      <c r="D187" s="14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99" t="n">
        <v>613036</v>
      </c>
      <c r="B188" s="99" t="inlineStr">
        <is>
          <t>mutatie reserve t61</t>
        </is>
      </c>
      <c r="C188" s="1" t="n"/>
      <c r="D188" s="14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99" t="n">
        <v>613037</v>
      </c>
      <c r="B189" s="99" t="inlineStr">
        <is>
          <t>mutatie reserve t62</t>
        </is>
      </c>
      <c r="C189" s="1" t="n"/>
      <c r="D189" s="14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99" t="n">
        <v>613038</v>
      </c>
      <c r="B190" s="99" t="inlineStr">
        <is>
          <t>mutatie reserve t63</t>
        </is>
      </c>
      <c r="C190" s="1" t="n"/>
      <c r="D190" s="14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99" t="n">
        <v>613039</v>
      </c>
      <c r="B191" s="99" t="inlineStr">
        <is>
          <t>mutatie reserve t64</t>
        </is>
      </c>
      <c r="C191" s="1" t="n"/>
      <c r="D191" s="14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99" t="n">
        <v>613040</v>
      </c>
      <c r="B192" s="99" t="inlineStr">
        <is>
          <t>mutatie reserve t65</t>
        </is>
      </c>
      <c r="C192" s="1" t="n"/>
      <c r="D192" s="14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99" t="n">
        <v>613041</v>
      </c>
      <c r="B193" s="99" t="inlineStr">
        <is>
          <t>mutatie reserve t66</t>
        </is>
      </c>
      <c r="C193" s="1" t="n"/>
      <c r="D193" s="14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99" t="n">
        <v>613042</v>
      </c>
      <c r="B194" s="99" t="inlineStr">
        <is>
          <t>mutatie reserve t671</t>
        </is>
      </c>
      <c r="C194" s="1" t="n"/>
      <c r="D194" s="14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99" t="n">
        <v>613043</v>
      </c>
      <c r="B195" s="99" t="inlineStr">
        <is>
          <t>mutatie reserve t672</t>
        </is>
      </c>
      <c r="C195" s="1" t="n"/>
      <c r="D195" s="14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99" t="n">
        <v>613044</v>
      </c>
      <c r="B196" s="99" t="inlineStr">
        <is>
          <t>mutatie reserve t681</t>
        </is>
      </c>
      <c r="C196" s="1" t="n"/>
      <c r="D196" s="14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99" t="n">
        <v>613045</v>
      </c>
      <c r="B197" s="99" t="inlineStr">
        <is>
          <t>mutatie reserve t682</t>
        </is>
      </c>
      <c r="C197" s="1" t="n"/>
      <c r="D197" s="14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99" t="n">
        <v>613046</v>
      </c>
      <c r="B198" s="99" t="inlineStr">
        <is>
          <t>mutatie reserve t71</t>
        </is>
      </c>
      <c r="C198" s="1" t="n"/>
      <c r="D198" s="14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99" t="n">
        <v>613047</v>
      </c>
      <c r="B199" s="99" t="inlineStr">
        <is>
          <t>mutatie reserve t72</t>
        </is>
      </c>
      <c r="C199" s="1" t="n"/>
      <c r="D199" s="14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99" t="n">
        <v>613048</v>
      </c>
      <c r="B200" s="99" t="inlineStr">
        <is>
          <t>mutatie reserve t73</t>
        </is>
      </c>
      <c r="C200" s="1" t="n"/>
      <c r="D200" s="14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99" t="n">
        <v>613049</v>
      </c>
      <c r="B201" s="99" t="inlineStr">
        <is>
          <t>mutatie reserve t74</t>
        </is>
      </c>
      <c r="C201" s="1" t="n"/>
      <c r="D201" s="14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99" t="n">
        <v>613050</v>
      </c>
      <c r="B202" s="99" t="inlineStr">
        <is>
          <t>mutatie reserve t75</t>
        </is>
      </c>
      <c r="C202" s="1" t="n"/>
      <c r="D202" s="14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99" t="n">
        <v>613051</v>
      </c>
      <c r="B203" s="99" t="inlineStr">
        <is>
          <t>mutatie reserve t81</t>
        </is>
      </c>
      <c r="C203" s="1" t="n"/>
      <c r="D203" s="14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99" t="n">
        <v>613052</v>
      </c>
      <c r="B204" s="99" t="inlineStr">
        <is>
          <t>mutatie reserve t82</t>
        </is>
      </c>
      <c r="C204" s="1" t="n"/>
      <c r="D204" s="14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99" t="n">
        <v>613053</v>
      </c>
      <c r="B205" s="99" t="inlineStr">
        <is>
          <t>mutatie reserve t83</t>
        </is>
      </c>
      <c r="C205" s="1" t="n"/>
      <c r="D205" s="14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99" t="n">
        <v>613901</v>
      </c>
      <c r="B206" s="99" t="inlineStr">
        <is>
          <t>directe toerek reserves</t>
        </is>
      </c>
      <c r="C206" s="1" t="n"/>
      <c r="D206" s="14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99" t="n">
        <v>614001</v>
      </c>
      <c r="B207" s="99" t="inlineStr">
        <is>
          <t>saldo rekening van baten en lasten</t>
        </is>
      </c>
      <c r="C207" s="1" t="n"/>
      <c r="D207" s="14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99" t="n">
        <v>614901</v>
      </c>
      <c r="B208" s="99" t="inlineStr">
        <is>
          <t>directe toerek resultaat rekening</t>
        </is>
      </c>
      <c r="C208" s="1" t="n"/>
      <c r="D208" s="14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99" t="n">
        <v>615001</v>
      </c>
      <c r="B209" s="99" t="inlineStr">
        <is>
          <t>crisisbeheersing</t>
        </is>
      </c>
      <c r="C209" s="1" t="n"/>
      <c r="D209" s="14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99" t="n">
        <v>615002</v>
      </c>
      <c r="B210" s="99" t="inlineStr">
        <is>
          <t>veiligheidsregio zo-brabant</t>
        </is>
      </c>
      <c r="C210" s="1" t="n"/>
      <c r="D210" s="14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99" t="n">
        <v>615003</v>
      </c>
      <c r="B211" s="99" t="inlineStr">
        <is>
          <t>brandweerkazerne</t>
        </is>
      </c>
      <c r="C211" s="1" t="n"/>
      <c r="D211" s="14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99" t="n">
        <v>615004</v>
      </c>
      <c r="B212" s="99" t="inlineStr">
        <is>
          <t>lokale binding regionale brandweer</t>
        </is>
      </c>
      <c r="C212" s="1" t="n"/>
      <c r="D212" s="14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99" t="n">
        <v>615901</v>
      </c>
      <c r="B213" s="99" t="inlineStr">
        <is>
          <t>directe toerek crisis brandw</t>
        </is>
      </c>
      <c r="C213" s="1" t="n"/>
      <c r="D213" s="14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99" t="n">
        <v>616001</v>
      </c>
      <c r="B214" s="99" t="inlineStr">
        <is>
          <t>boa's</t>
        </is>
      </c>
      <c r="C214" s="1" t="n"/>
      <c r="D214" s="14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99" t="n">
        <v>616002</v>
      </c>
      <c r="B215" s="99" t="inlineStr">
        <is>
          <t>regionaal expertise en info centrum</t>
        </is>
      </c>
      <c r="C215" s="1" t="n"/>
      <c r="D215" s="14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99" t="n">
        <v>616003</v>
      </c>
      <c r="B216" s="99" t="inlineStr">
        <is>
          <t>veiligheidshuis brabant-oost</t>
        </is>
      </c>
      <c r="C216" s="1" t="n"/>
      <c r="D216" s="14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99" t="n">
        <v>616004</v>
      </c>
      <c r="B217" s="99" t="inlineStr">
        <is>
          <t>integrale overheidshandhaving</t>
        </is>
      </c>
      <c r="C217" s="1" t="n"/>
      <c r="D217" s="14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99" t="n">
        <v>616005</v>
      </c>
      <c r="B218" s="99" t="inlineStr">
        <is>
          <t>veiligheidsprojecten</t>
        </is>
      </c>
      <c r="C218" s="1" t="n"/>
      <c r="D218" s="14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99" t="n">
        <v>616006</v>
      </c>
      <c r="B219" s="99" t="inlineStr">
        <is>
          <t>externe veiligheid</t>
        </is>
      </c>
      <c r="C219" s="1" t="n"/>
      <c r="D219" s="14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99" t="n">
        <v>616007</v>
      </c>
      <c r="B220" s="99" t="inlineStr">
        <is>
          <t>veiligheidsfonds</t>
        </is>
      </c>
      <c r="C220" s="1" t="n"/>
      <c r="D220" s="14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99" t="n">
        <v>616008</v>
      </c>
      <c r="B221" s="99" t="inlineStr">
        <is>
          <t xml:space="preserve">toepass bestuursdwang ontruiming </t>
        </is>
      </c>
      <c r="C221" s="1" t="n"/>
      <c r="D221" s="14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99" t="n">
        <v>616009</v>
      </c>
      <c r="B222" s="99" t="inlineStr">
        <is>
          <t>secretarieleges titel 1 legesverord</t>
        </is>
      </c>
      <c r="C222" s="1" t="n"/>
      <c r="D222" s="14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99" t="n">
        <v>616010</v>
      </c>
      <c r="B223" s="99" t="inlineStr">
        <is>
          <t>secretarieleges titel 3 horeca</t>
        </is>
      </c>
      <c r="C223" s="1" t="n"/>
      <c r="D223" s="14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99" t="n">
        <v>616011</v>
      </c>
      <c r="B224" s="99" t="inlineStr">
        <is>
          <t>secretarieleges titel 3 evenem/markt</t>
        </is>
      </c>
      <c r="C224" s="1" t="n"/>
      <c r="D224" s="14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99" t="n">
        <v>616012</v>
      </c>
      <c r="B225" s="99" t="inlineStr">
        <is>
          <t>secretarieleges titel 3 overige</t>
        </is>
      </c>
      <c r="C225" s="1" t="n"/>
      <c r="D225" s="14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99" t="n">
        <v>616013</v>
      </c>
      <c r="B226" s="99" t="inlineStr">
        <is>
          <t>geluidsadvies/-metingen evenementen</t>
        </is>
      </c>
      <c r="C226" s="1" t="n"/>
      <c r="D226" s="14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99" t="n">
        <v>616014</v>
      </c>
      <c r="B227" s="99" t="inlineStr">
        <is>
          <t>ventvergunningen</t>
        </is>
      </c>
      <c r="C227" s="1" t="n"/>
      <c r="D227" s="14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99" t="n">
        <v>616015</v>
      </c>
      <c r="B228" s="99" t="inlineStr">
        <is>
          <t>dierenopvang</t>
        </is>
      </c>
      <c r="C228" s="1" t="n"/>
      <c r="D228" s="14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99" t="n">
        <v>616016</v>
      </c>
      <c r="B229" s="99" t="inlineStr">
        <is>
          <t>ondermijning en bibob</t>
        </is>
      </c>
      <c r="C229" s="1" t="n"/>
      <c r="D229" s="14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99" t="n">
        <v>616017</v>
      </c>
      <c r="B230" s="99" t="inlineStr">
        <is>
          <t>ondermijning bedrijventerreinen</t>
        </is>
      </c>
      <c r="C230" s="1" t="n"/>
      <c r="D230" s="14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99" t="n">
        <v>616901</v>
      </c>
      <c r="B231" s="99" t="inlineStr">
        <is>
          <t>directe toerek vergunningen titel 1</t>
        </is>
      </c>
      <c r="C231" s="1" t="n"/>
      <c r="D231" s="14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99" t="n">
        <v>616902</v>
      </c>
      <c r="B232" s="99" t="inlineStr">
        <is>
          <t>directe toerek vergunningen titel 3</t>
        </is>
      </c>
      <c r="C232" s="1" t="n"/>
      <c r="D232" s="14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99" t="n">
        <v>616903</v>
      </c>
      <c r="B233" s="99" t="inlineStr">
        <is>
          <t>directe toerek oov</t>
        </is>
      </c>
      <c r="C233" s="1" t="n"/>
      <c r="D233" s="14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99" t="n">
        <v>617001</v>
      </c>
      <c r="B234" s="99" t="inlineStr">
        <is>
          <t>straatnaamgeving/nummering</t>
        </is>
      </c>
      <c r="C234" s="1" t="n"/>
      <c r="D234" s="14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99" t="n">
        <v>617002</v>
      </c>
      <c r="B235" s="99" t="inlineStr">
        <is>
          <t>waarschuwingsborden en wegwijzers</t>
        </is>
      </c>
      <c r="C235" s="1" t="n"/>
      <c r="D235" s="14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99" t="n">
        <v>617003</v>
      </c>
      <c r="B236" s="4" t="inlineStr">
        <is>
          <t>maatregelen tbv veilig verkeer</t>
        </is>
      </c>
      <c r="C236" s="1" t="n"/>
      <c r="D236" s="14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99" t="n">
        <v>617004</v>
      </c>
      <c r="B237" s="4" t="inlineStr">
        <is>
          <t>verkeerregelinstallaties</t>
        </is>
      </c>
      <c r="C237" s="1" t="n"/>
      <c r="D237" s="14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99" t="n">
        <v>617005</v>
      </c>
      <c r="B238" s="4" t="inlineStr">
        <is>
          <t>verkeerstellingen</t>
        </is>
      </c>
      <c r="C238" s="1" t="n"/>
      <c r="D238" s="14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99" t="n">
        <v>617006</v>
      </c>
      <c r="B239" s="4" t="inlineStr">
        <is>
          <t>bijd rijkswaterstaat</t>
        </is>
      </c>
      <c r="C239" s="1" t="n"/>
      <c r="D239" s="14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99" t="n">
        <v>617007</v>
      </c>
      <c r="B240" s="4" t="inlineStr">
        <is>
          <t>bereikbaarheidsagenda</t>
        </is>
      </c>
      <c r="C240" s="1" t="n"/>
      <c r="D240" s="14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99" t="n">
        <v>617008</v>
      </c>
      <c r="B241" s="4" t="inlineStr">
        <is>
          <t>overige verkeersmaatregelen</t>
        </is>
      </c>
      <c r="C241" s="1" t="n"/>
      <c r="D241" s="14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99" t="n">
        <v>617009</v>
      </c>
      <c r="B242" s="4" t="inlineStr">
        <is>
          <t>mensgerichte verkeerseducatie</t>
        </is>
      </c>
      <c r="C242" s="1" t="n"/>
      <c r="D242" s="14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99" t="n">
        <v>617010</v>
      </c>
      <c r="B243" s="4" t="inlineStr">
        <is>
          <t>infrastructurele verkeersmaatregelen</t>
        </is>
      </c>
      <c r="C243" s="1" t="n"/>
      <c r="D243" s="14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99" t="n">
        <v>617011</v>
      </c>
      <c r="B244" s="99" t="inlineStr">
        <is>
          <t>onderhoud wegen</t>
        </is>
      </c>
      <c r="C244" s="1" t="n"/>
      <c r="D244" s="14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99" t="n">
        <v>617012</v>
      </c>
      <c r="B245" s="99" t="inlineStr">
        <is>
          <t>stelpost wegbeheerplan(div P-nrs)</t>
        </is>
      </c>
      <c r="C245" s="1" t="n"/>
      <c r="D245" s="14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99" t="n">
        <v>617013</v>
      </c>
      <c r="B246" s="99" t="inlineStr">
        <is>
          <t>stelpost uren investeringen</t>
        </is>
      </c>
      <c r="C246" s="1" t="n"/>
      <c r="D246" s="14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99" t="n">
        <v>617014</v>
      </c>
      <c r="B247" s="99" t="inlineStr">
        <is>
          <t>bestrijding gladheid van wegen</t>
        </is>
      </c>
      <c r="C247" s="1" t="n"/>
      <c r="D247" s="14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99" t="n">
        <v>617015</v>
      </c>
      <c r="B248" s="99" t="inlineStr">
        <is>
          <t>het maken van inritten</t>
        </is>
      </c>
      <c r="C248" s="1" t="n"/>
      <c r="D248" s="14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99" t="n">
        <v>617016</v>
      </c>
      <c r="B249" s="99" t="inlineStr">
        <is>
          <t>straatverlichting</t>
        </is>
      </c>
      <c r="C249" s="1" t="n"/>
      <c r="D249" s="14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99" t="n">
        <v>617017</v>
      </c>
      <c r="B250" s="99" t="inlineStr">
        <is>
          <t>gemeentereiniging excl huisvophaal</t>
        </is>
      </c>
      <c r="C250" s="1" t="n"/>
      <c r="D250" s="14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99" t="n">
        <v>617018</v>
      </c>
      <c r="B251" s="99" t="inlineStr">
        <is>
          <t>doorbelasting overhead aan wegen</t>
        </is>
      </c>
      <c r="C251" s="1" t="n"/>
      <c r="D251" s="14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99" t="n">
        <v>617019</v>
      </c>
      <c r="B252" s="99" t="inlineStr">
        <is>
          <t>onderhoud bruggen</t>
        </is>
      </c>
      <c r="C252" s="1" t="n"/>
      <c r="D252" s="14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99" t="n">
        <v>617020</v>
      </c>
      <c r="B253" s="99" t="inlineStr">
        <is>
          <t>programma duurzame mobiliteit</t>
        </is>
      </c>
      <c r="C253" s="1" t="n"/>
      <c r="D253" s="14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99" t="n">
        <v>617021</v>
      </c>
      <c r="B254" s="99" t="inlineStr">
        <is>
          <t>bijdrage knoop xl brainport</t>
        </is>
      </c>
      <c r="C254" s="1" t="n"/>
      <c r="D254" s="14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99" t="n">
        <v>617022</v>
      </c>
      <c r="B255" s="99" t="inlineStr">
        <is>
          <t>aanleg kabelgoottegels</t>
        </is>
      </c>
      <c r="C255" s="1" t="n"/>
      <c r="D255" s="14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99" t="n">
        <v>617023</v>
      </c>
      <c r="B256" s="99" t="inlineStr">
        <is>
          <t>stelpost schaalsprong</t>
        </is>
      </c>
      <c r="C256" s="1" t="n"/>
      <c r="D256" s="14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99" t="n">
        <v>617901</v>
      </c>
      <c r="B257" s="99" t="inlineStr">
        <is>
          <t>directe toerek verkeer vervoer</t>
        </is>
      </c>
      <c r="C257" s="1" t="n"/>
      <c r="D257" s="14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99" t="n">
        <v>617902</v>
      </c>
      <c r="B258" s="99" t="inlineStr">
        <is>
          <t>directe toerek inritten</t>
        </is>
      </c>
      <c r="C258" s="1" t="n"/>
      <c r="D258" s="14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99" t="n">
        <v>617903</v>
      </c>
      <c r="B259" s="99" t="inlineStr">
        <is>
          <t>directe toerek straatreiniging</t>
        </is>
      </c>
      <c r="C259" s="1" t="n"/>
      <c r="D259" s="14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99" t="n">
        <v>618001</v>
      </c>
      <c r="B260" s="99" t="inlineStr">
        <is>
          <t>parkeergarage molenveste</t>
        </is>
      </c>
      <c r="C260" s="1" t="n"/>
      <c r="D260" s="14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99" t="n">
        <v>618901</v>
      </c>
      <c r="B261" s="99" t="inlineStr">
        <is>
          <t>directe toerek parkeren</t>
        </is>
      </c>
      <c r="C261" s="1" t="n"/>
      <c r="D261" s="14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99" t="n">
        <v>621001</v>
      </c>
      <c r="B262" s="99" t="inlineStr">
        <is>
          <t>fietsenstalling ns</t>
        </is>
      </c>
      <c r="C262" s="1" t="n"/>
      <c r="D262" s="14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99" t="n">
        <v>621002</v>
      </c>
      <c r="B263" s="99" t="inlineStr">
        <is>
          <t>overige kosten openbaar vervoer</t>
        </is>
      </c>
      <c r="C263" s="1" t="n"/>
      <c r="D263" s="14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99" t="n">
        <v>621901</v>
      </c>
      <c r="B264" s="99" t="inlineStr">
        <is>
          <t>directe toerek openb vervoer</t>
        </is>
      </c>
      <c r="C264" s="1" t="n"/>
      <c r="D264" s="14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99" t="n">
        <v>622001</v>
      </c>
      <c r="B265" s="99" t="inlineStr">
        <is>
          <t>recognities voor vergunningen</t>
        </is>
      </c>
      <c r="C265" s="1" t="n"/>
      <c r="D265" s="14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99" t="n">
        <v>622002</v>
      </c>
      <c r="B266" s="104" t="inlineStr">
        <is>
          <t>revitalisering bedrijventerr 't zand</t>
        </is>
      </c>
      <c r="C266" s="1" t="n"/>
      <c r="D266" s="14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99" t="n">
        <v>622003</v>
      </c>
      <c r="B267" s="104" t="inlineStr">
        <is>
          <t>bevorder ondernemingsklimaat  best</t>
        </is>
      </c>
      <c r="C267" s="1" t="n"/>
      <c r="D267" s="14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99" t="n">
        <v>622004</v>
      </c>
      <c r="B268" s="104" t="inlineStr">
        <is>
          <t>centrummanagement</t>
        </is>
      </c>
      <c r="C268" s="1" t="n"/>
      <c r="D268" s="14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99" t="n">
        <v>622005</v>
      </c>
      <c r="B269" s="104" t="inlineStr">
        <is>
          <t>basisfinanciering brainp development</t>
        </is>
      </c>
      <c r="C269" s="1" t="n"/>
      <c r="D269" s="14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99" t="n">
        <v>622006</v>
      </c>
      <c r="B270" s="99" t="inlineStr">
        <is>
          <t>bijdrage aan internationale school</t>
        </is>
      </c>
      <c r="C270" s="1" t="n"/>
      <c r="D270" s="14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99" t="n">
        <v>622007</v>
      </c>
      <c r="B271" s="99" t="inlineStr">
        <is>
          <t>nutsvoorzieningen</t>
        </is>
      </c>
      <c r="C271" s="1" t="n"/>
      <c r="D271" s="14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99" t="n">
        <v>622008</v>
      </c>
      <c r="B272" s="99" t="inlineStr">
        <is>
          <t>leges leggen van kabels en leidingen</t>
        </is>
      </c>
      <c r="C272" s="1" t="n"/>
      <c r="D272" s="14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99" t="n">
        <v>622009</v>
      </c>
      <c r="B273" s="99" t="inlineStr">
        <is>
          <t>brandkranen, -putten en -sloten</t>
        </is>
      </c>
      <c r="C273" s="1" t="n"/>
      <c r="D273" s="14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99" t="n">
        <v>622010</v>
      </c>
      <c r="B274" s="99" t="inlineStr">
        <is>
          <t>oz verleggen hoogspannleiding</t>
        </is>
      </c>
      <c r="C274" s="1" t="n"/>
      <c r="D274" s="14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99" t="n">
        <v>622011</v>
      </c>
      <c r="B275" s="99" t="inlineStr">
        <is>
          <t>bedrijventerreinenvisie</t>
        </is>
      </c>
      <c r="C275" s="1" t="n"/>
      <c r="D275" s="14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99" t="n">
        <v>622012</v>
      </c>
      <c r="B276" s="99" t="inlineStr">
        <is>
          <t>overige winkelgebieden</t>
        </is>
      </c>
      <c r="C276" s="1" t="n"/>
      <c r="D276" s="14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99" t="n">
        <v>622013</v>
      </c>
      <c r="B277" s="99" t="inlineStr">
        <is>
          <t>verduurzamen bedrijventerreinen</t>
        </is>
      </c>
      <c r="C277" s="1" t="n"/>
      <c r="D277" s="14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/>
    </row>
    <row r="278">
      <c r="A278" s="99" t="n">
        <v>622014</v>
      </c>
      <c r="B278" s="99" t="inlineStr">
        <is>
          <t>haalbaaroz/cam toez bedr terrein</t>
        </is>
      </c>
      <c r="C278" s="1" t="n"/>
      <c r="D278" s="14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99" t="n">
        <v>622015</v>
      </c>
      <c r="B279" s="99" t="inlineStr">
        <is>
          <t>ondernemersfonds</t>
        </is>
      </c>
      <c r="C279" s="1" t="n"/>
      <c r="D279" s="14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99" t="n">
        <v>622901</v>
      </c>
      <c r="B280" s="99" t="inlineStr">
        <is>
          <t>directe toerek ec ontwikkeling</t>
        </is>
      </c>
      <c r="C280" s="1" t="n"/>
      <c r="D280" s="14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99" t="n">
        <v>622902</v>
      </c>
      <c r="B281" s="99" t="inlineStr">
        <is>
          <t>directe toerek kabels ed titel 1</t>
        </is>
      </c>
      <c r="C281" s="1" t="n"/>
      <c r="D281" s="14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99" t="n">
        <v>624001</v>
      </c>
      <c r="B282" s="99" t="inlineStr">
        <is>
          <t>markten</t>
        </is>
      </c>
      <c r="C282" s="1" t="n"/>
      <c r="D282" s="14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99" t="n">
        <v>624002</v>
      </c>
      <c r="B283" s="99" t="inlineStr">
        <is>
          <t>commerciële buitenreclame</t>
        </is>
      </c>
      <c r="C283" s="1" t="n"/>
      <c r="D283" s="14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99" t="n">
        <v>624003</v>
      </c>
      <c r="B284" s="99" t="inlineStr">
        <is>
          <t>standplaatsen</t>
        </is>
      </c>
      <c r="C284" s="1" t="n"/>
      <c r="D284" s="14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99" t="n">
        <v>624901</v>
      </c>
      <c r="B285" s="99" t="inlineStr">
        <is>
          <t>directe toerek bedr loket ed</t>
        </is>
      </c>
      <c r="C285" s="1" t="n"/>
      <c r="D285" s="14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99" t="n">
        <v>625001</v>
      </c>
      <c r="B286" s="99" t="inlineStr">
        <is>
          <t>kermis en kermisterrein</t>
        </is>
      </c>
      <c r="C286" s="1" t="n"/>
      <c r="D286" s="14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99" t="n">
        <v>625002</v>
      </c>
      <c r="B287" s="99" t="inlineStr">
        <is>
          <t>culturele activiteiten</t>
        </is>
      </c>
      <c r="C287" s="1" t="n"/>
      <c r="D287" s="14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99" t="n">
        <v>625003</v>
      </c>
      <c r="B288" s="99" t="inlineStr">
        <is>
          <t>toeristenbelasting</t>
        </is>
      </c>
      <c r="C288" s="1" t="n"/>
      <c r="D288" s="14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99" t="n">
        <v>625004</v>
      </c>
      <c r="B289" s="99" t="inlineStr">
        <is>
          <t>promotie kermis</t>
        </is>
      </c>
      <c r="C289" s="1" t="n"/>
      <c r="D289" s="14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99" t="n">
        <v>625005</v>
      </c>
      <c r="B290" s="99" t="inlineStr">
        <is>
          <t>75 jaar wilhelminadorp</t>
        </is>
      </c>
      <c r="C290" s="1" t="n"/>
      <c r="D290" s="14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99" t="n">
        <v>625901</v>
      </c>
      <c r="B291" s="99" t="inlineStr">
        <is>
          <t>directe toerek econ promotie</t>
        </is>
      </c>
      <c r="C291" s="1" t="n"/>
      <c r="D291" s="14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99" t="n">
        <v>625902</v>
      </c>
      <c r="B292" s="99" t="inlineStr">
        <is>
          <t>directe toerek kermis</t>
        </is>
      </c>
      <c r="C292" s="1" t="n"/>
      <c r="D292" s="14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99" t="n">
        <v>627001</v>
      </c>
      <c r="B293" s="99" t="inlineStr">
        <is>
          <t>scholen onverdeeld</t>
        </is>
      </c>
      <c r="C293" s="1" t="n"/>
      <c r="D293" s="14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99" t="n">
        <v>627002</v>
      </c>
      <c r="B294" s="99" t="inlineStr">
        <is>
          <t>stelp herstel/verv schade scholen</t>
        </is>
      </c>
      <c r="C294" s="1" t="n"/>
      <c r="D294" s="14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99" t="n">
        <v>627003</v>
      </c>
      <c r="B295" s="99" t="inlineStr">
        <is>
          <t>schoolwoningen onverdeeld</t>
        </is>
      </c>
      <c r="C295" s="1" t="n"/>
      <c r="D295" s="14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99" t="n">
        <v>627004</v>
      </c>
      <c r="B296" s="99" t="inlineStr">
        <is>
          <t>gymnastiekonderwijs</t>
        </is>
      </c>
      <c r="C296" s="1" t="n"/>
      <c r="D296" s="14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99" t="n">
        <v>627005</v>
      </c>
      <c r="B297" s="99" t="inlineStr">
        <is>
          <t>wildheuvel 21-23</t>
        </is>
      </c>
      <c r="C297" s="1" t="n"/>
      <c r="D297" s="14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99" t="n">
        <v>627006</v>
      </c>
      <c r="B298" s="99" t="inlineStr">
        <is>
          <t>paardenhei 7</t>
        </is>
      </c>
      <c r="C298" s="1" t="n"/>
      <c r="D298" s="14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99" t="n">
        <v>627007</v>
      </c>
      <c r="B299" s="99" t="inlineStr">
        <is>
          <t>vlinderhei 14</t>
        </is>
      </c>
      <c r="C299" s="1" t="n"/>
      <c r="D299" s="14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99" t="n">
        <v>627008</v>
      </c>
      <c r="B300" s="99" t="inlineStr">
        <is>
          <t>secr jansenstr 5</t>
        </is>
      </c>
      <c r="C300" s="1" t="n"/>
      <c r="D300" s="14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99" t="n">
        <v>627009</v>
      </c>
      <c r="B301" s="99" t="inlineStr">
        <is>
          <t>mgr zwijssenstraat 85</t>
        </is>
      </c>
      <c r="C301" s="1" t="n"/>
      <c r="D301" s="14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99" t="n">
        <v>627010</v>
      </c>
      <c r="B302" s="105" t="inlineStr">
        <is>
          <t>j vermeerstraat 21</t>
        </is>
      </c>
      <c r="C302" s="1" t="n"/>
      <c r="D302" s="14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99" t="n">
        <v>627011</v>
      </c>
      <c r="B303" s="105" t="inlineStr">
        <is>
          <t>max de bossusstraat 8</t>
        </is>
      </c>
      <c r="C303" s="1" t="n"/>
      <c r="D303" s="14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99" t="n">
        <v>627012</v>
      </c>
      <c r="B304" s="99" t="inlineStr">
        <is>
          <t>van lumeystraat 1</t>
        </is>
      </c>
      <c r="C304" s="1" t="n"/>
      <c r="D304" s="14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99" t="n">
        <v>627013</v>
      </c>
      <c r="B305" s="99" t="inlineStr">
        <is>
          <t>paardenhei 1</t>
        </is>
      </c>
      <c r="C305" s="1" t="n"/>
      <c r="D305" s="14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99" t="n">
        <v>627014</v>
      </c>
      <c r="B306" s="99" t="inlineStr">
        <is>
          <t>j verleunstraat 29</t>
        </is>
      </c>
      <c r="C306" s="1" t="n"/>
      <c r="D306" s="14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99" t="n">
        <v>627015</v>
      </c>
      <c r="B307" s="99" t="inlineStr">
        <is>
          <t>haktol 1</t>
        </is>
      </c>
      <c r="C307" s="1" t="n"/>
      <c r="D307" s="14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99" t="n">
        <v>627016</v>
      </c>
      <c r="B308" s="99" t="inlineStr">
        <is>
          <t>burg notermansstraat 29</t>
        </is>
      </c>
      <c r="C308" s="1" t="n"/>
      <c r="D308" s="14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99" t="n">
        <v>627017</v>
      </c>
      <c r="B309" s="99" t="inlineStr">
        <is>
          <t>ikc dijkstraten</t>
        </is>
      </c>
      <c r="C309" s="1" t="n"/>
      <c r="D309" s="14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99" t="n">
        <v>627018</v>
      </c>
      <c r="B310" s="99" t="inlineStr">
        <is>
          <t>heerbeeck college</t>
        </is>
      </c>
      <c r="C310" s="1" t="n"/>
      <c r="D310" s="14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99" t="n">
        <v>627019</v>
      </c>
      <c r="B311" s="99" t="inlineStr">
        <is>
          <t>den dries 17</t>
        </is>
      </c>
      <c r="C311" s="1" t="n"/>
      <c r="D311" s="14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99" t="n">
        <v>627901</v>
      </c>
      <c r="B312" s="99" t="inlineStr">
        <is>
          <t>directe toerek onderwijshuisv</t>
        </is>
      </c>
      <c r="C312" s="1" t="n"/>
      <c r="D312" s="14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99" t="n">
        <v>628001</v>
      </c>
      <c r="B313" s="99" t="inlineStr">
        <is>
          <t>leer- en kwalificatieplicht</t>
        </is>
      </c>
      <c r="C313" s="1" t="n"/>
      <c r="D313" s="14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99" t="n">
        <v>628002</v>
      </c>
      <c r="B314" s="99" t="inlineStr">
        <is>
          <t>uitvoeringsmidd leer/kwalif plicht</t>
        </is>
      </c>
      <c r="C314" s="1" t="n"/>
      <c r="D314" s="14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99" t="n">
        <v>628003</v>
      </c>
      <c r="B315" s="99" t="inlineStr">
        <is>
          <t>onderwijsachterstandenbeleid</t>
        </is>
      </c>
      <c r="C315" s="1" t="n"/>
      <c r="D315" s="14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99" t="n">
        <v>628004</v>
      </c>
      <c r="B316" s="99" t="inlineStr">
        <is>
          <t>thuisnabij onderwijs</t>
        </is>
      </c>
      <c r="C316" s="1" t="n"/>
      <c r="D316" s="14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99" t="n">
        <v>628005</v>
      </c>
      <c r="B317" s="99" t="inlineStr">
        <is>
          <t>voorschoolse voorzieningen</t>
        </is>
      </c>
      <c r="C317" s="1" t="n"/>
      <c r="D317" s="14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99" t="n">
        <v>628006</v>
      </c>
      <c r="B318" s="99" t="inlineStr">
        <is>
          <t>mgr zwijssenstraat (psz)</t>
        </is>
      </c>
      <c r="C318" s="1" t="n"/>
      <c r="D318" s="14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99" t="n">
        <v>628007</v>
      </c>
      <c r="B319" s="99" t="inlineStr">
        <is>
          <t>leerlingenvervoer gemeente best</t>
        </is>
      </c>
      <c r="C319" s="1" t="n"/>
      <c r="D319" s="14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99" t="n">
        <v>628008</v>
      </c>
      <c r="B320" s="106" t="inlineStr">
        <is>
          <t>toezicht handhaving voorsch voorz</t>
        </is>
      </c>
      <c r="C320" s="1" t="n"/>
      <c r="D320" s="14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99" t="n">
        <v>628009</v>
      </c>
      <c r="B321" s="106" t="inlineStr">
        <is>
          <t>npo gelden</t>
        </is>
      </c>
      <c r="C321" s="1" t="n"/>
      <c r="D321" s="14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99" t="n">
        <v>628901</v>
      </c>
      <c r="B322" s="99" t="inlineStr">
        <is>
          <t>directe toerek onderwijsbel ed</t>
        </is>
      </c>
      <c r="C322" s="1" t="n"/>
      <c r="D322" s="14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99" t="n">
        <v>629001</v>
      </c>
      <c r="B323" s="99" t="inlineStr">
        <is>
          <t>subs/contr/bijdr sportverenigingen</t>
        </is>
      </c>
      <c r="C323" s="1" t="n"/>
      <c r="D323" s="14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99" t="n">
        <v>629002</v>
      </c>
      <c r="B324" s="99" t="inlineStr">
        <is>
          <t>combinatiefunctionarissen</t>
        </is>
      </c>
      <c r="C324" s="1" t="n"/>
      <c r="D324" s="14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99" t="n">
        <v>629003</v>
      </c>
      <c r="B325" s="99" t="inlineStr">
        <is>
          <t>sportakkoord</t>
        </is>
      </c>
      <c r="C325" s="1" t="n"/>
      <c r="D325" s="14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99" t="n">
        <v>629004</v>
      </c>
      <c r="B326" s="119" t="inlineStr">
        <is>
          <t>bs lokaal sportakkoord</t>
        </is>
      </c>
      <c r="C326" s="1" t="n"/>
      <c r="D326" s="14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99" t="n">
        <v>629005</v>
      </c>
      <c r="B327" s="119" t="inlineStr">
        <is>
          <t>bs brede regeling combinatiefuncties</t>
        </is>
      </c>
      <c r="C327" s="1" t="n"/>
      <c r="D327" s="14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99" t="n">
        <v>629006</v>
      </c>
      <c r="B328" s="119" t="inlineStr">
        <is>
          <t>tuurlijk</t>
        </is>
      </c>
      <c r="C328" s="1" t="n"/>
      <c r="D328" s="14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99" t="n">
        <v>629901</v>
      </c>
      <c r="B329" s="99" t="inlineStr">
        <is>
          <t>directe toerek sportbeleid ed</t>
        </is>
      </c>
      <c r="C329" s="1" t="n"/>
      <c r="D329" s="14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99" t="n">
        <v>630001</v>
      </c>
      <c r="B330" s="99" t="inlineStr">
        <is>
          <t>accommodatie v.v. wilhelmina boys</t>
        </is>
      </c>
      <c r="C330" s="1" t="n"/>
      <c r="D330" s="14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99" t="n">
        <v>630002</v>
      </c>
      <c r="B331" s="99" t="inlineStr">
        <is>
          <t>acommodatie korfbalvereniging dkb</t>
        </is>
      </c>
      <c r="C331" s="1" t="n"/>
      <c r="D331" s="14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99" t="n">
        <v>630003</v>
      </c>
      <c r="B332" s="99" t="inlineStr">
        <is>
          <t>accommodatie tennis smashing '89</t>
        </is>
      </c>
      <c r="C332" s="1" t="n"/>
      <c r="D332" s="14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99" t="n">
        <v>630004</v>
      </c>
      <c r="B333" s="99" t="inlineStr">
        <is>
          <t>accommodatie handbalver aristos</t>
        </is>
      </c>
      <c r="C333" s="1" t="n"/>
      <c r="D333" s="14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99" t="n">
        <v>630005</v>
      </c>
      <c r="B334" s="99" t="inlineStr">
        <is>
          <t>acommodatie atletiek gen michaëlis</t>
        </is>
      </c>
      <c r="C334" s="1" t="n"/>
      <c r="D334" s="14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99" t="n">
        <v>630006</v>
      </c>
      <c r="B335" s="103" t="inlineStr">
        <is>
          <t>alg kosten sportp naestenbest</t>
        </is>
      </c>
      <c r="C335" s="1" t="n"/>
      <c r="D335" s="14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99" t="n">
        <v>630007</v>
      </c>
      <c r="B336" s="99" t="inlineStr">
        <is>
          <t>accommodatie r.k.v.v. best vooruit</t>
        </is>
      </c>
      <c r="C336" s="1" t="n"/>
      <c r="D336" s="14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99" t="n">
        <v>630008</v>
      </c>
      <c r="B337" s="99" t="inlineStr">
        <is>
          <t>accommodatie tennis l.t.v.b.</t>
        </is>
      </c>
      <c r="C337" s="1" t="n"/>
      <c r="D337" s="14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99" t="n">
        <v>630009</v>
      </c>
      <c r="B338" s="99" t="inlineStr">
        <is>
          <t>visvijver, gracht en ijsbaan</t>
        </is>
      </c>
      <c r="C338" s="1" t="n"/>
      <c r="D338" s="14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99" t="n">
        <v>630010</v>
      </c>
      <c r="B339" s="99" t="inlineStr">
        <is>
          <t>accommodatie jeu de boulesvereniging</t>
        </is>
      </c>
      <c r="C339" s="1" t="n"/>
      <c r="D339" s="14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99" t="n">
        <v>630011</v>
      </c>
      <c r="B340" s="99" t="inlineStr">
        <is>
          <t>accommodatie mixed hockeyclub best</t>
        </is>
      </c>
      <c r="C340" s="1" t="n"/>
      <c r="D340" s="14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99" t="n">
        <v>630012</v>
      </c>
      <c r="B341" s="103" t="inlineStr">
        <is>
          <t>alg kosten sportpark leemkuilen</t>
        </is>
      </c>
      <c r="C341" s="1" t="n"/>
      <c r="D341" s="14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99" t="n">
        <v>630013</v>
      </c>
      <c r="B342" s="99" t="inlineStr">
        <is>
          <t>prinses beatrixlaan 27</t>
        </is>
      </c>
      <c r="C342" s="1" t="n"/>
      <c r="D342" s="14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99" t="n">
        <v>630014</v>
      </c>
      <c r="B343" s="99" t="inlineStr">
        <is>
          <t>mgr zwijsenstraat 85</t>
        </is>
      </c>
      <c r="C343" s="1" t="n"/>
      <c r="D343" s="14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99" t="n">
        <v>630015</v>
      </c>
      <c r="B344" s="99" t="inlineStr">
        <is>
          <t>secr jansenstraat 7</t>
        </is>
      </c>
      <c r="C344" s="1" t="n"/>
      <c r="D344" s="14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99" t="n">
        <v>630016</v>
      </c>
      <c r="B345" s="99" t="inlineStr">
        <is>
          <t>haktol 1a</t>
        </is>
      </c>
      <c r="C345" s="1" t="n"/>
      <c r="D345" s="14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99" t="n">
        <v>630017</v>
      </c>
      <c r="B346" s="99" t="inlineStr">
        <is>
          <t>j verleunstraat 29</t>
        </is>
      </c>
      <c r="C346" s="1" t="n"/>
      <c r="D346" s="14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99" t="n">
        <v>630018</v>
      </c>
      <c r="B347" s="99" t="inlineStr">
        <is>
          <t>rendierhei 10</t>
        </is>
      </c>
      <c r="C347" s="1" t="n"/>
      <c r="D347" s="14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99" t="n">
        <v>630019</v>
      </c>
      <c r="B348" s="99" t="inlineStr">
        <is>
          <t>w de zwijgerweg 148-150</t>
        </is>
      </c>
      <c r="C348" s="1" t="n"/>
      <c r="D348" s="14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99" t="n">
        <v>630020</v>
      </c>
      <c r="B349" s="99" t="inlineStr">
        <is>
          <t>gem openluchtzwembad de dolfijn</t>
        </is>
      </c>
      <c r="C349" s="1" t="n"/>
      <c r="D349" s="14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99" t="n">
        <v>630021</v>
      </c>
      <c r="B350" s="99" t="inlineStr">
        <is>
          <t>overdekt zwembad</t>
        </is>
      </c>
      <c r="C350" s="1" t="n"/>
      <c r="D350" s="14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99" t="n">
        <v>630022</v>
      </c>
      <c r="B351" s="99" t="inlineStr">
        <is>
          <t>voertuigen/gereedschappen sport</t>
        </is>
      </c>
      <c r="C351" s="1" t="n"/>
      <c r="D351" s="14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99" t="n">
        <v>630023</v>
      </c>
      <c r="B352" s="99" t="inlineStr">
        <is>
          <t>doorbelasting overhead aan sport</t>
        </is>
      </c>
      <c r="C352" s="1" t="n"/>
      <c r="D352" s="14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99" t="n">
        <v>630024</v>
      </c>
      <c r="B353" s="99" t="inlineStr">
        <is>
          <t>spuk regeling btw subsidie</t>
        </is>
      </c>
      <c r="C353" s="1" t="n"/>
      <c r="D353" s="14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99" t="n">
        <v>630025</v>
      </c>
      <c r="B354" s="99" t="inlineStr">
        <is>
          <t>tegemoetkom verhuurders sportacc</t>
        </is>
      </c>
      <c r="C354" s="1" t="n"/>
      <c r="D354" s="14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99" t="n">
        <v>630026</v>
      </c>
      <c r="B355" s="99" t="inlineStr">
        <is>
          <t>gymzaal dijkstraten/aarlesche erven</t>
        </is>
      </c>
      <c r="C355" s="1" t="n"/>
      <c r="D355" s="14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99" t="n">
        <v>630901</v>
      </c>
      <c r="B356" s="99" t="inlineStr">
        <is>
          <t>directe toerek sportaccomm</t>
        </is>
      </c>
      <c r="C356" s="1" t="n"/>
      <c r="D356" s="14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99" t="n">
        <v>631001</v>
      </c>
      <c r="B357" s="99" t="inlineStr">
        <is>
          <t>cursusaanbod welzijn</t>
        </is>
      </c>
      <c r="C357" s="1" t="n"/>
      <c r="D357" s="14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99" t="n">
        <v>631002</v>
      </c>
      <c r="B358" s="99" t="inlineStr">
        <is>
          <t>cultuureucatie</t>
        </is>
      </c>
      <c r="C358" s="1" t="n"/>
      <c r="D358" s="14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99" t="n">
        <v>631003</v>
      </c>
      <c r="B359" s="99" t="inlineStr">
        <is>
          <t>culttuurspoor</t>
        </is>
      </c>
      <c r="C359" s="1" t="n"/>
      <c r="D359" s="14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99" t="n">
        <v>631004</v>
      </c>
      <c r="B360" s="99" t="inlineStr">
        <is>
          <t>cultuurloper/cmk</t>
        </is>
      </c>
      <c r="C360" s="1" t="n"/>
      <c r="D360" s="14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99" t="n">
        <v>631005</v>
      </c>
      <c r="B361" s="99" t="inlineStr">
        <is>
          <t>rep/oh kunstwerken/oorlogsmonumenten</t>
        </is>
      </c>
      <c r="C361" s="1" t="n"/>
      <c r="D361" s="14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99" t="n">
        <v>631006</v>
      </c>
      <c r="B362" s="99" t="inlineStr">
        <is>
          <t>cultuurorganisaties</t>
        </is>
      </c>
      <c r="C362" s="1" t="n"/>
      <c r="D362" s="14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99" t="n">
        <v>631007</v>
      </c>
      <c r="B363" s="103" t="inlineStr">
        <is>
          <t>subsidie lokale omroep best</t>
        </is>
      </c>
      <c r="C363" s="1" t="n"/>
      <c r="D363" s="14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99" t="n">
        <v>631008</v>
      </c>
      <c r="B364" s="103" t="inlineStr">
        <is>
          <t>soc-cult activiteiten sinti</t>
        </is>
      </c>
      <c r="C364" s="1" t="n"/>
      <c r="D364" s="14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99" t="n">
        <v>631009</v>
      </c>
      <c r="B365" s="99" t="inlineStr">
        <is>
          <t>buurthuis naasteb/'t tejaterke</t>
        </is>
      </c>
      <c r="C365" s="1" t="n"/>
      <c r="D365" s="14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99" t="n">
        <v>631010</v>
      </c>
      <c r="B366" s="99" t="inlineStr">
        <is>
          <t>cultureel programma</t>
        </is>
      </c>
      <c r="C366" s="1" t="n"/>
      <c r="D366" s="14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99" t="n">
        <v>631011</v>
      </c>
      <c r="B367" s="99" t="inlineStr">
        <is>
          <t>community art</t>
        </is>
      </c>
      <c r="C367" s="1" t="n"/>
      <c r="D367" s="14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99" t="n">
        <v>631012</v>
      </c>
      <c r="B368" s="99" t="inlineStr">
        <is>
          <t>beeldende kunst</t>
        </is>
      </c>
      <c r="C368" s="1" t="n"/>
      <c r="D368" s="14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99" t="n">
        <v>631013</v>
      </c>
      <c r="B369" s="99" t="inlineStr">
        <is>
          <t>algemene cultuur zaken</t>
        </is>
      </c>
      <c r="C369" s="1" t="n"/>
      <c r="D369" s="14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99" t="n">
        <v>631901</v>
      </c>
      <c r="B370" s="99" t="inlineStr">
        <is>
          <t>directe toerek cultuurpres</t>
        </is>
      </c>
      <c r="C370" s="1" t="n"/>
      <c r="D370" s="14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99" t="n">
        <v>632001</v>
      </c>
      <c r="B371" s="99" t="inlineStr">
        <is>
          <t>regionaal historisch centrum</t>
        </is>
      </c>
      <c r="C371" s="1" t="n"/>
      <c r="D371" s="14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99" t="n">
        <v>632901</v>
      </c>
      <c r="B372" s="99" t="inlineStr">
        <is>
          <t>directe toerek musea</t>
        </is>
      </c>
      <c r="C372" s="1" t="n"/>
      <c r="D372" s="14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99" t="n">
        <v>633001</v>
      </c>
      <c r="B373" s="99" t="inlineStr">
        <is>
          <t>archeologie/monumenenzorg</t>
        </is>
      </c>
      <c r="C373" s="1" t="n"/>
      <c r="D373" s="14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99" t="n">
        <v>633002</v>
      </c>
      <c r="B374" s="99" t="inlineStr">
        <is>
          <t>odzob archeologie/monumenten</t>
        </is>
      </c>
      <c r="C374" s="1" t="n"/>
      <c r="D374" s="14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99" t="n">
        <v>633003</v>
      </c>
      <c r="B375" s="99" t="inlineStr">
        <is>
          <t>joe mann theater</t>
        </is>
      </c>
      <c r="C375" s="1" t="n"/>
      <c r="D375" s="14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99" t="n">
        <v>633901</v>
      </c>
      <c r="B376" s="99" t="inlineStr">
        <is>
          <t>directe toerek cult erfgoed</t>
        </is>
      </c>
      <c r="C376" s="1" t="n"/>
      <c r="D376" s="14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99" t="n">
        <v>634001</v>
      </c>
      <c r="B377" s="99" t="inlineStr">
        <is>
          <t>openbare bibliotheek</t>
        </is>
      </c>
      <c r="C377" s="1" t="n"/>
      <c r="D377" s="14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99" t="n">
        <v>634901</v>
      </c>
      <c r="B378" s="99" t="inlineStr">
        <is>
          <t>directe toerek media</t>
        </is>
      </c>
      <c r="C378" s="1" t="n"/>
      <c r="D378" s="14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99" t="n">
        <v>635001</v>
      </c>
      <c r="B379" s="107" t="inlineStr">
        <is>
          <t>carillon</t>
        </is>
      </c>
      <c r="C379" s="1" t="n"/>
      <c r="D379" s="14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99" t="n">
        <v>635002</v>
      </c>
      <c r="B380" s="99" t="inlineStr">
        <is>
          <t>onderhoud plantsoenen</t>
        </is>
      </c>
      <c r="C380" s="1" t="n"/>
      <c r="D380" s="14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99" t="n">
        <v>635003</v>
      </c>
      <c r="B381" s="99" t="inlineStr">
        <is>
          <t>onderhoud bomen</t>
        </is>
      </c>
      <c r="C381" s="1" t="n"/>
      <c r="D381" s="14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99" t="n">
        <v>635004</v>
      </c>
      <c r="B382" s="99" t="inlineStr">
        <is>
          <t>rotondesponsering</t>
        </is>
      </c>
      <c r="C382" s="1" t="n"/>
      <c r="D382" s="14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99" t="n">
        <v>635005</v>
      </c>
      <c r="B383" s="99" t="inlineStr">
        <is>
          <t>onderhoud hondentoiletten</t>
        </is>
      </c>
      <c r="C383" s="1" t="n"/>
      <c r="D383" s="14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99" t="n">
        <v>635006</v>
      </c>
      <c r="B384" s="99" t="inlineStr">
        <is>
          <t>bebossingen</t>
        </is>
      </c>
      <c r="C384" s="1" t="n"/>
      <c r="D384" s="14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99" t="n">
        <v>635007</v>
      </c>
      <c r="B385" s="99" t="inlineStr">
        <is>
          <t>pacht van de jacht en visserij</t>
        </is>
      </c>
      <c r="C385" s="1" t="n"/>
      <c r="D385" s="14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99" t="n">
        <v>635008</v>
      </c>
      <c r="B386" s="99" t="inlineStr">
        <is>
          <t>bijdrage rijk in recreatieve bossen</t>
        </is>
      </c>
      <c r="C386" s="1" t="n"/>
      <c r="D386" s="14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99" t="n">
        <v>635009</v>
      </c>
      <c r="B387" s="99" t="inlineStr">
        <is>
          <t>onderhoud recreatieve voorzieningen</t>
        </is>
      </c>
      <c r="C387" s="1" t="n"/>
      <c r="D387" s="14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99" t="n">
        <v>635010</v>
      </c>
      <c r="B388" s="99" t="inlineStr">
        <is>
          <t>profilering best</t>
        </is>
      </c>
      <c r="C388" s="1" t="n"/>
      <c r="D388" s="14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99" t="n">
        <v>635011</v>
      </c>
      <c r="B389" s="99" t="inlineStr">
        <is>
          <t>onderhoud speelelem/speelpl</t>
        </is>
      </c>
      <c r="C389" s="1" t="n"/>
      <c r="D389" s="14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99" t="n">
        <v>635012</v>
      </c>
      <c r="B390" s="99" t="inlineStr">
        <is>
          <t>landschapsfonds</t>
        </is>
      </c>
      <c r="C390" s="1" t="n"/>
      <c r="D390" s="14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99" t="n">
        <v>635013</v>
      </c>
      <c r="B391" s="99" t="inlineStr">
        <is>
          <t>voertuigen/gereedschappen plnts/bossen</t>
        </is>
      </c>
      <c r="C391" s="1" t="n"/>
      <c r="D391" s="14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99" t="n">
        <v>635014</v>
      </c>
      <c r="B392" s="103" t="inlineStr">
        <is>
          <t>doorbelasting overhead aan groen</t>
        </is>
      </c>
      <c r="C392" s="1" t="n"/>
      <c r="D392" s="14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99" t="n">
        <v>635015</v>
      </c>
      <c r="B393" s="103" t="inlineStr">
        <is>
          <t>groenprojecten</t>
        </is>
      </c>
      <c r="C393" s="1" t="n"/>
      <c r="D393" s="14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99" t="n">
        <v>635016</v>
      </c>
      <c r="B394" s="103" t="inlineStr">
        <is>
          <t>projecten uit reserve lir</t>
        </is>
      </c>
      <c r="C394" s="1" t="n"/>
      <c r="D394" s="14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99" t="n">
        <v>635901</v>
      </c>
      <c r="B395" s="99" t="inlineStr">
        <is>
          <t>directe toerek openbaar groen</t>
        </is>
      </c>
      <c r="C395" s="1" t="n"/>
      <c r="D395" s="14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 s="418">
      <c r="A396" s="99" t="n">
        <v>636001</v>
      </c>
      <c r="B396" s="99" t="inlineStr">
        <is>
          <t>maatschap werk en huiselijk geweld</t>
        </is>
      </c>
      <c r="C396" s="1" t="n"/>
      <c r="D396" s="14" t="inlineStr">
        <is>
          <t>sociaal domein</t>
        </is>
      </c>
      <c r="E396" s="113" t="inlineStr">
        <is>
          <t xml:space="preserve">T61 </t>
        </is>
      </c>
      <c r="F396" t="inlineStr">
        <is>
          <t>samenkracht en burgerparticipatie</t>
        </is>
      </c>
    </row>
    <row r="397" ht="15" customHeight="1" s="418">
      <c r="A397" s="99" t="n">
        <v>636002</v>
      </c>
      <c r="B397" s="99" t="inlineStr">
        <is>
          <t>welzijnsfonds</t>
        </is>
      </c>
      <c r="C397" s="1" t="n"/>
      <c r="D397" s="14" t="inlineStr">
        <is>
          <t>sociaal domein</t>
        </is>
      </c>
      <c r="E397" s="113" t="inlineStr">
        <is>
          <t xml:space="preserve">T61 </t>
        </is>
      </c>
      <c r="F397" t="inlineStr">
        <is>
          <t>samenkracht en burgerparticipatie</t>
        </is>
      </c>
    </row>
    <row r="398" ht="15" customHeight="1" s="418">
      <c r="A398" s="99" t="n">
        <v>636003</v>
      </c>
      <c r="B398" s="99" t="inlineStr">
        <is>
          <t>wmo adviesraad</t>
        </is>
      </c>
      <c r="C398" s="1" t="n"/>
      <c r="D398" s="14" t="inlineStr">
        <is>
          <t>sociaal domein</t>
        </is>
      </c>
      <c r="E398" s="113" t="inlineStr">
        <is>
          <t xml:space="preserve">T61 </t>
        </is>
      </c>
      <c r="F398" t="inlineStr">
        <is>
          <t>samenkracht en burgerparticipatie</t>
        </is>
      </c>
    </row>
    <row r="399" ht="15" customHeight="1" s="418">
      <c r="A399" s="99" t="n">
        <v>636004</v>
      </c>
      <c r="B399" s="99" t="inlineStr">
        <is>
          <t>dementievoorzieningen</t>
        </is>
      </c>
      <c r="C399" s="1" t="n"/>
      <c r="D399" s="14" t="inlineStr">
        <is>
          <t>sociaal domein</t>
        </is>
      </c>
      <c r="E399" s="113" t="inlineStr">
        <is>
          <t xml:space="preserve">T61 </t>
        </is>
      </c>
      <c r="F399" t="inlineStr">
        <is>
          <t>samenkracht en burgerparticipatie</t>
        </is>
      </c>
    </row>
    <row r="400" ht="15" customHeight="1" s="418">
      <c r="A400" s="99" t="n">
        <v>636005</v>
      </c>
      <c r="B400" s="99" t="inlineStr">
        <is>
          <t>subs zelfredzh/particip/mantelzorg</t>
        </is>
      </c>
      <c r="C400" s="1" t="n"/>
      <c r="D400" s="14" t="inlineStr">
        <is>
          <t>sociaal domein</t>
        </is>
      </c>
      <c r="E400" s="113" t="inlineStr">
        <is>
          <t xml:space="preserve">T61 </t>
        </is>
      </c>
      <c r="F400" t="inlineStr">
        <is>
          <t>samenkracht en burgerparticipatie</t>
        </is>
      </c>
    </row>
    <row r="401" ht="15" customHeight="1" s="418">
      <c r="A401" s="99" t="n">
        <v>636006</v>
      </c>
      <c r="B401" s="99" t="inlineStr">
        <is>
          <t>algemene voorzieningen welzijn</t>
        </is>
      </c>
      <c r="C401" s="1" t="n"/>
      <c r="D401" s="14" t="inlineStr">
        <is>
          <t>sociaal domein</t>
        </is>
      </c>
      <c r="E401" s="113" t="inlineStr">
        <is>
          <t xml:space="preserve">T61 </t>
        </is>
      </c>
      <c r="F401" t="inlineStr">
        <is>
          <t>samenkracht en burgerparticipatie</t>
        </is>
      </c>
    </row>
    <row r="402" ht="15" customHeight="1" s="418">
      <c r="A402" s="99" t="n">
        <v>636007</v>
      </c>
      <c r="B402" s="99" t="inlineStr">
        <is>
          <t>buurthuizen spar 4/franciscusweg 5</t>
        </is>
      </c>
      <c r="C402" s="1" t="n"/>
      <c r="D402" s="14" t="inlineStr">
        <is>
          <t>sociaal domein</t>
        </is>
      </c>
      <c r="E402" s="113" t="inlineStr">
        <is>
          <t xml:space="preserve">T61 </t>
        </is>
      </c>
      <c r="F402" t="inlineStr">
        <is>
          <t>samenkracht en burgerparticipatie</t>
        </is>
      </c>
    </row>
    <row r="403" ht="15" customHeight="1" s="418">
      <c r="A403" s="99" t="n">
        <v>636008</v>
      </c>
      <c r="B403" s="99" t="inlineStr">
        <is>
          <t>buurtvoorziening vlinderhei</t>
        </is>
      </c>
      <c r="C403" s="1" t="n"/>
      <c r="D403" s="14" t="inlineStr">
        <is>
          <t>sociaal domein</t>
        </is>
      </c>
      <c r="E403" s="113" t="inlineStr">
        <is>
          <t xml:space="preserve">T61 </t>
        </is>
      </c>
      <c r="F403" t="inlineStr">
        <is>
          <t>samenkracht en burgerparticipatie</t>
        </is>
      </c>
    </row>
    <row r="404" ht="15" customHeight="1" s="418">
      <c r="A404" s="99" t="n">
        <v>636009</v>
      </c>
      <c r="B404" s="99" t="inlineStr">
        <is>
          <t>ggz</t>
        </is>
      </c>
      <c r="C404" s="1" t="n"/>
      <c r="D404" s="14" t="inlineStr">
        <is>
          <t>sociaal domein</t>
        </is>
      </c>
      <c r="E404" s="113" t="inlineStr">
        <is>
          <t xml:space="preserve">T61 </t>
        </is>
      </c>
      <c r="F404" t="inlineStr">
        <is>
          <t>samenkracht en burgerparticipatie</t>
        </is>
      </c>
    </row>
    <row r="405" ht="15" customHeight="1" s="418">
      <c r="A405" s="99" t="n">
        <v>636010</v>
      </c>
      <c r="B405" s="99" t="inlineStr">
        <is>
          <t>ondersteuning/waardering mantelzrgrs</t>
        </is>
      </c>
      <c r="C405" s="1" t="n"/>
      <c r="D405" s="14" t="inlineStr">
        <is>
          <t>sociaal domein</t>
        </is>
      </c>
      <c r="E405" s="113" t="inlineStr">
        <is>
          <t xml:space="preserve">T61 </t>
        </is>
      </c>
      <c r="F405" t="inlineStr">
        <is>
          <t>samenkracht en burgerparticipatie</t>
        </is>
      </c>
    </row>
    <row r="406" ht="15" customHeight="1" s="418">
      <c r="A406" s="99" t="n">
        <v>636011</v>
      </c>
      <c r="B406" s="99" t="inlineStr">
        <is>
          <t>inloopfunctie ggz</t>
        </is>
      </c>
      <c r="C406" s="1" t="n"/>
      <c r="D406" s="14" t="inlineStr">
        <is>
          <t>sociaal domein</t>
        </is>
      </c>
      <c r="E406" s="113" t="inlineStr">
        <is>
          <t xml:space="preserve">T61 </t>
        </is>
      </c>
      <c r="F406" t="inlineStr">
        <is>
          <t>samenkracht en burgerparticipatie</t>
        </is>
      </c>
    </row>
    <row r="407" ht="15" customHeight="1" s="418">
      <c r="A407" s="99" t="n">
        <v>636012</v>
      </c>
      <c r="B407" s="4" t="inlineStr">
        <is>
          <t>koningin emmalaan 27</t>
        </is>
      </c>
      <c r="C407" s="1" t="n"/>
      <c r="D407" s="14" t="inlineStr">
        <is>
          <t>sociaal domein</t>
        </is>
      </c>
      <c r="E407" s="113" t="inlineStr">
        <is>
          <t xml:space="preserve">T61 </t>
        </is>
      </c>
      <c r="F407" t="inlineStr">
        <is>
          <t>samenkracht en burgerparticipatie</t>
        </is>
      </c>
    </row>
    <row r="408" ht="15" customHeight="1" s="418">
      <c r="A408" s="99" t="n">
        <v>636013</v>
      </c>
      <c r="B408" s="4" t="inlineStr">
        <is>
          <t>vlinderhei 12</t>
        </is>
      </c>
      <c r="C408" s="1" t="n"/>
      <c r="D408" s="14" t="inlineStr">
        <is>
          <t>sociaal domein</t>
        </is>
      </c>
      <c r="E408" s="113" t="inlineStr">
        <is>
          <t xml:space="preserve">T61 </t>
        </is>
      </c>
      <c r="F408" t="inlineStr">
        <is>
          <t>samenkracht en burgerparticipatie</t>
        </is>
      </c>
    </row>
    <row r="409" ht="15" customHeight="1" s="418">
      <c r="A409" s="99" t="n">
        <v>636014</v>
      </c>
      <c r="B409" s="4" t="inlineStr">
        <is>
          <t>johannes verleunstraat 29</t>
        </is>
      </c>
      <c r="C409" s="1" t="n"/>
      <c r="D409" s="14" t="inlineStr">
        <is>
          <t>sociaal domein</t>
        </is>
      </c>
      <c r="E409" s="113" t="inlineStr">
        <is>
          <t xml:space="preserve">T61 </t>
        </is>
      </c>
      <c r="F409" t="inlineStr">
        <is>
          <t>samenkracht en burgerparticipatie</t>
        </is>
      </c>
    </row>
    <row r="410" ht="15" customHeight="1" s="418">
      <c r="A410" s="99" t="n">
        <v>636015</v>
      </c>
      <c r="B410" s="4" t="inlineStr">
        <is>
          <t>burgemeester notermansstraat 29A</t>
        </is>
      </c>
      <c r="C410" s="1" t="n"/>
      <c r="D410" s="14" t="inlineStr">
        <is>
          <t>sociaal domein</t>
        </is>
      </c>
      <c r="E410" s="113" t="inlineStr">
        <is>
          <t xml:space="preserve">T61 </t>
        </is>
      </c>
      <c r="F410" t="inlineStr">
        <is>
          <t>samenkracht en burgerparticipatie</t>
        </is>
      </c>
    </row>
    <row r="411" ht="15" customHeight="1" s="418">
      <c r="A411" s="99" t="n">
        <v>636016</v>
      </c>
      <c r="B411" s="4" t="inlineStr">
        <is>
          <t>spar 2</t>
        </is>
      </c>
      <c r="C411" s="1" t="n"/>
      <c r="D411" s="14" t="inlineStr">
        <is>
          <t>sociaal domein</t>
        </is>
      </c>
      <c r="E411" s="113" t="inlineStr">
        <is>
          <t xml:space="preserve">T61 </t>
        </is>
      </c>
      <c r="F411" t="inlineStr">
        <is>
          <t>samenkracht en burgerparticipatie</t>
        </is>
      </c>
    </row>
    <row r="412" ht="15" customHeight="1" s="418">
      <c r="A412" s="99" t="n">
        <v>636017</v>
      </c>
      <c r="B412" s="4" t="inlineStr">
        <is>
          <t>mgr zwijssenstraat 85 (kdv)</t>
        </is>
      </c>
      <c r="C412" s="1" t="n"/>
      <c r="D412" s="14" t="inlineStr">
        <is>
          <t>sociaal domein</t>
        </is>
      </c>
      <c r="E412" s="113" t="inlineStr">
        <is>
          <t xml:space="preserve">T61 </t>
        </is>
      </c>
      <c r="F412" t="inlineStr">
        <is>
          <t>samenkracht en burgerparticipatie</t>
        </is>
      </c>
    </row>
    <row r="413" ht="15" customHeight="1" s="418">
      <c r="A413" s="99" t="n">
        <v>636018</v>
      </c>
      <c r="B413" s="4" t="inlineStr">
        <is>
          <t>trompstraat 39</t>
        </is>
      </c>
      <c r="C413" s="1" t="n"/>
      <c r="D413" s="14" t="inlineStr">
        <is>
          <t>sociaal domein</t>
        </is>
      </c>
      <c r="E413" s="113" t="inlineStr">
        <is>
          <t xml:space="preserve">T61 </t>
        </is>
      </c>
      <c r="F413" t="inlineStr">
        <is>
          <t>samenkracht en burgerparticipatie</t>
        </is>
      </c>
    </row>
    <row r="414" ht="15" customHeight="1" s="418">
      <c r="A414" s="99" t="n">
        <v>636019</v>
      </c>
      <c r="B414" s="4" t="inlineStr">
        <is>
          <t>vlinderhei 7</t>
        </is>
      </c>
      <c r="C414" s="1" t="n"/>
      <c r="D414" s="14" t="inlineStr">
        <is>
          <t>sociaal domein</t>
        </is>
      </c>
      <c r="E414" s="113" t="inlineStr">
        <is>
          <t xml:space="preserve">T61 </t>
        </is>
      </c>
      <c r="F414" t="inlineStr">
        <is>
          <t>samenkracht en burgerparticipatie</t>
        </is>
      </c>
    </row>
    <row r="415" ht="15" customHeight="1" s="418">
      <c r="A415" s="99" t="n">
        <v>636020</v>
      </c>
      <c r="B415" s="4" t="inlineStr">
        <is>
          <t>burgemeester notermansstraat 27</t>
        </is>
      </c>
      <c r="C415" s="1" t="n"/>
      <c r="D415" s="14" t="inlineStr">
        <is>
          <t>sociaal domein</t>
        </is>
      </c>
      <c r="E415" s="113" t="inlineStr">
        <is>
          <t xml:space="preserve">T61 </t>
        </is>
      </c>
      <c r="F415" t="inlineStr">
        <is>
          <t>samenkracht en burgerparticipatie</t>
        </is>
      </c>
    </row>
    <row r="416" ht="15" customHeight="1" s="418">
      <c r="A416" s="99" t="n">
        <v>636021</v>
      </c>
      <c r="B416" s="103" t="inlineStr">
        <is>
          <t>burgerinitiatieven kwetsb ouderen</t>
        </is>
      </c>
      <c r="C416" s="1" t="n"/>
      <c r="D416" s="14" t="inlineStr">
        <is>
          <t>sociaal domein</t>
        </is>
      </c>
      <c r="E416" s="113" t="inlineStr">
        <is>
          <t xml:space="preserve">T61 </t>
        </is>
      </c>
      <c r="F416" t="inlineStr">
        <is>
          <t>samenkracht en burgerparticipatie</t>
        </is>
      </c>
    </row>
    <row r="417" ht="15" customHeight="1" s="418">
      <c r="A417" s="99" t="n">
        <v>636022</v>
      </c>
      <c r="B417" s="103" t="inlineStr">
        <is>
          <t>burgerinitiatieven respijtzorg</t>
        </is>
      </c>
      <c r="C417" s="1" t="n"/>
      <c r="D417" s="14" t="inlineStr">
        <is>
          <t>sociaal domein</t>
        </is>
      </c>
      <c r="E417" s="113" t="inlineStr">
        <is>
          <t xml:space="preserve">T61 </t>
        </is>
      </c>
      <c r="F417" t="inlineStr">
        <is>
          <t>samenkracht en burgerparticipatie</t>
        </is>
      </c>
    </row>
    <row r="418" ht="15" customHeight="1" s="418">
      <c r="A418" s="99" t="n">
        <v>636023</v>
      </c>
      <c r="B418" s="99" t="inlineStr">
        <is>
          <t>inwonersparticipatie</t>
        </is>
      </c>
      <c r="C418" s="1" t="n"/>
      <c r="D418" s="14" t="inlineStr">
        <is>
          <t>sociaal domein</t>
        </is>
      </c>
      <c r="E418" s="113" t="inlineStr">
        <is>
          <t xml:space="preserve">T61 </t>
        </is>
      </c>
      <c r="F418" t="inlineStr">
        <is>
          <t>samenkracht en burgerparticipatie</t>
        </is>
      </c>
    </row>
    <row r="419" ht="15" customHeight="1" s="418">
      <c r="A419" s="99" t="n">
        <v>636024</v>
      </c>
      <c r="B419" s="99" t="inlineStr">
        <is>
          <t>wildheuvel 1-3</t>
        </is>
      </c>
      <c r="C419" s="1" t="n"/>
      <c r="D419" s="14" t="inlineStr">
        <is>
          <t>sociaal domein</t>
        </is>
      </c>
      <c r="E419" s="113" t="inlineStr">
        <is>
          <t xml:space="preserve">T61 </t>
        </is>
      </c>
      <c r="F419" t="inlineStr">
        <is>
          <t>samenkracht en burgerparticipatie</t>
        </is>
      </c>
    </row>
    <row r="420" ht="15" customHeight="1" s="418">
      <c r="A420" s="99" t="n">
        <v>636025</v>
      </c>
      <c r="B420" s="99" t="inlineStr">
        <is>
          <t>wildheuvel 9-19</t>
        </is>
      </c>
      <c r="C420" s="1" t="n"/>
      <c r="D420" s="14" t="inlineStr">
        <is>
          <t>sociaal domein</t>
        </is>
      </c>
      <c r="E420" s="113" t="inlineStr">
        <is>
          <t xml:space="preserve">T61 </t>
        </is>
      </c>
      <c r="F420" t="inlineStr">
        <is>
          <t>samenkracht en burgerparticipatie</t>
        </is>
      </c>
    </row>
    <row r="421" ht="15" customHeight="1" s="418">
      <c r="A421" s="99" t="n">
        <v>636026</v>
      </c>
      <c r="B421" s="99" t="inlineStr">
        <is>
          <t>johannes verleunstraat 27 en 27a</t>
        </is>
      </c>
      <c r="C421" s="1" t="n"/>
      <c r="D421" s="14" t="inlineStr">
        <is>
          <t>sociaal domein</t>
        </is>
      </c>
      <c r="E421" s="113" t="inlineStr">
        <is>
          <t xml:space="preserve">T61 </t>
        </is>
      </c>
      <c r="F421" t="inlineStr">
        <is>
          <t>samenkracht en burgerparticipatie</t>
        </is>
      </c>
    </row>
    <row r="422" ht="15" customHeight="1" s="418">
      <c r="A422" s="99" t="n">
        <v>636027</v>
      </c>
      <c r="B422" s="99" t="inlineStr">
        <is>
          <t>jongerencentrum</t>
        </is>
      </c>
      <c r="C422" s="1" t="n"/>
      <c r="D422" s="14" t="inlineStr">
        <is>
          <t>sociaal domein</t>
        </is>
      </c>
      <c r="E422" s="113" t="inlineStr">
        <is>
          <t xml:space="preserve">T61 </t>
        </is>
      </c>
      <c r="F422" t="inlineStr">
        <is>
          <t>samenkracht en burgerparticipatie</t>
        </is>
      </c>
    </row>
    <row r="423" ht="15" customHeight="1" s="418">
      <c r="A423" s="99" t="n">
        <v>636028</v>
      </c>
      <c r="B423" s="99" t="inlineStr">
        <is>
          <t>buurtbudget</t>
        </is>
      </c>
      <c r="C423" s="1" t="n"/>
      <c r="D423" s="14" t="inlineStr">
        <is>
          <t>sociaal domein</t>
        </is>
      </c>
      <c r="E423" s="113" t="inlineStr">
        <is>
          <t xml:space="preserve">T61 </t>
        </is>
      </c>
      <c r="F423" t="inlineStr">
        <is>
          <t>samenkracht en burgerparticipatie</t>
        </is>
      </c>
    </row>
    <row r="424" ht="15" customHeight="1" s="418">
      <c r="A424" s="99" t="n">
        <v>636029</v>
      </c>
      <c r="B424" s="99" t="inlineStr">
        <is>
          <t>opvang vermeerstr Oekraine</t>
        </is>
      </c>
      <c r="C424" s="1" t="n"/>
      <c r="D424" s="14" t="inlineStr">
        <is>
          <t>sociaal domein</t>
        </is>
      </c>
      <c r="E424" s="113" t="inlineStr">
        <is>
          <t xml:space="preserve">T61 </t>
        </is>
      </c>
      <c r="F424" t="inlineStr">
        <is>
          <t>samenkracht en burgerparticipatie</t>
        </is>
      </c>
    </row>
    <row r="425" ht="15" customHeight="1" s="418">
      <c r="A425" s="99" t="n">
        <v>636030</v>
      </c>
      <c r="B425" s="99" t="inlineStr">
        <is>
          <t>verbouwing vermeerstr 21</t>
        </is>
      </c>
      <c r="C425" s="1" t="n"/>
      <c r="D425" s="14" t="inlineStr">
        <is>
          <t>sociaal domein</t>
        </is>
      </c>
      <c r="E425" s="113" t="inlineStr">
        <is>
          <t xml:space="preserve">T61 </t>
        </is>
      </c>
      <c r="F425" t="inlineStr">
        <is>
          <t>samenkracht en burgerparticipatie</t>
        </is>
      </c>
    </row>
    <row r="426" ht="15" customHeight="1" s="418">
      <c r="A426" s="99" t="n">
        <v>636031</v>
      </c>
      <c r="B426" s="99" t="inlineStr">
        <is>
          <t>crisisopvang asielzoekers</t>
        </is>
      </c>
      <c r="C426" s="1" t="n"/>
      <c r="D426" s="14" t="inlineStr">
        <is>
          <t>sociaal domein</t>
        </is>
      </c>
      <c r="E426" s="113" t="inlineStr">
        <is>
          <t xml:space="preserve">T61 </t>
        </is>
      </c>
      <c r="F426" t="inlineStr">
        <is>
          <t>samenkracht en burgerparticipatie</t>
        </is>
      </c>
    </row>
    <row r="427" ht="15" customHeight="1" s="418">
      <c r="A427" s="99" t="n">
        <v>636032</v>
      </c>
      <c r="B427" s="99" t="inlineStr">
        <is>
          <t>nota integraal sociaal domein</t>
        </is>
      </c>
      <c r="C427" s="1" t="n"/>
      <c r="D427" s="14" t="inlineStr">
        <is>
          <t>sociaal domein</t>
        </is>
      </c>
      <c r="E427" s="113" t="inlineStr">
        <is>
          <t xml:space="preserve">T61 </t>
        </is>
      </c>
      <c r="F427" t="inlineStr">
        <is>
          <t>samenkracht en burgerparticipatie</t>
        </is>
      </c>
    </row>
    <row r="428" ht="15" customHeight="1" s="418">
      <c r="A428" s="99" t="n">
        <v>636033</v>
      </c>
      <c r="B428" s="99" t="inlineStr">
        <is>
          <t>opvang vluchtelingen/begeleid arbmig</t>
        </is>
      </c>
      <c r="C428" s="1" t="n"/>
      <c r="D428" s="14" t="inlineStr">
        <is>
          <t>sociaal domein</t>
        </is>
      </c>
      <c r="E428" s="113" t="inlineStr">
        <is>
          <t xml:space="preserve">T61 </t>
        </is>
      </c>
      <c r="F428" t="inlineStr">
        <is>
          <t>samenkracht en burgerparticipatie</t>
        </is>
      </c>
    </row>
    <row r="429" ht="15" customHeight="1" s="418">
      <c r="A429" s="99" t="n">
        <v>636034</v>
      </c>
      <c r="B429" s="99" t="inlineStr">
        <is>
          <t>opvang emmalaan oekraine</t>
        </is>
      </c>
      <c r="C429" s="1" t="n"/>
      <c r="D429" s="14" t="inlineStr">
        <is>
          <t>sociaal domein</t>
        </is>
      </c>
      <c r="E429" s="113" t="inlineStr">
        <is>
          <t xml:space="preserve">T61 </t>
        </is>
      </c>
      <c r="F429" t="inlineStr">
        <is>
          <t>samenkracht en burgerparticipatie</t>
        </is>
      </c>
    </row>
    <row r="430" ht="15" customHeight="1" s="418">
      <c r="A430" s="99" t="n">
        <v>636035</v>
      </c>
      <c r="B430" s="99" t="inlineStr">
        <is>
          <t>verbouwing emmalaan</t>
        </is>
      </c>
      <c r="C430" s="1" t="n"/>
      <c r="D430" s="14" t="inlineStr">
        <is>
          <t>sociaal domein</t>
        </is>
      </c>
      <c r="E430" s="113" t="inlineStr">
        <is>
          <t xml:space="preserve">T61 </t>
        </is>
      </c>
      <c r="F430" t="inlineStr">
        <is>
          <t>samenkracht en burgerparticipatie</t>
        </is>
      </c>
    </row>
    <row r="431" ht="15" customHeight="1" s="418">
      <c r="A431" s="99" t="n">
        <v>636036</v>
      </c>
      <c r="B431" s="119" t="inlineStr">
        <is>
          <t>bs valpreventie</t>
        </is>
      </c>
      <c r="C431" s="1" t="n"/>
      <c r="D431" s="14" t="inlineStr">
        <is>
          <t>sociaal domein</t>
        </is>
      </c>
      <c r="E431" s="113" t="inlineStr">
        <is>
          <t xml:space="preserve">T61 </t>
        </is>
      </c>
      <c r="F431" t="inlineStr">
        <is>
          <t>samenkracht en burgerparticipatie</t>
        </is>
      </c>
    </row>
    <row r="432" ht="15" customHeight="1" s="418">
      <c r="A432" s="99" t="n">
        <v>636037</v>
      </c>
      <c r="B432" s="119" t="inlineStr">
        <is>
          <t>bs versterken sociale basis</t>
        </is>
      </c>
      <c r="C432" s="1" t="n"/>
      <c r="D432" s="14" t="inlineStr">
        <is>
          <t>sociaal domein</t>
        </is>
      </c>
      <c r="E432" s="113" t="inlineStr">
        <is>
          <t xml:space="preserve">T61 </t>
        </is>
      </c>
      <c r="F432" t="inlineStr">
        <is>
          <t>samenkracht en burgerparticipatie</t>
        </is>
      </c>
    </row>
    <row r="433" ht="15" customHeight="1" s="418">
      <c r="A433" s="99" t="n">
        <v>636038</v>
      </c>
      <c r="B433" s="119" t="inlineStr">
        <is>
          <t>bs mantelzorg</t>
        </is>
      </c>
      <c r="C433" s="1" t="n"/>
      <c r="D433" s="14" t="inlineStr">
        <is>
          <t>sociaal domein</t>
        </is>
      </c>
      <c r="E433" s="113" t="inlineStr">
        <is>
          <t xml:space="preserve">T61 </t>
        </is>
      </c>
      <c r="F433" t="inlineStr">
        <is>
          <t>samenkracht en burgerparticipatie</t>
        </is>
      </c>
    </row>
    <row r="434" ht="15" customHeight="1" s="418">
      <c r="A434" s="99" t="n">
        <v>636039</v>
      </c>
      <c r="B434" s="119" t="inlineStr">
        <is>
          <t>bs één tegen eenzaamheid</t>
        </is>
      </c>
      <c r="C434" s="1" t="n"/>
      <c r="D434" s="14" t="inlineStr">
        <is>
          <t>sociaal domein</t>
        </is>
      </c>
      <c r="E434" s="113" t="inlineStr">
        <is>
          <t xml:space="preserve">T61 </t>
        </is>
      </c>
      <c r="F434" t="inlineStr">
        <is>
          <t>samenkracht en burgerparticipatie</t>
        </is>
      </c>
    </row>
    <row r="435" ht="15" customHeight="1" s="418">
      <c r="A435" s="99" t="n">
        <v>636040</v>
      </c>
      <c r="B435" s="119" t="inlineStr">
        <is>
          <t>bs welzijn op recept</t>
        </is>
      </c>
      <c r="C435" s="1" t="n"/>
      <c r="D435" s="14" t="inlineStr">
        <is>
          <t>sociaal domein</t>
        </is>
      </c>
      <c r="E435" s="113" t="inlineStr">
        <is>
          <t>T61</t>
        </is>
      </c>
      <c r="F435" t="inlineStr">
        <is>
          <t>samenkracht en burgerparticipatie</t>
        </is>
      </c>
    </row>
    <row r="436" ht="15" customHeight="1" s="418">
      <c r="A436" s="99" t="n">
        <v>636041</v>
      </c>
      <c r="B436" s="119" t="inlineStr">
        <is>
          <t>comp kst maatsch organisaties</t>
        </is>
      </c>
      <c r="C436" s="1" t="n"/>
      <c r="D436" s="14" t="inlineStr">
        <is>
          <t>sociaal domein</t>
        </is>
      </c>
      <c r="E436" s="113" t="inlineStr">
        <is>
          <t>T61</t>
        </is>
      </c>
      <c r="F436" t="inlineStr">
        <is>
          <t>samenkracht en burgerparticipatie</t>
        </is>
      </c>
    </row>
    <row r="437" ht="15" customHeight="1" s="418">
      <c r="A437" s="99" t="n">
        <v>636042</v>
      </c>
      <c r="B437" s="119" t="inlineStr">
        <is>
          <t>uitvoering vergrijzingsprogramma</t>
        </is>
      </c>
      <c r="C437" s="1" t="n"/>
      <c r="D437" s="14" t="inlineStr">
        <is>
          <t>sociaal domein</t>
        </is>
      </c>
      <c r="E437" s="113" t="inlineStr">
        <is>
          <t>T61</t>
        </is>
      </c>
      <c r="F437" t="inlineStr">
        <is>
          <t>samenkracht en burgerparticipatie</t>
        </is>
      </c>
    </row>
    <row r="438" ht="15" customHeight="1" s="418">
      <c r="A438" s="99" t="n">
        <v>636043</v>
      </c>
      <c r="B438" s="119" t="inlineStr">
        <is>
          <t>uitvoering inclusie-programma</t>
        </is>
      </c>
      <c r="C438" s="1" t="n"/>
      <c r="D438" s="14" t="inlineStr">
        <is>
          <t>sociaal domein</t>
        </is>
      </c>
      <c r="E438" s="113" t="inlineStr">
        <is>
          <t>T61</t>
        </is>
      </c>
      <c r="F438" t="inlineStr">
        <is>
          <t>samenkracht en burgerparticipatie</t>
        </is>
      </c>
    </row>
    <row r="439" ht="15" customHeight="1" s="418">
      <c r="A439" s="99" t="n">
        <v>636901</v>
      </c>
      <c r="B439" s="99" t="inlineStr">
        <is>
          <t>directe toerek samenkr burgerpartic</t>
        </is>
      </c>
      <c r="C439" s="1" t="n"/>
      <c r="D439" s="14" t="inlineStr">
        <is>
          <t>sociaal domein</t>
        </is>
      </c>
      <c r="E439" s="113" t="inlineStr">
        <is>
          <t>T61</t>
        </is>
      </c>
      <c r="F439" t="inlineStr">
        <is>
          <t>samenkracht en burgerparticipatie</t>
        </is>
      </c>
    </row>
    <row r="440" ht="15" customHeight="1" s="418">
      <c r="A440" s="99" t="n">
        <v>638001</v>
      </c>
      <c r="B440" s="4" t="inlineStr">
        <is>
          <t>inkomensvoorzieningen (buig)</t>
        </is>
      </c>
      <c r="C440" s="1" t="n"/>
      <c r="D440" s="14" t="inlineStr">
        <is>
          <t>sociaal domein</t>
        </is>
      </c>
      <c r="E440" s="113" t="inlineStr">
        <is>
          <t xml:space="preserve">T63 </t>
        </is>
      </c>
      <c r="F440" t="inlineStr">
        <is>
          <t>inkomensregelingen</t>
        </is>
      </c>
    </row>
    <row r="441" ht="15" customHeight="1" s="418">
      <c r="A441" s="99" t="n">
        <v>638002</v>
      </c>
      <c r="B441" s="4" t="inlineStr">
        <is>
          <t>participatiewet uitkeringen</t>
        </is>
      </c>
      <c r="C441" s="1" t="n"/>
      <c r="D441" s="14" t="inlineStr">
        <is>
          <t>sociaal domein</t>
        </is>
      </c>
      <c r="E441" s="113" t="inlineStr">
        <is>
          <t xml:space="preserve">T63 </t>
        </is>
      </c>
      <c r="F441" t="inlineStr">
        <is>
          <t>inkomensregelingen</t>
        </is>
      </c>
    </row>
    <row r="442" ht="15" customHeight="1" s="418">
      <c r="A442" s="99" t="n">
        <v>638003</v>
      </c>
      <c r="B442" s="4" t="inlineStr">
        <is>
          <t>participatiewet toesl bescherm woonv</t>
        </is>
      </c>
      <c r="C442" s="1" t="n"/>
      <c r="D442" s="14" t="inlineStr">
        <is>
          <t>sociaal domein</t>
        </is>
      </c>
      <c r="E442" s="113" t="inlineStr">
        <is>
          <t xml:space="preserve">T63 </t>
        </is>
      </c>
      <c r="F442" t="inlineStr">
        <is>
          <t>inkomensregelingen</t>
        </is>
      </c>
    </row>
    <row r="443" ht="15" customHeight="1" s="418">
      <c r="A443" s="99" t="n">
        <v>638004</v>
      </c>
      <c r="B443" s="4" t="inlineStr">
        <is>
          <t>uitvoer participatiewet compensabel</t>
        </is>
      </c>
      <c r="C443" s="1" t="n"/>
      <c r="D443" s="14" t="inlineStr">
        <is>
          <t>sociaal domein</t>
        </is>
      </c>
      <c r="E443" s="113" t="inlineStr">
        <is>
          <t xml:space="preserve">T63 </t>
        </is>
      </c>
      <c r="F443" t="inlineStr">
        <is>
          <t>inkomensregelingen</t>
        </is>
      </c>
    </row>
    <row r="444" ht="15" customHeight="1" s="418">
      <c r="A444" s="99" t="n">
        <v>638005</v>
      </c>
      <c r="B444" s="4" t="inlineStr">
        <is>
          <t>uitvoer participatiewet niet-compens</t>
        </is>
      </c>
      <c r="C444" s="1" t="n"/>
      <c r="D444" s="14" t="inlineStr">
        <is>
          <t>sociaal domein</t>
        </is>
      </c>
      <c r="E444" s="113" t="inlineStr">
        <is>
          <t xml:space="preserve">T63 </t>
        </is>
      </c>
      <c r="F444" t="inlineStr">
        <is>
          <t>inkomensregelingen</t>
        </is>
      </c>
    </row>
    <row r="445" ht="15" customHeight="1" s="418">
      <c r="A445" s="99" t="n">
        <v>638006</v>
      </c>
      <c r="B445" s="4" t="inlineStr">
        <is>
          <t>verhaal oh-bijdrage participatiewet</t>
        </is>
      </c>
      <c r="C445" s="1" t="n"/>
      <c r="D445" s="14" t="inlineStr">
        <is>
          <t>sociaal domein</t>
        </is>
      </c>
      <c r="E445" s="113" t="inlineStr">
        <is>
          <t xml:space="preserve">T63 </t>
        </is>
      </c>
      <c r="F445" t="inlineStr">
        <is>
          <t>inkomensregelingen</t>
        </is>
      </c>
    </row>
    <row r="446" ht="15" customHeight="1" s="418">
      <c r="A446" s="99" t="n">
        <v>638007</v>
      </c>
      <c r="B446" s="4" t="inlineStr">
        <is>
          <t>terugvord uitkeringen participatiew</t>
        </is>
      </c>
      <c r="C446" s="1" t="n"/>
      <c r="D446" s="14" t="inlineStr">
        <is>
          <t>sociaal domein</t>
        </is>
      </c>
      <c r="E446" s="113" t="inlineStr">
        <is>
          <t xml:space="preserve">T63 </t>
        </is>
      </c>
      <c r="F446" t="inlineStr">
        <is>
          <t>inkomensregelingen</t>
        </is>
      </c>
    </row>
    <row r="447" ht="15" customHeight="1" s="418">
      <c r="A447" s="99" t="n">
        <v>638008</v>
      </c>
      <c r="B447" s="4" t="inlineStr">
        <is>
          <t>boetes etc uitkeringen participatiew</t>
        </is>
      </c>
      <c r="C447" s="1" t="n"/>
      <c r="D447" s="14" t="inlineStr">
        <is>
          <t>sociaal domein</t>
        </is>
      </c>
      <c r="E447" s="113" t="inlineStr">
        <is>
          <t xml:space="preserve">T63 </t>
        </is>
      </c>
      <c r="F447" t="inlineStr">
        <is>
          <t>inkomensregelingen</t>
        </is>
      </c>
    </row>
    <row r="448" ht="15" customHeight="1" s="418">
      <c r="A448" s="99" t="n">
        <v>638009</v>
      </c>
      <c r="B448" s="99" t="inlineStr">
        <is>
          <t>loonkostensubsidie praticipatiewet</t>
        </is>
      </c>
      <c r="C448" s="1" t="n"/>
      <c r="D448" s="14" t="inlineStr">
        <is>
          <t>sociaal domein</t>
        </is>
      </c>
      <c r="E448" s="113" t="inlineStr">
        <is>
          <t xml:space="preserve">T63 </t>
        </is>
      </c>
      <c r="F448" t="inlineStr">
        <is>
          <t>inkomensregelingen</t>
        </is>
      </c>
    </row>
    <row r="449" ht="15" customHeight="1" s="418">
      <c r="A449" s="99" t="n">
        <v>638010</v>
      </c>
      <c r="B449" s="103" t="inlineStr">
        <is>
          <t>uwv assurance</t>
        </is>
      </c>
      <c r="C449" s="1" t="n"/>
      <c r="D449" s="14" t="inlineStr">
        <is>
          <t>sociaal domein</t>
        </is>
      </c>
      <c r="E449" s="113" t="inlineStr">
        <is>
          <t xml:space="preserve">T63 </t>
        </is>
      </c>
      <c r="F449" t="inlineStr">
        <is>
          <t>inkomensregelingen</t>
        </is>
      </c>
    </row>
    <row r="450" ht="15" customHeight="1" s="418">
      <c r="A450" s="99" t="n">
        <v>638011</v>
      </c>
      <c r="B450" s="4" t="inlineStr">
        <is>
          <t>bbz uitk en kapverstr bbz ondernemer</t>
        </is>
      </c>
      <c r="C450" s="1" t="n"/>
      <c r="D450" s="14" t="inlineStr">
        <is>
          <t>sociaal domein</t>
        </is>
      </c>
      <c r="E450" s="113" t="inlineStr">
        <is>
          <t xml:space="preserve">T63 </t>
        </is>
      </c>
      <c r="F450" t="inlineStr">
        <is>
          <t>inkomensregelingen</t>
        </is>
      </c>
    </row>
    <row r="451" ht="15" customHeight="1" s="418">
      <c r="A451" s="99" t="n">
        <v>638012</v>
      </c>
      <c r="B451" s="4" t="inlineStr">
        <is>
          <t>kapitaalverstrekking bbz uitgaven</t>
        </is>
      </c>
      <c r="C451" s="1" t="n"/>
      <c r="D451" s="14" t="inlineStr">
        <is>
          <t>sociaal domein</t>
        </is>
      </c>
      <c r="E451" s="113" t="inlineStr">
        <is>
          <t xml:space="preserve">T63 </t>
        </is>
      </c>
      <c r="F451" t="inlineStr">
        <is>
          <t>inkomensregelingen</t>
        </is>
      </c>
    </row>
    <row r="452" ht="15" customHeight="1" s="418">
      <c r="A452" s="99" t="n">
        <v>638013</v>
      </c>
      <c r="B452" s="4" t="inlineStr">
        <is>
          <t>kapitaalverstrekk bbz afdracht rijk</t>
        </is>
      </c>
      <c r="C452" s="1" t="n"/>
      <c r="D452" s="14" t="inlineStr">
        <is>
          <t>sociaal domein</t>
        </is>
      </c>
      <c r="E452" s="113" t="inlineStr">
        <is>
          <t xml:space="preserve">T63 </t>
        </is>
      </c>
      <c r="F452" t="inlineStr">
        <is>
          <t>inkomensregelingen</t>
        </is>
      </c>
    </row>
    <row r="453" ht="15" customHeight="1" s="418">
      <c r="A453" s="99" t="n">
        <v>638014</v>
      </c>
      <c r="B453" s="99" t="inlineStr">
        <is>
          <t>rente kapitaalverstrekking bbz</t>
        </is>
      </c>
      <c r="C453" s="1" t="n"/>
      <c r="D453" s="14" t="inlineStr">
        <is>
          <t>sociaal domein</t>
        </is>
      </c>
      <c r="E453" s="113" t="inlineStr">
        <is>
          <t xml:space="preserve">T63 </t>
        </is>
      </c>
      <c r="F453" t="inlineStr">
        <is>
          <t>inkomensregelingen</t>
        </is>
      </c>
    </row>
    <row r="454" ht="15" customHeight="1" s="418">
      <c r="A454" s="99" t="n">
        <v>638015</v>
      </c>
      <c r="B454" s="4" t="inlineStr">
        <is>
          <t>bbz advieskosten uitg/afdr rijk</t>
        </is>
      </c>
      <c r="C454" s="1" t="n"/>
      <c r="D454" s="14" t="inlineStr">
        <is>
          <t>sociaal domein</t>
        </is>
      </c>
      <c r="E454" s="113" t="inlineStr">
        <is>
          <t xml:space="preserve">T63 </t>
        </is>
      </c>
      <c r="F454" t="inlineStr">
        <is>
          <t>inkomensregelingen</t>
        </is>
      </c>
    </row>
    <row r="455" ht="15" customHeight="1" s="418">
      <c r="A455" s="99" t="n">
        <v>638016</v>
      </c>
      <c r="B455" s="99" t="inlineStr">
        <is>
          <t>uitvoering bbz</t>
        </is>
      </c>
      <c r="C455" s="1" t="n"/>
      <c r="D455" s="14" t="inlineStr">
        <is>
          <t>sociaal domein</t>
        </is>
      </c>
      <c r="E455" s="113" t="inlineStr">
        <is>
          <t xml:space="preserve">T63 </t>
        </is>
      </c>
      <c r="F455" t="inlineStr">
        <is>
          <t>inkomensregelingen</t>
        </is>
      </c>
    </row>
    <row r="456" ht="15" customHeight="1" s="418">
      <c r="A456" s="99" t="n">
        <v>638017</v>
      </c>
      <c r="B456" s="4" t="inlineStr">
        <is>
          <t>Bbz uitk en kapverstrek bbz starters</t>
        </is>
      </c>
      <c r="C456" s="1" t="n"/>
      <c r="D456" s="14" t="inlineStr">
        <is>
          <t>sociaal domein</t>
        </is>
      </c>
      <c r="E456" s="113" t="inlineStr">
        <is>
          <t xml:space="preserve">T63 </t>
        </is>
      </c>
      <c r="F456" t="inlineStr">
        <is>
          <t>inkomensregelingen</t>
        </is>
      </c>
    </row>
    <row r="457" ht="15" customHeight="1" s="418">
      <c r="A457" s="99" t="n">
        <v>638018</v>
      </c>
      <c r="B457" s="103" t="inlineStr">
        <is>
          <t>bbz tozo levensonderhoud</t>
        </is>
      </c>
      <c r="C457" s="1" t="n"/>
      <c r="D457" s="14" t="inlineStr">
        <is>
          <t>sociaal domein</t>
        </is>
      </c>
      <c r="E457" s="113" t="inlineStr">
        <is>
          <t xml:space="preserve">T63 </t>
        </is>
      </c>
      <c r="F457" t="inlineStr">
        <is>
          <t>inkomensregelingen</t>
        </is>
      </c>
    </row>
    <row r="458" ht="15" customHeight="1" s="418">
      <c r="A458" s="99" t="n">
        <v>638019</v>
      </c>
      <c r="B458" s="103" t="inlineStr">
        <is>
          <t>bbz tozo bedrijfskapitaal</t>
        </is>
      </c>
      <c r="C458" s="1" t="n"/>
      <c r="D458" s="14" t="inlineStr">
        <is>
          <t>sociaal domein</t>
        </is>
      </c>
      <c r="E458" s="113" t="inlineStr">
        <is>
          <t xml:space="preserve">T63 </t>
        </is>
      </c>
      <c r="F458" t="inlineStr">
        <is>
          <t>inkomensregelingen</t>
        </is>
      </c>
    </row>
    <row r="459" ht="15" customHeight="1" s="418">
      <c r="A459" s="99" t="n">
        <v>638020</v>
      </c>
      <c r="B459" s="4" t="inlineStr">
        <is>
          <t>inkomstensvoorzieningen ioaw</t>
        </is>
      </c>
      <c r="C459" s="1" t="n"/>
      <c r="D459" s="14" t="inlineStr">
        <is>
          <t>sociaal domein</t>
        </is>
      </c>
      <c r="E459" s="113" t="inlineStr">
        <is>
          <t>T63</t>
        </is>
      </c>
      <c r="F459" t="inlineStr">
        <is>
          <t>inkomensregelingen</t>
        </is>
      </c>
    </row>
    <row r="460" ht="15" customHeight="1" s="418">
      <c r="A460" s="99" t="n">
        <v>638021</v>
      </c>
      <c r="B460" s="4" t="inlineStr">
        <is>
          <t>IInkomstensvoorzieningen ioaz</t>
        </is>
      </c>
      <c r="C460" s="1" t="n"/>
      <c r="D460" s="14" t="inlineStr">
        <is>
          <t>sociaal domein</t>
        </is>
      </c>
      <c r="E460" s="113" t="inlineStr">
        <is>
          <t>T63</t>
        </is>
      </c>
      <c r="F460" t="inlineStr">
        <is>
          <t>inkomensregelingen</t>
        </is>
      </c>
    </row>
    <row r="461" ht="15" customHeight="1" s="418">
      <c r="A461" s="99" t="n">
        <v>638022</v>
      </c>
      <c r="B461" s="99" t="inlineStr">
        <is>
          <t>advies ioaz</t>
        </is>
      </c>
      <c r="C461" s="1" t="n"/>
      <c r="D461" s="14" t="inlineStr">
        <is>
          <t>sociaal domein</t>
        </is>
      </c>
      <c r="E461" s="113" t="inlineStr">
        <is>
          <t>T63</t>
        </is>
      </c>
      <c r="F461" t="inlineStr">
        <is>
          <t>inkomensregelingen</t>
        </is>
      </c>
    </row>
    <row r="462" ht="15" customHeight="1" s="418">
      <c r="A462" s="99" t="n">
        <v>638023</v>
      </c>
      <c r="B462" s="99" t="inlineStr">
        <is>
          <t>bijzondere bijstand onbelast</t>
        </is>
      </c>
      <c r="C462" s="1" t="n"/>
      <c r="D462" s="14" t="inlineStr">
        <is>
          <t>sociaal domein</t>
        </is>
      </c>
      <c r="E462" s="113" t="inlineStr">
        <is>
          <t>T63</t>
        </is>
      </c>
      <c r="F462" t="inlineStr">
        <is>
          <t>inkomensregelingen</t>
        </is>
      </c>
    </row>
    <row r="463" ht="15" customHeight="1" s="418">
      <c r="A463" s="99" t="n">
        <v>638024</v>
      </c>
      <c r="B463" s="99" t="inlineStr">
        <is>
          <t>bijzondere bijstand belast</t>
        </is>
      </c>
      <c r="C463" s="1" t="n"/>
      <c r="D463" s="14" t="inlineStr">
        <is>
          <t>sociaal domein</t>
        </is>
      </c>
      <c r="E463" s="113" t="inlineStr">
        <is>
          <t>T63</t>
        </is>
      </c>
      <c r="F463" t="inlineStr">
        <is>
          <t>inkomensregelingen</t>
        </is>
      </c>
    </row>
    <row r="464" ht="15" customHeight="1" s="418">
      <c r="A464" s="99" t="n">
        <v>638025</v>
      </c>
      <c r="B464" s="99" t="inlineStr">
        <is>
          <t>sociaal fonds</t>
        </is>
      </c>
      <c r="C464" s="1" t="n"/>
      <c r="D464" s="14" t="inlineStr">
        <is>
          <t>sociaal domein</t>
        </is>
      </c>
      <c r="E464" s="113" t="inlineStr">
        <is>
          <t>T63</t>
        </is>
      </c>
      <c r="F464" t="inlineStr">
        <is>
          <t>inkomensregelingen</t>
        </is>
      </c>
    </row>
    <row r="465" ht="15" customHeight="1" s="418">
      <c r="A465" s="99" t="n">
        <v>638026</v>
      </c>
      <c r="B465" s="99" t="inlineStr">
        <is>
          <t>kwijtschelding gemeent belastingen</t>
        </is>
      </c>
      <c r="C465" s="1" t="n"/>
      <c r="D465" s="14" t="inlineStr">
        <is>
          <t>sociaal domein</t>
        </is>
      </c>
      <c r="E465" s="113" t="inlineStr">
        <is>
          <t>T63</t>
        </is>
      </c>
      <c r="F465" t="inlineStr">
        <is>
          <t>inkomensregelingen</t>
        </is>
      </c>
    </row>
    <row r="466" ht="15" customHeight="1" s="418">
      <c r="A466" s="99" t="n">
        <v>638027</v>
      </c>
      <c r="B466" s="99" t="inlineStr">
        <is>
          <t>ondersteuning minima / minimabeleid</t>
        </is>
      </c>
      <c r="C466" s="1" t="n"/>
      <c r="D466" s="14" t="inlineStr">
        <is>
          <t>sociaal domein</t>
        </is>
      </c>
      <c r="E466" s="113" t="inlineStr">
        <is>
          <t>T63</t>
        </is>
      </c>
      <c r="F466" t="inlineStr">
        <is>
          <t>inkomensregelingen</t>
        </is>
      </c>
    </row>
    <row r="467" ht="15" customHeight="1" s="418">
      <c r="A467" s="99" t="n">
        <v>638028</v>
      </c>
      <c r="B467" s="99" t="inlineStr">
        <is>
          <t>kosten voedselbank</t>
        </is>
      </c>
      <c r="C467" s="1" t="n"/>
      <c r="D467" s="14" t="inlineStr">
        <is>
          <t>sociaal domein</t>
        </is>
      </c>
      <c r="E467" s="113" t="inlineStr">
        <is>
          <t>T63</t>
        </is>
      </c>
      <c r="F467" t="inlineStr">
        <is>
          <t>inkomensregelingen</t>
        </is>
      </c>
    </row>
    <row r="468" ht="15" customHeight="1" s="418">
      <c r="A468" s="99" t="n">
        <v>638029</v>
      </c>
      <c r="B468" s="99" t="inlineStr">
        <is>
          <t>gemeentelijke kredietbank</t>
        </is>
      </c>
      <c r="C468" s="1" t="n"/>
      <c r="D468" s="14" t="inlineStr">
        <is>
          <t>sociaal domein</t>
        </is>
      </c>
      <c r="E468" s="113" t="inlineStr">
        <is>
          <t>T63</t>
        </is>
      </c>
      <c r="F468" t="inlineStr">
        <is>
          <t>inkomensregelingen</t>
        </is>
      </c>
    </row>
    <row r="469" ht="15" customHeight="1" s="418">
      <c r="A469" s="99" t="n">
        <v>638030</v>
      </c>
      <c r="B469" s="4" t="inlineStr">
        <is>
          <t>compensatie eigen bijdr ziektekosten</t>
        </is>
      </c>
      <c r="C469" s="1" t="n"/>
      <c r="D469" s="14" t="inlineStr">
        <is>
          <t>sociaal domein</t>
        </is>
      </c>
      <c r="E469" s="113" t="inlineStr">
        <is>
          <t>T63</t>
        </is>
      </c>
      <c r="F469" t="inlineStr">
        <is>
          <t>inkomensregelingen</t>
        </is>
      </c>
    </row>
    <row r="470" ht="15" customHeight="1" s="418">
      <c r="A470" s="99" t="n">
        <v>638031</v>
      </c>
      <c r="B470" s="4" t="inlineStr">
        <is>
          <t>reg spec uitk gedup toeslagen</t>
        </is>
      </c>
      <c r="C470" s="1" t="n"/>
      <c r="D470" s="14" t="inlineStr">
        <is>
          <t>sociaal domein</t>
        </is>
      </c>
      <c r="E470" s="113" t="inlineStr">
        <is>
          <t>T63</t>
        </is>
      </c>
      <c r="F470" t="inlineStr">
        <is>
          <t>inkomensregelingen</t>
        </is>
      </c>
    </row>
    <row r="471" ht="15" customHeight="1" s="418">
      <c r="A471" s="99" t="n">
        <v>638032</v>
      </c>
      <c r="B471" s="4" t="inlineStr">
        <is>
          <t>leefgeld vluchtelingen oekraine</t>
        </is>
      </c>
      <c r="C471" s="1" t="n"/>
      <c r="D471" s="14" t="inlineStr">
        <is>
          <t>sociaal domein</t>
        </is>
      </c>
      <c r="E471" s="113" t="inlineStr">
        <is>
          <t>T63</t>
        </is>
      </c>
      <c r="F471" t="inlineStr">
        <is>
          <t>inkomensregelingen</t>
        </is>
      </c>
    </row>
    <row r="472" ht="15" customHeight="1" s="418">
      <c r="A472" s="99" t="n">
        <v>638033</v>
      </c>
      <c r="B472" s="4" t="inlineStr">
        <is>
          <t>sociaal medische adviezen pw</t>
        </is>
      </c>
      <c r="C472" s="1" t="n"/>
      <c r="D472" s="14" t="inlineStr">
        <is>
          <t>sociaal domein</t>
        </is>
      </c>
      <c r="E472" s="113" t="inlineStr">
        <is>
          <t>T63</t>
        </is>
      </c>
      <c r="F472" t="inlineStr">
        <is>
          <t>inkomensregelingen</t>
        </is>
      </c>
    </row>
    <row r="473" ht="15" customHeight="1" s="418">
      <c r="A473" s="99" t="n">
        <v>638034</v>
      </c>
      <c r="B473" s="4" t="inlineStr">
        <is>
          <t>uitvoer paticipatiewet best-oirschot</t>
        </is>
      </c>
      <c r="C473" s="1" t="n"/>
      <c r="D473" s="14" t="inlineStr">
        <is>
          <t>sociaal domein</t>
        </is>
      </c>
      <c r="E473" s="113" t="inlineStr">
        <is>
          <t>T63</t>
        </is>
      </c>
      <c r="F473" t="inlineStr">
        <is>
          <t>inkomensregelingen</t>
        </is>
      </c>
    </row>
    <row r="474" ht="15" customHeight="1" s="418">
      <c r="A474" s="99" t="n">
        <v>638035</v>
      </c>
      <c r="B474" s="4" t="inlineStr">
        <is>
          <t>alleenverdienersproblematiek</t>
        </is>
      </c>
      <c r="C474" s="1" t="n"/>
      <c r="D474" s="14" t="inlineStr">
        <is>
          <t>sociaal domein</t>
        </is>
      </c>
      <c r="E474" s="113" t="inlineStr">
        <is>
          <t>T63</t>
        </is>
      </c>
      <c r="F474" t="inlineStr">
        <is>
          <t>inkomensregelingen</t>
        </is>
      </c>
    </row>
    <row r="475" ht="15" customHeight="1" s="418">
      <c r="A475" s="99" t="n">
        <v>638901</v>
      </c>
      <c r="B475" s="99" t="inlineStr">
        <is>
          <t>dir toerek ink voorzieningen</t>
        </is>
      </c>
      <c r="C475" s="1" t="n"/>
      <c r="D475" s="14" t="inlineStr">
        <is>
          <t>sociaal domein</t>
        </is>
      </c>
      <c r="E475" s="113" t="inlineStr">
        <is>
          <t>T63</t>
        </is>
      </c>
      <c r="F475" t="inlineStr">
        <is>
          <t>inkomensregelingen</t>
        </is>
      </c>
    </row>
    <row r="476">
      <c r="A476" s="99" t="n">
        <v>639001</v>
      </c>
      <c r="B476" s="4" t="inlineStr">
        <is>
          <t>uitvoeringwet sociale werkvoorz oud</t>
        </is>
      </c>
      <c r="C476" s="1" t="n"/>
      <c r="D476" s="14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99" t="n">
        <v>639002</v>
      </c>
      <c r="B477" s="4" t="inlineStr">
        <is>
          <t>beschut werk</t>
        </is>
      </c>
      <c r="C477" s="1" t="n"/>
      <c r="D477" s="14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99" t="n">
        <v>639901</v>
      </c>
      <c r="B478" s="99" t="inlineStr">
        <is>
          <t>dir toerek begel participatie</t>
        </is>
      </c>
      <c r="C478" s="1" t="n"/>
      <c r="D478" s="14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99" t="n">
        <v>640001</v>
      </c>
      <c r="B479" s="99" t="inlineStr">
        <is>
          <t>scholing/activering compensabel</t>
        </is>
      </c>
      <c r="C479" s="1" t="n"/>
      <c r="D479" s="14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99" t="n">
        <v>640002</v>
      </c>
      <c r="B480" s="99" t="inlineStr">
        <is>
          <t>scholing/activering niet compensabel</t>
        </is>
      </c>
      <c r="C480" s="1" t="n"/>
      <c r="D480" s="14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99" t="n">
        <v>640003</v>
      </c>
      <c r="B481" s="4" t="inlineStr">
        <is>
          <t>opleiding, begeleiding zelfstandigen</t>
        </is>
      </c>
      <c r="C481" s="1" t="n"/>
      <c r="D481" s="14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99" t="n">
        <v>640004</v>
      </c>
      <c r="B482" s="103" t="inlineStr">
        <is>
          <t>reïntegratie sinti</t>
        </is>
      </c>
      <c r="C482" s="1" t="n"/>
      <c r="D482" s="14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99" t="n">
        <v>640005</v>
      </c>
      <c r="B483" s="103" t="inlineStr">
        <is>
          <t>transformatiebudget sociaal domein</t>
        </is>
      </c>
      <c r="C483" s="1" t="n"/>
      <c r="D483" s="14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99" t="n">
        <v>640006</v>
      </c>
      <c r="B484" s="103" t="inlineStr">
        <is>
          <t>wet inburgering</t>
        </is>
      </c>
      <c r="C484" s="1" t="n"/>
      <c r="D484" s="14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99" t="n">
        <v>640007</v>
      </c>
      <c r="B485" s="103" t="inlineStr">
        <is>
          <t>onderwijsroute</t>
        </is>
      </c>
      <c r="C485" s="1" t="n"/>
      <c r="D485" s="14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99" t="n">
        <v>640008</v>
      </c>
      <c r="B486" s="103" t="inlineStr">
        <is>
          <t>uitvoeringsbudget laaggeletterdheid</t>
        </is>
      </c>
      <c r="C486" s="1" t="n"/>
      <c r="D486" s="14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99" t="n">
        <v>640901</v>
      </c>
      <c r="B487" s="99" t="inlineStr">
        <is>
          <t>directe toerek arbeidsparticip</t>
        </is>
      </c>
      <c r="C487" s="1" t="n"/>
      <c r="D487" s="14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105" t="n">
        <v>646001</v>
      </c>
      <c r="B488" s="99" t="inlineStr">
        <is>
          <t>ggd</t>
        </is>
      </c>
      <c r="C488" s="1" t="n"/>
      <c r="D488" s="14" t="inlineStr">
        <is>
          <t>volksgezondheid en milieu</t>
        </is>
      </c>
      <c r="E488" s="99" t="inlineStr">
        <is>
          <t>T71</t>
        </is>
      </c>
      <c r="F488" s="99" t="inlineStr">
        <is>
          <t>volksgezondheid</t>
        </is>
      </c>
    </row>
    <row r="489">
      <c r="A489" s="105" t="n">
        <v>646002</v>
      </c>
      <c r="B489" s="99" t="inlineStr">
        <is>
          <t>lokaal gezondheidsbeleid</t>
        </is>
      </c>
      <c r="C489" s="1" t="n"/>
      <c r="D489" s="14" t="inlineStr">
        <is>
          <t>volksgezondheid en milieu</t>
        </is>
      </c>
      <c r="E489" s="99" t="inlineStr">
        <is>
          <t>T71</t>
        </is>
      </c>
      <c r="F489" s="99" t="inlineStr">
        <is>
          <t>volksgezondheid</t>
        </is>
      </c>
    </row>
    <row r="490">
      <c r="A490" s="105" t="n">
        <v>646003</v>
      </c>
      <c r="B490" s="99" t="inlineStr">
        <is>
          <t>collectieve preventie ggz</t>
        </is>
      </c>
      <c r="C490" s="1" t="n"/>
      <c r="D490" s="14" t="inlineStr">
        <is>
          <t>volksgezondheid en milieu</t>
        </is>
      </c>
      <c r="E490" s="99" t="inlineStr">
        <is>
          <t>T71</t>
        </is>
      </c>
      <c r="F490" s="99" t="inlineStr">
        <is>
          <t>volksgezondheid</t>
        </is>
      </c>
    </row>
    <row r="491">
      <c r="A491" s="99" t="n">
        <v>646004</v>
      </c>
      <c r="B491" s="99" t="inlineStr">
        <is>
          <t>jeugdgezondeidszorg</t>
        </is>
      </c>
      <c r="C491" s="1" t="n"/>
      <c r="D491" s="14" t="inlineStr">
        <is>
          <t>volksgezondheid en milieu</t>
        </is>
      </c>
      <c r="E491" s="99" t="inlineStr">
        <is>
          <t>T71</t>
        </is>
      </c>
      <c r="F491" s="99" t="inlineStr">
        <is>
          <t>volksgezondheid</t>
        </is>
      </c>
    </row>
    <row r="492">
      <c r="A492" s="99" t="n">
        <v>646005</v>
      </c>
      <c r="B492" s="99" t="inlineStr">
        <is>
          <t>vaccinatie-locatie</t>
        </is>
      </c>
      <c r="C492" s="1" t="n"/>
      <c r="D492" s="14" t="inlineStr">
        <is>
          <t>volksgezondheid en milieu</t>
        </is>
      </c>
      <c r="E492" s="99" t="inlineStr">
        <is>
          <t>T71</t>
        </is>
      </c>
      <c r="F492" s="99" t="inlineStr">
        <is>
          <t>volksgezondheid</t>
        </is>
      </c>
    </row>
    <row r="493">
      <c r="A493" s="99" t="n">
        <v>646006</v>
      </c>
      <c r="B493" s="99" t="inlineStr">
        <is>
          <t>uitvoering preventieakkoord</t>
        </is>
      </c>
      <c r="C493" s="1" t="n"/>
      <c r="D493" s="14" t="inlineStr">
        <is>
          <t>volksgezondheid en milieu</t>
        </is>
      </c>
      <c r="E493" s="99" t="inlineStr">
        <is>
          <t>T71</t>
        </is>
      </c>
      <c r="F493" s="99" t="inlineStr">
        <is>
          <t>volksgezondheid</t>
        </is>
      </c>
    </row>
    <row r="494">
      <c r="A494" s="99" t="n">
        <v>646007</v>
      </c>
      <c r="B494" s="99" t="inlineStr">
        <is>
          <t>spuk ondersteuningsbudget gala</t>
        </is>
      </c>
      <c r="C494" s="1" t="n"/>
      <c r="D494" s="14" t="inlineStr">
        <is>
          <t>volksgezondheid en milieu</t>
        </is>
      </c>
      <c r="E494" s="99" t="inlineStr">
        <is>
          <t>T71</t>
        </is>
      </c>
      <c r="F494" s="99" t="inlineStr">
        <is>
          <t>volksgezondheid</t>
        </is>
      </c>
    </row>
    <row r="495">
      <c r="A495" s="99" t="n">
        <v>646008</v>
      </c>
      <c r="B495" s="119" t="inlineStr">
        <is>
          <t>bs terugdringen gezondh achterstandn</t>
        </is>
      </c>
      <c r="C495" s="1" t="n"/>
      <c r="D495" s="14" t="inlineStr">
        <is>
          <t>volksgezondheid en milieu</t>
        </is>
      </c>
      <c r="E495" s="99" t="inlineStr">
        <is>
          <t>T71</t>
        </is>
      </c>
      <c r="F495" s="99" t="inlineStr">
        <is>
          <t>volksgezondheid</t>
        </is>
      </c>
    </row>
    <row r="496">
      <c r="A496" s="99" t="n">
        <v>646009</v>
      </c>
      <c r="B496" s="119" t="inlineStr">
        <is>
          <t>bs kansrijke start</t>
        </is>
      </c>
      <c r="C496" s="1" t="n"/>
      <c r="D496" s="14" t="inlineStr">
        <is>
          <t>volksgezondheid en milieu</t>
        </is>
      </c>
      <c r="E496" s="99" t="inlineStr">
        <is>
          <t>T71</t>
        </is>
      </c>
      <c r="F496" s="99" t="inlineStr">
        <is>
          <t>volksgezondheid</t>
        </is>
      </c>
    </row>
    <row r="497">
      <c r="A497" s="99" t="n">
        <v>646010</v>
      </c>
      <c r="B497" s="119" t="inlineStr">
        <is>
          <t>bs mentale gezondheid</t>
        </is>
      </c>
      <c r="C497" s="1" t="n"/>
      <c r="D497" s="14" t="inlineStr">
        <is>
          <t>volksgezondheid en milieu</t>
        </is>
      </c>
      <c r="E497" s="99" t="inlineStr">
        <is>
          <t>T71</t>
        </is>
      </c>
      <c r="F497" s="99" t="inlineStr">
        <is>
          <t>volksgezondheid</t>
        </is>
      </c>
    </row>
    <row r="498">
      <c r="A498" s="99" t="n">
        <v>646011</v>
      </c>
      <c r="B498" s="119" t="inlineStr">
        <is>
          <t>bs aanpak overgewicht en obesitas</t>
        </is>
      </c>
      <c r="C498" s="1" t="n"/>
      <c r="D498" s="14" t="inlineStr">
        <is>
          <t>volksgezondheid en milieu</t>
        </is>
      </c>
      <c r="E498" s="99" t="inlineStr">
        <is>
          <t>T71</t>
        </is>
      </c>
      <c r="F498" s="99" t="inlineStr">
        <is>
          <t>volksgezondheid</t>
        </is>
      </c>
    </row>
    <row r="499">
      <c r="A499" s="99" t="n">
        <v>646012</v>
      </c>
      <c r="B499" s="119" t="inlineStr">
        <is>
          <t>bs leefomgeving</t>
        </is>
      </c>
      <c r="C499" s="1" t="n"/>
      <c r="D499" s="14" t="inlineStr">
        <is>
          <t>volksgezondheid en milieu</t>
        </is>
      </c>
      <c r="E499" s="99" t="inlineStr">
        <is>
          <t>T71</t>
        </is>
      </c>
      <c r="F499" s="99" t="inlineStr">
        <is>
          <t>volksgezondheid</t>
        </is>
      </c>
    </row>
    <row r="500">
      <c r="A500" s="99" t="n">
        <v>646013</v>
      </c>
      <c r="B500" s="119" t="inlineStr">
        <is>
          <t>bs opgroei kansr omg/sign alcoholprb</t>
        </is>
      </c>
      <c r="C500" s="1" t="n"/>
      <c r="D500" s="14" t="inlineStr">
        <is>
          <t>volksgezondheid en milieu</t>
        </is>
      </c>
      <c r="E500" s="99" t="inlineStr">
        <is>
          <t>T71</t>
        </is>
      </c>
      <c r="F500" s="99" t="inlineStr">
        <is>
          <t>volksgezondheid</t>
        </is>
      </c>
    </row>
    <row r="501">
      <c r="A501" s="99" t="n">
        <v>646014</v>
      </c>
      <c r="B501" s="119" t="inlineStr">
        <is>
          <t>bs versterken kennis/adviesfunct ggd</t>
        </is>
      </c>
      <c r="C501" s="1" t="n"/>
      <c r="D501" s="14" t="inlineStr">
        <is>
          <t>volksgezondheid en milieu</t>
        </is>
      </c>
      <c r="E501" s="99" t="inlineStr">
        <is>
          <t>T71</t>
        </is>
      </c>
      <c r="F501" s="99" t="inlineStr">
        <is>
          <t>volksgezondheid</t>
        </is>
      </c>
    </row>
    <row r="502">
      <c r="A502" s="99" t="n">
        <v>646015</v>
      </c>
      <c r="B502" s="119" t="inlineStr">
        <is>
          <t>bs coordinatie-kst regio aanp preven</t>
        </is>
      </c>
      <c r="C502" s="1" t="n"/>
      <c r="D502" s="14" t="inlineStr">
        <is>
          <t>volksgezondheid en milieu</t>
        </is>
      </c>
      <c r="E502" s="99" t="inlineStr">
        <is>
          <t>T71</t>
        </is>
      </c>
      <c r="F502" s="99" t="inlineStr">
        <is>
          <t>volksgezondheid</t>
        </is>
      </c>
    </row>
    <row r="503">
      <c r="A503" s="99" t="n">
        <v>646901</v>
      </c>
      <c r="B503" s="99" t="inlineStr">
        <is>
          <t>directe toerek volksgezondheid</t>
        </is>
      </c>
      <c r="C503" s="1" t="n"/>
      <c r="D503" s="14" t="inlineStr">
        <is>
          <t>volksgezondheid en milieu</t>
        </is>
      </c>
      <c r="E503" s="99" t="inlineStr">
        <is>
          <t>T71</t>
        </is>
      </c>
      <c r="F503" s="99" t="inlineStr">
        <is>
          <t>volksgezondheid</t>
        </is>
      </c>
    </row>
    <row r="504">
      <c r="A504" s="99" t="n">
        <v>647001</v>
      </c>
      <c r="B504" s="99" t="inlineStr">
        <is>
          <t>riolen algemeen</t>
        </is>
      </c>
      <c r="C504" s="1" t="n"/>
      <c r="D504" s="14" t="inlineStr">
        <is>
          <t>volksgezondheid en milieu</t>
        </is>
      </c>
      <c r="E504" s="99" t="inlineStr">
        <is>
          <t>T72</t>
        </is>
      </c>
      <c r="F504" s="99" t="inlineStr">
        <is>
          <t>riolering</t>
        </is>
      </c>
    </row>
    <row r="505">
      <c r="A505" s="99" t="n">
        <v>647002</v>
      </c>
      <c r="B505" s="99" t="inlineStr">
        <is>
          <t>drukriolering</t>
        </is>
      </c>
      <c r="C505" s="1" t="n"/>
      <c r="D505" s="14" t="inlineStr">
        <is>
          <t>volksgezondheid en milieu</t>
        </is>
      </c>
      <c r="E505" s="99" t="inlineStr">
        <is>
          <t>T72</t>
        </is>
      </c>
      <c r="F505" s="99" t="inlineStr">
        <is>
          <t>riolering</t>
        </is>
      </c>
    </row>
    <row r="506">
      <c r="A506" s="99" t="n">
        <v>647003</v>
      </c>
      <c r="B506" s="99" t="inlineStr">
        <is>
          <t>kolkenzuiger</t>
        </is>
      </c>
      <c r="C506" s="1" t="n"/>
      <c r="D506" s="14" t="inlineStr">
        <is>
          <t>volksgezondheid en milieu</t>
        </is>
      </c>
      <c r="E506" s="99" t="inlineStr">
        <is>
          <t>T72</t>
        </is>
      </c>
      <c r="F506" s="99" t="inlineStr">
        <is>
          <t>riolering</t>
        </is>
      </c>
    </row>
    <row r="507">
      <c r="A507" s="99" t="n">
        <v>647004</v>
      </c>
      <c r="B507" s="99" t="inlineStr">
        <is>
          <t>rioolhuisaansluitingen</t>
        </is>
      </c>
      <c r="C507" s="1" t="n"/>
      <c r="D507" s="14" t="inlineStr">
        <is>
          <t>volksgezondheid en milieu</t>
        </is>
      </c>
      <c r="E507" s="99" t="inlineStr">
        <is>
          <t>T72</t>
        </is>
      </c>
      <c r="F507" s="99" t="inlineStr">
        <is>
          <t>riolering</t>
        </is>
      </c>
    </row>
    <row r="508">
      <c r="A508" s="99" t="n">
        <v>647005</v>
      </c>
      <c r="B508" s="99" t="inlineStr">
        <is>
          <t>rioolrechten</t>
        </is>
      </c>
      <c r="C508" s="1" t="n"/>
      <c r="D508" s="14" t="inlineStr">
        <is>
          <t>volksgezondheid en milieu</t>
        </is>
      </c>
      <c r="E508" s="99" t="inlineStr">
        <is>
          <t>T72</t>
        </is>
      </c>
      <c r="F508" s="99" t="inlineStr">
        <is>
          <t>riolering</t>
        </is>
      </c>
    </row>
    <row r="509">
      <c r="A509" s="99" t="n">
        <v>647006</v>
      </c>
      <c r="B509" s="103" t="inlineStr">
        <is>
          <t>corr compensabele btw op riolering</t>
        </is>
      </c>
      <c r="C509" s="1" t="n"/>
      <c r="D509" s="14" t="inlineStr">
        <is>
          <t>volksgezondheid en milieu</t>
        </is>
      </c>
      <c r="E509" s="99" t="inlineStr">
        <is>
          <t>T72</t>
        </is>
      </c>
      <c r="F509" s="99" t="inlineStr">
        <is>
          <t>riolering</t>
        </is>
      </c>
    </row>
    <row r="510">
      <c r="A510" s="99" t="n">
        <v>647007</v>
      </c>
      <c r="B510" s="99" t="inlineStr">
        <is>
          <t>straatreiniging (dbl 617017)</t>
        </is>
      </c>
      <c r="C510" s="1" t="n"/>
      <c r="D510" s="14" t="inlineStr">
        <is>
          <t>volksgezondheid en milieu</t>
        </is>
      </c>
      <c r="E510" s="99" t="inlineStr">
        <is>
          <t>T72</t>
        </is>
      </c>
      <c r="F510" s="99" t="inlineStr">
        <is>
          <t>riolering</t>
        </is>
      </c>
    </row>
    <row r="511">
      <c r="A511" s="99" t="n">
        <v>647008</v>
      </c>
      <c r="B511" s="99" t="inlineStr">
        <is>
          <t>klimaatadaptief watersysteem</t>
        </is>
      </c>
      <c r="C511" s="1" t="n"/>
      <c r="D511" s="14" t="inlineStr">
        <is>
          <t>volksgezondheid en milieu</t>
        </is>
      </c>
      <c r="E511" s="99" t="inlineStr">
        <is>
          <t>T72</t>
        </is>
      </c>
      <c r="F511" s="99" t="inlineStr">
        <is>
          <t>riolering</t>
        </is>
      </c>
    </row>
    <row r="512">
      <c r="A512" s="99" t="n">
        <v>647901</v>
      </c>
      <c r="B512" s="99" t="inlineStr">
        <is>
          <t>directe toerek riolering</t>
        </is>
      </c>
      <c r="C512" s="1" t="n"/>
      <c r="D512" s="14" t="inlineStr">
        <is>
          <t>volksgezondheid en milieu</t>
        </is>
      </c>
      <c r="E512" s="99" t="inlineStr">
        <is>
          <t>T72</t>
        </is>
      </c>
      <c r="F512" s="99" t="inlineStr">
        <is>
          <t>riolering</t>
        </is>
      </c>
    </row>
    <row r="513">
      <c r="A513" s="99" t="n">
        <v>648001</v>
      </c>
      <c r="B513" s="99" t="inlineStr">
        <is>
          <t>huisvuilophaaldienst</t>
        </is>
      </c>
      <c r="C513" s="1" t="n"/>
      <c r="D513" s="14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99" t="n">
        <v>648002</v>
      </c>
      <c r="B514" s="99" t="inlineStr">
        <is>
          <t>milieustraat</t>
        </is>
      </c>
      <c r="C514" s="1" t="n"/>
      <c r="D514" s="14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99" t="n">
        <v>648003</v>
      </c>
      <c r="B515" s="103" t="inlineStr">
        <is>
          <t>corr compensabele btw op afval</t>
        </is>
      </c>
      <c r="C515" s="1" t="n"/>
      <c r="D515" s="14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99" t="n">
        <v>648004</v>
      </c>
      <c r="B516" s="99" t="inlineStr">
        <is>
          <t>afvalstoffenheffing/reinigingsrecht</t>
        </is>
      </c>
      <c r="C516" s="1" t="n"/>
      <c r="D516" s="14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99" t="n">
        <v>648005</v>
      </c>
      <c r="B517" s="99" t="inlineStr">
        <is>
          <t>inzamelen klandestien gestort vuil</t>
        </is>
      </c>
      <c r="C517" s="1" t="n"/>
      <c r="D517" s="14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99" t="n">
        <v>648006</v>
      </c>
      <c r="B518" s="99" t="inlineStr">
        <is>
          <t>straatreiniging (dbl 617017)</t>
        </is>
      </c>
      <c r="C518" s="1" t="n"/>
      <c r="D518" s="14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99" t="n">
        <v>648901</v>
      </c>
      <c r="B519" s="99" t="inlineStr">
        <is>
          <t>directe toerek afval</t>
        </is>
      </c>
      <c r="C519" s="1" t="n"/>
      <c r="D519" s="14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99" t="n">
        <v>649001</v>
      </c>
      <c r="B520" s="99" t="inlineStr">
        <is>
          <t>milieubeleid</t>
        </is>
      </c>
      <c r="C520" s="1" t="n"/>
      <c r="D520" s="14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99" t="n">
        <v>649002</v>
      </c>
      <c r="B521" s="99" t="inlineStr">
        <is>
          <t>geluidsonderzoeken</t>
        </is>
      </c>
      <c r="C521" s="1" t="n"/>
      <c r="D521" s="14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99" t="n">
        <v>649003</v>
      </c>
      <c r="B522" s="103" t="inlineStr">
        <is>
          <t>bevordering duurzaamheid</t>
        </is>
      </c>
      <c r="C522" s="1" t="n"/>
      <c r="D522" s="14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99" t="n">
        <v>649004</v>
      </c>
      <c r="B523" s="103" t="inlineStr">
        <is>
          <t>initiatieven duurzaamheid</t>
        </is>
      </c>
      <c r="C523" s="1" t="n"/>
      <c r="D523" s="14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99" t="n">
        <v>649005</v>
      </c>
      <c r="B524" s="103" t="inlineStr">
        <is>
          <t>duurzaamheid</t>
        </is>
      </c>
      <c r="C524" s="1" t="n"/>
      <c r="D524" s="14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99" t="n">
        <v>649006</v>
      </c>
      <c r="B525" s="99" t="inlineStr">
        <is>
          <t>vergunningverlening milieu</t>
        </is>
      </c>
      <c r="C525" s="1" t="n"/>
      <c r="D525" s="14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99" t="n">
        <v>649007</v>
      </c>
      <c r="B526" s="99" t="inlineStr">
        <is>
          <t>odzob milieu vergunningen</t>
        </is>
      </c>
      <c r="C526" s="1" t="n"/>
      <c r="D526" s="14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99" t="n">
        <v>649008</v>
      </c>
      <c r="B527" s="103" t="inlineStr">
        <is>
          <t>berekening hogere waarden</t>
        </is>
      </c>
      <c r="C527" s="1" t="n"/>
      <c r="D527" s="14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99" t="n">
        <v>649009</v>
      </c>
      <c r="B528" s="103" t="inlineStr">
        <is>
          <t>uitv milieuwetgeving</t>
        </is>
      </c>
      <c r="C528" s="1" t="n"/>
      <c r="D528" s="14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99" t="n">
        <v>649010</v>
      </c>
      <c r="B529" s="99" t="inlineStr">
        <is>
          <t>odzob milieu mbt leges</t>
        </is>
      </c>
      <c r="C529" s="1" t="n"/>
      <c r="D529" s="14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99" t="n">
        <v>649011</v>
      </c>
      <c r="B530" s="99" t="inlineStr">
        <is>
          <t>odzob milieu juridische ondersteun</t>
        </is>
      </c>
      <c r="C530" s="1" t="n"/>
      <c r="D530" s="14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99" t="n">
        <v>649012</v>
      </c>
      <c r="B531" s="99" t="inlineStr">
        <is>
          <t>odzob onderzoek en advies</t>
        </is>
      </c>
      <c r="C531" s="1" t="n"/>
      <c r="D531" s="14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99" t="n">
        <v>649013</v>
      </c>
      <c r="B532" s="99" t="inlineStr">
        <is>
          <t>bestrijding van plaagdieren</t>
        </is>
      </c>
      <c r="C532" s="1" t="n"/>
      <c r="D532" s="14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99" t="n">
        <v>649014</v>
      </c>
      <c r="B533" s="99" t="inlineStr">
        <is>
          <t>handhaving milieuwetgeving</t>
        </is>
      </c>
      <c r="C533" s="1" t="n"/>
      <c r="D533" s="14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99" t="n">
        <v>649015</v>
      </c>
      <c r="B534" s="103" t="inlineStr">
        <is>
          <t>zonnepanelen</t>
        </is>
      </c>
      <c r="C534" s="1" t="n"/>
      <c r="D534" s="14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99" t="n">
        <v>649016</v>
      </c>
      <c r="B535" s="103" t="inlineStr">
        <is>
          <t>reductie energieverbruik woningen</t>
        </is>
      </c>
      <c r="C535" s="1" t="n"/>
      <c r="D535" s="14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99" t="n">
        <v>649017</v>
      </c>
      <c r="B536" s="103" t="inlineStr">
        <is>
          <t>aanpak energiearmoede</t>
        </is>
      </c>
      <c r="C536" s="1" t="n"/>
      <c r="D536" s="14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99" t="n">
        <v>649018</v>
      </c>
      <c r="B537" s="103" t="inlineStr">
        <is>
          <t>capaciteit klimaatbeleid</t>
        </is>
      </c>
      <c r="C537" s="1" t="n"/>
      <c r="D537" s="14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99" t="n">
        <v>649019</v>
      </c>
      <c r="B538" s="103" t="inlineStr">
        <is>
          <t>nip-gelden</t>
        </is>
      </c>
      <c r="C538" s="1" t="n"/>
      <c r="D538" s="14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99" t="n">
        <v>649020</v>
      </c>
      <c r="B539" s="103" t="inlineStr">
        <is>
          <t>verduurz maatsch vastgoed derden</t>
        </is>
      </c>
      <c r="C539" s="1" t="n"/>
      <c r="D539" s="14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99" t="n">
        <v>649021</v>
      </c>
      <c r="B540" s="103" t="inlineStr">
        <is>
          <t>duurzaamheidsacties met partners</t>
        </is>
      </c>
      <c r="C540" s="1" t="n"/>
      <c r="D540" s="14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99" t="n">
        <v>649022</v>
      </c>
      <c r="B541" s="103" t="inlineStr">
        <is>
          <t>soorten management plan(smp)</t>
        </is>
      </c>
      <c r="C541" s="1" t="n"/>
      <c r="D541" s="14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99" t="n">
        <v>649023</v>
      </c>
      <c r="B542" s="103" t="inlineStr">
        <is>
          <t>groene daken</t>
        </is>
      </c>
      <c r="C542" s="1" t="n"/>
      <c r="D542" s="14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99" t="n">
        <v>649024</v>
      </c>
      <c r="B543" s="103" t="inlineStr">
        <is>
          <t>warmtenet</t>
        </is>
      </c>
      <c r="C543" s="1" t="n"/>
      <c r="D543" s="14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99" t="n">
        <v>649901</v>
      </c>
      <c r="B544" s="99" t="inlineStr">
        <is>
          <t>directe toerek leges milieu titel 2</t>
        </is>
      </c>
      <c r="C544" s="1" t="n"/>
      <c r="D544" s="14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99" t="n">
        <v>649902</v>
      </c>
      <c r="B545" s="99" t="inlineStr">
        <is>
          <t>directe toerek milieubeheer</t>
        </is>
      </c>
      <c r="C545" s="1" t="n"/>
      <c r="D545" s="14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99" t="n">
        <v>650001</v>
      </c>
      <c r="B546" s="99" t="inlineStr">
        <is>
          <t>algemene begraafplaats</t>
        </is>
      </c>
      <c r="C546" s="1" t="n"/>
      <c r="D546" s="14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99" t="n">
        <v>650901</v>
      </c>
      <c r="B547" s="99" t="inlineStr">
        <is>
          <t>directe toerek begraafpl ed</t>
        </is>
      </c>
      <c r="C547" s="1" t="n"/>
      <c r="D547" s="14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99" t="n">
        <v>651001</v>
      </c>
      <c r="B548" s="99" t="inlineStr">
        <is>
          <t>bestemmingsplannen</t>
        </is>
      </c>
      <c r="C548" s="1" t="n"/>
      <c r="D548" s="14" t="inlineStr">
        <is>
          <t>volkshuisv., ro en stedelijke vernieuwing</t>
        </is>
      </c>
      <c r="E548" s="99" t="inlineStr">
        <is>
          <t>T81</t>
        </is>
      </c>
      <c r="F548" s="99" t="inlineStr">
        <is>
          <t>ruimtelijke ordening</t>
        </is>
      </c>
    </row>
    <row r="549">
      <c r="A549" s="99" t="n">
        <v>651002</v>
      </c>
      <c r="B549" s="103" t="inlineStr">
        <is>
          <t>omgevingswet</t>
        </is>
      </c>
      <c r="C549" s="1" t="n"/>
      <c r="D549" s="14" t="inlineStr">
        <is>
          <t>volkshuisv., ro en stedelijke vernieuwing</t>
        </is>
      </c>
      <c r="E549" s="99" t="inlineStr">
        <is>
          <t>T81</t>
        </is>
      </c>
      <c r="F549" s="99" t="inlineStr">
        <is>
          <t>ruimtelijke ordening</t>
        </is>
      </c>
    </row>
    <row r="550">
      <c r="A550" s="99" t="n">
        <v>651003</v>
      </c>
      <c r="B550" s="99" t="inlineStr">
        <is>
          <t>omgevingsplan</t>
        </is>
      </c>
      <c r="C550" s="1" t="n"/>
      <c r="D550" s="14" t="inlineStr">
        <is>
          <t>volkshuisv., ro en stedelijke vernieuwing</t>
        </is>
      </c>
      <c r="E550" s="99" t="inlineStr">
        <is>
          <t>T81</t>
        </is>
      </c>
      <c r="F550" s="99" t="inlineStr">
        <is>
          <t>ruimtelijke ordening</t>
        </is>
      </c>
    </row>
    <row r="551">
      <c r="A551" s="99" t="n">
        <v>651004</v>
      </c>
      <c r="B551" s="99" t="inlineStr">
        <is>
          <t>samenwerkingsverb brainpoort avenue</t>
        </is>
      </c>
      <c r="C551" s="1" t="n"/>
      <c r="D551" s="14" t="inlineStr">
        <is>
          <t>volkshuisv., ro en stedelijke vernieuwing</t>
        </is>
      </c>
      <c r="E551" s="99" t="inlineStr">
        <is>
          <t>T81</t>
        </is>
      </c>
      <c r="F551" s="99" t="inlineStr">
        <is>
          <t>ruimtelijke ordening</t>
        </is>
      </c>
    </row>
    <row r="552">
      <c r="A552" s="99" t="n">
        <v>651005</v>
      </c>
      <c r="B552" s="103" t="inlineStr">
        <is>
          <t>netwerksamenwerkingen</t>
        </is>
      </c>
      <c r="C552" s="1" t="n"/>
      <c r="D552" s="14" t="inlineStr">
        <is>
          <t>volkshuisv., ro en stedelijke vernieuwing</t>
        </is>
      </c>
      <c r="E552" s="99" t="inlineStr">
        <is>
          <t>T81</t>
        </is>
      </c>
      <c r="F552" s="99" t="inlineStr">
        <is>
          <t>ruimtelijke ordening</t>
        </is>
      </c>
    </row>
    <row r="553">
      <c r="A553" s="99" t="n">
        <v>651006</v>
      </c>
      <c r="B553" s="103" t="inlineStr">
        <is>
          <t>leges ipni, titel 2</t>
        </is>
      </c>
      <c r="C553" s="1" t="n"/>
      <c r="D553" s="14" t="inlineStr">
        <is>
          <t>volkshuisv., ro en stedelijke vernieuwing</t>
        </is>
      </c>
      <c r="E553" s="99" t="inlineStr">
        <is>
          <t>T81</t>
        </is>
      </c>
      <c r="F553" s="99" t="inlineStr">
        <is>
          <t>ruimtelijke ordening</t>
        </is>
      </c>
    </row>
    <row r="554">
      <c r="A554" s="99" t="n">
        <v>651007</v>
      </c>
      <c r="B554" s="103" t="inlineStr">
        <is>
          <t>kostenverhaal derden</t>
        </is>
      </c>
      <c r="C554" s="1" t="n"/>
      <c r="D554" s="14" t="inlineStr">
        <is>
          <t>volkshuisv., ro en stedelijke vernieuwing</t>
        </is>
      </c>
      <c r="E554" s="99" t="inlineStr">
        <is>
          <t>T81</t>
        </is>
      </c>
      <c r="F554" s="99" t="inlineStr">
        <is>
          <t>ruimtelijke ordening</t>
        </is>
      </c>
    </row>
    <row r="555">
      <c r="A555" s="99" t="n">
        <v>651008</v>
      </c>
      <c r="B555" s="103" t="inlineStr">
        <is>
          <t>herinrichting stationsgebied west</t>
        </is>
      </c>
      <c r="C555" s="1" t="n"/>
      <c r="D555" s="14" t="inlineStr">
        <is>
          <t>volkshuisv., ro en stedelijke vernieuwing</t>
        </is>
      </c>
      <c r="E555" s="99" t="inlineStr">
        <is>
          <t>T81</t>
        </is>
      </c>
      <c r="F555" s="99" t="inlineStr">
        <is>
          <t>ruimtelijke ordening</t>
        </is>
      </c>
    </row>
    <row r="556">
      <c r="A556" s="99" t="n">
        <v>651009</v>
      </c>
      <c r="B556" s="103" t="inlineStr">
        <is>
          <t>visie woonwagenzaken</t>
        </is>
      </c>
      <c r="C556" s="1" t="n"/>
      <c r="D556" s="14" t="inlineStr">
        <is>
          <t>volkshuisv., ro en stedelijke vernieuwing</t>
        </is>
      </c>
      <c r="E556" s="99" t="inlineStr">
        <is>
          <t>T81</t>
        </is>
      </c>
      <c r="F556" s="99" t="inlineStr">
        <is>
          <t>ruimtelijke ordening</t>
        </is>
      </c>
    </row>
    <row r="557">
      <c r="A557" s="99" t="n">
        <v>651010</v>
      </c>
      <c r="B557" s="103" t="inlineStr">
        <is>
          <t>rvr inrichting heuveleindseweg</t>
        </is>
      </c>
      <c r="C557" s="1" t="n"/>
      <c r="D557" s="14" t="inlineStr">
        <is>
          <t>volkshuisv., ro en stedelijke vernieuwing</t>
        </is>
      </c>
      <c r="E557" s="99" t="inlineStr">
        <is>
          <t>T81</t>
        </is>
      </c>
      <c r="F557" s="99" t="inlineStr">
        <is>
          <t>ruimtelijke ordening</t>
        </is>
      </c>
    </row>
    <row r="558">
      <c r="A558" s="99" t="n">
        <v>651011</v>
      </c>
      <c r="B558" s="103" t="inlineStr">
        <is>
          <t>gebiedsvisie wilhelminadorp</t>
        </is>
      </c>
      <c r="C558" s="1" t="n"/>
      <c r="D558" s="14" t="inlineStr">
        <is>
          <t>volkshuisv., ro en stedelijke vernieuwing</t>
        </is>
      </c>
      <c r="E558" s="99" t="inlineStr">
        <is>
          <t>T81</t>
        </is>
      </c>
      <c r="F558" s="99" t="inlineStr">
        <is>
          <t>ruimtelijke ordening</t>
        </is>
      </c>
    </row>
    <row r="559">
      <c r="A559" s="99" t="n">
        <v>651012</v>
      </c>
      <c r="B559" s="103" t="inlineStr">
        <is>
          <t>stedebouwkundige visie dorpsplein</t>
        </is>
      </c>
      <c r="C559" s="1" t="n"/>
      <c r="D559" s="14" t="inlineStr">
        <is>
          <t>volkshuisv., ro en stedelijke vernieuwing</t>
        </is>
      </c>
      <c r="E559" s="99" t="inlineStr">
        <is>
          <t>T81</t>
        </is>
      </c>
      <c r="F559" s="99" t="inlineStr">
        <is>
          <t>ruimtelijke ordening</t>
        </is>
      </c>
    </row>
    <row r="560">
      <c r="A560" s="99" t="n">
        <v>651013</v>
      </c>
      <c r="B560" s="116" t="inlineStr">
        <is>
          <t>fin bijdr ruimtelijke ontwikk</t>
        </is>
      </c>
      <c r="C560" s="1" t="n"/>
      <c r="D560" s="14" t="inlineStr">
        <is>
          <t>volkshuisv., ro en stedelijke vernieuwing</t>
        </is>
      </c>
      <c r="E560" s="99" t="inlineStr">
        <is>
          <t>T81</t>
        </is>
      </c>
      <c r="F560" s="99" t="inlineStr">
        <is>
          <t>ruimtelijke ordening</t>
        </is>
      </c>
    </row>
    <row r="561">
      <c r="A561" s="99" t="n">
        <v>651014</v>
      </c>
      <c r="B561" s="116" t="inlineStr">
        <is>
          <t>project structuurvisie buitengebied</t>
        </is>
      </c>
      <c r="C561" s="1" t="n"/>
      <c r="D561" s="14" t="inlineStr">
        <is>
          <t>volkshuisv., ro en stedelijke vernieuwing</t>
        </is>
      </c>
      <c r="E561" s="99" t="inlineStr">
        <is>
          <t>T81</t>
        </is>
      </c>
      <c r="F561" s="99" t="inlineStr">
        <is>
          <t>ruimtelijke ordening</t>
        </is>
      </c>
    </row>
    <row r="562">
      <c r="A562" s="99" t="n">
        <v>651015</v>
      </c>
      <c r="B562" s="116" t="inlineStr">
        <is>
          <t>actualisatie omgevingsvisie</t>
        </is>
      </c>
      <c r="C562" s="1" t="n"/>
      <c r="D562" s="14" t="inlineStr">
        <is>
          <t>volkshuisv., ro en stedelijke vernieuwing</t>
        </is>
      </c>
      <c r="E562" s="99" t="inlineStr">
        <is>
          <t>T81</t>
        </is>
      </c>
      <c r="F562" s="99" t="inlineStr">
        <is>
          <t>ruimtelijke ordening</t>
        </is>
      </c>
    </row>
    <row r="563">
      <c r="A563" s="99" t="n">
        <v>651901</v>
      </c>
      <c r="B563" s="99" t="inlineStr">
        <is>
          <t>directe toerek ruimtelijke ord</t>
        </is>
      </c>
      <c r="C563" s="1" t="n"/>
      <c r="D563" s="14" t="inlineStr">
        <is>
          <t>volkshuisv., ro en stedelijke vernieuwing</t>
        </is>
      </c>
      <c r="E563" s="99" t="inlineStr">
        <is>
          <t>T81</t>
        </is>
      </c>
      <c r="F563" s="99" t="inlineStr">
        <is>
          <t>ruimtelijke ordening</t>
        </is>
      </c>
    </row>
    <row r="564">
      <c r="A564" s="99" t="n">
        <v>651902</v>
      </c>
      <c r="B564" s="99" t="inlineStr">
        <is>
          <t>directe toerek ipni titel 2</t>
        </is>
      </c>
      <c r="C564" s="1" t="n"/>
      <c r="D564" s="14" t="inlineStr">
        <is>
          <t>volkshuisv., ro en stedelijke vernieuwing</t>
        </is>
      </c>
      <c r="E564" s="99" t="inlineStr">
        <is>
          <t>T81</t>
        </is>
      </c>
      <c r="F564" s="99" t="inlineStr">
        <is>
          <t>ruimtelijke ordening</t>
        </is>
      </c>
    </row>
    <row r="565">
      <c r="A565" s="99" t="n">
        <v>651903</v>
      </c>
      <c r="B565" s="99" t="inlineStr">
        <is>
          <t>directe toerek kostenverhaal</t>
        </is>
      </c>
      <c r="C565" s="1" t="n"/>
      <c r="D565" s="14" t="inlineStr">
        <is>
          <t>volkshuisv., ro en stedelijke vernieuwing</t>
        </is>
      </c>
      <c r="E565" s="99" t="inlineStr">
        <is>
          <t>T81</t>
        </is>
      </c>
      <c r="F565" s="99" t="inlineStr">
        <is>
          <t>ruimtelijke ordening</t>
        </is>
      </c>
    </row>
    <row r="566">
      <c r="A566" s="99" t="n">
        <v>652001</v>
      </c>
      <c r="B566" s="99" t="inlineStr">
        <is>
          <t>verwerving aankoop grond</t>
        </is>
      </c>
      <c r="C566" s="1" t="n"/>
      <c r="D566" s="14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99" t="n">
        <v>652002</v>
      </c>
      <c r="B567" s="99" t="inlineStr">
        <is>
          <t>verwerving taxatiewerkzaamheden</t>
        </is>
      </c>
      <c r="C567" s="1" t="n"/>
      <c r="D567" s="14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99" t="n">
        <v>652003</v>
      </c>
      <c r="B568" s="99" t="inlineStr">
        <is>
          <t>verwerving notaris</t>
        </is>
      </c>
      <c r="C568" s="1" t="n"/>
      <c r="D568" s="14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99" t="n">
        <v>652004</v>
      </c>
      <c r="B569" s="99" t="inlineStr">
        <is>
          <t>verwerving advies derden</t>
        </is>
      </c>
      <c r="C569" s="1" t="n"/>
      <c r="D569" s="14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99" t="n">
        <v>652005</v>
      </c>
      <c r="B570" s="99" t="inlineStr">
        <is>
          <t>verwerving overige</t>
        </is>
      </c>
      <c r="C570" s="1" t="n"/>
      <c r="D570" s="14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99" t="n">
        <v>652006</v>
      </c>
      <c r="B571" s="99" t="inlineStr">
        <is>
          <t>planontwikk inhuur derden</t>
        </is>
      </c>
      <c r="C571" s="1" t="n"/>
      <c r="D571" s="14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99" t="n">
        <v>652007</v>
      </c>
      <c r="B572" s="99" t="inlineStr">
        <is>
          <t>planontwikk adviezen derden</t>
        </is>
      </c>
      <c r="C572" s="1" t="n"/>
      <c r="D572" s="14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99" t="n">
        <v>652008</v>
      </c>
      <c r="B573" s="99" t="inlineStr">
        <is>
          <t>planontwikk overige</t>
        </is>
      </c>
      <c r="C573" s="1" t="n"/>
      <c r="D573" s="14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99" t="n">
        <v>652009</v>
      </c>
      <c r="B574" s="99" t="inlineStr">
        <is>
          <t>planontwikk planschade</t>
        </is>
      </c>
      <c r="C574" s="1" t="n"/>
      <c r="D574" s="14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99" t="n">
        <v>652010</v>
      </c>
      <c r="B575" s="99" t="inlineStr">
        <is>
          <t>planontwikk onderzoekskosten</t>
        </is>
      </c>
      <c r="C575" s="1" t="n"/>
      <c r="D575" s="14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99" t="n">
        <v>652011</v>
      </c>
      <c r="B576" s="99" t="inlineStr">
        <is>
          <t>vtu inhuur derden</t>
        </is>
      </c>
      <c r="C576" s="1" t="n"/>
      <c r="D576" s="14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99" t="n">
        <v>652012</v>
      </c>
      <c r="B577" s="99" t="inlineStr">
        <is>
          <t>vtu advies derden</t>
        </is>
      </c>
      <c r="C577" s="1" t="n"/>
      <c r="D577" s="14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99" t="n">
        <v>652013</v>
      </c>
      <c r="B578" s="99" t="inlineStr">
        <is>
          <t>brm sloop en grondwerken</t>
        </is>
      </c>
      <c r="C578" s="1" t="n"/>
      <c r="D578" s="14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99" t="n">
        <v>652014</v>
      </c>
      <c r="B579" s="99" t="inlineStr">
        <is>
          <t>brm riolering en bouwwegen</t>
        </is>
      </c>
      <c r="C579" s="1" t="n"/>
      <c r="D579" s="14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99" t="n">
        <v>652015</v>
      </c>
      <c r="B580" s="99" t="inlineStr">
        <is>
          <t>brm straatverlichting</t>
        </is>
      </c>
      <c r="C580" s="1" t="n"/>
      <c r="D580" s="14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99" t="n">
        <v>652016</v>
      </c>
      <c r="B581" s="99" t="inlineStr">
        <is>
          <t>brm huisaansluitingen en inritten</t>
        </is>
      </c>
      <c r="C581" s="1" t="n"/>
      <c r="D581" s="14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99" t="n">
        <v>652017</v>
      </c>
      <c r="B582" s="99" t="inlineStr">
        <is>
          <t>wrm riolering en wegaanleg</t>
        </is>
      </c>
      <c r="C582" s="1" t="n"/>
      <c r="D582" s="14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99" t="n">
        <v>652018</v>
      </c>
      <c r="B583" s="99" t="inlineStr">
        <is>
          <t>wrm straatverlichting</t>
        </is>
      </c>
      <c r="C583" s="1" t="n"/>
      <c r="D583" s="14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99" t="n">
        <v>652019</v>
      </c>
      <c r="B584" s="99" t="inlineStr">
        <is>
          <t>wrm groenvoorziening</t>
        </is>
      </c>
      <c r="C584" s="1" t="n"/>
      <c r="D584" s="14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99" t="n">
        <v>652020</v>
      </c>
      <c r="B585" s="99" t="inlineStr">
        <is>
          <t>wrm kunst openbare ruimte</t>
        </is>
      </c>
      <c r="C585" s="1" t="n"/>
      <c r="D585" s="14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99" t="n">
        <v>652021</v>
      </c>
      <c r="B586" s="99" t="inlineStr">
        <is>
          <t>wrm infra kunstwerken</t>
        </is>
      </c>
      <c r="C586" s="1" t="n"/>
      <c r="D586" s="14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99" t="n">
        <v>652022</v>
      </c>
      <c r="B587" s="99" t="inlineStr">
        <is>
          <t>afdracht overige</t>
        </is>
      </c>
      <c r="C587" s="1" t="n"/>
      <c r="D587" s="14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99" t="n">
        <v>652023</v>
      </c>
      <c r="B588" s="99" t="inlineStr">
        <is>
          <t>rente rekening courant</t>
        </is>
      </c>
      <c r="C588" s="1" t="n"/>
      <c r="D588" s="14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99" t="n">
        <v>652024</v>
      </c>
      <c r="B589" s="99" t="inlineStr">
        <is>
          <t>rente derden</t>
        </is>
      </c>
      <c r="C589" s="1" t="n"/>
      <c r="D589" s="14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99" t="n">
        <v>652025</v>
      </c>
      <c r="B590" s="99" t="inlineStr">
        <is>
          <t>grondverk soc woningbouw</t>
        </is>
      </c>
      <c r="C590" s="1" t="n"/>
      <c r="D590" s="14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99" t="n">
        <v>652026</v>
      </c>
      <c r="B591" s="99" t="inlineStr">
        <is>
          <t>grondverk vrije sector</t>
        </is>
      </c>
      <c r="C591" s="1" t="n"/>
      <c r="D591" s="14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99" t="n">
        <v>652027</v>
      </c>
      <c r="B592" s="99" t="inlineStr">
        <is>
          <t>grondverk overig</t>
        </is>
      </c>
      <c r="C592" s="1" t="n"/>
      <c r="D592" s="14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99" t="n">
        <v>652028</v>
      </c>
      <c r="B593" s="99" t="inlineStr">
        <is>
          <t>bijdrage provincie</t>
        </is>
      </c>
      <c r="C593" s="1" t="n"/>
      <c r="D593" s="14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99" t="n">
        <v>652029</v>
      </c>
      <c r="B594" s="99" t="inlineStr">
        <is>
          <t>bijdrage derden</t>
        </is>
      </c>
      <c r="C594" s="1" t="n"/>
      <c r="D594" s="14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99" t="n">
        <v>652030</v>
      </c>
      <c r="B595" s="99" t="inlineStr">
        <is>
          <t>mutatie bouwgrondexploitatie</t>
        </is>
      </c>
      <c r="C595" s="1" t="n"/>
      <c r="D595" s="14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99" t="n">
        <v>652031</v>
      </c>
      <c r="B596" s="99" t="inlineStr">
        <is>
          <t>tijdelijk beheer</t>
        </is>
      </c>
      <c r="C596" s="1" t="n"/>
      <c r="D596" s="14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99" t="n">
        <v>652032</v>
      </c>
      <c r="B597" s="99" t="inlineStr">
        <is>
          <t>algemene prijsaanpassingen grex</t>
        </is>
      </c>
      <c r="C597" s="1" t="n"/>
      <c r="D597" s="14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99" t="n">
        <v>652033</v>
      </c>
      <c r="B598" s="99" t="inlineStr">
        <is>
          <t>doorbelasting overhead aan grex</t>
        </is>
      </c>
      <c r="C598" s="1" t="n"/>
      <c r="D598" s="14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99" t="n">
        <v>652034</v>
      </c>
      <c r="B599" s="99" t="inlineStr">
        <is>
          <t>brm overige</t>
        </is>
      </c>
      <c r="C599" s="1" t="n"/>
      <c r="D599" s="14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99" t="n">
        <v>652035</v>
      </c>
      <c r="B600" s="99" t="inlineStr">
        <is>
          <t>wrm overige</t>
        </is>
      </c>
      <c r="C600" s="1" t="n"/>
      <c r="D600" s="14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99" t="n">
        <v>652901</v>
      </c>
      <c r="B601" s="99" t="inlineStr">
        <is>
          <t>directe toerek planvoorbereiding</t>
        </is>
      </c>
      <c r="C601" s="1" t="n"/>
      <c r="D601" s="14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99" t="n">
        <v>652902</v>
      </c>
      <c r="B602" s="99" t="inlineStr">
        <is>
          <t>directe toerek voorb toez uitv</t>
        </is>
      </c>
      <c r="C602" s="1" t="n"/>
      <c r="D602" s="14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99" t="n">
        <v>653001</v>
      </c>
      <c r="B603" s="99" t="inlineStr">
        <is>
          <t>welstandstoezicht</t>
        </is>
      </c>
      <c r="C603" s="1" t="n"/>
      <c r="D603" s="14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99" t="n">
        <v>653002</v>
      </c>
      <c r="B604" s="99" t="inlineStr">
        <is>
          <t>omgevingsvergunningen</t>
        </is>
      </c>
      <c r="C604" s="1" t="n"/>
      <c r="D604" s="14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99" t="n">
        <v>653003</v>
      </c>
      <c r="B605" s="99" t="inlineStr">
        <is>
          <t>odzob bouw</t>
        </is>
      </c>
      <c r="C605" s="1" t="n"/>
      <c r="D605" s="14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99" t="n">
        <v>653004</v>
      </c>
      <c r="B606" s="103" t="inlineStr">
        <is>
          <t>odzob collectieve taken</t>
        </is>
      </c>
      <c r="C606" s="1" t="n"/>
      <c r="D606" s="14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99" t="n">
        <v>653005</v>
      </c>
      <c r="B607" s="99" t="inlineStr">
        <is>
          <t>leges omgevingsvergunningen</t>
        </is>
      </c>
      <c r="C607" s="1" t="n"/>
      <c r="D607" s="14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99" t="n">
        <v>653006</v>
      </c>
      <c r="B608" s="99" t="inlineStr">
        <is>
          <t>handhaving ruimtelijke regelgeving</t>
        </is>
      </c>
      <c r="C608" s="1" t="n"/>
      <c r="D608" s="14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99" t="n">
        <v>653007</v>
      </c>
      <c r="B609" s="99" t="inlineStr">
        <is>
          <t>handhaving woonwagencentrum</t>
        </is>
      </c>
      <c r="C609" s="1" t="n"/>
      <c r="D609" s="14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99" t="n">
        <v>653008</v>
      </c>
      <c r="B610" s="99" t="inlineStr">
        <is>
          <t>wet bibob fase 2</t>
        </is>
      </c>
      <c r="C610" s="1" t="n"/>
      <c r="D610" s="14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99" t="n">
        <v>653009</v>
      </c>
      <c r="B611" s="99" t="inlineStr">
        <is>
          <t>odzob toezicht</t>
        </is>
      </c>
      <c r="C611" s="1" t="n"/>
      <c r="D611" s="14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99" t="n">
        <v>653010</v>
      </c>
      <c r="B612" s="103" t="inlineStr">
        <is>
          <t>odzob handhaving klacht afhandeling</t>
        </is>
      </c>
      <c r="C612" s="1" t="n"/>
      <c r="D612" s="14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99" t="n">
        <v>653011</v>
      </c>
      <c r="B613" s="103" t="inlineStr">
        <is>
          <t>odzob samen sterk in buitengebied</t>
        </is>
      </c>
      <c r="C613" s="1" t="n"/>
      <c r="D613" s="14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99" t="n">
        <v>653012</v>
      </c>
      <c r="B614" s="99" t="inlineStr">
        <is>
          <t>uitvoering urgentieverordening</t>
        </is>
      </c>
      <c r="C614" s="1" t="n"/>
      <c r="D614" s="14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99" t="n">
        <v>653013</v>
      </c>
      <c r="B615" s="99" t="inlineStr">
        <is>
          <t>woningbouwversnelling</t>
        </is>
      </c>
      <c r="C615" s="1" t="n"/>
      <c r="D615" s="14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99" t="n">
        <v>653014</v>
      </c>
      <c r="B616" s="99" t="inlineStr">
        <is>
          <t>leefbare en duurzame wijken</t>
        </is>
      </c>
      <c r="C616" s="1" t="n"/>
      <c r="D616" s="14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99" t="n">
        <v>653901</v>
      </c>
      <c r="B617" s="99" t="inlineStr">
        <is>
          <t>directe toerek wonen en bouwen</t>
        </is>
      </c>
      <c r="C617" s="1" t="n"/>
      <c r="D617" s="14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99" t="n">
        <v>653902</v>
      </c>
      <c r="B618" s="99" t="inlineStr">
        <is>
          <t>directe toerek verg wonen titel 2</t>
        </is>
      </c>
      <c r="C618" s="1" t="n"/>
      <c r="D618" s="14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99" t="n">
        <v>678001</v>
      </c>
      <c r="B619" s="99" t="inlineStr">
        <is>
          <t>hulpmiddelen rolstoelen</t>
        </is>
      </c>
      <c r="C619" s="1" t="n"/>
      <c r="D619" s="14" t="inlineStr">
        <is>
          <t>sociaal domein</t>
        </is>
      </c>
      <c r="E619" s="99" t="inlineStr">
        <is>
          <t>T660</t>
        </is>
      </c>
      <c r="F619" s="99" t="inlineStr">
        <is>
          <t>hulpmiddelen en diensten</t>
        </is>
      </c>
    </row>
    <row r="620">
      <c r="A620" s="99" t="n">
        <v>678002</v>
      </c>
      <c r="B620" s="99" t="inlineStr">
        <is>
          <t>coll vaagafhankelijk vervoer</t>
        </is>
      </c>
      <c r="C620" s="1" t="n"/>
      <c r="D620" s="14" t="inlineStr">
        <is>
          <t>sociaal domein</t>
        </is>
      </c>
      <c r="E620" s="99" t="inlineStr">
        <is>
          <t>T660</t>
        </is>
      </c>
      <c r="F620" s="99" t="inlineStr">
        <is>
          <t>hulpmiddelen en diensten</t>
        </is>
      </c>
    </row>
    <row r="621">
      <c r="A621" s="99" t="n">
        <v>678003</v>
      </c>
      <c r="B621" s="99" t="inlineStr">
        <is>
          <t>hulpmiddelen vervoersvoorzieningen</t>
        </is>
      </c>
      <c r="C621" s="1" t="n"/>
      <c r="D621" s="14" t="inlineStr">
        <is>
          <t>sociaal domein</t>
        </is>
      </c>
      <c r="E621" s="99" t="inlineStr">
        <is>
          <t>T660</t>
        </is>
      </c>
      <c r="F621" s="99" t="inlineStr">
        <is>
          <t>hulpmiddelen en diensten</t>
        </is>
      </c>
    </row>
    <row r="622">
      <c r="A622" s="99" t="n">
        <v>678004</v>
      </c>
      <c r="B622" s="99" t="inlineStr">
        <is>
          <t>gehandicaptenparkeerkaart</t>
        </is>
      </c>
      <c r="C622" s="1" t="n"/>
      <c r="D622" s="14" t="inlineStr">
        <is>
          <t>sociaal domein</t>
        </is>
      </c>
      <c r="E622" s="99" t="inlineStr">
        <is>
          <t>T660</t>
        </is>
      </c>
      <c r="F622" s="99" t="inlineStr">
        <is>
          <t>hulpmiddelen en diensten</t>
        </is>
      </c>
    </row>
    <row r="623">
      <c r="A623" s="99" t="n">
        <v>678005</v>
      </c>
      <c r="B623" s="99" t="inlineStr">
        <is>
          <t>aanpassing hulpmiddelen</t>
        </is>
      </c>
      <c r="C623" s="1" t="n"/>
      <c r="D623" s="14" t="inlineStr">
        <is>
          <t>sociaal domein</t>
        </is>
      </c>
      <c r="E623" s="99" t="inlineStr">
        <is>
          <t>T660</t>
        </is>
      </c>
      <c r="F623" s="99" t="inlineStr">
        <is>
          <t>hulpmiddelen en diensten</t>
        </is>
      </c>
    </row>
    <row r="624">
      <c r="A624" s="99" t="n">
        <v>678006</v>
      </c>
      <c r="B624" s="99" t="inlineStr">
        <is>
          <t>hulpmiddelen woonvoorziengen</t>
        </is>
      </c>
      <c r="C624" s="1" t="n"/>
      <c r="D624" s="14" t="inlineStr">
        <is>
          <t>sociaal domein</t>
        </is>
      </c>
      <c r="E624" s="99" t="inlineStr">
        <is>
          <t>T660</t>
        </is>
      </c>
      <c r="F624" s="99" t="inlineStr">
        <is>
          <t>hulpmiddelen en diensten</t>
        </is>
      </c>
    </row>
    <row r="625">
      <c r="A625" s="99" t="n">
        <v>678007</v>
      </c>
      <c r="B625" s="99" t="inlineStr">
        <is>
          <t>trapliften</t>
        </is>
      </c>
      <c r="C625" s="1" t="n"/>
      <c r="D625" s="14" t="inlineStr">
        <is>
          <t>sociaal domein</t>
        </is>
      </c>
      <c r="E625" s="99" t="inlineStr">
        <is>
          <t>T660</t>
        </is>
      </c>
      <c r="F625" s="99" t="inlineStr">
        <is>
          <t>hulpmiddelen en diensten</t>
        </is>
      </c>
    </row>
    <row r="626">
      <c r="A626" s="99" t="n">
        <v>678008</v>
      </c>
      <c r="B626" s="99" t="inlineStr">
        <is>
          <t>woningaanpassingen</t>
        </is>
      </c>
      <c r="C626" s="1" t="n"/>
      <c r="D626" s="14" t="inlineStr">
        <is>
          <t>sociaal domein</t>
        </is>
      </c>
      <c r="E626" s="99" t="inlineStr">
        <is>
          <t>T660</t>
        </is>
      </c>
      <c r="F626" s="99" t="inlineStr">
        <is>
          <t>hulpmiddelen en diensten</t>
        </is>
      </c>
    </row>
    <row r="627">
      <c r="A627" s="99" t="n">
        <v>678009</v>
      </c>
      <c r="B627" s="99" t="inlineStr">
        <is>
          <t>sociaal medische adviezen</t>
        </is>
      </c>
      <c r="C627" s="1" t="n"/>
      <c r="D627" s="14" t="inlineStr">
        <is>
          <t>sociaal domein</t>
        </is>
      </c>
      <c r="E627" s="99" t="inlineStr">
        <is>
          <t>T660</t>
        </is>
      </c>
      <c r="F627" s="99" t="inlineStr">
        <is>
          <t>hulpmiddelen en diensten</t>
        </is>
      </c>
    </row>
    <row r="628">
      <c r="A628" s="99" t="n">
        <v>678010</v>
      </c>
      <c r="B628" s="103" t="inlineStr">
        <is>
          <t>uitvoeringskosten nota moz</t>
        </is>
      </c>
      <c r="C628" s="1" t="n"/>
      <c r="D628" s="14" t="inlineStr">
        <is>
          <t>sociaal domein</t>
        </is>
      </c>
      <c r="E628" s="99" t="inlineStr">
        <is>
          <t>T660</t>
        </is>
      </c>
      <c r="F628" s="99" t="inlineStr">
        <is>
          <t>hulpmiddelen en diensten</t>
        </is>
      </c>
    </row>
    <row r="629">
      <c r="A629" s="99" t="n">
        <v>678011</v>
      </c>
      <c r="B629" s="103" t="inlineStr">
        <is>
          <t>uitvoeringskosten nota wonen en zorg</t>
        </is>
      </c>
      <c r="C629" s="1" t="n"/>
      <c r="D629" s="14" t="inlineStr">
        <is>
          <t>sociaal domein</t>
        </is>
      </c>
      <c r="E629" s="99" t="inlineStr">
        <is>
          <t>T660</t>
        </is>
      </c>
      <c r="F629" s="99" t="inlineStr">
        <is>
          <t>hulpmiddelen en diensten</t>
        </is>
      </c>
    </row>
    <row r="630">
      <c r="A630" s="99" t="n">
        <v>678901</v>
      </c>
      <c r="B630" s="99" t="inlineStr">
        <is>
          <t>directe toerek maatw voorz wmo</t>
        </is>
      </c>
      <c r="C630" s="1" t="n"/>
      <c r="D630" s="14" t="inlineStr">
        <is>
          <t>sociaal domein</t>
        </is>
      </c>
      <c r="E630" s="99" t="inlineStr">
        <is>
          <t>T660</t>
        </is>
      </c>
      <c r="F630" s="99" t="inlineStr">
        <is>
          <t>hulpmiddelen en diensten</t>
        </is>
      </c>
    </row>
    <row r="631">
      <c r="A631" s="99" t="n">
        <v>679001</v>
      </c>
      <c r="B631" s="1" t="inlineStr">
        <is>
          <t>huishoudelijke ondersteuning</t>
        </is>
      </c>
      <c r="C631" s="1" t="n"/>
      <c r="D631" s="14" t="inlineStr">
        <is>
          <t>sociaal domein</t>
        </is>
      </c>
      <c r="E631" s="99" t="inlineStr">
        <is>
          <t>T6711</t>
        </is>
      </c>
      <c r="F631" s="99" t="inlineStr">
        <is>
          <t>huishoudelijke hulp (wmo)</t>
        </is>
      </c>
    </row>
    <row r="632">
      <c r="A632" s="99" t="n">
        <v>679002</v>
      </c>
      <c r="B632" s="1" t="inlineStr">
        <is>
          <t>eigen bijdr huishoudlk ondersteuning</t>
        </is>
      </c>
      <c r="C632" s="1" t="n"/>
      <c r="D632" s="14" t="inlineStr">
        <is>
          <t>sociaal domein</t>
        </is>
      </c>
      <c r="E632" s="99" t="inlineStr">
        <is>
          <t>T6711</t>
        </is>
      </c>
      <c r="F632" s="99" t="inlineStr">
        <is>
          <t>huishoudelijke hulp (wmo)</t>
        </is>
      </c>
    </row>
    <row r="633">
      <c r="A633" s="99" t="n">
        <v>679901</v>
      </c>
      <c r="B633" s="1" t="inlineStr">
        <is>
          <t>directe toerek hulp huishouden (wmo)</t>
        </is>
      </c>
      <c r="C633" s="1" t="n"/>
      <c r="D633" s="14" t="inlineStr">
        <is>
          <t>sociaal domein</t>
        </is>
      </c>
      <c r="E633" s="99" t="inlineStr">
        <is>
          <t>T6711</t>
        </is>
      </c>
      <c r="F633" s="99" t="inlineStr">
        <is>
          <t>huishoudelijke hulp (wmo)</t>
        </is>
      </c>
    </row>
    <row r="634">
      <c r="A634" s="99" t="n">
        <v>680001</v>
      </c>
      <c r="B634" s="108" t="inlineStr">
        <is>
          <t>wmo begeleiding</t>
        </is>
      </c>
      <c r="C634" s="1" t="n"/>
      <c r="D634" s="14" t="inlineStr">
        <is>
          <t>sociaal domein</t>
        </is>
      </c>
      <c r="E634" s="99" t="inlineStr">
        <is>
          <t>T6712</t>
        </is>
      </c>
      <c r="F634" s="99" t="inlineStr">
        <is>
          <t>begeleiding (wmo)</t>
        </is>
      </c>
    </row>
    <row r="635">
      <c r="A635" s="99" t="n">
        <v>680002</v>
      </c>
      <c r="B635" s="108" t="inlineStr">
        <is>
          <t>eigen bijdr wmo begeleiding</t>
        </is>
      </c>
      <c r="C635" s="1" t="n"/>
      <c r="D635" s="14" t="inlineStr">
        <is>
          <t>sociaal domein</t>
        </is>
      </c>
      <c r="E635" s="99" t="inlineStr">
        <is>
          <t>T6712</t>
        </is>
      </c>
      <c r="F635" s="99" t="inlineStr">
        <is>
          <t>begeleiding (wmo)</t>
        </is>
      </c>
    </row>
    <row r="636">
      <c r="A636" s="99" t="n">
        <v>680901</v>
      </c>
      <c r="B636" s="1" t="inlineStr">
        <is>
          <t>directe toerek begeleiding (wmo)</t>
        </is>
      </c>
      <c r="C636" s="1" t="n"/>
      <c r="D636" s="14" t="inlineStr">
        <is>
          <t>sociaal domein</t>
        </is>
      </c>
      <c r="E636" s="99" t="inlineStr">
        <is>
          <t>T6712</t>
        </is>
      </c>
      <c r="F636" s="99" t="inlineStr">
        <is>
          <t>begeleiding (wmo)</t>
        </is>
      </c>
    </row>
    <row r="637">
      <c r="A637" s="99" t="n">
        <v>681001</v>
      </c>
      <c r="B637" s="108" t="inlineStr">
        <is>
          <t>wmo dagbesteding</t>
        </is>
      </c>
      <c r="C637" s="1" t="n"/>
      <c r="D637" s="14" t="inlineStr">
        <is>
          <t>sociaal domein</t>
        </is>
      </c>
      <c r="E637" s="99" t="inlineStr">
        <is>
          <t>T6713</t>
        </is>
      </c>
      <c r="F637" s="99" t="inlineStr">
        <is>
          <t>dagbesteding (wmo)</t>
        </is>
      </c>
    </row>
    <row r="638">
      <c r="A638" s="99" t="n">
        <v>681002</v>
      </c>
      <c r="B638" s="108" t="inlineStr">
        <is>
          <t>inloopfunctie ggz</t>
        </is>
      </c>
      <c r="C638" s="1" t="n"/>
      <c r="D638" s="14" t="inlineStr">
        <is>
          <t>sociaal domein</t>
        </is>
      </c>
      <c r="E638" s="99" t="inlineStr">
        <is>
          <t>T6713</t>
        </is>
      </c>
      <c r="F638" s="99" t="inlineStr">
        <is>
          <t>dagbesteding (wmo)</t>
        </is>
      </c>
    </row>
    <row r="639">
      <c r="A639" s="99" t="n">
        <v>681901</v>
      </c>
      <c r="B639" s="1" t="inlineStr">
        <is>
          <t>directe toerek dagbesteding (wmo)</t>
        </is>
      </c>
      <c r="C639" s="1" t="n"/>
      <c r="D639" s="14" t="inlineStr">
        <is>
          <t>sociaal domein</t>
        </is>
      </c>
      <c r="E639" s="99" t="inlineStr">
        <is>
          <t>T6713</t>
        </is>
      </c>
      <c r="F639" s="99" t="inlineStr">
        <is>
          <t>dagbesteding (wmo)</t>
        </is>
      </c>
    </row>
    <row r="640">
      <c r="A640" s="99" t="n">
        <v>682001</v>
      </c>
      <c r="B640" s="108" t="inlineStr">
        <is>
          <t>overige maatwerkarrangementen wmo</t>
        </is>
      </c>
      <c r="C640" s="1" t="n"/>
      <c r="D640" s="14" t="inlineStr">
        <is>
          <t>sociaal domein</t>
        </is>
      </c>
      <c r="E640" s="99" t="inlineStr">
        <is>
          <t>T6714</t>
        </is>
      </c>
      <c r="F640" s="99" t="inlineStr">
        <is>
          <t>overige maatwerkarrangementen (wmo)</t>
        </is>
      </c>
    </row>
    <row r="641">
      <c r="A641" s="99" t="n">
        <v>682901</v>
      </c>
      <c r="B641" s="1" t="inlineStr">
        <is>
          <t>directe toerek ov maatwerkarrangem</t>
        </is>
      </c>
      <c r="C641" s="1" t="n"/>
      <c r="D641" s="14" t="inlineStr">
        <is>
          <t>sociaal domein</t>
        </is>
      </c>
      <c r="E641" s="99" t="inlineStr">
        <is>
          <t>T6714</t>
        </is>
      </c>
      <c r="F641" s="99" t="inlineStr">
        <is>
          <t>overige maatwerkarrangementen (wmo)</t>
        </is>
      </c>
    </row>
    <row r="642">
      <c r="A642" s="99" t="n">
        <v>683001</v>
      </c>
      <c r="B642" s="120" t="inlineStr">
        <is>
          <t>pgb's op grond van de wmo</t>
        </is>
      </c>
      <c r="C642" s="1" t="n"/>
      <c r="D642" s="14" t="inlineStr">
        <is>
          <t>sociaal domein</t>
        </is>
      </c>
      <c r="E642" s="99" t="inlineStr">
        <is>
          <t>T6791</t>
        </is>
      </c>
      <c r="F642" s="99" t="inlineStr">
        <is>
          <t>pgb wmo</t>
        </is>
      </c>
    </row>
    <row r="643">
      <c r="A643" s="99" t="n">
        <v>683901</v>
      </c>
      <c r="B643" s="120" t="inlineStr">
        <is>
          <t>directe toerek pgb's wmo</t>
        </is>
      </c>
      <c r="C643" s="1" t="n"/>
      <c r="D643" s="14" t="inlineStr">
        <is>
          <t>sociaal domein</t>
        </is>
      </c>
      <c r="E643" s="99" t="inlineStr">
        <is>
          <t>T6791</t>
        </is>
      </c>
      <c r="F643" s="99" t="inlineStr">
        <is>
          <t>pgb wmo</t>
        </is>
      </c>
    </row>
    <row r="644">
      <c r="A644" s="99" t="n">
        <v>684901</v>
      </c>
      <c r="B644" s="120" t="inlineStr">
        <is>
          <t>directe toerek perslstn wmo</t>
        </is>
      </c>
      <c r="C644" s="1" t="n"/>
      <c r="D644" s="14" t="inlineStr">
        <is>
          <t>sociaal domein</t>
        </is>
      </c>
      <c r="E644" s="99" t="inlineStr">
        <is>
          <t>T691</t>
        </is>
      </c>
      <c r="F644" s="99" t="inlineStr">
        <is>
          <t>coordinatie en beleid wmo</t>
        </is>
      </c>
    </row>
    <row r="645">
      <c r="A645" s="99" t="n">
        <v>685001</v>
      </c>
      <c r="B645" s="108" t="inlineStr">
        <is>
          <t>wmo beschermd wonen</t>
        </is>
      </c>
      <c r="C645" s="1" t="n"/>
      <c r="D645" s="14" t="inlineStr">
        <is>
          <t>sociaal domein</t>
        </is>
      </c>
      <c r="E645" s="99" t="inlineStr">
        <is>
          <t>T6811</t>
        </is>
      </c>
      <c r="F645" s="99" t="inlineStr">
        <is>
          <t>beschermd women (wmo)</t>
        </is>
      </c>
    </row>
    <row r="646">
      <c r="A646" s="99" t="n">
        <v>685901</v>
      </c>
      <c r="B646" s="1" t="inlineStr">
        <is>
          <t>directe toerek beschermd wonen</t>
        </is>
      </c>
      <c r="C646" s="1" t="n"/>
      <c r="D646" s="14" t="inlineStr">
        <is>
          <t>sociaal domein</t>
        </is>
      </c>
      <c r="E646" s="99" t="inlineStr">
        <is>
          <t>T6811</t>
        </is>
      </c>
      <c r="F646" s="99" t="inlineStr">
        <is>
          <t>beschermd women (wmo)</t>
        </is>
      </c>
    </row>
    <row r="647">
      <c r="A647" s="99" t="n">
        <v>686001</v>
      </c>
      <c r="B647" s="108" t="inlineStr">
        <is>
          <t>maatschappelijke- en vrouwenopvang</t>
        </is>
      </c>
      <c r="C647" s="1" t="n"/>
      <c r="D647" s="14" t="inlineStr">
        <is>
          <t>sociaal domein</t>
        </is>
      </c>
      <c r="E647" s="99" t="inlineStr">
        <is>
          <t>T6812</t>
        </is>
      </c>
      <c r="F647" s="99" t="inlineStr">
        <is>
          <t>maatschappelijke- en vrouwenopvang (wmo)</t>
        </is>
      </c>
    </row>
    <row r="648">
      <c r="A648" s="99" t="n">
        <v>686901</v>
      </c>
      <c r="B648" s="1" t="inlineStr">
        <is>
          <t>directe toerek maatschap/vrouwenopv</t>
        </is>
      </c>
      <c r="C648" s="1" t="n"/>
      <c r="D648" s="14" t="inlineStr">
        <is>
          <t>sociaal domein</t>
        </is>
      </c>
      <c r="E648" s="99" t="inlineStr">
        <is>
          <t>T6812</t>
        </is>
      </c>
      <c r="F648" s="99" t="inlineStr">
        <is>
          <t>maatschappelijke- en vrouwenopvang (wmo)</t>
        </is>
      </c>
    </row>
    <row r="649">
      <c r="A649" s="99" t="n">
        <v>687001</v>
      </c>
      <c r="B649" s="120" t="inlineStr">
        <is>
          <t>jeugdhulp begeleiding lokaal</t>
        </is>
      </c>
      <c r="C649" s="1" t="n"/>
      <c r="D649" s="14" t="inlineStr">
        <is>
          <t>sociaal domein</t>
        </is>
      </c>
      <c r="E649" s="99" t="inlineStr">
        <is>
          <t>T6751</t>
        </is>
      </c>
      <c r="F649" s="99" t="inlineStr">
        <is>
          <t>jeugdhulp ambulant lokaal</t>
        </is>
      </c>
    </row>
    <row r="650">
      <c r="A650" s="99" t="n">
        <v>687002</v>
      </c>
      <c r="B650" s="108" t="inlineStr">
        <is>
          <t>jeugdhulp behandeling lokaal</t>
        </is>
      </c>
      <c r="C650" s="1" t="n"/>
      <c r="D650" s="14" t="inlineStr">
        <is>
          <t>sociaal domein</t>
        </is>
      </c>
      <c r="E650" s="99" t="inlineStr">
        <is>
          <t>T6751</t>
        </is>
      </c>
      <c r="F650" s="99" t="inlineStr">
        <is>
          <t>jeugdhulp ambulant lokaal</t>
        </is>
      </c>
    </row>
    <row r="651">
      <c r="A651" s="99" t="n">
        <v>687003</v>
      </c>
      <c r="B651" s="108" t="inlineStr">
        <is>
          <t>jeugdhulp dagbesteding lokaal</t>
        </is>
      </c>
      <c r="C651" s="1" t="n"/>
      <c r="D651" s="14" t="inlineStr">
        <is>
          <t>sociaal domein</t>
        </is>
      </c>
      <c r="E651" s="99" t="inlineStr">
        <is>
          <t>T6751</t>
        </is>
      </c>
      <c r="F651" s="99" t="inlineStr">
        <is>
          <t>jeugdhulp ambulant lokaal</t>
        </is>
      </c>
    </row>
    <row r="652">
      <c r="A652" s="99" t="n">
        <v>687004</v>
      </c>
      <c r="B652" s="108" t="inlineStr">
        <is>
          <t>ov jeugdhulp zond verbl lokaal</t>
        </is>
      </c>
      <c r="C652" s="1" t="n"/>
      <c r="D652" s="14" t="inlineStr">
        <is>
          <t>sociaal domein</t>
        </is>
      </c>
      <c r="E652" s="99" t="inlineStr">
        <is>
          <t>T6751</t>
        </is>
      </c>
      <c r="F652" s="99" t="inlineStr">
        <is>
          <t>jeugdhulp ambulant lokaal</t>
        </is>
      </c>
    </row>
    <row r="653">
      <c r="A653" s="99" t="n">
        <v>687005</v>
      </c>
      <c r="B653" s="108" t="inlineStr">
        <is>
          <t>jeugdhulp ggz zond verbl lokaal</t>
        </is>
      </c>
      <c r="C653" s="1" t="n"/>
      <c r="D653" s="14" t="inlineStr">
        <is>
          <t>sociaal domein</t>
        </is>
      </c>
      <c r="E653" s="99" t="inlineStr">
        <is>
          <t>T6751</t>
        </is>
      </c>
      <c r="F653" s="99" t="inlineStr">
        <is>
          <t>jeugdhulp ambulant lokaal</t>
        </is>
      </c>
    </row>
    <row r="654">
      <c r="A654" s="99" t="n">
        <v>687901</v>
      </c>
      <c r="B654" s="120" t="inlineStr">
        <is>
          <t>directe toerek jeugdhulp amb lokaal</t>
        </is>
      </c>
      <c r="C654" s="1" t="n"/>
      <c r="D654" s="14" t="inlineStr">
        <is>
          <t>sociaal domein</t>
        </is>
      </c>
      <c r="E654" s="99" t="inlineStr">
        <is>
          <t>T6751</t>
        </is>
      </c>
      <c r="F654" s="99" t="inlineStr">
        <is>
          <t>jeugdhulp ambulant lokaal</t>
        </is>
      </c>
    </row>
    <row r="655">
      <c r="A655" s="99" t="n">
        <v>688001</v>
      </c>
      <c r="B655" s="120" t="inlineStr">
        <is>
          <t>jeugdhulp begeleiding regionaal</t>
        </is>
      </c>
      <c r="C655" s="1" t="n"/>
      <c r="D655" s="14" t="inlineStr">
        <is>
          <t>sociaal domein</t>
        </is>
      </c>
      <c r="E655" s="99" t="inlineStr">
        <is>
          <t>T6752</t>
        </is>
      </c>
      <c r="F655" s="99" t="inlineStr">
        <is>
          <t>jeugdhulp ambulant regionaal</t>
        </is>
      </c>
    </row>
    <row r="656">
      <c r="A656" s="99" t="n">
        <v>688002</v>
      </c>
      <c r="B656" s="108" t="inlineStr">
        <is>
          <t>jeugdhulp behandeling regionaal</t>
        </is>
      </c>
      <c r="C656" s="1" t="n"/>
      <c r="D656" s="14" t="inlineStr">
        <is>
          <t>sociaal domein</t>
        </is>
      </c>
      <c r="E656" s="99" t="inlineStr">
        <is>
          <t>T6752</t>
        </is>
      </c>
      <c r="F656" s="99" t="inlineStr">
        <is>
          <t>jeugdhulp ambulant regionaal</t>
        </is>
      </c>
    </row>
    <row r="657">
      <c r="A657" s="99" t="n">
        <v>688003</v>
      </c>
      <c r="B657" s="108" t="inlineStr">
        <is>
          <t>jeugdhulp dagbesteding regionaal</t>
        </is>
      </c>
      <c r="C657" s="1" t="n"/>
      <c r="D657" s="14" t="inlineStr">
        <is>
          <t>sociaal domein</t>
        </is>
      </c>
      <c r="E657" s="99" t="inlineStr">
        <is>
          <t>T6752</t>
        </is>
      </c>
      <c r="F657" s="99" t="inlineStr">
        <is>
          <t>jeugdhulp ambulant regionaal</t>
        </is>
      </c>
    </row>
    <row r="658">
      <c r="A658" s="99" t="n">
        <v>688004</v>
      </c>
      <c r="B658" s="108" t="inlineStr">
        <is>
          <t>ov jeugdhulp zond verbl regionaal</t>
        </is>
      </c>
      <c r="C658" s="1" t="n"/>
      <c r="D658" s="14" t="inlineStr">
        <is>
          <t>sociaal domein</t>
        </is>
      </c>
      <c r="E658" s="99" t="inlineStr">
        <is>
          <t>T6752</t>
        </is>
      </c>
      <c r="F658" s="99" t="inlineStr">
        <is>
          <t>jeugdhulp ambulant regionaal</t>
        </is>
      </c>
    </row>
    <row r="659">
      <c r="A659" s="99" t="n">
        <v>688005</v>
      </c>
      <c r="B659" s="108" t="inlineStr">
        <is>
          <t>jeugdhulp ggz zond verbl regionaal</t>
        </is>
      </c>
      <c r="C659" s="1" t="n"/>
      <c r="D659" s="14" t="inlineStr">
        <is>
          <t>sociaal domein</t>
        </is>
      </c>
      <c r="E659" s="99" t="inlineStr">
        <is>
          <t>T6752</t>
        </is>
      </c>
      <c r="F659" s="99" t="inlineStr">
        <is>
          <t>jeugdhulp ambulant regionaal</t>
        </is>
      </c>
    </row>
    <row r="660">
      <c r="A660" s="99" t="n">
        <v>688006</v>
      </c>
      <c r="B660" s="108" t="inlineStr">
        <is>
          <t>sociaal medische adviezen jeugd</t>
        </is>
      </c>
      <c r="C660" s="1" t="n"/>
      <c r="D660" s="14" t="inlineStr">
        <is>
          <t>sociaal domein</t>
        </is>
      </c>
      <c r="E660" s="99" t="inlineStr">
        <is>
          <t>T6752</t>
        </is>
      </c>
      <c r="F660" s="99" t="inlineStr">
        <is>
          <t>jeugdhulp ambulant regionaal</t>
        </is>
      </c>
    </row>
    <row r="661">
      <c r="A661" s="99" t="n">
        <v>688901</v>
      </c>
      <c r="B661" s="120" t="inlineStr">
        <is>
          <t>directe toerek jeugdhulp amb regionl</t>
        </is>
      </c>
      <c r="C661" s="1" t="n"/>
      <c r="D661" s="14" t="inlineStr">
        <is>
          <t>sociaal domein</t>
        </is>
      </c>
      <c r="E661" s="99" t="inlineStr">
        <is>
          <t>T6752</t>
        </is>
      </c>
      <c r="F661" s="99" t="inlineStr">
        <is>
          <t>jeugdhulp ambulant regionaal</t>
        </is>
      </c>
    </row>
    <row r="662">
      <c r="A662" s="99" t="n">
        <v>689001</v>
      </c>
      <c r="B662" s="120" t="inlineStr">
        <is>
          <t>jeugdhulp begeleiding landelijk</t>
        </is>
      </c>
      <c r="C662" s="1" t="n"/>
      <c r="D662" s="14" t="inlineStr">
        <is>
          <t>sociaal domein</t>
        </is>
      </c>
      <c r="E662" s="99" t="inlineStr">
        <is>
          <t>T6753</t>
        </is>
      </c>
      <c r="F662" s="99" t="inlineStr">
        <is>
          <t>jeugdhulp ambulant landelijk</t>
        </is>
      </c>
    </row>
    <row r="663">
      <c r="A663" s="99" t="n">
        <v>689002</v>
      </c>
      <c r="B663" s="108" t="inlineStr">
        <is>
          <t>jeugdhulp behandeling landelijk</t>
        </is>
      </c>
      <c r="C663" s="1" t="n"/>
      <c r="D663" s="14" t="inlineStr">
        <is>
          <t>sociaal domein</t>
        </is>
      </c>
      <c r="E663" s="99" t="inlineStr">
        <is>
          <t>T6753</t>
        </is>
      </c>
      <c r="F663" s="99" t="inlineStr">
        <is>
          <t>jeugdhulp ambulant landelijk</t>
        </is>
      </c>
    </row>
    <row r="664">
      <c r="A664" s="99" t="n">
        <v>689003</v>
      </c>
      <c r="B664" s="108" t="inlineStr">
        <is>
          <t>jeugdhulp dagbesteding landelijk</t>
        </is>
      </c>
      <c r="C664" s="1" t="n"/>
      <c r="D664" s="14" t="inlineStr">
        <is>
          <t>sociaal domein</t>
        </is>
      </c>
      <c r="E664" s="99" t="inlineStr">
        <is>
          <t>T6753</t>
        </is>
      </c>
      <c r="F664" s="99" t="inlineStr">
        <is>
          <t>jeugdhulp ambulant landelijk</t>
        </is>
      </c>
    </row>
    <row r="665">
      <c r="A665" s="99" t="n">
        <v>689004</v>
      </c>
      <c r="B665" s="108" t="inlineStr">
        <is>
          <t>ov jeugdhulp zond verbl landelijk</t>
        </is>
      </c>
      <c r="C665" s="1" t="n"/>
      <c r="D665" s="14" t="inlineStr">
        <is>
          <t>sociaal domein</t>
        </is>
      </c>
      <c r="E665" s="99" t="inlineStr">
        <is>
          <t>T6753</t>
        </is>
      </c>
      <c r="F665" s="99" t="inlineStr">
        <is>
          <t>jeugdhulp ambulant landelijk</t>
        </is>
      </c>
    </row>
    <row r="666">
      <c r="A666" s="99" t="n">
        <v>689005</v>
      </c>
      <c r="B666" s="108" t="inlineStr">
        <is>
          <t>jeugdhulp ggz zond verbl landelijk</t>
        </is>
      </c>
      <c r="C666" s="1" t="n"/>
      <c r="D666" s="14" t="inlineStr">
        <is>
          <t>sociaal domein</t>
        </is>
      </c>
      <c r="E666" s="99" t="inlineStr">
        <is>
          <t>T6753</t>
        </is>
      </c>
      <c r="F666" s="99" t="inlineStr">
        <is>
          <t>jeugdhulp ambulant landelijk</t>
        </is>
      </c>
    </row>
    <row r="667">
      <c r="A667" s="99" t="n">
        <v>689901</v>
      </c>
      <c r="B667" s="120" t="inlineStr">
        <is>
          <t>directe toerek jeugdhulp amb landelk</t>
        </is>
      </c>
      <c r="C667" s="1" t="n"/>
      <c r="D667" s="14" t="inlineStr">
        <is>
          <t>sociaal domein</t>
        </is>
      </c>
      <c r="E667" s="99" t="inlineStr">
        <is>
          <t>T6753</t>
        </is>
      </c>
      <c r="F667" s="99" t="inlineStr">
        <is>
          <t>jeugdhulp ambulant landelijk</t>
        </is>
      </c>
    </row>
    <row r="668">
      <c r="A668" s="99" t="n">
        <v>690001</v>
      </c>
      <c r="B668" s="120" t="inlineStr">
        <is>
          <t>pleegzorg verblijf lokaal</t>
        </is>
      </c>
      <c r="C668" s="1" t="n"/>
      <c r="D668" s="14" t="inlineStr">
        <is>
          <t>sociaal domein</t>
        </is>
      </c>
      <c r="E668" s="99" t="inlineStr">
        <is>
          <t>T6761</t>
        </is>
      </c>
      <c r="F668" s="99" t="inlineStr">
        <is>
          <t>jeugdhulp met verblijf lokaal</t>
        </is>
      </c>
    </row>
    <row r="669">
      <c r="A669" s="99" t="n">
        <v>690002</v>
      </c>
      <c r="B669" s="108" t="inlineStr">
        <is>
          <t>gezinsgerichte jeugdhulp lokaal</t>
        </is>
      </c>
      <c r="C669" s="1" t="n"/>
      <c r="D669" s="14" t="inlineStr">
        <is>
          <t>sociaal domein</t>
        </is>
      </c>
      <c r="E669" s="99" t="inlineStr">
        <is>
          <t>T6761</t>
        </is>
      </c>
      <c r="F669" s="99" t="inlineStr">
        <is>
          <t>jeugdhulp met verblijf lokaal</t>
        </is>
      </c>
    </row>
    <row r="670">
      <c r="A670" s="99" t="n">
        <v>690003</v>
      </c>
      <c r="B670" s="108" t="inlineStr">
        <is>
          <t>ov jeugdhulp met verblijf lokaal</t>
        </is>
      </c>
      <c r="C670" s="1" t="n"/>
      <c r="D670" s="14" t="inlineStr">
        <is>
          <t>sociaal domein</t>
        </is>
      </c>
      <c r="E670" s="99" t="inlineStr">
        <is>
          <t>T6761</t>
        </is>
      </c>
      <c r="F670" s="99" t="inlineStr">
        <is>
          <t>jeugdhulp met verblijf lokaal</t>
        </is>
      </c>
    </row>
    <row r="671">
      <c r="A671" s="99" t="n">
        <v>690004</v>
      </c>
      <c r="B671" s="108" t="inlineStr">
        <is>
          <t>crisis jeugdhulp lokaal</t>
        </is>
      </c>
      <c r="C671" s="1" t="n"/>
      <c r="D671" s="14" t="inlineStr">
        <is>
          <t>sociaal domein</t>
        </is>
      </c>
      <c r="E671" s="99" t="inlineStr">
        <is>
          <t>T6761</t>
        </is>
      </c>
      <c r="F671" s="99" t="inlineStr">
        <is>
          <t>jeugdhulp met verblijf lokaal</t>
        </is>
      </c>
    </row>
    <row r="672">
      <c r="A672" s="99" t="n">
        <v>690005</v>
      </c>
      <c r="B672" s="108" t="inlineStr">
        <is>
          <t>jeugdhulp ggz met verblijf lokaal</t>
        </is>
      </c>
      <c r="C672" s="1" t="n"/>
      <c r="D672" s="14" t="inlineStr">
        <is>
          <t>sociaal domein</t>
        </is>
      </c>
      <c r="E672" s="99" t="inlineStr">
        <is>
          <t>T6761</t>
        </is>
      </c>
      <c r="F672" s="99" t="inlineStr">
        <is>
          <t>jeugdhulp met verblijf lokaal</t>
        </is>
      </c>
    </row>
    <row r="673">
      <c r="A673" s="99" t="n">
        <v>690006</v>
      </c>
      <c r="B673" s="108" t="inlineStr">
        <is>
          <t>jeugdhulp gesloten plaatsing lokaal</t>
        </is>
      </c>
      <c r="C673" s="1" t="n"/>
      <c r="D673" s="14" t="inlineStr">
        <is>
          <t>sociaal domein</t>
        </is>
      </c>
      <c r="E673" s="99" t="inlineStr">
        <is>
          <t>T6761</t>
        </is>
      </c>
      <c r="F673" s="99" t="inlineStr">
        <is>
          <t>jeugdhulp met verblijf lokaal</t>
        </is>
      </c>
    </row>
    <row r="674">
      <c r="A674" s="99" t="n">
        <v>690901</v>
      </c>
      <c r="B674" s="120" t="inlineStr">
        <is>
          <t>directe toerek jeugdhulp verbl lok</t>
        </is>
      </c>
      <c r="C674" s="1" t="n"/>
      <c r="D674" s="14" t="inlineStr">
        <is>
          <t>sociaal domein</t>
        </is>
      </c>
      <c r="E674" s="99" t="inlineStr">
        <is>
          <t>T6761</t>
        </is>
      </c>
      <c r="F674" s="99" t="inlineStr">
        <is>
          <t>jeugdhulp met verblijf lokaal</t>
        </is>
      </c>
    </row>
    <row r="675">
      <c r="A675" s="99" t="n">
        <v>691001</v>
      </c>
      <c r="B675" s="120" t="inlineStr">
        <is>
          <t>pleegzorg verblijf regionaal</t>
        </is>
      </c>
      <c r="C675" s="1" t="n"/>
      <c r="D675" s="14" t="inlineStr">
        <is>
          <t>sociaal domein</t>
        </is>
      </c>
      <c r="E675" s="99" t="inlineStr">
        <is>
          <t>T6762</t>
        </is>
      </c>
      <c r="F675" s="99" t="inlineStr">
        <is>
          <t>jeugdhulp met verblijf regionaal</t>
        </is>
      </c>
    </row>
    <row r="676">
      <c r="A676" s="99" t="n">
        <v>691002</v>
      </c>
      <c r="B676" s="108" t="inlineStr">
        <is>
          <t>gezinsgerichte jeugdhulp regionaal</t>
        </is>
      </c>
      <c r="C676" s="1" t="n"/>
      <c r="D676" s="14" t="inlineStr">
        <is>
          <t>sociaal domein</t>
        </is>
      </c>
      <c r="E676" s="99" t="inlineStr">
        <is>
          <t>T6762</t>
        </is>
      </c>
      <c r="F676" s="99" t="inlineStr">
        <is>
          <t>jeugdhulp met verblijf regionaal</t>
        </is>
      </c>
    </row>
    <row r="677">
      <c r="A677" s="99" t="n">
        <v>691003</v>
      </c>
      <c r="B677" s="108" t="inlineStr">
        <is>
          <t>ov jeugdhulp met verblijf regionaal</t>
        </is>
      </c>
      <c r="C677" s="1" t="n"/>
      <c r="D677" s="14" t="inlineStr">
        <is>
          <t>sociaal domein</t>
        </is>
      </c>
      <c r="E677" s="99" t="inlineStr">
        <is>
          <t>T6762</t>
        </is>
      </c>
      <c r="F677" s="99" t="inlineStr">
        <is>
          <t>jeugdhulp met verblijf regionaal</t>
        </is>
      </c>
    </row>
    <row r="678">
      <c r="A678" s="99" t="n">
        <v>691004</v>
      </c>
      <c r="B678" s="108" t="inlineStr">
        <is>
          <t>crisis jeugdhulp regionaal</t>
        </is>
      </c>
      <c r="C678" s="1" t="n"/>
      <c r="D678" s="14" t="inlineStr">
        <is>
          <t>sociaal domein</t>
        </is>
      </c>
      <c r="E678" s="99" t="inlineStr">
        <is>
          <t>T6762</t>
        </is>
      </c>
      <c r="F678" s="99" t="inlineStr">
        <is>
          <t>jeugdhulp met verblijf regionaal</t>
        </is>
      </c>
    </row>
    <row r="679">
      <c r="A679" s="99" t="n">
        <v>691005</v>
      </c>
      <c r="B679" s="108" t="inlineStr">
        <is>
          <t>jeugdhulp ggz met verblijf regionaal</t>
        </is>
      </c>
      <c r="C679" s="1" t="n"/>
      <c r="D679" s="14" t="inlineStr">
        <is>
          <t>sociaal domein</t>
        </is>
      </c>
      <c r="E679" s="99" t="inlineStr">
        <is>
          <t>T6762</t>
        </is>
      </c>
      <c r="F679" s="99" t="inlineStr">
        <is>
          <t>jeugdhulp met verblijf regionaal</t>
        </is>
      </c>
    </row>
    <row r="680">
      <c r="A680" s="99" t="n">
        <v>691006</v>
      </c>
      <c r="B680" s="108" t="inlineStr">
        <is>
          <t>jeugdhulp gesloten plaatsing region</t>
        </is>
      </c>
      <c r="C680" s="1" t="n"/>
      <c r="D680" s="14" t="inlineStr">
        <is>
          <t>sociaal domein</t>
        </is>
      </c>
      <c r="E680" s="99" t="inlineStr">
        <is>
          <t>T6762</t>
        </is>
      </c>
      <c r="F680" s="99" t="inlineStr">
        <is>
          <t>jeugdhulp met verblijf regionaal</t>
        </is>
      </c>
    </row>
    <row r="681">
      <c r="A681" s="99" t="n">
        <v>691901</v>
      </c>
      <c r="B681" s="120" t="inlineStr">
        <is>
          <t>directe toerek jeugdhulp verbl regio</t>
        </is>
      </c>
      <c r="C681" s="1" t="n"/>
      <c r="D681" s="14" t="inlineStr">
        <is>
          <t>sociaal domein</t>
        </is>
      </c>
      <c r="E681" s="99" t="inlineStr">
        <is>
          <t>T6762</t>
        </is>
      </c>
      <c r="F681" s="99" t="inlineStr">
        <is>
          <t>jeugdhulp met verblijf regionaal</t>
        </is>
      </c>
    </row>
    <row r="682">
      <c r="A682" s="99" t="n">
        <v>692001</v>
      </c>
      <c r="B682" s="120" t="inlineStr">
        <is>
          <t>pleegzorg verblijf landelijk</t>
        </is>
      </c>
      <c r="C682" s="1" t="n"/>
      <c r="D682" s="14" t="inlineStr">
        <is>
          <t>sociaal domein</t>
        </is>
      </c>
      <c r="E682" s="99" t="inlineStr">
        <is>
          <t>T6763</t>
        </is>
      </c>
      <c r="F682" s="99" t="inlineStr">
        <is>
          <t>jeugdhulp met verblijf landelijk</t>
        </is>
      </c>
    </row>
    <row r="683">
      <c r="A683" s="99" t="n">
        <v>692002</v>
      </c>
      <c r="B683" s="108" t="inlineStr">
        <is>
          <t>gezinsgerichte jeugdhulp landelijk</t>
        </is>
      </c>
      <c r="C683" s="1" t="n"/>
      <c r="D683" s="14" t="inlineStr">
        <is>
          <t>sociaal domein</t>
        </is>
      </c>
      <c r="E683" s="99" t="inlineStr">
        <is>
          <t>T6763</t>
        </is>
      </c>
      <c r="F683" s="99" t="inlineStr">
        <is>
          <t>jeugdhulp met verblijf landelijk</t>
        </is>
      </c>
    </row>
    <row r="684">
      <c r="A684" s="99" t="n">
        <v>692003</v>
      </c>
      <c r="B684" s="108" t="inlineStr">
        <is>
          <t>ov jeugdhulp met verblijf landelijk</t>
        </is>
      </c>
      <c r="C684" s="1" t="n"/>
      <c r="D684" s="14" t="inlineStr">
        <is>
          <t>sociaal domein</t>
        </is>
      </c>
      <c r="E684" s="99" t="inlineStr">
        <is>
          <t>T6763</t>
        </is>
      </c>
      <c r="F684" s="99" t="inlineStr">
        <is>
          <t>jeugdhulp met verblijf landelijk</t>
        </is>
      </c>
    </row>
    <row r="685">
      <c r="A685" s="99" t="n">
        <v>692004</v>
      </c>
      <c r="B685" s="108" t="inlineStr">
        <is>
          <t>crisis jeugdhulp landelijk</t>
        </is>
      </c>
      <c r="C685" s="1" t="n"/>
      <c r="D685" s="14" t="inlineStr">
        <is>
          <t>sociaal domein</t>
        </is>
      </c>
      <c r="E685" s="99" t="inlineStr">
        <is>
          <t>T6763</t>
        </is>
      </c>
      <c r="F685" s="99" t="inlineStr">
        <is>
          <t>jeugdhulp met verblijf landelijk</t>
        </is>
      </c>
    </row>
    <row r="686">
      <c r="A686" s="99" t="n">
        <v>692005</v>
      </c>
      <c r="B686" s="108" t="inlineStr">
        <is>
          <t>jeugdhulp ggz met verblijf landelijk</t>
        </is>
      </c>
      <c r="C686" s="1" t="n"/>
      <c r="D686" s="14" t="inlineStr">
        <is>
          <t>sociaal domein</t>
        </is>
      </c>
      <c r="E686" s="99" t="inlineStr">
        <is>
          <t>T6763</t>
        </is>
      </c>
      <c r="F686" s="99" t="inlineStr">
        <is>
          <t>jeugdhulp met verblijf landelijk</t>
        </is>
      </c>
    </row>
    <row r="687">
      <c r="A687" s="99" t="n">
        <v>692006</v>
      </c>
      <c r="B687" s="108" t="inlineStr">
        <is>
          <t>jeugdhulp gesloten plaatsing landelk</t>
        </is>
      </c>
      <c r="C687" s="1" t="n"/>
      <c r="D687" s="14" t="inlineStr">
        <is>
          <t>sociaal domein</t>
        </is>
      </c>
      <c r="E687" s="99" t="inlineStr">
        <is>
          <t>T6763</t>
        </is>
      </c>
      <c r="F687" s="99" t="inlineStr">
        <is>
          <t>jeugdhulp met verblijf landelijk</t>
        </is>
      </c>
    </row>
    <row r="688">
      <c r="A688" s="99" t="n">
        <v>692901</v>
      </c>
      <c r="B688" s="120" t="inlineStr">
        <is>
          <t>directe toerek jeugdhulp verbl land</t>
        </is>
      </c>
      <c r="C688" s="1" t="n"/>
      <c r="D688" s="14" t="inlineStr">
        <is>
          <t>sociaal domein</t>
        </is>
      </c>
      <c r="E688" s="99" t="inlineStr">
        <is>
          <t>T6763</t>
        </is>
      </c>
      <c r="F688" s="99" t="inlineStr">
        <is>
          <t>jeugdhulp met verblijf landelijk</t>
        </is>
      </c>
    </row>
    <row r="689">
      <c r="A689" s="99" t="n">
        <v>693001</v>
      </c>
      <c r="B689" s="120" t="inlineStr">
        <is>
          <t>pgb's op grond van de jeugdwet</t>
        </is>
      </c>
      <c r="C689" s="1" t="n"/>
      <c r="D689" s="14" t="inlineStr">
        <is>
          <t>sociaal domein</t>
        </is>
      </c>
      <c r="E689" s="99" t="inlineStr">
        <is>
          <t>T6792</t>
        </is>
      </c>
      <c r="F689" s="99" t="inlineStr">
        <is>
          <t>pgb jeugd</t>
        </is>
      </c>
    </row>
    <row r="690">
      <c r="A690" s="99" t="n">
        <v>693901</v>
      </c>
      <c r="B690" s="120" t="inlineStr">
        <is>
          <t>directe toerek pgb jeugd</t>
        </is>
      </c>
      <c r="C690" s="1" t="n"/>
      <c r="D690" s="14" t="inlineStr">
        <is>
          <t>sociaal domein</t>
        </is>
      </c>
      <c r="E690" s="99" t="inlineStr">
        <is>
          <t>T6792</t>
        </is>
      </c>
      <c r="F690" s="99" t="inlineStr">
        <is>
          <t>pgb jeugd</t>
        </is>
      </c>
    </row>
    <row r="691">
      <c r="A691" s="99" t="n">
        <v>694901</v>
      </c>
      <c r="B691" s="120" t="inlineStr">
        <is>
          <t>directe toerek perslstn jeugd</t>
        </is>
      </c>
      <c r="C691" s="1" t="n"/>
      <c r="D691" s="14" t="inlineStr">
        <is>
          <t>sociaal domein</t>
        </is>
      </c>
      <c r="E691" s="99" t="inlineStr">
        <is>
          <t>T692</t>
        </is>
      </c>
      <c r="F691" s="99" t="inlineStr">
        <is>
          <t>coordinatie en beleid jeugd</t>
        </is>
      </c>
    </row>
    <row r="692">
      <c r="A692" s="99" t="n">
        <v>695001</v>
      </c>
      <c r="B692" s="108" t="inlineStr">
        <is>
          <t>jeugdbescherming</t>
        </is>
      </c>
      <c r="C692" s="1" t="n"/>
      <c r="D692" s="14" t="inlineStr">
        <is>
          <t>sociaal domein</t>
        </is>
      </c>
      <c r="E692" s="99" t="inlineStr">
        <is>
          <t>T6821</t>
        </is>
      </c>
      <c r="F692" s="99" t="inlineStr">
        <is>
          <t>jeugdbescherming</t>
        </is>
      </c>
    </row>
    <row r="693">
      <c r="A693" s="99" t="n">
        <v>695901</v>
      </c>
      <c r="B693" s="1" t="inlineStr">
        <is>
          <t>directe toerek jeugdbescherming</t>
        </is>
      </c>
      <c r="C693" s="1" t="n"/>
      <c r="D693" s="14" t="inlineStr">
        <is>
          <t>sociaal domein</t>
        </is>
      </c>
      <c r="E693" s="99" t="inlineStr">
        <is>
          <t>T6821</t>
        </is>
      </c>
      <c r="F693" s="99" t="inlineStr">
        <is>
          <t>jeugdbescherming</t>
        </is>
      </c>
    </row>
    <row r="694">
      <c r="A694" s="99" t="n">
        <v>696001</v>
      </c>
      <c r="B694" s="108" t="inlineStr">
        <is>
          <t>jeugdreclassering</t>
        </is>
      </c>
      <c r="C694" s="1" t="n"/>
      <c r="D694" s="14" t="inlineStr">
        <is>
          <t>sociaal domein</t>
        </is>
      </c>
      <c r="E694" s="99" t="inlineStr">
        <is>
          <t>T6822</t>
        </is>
      </c>
      <c r="F694" s="99" t="inlineStr">
        <is>
          <t>jeugdreclassering</t>
        </is>
      </c>
    </row>
    <row r="695">
      <c r="A695" s="99" t="n">
        <v>696901</v>
      </c>
      <c r="B695" s="1" t="inlineStr">
        <is>
          <t>directe toerek jeugdreclassering</t>
        </is>
      </c>
      <c r="C695" s="1" t="n"/>
      <c r="D695" s="14" t="inlineStr">
        <is>
          <t>sociaal domein</t>
        </is>
      </c>
      <c r="E695" s="99" t="inlineStr">
        <is>
          <t>T6822</t>
        </is>
      </c>
      <c r="F695" s="99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2026-06-26T13:55:09Z</dcterms:modified>
  <cp:lastModifiedBy>Monique Strik - van Rooij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