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</fonts>
  <fills count="3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699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groen'!M281</f>
        <v/>
      </c>
      <c r="E277" s="3">
        <f>+'Invullen groen'!H281</f>
        <v/>
      </c>
      <c r="F277" s="3">
        <f>+'Invullen groen'!I281</f>
        <v/>
      </c>
      <c r="G277" s="3">
        <f>+'Invullen groen'!J281</f>
        <v/>
      </c>
      <c r="H277" s="3">
        <f>+'Invullen groen'!K281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groen'!M282</f>
        <v/>
      </c>
      <c r="E278" s="3">
        <f>+'Invullen groen'!H282</f>
        <v/>
      </c>
      <c r="F278" s="3">
        <f>+'Invullen groen'!I282</f>
        <v/>
      </c>
      <c r="G278" s="3">
        <f>+'Invullen groen'!J282</f>
        <v/>
      </c>
      <c r="H278" s="3">
        <f>+'Invullen groen'!K282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groen'!M283</f>
        <v/>
      </c>
      <c r="E279" s="3">
        <f>+'Invullen groen'!H283</f>
        <v/>
      </c>
      <c r="F279" s="3">
        <f>+'Invullen groen'!I283</f>
        <v/>
      </c>
      <c r="G279" s="3">
        <f>+'Invullen groen'!J283</f>
        <v/>
      </c>
      <c r="H279" s="3">
        <f>+'Invullen groen'!K283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groen'!M284</f>
        <v/>
      </c>
      <c r="E280" s="3">
        <f>+'Invullen groen'!H284</f>
        <v/>
      </c>
      <c r="F280" s="3">
        <f>+'Invullen groen'!I284</f>
        <v/>
      </c>
      <c r="G280" s="3">
        <f>+'Invullen groen'!J284</f>
        <v/>
      </c>
      <c r="H280" s="3">
        <f>+'Invullen groen'!K284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groen'!M285</f>
        <v/>
      </c>
      <c r="E281" s="3">
        <f>+'Invullen groen'!H285</f>
        <v/>
      </c>
      <c r="F281" s="3">
        <f>+'Invullen groen'!I285</f>
        <v/>
      </c>
      <c r="G281" s="3">
        <f>+'Invullen groen'!J285</f>
        <v/>
      </c>
      <c r="H281" s="3">
        <f>+'Invullen groen'!K285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groen'!M286</f>
        <v/>
      </c>
      <c r="E282" s="3">
        <f>+'Invullen groen'!H286</f>
        <v/>
      </c>
      <c r="F282" s="3">
        <f>+'Invullen groen'!I286</f>
        <v/>
      </c>
      <c r="G282" s="3">
        <f>+'Invullen groen'!J286</f>
        <v/>
      </c>
      <c r="H282" s="3">
        <f>+'Invullen groen'!K286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groen'!M287</f>
        <v/>
      </c>
      <c r="E283" s="3">
        <f>+'Invullen groen'!H287</f>
        <v/>
      </c>
      <c r="F283" s="3">
        <f>+'Invullen groen'!I287</f>
        <v/>
      </c>
      <c r="G283" s="3">
        <f>+'Invullen groen'!J287</f>
        <v/>
      </c>
      <c r="H283" s="3">
        <f>+'Invullen groen'!K287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groen'!M288</f>
        <v/>
      </c>
      <c r="E284" s="3">
        <f>+'Invullen groen'!H288</f>
        <v/>
      </c>
      <c r="F284" s="3">
        <f>+'Invullen groen'!I288</f>
        <v/>
      </c>
      <c r="G284" s="3">
        <f>+'Invullen groen'!J288</f>
        <v/>
      </c>
      <c r="H284" s="3">
        <f>+'Invullen groen'!K288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groen'!M289</f>
        <v/>
      </c>
      <c r="E285" s="3">
        <f>+'Invullen groen'!H289</f>
        <v/>
      </c>
      <c r="F285" s="3">
        <f>+'Invullen groen'!I289</f>
        <v/>
      </c>
      <c r="G285" s="3">
        <f>+'Invullen groen'!J289</f>
        <v/>
      </c>
      <c r="H285" s="3">
        <f>+'Invullen groen'!K289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groen'!M290</f>
        <v/>
      </c>
      <c r="E286" s="3">
        <f>+'Invullen groen'!H290</f>
        <v/>
      </c>
      <c r="F286" s="3">
        <f>+'Invullen groen'!I290</f>
        <v/>
      </c>
      <c r="G286" s="3">
        <f>+'Invullen groen'!J290</f>
        <v/>
      </c>
      <c r="H286" s="3">
        <f>+'Invullen groen'!K290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groen'!M291</f>
        <v/>
      </c>
      <c r="E287" s="3">
        <f>+'Invullen groen'!H291</f>
        <v/>
      </c>
      <c r="F287" s="3">
        <f>+'Invullen groen'!I291</f>
        <v/>
      </c>
      <c r="G287" s="3">
        <f>+'Invullen groen'!J291</f>
        <v/>
      </c>
      <c r="H287" s="3">
        <f>+'Invullen groen'!K291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groen'!M292</f>
        <v/>
      </c>
      <c r="E288" s="3">
        <f>+'Invullen groen'!H292</f>
        <v/>
      </c>
      <c r="F288" s="3">
        <f>+'Invullen groen'!I292</f>
        <v/>
      </c>
      <c r="G288" s="3">
        <f>+'Invullen groen'!J292</f>
        <v/>
      </c>
      <c r="H288" s="3">
        <f>+'Invullen groen'!K292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groen'!M293</f>
        <v/>
      </c>
      <c r="E289" s="3">
        <f>+'Invullen groen'!H293</f>
        <v/>
      </c>
      <c r="F289" s="3">
        <f>+'Invullen groen'!I293</f>
        <v/>
      </c>
      <c r="G289" s="3">
        <f>+'Invullen groen'!J293</f>
        <v/>
      </c>
      <c r="H289" s="3">
        <f>+'Invullen groen'!K293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groen'!M294</f>
        <v/>
      </c>
      <c r="E290" s="3">
        <f>+'Invullen groen'!H294</f>
        <v/>
      </c>
      <c r="F290" s="3">
        <f>+'Invullen groen'!I294</f>
        <v/>
      </c>
      <c r="G290" s="3">
        <f>+'Invullen groen'!J294</f>
        <v/>
      </c>
      <c r="H290" s="3">
        <f>+'Invullen groen'!K294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groen'!M295</f>
        <v/>
      </c>
      <c r="E291" s="3">
        <f>+'Invullen groen'!H295</f>
        <v/>
      </c>
      <c r="F291" s="3">
        <f>+'Invullen groen'!I295</f>
        <v/>
      </c>
      <c r="G291" s="3">
        <f>+'Invullen groen'!J295</f>
        <v/>
      </c>
      <c r="H291" s="3">
        <f>+'Invullen groen'!K295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groen'!M296</f>
        <v/>
      </c>
      <c r="E292" s="3">
        <f>+'Invullen groen'!H296</f>
        <v/>
      </c>
      <c r="F292" s="3">
        <f>+'Invullen groen'!I296</f>
        <v/>
      </c>
      <c r="G292" s="3">
        <f>+'Invullen groen'!J296</f>
        <v/>
      </c>
      <c r="H292" s="3">
        <f>+'Invullen groen'!K296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groen'!M297</f>
        <v/>
      </c>
      <c r="E293" s="3">
        <f>+'Invullen groen'!H297</f>
        <v/>
      </c>
      <c r="F293" s="3">
        <f>+'Invullen groen'!I297</f>
        <v/>
      </c>
      <c r="G293" s="3">
        <f>+'Invullen groen'!J297</f>
        <v/>
      </c>
      <c r="H293" s="3">
        <f>+'Invullen groen'!K297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groen'!M298</f>
        <v/>
      </c>
      <c r="E294" s="3">
        <f>+'Invullen groen'!H298</f>
        <v/>
      </c>
      <c r="F294" s="3">
        <f>+'Invullen groen'!I298</f>
        <v/>
      </c>
      <c r="G294" s="3">
        <f>+'Invullen groen'!J298</f>
        <v/>
      </c>
      <c r="H294" s="3">
        <f>+'Invullen groen'!K298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groen'!M299</f>
        <v/>
      </c>
      <c r="E295" s="3">
        <f>+'Invullen groen'!H299</f>
        <v/>
      </c>
      <c r="F295" s="3">
        <f>+'Invullen groen'!I299</f>
        <v/>
      </c>
      <c r="G295" s="3">
        <f>+'Invullen groen'!J299</f>
        <v/>
      </c>
      <c r="H295" s="3">
        <f>+'Invullen groen'!K299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groen'!L17&gt;0,'Invullen groen'!L17,""),"")</f>
        <v/>
      </c>
      <c r="C5" s="522">
        <f>IFERROR(IF('Invullen groen'!N17&gt;0,'Invullen groen'!N17,""),"")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groen'!L18&gt;0,'Invullen groen'!L18,""),"")</f>
        <v/>
      </c>
      <c r="C6" s="524">
        <f>IFERROR(IF('Invullen groen'!N18&gt;0,'Invullen groen'!N18,""),"")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groen'!L19&gt;0,'Invullen groen'!L19,""),"")</f>
        <v/>
      </c>
      <c r="C7" s="522">
        <f>IFERROR(IF('Invullen groen'!N19&gt;0,'Invullen groen'!N19,""),"")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groen'!L20&gt;0,'Invullen groen'!L20,""),"")</f>
        <v/>
      </c>
      <c r="C8" s="524">
        <f>IFERROR(IF('Invullen groen'!N20&gt;0,'Invullen groen'!N20,""),"")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groen'!L21&gt;0,'Invullen groen'!L21,""),"")</f>
        <v/>
      </c>
      <c r="C9" s="522">
        <f>IFERROR(IF('Invullen groen'!N21&gt;0,'Invullen groen'!N21,""),"")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groen'!L22&gt;0,'Invullen groen'!L22,""),"")</f>
        <v/>
      </c>
      <c r="C10" s="524">
        <f>IFERROR(IF('Invullen groen'!N22&gt;0,'Invullen groen'!N22,""),"")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groen'!L23&gt;0,'Invullen groen'!L23,""),"")</f>
        <v/>
      </c>
      <c r="C11" s="522">
        <f>IFERROR(IF('Invullen groen'!N23&gt;0,'Invullen groen'!N23,""),"")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groen'!L24&gt;0,'Invullen groen'!L24,""),"")</f>
        <v/>
      </c>
      <c r="C12" s="524">
        <f>IFERROR(IF('Invullen groen'!N24&gt;0,'Invullen groen'!N24,""),"")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groen'!L25&gt;0,'Invullen groen'!L25,""),"")</f>
        <v/>
      </c>
      <c r="C13" s="522">
        <f>IFERROR(IF('Invullen groen'!N25&gt;0,'Invullen groen'!N25,""),"")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groen'!L26&gt;0,'Invullen groen'!L26,""),"")</f>
        <v/>
      </c>
      <c r="C14" s="524">
        <f>IFERROR(IF('Invullen groen'!N26&gt;0,'Invullen groen'!N26,""),"")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groen'!L27&gt;0,'Invullen groen'!L27,""),"")</f>
        <v/>
      </c>
      <c r="C15" s="522">
        <f>IFERROR(IF('Invullen groen'!N27&gt;0,'Invullen groen'!N27,""),"")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groen'!L28&gt;0,'Invullen groen'!L28,""),"")</f>
        <v/>
      </c>
      <c r="C16" s="524">
        <f>IFERROR(IF('Invullen groen'!N28&gt;0,'Invullen groen'!N28,""),"")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groen'!L29&gt;0,'Invullen groen'!L29,""),"")</f>
        <v/>
      </c>
      <c r="C17" s="522">
        <f>IFERROR(IF('Invullen groen'!N29&gt;0,'Invullen groen'!N29,""),"")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groen'!L30&gt;0,'Invullen groen'!L30,""),"")</f>
        <v/>
      </c>
      <c r="C18" s="524">
        <f>IFERROR(IF('Invullen groen'!N30&gt;0,'Invullen groen'!N30,""),"")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groen'!L31&gt;0,'Invullen groen'!L31,""),"")</f>
        <v/>
      </c>
      <c r="C19" s="522">
        <f>IFERROR(IF('Invullen groen'!N31&gt;0,'Invullen groen'!N31,""),"")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groen'!L32&gt;0,'Invullen groen'!L32,""),"")</f>
        <v/>
      </c>
      <c r="C20" s="524">
        <f>IFERROR(IF('Invullen groen'!N32&gt;0,'Invullen groen'!N32,""),"")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groen'!L33&gt;0,'Invullen groen'!L33,""),"")</f>
        <v/>
      </c>
      <c r="C21" s="522">
        <f>IFERROR(IF('Invullen groen'!N33&gt;0,'Invullen groen'!N33,""),"")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groen'!L34&gt;0,'Invullen groen'!L34,""),"")</f>
        <v/>
      </c>
      <c r="C22" s="524">
        <f>IFERROR(IF('Invullen groen'!N34&gt;0,'Invullen groen'!N34,""),"")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groen'!L35&gt;0,'Invullen groen'!L35,""),"")</f>
        <v/>
      </c>
      <c r="C23" s="522">
        <f>IFERROR(IF('Invullen groen'!N35&gt;0,'Invullen groen'!N35,""),"")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groen'!L36&gt;0,'Invullen groen'!L36,""),"")</f>
        <v/>
      </c>
      <c r="C24" s="524">
        <f>IFERROR(IF('Invullen groen'!N36&gt;0,'Invullen groen'!N36,""),"")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groen'!L37&gt;0,'Invullen groen'!L37,""),"")</f>
        <v/>
      </c>
      <c r="C25" s="522">
        <f>IFERROR(IF('Invullen groen'!N37&gt;0,'Invullen groen'!N37,""),"")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groen'!L38&gt;0,'Invullen groen'!L38,""),"")</f>
        <v/>
      </c>
      <c r="C26" s="524">
        <f>IFERROR(IF('Invullen groen'!N38&gt;0,'Invullen groen'!N38,""),"")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groen'!L39&gt;0,'Invullen groen'!L39,""),"")</f>
        <v/>
      </c>
      <c r="C27" s="522">
        <f>IFERROR(IF('Invullen groen'!N39&gt;0,'Invullen groen'!N39,""),"")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groen'!L40&gt;0,'Invullen groen'!L40,""),"")</f>
        <v/>
      </c>
      <c r="C28" s="524">
        <f>IFERROR(IF('Invullen groen'!N40&gt;0,'Invullen groen'!N40,""),"")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groen'!L41&gt;0,'Invullen groen'!L41,""),"")</f>
        <v/>
      </c>
      <c r="C29" s="522">
        <f>IFERROR(IF('Invullen groen'!N41&gt;0,'Invullen groen'!N41,""),"")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groen'!L42&gt;0,'Invullen groen'!L42,""),"")</f>
        <v/>
      </c>
      <c r="C30" s="524">
        <f>IFERROR(IF('Invullen groen'!N42&gt;0,'Invullen groen'!N42,""),"")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groen'!L43&gt;0,'Invullen groen'!L43,""),"")</f>
        <v/>
      </c>
      <c r="C31" s="522">
        <f>IFERROR(IF('Invullen groen'!N43&gt;0,'Invullen groen'!N43,""),"")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groen'!L44&gt;0,'Invullen groen'!L44,""),"")</f>
        <v/>
      </c>
      <c r="C32" s="524">
        <f>IFERROR(IF('Invullen groen'!N44&gt;0,'Invullen groen'!N44,""),"")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groen'!L45&gt;0,'Invullen groen'!L45,""),"")</f>
        <v/>
      </c>
      <c r="C33" s="522">
        <f>IFERROR(IF('Invullen groen'!N45&gt;0,'Invullen groen'!N45,""),"")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groen'!L46&gt;0,'Invullen groen'!L46,""),"")</f>
        <v/>
      </c>
      <c r="C34" s="524">
        <f>IFERROR(IF('Invullen groen'!N46&gt;0,'Invullen groen'!N46,""),"")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groen'!L47&gt;0,'Invullen groen'!L47,""),"")</f>
        <v/>
      </c>
      <c r="C35" s="522">
        <f>IFERROR(IF('Invullen groen'!N47&gt;0,'Invullen groen'!N47,""),"")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groen'!L48&gt;0,'Invullen groen'!L48,""),"")</f>
        <v/>
      </c>
      <c r="C36" s="524">
        <f>IFERROR(IF('Invullen groen'!N48&gt;0,'Invullen groen'!N48,""),"")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groen'!L49&gt;0,'Invullen groen'!L49,""),"")</f>
        <v/>
      </c>
      <c r="C37" s="522">
        <f>IFERROR(IF('Invullen groen'!N49&gt;0,'Invullen groen'!N49,""),"")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groen'!L50&gt;0,'Invullen groen'!L50,""),"")</f>
        <v/>
      </c>
      <c r="C38" s="524">
        <f>IFERROR(IF('Invullen groen'!N50&gt;0,'Invullen groen'!N50,""),"")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groen'!L51&gt;0,'Invullen groen'!L51,""),"")</f>
        <v/>
      </c>
      <c r="C39" s="522">
        <f>IFERROR(IF('Invullen groen'!N51&gt;0,'Invullen groen'!N51,""),"")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groen'!L52&gt;0,'Invullen groen'!L52,""),"")</f>
        <v/>
      </c>
      <c r="C40" s="524">
        <f>IFERROR(IF('Invullen groen'!N52&gt;0,'Invullen groen'!N52,""),"")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groen'!L53&gt;0,'Invullen groen'!L53,""),"")</f>
        <v/>
      </c>
      <c r="C41" s="522">
        <f>IFERROR(IF('Invullen groen'!N53&gt;0,'Invullen groen'!N53,""),"")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groen'!L54&gt;0,'Invullen groen'!L54,""),"")</f>
        <v/>
      </c>
      <c r="C42" s="524">
        <f>IFERROR(IF('Invullen groen'!N54&gt;0,'Invullen groen'!N54,""),"")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groen'!L55&gt;0,'Invullen groen'!L55,""),"")</f>
        <v/>
      </c>
      <c r="C43" s="522">
        <f>IFERROR(IF('Invullen groen'!N55&gt;0,'Invullen groen'!N55,""),"")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groen'!L56&gt;0,'Invullen groen'!L56,""),"")</f>
        <v/>
      </c>
      <c r="C44" s="524">
        <f>IFERROR(IF('Invullen groen'!N56&gt;0,'Invullen groen'!N56,""),"")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groen'!L57&gt;0,'Invullen groen'!L57,""),"")</f>
        <v/>
      </c>
      <c r="C45" s="522">
        <f>IFERROR(IF('Invullen groen'!N57&gt;0,'Invullen groen'!N57,""),"")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groen'!L58&gt;0,'Invullen groen'!L58,""),"")</f>
        <v/>
      </c>
      <c r="C46" s="524">
        <f>IFERROR(IF('Invullen groen'!N58&gt;0,'Invullen groen'!N58,""),"")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groen'!L59&gt;0,'Invullen groen'!L59,""),"")</f>
        <v/>
      </c>
      <c r="C47" s="522">
        <f>IFERROR(IF('Invullen groen'!N59&gt;0,'Invullen groen'!N59,""),"")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groen'!L60&gt;0,'Invullen groen'!L60,""),"")</f>
        <v/>
      </c>
      <c r="C48" s="524">
        <f>IFERROR(IF('Invullen groen'!N60&gt;0,'Invullen groen'!N60,""),"")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groen'!L61&gt;0,'Invullen groen'!L61,""),"")</f>
        <v/>
      </c>
      <c r="C49" s="522">
        <f>IFERROR(IF('Invullen groen'!N61&gt;0,'Invullen groen'!N61,""),"")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groen'!L62&gt;0,'Invullen groen'!L62,""),"")</f>
        <v/>
      </c>
      <c r="C50" s="524">
        <f>IFERROR(IF('Invullen groen'!N62&gt;0,'Invullen groen'!N62,""),"")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groen'!L63&gt;0,'Invullen groen'!L63,""),"")</f>
        <v/>
      </c>
      <c r="C51" s="522">
        <f>IFERROR(IF('Invullen groen'!N63&gt;0,'Invullen groen'!N63,""),"")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groen'!L64&gt;0,'Invullen groen'!L64,""),"")</f>
        <v/>
      </c>
      <c r="C52" s="524">
        <f>IFERROR(IF('Invullen groen'!N64&gt;0,'Invullen groen'!N64,""),"")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groen'!L65&gt;0,'Invullen groen'!L65,""),"")</f>
        <v/>
      </c>
      <c r="C53" s="522">
        <f>IFERROR(IF('Invullen groen'!N65&gt;0,'Invullen groen'!N65,""),"")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groen'!L66&gt;0,'Invullen groen'!L66,""),"")</f>
        <v/>
      </c>
      <c r="C54" s="524">
        <f>IFERROR(IF('Invullen groen'!N66&gt;0,'Invullen groen'!N66,""),"")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groen'!L67&gt;0,'Invullen groen'!L67,""),"")</f>
        <v/>
      </c>
      <c r="C55" s="522">
        <f>IFERROR(IF('Invullen groen'!N67&gt;0,'Invullen groen'!N67,""),"")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groen'!L68&gt;0,'Invullen groen'!L68,""),"")</f>
        <v/>
      </c>
      <c r="C56" s="524">
        <f>IFERROR(IF('Invullen groen'!N68&gt;0,'Invullen groen'!N68,""),"")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groen'!L69&gt;0,'Invullen groen'!L69,""),"")</f>
        <v/>
      </c>
      <c r="C57" s="522">
        <f>IFERROR(IF('Invullen groen'!N69&gt;0,'Invullen groen'!N69,""),"")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groen'!L70&gt;0,'Invullen groen'!L70,""),"")</f>
        <v/>
      </c>
      <c r="C58" s="524">
        <f>IFERROR(IF('Invullen groen'!N70&gt;0,'Invullen groen'!N70,""),"")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groen'!L71&gt;0,'Invullen groen'!L71,""),"")</f>
        <v/>
      </c>
      <c r="C59" s="522">
        <f>IFERROR(IF('Invullen groen'!N71&gt;0,'Invullen groen'!N71,""),"")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groen'!L72&gt;0,'Invullen groen'!L72,""),"")</f>
        <v/>
      </c>
      <c r="C60" s="524">
        <f>IFERROR(IF('Invullen groen'!N72&gt;0,'Invullen groen'!N72,""),"")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groen'!L73&gt;0,'Invullen groen'!L73,""),"")</f>
        <v/>
      </c>
      <c r="C61" s="522">
        <f>IFERROR(IF('Invullen groen'!N73&gt;0,'Invullen groen'!N73,""),"")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groen'!L74&gt;0,'Invullen groen'!L74,""),"")</f>
        <v/>
      </c>
      <c r="C62" s="524">
        <f>IFERROR(IF('Invullen groen'!N74&gt;0,'Invullen groen'!N74,""),"")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groen'!L78&gt;0,'Invullen groen'!L78,""),"")</f>
        <v/>
      </c>
      <c r="C63" s="522">
        <f>IFERROR(IF('Invullen groen'!N78&gt;0,'Invullen groen'!N78,""),"")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groen'!L79&gt;0,'Invullen groen'!L79,""),"")</f>
        <v/>
      </c>
      <c r="C64" s="524">
        <f>IFERROR(IF('Invullen groen'!N79&gt;0,'Invullen groen'!N79,""),"")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groen'!L80&gt;0,'Invullen groen'!L80,""),"")</f>
        <v/>
      </c>
      <c r="C65" s="522">
        <f>IFERROR(IF('Invullen groen'!N80&gt;0,'Invullen groen'!N80,""),"")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groen'!L81&gt;0,'Invullen groen'!L81,""),"")</f>
        <v/>
      </c>
      <c r="C66" s="524">
        <f>IFERROR(IF('Invullen groen'!N81&gt;0,'Invullen groen'!N81,""),"")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groen'!L82&gt;0,'Invullen groen'!L82,""),"")</f>
        <v/>
      </c>
      <c r="C67" s="522">
        <f>IFERROR(IF('Invullen groen'!N82&gt;0,'Invullen groen'!N82,""),"")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groen'!L83&gt;0,'Invullen groen'!L83,""),"")</f>
        <v/>
      </c>
      <c r="C68" s="524">
        <f>IFERROR(IF('Invullen groen'!N83&gt;0,'Invullen groen'!N83,""),"")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groen'!L84&gt;0,'Invullen groen'!L84,""),"")</f>
        <v/>
      </c>
      <c r="C69" s="522">
        <f>IFERROR(IF('Invullen groen'!N84&gt;0,'Invullen groen'!N84,""),"")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groen'!L85&gt;0,'Invullen groen'!L85,""),"")</f>
        <v/>
      </c>
      <c r="C70" s="524">
        <f>IFERROR(IF('Invullen groen'!N85&gt;0,'Invullen groen'!N85,""),"")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groen'!L86&gt;0,'Invullen groen'!L86,""),"")</f>
        <v/>
      </c>
      <c r="C71" s="522">
        <f>IFERROR(IF('Invullen groen'!N86&gt;0,'Invullen groen'!N86,""),"")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groen'!L87&gt;0,'Invullen groen'!L87,""),"")</f>
        <v/>
      </c>
      <c r="C72" s="524">
        <f>IFERROR(IF('Invullen groen'!N87&gt;0,'Invullen groen'!N87,""),"")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groen'!L88&gt;0,'Invullen groen'!L88,""),"")</f>
        <v/>
      </c>
      <c r="C73" s="522">
        <f>IFERROR(IF('Invullen groen'!N88&gt;0,'Invullen groen'!N88,""),"")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groen'!L89&gt;0,'Invullen groen'!L89,""),"")</f>
        <v/>
      </c>
      <c r="C74" s="524">
        <f>IFERROR(IF('Invullen groen'!N89&gt;0,'Invullen groen'!N89,""),"")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groen'!L90&gt;0,'Invullen groen'!L90,""),"")</f>
        <v/>
      </c>
      <c r="C75" s="522">
        <f>IFERROR(IF('Invullen groen'!N90&gt;0,'Invullen groen'!N90,""),"")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groen'!L91&gt;0,'Invullen groen'!L91,""),"")</f>
        <v/>
      </c>
      <c r="C76" s="524">
        <f>IFERROR(IF('Invullen groen'!N91&gt;0,'Invullen groen'!N91,""),"")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groen'!L92&gt;0,'Invullen groen'!L92,""),"")</f>
        <v/>
      </c>
      <c r="C77" s="522">
        <f>IFERROR(IF('Invullen groen'!N92&gt;0,'Invullen groen'!N92,""),"")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groen'!L93&gt;0,'Invullen groen'!L93,""),"")</f>
        <v/>
      </c>
      <c r="C78" s="524">
        <f>IFERROR(IF('Invullen groen'!N93&gt;0,'Invullen groen'!N93,""),"")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groen'!L94&gt;0,'Invullen groen'!L94,""),"")</f>
        <v/>
      </c>
      <c r="C79" s="522">
        <f>IFERROR(IF('Invullen groen'!N94&gt;0,'Invullen groen'!N94,""),"")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groen'!L95&gt;0,'Invullen groen'!L95,""),"")</f>
        <v/>
      </c>
      <c r="C80" s="524">
        <f>IFERROR(IF('Invullen groen'!N95&gt;0,'Invullen groen'!N95,""),"")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groen'!L96&gt;0,'Invullen groen'!L96,""),"")</f>
        <v/>
      </c>
      <c r="C81" s="522">
        <f>IFERROR(IF('Invullen groen'!N96&gt;0,'Invullen groen'!N96,""),"")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groen'!L97&gt;0,'Invullen groen'!L97,""),"")</f>
        <v/>
      </c>
      <c r="C82" s="524">
        <f>IFERROR(IF('Invullen groen'!N97&gt;0,'Invullen groen'!N97,""),"")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groen'!L98&gt;0,'Invullen groen'!L98,""),"")</f>
        <v/>
      </c>
      <c r="C83" s="522">
        <f>IFERROR(IF('Invullen groen'!N98&gt;0,'Invullen groen'!N98,""),"")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groen'!L99&gt;0,'Invullen groen'!L99,""),"")</f>
        <v/>
      </c>
      <c r="C84" s="524">
        <f>IFERROR(IF('Invullen groen'!N99&gt;0,'Invullen groen'!N99,""),"")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groen'!L100&gt;0,'Invullen groen'!L100,""),"")</f>
        <v/>
      </c>
      <c r="C85" s="522">
        <f>IFERROR(IF('Invullen groen'!N100&gt;0,'Invullen groen'!N100,""),"")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groen'!L101&gt;0,'Invullen groen'!L101,""),"")</f>
        <v/>
      </c>
      <c r="C86" s="524">
        <f>IFERROR(IF('Invullen groen'!N101&gt;0,'Invullen groen'!N101,""),"")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groen'!L102&gt;0,'Invullen groen'!L102,""),"")</f>
        <v/>
      </c>
      <c r="C87" s="522">
        <f>IFERROR(IF('Invullen groen'!N102&gt;0,'Invullen groen'!N102,""),"")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groen'!L103&gt;0,'Invullen groen'!L103,""),"")</f>
        <v/>
      </c>
      <c r="C88" s="524">
        <f>IFERROR(IF('Invullen groen'!N103&gt;0,'Invullen groen'!N103,""),"")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groen'!L104&gt;0,'Invullen groen'!L104,""),"")</f>
        <v/>
      </c>
      <c r="C89" s="522">
        <f>IFERROR(IF('Invullen groen'!N104&gt;0,'Invullen groen'!N104,""),"")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groen'!L105&gt;0,'Invullen groen'!L105,""),"")</f>
        <v/>
      </c>
      <c r="C90" s="524">
        <f>IFERROR(IF('Invullen groen'!N105&gt;0,'Invullen groen'!N105,""),"")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groen'!L106&gt;0,'Invullen groen'!L106,""),"")</f>
        <v/>
      </c>
      <c r="C91" s="522">
        <f>IFERROR(IF('Invullen groen'!N106&gt;0,'Invullen groen'!N106,""),"")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groen'!L107&gt;0,'Invullen groen'!L107,""),"")</f>
        <v/>
      </c>
      <c r="C92" s="524">
        <f>IFERROR(IF('Invullen groen'!N107&gt;0,'Invullen groen'!N107,""),"")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groen'!L108&gt;0,'Invullen groen'!L108,""),"")</f>
        <v/>
      </c>
      <c r="C93" s="522">
        <f>IFERROR(IF('Invullen groen'!N108&gt;0,'Invullen groen'!N108,""),"")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groen'!L109&gt;0,'Invullen groen'!L109,""),"")</f>
        <v/>
      </c>
      <c r="C94" s="524">
        <f>IFERROR(IF('Invullen groen'!N109&gt;0,'Invullen groen'!N109,""),"")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 t="n"/>
      <c r="B95" s="526" t="n"/>
      <c r="C95" s="526" t="n"/>
      <c r="D95" s="526" t="n"/>
      <c r="E95" s="526" t="n"/>
      <c r="F95" s="527" t="n"/>
      <c r="G95" s="527" t="n"/>
      <c r="H95" s="527" t="n"/>
      <c r="I95" s="527" t="n"/>
      <c r="J95" s="526" t="n"/>
      <c r="K95" s="52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hidden="1" width="10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width="12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576" t="inlineStr">
        <is>
          <t>Bgr w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Econ.
categorie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581" t="n"/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inlineStr">
        <is>
          <t>nr</t>
        </is>
      </c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581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53" t="n"/>
      <c r="G17" s="654">
        <f>IFERROR(VLOOKUP(E17,Tabellen!A:F,2),0)</f>
        <v/>
      </c>
      <c r="H17" s="599" t="n"/>
      <c r="I17" s="599" t="n"/>
      <c r="J17" s="599" t="n"/>
      <c r="K17" s="599" t="n"/>
      <c r="L17" s="697">
        <f>IFERROR(VLOOKUP(E17,Tabellen!A:H,8),0)</f>
        <v/>
      </c>
      <c r="M17" s="656" t="n"/>
      <c r="N17" s="694" t="n"/>
      <c r="O17" s="694" t="n"/>
      <c r="P17" s="526" t="n"/>
      <c r="Q17" s="119" t="n"/>
      <c r="R17" s="119" t="n"/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658">
        <f>IF(E18&gt;0,$H$4,0)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697">
        <f>IFERROR(VLOOKUP(E18,Tabellen!A:H,8),0)</f>
        <v/>
      </c>
      <c r="M18" s="660">
        <f>IFERROR(VLOOKUP(L18,Tabellen!H:I,2),0)</f>
        <v/>
      </c>
      <c r="N18" s="694" t="n"/>
      <c r="O18" s="694" t="n"/>
      <c r="P18" s="508" t="n"/>
      <c r="Q18" s="119">
        <f>IF(OR(L18=47201,L18=47100,L18=47200,L18=47500),H18,0)</f>
        <v/>
      </c>
      <c r="R18" s="119">
        <f>IF(OR(L18=87201,L18=87100,L18=87200,L18=87500),H18,0)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663">
        <f>IF(E19&gt;0,$H$4,0)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697">
        <f>IFERROR(VLOOKUP(E19,Tabellen!A:H,8),0)</f>
        <v/>
      </c>
      <c r="M19" s="664">
        <f>IFERROR(VLOOKUP(L19,Tabellen!H:I,2),0)</f>
        <v/>
      </c>
      <c r="N19" s="694" t="n"/>
      <c r="O19" s="694" t="n"/>
      <c r="P19" s="526" t="n"/>
      <c r="Q19" s="119">
        <f>IF(OR(L19=47201,L19=47100,L19=47200,L19=47500),H19,0)</f>
        <v/>
      </c>
      <c r="R19" s="119">
        <f>IF(OR(L19=87201,L19=87100,L19=87200,L19=87500),H19,0)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658">
        <f>IF(E20&gt;0,$H$4,0)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697">
        <f>IFERROR(VLOOKUP(E20,Tabellen!A:H,8),0)</f>
        <v/>
      </c>
      <c r="M20" s="660">
        <f>IFERROR(VLOOKUP(L20,Tabellen!H:I,2),0)</f>
        <v/>
      </c>
      <c r="N20" s="694" t="n"/>
      <c r="O20" s="694" t="n"/>
      <c r="P20" s="508" t="n"/>
      <c r="Q20" s="119">
        <f>IF(OR(L20=47201,L20=47100,L20=47200,L20=47500),H20,0)</f>
        <v/>
      </c>
      <c r="R20" s="119">
        <f>IF(OR(L20=87201,L20=87100,L20=87200,L20=87500),H20,0)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663">
        <f>IF(E21&gt;0,$H$4,0)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697">
        <f>IFERROR(VLOOKUP(E21,Tabellen!A:H,8),0)</f>
        <v/>
      </c>
      <c r="M21" s="664">
        <f>IFERROR(VLOOKUP(L21,Tabellen!H:I,2),0)</f>
        <v/>
      </c>
      <c r="N21" s="694" t="n"/>
      <c r="O21" s="694" t="n"/>
      <c r="P21" s="526" t="n"/>
      <c r="Q21" s="119">
        <f>IF(OR(L21=47201,L21=47100,L21=47200,L21=47500),H21,0)</f>
        <v/>
      </c>
      <c r="R21" s="119">
        <f>IF(OR(L21=87201,L21=87100,L21=87200,L21=87500),H21,0)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658">
        <f>IF(E22&gt;0,$H$4,0)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697">
        <f>IFERROR(VLOOKUP(E22,Tabellen!A:H,8),0)</f>
        <v/>
      </c>
      <c r="M22" s="660">
        <f>IFERROR(VLOOKUP(L22,Tabellen!H:I,2),0)</f>
        <v/>
      </c>
      <c r="N22" s="694" t="n"/>
      <c r="O22" s="694" t="n"/>
      <c r="P22" s="508" t="n"/>
      <c r="Q22" s="119">
        <f>IF(OR(L22=47201,L22=47100,L22=47200,L22=47500),H22,0)</f>
        <v/>
      </c>
      <c r="R22" s="119">
        <f>IF(OR(L22=87201,L22=87100,L22=87200,L22=87500),H22,0)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663">
        <f>IF(E23&gt;0,$H$4,0)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697">
        <f>IFERROR(VLOOKUP(E23,Tabellen!A:H,8),0)</f>
        <v/>
      </c>
      <c r="M23" s="664">
        <f>IFERROR(VLOOKUP(L23,Tabellen!H:I,2),0)</f>
        <v/>
      </c>
      <c r="N23" s="694" t="n"/>
      <c r="O23" s="694" t="n"/>
      <c r="P23" s="526" t="n"/>
      <c r="Q23" s="119">
        <f>IF(OR(L23=47201,L23=47100,L23=47200,L23=47500),H23,0)</f>
        <v/>
      </c>
      <c r="R23" s="119">
        <f>IF(OR(L23=87201,L23=87100,L23=87200,L23=87500),H23,0)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658">
        <f>IF(E24&gt;0,$H$4,0)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697">
        <f>IFERROR(VLOOKUP(E24,Tabellen!A:H,8),0)</f>
        <v/>
      </c>
      <c r="M24" s="660">
        <f>IFERROR(VLOOKUP(L24,Tabellen!H:I,2),0)</f>
        <v/>
      </c>
      <c r="N24" s="694" t="n"/>
      <c r="O24" s="694" t="n"/>
      <c r="P24" s="508" t="n"/>
      <c r="Q24" s="119">
        <f>IF(OR(L24=47201,L24=47100,L24=47200,L24=47500),H24,0)</f>
        <v/>
      </c>
      <c r="R24" s="119">
        <f>IF(OR(L24=87201,L24=87100,L24=87200,L24=87500),H24,0)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663">
        <f>IF(E25&gt;0,$H$4,0)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697">
        <f>IFERROR(VLOOKUP(E25,Tabellen!A:H,8),0)</f>
        <v/>
      </c>
      <c r="M25" s="664">
        <f>IFERROR(VLOOKUP(L25,Tabellen!H:I,2),0)</f>
        <v/>
      </c>
      <c r="N25" s="694" t="n"/>
      <c r="O25" s="694" t="n"/>
      <c r="P25" s="526" t="n"/>
      <c r="Q25" s="119">
        <f>IF(OR(L25=47201,L25=47100,L25=47200,L25=47500),H25,0)</f>
        <v/>
      </c>
      <c r="R25" s="119">
        <f>IF(OR(L25=87201,L25=87100,L25=87200,L25=87500),H25,0)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658">
        <f>IF(E26&gt;0,$H$4,0)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697">
        <f>IFERROR(VLOOKUP(E26,Tabellen!A:H,8),0)</f>
        <v/>
      </c>
      <c r="M26" s="660">
        <f>IFERROR(VLOOKUP(L26,Tabellen!H:I,2),0)</f>
        <v/>
      </c>
      <c r="N26" s="694" t="n"/>
      <c r="O26" s="694" t="n"/>
      <c r="P26" s="508" t="n"/>
      <c r="Q26" s="119">
        <f>IF(OR(L26=47201,L26=47100,L26=47200,L26=47500),H26,0)</f>
        <v/>
      </c>
      <c r="R26" s="119">
        <f>IF(OR(L26=87201,L26=87100,L26=87200,L26=87500),H26,0)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663">
        <f>IF(E27&gt;0,$H$4,0)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697">
        <f>IFERROR(VLOOKUP(E27,Tabellen!A:H,8),0)</f>
        <v/>
      </c>
      <c r="M27" s="664">
        <f>IFERROR(VLOOKUP(L27,Tabellen!H:I,2),0)</f>
        <v/>
      </c>
      <c r="N27" s="694" t="n"/>
      <c r="O27" s="694" t="n"/>
      <c r="P27" s="526" t="n"/>
      <c r="Q27" s="119">
        <f>IF(OR(L27=47201,L27=47100,L27=47200,L27=47500),H27,0)</f>
        <v/>
      </c>
      <c r="R27" s="119">
        <f>IF(OR(L27=87201,L27=87100,L27=87200,L27=87500),H27,0)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658">
        <f>IF(E28&gt;0,$H$4,0)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697">
        <f>IFERROR(VLOOKUP(E28,Tabellen!A:H,8),0)</f>
        <v/>
      </c>
      <c r="M28" s="660">
        <f>IFERROR(VLOOKUP(L28,Tabellen!H:I,2),0)</f>
        <v/>
      </c>
      <c r="N28" s="694" t="n"/>
      <c r="O28" s="694" t="n"/>
      <c r="P28" s="508" t="n"/>
      <c r="Q28" s="119">
        <f>IF(OR(L28=47201,L28=47100,L28=47200,L28=47500),H28,0)</f>
        <v/>
      </c>
      <c r="R28" s="119">
        <f>IF(OR(L28=87201,L28=87100,L28=87200,L28=87500),H28,0)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663">
        <f>IF(E29&gt;0,$H$4,0)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697">
        <f>IFERROR(VLOOKUP(E29,Tabellen!A:H,8),0)</f>
        <v/>
      </c>
      <c r="M29" s="664">
        <f>IFERROR(VLOOKUP(L29,Tabellen!H:I,2),0)</f>
        <v/>
      </c>
      <c r="N29" s="694" t="n"/>
      <c r="O29" s="694" t="n"/>
      <c r="P29" s="526" t="n"/>
      <c r="Q29" s="119">
        <f>IF(OR(L29=47201,L29=47100,L29=47200,L29=47500),H29,0)</f>
        <v/>
      </c>
      <c r="R29" s="119">
        <f>IF(OR(L29=87201,L29=87100,L29=87200,L29=87500),H29,0)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658">
        <f>IF(E30&gt;0,$H$4,0)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697">
        <f>IFERROR(VLOOKUP(E30,Tabellen!A:H,8),0)</f>
        <v/>
      </c>
      <c r="M30" s="660">
        <f>IFERROR(VLOOKUP(L30,Tabellen!H:I,2),0)</f>
        <v/>
      </c>
      <c r="N30" s="694" t="n"/>
      <c r="O30" s="694" t="n"/>
      <c r="P30" s="508" t="n"/>
      <c r="Q30" s="119">
        <f>IF(OR(L30=47201,L30=47100,L30=47200,L30=47500),H30,0)</f>
        <v/>
      </c>
      <c r="R30" s="119">
        <f>IF(OR(L30=87201,L30=87100,L30=87200,L30=87500),H30,0)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663">
        <f>IF(E31&gt;0,$H$4,0)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697">
        <f>IFERROR(VLOOKUP(E31,Tabellen!A:H,8),0)</f>
        <v/>
      </c>
      <c r="M31" s="664">
        <f>IFERROR(VLOOKUP(L31,Tabellen!H:I,2),0)</f>
        <v/>
      </c>
      <c r="N31" s="694" t="n"/>
      <c r="O31" s="694" t="n"/>
      <c r="P31" s="526" t="n"/>
      <c r="Q31" s="119">
        <f>IF(OR(L31=47201,L31=47100,L31=47200,L31=47500),H31,0)</f>
        <v/>
      </c>
      <c r="R31" s="119">
        <f>IF(OR(L31=87201,L31=87100,L31=87200,L31=87500),H31,0)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658">
        <f>IF(E32&gt;0,$H$4,0)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697">
        <f>IFERROR(VLOOKUP(E32,Tabellen!A:H,8),0)</f>
        <v/>
      </c>
      <c r="M32" s="660">
        <f>IFERROR(VLOOKUP(L32,Tabellen!H:I,2),0)</f>
        <v/>
      </c>
      <c r="N32" s="694" t="n"/>
      <c r="O32" s="694" t="n"/>
      <c r="P32" s="508" t="n"/>
      <c r="Q32" s="119">
        <f>IF(OR(L32=47201,L32=47100,L32=47200,L32=47500),H32,0)</f>
        <v/>
      </c>
      <c r="R32" s="119">
        <f>IF(OR(L32=87201,L32=87100,L32=87200,L32=87500),H32,0)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663">
        <f>IF(E33&gt;0,$H$4,0)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697">
        <f>IFERROR(VLOOKUP(E33,Tabellen!A:H,8),0)</f>
        <v/>
      </c>
      <c r="M33" s="664">
        <f>IFERROR(VLOOKUP(L33,Tabellen!H:I,2),0)</f>
        <v/>
      </c>
      <c r="N33" s="694" t="n"/>
      <c r="O33" s="694" t="n"/>
      <c r="P33" s="526" t="n"/>
      <c r="Q33" s="119">
        <f>IF(OR(L33=47201,L33=47100,L33=47200,L33=47500),H33,0)</f>
        <v/>
      </c>
      <c r="R33" s="119">
        <f>IF(OR(L33=87201,L33=87100,L33=87200,L33=87500),H33,0)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658">
        <f>IF(E34&gt;0,$H$4,0)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697">
        <f>IFERROR(VLOOKUP(E34,Tabellen!A:H,8),0)</f>
        <v/>
      </c>
      <c r="M34" s="660">
        <f>IFERROR(VLOOKUP(L34,Tabellen!H:I,2),0)</f>
        <v/>
      </c>
      <c r="N34" s="694" t="n"/>
      <c r="O34" s="694" t="n"/>
      <c r="P34" s="508" t="n"/>
      <c r="Q34" s="119">
        <f>IF(OR(L34=47201,L34=47100,L34=47200,L34=47500),H34,0)</f>
        <v/>
      </c>
      <c r="R34" s="119">
        <f>IF(OR(L34=87201,L34=87100,L34=87200,L34=87500),H34,0)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663">
        <f>IF(E35&gt;0,$H$4,0)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697">
        <f>IFERROR(VLOOKUP(E35,Tabellen!A:H,8),0)</f>
        <v/>
      </c>
      <c r="M35" s="664">
        <f>IFERROR(VLOOKUP(L35,Tabellen!H:I,2),0)</f>
        <v/>
      </c>
      <c r="N35" s="694" t="n"/>
      <c r="O35" s="694" t="n"/>
      <c r="P35" s="526" t="n"/>
      <c r="Q35" s="119">
        <f>IF(OR(L35=47201,L35=47100,L35=47200,L35=47500),H35,0)</f>
        <v/>
      </c>
      <c r="R35" s="119">
        <f>IF(OR(L35=87201,L35=87100,L35=87200,L35=87500),H35,0)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658">
        <f>IF(E36&gt;0,$H$4,0)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697">
        <f>IFERROR(VLOOKUP(E36,Tabellen!A:H,8),0)</f>
        <v/>
      </c>
      <c r="M36" s="660">
        <f>IFERROR(VLOOKUP(L36,Tabellen!H:I,2),0)</f>
        <v/>
      </c>
      <c r="N36" s="694" t="n"/>
      <c r="O36" s="694" t="n"/>
      <c r="P36" s="508" t="n"/>
      <c r="Q36" s="119">
        <f>IF(OR(L36=47201,L36=47100,L36=47200,L36=47500),H36,0)</f>
        <v/>
      </c>
      <c r="R36" s="119">
        <f>IF(OR(L36=87201,L36=87100,L36=87200,L36=87500),H36,0)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663">
        <f>IF(E37&gt;0,$H$4,0)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697">
        <f>IFERROR(VLOOKUP(E37,Tabellen!A:H,8),0)</f>
        <v/>
      </c>
      <c r="M37" s="664">
        <f>IFERROR(VLOOKUP(L37,Tabellen!H:I,2),0)</f>
        <v/>
      </c>
      <c r="N37" s="694" t="n"/>
      <c r="O37" s="694" t="n"/>
      <c r="P37" s="526" t="n"/>
      <c r="Q37" s="119">
        <f>IF(OR(L37=47201,L37=47100,L37=47200,L37=47500),H37,0)</f>
        <v/>
      </c>
      <c r="R37" s="119">
        <f>IF(OR(L37=87201,L37=87100,L37=87200,L37=87500),H37,0)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658">
        <f>IF(E38&gt;0,$H$4,0)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697">
        <f>IFERROR(VLOOKUP(E38,Tabellen!A:H,8),0)</f>
        <v/>
      </c>
      <c r="M38" s="660">
        <f>IFERROR(VLOOKUP(L38,Tabellen!H:I,2),0)</f>
        <v/>
      </c>
      <c r="N38" s="694" t="n"/>
      <c r="O38" s="694" t="n"/>
      <c r="P38" s="508" t="n"/>
      <c r="Q38" s="119">
        <f>IF(OR(L38=47201,L38=47100,L38=47200,L38=47500),H38,0)</f>
        <v/>
      </c>
      <c r="R38" s="119">
        <f>IF(OR(L38=87201,L38=87100,L38=87200,L38=87500),H38,0)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663">
        <f>IF(E39&gt;0,$H$4,0)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697">
        <f>IFERROR(VLOOKUP(E39,Tabellen!A:H,8),0)</f>
        <v/>
      </c>
      <c r="M39" s="664">
        <f>IFERROR(VLOOKUP(L39,Tabellen!H:I,2),0)</f>
        <v/>
      </c>
      <c r="N39" s="694" t="n"/>
      <c r="O39" s="694" t="n"/>
      <c r="P39" s="526" t="n"/>
      <c r="Q39" s="119">
        <f>IF(OR(L39=47201,L39=47100,L39=47200,L39=47500),H39,0)</f>
        <v/>
      </c>
      <c r="R39" s="119">
        <f>IF(OR(L39=87201,L39=87100,L39=87200,L39=87500),H39,0)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658">
        <f>IF(E40&gt;0,$H$4,0)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697">
        <f>IFERROR(VLOOKUP(E40,Tabellen!A:H,8),0)</f>
        <v/>
      </c>
      <c r="M40" s="660">
        <f>IFERROR(VLOOKUP(L40,Tabellen!H:I,2),0)</f>
        <v/>
      </c>
      <c r="N40" s="694" t="n"/>
      <c r="O40" s="694" t="n"/>
      <c r="P40" s="508" t="n"/>
      <c r="Q40" s="119">
        <f>IF(OR(L40=47201,L40=47100,L40=47200,L40=47500),H40,0)</f>
        <v/>
      </c>
      <c r="R40" s="119">
        <f>IF(OR(L40=87201,L40=87100,L40=87200,L40=87500),H40,0)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663">
        <f>IF(E41&gt;0,$H$4,0)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697">
        <f>IFERROR(VLOOKUP(E41,Tabellen!A:H,8),0)</f>
        <v/>
      </c>
      <c r="M41" s="664">
        <f>IFERROR(VLOOKUP(L41,Tabellen!H:I,2),0)</f>
        <v/>
      </c>
      <c r="N41" s="694" t="n"/>
      <c r="O41" s="694" t="n"/>
      <c r="P41" s="526" t="n"/>
      <c r="Q41" s="119">
        <f>IF(OR(L41=47201,L41=47100,L41=47200,L41=47500),H41,0)</f>
        <v/>
      </c>
      <c r="R41" s="119">
        <f>IF(OR(L41=87201,L41=87100,L41=87200,L41=87500),H41,0)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658">
        <f>IF(E42&gt;0,$H$4,0)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697">
        <f>IFERROR(VLOOKUP(E42,Tabellen!A:H,8),0)</f>
        <v/>
      </c>
      <c r="M42" s="660">
        <f>IFERROR(VLOOKUP(L42,Tabellen!H:I,2),0)</f>
        <v/>
      </c>
      <c r="N42" s="694" t="n"/>
      <c r="O42" s="694" t="n"/>
      <c r="P42" s="508" t="n"/>
      <c r="Q42" s="119">
        <f>IF(OR(L42=47201,L42=47100,L42=47200,L42=47500),H42,0)</f>
        <v/>
      </c>
      <c r="R42" s="119">
        <f>IF(OR(L42=87201,L42=87100,L42=87200,L42=87500),H42,0)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663">
        <f>IF(E43&gt;0,$H$4,0)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697">
        <f>IFERROR(VLOOKUP(E43,Tabellen!A:H,8),0)</f>
        <v/>
      </c>
      <c r="M43" s="664">
        <f>IFERROR(VLOOKUP(L43,Tabellen!H:I,2),0)</f>
        <v/>
      </c>
      <c r="N43" s="694" t="n"/>
      <c r="O43" s="694" t="n"/>
      <c r="P43" s="526" t="n"/>
      <c r="Q43" s="119">
        <f>IF(OR(L43=47201,L43=47100,L43=47200,L43=47500),H43,0)</f>
        <v/>
      </c>
      <c r="R43" s="119">
        <f>IF(OR(L43=87201,L43=87100,L43=87200,L43=87500),H43,0)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658">
        <f>IF(E44&gt;0,$H$4,0)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697">
        <f>IFERROR(VLOOKUP(E44,Tabellen!A:H,8),0)</f>
        <v/>
      </c>
      <c r="M44" s="660">
        <f>IFERROR(VLOOKUP(L44,Tabellen!H:I,2),0)</f>
        <v/>
      </c>
      <c r="N44" s="694" t="n"/>
      <c r="O44" s="694" t="n"/>
      <c r="P44" s="508" t="n"/>
      <c r="Q44" s="119">
        <f>IF(OR(L44=47201,L44=47100,L44=47200,L44=47500),H44,0)</f>
        <v/>
      </c>
      <c r="R44" s="119">
        <f>IF(OR(L44=87201,L44=87100,L44=87200,L44=87500),H44,0)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663">
        <f>IF(E45&gt;0,$H$4,0)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697">
        <f>IFERROR(VLOOKUP(E45,Tabellen!A:H,8),0)</f>
        <v/>
      </c>
      <c r="M45" s="664">
        <f>IFERROR(VLOOKUP(L45,Tabellen!H:I,2),0)</f>
        <v/>
      </c>
      <c r="N45" s="694" t="n"/>
      <c r="O45" s="694" t="n"/>
      <c r="P45" s="526" t="n"/>
      <c r="Q45" s="119">
        <f>IF(OR(L45=47201,L45=47100,L45=47200,L45=47500),H45,0)</f>
        <v/>
      </c>
      <c r="R45" s="119">
        <f>IF(OR(L45=87201,L45=87100,L45=87200,L45=87500),H45,0)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658">
        <f>IF(E46&gt;0,$H$4,0)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697">
        <f>IFERROR(VLOOKUP(E46,Tabellen!A:H,8),0)</f>
        <v/>
      </c>
      <c r="M46" s="660">
        <f>IFERROR(VLOOKUP(L46,Tabellen!H:I,2),0)</f>
        <v/>
      </c>
      <c r="N46" s="694" t="n"/>
      <c r="O46" s="694" t="n"/>
      <c r="P46" s="508" t="n"/>
      <c r="Q46" s="119">
        <f>IF(OR(L46=47201,L46=47100,L46=47200,L46=47500),H46,0)</f>
        <v/>
      </c>
      <c r="R46" s="119">
        <f>IF(OR(L46=87201,L46=87100,L46=87200,L46=87500),H46,0)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663">
        <f>IF(E47&gt;0,$H$4,0)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697">
        <f>IFERROR(VLOOKUP(E47,Tabellen!A:H,8),0)</f>
        <v/>
      </c>
      <c r="M47" s="664">
        <f>IFERROR(VLOOKUP(L47,Tabellen!H:I,2),0)</f>
        <v/>
      </c>
      <c r="N47" s="694" t="n"/>
      <c r="O47" s="694" t="n"/>
      <c r="P47" s="526" t="n"/>
      <c r="Q47" s="119">
        <f>IF(OR(L47=47201,L47=47100,L47=47200,L47=47500),H47,0)</f>
        <v/>
      </c>
      <c r="R47" s="119">
        <f>IF(OR(L47=87201,L47=87100,L47=87200,L47=87500),H47,0)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658">
        <f>IF(E48&gt;0,$H$4,0)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697">
        <f>IFERROR(VLOOKUP(E48,Tabellen!A:H,8),0)</f>
        <v/>
      </c>
      <c r="M48" s="660">
        <f>IFERROR(VLOOKUP(L48,Tabellen!H:I,2),0)</f>
        <v/>
      </c>
      <c r="N48" s="694" t="n"/>
      <c r="O48" s="694" t="n"/>
      <c r="P48" s="508" t="n"/>
      <c r="Q48" s="119">
        <f>IF(OR(L48=47201,L48=47100,L48=47200,L48=47500),H48,0)</f>
        <v/>
      </c>
      <c r="R48" s="119">
        <f>IF(OR(L48=87201,L48=87100,L48=87200,L48=87500),H48,0)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663">
        <f>IF(E49&gt;0,$H$4,0)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697">
        <f>IFERROR(VLOOKUP(E49,Tabellen!A:H,8),0)</f>
        <v/>
      </c>
      <c r="M49" s="664">
        <f>IFERROR(VLOOKUP(L49,Tabellen!H:I,2),0)</f>
        <v/>
      </c>
      <c r="N49" s="694" t="n"/>
      <c r="O49" s="694" t="n"/>
      <c r="P49" s="526" t="n"/>
      <c r="Q49" s="119">
        <f>IF(OR(L49=47201,L49=47100,L49=47200,L49=47500),H49,0)</f>
        <v/>
      </c>
      <c r="R49" s="119">
        <f>IF(OR(L49=87201,L49=87100,L49=87200,L49=87500),H49,0)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658">
        <f>IF(E50&gt;0,$H$4,0)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697">
        <f>IFERROR(VLOOKUP(E50,Tabellen!A:H,8),0)</f>
        <v/>
      </c>
      <c r="M50" s="660">
        <f>IFERROR(VLOOKUP(L50,Tabellen!H:I,2),0)</f>
        <v/>
      </c>
      <c r="N50" s="694" t="n"/>
      <c r="O50" s="694" t="n"/>
      <c r="P50" s="508" t="n"/>
      <c r="Q50" s="119">
        <f>IF(OR(L50=47201,L50=47100,L50=47200,L50=47500),H50,0)</f>
        <v/>
      </c>
      <c r="R50" s="119">
        <f>IF(OR(L50=87201,L50=87100,L50=87200,L50=87500),H50,0)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663">
        <f>IF(E51&gt;0,$H$4,0)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697">
        <f>IFERROR(VLOOKUP(E51,Tabellen!A:H,8),0)</f>
        <v/>
      </c>
      <c r="M51" s="664">
        <f>IFERROR(VLOOKUP(L51,Tabellen!H:I,2),0)</f>
        <v/>
      </c>
      <c r="N51" s="694" t="n"/>
      <c r="O51" s="694" t="n"/>
      <c r="P51" s="526" t="n"/>
      <c r="Q51" s="119">
        <f>IF(OR(L51=47201,L51=47100,L51=47200,L51=47500),H51,0)</f>
        <v/>
      </c>
      <c r="R51" s="119">
        <f>IF(OR(L51=87201,L51=87100,L51=87200,L51=87500),H51,0)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658">
        <f>IF(E52&gt;0,$H$4,0)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697">
        <f>IFERROR(VLOOKUP(E52,Tabellen!A:H,8),0)</f>
        <v/>
      </c>
      <c r="M52" s="660">
        <f>IFERROR(VLOOKUP(L52,Tabellen!H:I,2),0)</f>
        <v/>
      </c>
      <c r="N52" s="694" t="n"/>
      <c r="O52" s="694" t="n"/>
      <c r="P52" s="508" t="n"/>
      <c r="Q52" s="119">
        <f>IF(OR(L52=47201,L52=47100,L52=47200,L52=47500),H52,0)</f>
        <v/>
      </c>
      <c r="R52" s="119">
        <f>IF(OR(L52=87201,L52=87100,L52=87200,L52=87500),H52,0)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663">
        <f>IF(E53&gt;0,$H$4,0)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697">
        <f>IFERROR(VLOOKUP(E53,Tabellen!A:H,8),0)</f>
        <v/>
      </c>
      <c r="M53" s="664">
        <f>IFERROR(VLOOKUP(L53,Tabellen!H:I,2),0)</f>
        <v/>
      </c>
      <c r="N53" s="694" t="n"/>
      <c r="O53" s="694" t="n"/>
      <c r="P53" s="526" t="n"/>
      <c r="Q53" s="119">
        <f>IF(OR(L53=47201,L53=47100,L53=47200,L53=47500),H53,0)</f>
        <v/>
      </c>
      <c r="R53" s="119">
        <f>IF(OR(L53=87201,L53=87100,L53=87200,L53=87500),H53,0)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658">
        <f>IF(E54&gt;0,$H$4,0)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697">
        <f>IFERROR(VLOOKUP(E54,Tabellen!A:H,8),0)</f>
        <v/>
      </c>
      <c r="M54" s="660">
        <f>IFERROR(VLOOKUP(L54,Tabellen!H:I,2),0)</f>
        <v/>
      </c>
      <c r="N54" s="694" t="n"/>
      <c r="O54" s="694" t="n"/>
      <c r="P54" s="508" t="n"/>
      <c r="Q54" s="119">
        <f>IF(OR(L54=47201,L54=47100,L54=47200,L54=47500),H54,0)</f>
        <v/>
      </c>
      <c r="R54" s="119">
        <f>IF(OR(L54=87201,L54=87100,L54=87200,L54=87500),H54,0)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663">
        <f>IF(E55&gt;0,$H$4,0)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697">
        <f>IFERROR(VLOOKUP(E55,Tabellen!A:H,8),0)</f>
        <v/>
      </c>
      <c r="M55" s="664">
        <f>IFERROR(VLOOKUP(L55,Tabellen!H:I,2),0)</f>
        <v/>
      </c>
      <c r="N55" s="694" t="n"/>
      <c r="O55" s="694" t="n"/>
      <c r="P55" s="526" t="n"/>
      <c r="Q55" s="119">
        <f>IF(OR(L55=47201,L55=47100,L55=47200,L55=47500),H55,0)</f>
        <v/>
      </c>
      <c r="R55" s="119">
        <f>IF(OR(L55=87201,L55=87100,L55=87200,L55=87500),H55,0)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658">
        <f>IF(E56&gt;0,$H$4,0)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697">
        <f>IFERROR(VLOOKUP(E56,Tabellen!A:H,8),0)</f>
        <v/>
      </c>
      <c r="M56" s="660">
        <f>IFERROR(VLOOKUP(L56,Tabellen!H:I,2),0)</f>
        <v/>
      </c>
      <c r="N56" s="694" t="n"/>
      <c r="O56" s="694" t="n"/>
      <c r="P56" s="508" t="n"/>
      <c r="Q56" s="119">
        <f>IF(OR(L56=47201,L56=47100,L56=47200,L56=47500),H56,0)</f>
        <v/>
      </c>
      <c r="R56" s="119">
        <f>IF(OR(L56=87201,L56=87100,L56=87200,L56=87500),H56,0)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663">
        <f>IF(E57&gt;0,$H$4,0)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697">
        <f>IFERROR(VLOOKUP(E57,Tabellen!A:H,8),0)</f>
        <v/>
      </c>
      <c r="M57" s="664">
        <f>IFERROR(VLOOKUP(L57,Tabellen!H:I,2),0)</f>
        <v/>
      </c>
      <c r="N57" s="694" t="n"/>
      <c r="O57" s="694" t="n"/>
      <c r="P57" s="526" t="n"/>
      <c r="Q57" s="119">
        <f>IF(OR(L57=47201,L57=47100,L57=47200,L57=47500),H57,0)</f>
        <v/>
      </c>
      <c r="R57" s="119">
        <f>IF(OR(L57=87201,L57=87100,L57=87200,L57=87500),H57,0)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658">
        <f>IF(E58&gt;0,$H$4,0)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697">
        <f>IFERROR(VLOOKUP(E58,Tabellen!A:H,8),0)</f>
        <v/>
      </c>
      <c r="M58" s="660">
        <f>IFERROR(VLOOKUP(L58,Tabellen!H:I,2),0)</f>
        <v/>
      </c>
      <c r="N58" s="694" t="n"/>
      <c r="O58" s="694" t="n"/>
      <c r="P58" s="508" t="n"/>
      <c r="Q58" s="119">
        <f>IF(OR(L58=47201,L58=47100,L58=47200,L58=47500),H58,0)</f>
        <v/>
      </c>
      <c r="R58" s="119">
        <f>IF(OR(L58=87201,L58=87100,L58=87200,L58=87500),H58,0)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663">
        <f>IF(E59&gt;0,$H$4,0)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697">
        <f>IFERROR(VLOOKUP(E59,Tabellen!A:H,8),0)</f>
        <v/>
      </c>
      <c r="M59" s="664">
        <f>IFERROR(VLOOKUP(L59,Tabellen!H:I,2),0)</f>
        <v/>
      </c>
      <c r="N59" s="694" t="n"/>
      <c r="O59" s="694" t="n"/>
      <c r="P59" s="526" t="n"/>
      <c r="Q59" s="119">
        <f>IF(OR(L59=47201,L59=47100,L59=47200,L59=47500),H59,0)</f>
        <v/>
      </c>
      <c r="R59" s="119">
        <f>IF(OR(L59=87201,L59=87100,L59=87200,L59=87500),H59,0)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658">
        <f>IF(E60&gt;0,$H$4,0)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697">
        <f>IFERROR(VLOOKUP(E60,Tabellen!A:H,8),0)</f>
        <v/>
      </c>
      <c r="M60" s="660">
        <f>IFERROR(VLOOKUP(L60,Tabellen!H:I,2),0)</f>
        <v/>
      </c>
      <c r="N60" s="694" t="n"/>
      <c r="O60" s="694" t="n"/>
      <c r="P60" s="508" t="n"/>
      <c r="Q60" s="119">
        <f>IF(OR(L60=47201,L60=47100,L60=47200,L60=47500),H60,0)</f>
        <v/>
      </c>
      <c r="R60" s="119">
        <f>IF(OR(L60=87201,L60=87100,L60=87200,L60=87500),H60,0)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663">
        <f>IF(E61&gt;0,$H$4,0)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697">
        <f>IFERROR(VLOOKUP(E61,Tabellen!A:H,8),0)</f>
        <v/>
      </c>
      <c r="M61" s="664">
        <f>IFERROR(VLOOKUP(L61,Tabellen!H:I,2),0)</f>
        <v/>
      </c>
      <c r="N61" s="694" t="n"/>
      <c r="O61" s="694" t="n"/>
      <c r="P61" s="526" t="n"/>
      <c r="Q61" s="119">
        <f>IF(OR(L61=47201,L61=47100,L61=47200,L61=47500),H61,0)</f>
        <v/>
      </c>
      <c r="R61" s="119">
        <f>IF(OR(L61=87201,L61=87100,L61=87200,L61=87500),H61,0)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658">
        <f>IF(E62&gt;0,$H$4,0)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697">
        <f>IFERROR(VLOOKUP(E62,Tabellen!A:H,8),0)</f>
        <v/>
      </c>
      <c r="M62" s="660">
        <f>IFERROR(VLOOKUP(L62,Tabellen!H:I,2),0)</f>
        <v/>
      </c>
      <c r="N62" s="694" t="n"/>
      <c r="O62" s="694" t="n"/>
      <c r="P62" s="508" t="n"/>
      <c r="Q62" s="119">
        <f>IF(OR(L62=47201,L62=47100,L62=47200,L62=47500),H62,0)</f>
        <v/>
      </c>
      <c r="R62" s="119">
        <f>IF(OR(L62=87201,L62=87100,L62=87200,L62=87500),H62,0)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663">
        <f>IF(E63&gt;0,$H$4,0)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697">
        <f>IFERROR(VLOOKUP(E63,Tabellen!A:H,8),0)</f>
        <v/>
      </c>
      <c r="M63" s="664">
        <f>IFERROR(VLOOKUP(L63,Tabellen!H:I,2),0)</f>
        <v/>
      </c>
      <c r="N63" s="694" t="n"/>
      <c r="O63" s="694" t="n"/>
      <c r="P63" s="526" t="n"/>
      <c r="Q63" s="119">
        <f>IF(OR(L63=47201,L63=47100,L63=47200,L63=47500),H63,0)</f>
        <v/>
      </c>
      <c r="R63" s="119">
        <f>IF(OR(L63=87201,L63=87100,L63=87200,L63=87500),H63,0)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658">
        <f>IF(E64&gt;0,$H$4,0)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697">
        <f>IFERROR(VLOOKUP(E64,Tabellen!A:H,8),0)</f>
        <v/>
      </c>
      <c r="M64" s="660">
        <f>IFERROR(VLOOKUP(L64,Tabellen!H:I,2),0)</f>
        <v/>
      </c>
      <c r="N64" s="694" t="n"/>
      <c r="O64" s="694" t="n"/>
      <c r="P64" s="508" t="n"/>
      <c r="Q64" s="119">
        <f>IF(OR(L64=47201,L64=47100,L64=47200,L64=47500),H64,0)</f>
        <v/>
      </c>
      <c r="R64" s="119">
        <f>IF(OR(L64=87201,L64=87100,L64=87200,L64=87500),H64,0)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663">
        <f>IF(E65&gt;0,$H$4,0)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697">
        <f>IFERROR(VLOOKUP(E65,Tabellen!A:H,8),0)</f>
        <v/>
      </c>
      <c r="M65" s="664">
        <f>IFERROR(VLOOKUP(L65,Tabellen!H:I,2),0)</f>
        <v/>
      </c>
      <c r="N65" s="694" t="n"/>
      <c r="O65" s="694" t="n"/>
      <c r="P65" s="526" t="n"/>
      <c r="Q65" s="119">
        <f>IF(OR(L65=47201,L65=47100,L65=47200,L65=47500),H65,0)</f>
        <v/>
      </c>
      <c r="R65" s="119">
        <f>IF(OR(L65=87201,L65=87100,L65=87200,L65=87500),H65,0)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658">
        <f>IF(E66&gt;0,$H$4,0)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697">
        <f>IFERROR(VLOOKUP(E66,Tabellen!A:H,8),0)</f>
        <v/>
      </c>
      <c r="M66" s="660">
        <f>IFERROR(VLOOKUP(L66,Tabellen!H:I,2),0)</f>
        <v/>
      </c>
      <c r="N66" s="694" t="n"/>
      <c r="O66" s="694" t="n"/>
      <c r="P66" s="508" t="n"/>
      <c r="Q66" s="119">
        <f>IF(OR(L66=47201,L66=47100,L66=47200,L66=47500),H66,0)</f>
        <v/>
      </c>
      <c r="R66" s="119">
        <f>IF(OR(L66=87201,L66=87100,L66=87200,L66=87500),H66,0)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663">
        <f>IF(E67&gt;0,$H$4,0)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697">
        <f>IFERROR(VLOOKUP(E67,Tabellen!A:H,8),0)</f>
        <v/>
      </c>
      <c r="M67" s="664">
        <f>IFERROR(VLOOKUP(L67,Tabellen!H:I,2),0)</f>
        <v/>
      </c>
      <c r="N67" s="694" t="n"/>
      <c r="O67" s="694" t="n"/>
      <c r="P67" s="526" t="n"/>
      <c r="Q67" s="119">
        <f>IF(OR(L67=47201,L67=47100,L67=47200,L67=47500),H67,0)</f>
        <v/>
      </c>
      <c r="R67" s="119">
        <f>IF(OR(L67=87201,L67=87100,L67=87200,L67=87500),H67,0)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658">
        <f>IF(E68&gt;0,$H$4,0)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697">
        <f>IFERROR(VLOOKUP(E68,Tabellen!A:H,8),0)</f>
        <v/>
      </c>
      <c r="M68" s="660">
        <f>IFERROR(VLOOKUP(L68,Tabellen!H:I,2),0)</f>
        <v/>
      </c>
      <c r="N68" s="694" t="n"/>
      <c r="O68" s="694" t="n"/>
      <c r="P68" s="508" t="n"/>
      <c r="Q68" s="119">
        <f>IF(OR(L68=47201,L68=47100,L68=47200,L68=47500),H68,0)</f>
        <v/>
      </c>
      <c r="R68" s="119">
        <f>IF(OR(L68=87201,L68=87100,L68=87200,L68=87500),H68,0)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663">
        <f>IF(E69&gt;0,$H$4,0)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697">
        <f>IFERROR(VLOOKUP(E69,Tabellen!A:H,8),0)</f>
        <v/>
      </c>
      <c r="M69" s="664">
        <f>IFERROR(VLOOKUP(L69,Tabellen!H:I,2),0)</f>
        <v/>
      </c>
      <c r="N69" s="694" t="n"/>
      <c r="O69" s="694" t="n"/>
      <c r="P69" s="526" t="n"/>
      <c r="Q69" s="119">
        <f>IF(OR(L69=47201,L69=47100,L69=47200,L69=47500),H69,0)</f>
        <v/>
      </c>
      <c r="R69" s="119">
        <f>IF(OR(L69=87201,L69=87100,L69=87200,L69=87500),H69,0)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658">
        <f>IF(E70&gt;0,$H$4,0)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697">
        <f>IFERROR(VLOOKUP(E70,Tabellen!A:H,8),0)</f>
        <v/>
      </c>
      <c r="M70" s="660">
        <f>IFERROR(VLOOKUP(L70,Tabellen!H:I,2),0)</f>
        <v/>
      </c>
      <c r="N70" s="694" t="n"/>
      <c r="O70" s="694" t="n"/>
      <c r="P70" s="508" t="n"/>
      <c r="Q70" s="119">
        <f>IF(OR(L70=47201,L70=47100,L70=47200,L70=47500),H70,0)</f>
        <v/>
      </c>
      <c r="R70" s="119">
        <f>IF(OR(L70=87201,L70=87100,L70=87200,L70=87500),H70,0)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663">
        <f>IF(E71&gt;0,$H$4,0)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697">
        <f>IFERROR(VLOOKUP(E71,Tabellen!A:H,8),0)</f>
        <v/>
      </c>
      <c r="M71" s="664">
        <f>IFERROR(VLOOKUP(L71,Tabellen!H:I,2),0)</f>
        <v/>
      </c>
      <c r="N71" s="694" t="n"/>
      <c r="O71" s="694" t="n"/>
      <c r="P71" s="526" t="n"/>
      <c r="Q71" s="119">
        <f>IF(OR(L71=47201,L71=47100,L71=47200,L71=47500),H71,0)</f>
        <v/>
      </c>
      <c r="R71" s="119">
        <f>IF(OR(L71=87201,L71=87100,L71=87200,L71=87500),H71,0)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658">
        <f>IF(E72&gt;0,$H$4,0)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697">
        <f>IFERROR(VLOOKUP(E72,Tabellen!A:H,8),0)</f>
        <v/>
      </c>
      <c r="M72" s="660">
        <f>IFERROR(VLOOKUP(L72,Tabellen!H:I,2),0)</f>
        <v/>
      </c>
      <c r="N72" s="694" t="n"/>
      <c r="O72" s="694" t="n"/>
      <c r="P72" s="508" t="n"/>
      <c r="Q72" s="119">
        <f>IF(OR(L72=47201,L72=47100,L72=47200,L72=47500),H72,0)</f>
        <v/>
      </c>
      <c r="R72" s="119">
        <f>IF(OR(L72=87201,L72=87100,L72=87200,L72=87500),H72,0)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663">
        <f>IF(E73&gt;0,$H$4,0)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697">
        <f>IFERROR(VLOOKUP(E73,Tabellen!A:H,8),0)</f>
        <v/>
      </c>
      <c r="M73" s="664">
        <f>IFERROR(VLOOKUP(L73,Tabellen!H:I,2),0)</f>
        <v/>
      </c>
      <c r="N73" s="694" t="n"/>
      <c r="O73" s="694" t="n"/>
      <c r="P73" s="526" t="n"/>
      <c r="Q73" s="119">
        <f>IF(OR(L73=47201,L73=47100,L73=47200,L73=47500),H73,0)</f>
        <v/>
      </c>
      <c r="R73" s="119">
        <f>IF(OR(L73=87201,L73=87100,L73=87200,L73=87500),H73,0)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658">
        <f>IF(E74&gt;0,$H$4,0)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697">
        <f>IFERROR(VLOOKUP(E74,Tabellen!A:H,8),0)</f>
        <v/>
      </c>
      <c r="M74" s="660">
        <f>IFERROR(VLOOKUP(L74,Tabellen!H:I,2),0)</f>
        <v/>
      </c>
      <c r="N74" s="694" t="n"/>
      <c r="O74" s="694" t="n"/>
      <c r="P74" s="508" t="n"/>
      <c r="Q74" s="119">
        <f>IF(OR(L74=47201,L74=47100,L74=47200,L74=47500),H74,0)</f>
        <v/>
      </c>
      <c r="R74" s="119">
        <f>IF(OR(L74=87201,L74=87100,L74=87200,L74=87500),H74,0)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SUM(H18:H74)</f>
        <v/>
      </c>
      <c r="I75" s="612">
        <f>SUM(I18:I74)</f>
        <v/>
      </c>
      <c r="J75" s="612">
        <f>SUM(J18:J74)</f>
        <v/>
      </c>
      <c r="K75" s="612">
        <f>SUM(K18:K74)</f>
        <v/>
      </c>
      <c r="L75" s="695" t="n"/>
      <c r="M75" s="611" t="n"/>
      <c r="N75" s="696" t="n"/>
      <c r="O75" s="696" t="n"/>
      <c r="P75" s="461" t="n"/>
      <c r="Q75" s="349">
        <f>IF(OR(L75=47201,L75=47100,L75=47200,L75=47500),H75,0)</f>
        <v/>
      </c>
      <c r="R75" s="349">
        <f>IF(OR(L75=87201,L75=87100,L75=87200,L75=87500),H75,0)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658">
        <f>IF(E78&gt;0,$H$4,0)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698">
        <f>IFERROR(VLOOKUP(E78,Tabellen!A:H,8),0)</f>
        <v/>
      </c>
      <c r="M78" s="660">
        <f>IFERROR(VLOOKUP(L78,Tabellen!H:I,2),0)</f>
        <v/>
      </c>
      <c r="N78" s="694" t="n"/>
      <c r="O78" s="694" t="n"/>
      <c r="P78" s="508" t="n"/>
      <c r="Q78" s="119">
        <f>IF(OR(L78=47201,L78=47100,L78=47200,L78=47500),H78,0)</f>
        <v/>
      </c>
      <c r="R78" s="119">
        <f>IF(OR(L78=87201,L78=87100,L78=87200,L78=87500),H78,0)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663">
        <f>IF(E79&gt;0,$H$4,0)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698">
        <f>IFERROR(VLOOKUP(E79,Tabellen!A:H,8),0)</f>
        <v/>
      </c>
      <c r="M79" s="664">
        <f>IFERROR(VLOOKUP(L79,Tabellen!H:I,2),0)</f>
        <v/>
      </c>
      <c r="N79" s="694" t="n"/>
      <c r="O79" s="694" t="n"/>
      <c r="P79" s="526" t="n"/>
      <c r="Q79" s="119">
        <f>IF(OR(L79=47201,L79=47100,L79=47200,L79=47500),H79,0)</f>
        <v/>
      </c>
      <c r="R79" s="119">
        <f>IF(OR(L79=87201,L79=87100,L79=87200,L79=87500),H79,0)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658">
        <f>IF(E80&gt;0,$H$4,0)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698">
        <f>IFERROR(VLOOKUP(E80,Tabellen!A:H,8),0)</f>
        <v/>
      </c>
      <c r="M80" s="660">
        <f>IFERROR(VLOOKUP(L80,Tabellen!H:I,2),0)</f>
        <v/>
      </c>
      <c r="N80" s="694" t="n"/>
      <c r="O80" s="694" t="n"/>
      <c r="P80" s="508" t="n"/>
      <c r="Q80" s="119">
        <f>IF(OR(L80=47201,L80=47100,L80=47200,L80=47500),H80,0)</f>
        <v/>
      </c>
      <c r="R80" s="119">
        <f>IF(OR(L80=87201,L80=87100,L80=87200,L80=87500),H80,0)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663">
        <f>IF(E81&gt;0,$H$4,0)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698">
        <f>IFERROR(VLOOKUP(E81,Tabellen!A:H,8),0)</f>
        <v/>
      </c>
      <c r="M81" s="664">
        <f>IFERROR(VLOOKUP(L81,Tabellen!H:I,2),0)</f>
        <v/>
      </c>
      <c r="N81" s="694" t="n"/>
      <c r="O81" s="694" t="n"/>
      <c r="P81" s="526" t="n"/>
      <c r="Q81" s="119">
        <f>IF(OR(L81=47201,L81=47100,L81=47200,L81=47500),H81,0)</f>
        <v/>
      </c>
      <c r="R81" s="119">
        <f>IF(OR(L81=87201,L81=87100,L81=87200,L81=87500),H81,0)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658">
        <f>IF(E82&gt;0,$H$4,0)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698">
        <f>IFERROR(VLOOKUP(E82,Tabellen!A:H,8),0)</f>
        <v/>
      </c>
      <c r="M82" s="660">
        <f>IFERROR(VLOOKUP(L82,Tabellen!H:I,2),0)</f>
        <v/>
      </c>
      <c r="N82" s="694" t="n"/>
      <c r="O82" s="694" t="n"/>
      <c r="P82" s="508" t="n"/>
      <c r="Q82" s="119">
        <f>IF(OR(L82=47201,L82=47100,L82=47200,L82=47500),H82,0)</f>
        <v/>
      </c>
      <c r="R82" s="119">
        <f>IF(OR(L82=87201,L82=87100,L82=87200,L82=87500),H82,0)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663">
        <f>IF(E83&gt;0,$H$4,0)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698">
        <f>IFERROR(VLOOKUP(E83,Tabellen!A:H,8),0)</f>
        <v/>
      </c>
      <c r="M83" s="664">
        <f>IFERROR(VLOOKUP(L83,Tabellen!H:I,2),0)</f>
        <v/>
      </c>
      <c r="N83" s="694" t="n"/>
      <c r="O83" s="694" t="n"/>
      <c r="P83" s="526" t="n"/>
      <c r="Q83" s="119">
        <f>IF(OR(L83=47201,L83=47100,L83=47200,L83=47500),H83,0)</f>
        <v/>
      </c>
      <c r="R83" s="119">
        <f>IF(OR(L83=87201,L83=87100,L83=87200,L83=87500),H83,0)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658">
        <f>IF(E84&gt;0,$H$4,0)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698">
        <f>IFERROR(VLOOKUP(E84,Tabellen!A:H,8),0)</f>
        <v/>
      </c>
      <c r="M84" s="660">
        <f>IFERROR(VLOOKUP(L84,Tabellen!H:I,2),0)</f>
        <v/>
      </c>
      <c r="N84" s="694" t="n"/>
      <c r="O84" s="694" t="n"/>
      <c r="P84" s="508" t="n"/>
      <c r="Q84" s="119">
        <f>IF(OR(L84=47201,L84=47100,L84=47200,L84=47500),H84,0)</f>
        <v/>
      </c>
      <c r="R84" s="119">
        <f>IF(OR(L84=87201,L84=87100,L84=87200,L84=87500),H84,0)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663">
        <f>IF(E85&gt;0,$H$4,0)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698">
        <f>IFERROR(VLOOKUP(E85,Tabellen!A:H,8),0)</f>
        <v/>
      </c>
      <c r="M85" s="664">
        <f>IFERROR(VLOOKUP(L85,Tabellen!H:I,2),0)</f>
        <v/>
      </c>
      <c r="N85" s="694" t="n"/>
      <c r="O85" s="694" t="n"/>
      <c r="P85" s="526" t="n"/>
      <c r="Q85" s="119">
        <f>IF(OR(L85=47201,L85=47100,L85=47200,L85=47500),H85,0)</f>
        <v/>
      </c>
      <c r="R85" s="119">
        <f>IF(OR(L85=87201,L85=87100,L85=87200,L85=87500),H85,0)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658">
        <f>IF(E86&gt;0,$H$4,0)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698">
        <f>IFERROR(VLOOKUP(E86,Tabellen!A:H,8),0)</f>
        <v/>
      </c>
      <c r="M86" s="660">
        <f>IFERROR(VLOOKUP(L86,Tabellen!H:I,2),0)</f>
        <v/>
      </c>
      <c r="N86" s="694" t="n"/>
      <c r="O86" s="694" t="n"/>
      <c r="P86" s="508" t="n"/>
      <c r="Q86" s="119">
        <f>IF(OR(L86=47201,L86=47100,L86=47200,L86=47500),H86,0)</f>
        <v/>
      </c>
      <c r="R86" s="119">
        <f>IF(OR(L86=87201,L86=87100,L86=87200,L86=87500),H86,0)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663">
        <f>IF(E87&gt;0,$H$4,0)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698">
        <f>IFERROR(VLOOKUP(E87,Tabellen!A:H,8),0)</f>
        <v/>
      </c>
      <c r="M87" s="664">
        <f>IFERROR(VLOOKUP(L87,Tabellen!H:I,2),0)</f>
        <v/>
      </c>
      <c r="N87" s="694" t="n"/>
      <c r="O87" s="694" t="n"/>
      <c r="P87" s="526" t="n"/>
      <c r="Q87" s="119">
        <f>IF(OR(L87=47201,L87=47100,L87=47200,L87=47500),H87,0)</f>
        <v/>
      </c>
      <c r="R87" s="119">
        <f>IF(OR(L87=87201,L87=87100,L87=87200,L87=87500),H87,0)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658">
        <f>IF(E88&gt;0,$H$4,0)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698">
        <f>IFERROR(VLOOKUP(E88,Tabellen!A:H,8),0)</f>
        <v/>
      </c>
      <c r="M88" s="660">
        <f>IFERROR(VLOOKUP(L88,Tabellen!H:I,2),0)</f>
        <v/>
      </c>
      <c r="N88" s="694" t="n"/>
      <c r="O88" s="694" t="n"/>
      <c r="P88" s="508" t="n"/>
      <c r="Q88" s="119">
        <f>IF(OR(L88=47201,L88=47100,L88=47200,L88=47500),H88,0)</f>
        <v/>
      </c>
      <c r="R88" s="119">
        <f>IF(OR(L88=87201,L88=87100,L88=87200,L88=87500),H88,0)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663">
        <f>IF(E89&gt;0,$H$4,0)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698">
        <f>IFERROR(VLOOKUP(E89,Tabellen!A:H,8),0)</f>
        <v/>
      </c>
      <c r="M89" s="664">
        <f>IFERROR(VLOOKUP(L89,Tabellen!H:I,2),0)</f>
        <v/>
      </c>
      <c r="N89" s="694" t="n"/>
      <c r="O89" s="694" t="n"/>
      <c r="P89" s="526" t="n"/>
      <c r="Q89" s="119">
        <f>IF(OR(L89=47201,L89=47100,L89=47200,L89=47500),H89,0)</f>
        <v/>
      </c>
      <c r="R89" s="119">
        <f>IF(OR(L89=87201,L89=87100,L89=87200,L89=87500),H89,0)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658">
        <f>IF(E90&gt;0,$H$4,0)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698">
        <f>IFERROR(VLOOKUP(E90,Tabellen!A:H,8),0)</f>
        <v/>
      </c>
      <c r="M90" s="660">
        <f>IFERROR(VLOOKUP(L90,Tabellen!H:I,2),0)</f>
        <v/>
      </c>
      <c r="N90" s="694" t="n"/>
      <c r="O90" s="694" t="n"/>
      <c r="P90" s="508" t="n"/>
      <c r="Q90" s="119">
        <f>IF(OR(L90=47201,L90=47100,L90=47200,L90=47500),H90,0)</f>
        <v/>
      </c>
      <c r="R90" s="119">
        <f>IF(OR(L90=87201,L90=87100,L90=87200,L90=87500),H90,0)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663">
        <f>IF(E91&gt;0,$H$4,0)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698">
        <f>IFERROR(VLOOKUP(E91,Tabellen!A:H,8),0)</f>
        <v/>
      </c>
      <c r="M91" s="664">
        <f>IFERROR(VLOOKUP(L91,Tabellen!H:I,2),0)</f>
        <v/>
      </c>
      <c r="N91" s="694" t="n"/>
      <c r="O91" s="694" t="n"/>
      <c r="P91" s="526" t="n"/>
      <c r="Q91" s="119">
        <f>IF(OR(L91=47201,L91=47100,L91=47200,L91=47500),H91,0)</f>
        <v/>
      </c>
      <c r="R91" s="119">
        <f>IF(OR(L91=87201,L91=87100,L91=87200,L91=87500),H91,0)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658">
        <f>IF(E92&gt;0,$H$4,0)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698">
        <f>IFERROR(VLOOKUP(E92,Tabellen!A:H,8),0)</f>
        <v/>
      </c>
      <c r="M92" s="660">
        <f>IFERROR(VLOOKUP(L92,Tabellen!H:I,2),0)</f>
        <v/>
      </c>
      <c r="N92" s="694" t="n"/>
      <c r="O92" s="694" t="n"/>
      <c r="P92" s="508" t="n"/>
      <c r="Q92" s="119">
        <f>IF(OR(L92=47201,L92=47100,L92=47200,L92=47500),H92,0)</f>
        <v/>
      </c>
      <c r="R92" s="119">
        <f>IF(OR(L92=87201,L92=87100,L92=87200,L92=87500),H92,0)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663">
        <f>IF(E93&gt;0,$H$4,0)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698">
        <f>IFERROR(VLOOKUP(E93,Tabellen!A:H,8),0)</f>
        <v/>
      </c>
      <c r="M93" s="664">
        <f>IFERROR(VLOOKUP(L93,Tabellen!H:I,2),0)</f>
        <v/>
      </c>
      <c r="N93" s="694" t="n"/>
      <c r="O93" s="694" t="n"/>
      <c r="P93" s="526" t="n"/>
      <c r="Q93" s="119">
        <f>IF(OR(L93=47201,L93=47100,L93=47200,L93=47500),H93,0)</f>
        <v/>
      </c>
      <c r="R93" s="119">
        <f>IF(OR(L93=87201,L93=87100,L93=87200,L93=87500),H93,0)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658">
        <f>IF(E94&gt;0,$H$4,0)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698">
        <f>IFERROR(VLOOKUP(E94,Tabellen!A:H,8),0)</f>
        <v/>
      </c>
      <c r="M94" s="660">
        <f>IFERROR(VLOOKUP(L94,Tabellen!H:I,2),0)</f>
        <v/>
      </c>
      <c r="N94" s="694" t="n"/>
      <c r="O94" s="694" t="n"/>
      <c r="P94" s="508" t="n"/>
      <c r="Q94" s="119">
        <f>IF(OR(L94=47201,L94=47100,L94=47200,L94=47500),H94,0)</f>
        <v/>
      </c>
      <c r="R94" s="119">
        <f>IF(OR(L94=87201,L94=87100,L94=87200,L94=87500),H94,0)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663">
        <f>IF(E95&gt;0,$H$4,0)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698">
        <f>IFERROR(VLOOKUP(E95,Tabellen!A:H,8),0)</f>
        <v/>
      </c>
      <c r="M95" s="664">
        <f>IFERROR(VLOOKUP(L95,Tabellen!H:I,2),0)</f>
        <v/>
      </c>
      <c r="N95" s="694" t="n"/>
      <c r="O95" s="694" t="n"/>
      <c r="P95" s="526" t="n"/>
      <c r="Q95" s="119">
        <f>IF(OR(L95=47201,L95=47100,L95=47200,L95=47500),H95,0)</f>
        <v/>
      </c>
      <c r="R95" s="119">
        <f>IF(OR(L95=87201,L95=87100,L95=87200,L95=87500),H95,0)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658">
        <f>IF(E96&gt;0,$H$4,0)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698">
        <f>IFERROR(VLOOKUP(E96,Tabellen!A:H,8),0)</f>
        <v/>
      </c>
      <c r="M96" s="660">
        <f>IFERROR(VLOOKUP(L96,Tabellen!H:I,2),0)</f>
        <v/>
      </c>
      <c r="N96" s="694" t="n"/>
      <c r="O96" s="694" t="n"/>
      <c r="P96" s="508" t="n"/>
      <c r="Q96" s="119">
        <f>IF(OR(L96=47201,L96=47100,L96=47200,L96=47500),H96,0)</f>
        <v/>
      </c>
      <c r="R96" s="119">
        <f>IF(OR(L96=87201,L96=87100,L96=87200,L96=87500),H96,0)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663">
        <f>IF(E97&gt;0,$H$4,0)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698">
        <f>IFERROR(VLOOKUP(E97,Tabellen!A:H,8),0)</f>
        <v/>
      </c>
      <c r="M97" s="664">
        <f>IFERROR(VLOOKUP(L97,Tabellen!H:I,2),0)</f>
        <v/>
      </c>
      <c r="N97" s="694" t="n"/>
      <c r="O97" s="694" t="n"/>
      <c r="P97" s="526" t="n"/>
      <c r="Q97" s="119">
        <f>IF(OR(L97=47201,L97=47100,L97=47200,L97=47500),H97,0)</f>
        <v/>
      </c>
      <c r="R97" s="119">
        <f>IF(OR(L97=87201,L97=87100,L97=87200,L97=87500),H97,0)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658">
        <f>IF(E98&gt;0,$H$4,0)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698">
        <f>IFERROR(VLOOKUP(E98,Tabellen!A:H,8),0)</f>
        <v/>
      </c>
      <c r="M98" s="660">
        <f>IFERROR(VLOOKUP(L98,Tabellen!H:I,2),0)</f>
        <v/>
      </c>
      <c r="N98" s="694" t="n"/>
      <c r="O98" s="694" t="n"/>
      <c r="P98" s="508" t="n"/>
      <c r="Q98" s="119">
        <f>IF(OR(L98=47201,L98=47100,L98=47200,L98=47500),H98,0)</f>
        <v/>
      </c>
      <c r="R98" s="119">
        <f>IF(OR(L98=87201,L98=87100,L98=87200,L98=87500),H98,0)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663">
        <f>IF(E99&gt;0,$H$4,0)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698">
        <f>IFERROR(VLOOKUP(E99,Tabellen!A:H,8),0)</f>
        <v/>
      </c>
      <c r="M99" s="664">
        <f>IFERROR(VLOOKUP(L99,Tabellen!H:I,2),0)</f>
        <v/>
      </c>
      <c r="N99" s="694" t="n"/>
      <c r="O99" s="694" t="n"/>
      <c r="P99" s="526" t="n"/>
      <c r="Q99" s="119">
        <f>IF(OR(L99=47201,L99=47100,L99=47200,L99=47500),H99,0)</f>
        <v/>
      </c>
      <c r="R99" s="119">
        <f>IF(OR(L99=87201,L99=87100,L99=87200,L99=87500),H99,0)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658">
        <f>IF(E100&gt;0,$H$4,0)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698">
        <f>IFERROR(VLOOKUP(E100,Tabellen!A:H,8),0)</f>
        <v/>
      </c>
      <c r="M100" s="660">
        <f>IFERROR(VLOOKUP(L100,Tabellen!H:I,2),0)</f>
        <v/>
      </c>
      <c r="N100" s="694" t="n"/>
      <c r="O100" s="694" t="n"/>
      <c r="P100" s="508" t="n"/>
      <c r="Q100" s="119">
        <f>IF(OR(L100=47201,L100=47100,L100=47200,L100=47500),H100,0)</f>
        <v/>
      </c>
      <c r="R100" s="119">
        <f>IF(OR(L100=87201,L100=87100,L100=87200,L100=87500),H100,0)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663">
        <f>IF(E101&gt;0,$H$4,0)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698">
        <f>IFERROR(VLOOKUP(E101,Tabellen!A:H,8),0)</f>
        <v/>
      </c>
      <c r="M101" s="664">
        <f>IFERROR(VLOOKUP(L101,Tabellen!H:I,2),0)</f>
        <v/>
      </c>
      <c r="N101" s="694" t="n"/>
      <c r="O101" s="694" t="n"/>
      <c r="P101" s="526" t="n"/>
      <c r="Q101" s="119">
        <f>IF(OR(L101=47201,L101=47100,L101=47200,L101=47500),H101,0)</f>
        <v/>
      </c>
      <c r="R101" s="119">
        <f>IF(OR(L101=87201,L101=87100,L101=87200,L101=87500),H101,0)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658">
        <f>IF(E102&gt;0,$H$4,0)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698">
        <f>IFERROR(VLOOKUP(E102,Tabellen!A:H,8),0)</f>
        <v/>
      </c>
      <c r="M102" s="660">
        <f>IFERROR(VLOOKUP(L102,Tabellen!H:I,2),0)</f>
        <v/>
      </c>
      <c r="N102" s="694" t="n"/>
      <c r="O102" s="694" t="n"/>
      <c r="P102" s="508" t="n"/>
      <c r="Q102" s="119">
        <f>IF(OR(L102=47201,L102=47100,L102=47200,L102=47500),H102,0)</f>
        <v/>
      </c>
      <c r="R102" s="119">
        <f>IF(OR(L102=87201,L102=87100,L102=87200,L102=87500),H102,0)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663">
        <f>IF(E103&gt;0,$H$4,0)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698">
        <f>IFERROR(VLOOKUP(E103,Tabellen!A:H,8),0)</f>
        <v/>
      </c>
      <c r="M103" s="664">
        <f>IFERROR(VLOOKUP(L103,Tabellen!H:I,2),0)</f>
        <v/>
      </c>
      <c r="N103" s="694" t="n"/>
      <c r="O103" s="694" t="n"/>
      <c r="P103" s="526" t="n"/>
      <c r="Q103" s="119">
        <f>IF(OR(L103=47201,L103=47100,L103=47200,L103=47500),H103,0)</f>
        <v/>
      </c>
      <c r="R103" s="119">
        <f>IF(OR(L103=87201,L103=87100,L103=87200,L103=87500),H103,0)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658">
        <f>IF(E104&gt;0,$H$4,0)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698">
        <f>IFERROR(VLOOKUP(E104,Tabellen!A:H,8),0)</f>
        <v/>
      </c>
      <c r="M104" s="660">
        <f>IFERROR(VLOOKUP(L104,Tabellen!H:I,2),0)</f>
        <v/>
      </c>
      <c r="N104" s="694" t="n"/>
      <c r="O104" s="694" t="n"/>
      <c r="P104" s="508" t="n"/>
      <c r="Q104" s="119">
        <f>IF(OR(L104=47201,L104=47100,L104=47200,L104=47500),H104,0)</f>
        <v/>
      </c>
      <c r="R104" s="119">
        <f>IF(OR(L104=87201,L104=87100,L104=87200,L104=87500),H104,0)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663">
        <f>IF(E105&gt;0,$H$4,0)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698">
        <f>IFERROR(VLOOKUP(E105,Tabellen!A:H,8),0)</f>
        <v/>
      </c>
      <c r="M105" s="664">
        <f>IFERROR(VLOOKUP(L105,Tabellen!H:I,2),0)</f>
        <v/>
      </c>
      <c r="N105" s="694" t="n"/>
      <c r="O105" s="694" t="n"/>
      <c r="P105" s="526" t="n"/>
      <c r="Q105" s="119">
        <f>IF(OR(L105=47201,L105=47100,L105=47200,L105=47500),H105,0)</f>
        <v/>
      </c>
      <c r="R105" s="119">
        <f>IF(OR(L105=87201,L105=87100,L105=87200,L105=87500),H105,0)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658">
        <f>IF(E106&gt;0,$H$4,0)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698">
        <f>IFERROR(VLOOKUP(E106,Tabellen!A:H,8),0)</f>
        <v/>
      </c>
      <c r="M106" s="660">
        <f>IFERROR(VLOOKUP(L106,Tabellen!H:I,2),0)</f>
        <v/>
      </c>
      <c r="N106" s="694" t="n"/>
      <c r="O106" s="694" t="n"/>
      <c r="P106" s="508" t="n"/>
      <c r="Q106" s="119">
        <f>IF(OR(L106=47201,L106=47100,L106=47200,L106=47500),H106,0)</f>
        <v/>
      </c>
      <c r="R106" s="119">
        <f>IF(OR(L106=87201,L106=87100,L106=87200,L106=87500),H106,0)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663">
        <f>IF(E107&gt;0,$H$4,0)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698">
        <f>IFERROR(VLOOKUP(E107,Tabellen!A:H,8),0)</f>
        <v/>
      </c>
      <c r="M107" s="664">
        <f>IFERROR(VLOOKUP(L107,Tabellen!H:I,2),0)</f>
        <v/>
      </c>
      <c r="N107" s="694" t="n"/>
      <c r="O107" s="694" t="n"/>
      <c r="P107" s="526" t="n"/>
      <c r="Q107" s="119">
        <f>IF(OR(L107=47201,L107=47100,L107=47200,L107=47500),H107,0)</f>
        <v/>
      </c>
      <c r="R107" s="119">
        <f>IF(OR(L107=87201,L107=87100,L107=87200,L107=87500),H107,0)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658">
        <f>IF(E108&gt;0,$H$4,0)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698">
        <f>IFERROR(VLOOKUP(E108,Tabellen!A:H,8),0)</f>
        <v/>
      </c>
      <c r="M108" s="660">
        <f>IFERROR(VLOOKUP(L108,Tabellen!H:I,2),0)</f>
        <v/>
      </c>
      <c r="N108" s="694" t="n"/>
      <c r="O108" s="694" t="n"/>
      <c r="P108" s="508" t="n"/>
      <c r="Q108" s="119">
        <f>IF(OR(L108=47201,L108=47100,L108=47200,L108=47500),H108,0)</f>
        <v/>
      </c>
      <c r="R108" s="119">
        <f>IF(OR(L108=87201,L108=87100,L108=87200,L108=87500),H108,0)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663">
        <f>IF(E109&gt;0,$H$4,0)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697">
        <f>IFERROR(VLOOKUP(E109,Tabellen!A:H,8),0)</f>
        <v/>
      </c>
      <c r="M109" s="664">
        <f>IFERROR(VLOOKUP(L109,Tabellen!H:I,2),0)</f>
        <v/>
      </c>
      <c r="N109" s="694" t="n"/>
      <c r="O109" s="694" t="n"/>
      <c r="P109" s="526" t="n"/>
      <c r="Q109" s="119">
        <f>IF(OR(L109=47201,L109=47100,L109=47200,L109=47500),H109,0)</f>
        <v/>
      </c>
      <c r="R109" s="119">
        <f>IF(OR(L109=87201,L109=87100,L109=87200,L109=87500),H109,0)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IF(OR(L110=47201,L110=47100,L110=47200,L110=47500),H110,0)</f>
        <v/>
      </c>
      <c r="R110" s="119">
        <f>IF(OR(L110=87201,L110=87100,L110=87200,L110=87500),H110,0)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53" t="n"/>
      <c r="G121" s="654" t="n"/>
      <c r="H121" s="599" t="n"/>
      <c r="I121" s="599" t="n"/>
      <c r="J121" s="599" t="n"/>
      <c r="K121" s="599" t="n"/>
      <c r="L121" s="697" t="n"/>
      <c r="M121" s="656" t="n"/>
      <c r="N121" s="694" t="n"/>
      <c r="O121" s="694" t="n"/>
      <c r="Q121" s="119">
        <f>IF(OR(L121=47201,L121=47100,L121=47200,L121=47500),H121,0)</f>
        <v/>
      </c>
      <c r="R121" s="119">
        <f>IF(OR(L121=87201,L121=87100,L121=87200,L121=87500),H121,0)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>
        <f>IF(N122&gt;1,"+",0)</f>
        <v/>
      </c>
      <c r="F122" s="661">
        <f>IF(E122&gt;0,$H$4,0)</f>
        <v/>
      </c>
      <c r="G122" s="670" t="n"/>
      <c r="H122" s="599" t="n"/>
      <c r="I122" s="599" t="n"/>
      <c r="J122" s="599" t="n"/>
      <c r="K122" s="599" t="n"/>
      <c r="L122" s="697" t="n"/>
      <c r="M122" s="660">
        <f>IFERROR(VLOOKUP(L122,Tabellen!H:I,2),0)</f>
        <v/>
      </c>
      <c r="N122" s="694" t="n"/>
      <c r="O122" s="694" t="n"/>
      <c r="Q122" s="119">
        <f>IF(OR(L122=47201,L122=47100,L122=47200,L122=47500),H122,0)</f>
        <v/>
      </c>
      <c r="R122" s="119">
        <f>IF(OR(L122=87201,L122=87100,L122=87200,L122=87500),H122,0)</f>
        <v/>
      </c>
    </row>
    <row r="123" ht="15" customHeight="1">
      <c r="A123" s="651" t="n"/>
      <c r="B123" s="662" t="n"/>
      <c r="C123" s="662" t="n"/>
      <c r="D123" s="662" t="n"/>
      <c r="E123" s="681">
        <f>IF(N123&gt;1,"+",0)</f>
        <v/>
      </c>
      <c r="F123" s="653">
        <f>IF(E123&gt;0,$H$4,0)</f>
        <v/>
      </c>
      <c r="G123" s="654" t="n"/>
      <c r="H123" s="599" t="n"/>
      <c r="I123" s="599" t="n"/>
      <c r="J123" s="599" t="n"/>
      <c r="K123" s="599" t="n"/>
      <c r="L123" s="697" t="n"/>
      <c r="M123" s="664">
        <f>IFERROR(VLOOKUP(L123,Tabellen!H:I,2),0)</f>
        <v/>
      </c>
      <c r="N123" s="694" t="n"/>
      <c r="O123" s="694" t="n"/>
      <c r="Q123" s="119">
        <f>IF(OR(L123=47201,L123=47100,L123=47200,L123=47500),H123,0)</f>
        <v/>
      </c>
      <c r="R123" s="119">
        <f>IF(OR(L123=87201,L123=87100,L123=87200,L123=87500),H123,0)</f>
        <v/>
      </c>
    </row>
    <row r="124" ht="15" customHeight="1">
      <c r="A124" s="669" t="n"/>
      <c r="B124" s="657" t="n"/>
      <c r="C124" s="657" t="n"/>
      <c r="D124" s="657" t="n"/>
      <c r="E124" s="681">
        <f>IF(N124&gt;1,"+",0)</f>
        <v/>
      </c>
      <c r="F124" s="661">
        <f>IF(E124&gt;0,$H$4,0)</f>
        <v/>
      </c>
      <c r="G124" s="670" t="n"/>
      <c r="H124" s="599" t="n"/>
      <c r="I124" s="599" t="n"/>
      <c r="J124" s="599" t="n"/>
      <c r="K124" s="599" t="n"/>
      <c r="L124" s="697" t="n"/>
      <c r="M124" s="660">
        <f>IFERROR(VLOOKUP(L124,Tabellen!H:I,2),0)</f>
        <v/>
      </c>
      <c r="N124" s="694" t="n"/>
      <c r="O124" s="694" t="n"/>
      <c r="Q124" s="119">
        <f>IF(OR(L124=47201,L124=47100,L124=47200,L124=47500),H124,0)</f>
        <v/>
      </c>
      <c r="R124" s="119">
        <f>IF(OR(L124=87201,L124=87100,L124=87200,L124=87500),H124,0)</f>
        <v/>
      </c>
    </row>
    <row r="125" ht="15" customHeight="1">
      <c r="A125" s="651" t="n"/>
      <c r="B125" s="662" t="n"/>
      <c r="C125" s="662" t="n"/>
      <c r="D125" s="662" t="n"/>
      <c r="E125" s="681">
        <f>IF(N125&gt;1,"+",0)</f>
        <v/>
      </c>
      <c r="F125" s="653">
        <f>IF(E125&gt;0,$H$4,0)</f>
        <v/>
      </c>
      <c r="G125" s="654" t="n"/>
      <c r="H125" s="599" t="n"/>
      <c r="I125" s="599" t="n"/>
      <c r="J125" s="599" t="n"/>
      <c r="K125" s="599" t="n"/>
      <c r="L125" s="697" t="n"/>
      <c r="M125" s="664">
        <f>IFERROR(VLOOKUP(L125,Tabellen!H:I,2),0)</f>
        <v/>
      </c>
      <c r="N125" s="694" t="n"/>
      <c r="O125" s="694" t="n"/>
      <c r="Q125" s="119">
        <f>IF(OR(L125=47201,L125=47100,L125=47200,L125=47500),H125,0)</f>
        <v/>
      </c>
      <c r="R125" s="119">
        <f>IF(OR(L125=87201,L125=87100,L125=87200,L125=87500),H125,0)</f>
        <v/>
      </c>
    </row>
    <row r="126" ht="15" customHeight="1">
      <c r="A126" s="669" t="n"/>
      <c r="B126" s="657" t="n"/>
      <c r="C126" s="657" t="n"/>
      <c r="D126" s="657" t="n"/>
      <c r="E126" s="681">
        <f>IF(N126&gt;1,"+",0)</f>
        <v/>
      </c>
      <c r="F126" s="661">
        <f>IF(E126&gt;0,$H$4,0)</f>
        <v/>
      </c>
      <c r="G126" s="670" t="n"/>
      <c r="H126" s="599" t="n"/>
      <c r="I126" s="599" t="n"/>
      <c r="J126" s="599" t="n"/>
      <c r="K126" s="599" t="n"/>
      <c r="L126" s="697" t="n"/>
      <c r="M126" s="660">
        <f>IFERROR(VLOOKUP(L126,Tabellen!H:I,2),0)</f>
        <v/>
      </c>
      <c r="N126" s="694" t="n"/>
      <c r="O126" s="694" t="n"/>
      <c r="Q126" s="119">
        <f>IF(OR(L126=47201,L126=47100,L126=47200,L126=47500),H126,0)</f>
        <v/>
      </c>
      <c r="R126" s="119">
        <f>IF(OR(L126=87201,L126=87100,L126=87200,L126=87500),H126,0)</f>
        <v/>
      </c>
    </row>
    <row r="127" ht="15" customHeight="1">
      <c r="A127" s="651" t="n"/>
      <c r="B127" s="662" t="n"/>
      <c r="C127" s="662" t="n"/>
      <c r="D127" s="662" t="n"/>
      <c r="E127" s="681">
        <f>IF(N127&gt;1,"+",0)</f>
        <v/>
      </c>
      <c r="F127" s="653">
        <f>IF(E127&gt;0,$H$4,0)</f>
        <v/>
      </c>
      <c r="G127" s="654" t="n"/>
      <c r="H127" s="599" t="n"/>
      <c r="I127" s="599" t="n"/>
      <c r="J127" s="599" t="n"/>
      <c r="K127" s="599" t="n"/>
      <c r="L127" s="697" t="n"/>
      <c r="M127" s="664">
        <f>IFERROR(VLOOKUP(L127,Tabellen!H:I,2),0)</f>
        <v/>
      </c>
      <c r="N127" s="694" t="n"/>
      <c r="O127" s="694" t="n"/>
      <c r="Q127" s="119">
        <f>IF(OR(L127=47201,L127=47100,L127=47200,L127=47500),H127,0)</f>
        <v/>
      </c>
      <c r="R127" s="119">
        <f>IF(OR(L127=87201,L127=87100,L127=87200,L127=87500),H127,0)</f>
        <v/>
      </c>
    </row>
    <row r="128" ht="15" customHeight="1">
      <c r="A128" s="669" t="n"/>
      <c r="B128" s="657" t="n"/>
      <c r="C128" s="657" t="n"/>
      <c r="D128" s="657" t="n"/>
      <c r="E128" s="681">
        <f>IF(N128&gt;1,"+",0)</f>
        <v/>
      </c>
      <c r="F128" s="661">
        <f>IF(E128&gt;0,$H$4,0)</f>
        <v/>
      </c>
      <c r="G128" s="670" t="n"/>
      <c r="H128" s="599" t="n"/>
      <c r="I128" s="599" t="n"/>
      <c r="J128" s="599" t="n"/>
      <c r="K128" s="599" t="n"/>
      <c r="L128" s="697" t="n"/>
      <c r="M128" s="660">
        <f>IFERROR(VLOOKUP(L128,Tabellen!H:I,2),0)</f>
        <v/>
      </c>
      <c r="N128" s="694" t="n"/>
      <c r="O128" s="694" t="n"/>
      <c r="Q128" s="119">
        <f>IF(OR(L128=47201,L128=47100,L128=47200,L128=47500),H128,0)</f>
        <v/>
      </c>
      <c r="R128" s="119">
        <f>IF(OR(L128=87201,L128=87100,L128=87200,L128=87500),H128,0)</f>
        <v/>
      </c>
    </row>
    <row r="129" ht="15" customHeight="1">
      <c r="A129" s="651" t="n"/>
      <c r="B129" s="662" t="n"/>
      <c r="C129" s="662" t="n"/>
      <c r="D129" s="662" t="n"/>
      <c r="E129" s="681">
        <f>IF(N129&gt;1,"+",0)</f>
        <v/>
      </c>
      <c r="F129" s="653">
        <f>IF(E129&gt;0,$H$4,0)</f>
        <v/>
      </c>
      <c r="G129" s="654" t="n"/>
      <c r="H129" s="599" t="n"/>
      <c r="I129" s="599" t="n"/>
      <c r="J129" s="599" t="n"/>
      <c r="K129" s="599" t="n"/>
      <c r="L129" s="697" t="n"/>
      <c r="M129" s="664">
        <f>IFERROR(VLOOKUP(L129,Tabellen!H:I,2),0)</f>
        <v/>
      </c>
      <c r="N129" s="694" t="n"/>
      <c r="O129" s="694" t="n"/>
      <c r="Q129" s="119">
        <f>IF(OR(L129=47201,L129=47100,L129=47200,L129=47500),H129,0)</f>
        <v/>
      </c>
      <c r="R129" s="119">
        <f>IF(OR(L129=87201,L129=87100,L129=87200,L129=87500),H129,0)</f>
        <v/>
      </c>
    </row>
    <row r="130" ht="15" customHeight="1">
      <c r="A130" s="669" t="n"/>
      <c r="B130" s="657" t="n"/>
      <c r="C130" s="657" t="n"/>
      <c r="D130" s="657" t="n"/>
      <c r="E130" s="681">
        <f>IF(N130&gt;1,"+",0)</f>
        <v/>
      </c>
      <c r="F130" s="661">
        <f>IF(E130&gt;0,$H$4,0)</f>
        <v/>
      </c>
      <c r="G130" s="670" t="n"/>
      <c r="H130" s="599" t="n"/>
      <c r="I130" s="599" t="n"/>
      <c r="J130" s="599" t="n"/>
      <c r="K130" s="599" t="n"/>
      <c r="L130" s="697" t="n"/>
      <c r="M130" s="660">
        <f>IFERROR(VLOOKUP(L130,Tabellen!H:I,2),0)</f>
        <v/>
      </c>
      <c r="N130" s="694" t="n"/>
      <c r="O130" s="694" t="n"/>
      <c r="Q130" s="119">
        <f>IF(OR(L130=47201,L130=47100,L130=47200,L130=47500),H130,0)</f>
        <v/>
      </c>
      <c r="R130" s="119">
        <f>IF(OR(L130=87201,L130=87100,L130=87200,L130=87500),H130,0)</f>
        <v/>
      </c>
    </row>
    <row r="131" ht="15" customHeight="1">
      <c r="A131" s="651" t="n"/>
      <c r="B131" s="662" t="n"/>
      <c r="C131" s="662" t="n"/>
      <c r="D131" s="662" t="n"/>
      <c r="E131" s="681">
        <f>IF(N131&gt;1,"+",0)</f>
        <v/>
      </c>
      <c r="F131" s="653">
        <f>IF(E131&gt;0,$H$4,0)</f>
        <v/>
      </c>
      <c r="G131" s="654" t="n"/>
      <c r="H131" s="599" t="n"/>
      <c r="I131" s="599" t="n"/>
      <c r="J131" s="599" t="n"/>
      <c r="K131" s="599" t="n"/>
      <c r="L131" s="697" t="n"/>
      <c r="M131" s="664">
        <f>IFERROR(VLOOKUP(L131,Tabellen!H:I,2),0)</f>
        <v/>
      </c>
      <c r="N131" s="694" t="n"/>
      <c r="O131" s="694" t="n"/>
      <c r="Q131" s="119">
        <f>IF(OR(L131=47201,L131=47100,L131=47200,L131=47500),H131,0)</f>
        <v/>
      </c>
      <c r="R131" s="119">
        <f>IF(OR(L131=87201,L131=87100,L131=87200,L131=87500),H131,0)</f>
        <v/>
      </c>
    </row>
    <row r="132" ht="15" customHeight="1">
      <c r="A132" s="669" t="n"/>
      <c r="B132" s="657" t="n"/>
      <c r="C132" s="657" t="n"/>
      <c r="D132" s="657" t="n"/>
      <c r="E132" s="681">
        <f>IF(N132&gt;1,"+",0)</f>
        <v/>
      </c>
      <c r="F132" s="661">
        <f>IF(E132&gt;0,$H$4,0)</f>
        <v/>
      </c>
      <c r="G132" s="670" t="n"/>
      <c r="H132" s="599" t="n"/>
      <c r="I132" s="599" t="n"/>
      <c r="J132" s="599" t="n"/>
      <c r="K132" s="599" t="n"/>
      <c r="L132" s="697" t="n"/>
      <c r="M132" s="660">
        <f>IFERROR(VLOOKUP(L132,Tabellen!H:I,2),0)</f>
        <v/>
      </c>
      <c r="N132" s="694" t="n"/>
      <c r="O132" s="694" t="n"/>
      <c r="Q132" s="119">
        <f>IF(OR(L132=47201,L132=47100,L132=47200,L132=47500),H132,0)</f>
        <v/>
      </c>
      <c r="R132" s="119">
        <f>IF(OR(L132=87201,L132=87100,L132=87200,L132=87500),H132,0)</f>
        <v/>
      </c>
    </row>
    <row r="133" ht="15" customHeight="1">
      <c r="A133" s="651" t="n"/>
      <c r="B133" s="662" t="n"/>
      <c r="C133" s="662" t="n"/>
      <c r="D133" s="662" t="n"/>
      <c r="E133" s="681">
        <f>IF(N133&gt;1,"+",0)</f>
        <v/>
      </c>
      <c r="F133" s="653">
        <f>IF(E133&gt;0,$H$4,0)</f>
        <v/>
      </c>
      <c r="G133" s="654" t="n"/>
      <c r="H133" s="599" t="n"/>
      <c r="I133" s="599" t="n"/>
      <c r="J133" s="599" t="n"/>
      <c r="K133" s="599" t="n"/>
      <c r="L133" s="697" t="n"/>
      <c r="M133" s="664">
        <f>IFERROR(VLOOKUP(L133,Tabellen!H:I,2),0)</f>
        <v/>
      </c>
      <c r="N133" s="694" t="n"/>
      <c r="O133" s="694" t="n"/>
      <c r="Q133" s="119">
        <f>IF(OR(L133=47201,L133=47100,L133=47200,L133=47500),H133,0)</f>
        <v/>
      </c>
      <c r="R133" s="119">
        <f>IF(OR(L133=87201,L133=87100,L133=87200,L133=87500),H133,0)</f>
        <v/>
      </c>
    </row>
    <row r="134" ht="15" customHeight="1">
      <c r="A134" s="669" t="n"/>
      <c r="B134" s="657" t="n"/>
      <c r="C134" s="657" t="n"/>
      <c r="D134" s="657" t="n"/>
      <c r="E134" s="681">
        <f>IF(N134&gt;1,"+",0)</f>
        <v/>
      </c>
      <c r="F134" s="661">
        <f>IF(E134&gt;0,$H$4,0)</f>
        <v/>
      </c>
      <c r="G134" s="670" t="n"/>
      <c r="H134" s="599" t="n"/>
      <c r="I134" s="599" t="n"/>
      <c r="J134" s="599" t="n"/>
      <c r="K134" s="599" t="n"/>
      <c r="L134" s="697" t="n"/>
      <c r="M134" s="660">
        <f>IFERROR(VLOOKUP(L134,Tabellen!H:I,2),0)</f>
        <v/>
      </c>
      <c r="N134" s="694" t="n"/>
      <c r="O134" s="694" t="n"/>
      <c r="Q134" s="119">
        <f>IF(OR(L134=47201,L134=47100,L134=47200,L134=47500),H134,0)</f>
        <v/>
      </c>
      <c r="R134" s="119">
        <f>IF(OR(L134=87201,L134=87100,L134=87200,L134=87500),H134,0)</f>
        <v/>
      </c>
    </row>
    <row r="135" ht="15" customHeight="1">
      <c r="A135" s="651" t="n"/>
      <c r="B135" s="662" t="n"/>
      <c r="C135" s="662" t="n"/>
      <c r="D135" s="662" t="n"/>
      <c r="E135" s="681">
        <f>IF(N135&gt;1,"+",0)</f>
        <v/>
      </c>
      <c r="F135" s="653">
        <f>IF(E135&gt;0,$H$4,0)</f>
        <v/>
      </c>
      <c r="G135" s="654" t="n"/>
      <c r="H135" s="599" t="n"/>
      <c r="I135" s="599" t="n"/>
      <c r="J135" s="599" t="n"/>
      <c r="K135" s="599" t="n"/>
      <c r="L135" s="697" t="n"/>
      <c r="M135" s="664">
        <f>IFERROR(VLOOKUP(L135,Tabellen!H:I,2),0)</f>
        <v/>
      </c>
      <c r="N135" s="694" t="n"/>
      <c r="O135" s="694" t="n"/>
      <c r="Q135" s="119">
        <f>IF(OR(L135=47201,L135=47100,L135=47200,L135=47500),H135,0)</f>
        <v/>
      </c>
      <c r="R135" s="119">
        <f>IF(OR(L135=87201,L135=87100,L135=87200,L135=87500),H135,0)</f>
        <v/>
      </c>
    </row>
    <row r="136" ht="15" customHeight="1">
      <c r="A136" s="669" t="n"/>
      <c r="B136" s="657" t="n"/>
      <c r="C136" s="657" t="n"/>
      <c r="D136" s="657" t="n"/>
      <c r="E136" s="681">
        <f>IF(N136&gt;1,"+",0)</f>
        <v/>
      </c>
      <c r="F136" s="661">
        <f>IF(E136&gt;0,$H$4,0)</f>
        <v/>
      </c>
      <c r="G136" s="670" t="n"/>
      <c r="H136" s="599" t="n"/>
      <c r="I136" s="599" t="n"/>
      <c r="J136" s="599" t="n"/>
      <c r="K136" s="599" t="n"/>
      <c r="L136" s="697" t="n"/>
      <c r="M136" s="660">
        <f>IFERROR(VLOOKUP(L136,Tabellen!H:I,2),0)</f>
        <v/>
      </c>
      <c r="N136" s="694" t="n"/>
      <c r="O136" s="694" t="n"/>
      <c r="Q136" s="119">
        <f>IF(OR(L136=47201,L136=47100,L136=47200,L136=47500),H136,0)</f>
        <v/>
      </c>
      <c r="R136" s="119">
        <f>IF(OR(L136=87201,L136=87100,L136=87200,L136=87500),H136,0)</f>
        <v/>
      </c>
    </row>
    <row r="137" ht="15" customHeight="1">
      <c r="A137" s="651" t="n"/>
      <c r="B137" s="662" t="n"/>
      <c r="C137" s="662" t="n"/>
      <c r="D137" s="662" t="n"/>
      <c r="E137" s="681">
        <f>IF(N137&gt;1,"+",0)</f>
        <v/>
      </c>
      <c r="F137" s="653">
        <f>IF(E137&gt;0,$H$4,0)</f>
        <v/>
      </c>
      <c r="G137" s="654" t="n"/>
      <c r="H137" s="599" t="n"/>
      <c r="I137" s="599" t="n"/>
      <c r="J137" s="599" t="n"/>
      <c r="K137" s="599" t="n"/>
      <c r="L137" s="697" t="n"/>
      <c r="M137" s="664">
        <f>IFERROR(VLOOKUP(L137,Tabellen!H:I,2),0)</f>
        <v/>
      </c>
      <c r="N137" s="694" t="n"/>
      <c r="O137" s="694" t="n"/>
      <c r="Q137" s="119">
        <f>IF(OR(L137=47201,L137=47100,L137=47200,L137=47500),H137,0)</f>
        <v/>
      </c>
      <c r="R137" s="119">
        <f>IF(OR(L137=87201,L137=87100,L137=87200,L137=87500),H137,0)</f>
        <v/>
      </c>
    </row>
    <row r="138" ht="15" customHeight="1">
      <c r="A138" s="669" t="n"/>
      <c r="B138" s="657" t="n"/>
      <c r="C138" s="657" t="n"/>
      <c r="D138" s="657" t="n"/>
      <c r="E138" s="681">
        <f>IF(N138&gt;1,"+",0)</f>
        <v/>
      </c>
      <c r="F138" s="661">
        <f>IF(E138&gt;0,$H$4,0)</f>
        <v/>
      </c>
      <c r="G138" s="670" t="n"/>
      <c r="H138" s="599" t="n"/>
      <c r="I138" s="599" t="n"/>
      <c r="J138" s="599" t="n"/>
      <c r="K138" s="599" t="n"/>
      <c r="L138" s="697" t="n"/>
      <c r="M138" s="660">
        <f>IFERROR(VLOOKUP(L138,Tabellen!H:I,2),0)</f>
        <v/>
      </c>
      <c r="N138" s="694" t="n"/>
      <c r="O138" s="694" t="n"/>
      <c r="Q138" s="119">
        <f>IF(OR(L138=47201,L138=47100,L138=47200,L138=47500),H138,0)</f>
        <v/>
      </c>
      <c r="R138" s="119">
        <f>IF(OR(L138=87201,L138=87100,L138=87200,L138=87500),H138,0)</f>
        <v/>
      </c>
    </row>
    <row r="139" ht="15" customHeight="1">
      <c r="A139" s="651" t="n"/>
      <c r="B139" s="662" t="n"/>
      <c r="C139" s="662" t="n"/>
      <c r="D139" s="662" t="n"/>
      <c r="E139" s="681">
        <f>IF(N139&gt;1,"+",0)</f>
        <v/>
      </c>
      <c r="F139" s="653">
        <f>IF(E139&gt;0,$H$4,0)</f>
        <v/>
      </c>
      <c r="G139" s="654" t="n"/>
      <c r="H139" s="599" t="n"/>
      <c r="I139" s="599" t="n"/>
      <c r="J139" s="599" t="n"/>
      <c r="K139" s="599" t="n"/>
      <c r="L139" s="697" t="n"/>
      <c r="M139" s="664">
        <f>IFERROR(VLOOKUP(L139,Tabellen!H:I,2),0)</f>
        <v/>
      </c>
      <c r="N139" s="694" t="n"/>
      <c r="O139" s="694" t="n"/>
      <c r="Q139" s="119">
        <f>IF(OR(L139=47201,L139=47100,L139=47200,L139=47500),H139,0)</f>
        <v/>
      </c>
      <c r="R139" s="119">
        <f>IF(OR(L139=87201,L139=87100,L139=87200,L139=87500),H139,0)</f>
        <v/>
      </c>
    </row>
    <row r="140" ht="15" customHeight="1">
      <c r="A140" s="669" t="n"/>
      <c r="B140" s="657" t="n"/>
      <c r="C140" s="657" t="n"/>
      <c r="D140" s="657" t="n"/>
      <c r="E140" s="681">
        <f>IF(N140&gt;1,"+",0)</f>
        <v/>
      </c>
      <c r="F140" s="661">
        <f>IF(E140&gt;0,$H$4,0)</f>
        <v/>
      </c>
      <c r="G140" s="670" t="n"/>
      <c r="H140" s="599" t="n"/>
      <c r="I140" s="599" t="n"/>
      <c r="J140" s="599" t="n"/>
      <c r="K140" s="599" t="n"/>
      <c r="L140" s="697" t="n"/>
      <c r="M140" s="660">
        <f>IFERROR(VLOOKUP(L140,Tabellen!H:I,2),0)</f>
        <v/>
      </c>
      <c r="N140" s="694" t="n"/>
      <c r="O140" s="694" t="n"/>
      <c r="Q140" s="119">
        <f>IF(OR(L140=47201,L140=47100,L140=47200,L140=47500),H140,0)</f>
        <v/>
      </c>
      <c r="R140" s="119">
        <f>IF(OR(L140=87201,L140=87100,L140=87200,L140=87500),H140,0)</f>
        <v/>
      </c>
    </row>
    <row r="141" ht="15" customHeight="1">
      <c r="A141" s="651" t="n"/>
      <c r="B141" s="662" t="n"/>
      <c r="C141" s="662" t="n"/>
      <c r="D141" s="662" t="n"/>
      <c r="E141" s="681">
        <f>IF(N141&gt;1,"+",0)</f>
        <v/>
      </c>
      <c r="F141" s="653">
        <f>IF(E141&gt;0,$H$4,0)</f>
        <v/>
      </c>
      <c r="G141" s="654" t="n"/>
      <c r="H141" s="599" t="n"/>
      <c r="I141" s="599" t="n"/>
      <c r="J141" s="599" t="n"/>
      <c r="K141" s="599" t="n"/>
      <c r="L141" s="697" t="n"/>
      <c r="M141" s="664">
        <f>IFERROR(VLOOKUP(L141,Tabellen!H:I,2),0)</f>
        <v/>
      </c>
      <c r="N141" s="694" t="n"/>
      <c r="O141" s="694" t="n"/>
      <c r="Q141" s="119">
        <f>IF(OR(L141=47201,L141=47100,L141=47200,L141=47500),H141,0)</f>
        <v/>
      </c>
      <c r="R141" s="119">
        <f>IF(OR(L141=87201,L141=87100,L141=87200,L141=87500),H141,0)</f>
        <v/>
      </c>
    </row>
    <row r="142" ht="15" customHeight="1">
      <c r="A142" s="669" t="n"/>
      <c r="B142" s="657" t="n"/>
      <c r="C142" s="657" t="n"/>
      <c r="D142" s="657" t="n"/>
      <c r="E142" s="681">
        <f>IF(N142&gt;1,"+",0)</f>
        <v/>
      </c>
      <c r="F142" s="661">
        <f>IF(E142&gt;0,$H$4,0)</f>
        <v/>
      </c>
      <c r="G142" s="670" t="n"/>
      <c r="H142" s="599" t="n"/>
      <c r="I142" s="599" t="n"/>
      <c r="J142" s="599" t="n"/>
      <c r="K142" s="599" t="n"/>
      <c r="L142" s="697" t="n"/>
      <c r="M142" s="660">
        <f>IFERROR(VLOOKUP(L142,Tabellen!H:I,2),0)</f>
        <v/>
      </c>
      <c r="N142" s="694" t="n"/>
      <c r="O142" s="694" t="n"/>
      <c r="Q142" s="119">
        <f>IF(OR(L142=47201,L142=47100,L142=47200,L142=47500),H142,0)</f>
        <v/>
      </c>
      <c r="R142" s="119">
        <f>IF(OR(L142=87201,L142=87100,L142=87200,L142=87500),H142,0)</f>
        <v/>
      </c>
    </row>
    <row r="143" ht="15" customHeight="1">
      <c r="A143" s="651" t="n"/>
      <c r="B143" s="662" t="n"/>
      <c r="C143" s="662" t="n"/>
      <c r="D143" s="662" t="n"/>
      <c r="E143" s="681">
        <f>IF(N143&gt;1,"+",0)</f>
        <v/>
      </c>
      <c r="F143" s="653">
        <f>IF(E143&gt;0,$H$4,0)</f>
        <v/>
      </c>
      <c r="G143" s="654" t="n"/>
      <c r="H143" s="599" t="n"/>
      <c r="I143" s="599" t="n"/>
      <c r="J143" s="599" t="n"/>
      <c r="K143" s="599" t="n"/>
      <c r="L143" s="697" t="n"/>
      <c r="M143" s="664">
        <f>IFERROR(VLOOKUP(L143,Tabellen!H:I,2),0)</f>
        <v/>
      </c>
      <c r="N143" s="694" t="n"/>
      <c r="O143" s="694" t="n"/>
      <c r="Q143" s="119">
        <f>IF(OR(L143=47201,L143=47100,L143=47200,L143=47500),H143,0)</f>
        <v/>
      </c>
      <c r="R143" s="119">
        <f>IF(OR(L143=87201,L143=87100,L143=87200,L143=87500),H143,0)</f>
        <v/>
      </c>
    </row>
    <row r="144" ht="15" customHeight="1">
      <c r="A144" s="669" t="n"/>
      <c r="B144" s="657" t="n"/>
      <c r="C144" s="657" t="n"/>
      <c r="D144" s="657" t="n"/>
      <c r="E144" s="681">
        <f>IF(N144&gt;1,"+",0)</f>
        <v/>
      </c>
      <c r="F144" s="661">
        <f>IF(E144&gt;0,$H$4,0)</f>
        <v/>
      </c>
      <c r="G144" s="670" t="n"/>
      <c r="H144" s="599" t="n"/>
      <c r="I144" s="599" t="n"/>
      <c r="J144" s="599" t="n"/>
      <c r="K144" s="599" t="n"/>
      <c r="L144" s="697" t="n"/>
      <c r="M144" s="660">
        <f>IFERROR(VLOOKUP(L144,Tabellen!H:I,2),0)</f>
        <v/>
      </c>
      <c r="N144" s="694" t="n"/>
      <c r="O144" s="694" t="n"/>
      <c r="Q144" s="119">
        <f>IF(OR(L144=47201,L144=47100,L144=47200,L144=47500),H144,0)</f>
        <v/>
      </c>
      <c r="R144" s="119">
        <f>IF(OR(L144=87201,L144=87100,L144=87200,L144=87500),H144,0)</f>
        <v/>
      </c>
    </row>
    <row r="145" ht="15" customHeight="1">
      <c r="A145" s="651" t="n"/>
      <c r="B145" s="662" t="n"/>
      <c r="C145" s="662" t="n"/>
      <c r="D145" s="662" t="n"/>
      <c r="E145" s="681">
        <f>IF(N145&gt;1,"+",0)</f>
        <v/>
      </c>
      <c r="F145" s="653">
        <f>IF(E145&gt;0,$H$4,0)</f>
        <v/>
      </c>
      <c r="G145" s="654" t="n"/>
      <c r="H145" s="599" t="n"/>
      <c r="I145" s="599" t="n"/>
      <c r="J145" s="599" t="n"/>
      <c r="K145" s="599" t="n"/>
      <c r="L145" s="697" t="n"/>
      <c r="M145" s="664">
        <f>IFERROR(VLOOKUP(L145,Tabellen!H:I,2),0)</f>
        <v/>
      </c>
      <c r="N145" s="694" t="n"/>
      <c r="O145" s="694" t="n"/>
      <c r="Q145" s="119">
        <f>IF(OR(L145=47201,L145=47100,L145=47200,L145=47500),H145,0)</f>
        <v/>
      </c>
      <c r="R145" s="119">
        <f>IF(OR(L145=87201,L145=87100,L145=87200,L145=87500),H145,0)</f>
        <v/>
      </c>
    </row>
    <row r="146" ht="15" customHeight="1">
      <c r="A146" s="669" t="n"/>
      <c r="B146" s="657" t="n"/>
      <c r="C146" s="657" t="n"/>
      <c r="D146" s="657" t="n"/>
      <c r="E146" s="681">
        <f>IF(N146&gt;1,"+",0)</f>
        <v/>
      </c>
      <c r="F146" s="661">
        <f>IF(E146&gt;0,$H$4,0)</f>
        <v/>
      </c>
      <c r="G146" s="670" t="n"/>
      <c r="H146" s="599" t="n"/>
      <c r="I146" s="599" t="n"/>
      <c r="J146" s="599" t="n"/>
      <c r="K146" s="599" t="n"/>
      <c r="L146" s="697" t="n"/>
      <c r="M146" s="660">
        <f>IFERROR(VLOOKUP(L146,Tabellen!H:I,2),0)</f>
        <v/>
      </c>
      <c r="N146" s="694" t="n"/>
      <c r="O146" s="694" t="n"/>
      <c r="Q146" s="119">
        <f>IF(OR(L146=47201,L146=47100,L146=47200,L146=47500),H146,0)</f>
        <v/>
      </c>
      <c r="R146" s="119">
        <f>IF(OR(L146=87201,L146=87100,L146=87200,L146=87500),H146,0)</f>
        <v/>
      </c>
    </row>
    <row r="147" ht="15" customHeight="1">
      <c r="A147" s="651" t="n"/>
      <c r="B147" s="662" t="n"/>
      <c r="C147" s="662" t="n"/>
      <c r="D147" s="662" t="n"/>
      <c r="E147" s="681">
        <f>IF(N147&gt;1,"+",0)</f>
        <v/>
      </c>
      <c r="F147" s="653">
        <f>IF(E147&gt;0,$H$4,0)</f>
        <v/>
      </c>
      <c r="G147" s="654" t="n"/>
      <c r="H147" s="599" t="n"/>
      <c r="I147" s="599" t="n"/>
      <c r="J147" s="599" t="n"/>
      <c r="K147" s="599" t="n"/>
      <c r="L147" s="697" t="n"/>
      <c r="M147" s="664">
        <f>IFERROR(VLOOKUP(L147,Tabellen!H:I,2),0)</f>
        <v/>
      </c>
      <c r="N147" s="694" t="n"/>
      <c r="O147" s="694" t="n"/>
      <c r="Q147" s="119">
        <f>IF(OR(L147=47201,L147=47100,L147=47200,L147=47500),H147,0)</f>
        <v/>
      </c>
      <c r="R147" s="119">
        <f>IF(OR(L147=87201,L147=87100,L147=87200,L147=87500),H147,0)</f>
        <v/>
      </c>
    </row>
    <row r="148" ht="15" customHeight="1">
      <c r="A148" s="669" t="n"/>
      <c r="B148" s="657" t="n"/>
      <c r="C148" s="657" t="n"/>
      <c r="D148" s="657" t="n"/>
      <c r="E148" s="681">
        <f>IF(N148&gt;1,"+",0)</f>
        <v/>
      </c>
      <c r="F148" s="661">
        <f>IF(E148&gt;0,$H$4,0)</f>
        <v/>
      </c>
      <c r="G148" s="670" t="n"/>
      <c r="H148" s="599" t="n"/>
      <c r="I148" s="599" t="n"/>
      <c r="J148" s="599" t="n"/>
      <c r="K148" s="599" t="n"/>
      <c r="L148" s="697" t="n"/>
      <c r="M148" s="660">
        <f>IFERROR(VLOOKUP(L148,Tabellen!H:I,2),0)</f>
        <v/>
      </c>
      <c r="N148" s="694" t="n"/>
      <c r="O148" s="694" t="n"/>
      <c r="Q148" s="119">
        <f>IF(OR(L148=47201,L148=47100,L148=47200,L148=47500),H148,0)</f>
        <v/>
      </c>
      <c r="R148" s="119">
        <f>IF(OR(L148=87201,L148=87100,L148=87200,L148=87500),H148,0)</f>
        <v/>
      </c>
    </row>
    <row r="149" ht="15" customHeight="1">
      <c r="A149" s="651" t="n"/>
      <c r="B149" s="662" t="n"/>
      <c r="C149" s="662" t="n"/>
      <c r="D149" s="662" t="n"/>
      <c r="E149" s="681">
        <f>IF(N149&gt;1,"+",0)</f>
        <v/>
      </c>
      <c r="F149" s="653">
        <f>IF(E149&gt;0,$H$4,0)</f>
        <v/>
      </c>
      <c r="G149" s="654" t="n"/>
      <c r="H149" s="599" t="n"/>
      <c r="I149" s="599" t="n"/>
      <c r="J149" s="599" t="n"/>
      <c r="K149" s="599" t="n"/>
      <c r="L149" s="697" t="n"/>
      <c r="M149" s="664">
        <f>IFERROR(VLOOKUP(L149,Tabellen!H:I,2),0)</f>
        <v/>
      </c>
      <c r="N149" s="694" t="n"/>
      <c r="O149" s="694" t="n"/>
      <c r="Q149" s="119">
        <f>IF(OR(L149=47201,L149=47100,L149=47200,L149=47500),H149,0)</f>
        <v/>
      </c>
      <c r="R149" s="119">
        <f>IF(OR(L149=87201,L149=87100,L149=87200,L149=87500),H149,0)</f>
        <v/>
      </c>
    </row>
    <row r="150" ht="15" customHeight="1">
      <c r="A150" s="669" t="n"/>
      <c r="B150" s="657" t="n"/>
      <c r="C150" s="657" t="n"/>
      <c r="D150" s="657" t="n"/>
      <c r="E150" s="681">
        <f>IF(N150&gt;1,"+",0)</f>
        <v/>
      </c>
      <c r="F150" s="661">
        <f>IF(E150&gt;0,$H$4,0)</f>
        <v/>
      </c>
      <c r="G150" s="670" t="n"/>
      <c r="H150" s="599" t="n"/>
      <c r="I150" s="599" t="n"/>
      <c r="J150" s="599" t="n"/>
      <c r="K150" s="599" t="n"/>
      <c r="L150" s="697" t="n"/>
      <c r="M150" s="660">
        <f>IFERROR(VLOOKUP(L150,Tabellen!H:I,2),0)</f>
        <v/>
      </c>
      <c r="N150" s="694" t="n"/>
      <c r="O150" s="694" t="n"/>
      <c r="Q150" s="119">
        <f>IF(OR(L150=47201,L150=47100,L150=47200,L150=47500),H150,0)</f>
        <v/>
      </c>
      <c r="R150" s="119">
        <f>IF(OR(L150=87201,L150=87100,L150=87200,L150=87500),H150,0)</f>
        <v/>
      </c>
    </row>
    <row r="151" ht="15" customHeight="1">
      <c r="A151" s="651" t="n"/>
      <c r="B151" s="662" t="n"/>
      <c r="C151" s="662" t="n"/>
      <c r="D151" s="662" t="n"/>
      <c r="E151" s="681">
        <f>IF(N151&gt;1,"+",0)</f>
        <v/>
      </c>
      <c r="F151" s="653">
        <f>IF(E151&gt;0,$H$4,0)</f>
        <v/>
      </c>
      <c r="G151" s="654" t="n"/>
      <c r="H151" s="599" t="n"/>
      <c r="I151" s="599" t="n"/>
      <c r="J151" s="599" t="n"/>
      <c r="K151" s="599" t="n"/>
      <c r="L151" s="697" t="n"/>
      <c r="M151" s="664">
        <f>IFERROR(VLOOKUP(L151,Tabellen!H:I,2),0)</f>
        <v/>
      </c>
      <c r="N151" s="694" t="n"/>
      <c r="O151" s="694" t="n"/>
      <c r="Q151" s="119">
        <f>IF(OR(L151=47201,L151=47100,L151=47200,L151=47500),H151,0)</f>
        <v/>
      </c>
      <c r="R151" s="119">
        <f>IF(OR(L151=87201,L151=87100,L151=87200,L151=87500),H151,0)</f>
        <v/>
      </c>
    </row>
    <row r="152" ht="15" customHeight="1">
      <c r="A152" s="669" t="n"/>
      <c r="B152" s="657" t="n"/>
      <c r="C152" s="657" t="n"/>
      <c r="D152" s="657" t="n"/>
      <c r="E152" s="681">
        <f>IF(N152&gt;1,"+",0)</f>
        <v/>
      </c>
      <c r="F152" s="661">
        <f>IF(E152&gt;0,$H$4,0)</f>
        <v/>
      </c>
      <c r="G152" s="670" t="n"/>
      <c r="H152" s="599" t="n"/>
      <c r="I152" s="599" t="n"/>
      <c r="J152" s="599" t="n"/>
      <c r="K152" s="599" t="n"/>
      <c r="L152" s="697" t="n"/>
      <c r="M152" s="660">
        <f>IFERROR(VLOOKUP(L152,Tabellen!H:I,2),0)</f>
        <v/>
      </c>
      <c r="N152" s="694" t="n"/>
      <c r="O152" s="694" t="n"/>
      <c r="Q152" s="119">
        <f>IF(OR(L152=47201,L152=47100,L152=47200,L152=47500),H152,0)</f>
        <v/>
      </c>
      <c r="R152" s="119">
        <f>IF(OR(L152=87201,L152=87100,L152=87200,L152=87500),H152,0)</f>
        <v/>
      </c>
    </row>
    <row r="153" ht="15" customHeight="1">
      <c r="A153" s="651" t="n"/>
      <c r="B153" s="662" t="n"/>
      <c r="C153" s="662" t="n"/>
      <c r="D153" s="662" t="n"/>
      <c r="E153" s="681">
        <f>IF(N153&gt;1,"+",0)</f>
        <v/>
      </c>
      <c r="F153" s="653">
        <f>IF(E153&gt;0,$H$4,0)</f>
        <v/>
      </c>
      <c r="G153" s="654" t="n"/>
      <c r="H153" s="599" t="n"/>
      <c r="I153" s="599" t="n"/>
      <c r="J153" s="599" t="n"/>
      <c r="K153" s="599" t="n"/>
      <c r="L153" s="697" t="n"/>
      <c r="M153" s="664">
        <f>IFERROR(VLOOKUP(L153,Tabellen!H:I,2),0)</f>
        <v/>
      </c>
      <c r="N153" s="694" t="n"/>
      <c r="O153" s="694" t="n"/>
      <c r="Q153" s="119">
        <f>IF(OR(L153=47201,L153=47100,L153=47200,L153=47500),H153,0)</f>
        <v/>
      </c>
      <c r="R153" s="119">
        <f>IF(OR(L153=87201,L153=87100,L153=87200,L153=87500),H153,0)</f>
        <v/>
      </c>
    </row>
    <row r="154" ht="15" customHeight="1">
      <c r="A154" s="669" t="n"/>
      <c r="B154" s="657" t="n"/>
      <c r="C154" s="657" t="n"/>
      <c r="D154" s="657" t="n"/>
      <c r="E154" s="681">
        <f>IF(N154&gt;1,"+",0)</f>
        <v/>
      </c>
      <c r="F154" s="661">
        <f>IF(E154&gt;0,$H$4,0)</f>
        <v/>
      </c>
      <c r="G154" s="670" t="n"/>
      <c r="H154" s="599" t="n"/>
      <c r="I154" s="599" t="n"/>
      <c r="J154" s="599" t="n"/>
      <c r="K154" s="599" t="n"/>
      <c r="L154" s="697" t="n"/>
      <c r="M154" s="660">
        <f>IFERROR(VLOOKUP(L154,Tabellen!H:I,2),0)</f>
        <v/>
      </c>
      <c r="N154" s="694" t="n"/>
      <c r="O154" s="694" t="n"/>
      <c r="Q154" s="119">
        <f>IF(OR(L154=47201,L154=47100,L154=47200,L154=47500),H154,0)</f>
        <v/>
      </c>
      <c r="R154" s="119">
        <f>IF(OR(L154=87201,L154=87100,L154=87200,L154=87500),H154,0)</f>
        <v/>
      </c>
    </row>
    <row r="155" ht="15" customHeight="1">
      <c r="A155" s="651" t="n"/>
      <c r="B155" s="662" t="n"/>
      <c r="C155" s="662" t="n"/>
      <c r="D155" s="662" t="n"/>
      <c r="E155" s="681">
        <f>IF(N155&gt;1,"+",0)</f>
        <v/>
      </c>
      <c r="F155" s="653">
        <f>IF(E155&gt;0,$H$4,0)</f>
        <v/>
      </c>
      <c r="G155" s="654" t="n"/>
      <c r="H155" s="599" t="n"/>
      <c r="I155" s="599" t="n"/>
      <c r="J155" s="599" t="n"/>
      <c r="K155" s="599" t="n"/>
      <c r="L155" s="697" t="n"/>
      <c r="M155" s="664">
        <f>IFERROR(VLOOKUP(L155,Tabellen!H:I,2),0)</f>
        <v/>
      </c>
      <c r="N155" s="694" t="n"/>
      <c r="O155" s="694" t="n"/>
      <c r="Q155" s="119">
        <f>IF(OR(L155=47201,L155=47100,L155=47200,L155=47500),H155,0)</f>
        <v/>
      </c>
      <c r="R155" s="119">
        <f>IF(OR(L155=87201,L155=87100,L155=87200,L155=87500),H155,0)</f>
        <v/>
      </c>
    </row>
    <row r="156" ht="15" customHeight="1">
      <c r="A156" s="669" t="n"/>
      <c r="B156" s="657" t="n"/>
      <c r="C156" s="657" t="n"/>
      <c r="D156" s="657" t="n"/>
      <c r="E156" s="681">
        <f>IF(N156&gt;1,"+",0)</f>
        <v/>
      </c>
      <c r="F156" s="661">
        <f>IF(E156&gt;0,$H$4,0)</f>
        <v/>
      </c>
      <c r="G156" s="670" t="n"/>
      <c r="H156" s="599" t="n"/>
      <c r="I156" s="599" t="n"/>
      <c r="J156" s="599" t="n"/>
      <c r="K156" s="599" t="n"/>
      <c r="L156" s="697" t="n"/>
      <c r="M156" s="660">
        <f>IFERROR(VLOOKUP(L156,Tabellen!H:I,2),0)</f>
        <v/>
      </c>
      <c r="N156" s="694" t="n"/>
      <c r="O156" s="694" t="n"/>
      <c r="Q156" s="119">
        <f>IF(OR(L156=47201,L156=47100,L156=47200,L156=47500),H156,0)</f>
        <v/>
      </c>
      <c r="R156" s="119">
        <f>IF(OR(L156=87201,L156=87100,L156=87200,L156=87500),H156,0)</f>
        <v/>
      </c>
    </row>
    <row r="157" ht="15" customHeight="1">
      <c r="A157" s="651" t="n"/>
      <c r="B157" s="662" t="n"/>
      <c r="C157" s="662" t="n"/>
      <c r="D157" s="662" t="n"/>
      <c r="E157" s="681">
        <f>IF(N157&gt;1,"+",0)</f>
        <v/>
      </c>
      <c r="F157" s="653">
        <f>IF(E157&gt;0,$H$4,0)</f>
        <v/>
      </c>
      <c r="G157" s="654" t="n"/>
      <c r="H157" s="599" t="n"/>
      <c r="I157" s="599" t="n"/>
      <c r="J157" s="599" t="n"/>
      <c r="K157" s="599" t="n"/>
      <c r="L157" s="697" t="n"/>
      <c r="M157" s="664">
        <f>IFERROR(VLOOKUP(L157,Tabellen!H:I,2),0)</f>
        <v/>
      </c>
      <c r="N157" s="694" t="n"/>
      <c r="O157" s="694" t="n"/>
      <c r="Q157" s="119">
        <f>IF(OR(L157=47201,L157=47100,L157=47200,L157=47500),H157,0)</f>
        <v/>
      </c>
      <c r="R157" s="119">
        <f>IF(OR(L157=87201,L157=87100,L157=87200,L157=87500),H157,0)</f>
        <v/>
      </c>
    </row>
    <row r="158" ht="15" customHeight="1">
      <c r="A158" s="669" t="n"/>
      <c r="B158" s="657" t="n"/>
      <c r="C158" s="657" t="n"/>
      <c r="D158" s="657" t="n"/>
      <c r="E158" s="681">
        <f>IF(N158&gt;1,"+",0)</f>
        <v/>
      </c>
      <c r="F158" s="661">
        <f>IF(E158&gt;0,$H$4,0)</f>
        <v/>
      </c>
      <c r="G158" s="670" t="n"/>
      <c r="H158" s="599" t="n"/>
      <c r="I158" s="599" t="n"/>
      <c r="J158" s="599" t="n"/>
      <c r="K158" s="599" t="n"/>
      <c r="L158" s="697" t="n"/>
      <c r="M158" s="660">
        <f>IFERROR(VLOOKUP(L158,Tabellen!H:I,2),0)</f>
        <v/>
      </c>
      <c r="N158" s="694" t="n"/>
      <c r="O158" s="694" t="n"/>
      <c r="Q158" s="119">
        <f>IF(OR(L158=47201,L158=47100,L158=47200,L158=47500),H158,0)</f>
        <v/>
      </c>
      <c r="R158" s="119">
        <f>IF(OR(L158=87201,L158=87100,L158=87200,L158=87500),H158,0)</f>
        <v/>
      </c>
    </row>
    <row r="159" ht="15" customHeight="1">
      <c r="A159" s="651" t="n"/>
      <c r="B159" s="662" t="n"/>
      <c r="C159" s="662" t="n"/>
      <c r="D159" s="662" t="n"/>
      <c r="E159" s="681">
        <f>IF(N159&gt;1,"+",0)</f>
        <v/>
      </c>
      <c r="F159" s="653">
        <f>IF(E159&gt;0,$H$4,0)</f>
        <v/>
      </c>
      <c r="G159" s="654" t="n"/>
      <c r="H159" s="599" t="n"/>
      <c r="I159" s="599" t="n"/>
      <c r="J159" s="599" t="n"/>
      <c r="K159" s="599" t="n"/>
      <c r="L159" s="697" t="n"/>
      <c r="M159" s="664">
        <f>IFERROR(VLOOKUP(L159,Tabellen!H:I,2),0)</f>
        <v/>
      </c>
      <c r="N159" s="694" t="n"/>
      <c r="O159" s="694" t="n"/>
      <c r="Q159" s="119">
        <f>IF(OR(L159=47201,L159=47100,L159=47200,L159=47500),H159,0)</f>
        <v/>
      </c>
      <c r="R159" s="119">
        <f>IF(OR(L159=87201,L159=87100,L159=87200,L159=87500),H159,0)</f>
        <v/>
      </c>
    </row>
    <row r="160" ht="15" customHeight="1">
      <c r="A160" s="669" t="n"/>
      <c r="B160" s="657" t="n"/>
      <c r="C160" s="657" t="n"/>
      <c r="D160" s="657" t="n"/>
      <c r="E160" s="681">
        <f>IF(N160&gt;1,"+",0)</f>
        <v/>
      </c>
      <c r="F160" s="661">
        <f>IF(E160&gt;0,$H$4,0)</f>
        <v/>
      </c>
      <c r="G160" s="670" t="n"/>
      <c r="H160" s="599" t="n"/>
      <c r="I160" s="599" t="n"/>
      <c r="J160" s="599" t="n"/>
      <c r="K160" s="599" t="n"/>
      <c r="L160" s="697" t="n"/>
      <c r="M160" s="660">
        <f>IFERROR(VLOOKUP(L160,Tabellen!H:I,2),0)</f>
        <v/>
      </c>
      <c r="N160" s="694" t="n"/>
      <c r="O160" s="694" t="n"/>
      <c r="Q160" s="119">
        <f>IF(OR(L160=47201,L160=47100,L160=47200,L160=47500),H160,0)</f>
        <v/>
      </c>
      <c r="R160" s="119">
        <f>IF(OR(L160=87201,L160=87100,L160=87200,L160=87500),H160,0)</f>
        <v/>
      </c>
    </row>
    <row r="161" ht="15" customHeight="1">
      <c r="A161" s="651" t="n"/>
      <c r="B161" s="662" t="n"/>
      <c r="C161" s="662" t="n"/>
      <c r="D161" s="662" t="n"/>
      <c r="E161" s="681">
        <f>IF(N161&gt;1,"+",0)</f>
        <v/>
      </c>
      <c r="F161" s="653">
        <f>IF(E161&gt;0,$H$4,0)</f>
        <v/>
      </c>
      <c r="G161" s="654" t="n"/>
      <c r="H161" s="599" t="n"/>
      <c r="I161" s="599" t="n"/>
      <c r="J161" s="599" t="n"/>
      <c r="K161" s="599" t="n"/>
      <c r="L161" s="697" t="n"/>
      <c r="M161" s="664">
        <f>IFERROR(VLOOKUP(L161,Tabellen!H:I,2),0)</f>
        <v/>
      </c>
      <c r="N161" s="694" t="n"/>
      <c r="O161" s="694" t="n"/>
      <c r="Q161" s="119">
        <f>IF(OR(L161=47201,L161=47100,L161=47200,L161=47500),H161,0)</f>
        <v/>
      </c>
      <c r="R161" s="119">
        <f>IF(OR(L161=87201,L161=87100,L161=87200,L161=87500),H161,0)</f>
        <v/>
      </c>
    </row>
    <row r="162" ht="15" customHeight="1">
      <c r="A162" s="669" t="n"/>
      <c r="B162" s="657" t="n"/>
      <c r="C162" s="657" t="n"/>
      <c r="D162" s="657" t="n"/>
      <c r="E162" s="681">
        <f>IF(N162&gt;1,"+",0)</f>
        <v/>
      </c>
      <c r="F162" s="661">
        <f>IF(E162&gt;0,$H$4,0)</f>
        <v/>
      </c>
      <c r="G162" s="670" t="n"/>
      <c r="H162" s="599" t="n"/>
      <c r="I162" s="599" t="n"/>
      <c r="J162" s="599" t="n"/>
      <c r="K162" s="599" t="n"/>
      <c r="L162" s="697" t="n"/>
      <c r="M162" s="660">
        <f>IFERROR(VLOOKUP(L162,Tabellen!H:I,2),0)</f>
        <v/>
      </c>
      <c r="N162" s="694" t="n"/>
      <c r="O162" s="694" t="n"/>
      <c r="Q162" s="119">
        <f>IF(OR(L162=47201,L162=47100,L162=47200,L162=47500),H162,0)</f>
        <v/>
      </c>
      <c r="R162" s="119">
        <f>IF(OR(L162=87201,L162=87100,L162=87200,L162=87500),H162,0)</f>
        <v/>
      </c>
    </row>
    <row r="163" ht="15" customHeight="1">
      <c r="A163" s="651" t="n"/>
      <c r="B163" s="662" t="n"/>
      <c r="C163" s="662" t="n"/>
      <c r="D163" s="662" t="n"/>
      <c r="E163" s="681">
        <f>IF(N163&gt;1,"+",0)</f>
        <v/>
      </c>
      <c r="F163" s="653">
        <f>IF(E163&gt;0,$H$4,0)</f>
        <v/>
      </c>
      <c r="G163" s="654" t="n"/>
      <c r="H163" s="599" t="n"/>
      <c r="I163" s="599" t="n"/>
      <c r="J163" s="599" t="n"/>
      <c r="K163" s="599" t="n"/>
      <c r="L163" s="697" t="n"/>
      <c r="M163" s="664">
        <f>IFERROR(VLOOKUP(L163,Tabellen!H:I,2),0)</f>
        <v/>
      </c>
      <c r="N163" s="694" t="n"/>
      <c r="O163" s="694" t="n"/>
      <c r="Q163" s="119">
        <f>IF(OR(L163=47201,L163=47100,L163=47200,L163=47500),H163,0)</f>
        <v/>
      </c>
      <c r="R163" s="119">
        <f>IF(OR(L163=87201,L163=87100,L163=87200,L163=87500),H163,0)</f>
        <v/>
      </c>
    </row>
    <row r="164" ht="15" customHeight="1">
      <c r="A164" s="669" t="n"/>
      <c r="B164" s="657" t="n"/>
      <c r="C164" s="657" t="n"/>
      <c r="D164" s="657" t="n"/>
      <c r="E164" s="681">
        <f>IF(N164&gt;1,"+",0)</f>
        <v/>
      </c>
      <c r="F164" s="661">
        <f>IF(E164&gt;0,$H$4,0)</f>
        <v/>
      </c>
      <c r="G164" s="670" t="n"/>
      <c r="H164" s="599" t="n"/>
      <c r="I164" s="599" t="n"/>
      <c r="J164" s="599" t="n"/>
      <c r="K164" s="599" t="n"/>
      <c r="L164" s="697" t="n"/>
      <c r="M164" s="660">
        <f>IFERROR(VLOOKUP(L164,Tabellen!H:I,2),0)</f>
        <v/>
      </c>
      <c r="N164" s="694" t="n"/>
      <c r="O164" s="694" t="n"/>
      <c r="Q164" s="119">
        <f>IF(OR(L164=47201,L164=47100,L164=47200,L164=47500),H164,0)</f>
        <v/>
      </c>
      <c r="R164" s="119">
        <f>IF(OR(L164=87201,L164=87100,L164=87200,L164=87500),H164,0)</f>
        <v/>
      </c>
    </row>
    <row r="165" ht="15" customHeight="1">
      <c r="A165" s="651" t="n"/>
      <c r="B165" s="662" t="n"/>
      <c r="C165" s="662" t="n"/>
      <c r="D165" s="662" t="n"/>
      <c r="E165" s="681">
        <f>IF(N165&gt;1,"+",0)</f>
        <v/>
      </c>
      <c r="F165" s="653">
        <f>IF(E165&gt;0,$H$4,0)</f>
        <v/>
      </c>
      <c r="G165" s="654" t="n"/>
      <c r="H165" s="599" t="n"/>
      <c r="I165" s="599" t="n"/>
      <c r="J165" s="599" t="n"/>
      <c r="K165" s="599" t="n"/>
      <c r="L165" s="697" t="n"/>
      <c r="M165" s="664">
        <f>IFERROR(VLOOKUP(L165,Tabellen!H:I,2),0)</f>
        <v/>
      </c>
      <c r="N165" s="694" t="n"/>
      <c r="O165" s="694" t="n"/>
      <c r="Q165" s="119">
        <f>IF(OR(L165=47201,L165=47100,L165=47200,L165=47500),H165,0)</f>
        <v/>
      </c>
      <c r="R165" s="119">
        <f>IF(OR(L165=87201,L165=87100,L165=87200,L165=87500),H165,0)</f>
        <v/>
      </c>
    </row>
    <row r="166" ht="15" customHeight="1">
      <c r="A166" s="669" t="n"/>
      <c r="B166" s="657" t="n"/>
      <c r="C166" s="657" t="n"/>
      <c r="D166" s="657" t="n"/>
      <c r="E166" s="681">
        <f>IF(N166&gt;1,"+",0)</f>
        <v/>
      </c>
      <c r="F166" s="661">
        <f>IF(E166&gt;0,$H$4,0)</f>
        <v/>
      </c>
      <c r="G166" s="670" t="n"/>
      <c r="H166" s="599" t="n"/>
      <c r="I166" s="599" t="n"/>
      <c r="J166" s="599" t="n"/>
      <c r="K166" s="599" t="n"/>
      <c r="L166" s="697" t="n"/>
      <c r="M166" s="660">
        <f>IFERROR(VLOOKUP(L166,Tabellen!H:I,2),0)</f>
        <v/>
      </c>
      <c r="N166" s="694" t="n"/>
      <c r="O166" s="694" t="n"/>
      <c r="Q166" s="119">
        <f>IF(OR(L166=47201,L166=47100,L166=47200,L166=47500),H166,0)</f>
        <v/>
      </c>
      <c r="R166" s="119">
        <f>IF(OR(L166=87201,L166=87100,L166=87200,L166=87500),H166,0)</f>
        <v/>
      </c>
    </row>
    <row r="167" ht="15" customHeight="1">
      <c r="A167" s="651" t="n"/>
      <c r="B167" s="662" t="n"/>
      <c r="C167" s="662" t="n"/>
      <c r="D167" s="662" t="n"/>
      <c r="E167" s="681">
        <f>IF(N167&gt;1,"+",0)</f>
        <v/>
      </c>
      <c r="F167" s="653">
        <f>IF(E167&gt;0,$H$4,0)</f>
        <v/>
      </c>
      <c r="G167" s="654" t="n"/>
      <c r="H167" s="606" t="n"/>
      <c r="I167" s="606" t="n"/>
      <c r="J167" s="606" t="n"/>
      <c r="K167" s="606" t="n"/>
      <c r="L167" s="697" t="n"/>
      <c r="M167" s="664">
        <f>IFERROR(VLOOKUP(L167,Tabellen!H:I,2),0)</f>
        <v/>
      </c>
      <c r="N167" s="694" t="n"/>
      <c r="O167" s="694" t="n"/>
      <c r="Q167" s="119">
        <f>IF(OR(L167=47201,L167=47100,L167=47200,L167=47500),H167,0)</f>
        <v/>
      </c>
      <c r="R167" s="119">
        <f>IF(OR(L167=87201,L167=87100,L167=87200,L167=87500),H167,0)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>
        <f>IF(N168&gt;1,"+",0)</f>
        <v/>
      </c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IF(OR(L168=47201,L168=47100,L168=47200,L168=47500),H168,0)</f>
        <v/>
      </c>
      <c r="R168" s="119">
        <f>IF(OR(L168=87201,L168=87100,L168=87200,L168=87500),H168,0)</f>
        <v/>
      </c>
    </row>
    <row r="169" ht="15" customHeight="1">
      <c r="A169" s="244" t="n"/>
      <c r="B169" s="71" t="n"/>
      <c r="C169" s="71" t="n"/>
      <c r="D169" s="244" t="n"/>
      <c r="E169" s="71">
        <f>IF(N169&gt;1,"+",0)</f>
        <v/>
      </c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>
        <f>IF(N170&gt;1,"+",0)</f>
        <v/>
      </c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>
        <f>IF(N171&gt;1,"+",0)</f>
        <v/>
      </c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>
        <f>IF(N172&gt;1,"+",0)</f>
        <v/>
      </c>
      <c r="F172" s="658" t="n"/>
      <c r="G172" s="670" t="n"/>
      <c r="H172" s="599" t="n"/>
      <c r="I172" s="599" t="n"/>
      <c r="J172" s="599" t="n"/>
      <c r="K172" s="599" t="n"/>
      <c r="L172" s="697" t="n"/>
      <c r="M172" s="660">
        <f>IFERROR(VLOOKUP(L172,Tabellen!H:I,2),0)</f>
        <v/>
      </c>
      <c r="N172" s="694" t="n"/>
      <c r="O172" s="694" t="n"/>
      <c r="Q172" s="119">
        <f>IF(OR(L172=47201,L172=47100,L172=47200,L172=47500),H172,0)</f>
        <v/>
      </c>
      <c r="R172" s="119">
        <f>IF(OR(L172=87201,L172=87100,L172=87200,L172=87500),H172,0)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663">
        <f>IF(E173&gt;0,$H$4,0)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697">
        <f>L78</f>
        <v/>
      </c>
      <c r="M173" s="664">
        <f>M78</f>
        <v/>
      </c>
      <c r="N173" s="694" t="n"/>
      <c r="O173" s="694" t="n"/>
      <c r="Q173" s="119">
        <f>IF(OR(L173=47201,L173=47100,L173=47200,L173=47500),H173,0)</f>
        <v/>
      </c>
      <c r="R173" s="119">
        <f>IF(OR(L173=87201,L173=87100,L173=87200,L173=87500),H173,0)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658">
        <f>IF(E174&gt;0,$H$4,0)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697">
        <f>L79</f>
        <v/>
      </c>
      <c r="M174" s="660">
        <f>M79</f>
        <v/>
      </c>
      <c r="N174" s="694" t="n"/>
      <c r="O174" s="694" t="n"/>
      <c r="Q174" s="119">
        <f>IF(OR(L174=47201,L174=47100,L174=47200,L174=47500),H174,0)</f>
        <v/>
      </c>
      <c r="R174" s="119">
        <f>IF(OR(L174=87201,L174=87100,L174=87200,L174=87500),H174,0)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663">
        <f>IF(E175&gt;0,$H$4,0)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697">
        <f>L80</f>
        <v/>
      </c>
      <c r="M175" s="664">
        <f>M80</f>
        <v/>
      </c>
      <c r="N175" s="694" t="n"/>
      <c r="O175" s="694" t="n"/>
      <c r="Q175" s="119">
        <f>IF(OR(L175=47201,L175=47100,L175=47200,L175=47500),H175,0)</f>
        <v/>
      </c>
      <c r="R175" s="119">
        <f>IF(OR(L175=87201,L175=87100,L175=87200,L175=87500),H175,0)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658">
        <f>IF(E176&gt;0,$H$4,0)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697">
        <f>L81</f>
        <v/>
      </c>
      <c r="M176" s="660">
        <f>M81</f>
        <v/>
      </c>
      <c r="N176" s="694" t="n"/>
      <c r="O176" s="694" t="n"/>
      <c r="Q176" s="119">
        <f>IF(OR(L176=47201,L176=47100,L176=47200,L176=47500),H176,0)</f>
        <v/>
      </c>
      <c r="R176" s="119">
        <f>IF(OR(L176=87201,L176=87100,L176=87200,L176=87500),H176,0)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663">
        <f>IF(E177&gt;0,$H$4,0)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697">
        <f>L82</f>
        <v/>
      </c>
      <c r="M177" s="664">
        <f>M82</f>
        <v/>
      </c>
      <c r="N177" s="694" t="n"/>
      <c r="O177" s="694" t="n"/>
      <c r="Q177" s="119">
        <f>IF(OR(L177=47201,L177=47100,L177=47200,L177=47500),H177,0)</f>
        <v/>
      </c>
      <c r="R177" s="119">
        <f>IF(OR(L177=87201,L177=87100,L177=87200,L177=87500),H177,0)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658">
        <f>IF(E178&gt;0,$H$4,0)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697">
        <f>L83</f>
        <v/>
      </c>
      <c r="M178" s="660">
        <f>M83</f>
        <v/>
      </c>
      <c r="N178" s="694" t="n"/>
      <c r="O178" s="694" t="n"/>
      <c r="Q178" s="119">
        <f>IF(OR(L178=47201,L178=47100,L178=47200,L178=47500),H178,0)</f>
        <v/>
      </c>
      <c r="R178" s="119">
        <f>IF(OR(L178=87201,L178=87100,L178=87200,L178=87500),H178,0)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663">
        <f>IF(E179&gt;0,$H$4,0)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697">
        <f>L84</f>
        <v/>
      </c>
      <c r="M179" s="664">
        <f>M84</f>
        <v/>
      </c>
      <c r="N179" s="694" t="n"/>
      <c r="O179" s="694" t="n"/>
      <c r="Q179" s="119">
        <f>IF(OR(L179=47201,L179=47100,L179=47200,L179=47500),H179,0)</f>
        <v/>
      </c>
      <c r="R179" s="119">
        <f>IF(OR(L179=87201,L179=87100,L179=87200,L179=87500),H179,0)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658">
        <f>IF(E180&gt;0,$H$4,0)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697">
        <f>L85</f>
        <v/>
      </c>
      <c r="M180" s="660">
        <f>M85</f>
        <v/>
      </c>
      <c r="N180" s="694" t="n"/>
      <c r="O180" s="694" t="n"/>
      <c r="Q180" s="119">
        <f>IF(OR(L180=47201,L180=47100,L180=47200,L180=47500),H180,0)</f>
        <v/>
      </c>
      <c r="R180" s="119">
        <f>IF(OR(L180=87201,L180=87100,L180=87200,L180=87500),H180,0)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663">
        <f>IF(E181&gt;0,$H$4,0)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697">
        <f>L86</f>
        <v/>
      </c>
      <c r="M181" s="664">
        <f>M86</f>
        <v/>
      </c>
      <c r="N181" s="694" t="n"/>
      <c r="O181" s="694" t="n"/>
      <c r="Q181" s="119">
        <f>IF(OR(L181=47201,L181=47100,L181=47200,L181=47500),H181,0)</f>
        <v/>
      </c>
      <c r="R181" s="119">
        <f>IF(OR(L181=87201,L181=87100,L181=87200,L181=87500),H181,0)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658">
        <f>IF(E182&gt;0,$H$4,0)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697">
        <f>L87</f>
        <v/>
      </c>
      <c r="M182" s="660">
        <f>M87</f>
        <v/>
      </c>
      <c r="N182" s="694" t="n"/>
      <c r="O182" s="694" t="n"/>
      <c r="Q182" s="119">
        <f>IF(OR(L182=47201,L182=47100,L182=47200,L182=47500),H182,0)</f>
        <v/>
      </c>
      <c r="R182" s="119">
        <f>IF(OR(L182=87201,L182=87100,L182=87200,L182=87500),H182,0)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663">
        <f>IF(E183&gt;0,$H$4,0)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697">
        <f>L88</f>
        <v/>
      </c>
      <c r="M183" s="664">
        <f>M88</f>
        <v/>
      </c>
      <c r="N183" s="694" t="n"/>
      <c r="O183" s="694" t="n"/>
      <c r="Q183" s="119">
        <f>IF(OR(L183=47201,L183=47100,L183=47200,L183=47500),H183,0)</f>
        <v/>
      </c>
      <c r="R183" s="119">
        <f>IF(OR(L183=87201,L183=87100,L183=87200,L183=87500),H183,0)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658">
        <f>IF(E184&gt;0,$H$4,0)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697">
        <f>L89</f>
        <v/>
      </c>
      <c r="M184" s="660">
        <f>M89</f>
        <v/>
      </c>
      <c r="N184" s="694" t="n"/>
      <c r="O184" s="694" t="n"/>
      <c r="Q184" s="119">
        <f>IF(OR(L184=47201,L184=47100,L184=47200,L184=47500),H184,0)</f>
        <v/>
      </c>
      <c r="R184" s="119">
        <f>IF(OR(L184=87201,L184=87100,L184=87200,L184=87500),H184,0)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663">
        <f>IF(E185&gt;0,$H$4,0)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697">
        <f>L90</f>
        <v/>
      </c>
      <c r="M185" s="664">
        <f>M90</f>
        <v/>
      </c>
      <c r="N185" s="694" t="n"/>
      <c r="O185" s="694" t="n"/>
      <c r="Q185" s="119">
        <f>IF(OR(L185=47201,L185=47100,L185=47200,L185=47500),H185,0)</f>
        <v/>
      </c>
      <c r="R185" s="119">
        <f>IF(OR(L185=87201,L185=87100,L185=87200,L185=87500),H185,0)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658">
        <f>IF(E186&gt;0,$H$4,0)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697">
        <f>L91</f>
        <v/>
      </c>
      <c r="M186" s="660">
        <f>M91</f>
        <v/>
      </c>
      <c r="N186" s="694" t="n"/>
      <c r="O186" s="694" t="n"/>
      <c r="Q186" s="119">
        <f>IF(OR(L186=47201,L186=47100,L186=47200,L186=47500),H186,0)</f>
        <v/>
      </c>
      <c r="R186" s="119">
        <f>IF(OR(L186=87201,L186=87100,L186=87200,L186=87500),H186,0)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663">
        <f>IF(E187&gt;0,$H$4,0)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697">
        <f>L92</f>
        <v/>
      </c>
      <c r="M187" s="664">
        <f>M92</f>
        <v/>
      </c>
      <c r="N187" s="694" t="n"/>
      <c r="O187" s="694" t="n"/>
      <c r="Q187" s="119">
        <f>IF(OR(L187=47201,L187=47100,L187=47200,L187=47500),H187,0)</f>
        <v/>
      </c>
      <c r="R187" s="119">
        <f>IF(OR(L187=87201,L187=87100,L187=87200,L187=87500),H187,0)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658">
        <f>IF(E188&gt;0,$H$4,0)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697">
        <f>L93</f>
        <v/>
      </c>
      <c r="M188" s="660">
        <f>M93</f>
        <v/>
      </c>
      <c r="N188" s="694" t="n"/>
      <c r="O188" s="694" t="n"/>
      <c r="Q188" s="119">
        <f>IF(OR(L188=47201,L188=47100,L188=47200,L188=47500),H188,0)</f>
        <v/>
      </c>
      <c r="R188" s="119">
        <f>IF(OR(L188=87201,L188=87100,L188=87200,L188=87500),H188,0)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663">
        <f>IF(E189&gt;0,$H$4,0)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697">
        <f>L94</f>
        <v/>
      </c>
      <c r="M189" s="664">
        <f>M94</f>
        <v/>
      </c>
      <c r="N189" s="694" t="n"/>
      <c r="O189" s="694" t="n"/>
      <c r="Q189" s="119">
        <f>IF(OR(L189=47201,L189=47100,L189=47200,L189=47500),H189,0)</f>
        <v/>
      </c>
      <c r="R189" s="119">
        <f>IF(OR(L189=87201,L189=87100,L189=87200,L189=87500),H189,0)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658">
        <f>IF(E190&gt;0,$H$4,0)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697">
        <f>L95</f>
        <v/>
      </c>
      <c r="M190" s="660">
        <f>M95</f>
        <v/>
      </c>
      <c r="N190" s="694" t="n"/>
      <c r="O190" s="694" t="n"/>
      <c r="Q190" s="119">
        <f>IF(OR(L190=47201,L190=47100,L190=47200,L190=47500),H190,0)</f>
        <v/>
      </c>
      <c r="R190" s="119">
        <f>IF(OR(L190=87201,L190=87100,L190=87200,L190=87500),H190,0)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663">
        <f>IF(E191&gt;0,$H$4,0)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697">
        <f>L96</f>
        <v/>
      </c>
      <c r="M191" s="664">
        <f>M96</f>
        <v/>
      </c>
      <c r="N191" s="694" t="n"/>
      <c r="O191" s="694" t="n"/>
      <c r="Q191" s="119">
        <f>IF(OR(L191=47201,L191=47100,L191=47200,L191=47500),H191,0)</f>
        <v/>
      </c>
      <c r="R191" s="119">
        <f>IF(OR(L191=87201,L191=87100,L191=87200,L191=87500),H191,0)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658">
        <f>IF(E192&gt;0,$H$4,0)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697">
        <f>L97</f>
        <v/>
      </c>
      <c r="M192" s="660">
        <f>M97</f>
        <v/>
      </c>
      <c r="N192" s="694" t="n"/>
      <c r="O192" s="694" t="n"/>
      <c r="Q192" s="119">
        <f>IF(OR(L192=47201,L192=47100,L192=47200,L192=47500),H192,0)</f>
        <v/>
      </c>
      <c r="R192" s="119">
        <f>IF(OR(L192=87201,L192=87100,L192=87200,L192=87500),H192,0)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663">
        <f>IF(E193&gt;0,$H$4,0)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697">
        <f>L98</f>
        <v/>
      </c>
      <c r="M193" s="664">
        <f>M98</f>
        <v/>
      </c>
      <c r="N193" s="694" t="n"/>
      <c r="O193" s="694" t="n"/>
      <c r="Q193" s="119">
        <f>IF(OR(L193=47201,L193=47100,L193=47200,L193=47500),H193,0)</f>
        <v/>
      </c>
      <c r="R193" s="119">
        <f>IF(OR(L193=87201,L193=87100,L193=87200,L193=87500),H193,0)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658">
        <f>IF(E194&gt;0,$H$4,0)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697">
        <f>L99</f>
        <v/>
      </c>
      <c r="M194" s="660">
        <f>M99</f>
        <v/>
      </c>
      <c r="N194" s="694" t="n"/>
      <c r="O194" s="694" t="n"/>
      <c r="Q194" s="119">
        <f>IF(OR(L194=47201,L194=47100,L194=47200,L194=47500),H194,0)</f>
        <v/>
      </c>
      <c r="R194" s="119">
        <f>IF(OR(L194=87201,L194=87100,L194=87200,L194=87500),H194,0)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663">
        <f>IF(E195&gt;0,$H$4,0)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697">
        <f>L100</f>
        <v/>
      </c>
      <c r="M195" s="664">
        <f>M100</f>
        <v/>
      </c>
      <c r="N195" s="694" t="n"/>
      <c r="O195" s="694" t="n"/>
      <c r="Q195" s="119">
        <f>IF(OR(L195=47201,L195=47100,L195=47200,L195=47500),H195,0)</f>
        <v/>
      </c>
      <c r="R195" s="119">
        <f>IF(OR(L195=87201,L195=87100,L195=87200,L195=87500),H195,0)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658">
        <f>IF(E196&gt;0,$H$4,0)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697">
        <f>L101</f>
        <v/>
      </c>
      <c r="M196" s="660">
        <f>M101</f>
        <v/>
      </c>
      <c r="N196" s="694" t="n"/>
      <c r="O196" s="694" t="n"/>
      <c r="Q196" s="119">
        <f>IF(OR(L196=47201,L196=47100,L196=47200,L196=47500),H196,0)</f>
        <v/>
      </c>
      <c r="R196" s="119">
        <f>IF(OR(L196=87201,L196=87100,L196=87200,L196=87500),H196,0)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663">
        <f>IF(E197&gt;0,$H$4,0)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697">
        <f>L102</f>
        <v/>
      </c>
      <c r="M197" s="664">
        <f>M102</f>
        <v/>
      </c>
      <c r="N197" s="694" t="n"/>
      <c r="O197" s="694" t="n"/>
      <c r="Q197" s="119">
        <f>IF(OR(L197=47201,L197=47100,L197=47200,L197=47500),H197,0)</f>
        <v/>
      </c>
      <c r="R197" s="119">
        <f>IF(OR(L197=87201,L197=87100,L197=87200,L197=87500),H197,0)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658">
        <f>IF(E198&gt;0,$H$4,0)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697">
        <f>L103</f>
        <v/>
      </c>
      <c r="M198" s="660">
        <f>M103</f>
        <v/>
      </c>
      <c r="N198" s="694" t="n"/>
      <c r="O198" s="694" t="n"/>
      <c r="Q198" s="119">
        <f>IF(OR(L198=47201,L198=47100,L198=47200,L198=47500),H198,0)</f>
        <v/>
      </c>
      <c r="R198" s="119">
        <f>IF(OR(L198=87201,L198=87100,L198=87200,L198=87500),H198,0)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663">
        <f>IF(E199&gt;0,$H$4,0)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697">
        <f>L104</f>
        <v/>
      </c>
      <c r="M199" s="664">
        <f>M104</f>
        <v/>
      </c>
      <c r="N199" s="694" t="n"/>
      <c r="O199" s="694" t="n"/>
      <c r="Q199" s="119">
        <f>IF(OR(L199=47201,L199=47100,L199=47200,L199=47500),H199,0)</f>
        <v/>
      </c>
      <c r="R199" s="119">
        <f>IF(OR(L199=87201,L199=87100,L199=87200,L199=87500),H199,0)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658">
        <f>IF(E200&gt;0,$H$4,0)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697">
        <f>L105</f>
        <v/>
      </c>
      <c r="M200" s="660">
        <f>M105</f>
        <v/>
      </c>
      <c r="N200" s="694" t="n"/>
      <c r="O200" s="694" t="n"/>
      <c r="Q200" s="119">
        <f>IF(OR(L200=47201,L200=47100,L200=47200,L200=47500),H200,0)</f>
        <v/>
      </c>
      <c r="R200" s="119">
        <f>IF(OR(L200=87201,L200=87100,L200=87200,L200=87500),H200,0)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663">
        <f>IF(E201&gt;0,$H$4,0)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697">
        <f>L106</f>
        <v/>
      </c>
      <c r="M201" s="664">
        <f>M106</f>
        <v/>
      </c>
      <c r="N201" s="694" t="n"/>
      <c r="O201" s="694" t="n"/>
      <c r="Q201" s="119">
        <f>IF(OR(L201=47201,L201=47100,L201=47200,L201=47500),H201,0)</f>
        <v/>
      </c>
      <c r="R201" s="119">
        <f>IF(OR(L201=87201,L201=87100,L201=87200,L201=87500),H201,0)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658">
        <f>IF(E202&gt;0,$H$4,0)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697">
        <f>L107</f>
        <v/>
      </c>
      <c r="M202" s="660">
        <f>M107</f>
        <v/>
      </c>
      <c r="N202" s="694" t="n"/>
      <c r="O202" s="694" t="n"/>
      <c r="Q202" s="119">
        <f>IF(OR(L202=47201,L202=47100,L202=47200,L202=47500),H202,0)</f>
        <v/>
      </c>
      <c r="R202" s="119">
        <f>IF(OR(L202=87201,L202=87100,L202=87200,L202=87500),H202,0)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663">
        <f>IF(E203&gt;0,$H$4,0)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697">
        <f>L108</f>
        <v/>
      </c>
      <c r="M203" s="664">
        <f>M108</f>
        <v/>
      </c>
      <c r="N203" s="694" t="n"/>
      <c r="O203" s="694" t="n"/>
      <c r="Q203" s="119">
        <f>IF(OR(L203=47201,L203=47100,L203=47200,L203=47500),H203,0)</f>
        <v/>
      </c>
      <c r="R203" s="119">
        <f>IF(OR(L203=87201,L203=87100,L203=87200,L203=87500),H203,0)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658">
        <f>IF(E204&gt;0,$H$4,0)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697">
        <f>L109</f>
        <v/>
      </c>
      <c r="M204" s="660">
        <f>M109</f>
        <v/>
      </c>
      <c r="N204" s="694" t="n"/>
      <c r="O204" s="694" t="n"/>
      <c r="Q204" s="119">
        <f>IF(OR(L204=47201,L204=47100,L204=47200,L204=47500),H204,0)</f>
        <v/>
      </c>
      <c r="R204" s="119">
        <f>IF(OR(L204=87201,L204=87100,L204=87200,L204=87500),H204,0)</f>
        <v/>
      </c>
    </row>
    <row r="205" ht="15" customHeight="1">
      <c r="A205" s="651" t="n"/>
      <c r="B205" s="662" t="n"/>
      <c r="C205" s="662" t="n"/>
      <c r="D205" s="662" t="n"/>
      <c r="E205" s="681">
        <f>IF(N205&gt;1,"+",0)</f>
        <v/>
      </c>
      <c r="F205" s="663">
        <f>IF(E205&gt;0,$H$4,0)</f>
        <v/>
      </c>
      <c r="G205" s="654" t="n"/>
      <c r="H205" s="599" t="n"/>
      <c r="I205" s="599" t="n"/>
      <c r="J205" s="599" t="n"/>
      <c r="K205" s="599" t="n"/>
      <c r="L205" s="697" t="n"/>
      <c r="M205" s="664">
        <f>IFERROR(VLOOKUP(L205,Tabellen!H:I,2),0)</f>
        <v/>
      </c>
      <c r="N205" s="694" t="n"/>
      <c r="O205" s="694" t="n"/>
      <c r="Q205" s="119">
        <f>IF(OR(L205=47201,L205=47100,L205=47200,L205=47500),H205,0)</f>
        <v/>
      </c>
      <c r="R205" s="119">
        <f>IF(OR(L205=87201,L205=87100,L205=87200,L205=87500),H205,0)</f>
        <v/>
      </c>
    </row>
    <row r="206" ht="15" customHeight="1">
      <c r="A206" s="669" t="n"/>
      <c r="B206" s="657" t="n"/>
      <c r="C206" s="657" t="n"/>
      <c r="D206" s="657" t="n"/>
      <c r="E206" s="681">
        <f>IF(N206&gt;1,"+",0)</f>
        <v/>
      </c>
      <c r="F206" s="658">
        <f>IF(E206&gt;0,$H$4,0)</f>
        <v/>
      </c>
      <c r="G206" s="670" t="n"/>
      <c r="H206" s="599" t="n"/>
      <c r="I206" s="599" t="n"/>
      <c r="J206" s="599" t="n"/>
      <c r="K206" s="599" t="n"/>
      <c r="L206" s="697" t="n"/>
      <c r="M206" s="660">
        <f>IFERROR(VLOOKUP(L206,Tabellen!H:I,2),0)</f>
        <v/>
      </c>
      <c r="N206" s="694" t="n"/>
      <c r="O206" s="694" t="n"/>
      <c r="Q206" s="119">
        <f>IF(OR(L206=47201,L206=47100,L206=47200,L206=47500),H206,0)</f>
        <v/>
      </c>
      <c r="R206" s="119">
        <f>IF(OR(L206=87201,L206=87100,L206=87200,L206=87500),H206,0)</f>
        <v/>
      </c>
    </row>
    <row r="207" ht="15" customHeight="1">
      <c r="A207" s="651" t="n"/>
      <c r="B207" s="662" t="n"/>
      <c r="C207" s="662" t="n"/>
      <c r="D207" s="662" t="n"/>
      <c r="E207" s="681">
        <f>IF(N207&gt;1,"+",0)</f>
        <v/>
      </c>
      <c r="F207" s="663">
        <f>IF(E207&gt;0,$H$4,0)</f>
        <v/>
      </c>
      <c r="G207" s="654" t="n"/>
      <c r="H207" s="599" t="n"/>
      <c r="I207" s="599" t="n"/>
      <c r="J207" s="599" t="n"/>
      <c r="K207" s="599" t="n"/>
      <c r="L207" s="697" t="n"/>
      <c r="M207" s="664">
        <f>IFERROR(VLOOKUP(L207,Tabellen!H:I,2),0)</f>
        <v/>
      </c>
      <c r="N207" s="694" t="n"/>
      <c r="O207" s="694" t="n"/>
      <c r="Q207" s="119">
        <f>IF(OR(L207=47201,L207=47100,L207=47200,L207=47500),H207,0)</f>
        <v/>
      </c>
      <c r="R207" s="119">
        <f>IF(OR(L207=87201,L207=87100,L207=87200,L207=87500),H207,0)</f>
        <v/>
      </c>
    </row>
    <row r="208" ht="15" customHeight="1">
      <c r="A208" s="669" t="n"/>
      <c r="B208" s="657" t="n"/>
      <c r="C208" s="657" t="n"/>
      <c r="D208" s="657" t="n"/>
      <c r="E208" s="681">
        <f>IF(N208&gt;1,"+",0)</f>
        <v/>
      </c>
      <c r="F208" s="658">
        <f>IF(E208&gt;0,$H$4,0)</f>
        <v/>
      </c>
      <c r="G208" s="670" t="n"/>
      <c r="H208" s="599" t="n"/>
      <c r="I208" s="599" t="n"/>
      <c r="J208" s="599" t="n"/>
      <c r="K208" s="599" t="n"/>
      <c r="L208" s="697" t="n"/>
      <c r="M208" s="660">
        <f>IFERROR(VLOOKUP(L208,Tabellen!H:I,2),0)</f>
        <v/>
      </c>
      <c r="N208" s="694" t="n"/>
      <c r="O208" s="694" t="n"/>
      <c r="Q208" s="119">
        <f>IF(OR(L208=47201,L208=47100,L208=47200,L208=47500),H208,0)</f>
        <v/>
      </c>
      <c r="R208" s="119">
        <f>IF(OR(L208=87201,L208=87100,L208=87200,L208=87500),H208,0)</f>
        <v/>
      </c>
    </row>
    <row r="209" ht="15" customHeight="1">
      <c r="A209" s="651" t="n"/>
      <c r="B209" s="662" t="n"/>
      <c r="C209" s="662" t="n"/>
      <c r="D209" s="662" t="n"/>
      <c r="E209" s="681">
        <f>IF(N209&gt;1,"+",0)</f>
        <v/>
      </c>
      <c r="F209" s="663">
        <f>IF(E209&gt;0,$H$4,0)</f>
        <v/>
      </c>
      <c r="G209" s="654" t="n"/>
      <c r="H209" s="599" t="n"/>
      <c r="I209" s="599" t="n"/>
      <c r="J209" s="599" t="n"/>
      <c r="K209" s="599" t="n"/>
      <c r="L209" s="697" t="n"/>
      <c r="M209" s="664">
        <f>IFERROR(VLOOKUP(L209,Tabellen!H:I,2),0)</f>
        <v/>
      </c>
      <c r="N209" s="694" t="n"/>
      <c r="O209" s="694" t="n"/>
      <c r="Q209" s="119">
        <f>IF(OR(L209=47201,L209=47100,L209=47200,L209=47500),H209,0)</f>
        <v/>
      </c>
      <c r="R209" s="119">
        <f>IF(OR(L209=87201,L209=87100,L209=87200,L209=87500),H209,0)</f>
        <v/>
      </c>
    </row>
    <row r="210" ht="15" customHeight="1">
      <c r="A210" s="669" t="n"/>
      <c r="B210" s="657" t="n"/>
      <c r="C210" s="657" t="n"/>
      <c r="D210" s="657" t="n"/>
      <c r="E210" s="681">
        <f>IF(N210&gt;1,"+",0)</f>
        <v/>
      </c>
      <c r="F210" s="658">
        <f>IF(E210&gt;0,$H$4,0)</f>
        <v/>
      </c>
      <c r="G210" s="670" t="n"/>
      <c r="H210" s="599" t="n"/>
      <c r="I210" s="599" t="n"/>
      <c r="J210" s="599" t="n"/>
      <c r="K210" s="599" t="n"/>
      <c r="L210" s="697" t="n"/>
      <c r="M210" s="660">
        <f>IFERROR(VLOOKUP(L210,Tabellen!H:I,2),0)</f>
        <v/>
      </c>
      <c r="N210" s="694" t="n"/>
      <c r="O210" s="694" t="n"/>
      <c r="Q210" s="119">
        <f>IF(OR(L210=47201,L210=47100,L210=47200,L210=47500),H210,0)</f>
        <v/>
      </c>
      <c r="R210" s="119">
        <f>IF(OR(L210=87201,L210=87100,L210=87200,L210=87500),H210,0)</f>
        <v/>
      </c>
    </row>
    <row r="211" ht="15" customHeight="1">
      <c r="A211" s="651" t="n"/>
      <c r="B211" s="662" t="n"/>
      <c r="C211" s="662" t="n"/>
      <c r="D211" s="662" t="n"/>
      <c r="E211" s="681">
        <f>IF(N211&gt;1,"+",0)</f>
        <v/>
      </c>
      <c r="F211" s="663">
        <f>IF(E211&gt;0,$H$4,0)</f>
        <v/>
      </c>
      <c r="G211" s="654" t="n"/>
      <c r="H211" s="599" t="n"/>
      <c r="I211" s="599" t="n"/>
      <c r="J211" s="599" t="n"/>
      <c r="K211" s="599" t="n"/>
      <c r="L211" s="697" t="n"/>
      <c r="M211" s="664">
        <f>IFERROR(VLOOKUP(L211,Tabellen!H:I,2),0)</f>
        <v/>
      </c>
      <c r="N211" s="694" t="n"/>
      <c r="O211" s="694" t="n"/>
      <c r="Q211" s="119">
        <f>IF(OR(L211=47201,L211=47100,L211=47200,L211=47500),H211,0)</f>
        <v/>
      </c>
      <c r="R211" s="119">
        <f>IF(OR(L211=87201,L211=87100,L211=87200,L211=87500),H211,0)</f>
        <v/>
      </c>
    </row>
    <row r="212" ht="15" customHeight="1">
      <c r="A212" s="669" t="n"/>
      <c r="B212" s="657" t="n"/>
      <c r="C212" s="657" t="n"/>
      <c r="D212" s="657" t="n"/>
      <c r="E212" s="681">
        <f>IF(N212&gt;1,"+",0)</f>
        <v/>
      </c>
      <c r="F212" s="658">
        <f>IF(E212&gt;0,$H$4,0)</f>
        <v/>
      </c>
      <c r="G212" s="670" t="n"/>
      <c r="H212" s="599" t="n"/>
      <c r="I212" s="599" t="n"/>
      <c r="J212" s="599" t="n"/>
      <c r="K212" s="599" t="n"/>
      <c r="L212" s="697" t="n"/>
      <c r="M212" s="660">
        <f>IFERROR(VLOOKUP(L212,Tabellen!H:I,2),0)</f>
        <v/>
      </c>
      <c r="N212" s="694" t="n"/>
      <c r="O212" s="694" t="n"/>
      <c r="Q212" s="119">
        <f>IF(OR(L212=47201,L212=47100,L212=47200,L212=47500),H212,0)</f>
        <v/>
      </c>
      <c r="R212" s="119">
        <f>IF(OR(L212=87201,L212=87100,L212=87200,L212=87500),H212,0)</f>
        <v/>
      </c>
    </row>
    <row r="213" ht="15" customHeight="1">
      <c r="A213" s="651" t="n"/>
      <c r="B213" s="662" t="n"/>
      <c r="C213" s="662" t="n"/>
      <c r="D213" s="662" t="n"/>
      <c r="E213" s="681">
        <f>IF(N213&gt;1,"+",0)</f>
        <v/>
      </c>
      <c r="F213" s="663">
        <f>IF(E213&gt;0,$H$4,0)</f>
        <v/>
      </c>
      <c r="G213" s="654" t="n"/>
      <c r="H213" s="599" t="n"/>
      <c r="I213" s="599" t="n"/>
      <c r="J213" s="599" t="n"/>
      <c r="K213" s="599" t="n"/>
      <c r="L213" s="697" t="n"/>
      <c r="M213" s="664">
        <f>IFERROR(VLOOKUP(L213,Tabellen!H:I,2),0)</f>
        <v/>
      </c>
      <c r="N213" s="694" t="n"/>
      <c r="O213" s="694" t="n"/>
      <c r="Q213" s="119">
        <f>IF(OR(L213=47201,L213=47100,L213=47200,L213=47500),H213,0)</f>
        <v/>
      </c>
      <c r="R213" s="119">
        <f>IF(OR(L213=87201,L213=87100,L213=87200,L213=87500),H213,0)</f>
        <v/>
      </c>
    </row>
    <row r="214" ht="15" customHeight="1">
      <c r="A214" s="669" t="n"/>
      <c r="B214" s="657" t="n"/>
      <c r="C214" s="657" t="n"/>
      <c r="D214" s="657" t="n"/>
      <c r="E214" s="681">
        <f>IF(N214&gt;1,"+",0)</f>
        <v/>
      </c>
      <c r="F214" s="658">
        <f>IF(E214&gt;0,$H$4,0)</f>
        <v/>
      </c>
      <c r="G214" s="670" t="n"/>
      <c r="H214" s="599" t="n"/>
      <c r="I214" s="599" t="n"/>
      <c r="J214" s="599" t="n"/>
      <c r="K214" s="599" t="n"/>
      <c r="L214" s="697" t="n"/>
      <c r="M214" s="660">
        <f>IFERROR(VLOOKUP(L214,Tabellen!H:I,2),0)</f>
        <v/>
      </c>
      <c r="N214" s="694" t="n"/>
      <c r="O214" s="694" t="n"/>
      <c r="Q214" s="119">
        <f>IF(OR(L214=47201,L214=47100,L214=47200,L214=47500),H214,0)</f>
        <v/>
      </c>
      <c r="R214" s="119">
        <f>IF(OR(L214=87201,L214=87100,L214=87200,L214=87500),H214,0)</f>
        <v/>
      </c>
    </row>
    <row r="215" ht="15" customHeight="1">
      <c r="A215" s="651" t="n"/>
      <c r="B215" s="662" t="n"/>
      <c r="C215" s="662" t="n"/>
      <c r="D215" s="662" t="n"/>
      <c r="E215" s="681">
        <f>IF(N215&gt;1,"+",0)</f>
        <v/>
      </c>
      <c r="F215" s="663">
        <f>IF(E215&gt;0,$H$4,0)</f>
        <v/>
      </c>
      <c r="G215" s="654" t="n"/>
      <c r="H215" s="599" t="n"/>
      <c r="I215" s="599" t="n"/>
      <c r="J215" s="599" t="n"/>
      <c r="K215" s="599" t="n"/>
      <c r="L215" s="697" t="n"/>
      <c r="M215" s="664">
        <f>IFERROR(VLOOKUP(L215,Tabellen!H:I,2),0)</f>
        <v/>
      </c>
      <c r="N215" s="694" t="n"/>
      <c r="O215" s="694" t="n"/>
      <c r="Q215" s="119">
        <f>IF(OR(L215=47201,L215=47100,L215=47200,L215=47500),H215,0)</f>
        <v/>
      </c>
      <c r="R215" s="119">
        <f>IF(OR(L215=87201,L215=87100,L215=87200,L215=87500),H215,0)</f>
        <v/>
      </c>
    </row>
    <row r="216" ht="15" customHeight="1">
      <c r="A216" s="669" t="n"/>
      <c r="B216" s="657" t="n"/>
      <c r="C216" s="657" t="n"/>
      <c r="D216" s="657" t="n"/>
      <c r="E216" s="681">
        <f>IF(N216&gt;1,"+",0)</f>
        <v/>
      </c>
      <c r="F216" s="658">
        <f>IF(E216&gt;0,$H$4,0)</f>
        <v/>
      </c>
      <c r="G216" s="670" t="n"/>
      <c r="H216" s="606" t="n"/>
      <c r="I216" s="606" t="n"/>
      <c r="J216" s="606" t="n"/>
      <c r="K216" s="606" t="n"/>
      <c r="L216" s="697" t="n"/>
      <c r="M216" s="660">
        <f>IFERROR(VLOOKUP(L216,Tabellen!H:I,2),0)</f>
        <v/>
      </c>
      <c r="N216" s="694" t="n"/>
      <c r="O216" s="694" t="n"/>
      <c r="Q216" s="119">
        <f>IF(OR(L216=47201,L216=47100,L216=47200,L216=47500),H216,0)</f>
        <v/>
      </c>
      <c r="R216" s="119">
        <f>IF(OR(L216=87201,L216=87100,L216=87200,L216=87500),H216,0)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>
        <f>IF(N217&gt;1,"+",0)</f>
        <v/>
      </c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IF(OR(L217=47201,L217=47100,L217=47200,L217=47500),H217,0)</f>
        <v/>
      </c>
      <c r="R217" s="119">
        <f>IF(OR(L217=87201,L217=87100,L217=87200,L217=87500),H217,0)</f>
        <v/>
      </c>
    </row>
    <row r="218" ht="15" customHeight="1">
      <c r="A218" s="244" t="n"/>
      <c r="B218" s="71" t="n"/>
      <c r="C218" s="71" t="n"/>
      <c r="D218" s="244" t="n"/>
      <c r="E218" s="71">
        <f>IF(N218&gt;1,"+",0)</f>
        <v/>
      </c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>
        <f>IF(N219&gt;1,"+",0)</f>
        <v/>
      </c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IF(N220&gt;1,"+",0)</f>
        <v/>
      </c>
      <c r="F220" s="75">
        <f>IF(E220&gt;0,$H$4,0)</f>
        <v/>
      </c>
      <c r="G220" s="256" t="n"/>
      <c r="H220" s="123" t="n"/>
      <c r="I220" s="123" t="n"/>
      <c r="J220" s="123" t="n"/>
      <c r="K220" s="123" t="n"/>
      <c r="L220" s="64" t="n"/>
      <c r="M220" s="250">
        <f>IFERROR(VLOOKUP(L220,Tabellen!H:I,2),0)</f>
        <v/>
      </c>
      <c r="N220" s="121" t="n"/>
      <c r="O220" s="251" t="n"/>
      <c r="Q220" s="119">
        <f>IF(OR(L220=47201,L220=47100,L220=47200,L220=47500),H220,0)</f>
        <v/>
      </c>
      <c r="R220" s="119">
        <f>IF(OR(L220=87201,L220=87100,L220=87200,L220=87500),H220,0)</f>
        <v/>
      </c>
    </row>
    <row r="221" ht="15" customHeight="1">
      <c r="A221" s="267" t="n"/>
      <c r="B221" s="74" t="n"/>
      <c r="C221" s="74" t="n"/>
      <c r="D221" s="249" t="n"/>
      <c r="E221" s="74">
        <f>IF(N221&gt;1,"+",0)</f>
        <v/>
      </c>
      <c r="F221" s="75">
        <f>IF(E221&gt;0,$H$4,0)</f>
        <v/>
      </c>
      <c r="G221" s="256" t="n"/>
      <c r="H221" s="123" t="n"/>
      <c r="I221" s="123" t="n"/>
      <c r="J221" s="123" t="n"/>
      <c r="K221" s="123" t="n"/>
      <c r="L221" s="64" t="n"/>
      <c r="M221" s="250">
        <f>IFERROR(VLOOKUP(L221,Tabellen!H:I,2),0)</f>
        <v/>
      </c>
      <c r="N221" s="121" t="n"/>
      <c r="O221" s="251" t="n"/>
      <c r="Q221" s="119">
        <f>IF(OR(L221=47201,L221=47100,L221=47200,L221=47500),H221,0)</f>
        <v/>
      </c>
      <c r="R221" s="119">
        <f>IF(OR(L221=87201,L221=87100,L221=87200,L221=87500),H221,0)</f>
        <v/>
      </c>
    </row>
    <row r="222" ht="15" customHeight="1">
      <c r="A222" s="267" t="n"/>
      <c r="B222" s="74" t="n"/>
      <c r="C222" s="74" t="n"/>
      <c r="D222" s="249" t="n"/>
      <c r="E222" s="74">
        <f>IF(N222&gt;1,"+",0)</f>
        <v/>
      </c>
      <c r="F222" s="75">
        <f>IF(E222&gt;0,$H$4,0)</f>
        <v/>
      </c>
      <c r="G222" s="256" t="n"/>
      <c r="H222" s="123" t="n"/>
      <c r="I222" s="123" t="n"/>
      <c r="J222" s="123" t="n"/>
      <c r="K222" s="123" t="n"/>
      <c r="L222" s="64" t="n"/>
      <c r="M222" s="250">
        <f>IFERROR(VLOOKUP(L222,Tabellen!H:I,2),0)</f>
        <v/>
      </c>
      <c r="N222" s="121" t="n"/>
      <c r="O222" s="251" t="n"/>
      <c r="Q222" s="119">
        <f>IF(OR(L222=47201,L222=47100,L222=47200,L222=47500),H222,0)</f>
        <v/>
      </c>
      <c r="R222" s="119">
        <f>IF(OR(L222=87201,L222=87100,L222=87200,L222=87500),H222,0)</f>
        <v/>
      </c>
    </row>
    <row r="223" ht="15" customHeight="1">
      <c r="A223" s="267" t="n"/>
      <c r="B223" s="74" t="n"/>
      <c r="C223" s="74" t="n"/>
      <c r="D223" s="249" t="n"/>
      <c r="E223" s="74">
        <f>IF(N223&gt;1,"+",0)</f>
        <v/>
      </c>
      <c r="F223" s="75">
        <f>IF(E223&gt;0,$H$4,0)</f>
        <v/>
      </c>
      <c r="G223" s="256" t="n"/>
      <c r="H223" s="123" t="n"/>
      <c r="I223" s="123" t="n"/>
      <c r="J223" s="123" t="n"/>
      <c r="K223" s="123" t="n"/>
      <c r="L223" s="64" t="n"/>
      <c r="M223" s="250">
        <f>IFERROR(VLOOKUP(L223,Tabellen!H:I,2),0)</f>
        <v/>
      </c>
      <c r="N223" s="121" t="n"/>
      <c r="O223" s="251" t="n"/>
      <c r="Q223" s="119">
        <f>IF(OR(L223=47201,L223=47100,L223=47200,L223=47500),H223,0)</f>
        <v/>
      </c>
      <c r="R223" s="119">
        <f>IF(OR(L223=87201,L223=87100,L223=87200,L223=87500),H223,0)</f>
        <v/>
      </c>
    </row>
    <row r="224" ht="15" customHeight="1">
      <c r="A224" s="267" t="n"/>
      <c r="B224" s="74" t="n"/>
      <c r="C224" s="74" t="n"/>
      <c r="D224" s="249" t="n"/>
      <c r="E224" s="74">
        <f>IF(N224&gt;1,"+",0)</f>
        <v/>
      </c>
      <c r="F224" s="75">
        <f>IF(E224&gt;0,$H$4,0)</f>
        <v/>
      </c>
      <c r="G224" s="256" t="n"/>
      <c r="H224" s="123" t="n"/>
      <c r="I224" s="123" t="n"/>
      <c r="J224" s="123" t="n"/>
      <c r="K224" s="123" t="n"/>
      <c r="L224" s="64" t="n"/>
      <c r="M224" s="250">
        <f>IFERROR(VLOOKUP(L224,Tabellen!H:I,2),0)</f>
        <v/>
      </c>
      <c r="N224" s="121" t="n"/>
      <c r="O224" s="251" t="n"/>
      <c r="Q224" s="119">
        <f>IF(OR(L224=47201,L224=47100,L224=47200,L224=47500),H224,0)</f>
        <v/>
      </c>
      <c r="R224" s="119">
        <f>IF(OR(L224=87201,L224=87100,L224=87200,L224=87500),H224,0)</f>
        <v/>
      </c>
    </row>
    <row r="225" ht="15" customHeight="1">
      <c r="A225" s="267" t="n"/>
      <c r="B225" s="74" t="n"/>
      <c r="C225" s="74" t="n"/>
      <c r="D225" s="249" t="n"/>
      <c r="E225" s="74">
        <f>IF(N225&gt;1,"+",0)</f>
        <v/>
      </c>
      <c r="F225" s="75">
        <f>IF(E225&gt;0,$H$4,0)</f>
        <v/>
      </c>
      <c r="G225" s="256" t="n"/>
      <c r="H225" s="123" t="n"/>
      <c r="I225" s="123" t="n"/>
      <c r="J225" s="123" t="n"/>
      <c r="K225" s="123" t="n"/>
      <c r="L225" s="64" t="n"/>
      <c r="M225" s="250">
        <f>IFERROR(VLOOKUP(L225,Tabellen!H:I,2),0)</f>
        <v/>
      </c>
      <c r="N225" s="121" t="n"/>
      <c r="O225" s="251" t="n"/>
      <c r="Q225" s="119">
        <f>IF(OR(L225=47201,L225=47100,L225=47200,L225=47500),H225,0)</f>
        <v/>
      </c>
      <c r="R225" s="119">
        <f>IF(OR(L225=87201,L225=87100,L225=87200,L225=87500),H225,0)</f>
        <v/>
      </c>
    </row>
    <row r="226" ht="15" customHeight="1">
      <c r="A226" s="267" t="n"/>
      <c r="B226" s="74" t="n"/>
      <c r="C226" s="74" t="n"/>
      <c r="D226" s="249" t="n"/>
      <c r="E226" s="74">
        <f>IF(N226&gt;1,"+",0)</f>
        <v/>
      </c>
      <c r="F226" s="75">
        <f>IF(E226&gt;0,$H$4,0)</f>
        <v/>
      </c>
      <c r="G226" s="256" t="n"/>
      <c r="H226" s="123" t="n"/>
      <c r="I226" s="123" t="n"/>
      <c r="J226" s="123" t="n"/>
      <c r="K226" s="123" t="n"/>
      <c r="L226" s="64" t="n"/>
      <c r="M226" s="250">
        <f>IFERROR(VLOOKUP(L226,Tabellen!H:I,2),0)</f>
        <v/>
      </c>
      <c r="N226" s="121" t="n"/>
      <c r="O226" s="251" t="n"/>
      <c r="Q226" s="119">
        <f>IF(OR(L226=47201,L226=47100,L226=47200,L226=47500),H226,0)</f>
        <v/>
      </c>
      <c r="R226" s="119">
        <f>IF(OR(L226=87201,L226=87100,L226=87200,L226=87500),H226,0)</f>
        <v/>
      </c>
    </row>
    <row r="227" ht="15" customHeight="1">
      <c r="A227" s="267" t="n"/>
      <c r="B227" s="74" t="n"/>
      <c r="C227" s="74" t="n"/>
      <c r="D227" s="249" t="n"/>
      <c r="E227" s="74">
        <f>IF(N227&gt;1,"+",0)</f>
        <v/>
      </c>
      <c r="F227" s="75">
        <f>IF(E227&gt;0,$H$4,0)</f>
        <v/>
      </c>
      <c r="G227" s="256" t="n"/>
      <c r="H227" s="123" t="n"/>
      <c r="I227" s="123" t="n"/>
      <c r="J227" s="123" t="n"/>
      <c r="K227" s="123" t="n"/>
      <c r="L227" s="64" t="n"/>
      <c r="M227" s="250">
        <f>IFERROR(VLOOKUP(L227,Tabellen!H:I,2),0)</f>
        <v/>
      </c>
      <c r="N227" s="121" t="n"/>
      <c r="O227" s="251" t="n"/>
      <c r="Q227" s="119">
        <f>IF(OR(L227=47201,L227=47100,L227=47200,L227=47500),H227,0)</f>
        <v/>
      </c>
      <c r="R227" s="119">
        <f>IF(OR(L227=87201,L227=87100,L227=87200,L227=87500),H227,0)</f>
        <v/>
      </c>
    </row>
    <row r="228" ht="15" customHeight="1">
      <c r="A228" s="267" t="n"/>
      <c r="B228" s="74" t="n"/>
      <c r="C228" s="74" t="n"/>
      <c r="D228" s="249" t="n"/>
      <c r="E228" s="74">
        <f>IF(N228&gt;1,"+",0)</f>
        <v/>
      </c>
      <c r="F228" s="75">
        <f>IF(E228&gt;0,$H$4,0)</f>
        <v/>
      </c>
      <c r="G228" s="256" t="n"/>
      <c r="H228" s="123" t="n"/>
      <c r="I228" s="123" t="n"/>
      <c r="J228" s="123" t="n"/>
      <c r="K228" s="123" t="n"/>
      <c r="L228" s="64" t="n"/>
      <c r="M228" s="250">
        <f>IFERROR(VLOOKUP(L228,Tabellen!H:I,2),0)</f>
        <v/>
      </c>
      <c r="N228" s="121" t="n"/>
      <c r="O228" s="251" t="n"/>
      <c r="Q228" s="119">
        <f>IF(OR(L228=47201,L228=47100,L228=47200,L228=47500),H228,0)</f>
        <v/>
      </c>
      <c r="R228" s="119">
        <f>IF(OR(L228=87201,L228=87100,L228=87200,L228=87500),H228,0)</f>
        <v/>
      </c>
    </row>
    <row r="229" ht="15" customHeight="1">
      <c r="A229" s="267" t="n"/>
      <c r="B229" s="74" t="n"/>
      <c r="C229" s="74" t="n"/>
      <c r="D229" s="249" t="n"/>
      <c r="E229" s="74">
        <f>IF(N229&gt;1,"+",0)</f>
        <v/>
      </c>
      <c r="F229" s="75">
        <f>IF(E229&gt;0,$H$4,0)</f>
        <v/>
      </c>
      <c r="G229" s="256" t="n"/>
      <c r="H229" s="123" t="n"/>
      <c r="I229" s="123" t="n"/>
      <c r="J229" s="123" t="n"/>
      <c r="K229" s="123" t="n"/>
      <c r="L229" s="64" t="n"/>
      <c r="M229" s="250">
        <f>IFERROR(VLOOKUP(L229,Tabellen!H:I,2),0)</f>
        <v/>
      </c>
      <c r="N229" s="121" t="n"/>
      <c r="O229" s="251" t="n"/>
      <c r="Q229" s="119">
        <f>IF(OR(L229=47201,L229=47100,L229=47200,L229=47500),H229,0)</f>
        <v/>
      </c>
      <c r="R229" s="119">
        <f>IF(OR(L229=87201,L229=87100,L229=87200,L229=87500),H229,0)</f>
        <v/>
      </c>
    </row>
    <row r="230" ht="15" customHeight="1">
      <c r="A230" s="267" t="n"/>
      <c r="B230" s="74" t="n"/>
      <c r="C230" s="74" t="n"/>
      <c r="D230" s="249" t="n"/>
      <c r="E230" s="74">
        <f>IF(N230&gt;1,"+",0)</f>
        <v/>
      </c>
      <c r="F230" s="75">
        <f>IF(E230&gt;0,$H$4,0)</f>
        <v/>
      </c>
      <c r="G230" s="256" t="n"/>
      <c r="H230" s="123" t="n"/>
      <c r="I230" s="123" t="n"/>
      <c r="J230" s="123" t="n"/>
      <c r="K230" s="123" t="n"/>
      <c r="L230" s="64" t="n"/>
      <c r="M230" s="250">
        <f>IFERROR(VLOOKUP(L230,Tabellen!H:I,2),0)</f>
        <v/>
      </c>
      <c r="N230" s="121" t="n"/>
      <c r="O230" s="251" t="n"/>
      <c r="Q230" s="119">
        <f>IF(OR(L230=47201,L230=47100,L230=47200,L230=47500),H230,0)</f>
        <v/>
      </c>
      <c r="R230" s="119">
        <f>IF(OR(L230=87201,L230=87100,L230=87200,L230=87500),H230,0)</f>
        <v/>
      </c>
    </row>
    <row r="231" ht="15" customHeight="1">
      <c r="A231" s="267" t="n"/>
      <c r="B231" s="74" t="n"/>
      <c r="C231" s="74" t="n"/>
      <c r="D231" s="249" t="n"/>
      <c r="E231" s="74">
        <f>IF(N231&gt;1,"+",0)</f>
        <v/>
      </c>
      <c r="F231" s="75">
        <f>IF(E231&gt;0,$H$4,0)</f>
        <v/>
      </c>
      <c r="G231" s="256" t="n"/>
      <c r="H231" s="123" t="n"/>
      <c r="I231" s="123" t="n"/>
      <c r="J231" s="123" t="n"/>
      <c r="K231" s="123" t="n"/>
      <c r="L231" s="64" t="n"/>
      <c r="M231" s="250">
        <f>IFERROR(VLOOKUP(L231,Tabellen!H:I,2),0)</f>
        <v/>
      </c>
      <c r="N231" s="121" t="n"/>
      <c r="O231" s="251" t="n"/>
      <c r="Q231" s="119">
        <f>IF(OR(L231=47201,L231=47100,L231=47200,L231=47500),H231,0)</f>
        <v/>
      </c>
      <c r="R231" s="119">
        <f>IF(OR(L231=87201,L231=87100,L231=87200,L231=87500),H231,0)</f>
        <v/>
      </c>
    </row>
    <row r="232" ht="15" customHeight="1">
      <c r="A232" s="267" t="n"/>
      <c r="B232" s="74" t="n"/>
      <c r="C232" s="74" t="n"/>
      <c r="D232" s="249" t="n"/>
      <c r="E232" s="74">
        <f>IF(N232&gt;1,"+",0)</f>
        <v/>
      </c>
      <c r="F232" s="75">
        <f>IF(E232&gt;0,$H$4,0)</f>
        <v/>
      </c>
      <c r="G232" s="256" t="n"/>
      <c r="H232" s="123" t="n"/>
      <c r="I232" s="123" t="n"/>
      <c r="J232" s="123" t="n"/>
      <c r="K232" s="123" t="n"/>
      <c r="L232" s="64" t="n"/>
      <c r="M232" s="250">
        <f>IFERROR(VLOOKUP(L232,Tabellen!H:I,2),0)</f>
        <v/>
      </c>
      <c r="N232" s="121" t="n"/>
      <c r="O232" s="251" t="n"/>
      <c r="Q232" s="119">
        <f>IF(OR(L232=47201,L232=47100,L232=47200,L232=47500),H232,0)</f>
        <v/>
      </c>
      <c r="R232" s="119">
        <f>IF(OR(L232=87201,L232=87100,L232=87200,L232=87500),H232,0)</f>
        <v/>
      </c>
    </row>
    <row r="233" ht="15" customHeight="1">
      <c r="A233" s="267" t="n"/>
      <c r="B233" s="74" t="n"/>
      <c r="C233" s="74" t="n"/>
      <c r="D233" s="249" t="n"/>
      <c r="E233" s="74">
        <f>IF(N233&gt;1,"+",0)</f>
        <v/>
      </c>
      <c r="F233" s="75">
        <f>IF(E233&gt;0,$H$4,0)</f>
        <v/>
      </c>
      <c r="G233" s="256" t="n"/>
      <c r="H233" s="123" t="n"/>
      <c r="I233" s="123" t="n"/>
      <c r="J233" s="123" t="n"/>
      <c r="K233" s="123" t="n"/>
      <c r="L233" s="64" t="n"/>
      <c r="M233" s="250">
        <f>IFERROR(VLOOKUP(L233,Tabellen!H:I,2),0)</f>
        <v/>
      </c>
      <c r="N233" s="121" t="n"/>
      <c r="O233" s="251" t="n"/>
      <c r="Q233" s="119">
        <f>IF(OR(L233=47201,L233=47100,L233=47200,L233=47500),H233,0)</f>
        <v/>
      </c>
      <c r="R233" s="119">
        <f>IF(OR(L233=87201,L233=87100,L233=87200,L233=87500),H233,0)</f>
        <v/>
      </c>
    </row>
    <row r="234" ht="15" customHeight="1">
      <c r="A234" s="267" t="n"/>
      <c r="B234" s="74" t="n"/>
      <c r="C234" s="74" t="n"/>
      <c r="D234" s="249" t="n"/>
      <c r="E234" s="74">
        <f>IF(N234&gt;1,"+",0)</f>
        <v/>
      </c>
      <c r="F234" s="75">
        <f>IF(E234&gt;0,$H$4,0)</f>
        <v/>
      </c>
      <c r="G234" s="256" t="n"/>
      <c r="H234" s="123" t="n"/>
      <c r="I234" s="123" t="n"/>
      <c r="J234" s="123" t="n"/>
      <c r="K234" s="123" t="n"/>
      <c r="L234" s="64" t="n"/>
      <c r="M234" s="250">
        <f>IFERROR(VLOOKUP(L234,Tabellen!H:I,2),0)</f>
        <v/>
      </c>
      <c r="N234" s="121" t="n"/>
      <c r="O234" s="251" t="n"/>
      <c r="Q234" s="119">
        <f>IF(OR(L234=47201,L234=47100,L234=47200,L234=47500),H234,0)</f>
        <v/>
      </c>
      <c r="R234" s="119">
        <f>IF(OR(L234=87201,L234=87100,L234=87200,L234=87500),H234,0)</f>
        <v/>
      </c>
    </row>
    <row r="235" ht="15" customHeight="1">
      <c r="A235" s="267" t="n"/>
      <c r="B235" s="74" t="n"/>
      <c r="C235" s="74" t="n"/>
      <c r="D235" s="249" t="n"/>
      <c r="E235" s="74">
        <f>IF(N235&gt;1,"+",0)</f>
        <v/>
      </c>
      <c r="F235" s="75">
        <f>IF(E235&gt;0,$H$4,0)</f>
        <v/>
      </c>
      <c r="G235" s="256" t="n"/>
      <c r="H235" s="123" t="n"/>
      <c r="I235" s="123" t="n"/>
      <c r="J235" s="123" t="n"/>
      <c r="K235" s="123" t="n"/>
      <c r="L235" s="64" t="n"/>
      <c r="M235" s="250">
        <f>IFERROR(VLOOKUP(L235,Tabellen!H:I,2),0)</f>
        <v/>
      </c>
      <c r="N235" s="121" t="n"/>
      <c r="O235" s="251" t="n"/>
      <c r="Q235" s="119">
        <f>IF(OR(L235=47201,L235=47100,L235=47200,L235=47500),H235,0)</f>
        <v/>
      </c>
      <c r="R235" s="119">
        <f>IF(OR(L235=87201,L235=87100,L235=87200,L235=87500),H235,0)</f>
        <v/>
      </c>
    </row>
    <row r="236" ht="15" customHeight="1">
      <c r="A236" s="267" t="n"/>
      <c r="B236" s="74" t="n"/>
      <c r="C236" s="74" t="n"/>
      <c r="D236" s="249" t="n"/>
      <c r="E236" s="74">
        <f>IF(N236&gt;1,"+",0)</f>
        <v/>
      </c>
      <c r="F236" s="75">
        <f>IF(E236&gt;0,$H$4,0)</f>
        <v/>
      </c>
      <c r="G236" s="256" t="n"/>
      <c r="H236" s="123" t="n"/>
      <c r="I236" s="123" t="n"/>
      <c r="J236" s="123" t="n"/>
      <c r="K236" s="123" t="n"/>
      <c r="L236" s="64" t="n"/>
      <c r="M236" s="250">
        <f>IFERROR(VLOOKUP(L236,Tabellen!H:I,2),0)</f>
        <v/>
      </c>
      <c r="N236" s="121" t="n"/>
      <c r="O236" s="251" t="n"/>
      <c r="Q236" s="119">
        <f>IF(OR(L236=47201,L236=47100,L236=47200,L236=47500),H236,0)</f>
        <v/>
      </c>
      <c r="R236" s="119">
        <f>IF(OR(L236=87201,L236=87100,L236=87200,L236=87500),H236,0)</f>
        <v/>
      </c>
    </row>
    <row r="237" ht="15" customHeight="1">
      <c r="A237" s="267" t="n"/>
      <c r="B237" s="74" t="n"/>
      <c r="C237" s="74" t="n"/>
      <c r="D237" s="249" t="n"/>
      <c r="E237" s="74">
        <f>IF(N237&gt;1,"+",0)</f>
        <v/>
      </c>
      <c r="F237" s="75">
        <f>IF(E237&gt;0,$H$4,0)</f>
        <v/>
      </c>
      <c r="G237" s="256" t="n"/>
      <c r="H237" s="123" t="n"/>
      <c r="I237" s="123" t="n"/>
      <c r="J237" s="123" t="n"/>
      <c r="K237" s="123" t="n"/>
      <c r="L237" s="64" t="n"/>
      <c r="M237" s="250">
        <f>IFERROR(VLOOKUP(L237,Tabellen!H:I,2),0)</f>
        <v/>
      </c>
      <c r="N237" s="121" t="n"/>
      <c r="O237" s="251" t="n"/>
      <c r="Q237" s="119">
        <f>IF(OR(L237=47201,L237=47100,L237=47200,L237=47500),H237,0)</f>
        <v/>
      </c>
      <c r="R237" s="119">
        <f>IF(OR(L237=87201,L237=87100,L237=87200,L237=87500),H237,0)</f>
        <v/>
      </c>
    </row>
    <row r="238" ht="15" customHeight="1">
      <c r="A238" s="267" t="n"/>
      <c r="B238" s="74" t="n"/>
      <c r="C238" s="74" t="n"/>
      <c r="D238" s="249" t="n"/>
      <c r="E238" s="74">
        <f>IF(N238&gt;1,"+",0)</f>
        <v/>
      </c>
      <c r="F238" s="75">
        <f>IF(E238&gt;0,$H$4,0)</f>
        <v/>
      </c>
      <c r="G238" s="256" t="n"/>
      <c r="H238" s="123" t="n"/>
      <c r="I238" s="123" t="n"/>
      <c r="J238" s="123" t="n"/>
      <c r="K238" s="123" t="n"/>
      <c r="L238" s="64" t="n"/>
      <c r="M238" s="250">
        <f>IFERROR(VLOOKUP(L238,Tabellen!H:I,2),0)</f>
        <v/>
      </c>
      <c r="N238" s="121" t="n"/>
      <c r="O238" s="251" t="n"/>
      <c r="Q238" s="119">
        <f>IF(OR(L238=47201,L238=47100,L238=47200,L238=47500),H238,0)</f>
        <v/>
      </c>
      <c r="R238" s="119">
        <f>IF(OR(L238=87201,L238=87100,L238=87200,L238=87500),H238,0)</f>
        <v/>
      </c>
    </row>
    <row r="239" ht="15" customHeight="1">
      <c r="A239" s="267" t="n"/>
      <c r="B239" s="74" t="n"/>
      <c r="C239" s="74" t="n"/>
      <c r="D239" s="249" t="n"/>
      <c r="E239" s="74">
        <f>IF(N239&gt;1,"+",0)</f>
        <v/>
      </c>
      <c r="F239" s="75">
        <f>IF(E239&gt;0,$H$4,0)</f>
        <v/>
      </c>
      <c r="G239" s="256" t="n"/>
      <c r="H239" s="123" t="n"/>
      <c r="I239" s="123" t="n"/>
      <c r="J239" s="123" t="n"/>
      <c r="K239" s="123" t="n"/>
      <c r="L239" s="64" t="n"/>
      <c r="M239" s="250">
        <f>IFERROR(VLOOKUP(L239,Tabellen!H:I,2),0)</f>
        <v/>
      </c>
      <c r="N239" s="121" t="n"/>
      <c r="O239" s="251" t="n"/>
      <c r="Q239" s="119">
        <f>IF(OR(L239=47201,L239=47100,L239=47200,L239=47500),H239,0)</f>
        <v/>
      </c>
      <c r="R239" s="119">
        <f>IF(OR(L239=87201,L239=87100,L239=87200,L239=87500),H239,0)</f>
        <v/>
      </c>
    </row>
    <row r="240" ht="15" customHeight="1">
      <c r="A240" s="267" t="n"/>
      <c r="B240" s="74" t="n"/>
      <c r="C240" s="74" t="n"/>
      <c r="D240" s="249" t="n"/>
      <c r="E240" s="74">
        <f>IF(N240&gt;1,"+",0)</f>
        <v/>
      </c>
      <c r="F240" s="75">
        <f>IF(E240&gt;0,$H$4,0)</f>
        <v/>
      </c>
      <c r="G240" s="256" t="n"/>
      <c r="H240" s="123" t="n"/>
      <c r="I240" s="123" t="n"/>
      <c r="J240" s="123" t="n"/>
      <c r="K240" s="123" t="n"/>
      <c r="L240" s="64" t="n"/>
      <c r="M240" s="250">
        <f>IFERROR(VLOOKUP(L240,Tabellen!H:I,2),0)</f>
        <v/>
      </c>
      <c r="N240" s="121" t="n"/>
      <c r="O240" s="251" t="n"/>
      <c r="Q240" s="119">
        <f>IF(OR(L240=47201,L240=47100,L240=47200,L240=47500),H240,0)</f>
        <v/>
      </c>
      <c r="R240" s="119">
        <f>IF(OR(L240=87201,L240=87100,L240=87200,L240=87500),H240,0)</f>
        <v/>
      </c>
    </row>
    <row r="241" ht="15" customHeight="1">
      <c r="A241" s="267" t="n"/>
      <c r="B241" s="74" t="n"/>
      <c r="C241" s="74" t="n"/>
      <c r="D241" s="249" t="n"/>
      <c r="E241" s="74">
        <f>IF(N241&gt;1,"+",0)</f>
        <v/>
      </c>
      <c r="F241" s="75">
        <f>IF(E241&gt;0,$H$4,0)</f>
        <v/>
      </c>
      <c r="G241" s="256" t="n"/>
      <c r="H241" s="123" t="n"/>
      <c r="I241" s="123" t="n"/>
      <c r="J241" s="123" t="n"/>
      <c r="K241" s="123" t="n"/>
      <c r="L241" s="64" t="n"/>
      <c r="M241" s="250">
        <f>IFERROR(VLOOKUP(L241,Tabellen!H:I,2),0)</f>
        <v/>
      </c>
      <c r="N241" s="121" t="n"/>
      <c r="O241" s="251" t="n"/>
      <c r="Q241" s="119">
        <f>IF(OR(L241=47201,L241=47100,L241=47200,L241=47500),H241,0)</f>
        <v/>
      </c>
      <c r="R241" s="119">
        <f>IF(OR(L241=87201,L241=87100,L241=87200,L241=87500),H241,0)</f>
        <v/>
      </c>
    </row>
    <row r="242" ht="15" customHeight="1">
      <c r="A242" s="267" t="n"/>
      <c r="B242" s="74" t="n"/>
      <c r="C242" s="74" t="n"/>
      <c r="D242" s="249" t="n"/>
      <c r="E242" s="74">
        <f>IF(N242&gt;1,"+",0)</f>
        <v/>
      </c>
      <c r="F242" s="75">
        <f>IF(E242&gt;0,$H$4,0)</f>
        <v/>
      </c>
      <c r="G242" s="256" t="n"/>
      <c r="H242" s="123" t="n"/>
      <c r="I242" s="123" t="n"/>
      <c r="J242" s="123" t="n"/>
      <c r="K242" s="123" t="n"/>
      <c r="L242" s="64" t="n"/>
      <c r="M242" s="250">
        <f>IFERROR(VLOOKUP(L242,Tabellen!H:I,2),0)</f>
        <v/>
      </c>
      <c r="N242" s="121" t="n"/>
      <c r="O242" s="251" t="n"/>
      <c r="Q242" s="119">
        <f>IF(OR(L242=47201,L242=47100,L242=47200,L242=47500),H242,0)</f>
        <v/>
      </c>
      <c r="R242" s="119">
        <f>IF(OR(L242=87201,L242=87100,L242=87200,L242=87500),H242,0)</f>
        <v/>
      </c>
    </row>
    <row r="243" ht="15" customHeight="1">
      <c r="A243" s="267" t="n"/>
      <c r="B243" s="74" t="n"/>
      <c r="C243" s="74" t="n"/>
      <c r="D243" s="249" t="n"/>
      <c r="E243" s="74">
        <f>IF(N243&gt;1,"+",0)</f>
        <v/>
      </c>
      <c r="F243" s="75">
        <f>IF(E243&gt;0,$H$4,0)</f>
        <v/>
      </c>
      <c r="G243" s="256" t="n"/>
      <c r="H243" s="123" t="n"/>
      <c r="I243" s="123" t="n"/>
      <c r="J243" s="123" t="n"/>
      <c r="K243" s="123" t="n"/>
      <c r="L243" s="64" t="n"/>
      <c r="M243" s="250">
        <f>IFERROR(VLOOKUP(L243,Tabellen!H:I,2),0)</f>
        <v/>
      </c>
      <c r="N243" s="121" t="n"/>
      <c r="O243" s="251" t="n"/>
      <c r="Q243" s="119">
        <f>IF(OR(L243=47201,L243=47100,L243=47200,L243=47500),H243,0)</f>
        <v/>
      </c>
      <c r="R243" s="119">
        <f>IF(OR(L243=87201,L243=87100,L243=87200,L243=87500),H243,0)</f>
        <v/>
      </c>
    </row>
    <row r="244" ht="15" customHeight="1">
      <c r="A244" s="267" t="n"/>
      <c r="B244" s="74" t="n"/>
      <c r="C244" s="74" t="n"/>
      <c r="D244" s="249" t="n"/>
      <c r="E244" s="74">
        <f>IF(N244&gt;1,"+",0)</f>
        <v/>
      </c>
      <c r="F244" s="75">
        <f>IF(E244&gt;0,$H$4,0)</f>
        <v/>
      </c>
      <c r="G244" s="256" t="n"/>
      <c r="H244" s="123" t="n"/>
      <c r="I244" s="123" t="n"/>
      <c r="J244" s="123" t="n"/>
      <c r="K244" s="123" t="n"/>
      <c r="L244" s="64" t="n"/>
      <c r="M244" s="250">
        <f>IFERROR(VLOOKUP(L244,Tabellen!H:I,2),0)</f>
        <v/>
      </c>
      <c r="N244" s="121" t="n"/>
      <c r="O244" s="251" t="n"/>
      <c r="Q244" s="119">
        <f>IF(OR(L244=47201,L244=47100,L244=47200,L244=47500),H244,0)</f>
        <v/>
      </c>
      <c r="R244" s="119">
        <f>IF(OR(L244=87201,L244=87100,L244=87200,L244=87500),H244,0)</f>
        <v/>
      </c>
    </row>
    <row r="245" ht="15" customHeight="1">
      <c r="A245" s="267" t="n"/>
      <c r="B245" s="74" t="n"/>
      <c r="C245" s="74" t="n"/>
      <c r="D245" s="249" t="n"/>
      <c r="E245" s="74">
        <f>IF(N245&gt;1,"+",0)</f>
        <v/>
      </c>
      <c r="F245" s="75">
        <f>IF(E245&gt;0,$H$4,0)</f>
        <v/>
      </c>
      <c r="G245" s="256" t="n"/>
      <c r="H245" s="123" t="n"/>
      <c r="I245" s="123" t="n"/>
      <c r="J245" s="123" t="n"/>
      <c r="K245" s="123" t="n"/>
      <c r="L245" s="64" t="n"/>
      <c r="M245" s="250">
        <f>IFERROR(VLOOKUP(L245,Tabellen!H:I,2),0)</f>
        <v/>
      </c>
      <c r="N245" s="121" t="n"/>
      <c r="O245" s="251" t="n"/>
      <c r="Q245" s="119">
        <f>IF(OR(L245=47201,L245=47100,L245=47200,L245=47500),H245,0)</f>
        <v/>
      </c>
      <c r="R245" s="119">
        <f>IF(OR(L245=87201,L245=87100,L245=87200,L245=87500),H245,0)</f>
        <v/>
      </c>
    </row>
    <row r="246" ht="15" customHeight="1">
      <c r="A246" s="267" t="n"/>
      <c r="B246" s="74" t="n"/>
      <c r="C246" s="74" t="n"/>
      <c r="D246" s="249" t="n"/>
      <c r="E246" s="74">
        <f>IF(N246&gt;1,"+",0)</f>
        <v/>
      </c>
      <c r="F246" s="75">
        <f>IF(E246&gt;0,$H$4,0)</f>
        <v/>
      </c>
      <c r="G246" s="256" t="n"/>
      <c r="H246" s="123" t="n"/>
      <c r="I246" s="123" t="n"/>
      <c r="J246" s="123" t="n"/>
      <c r="K246" s="123" t="n"/>
      <c r="L246" s="64" t="n"/>
      <c r="M246" s="250">
        <f>IFERROR(VLOOKUP(L246,Tabellen!H:I,2),0)</f>
        <v/>
      </c>
      <c r="N246" s="121" t="n"/>
      <c r="O246" s="251" t="n"/>
      <c r="Q246" s="119">
        <f>IF(OR(L246=47201,L246=47100,L246=47200,L246=47500),H246,0)</f>
        <v/>
      </c>
      <c r="R246" s="119">
        <f>IF(OR(L246=87201,L246=87100,L246=87200,L246=87500),H246,0)</f>
        <v/>
      </c>
    </row>
    <row r="247" ht="15" customHeight="1">
      <c r="A247" s="267" t="n"/>
      <c r="B247" s="74" t="n"/>
      <c r="C247" s="74" t="n"/>
      <c r="D247" s="249" t="n"/>
      <c r="E247" s="74">
        <f>IF(N247&gt;1,"+",0)</f>
        <v/>
      </c>
      <c r="F247" s="75">
        <f>IF(E247&gt;0,$H$4,0)</f>
        <v/>
      </c>
      <c r="G247" s="256" t="n"/>
      <c r="H247" s="123" t="n"/>
      <c r="I247" s="123" t="n"/>
      <c r="J247" s="123" t="n"/>
      <c r="K247" s="123" t="n"/>
      <c r="L247" s="64" t="n"/>
      <c r="M247" s="250">
        <f>IFERROR(VLOOKUP(L247,Tabellen!H:I,2),0)</f>
        <v/>
      </c>
      <c r="N247" s="121" t="n"/>
      <c r="O247" s="251" t="n"/>
      <c r="Q247" s="119">
        <f>IF(OR(L247=47201,L247=47100,L247=47200,L247=47500),H247,0)</f>
        <v/>
      </c>
      <c r="R247" s="119">
        <f>IF(OR(L247=87201,L247=87100,L247=87200,L247=87500),H247,0)</f>
        <v/>
      </c>
    </row>
    <row r="248" ht="15" customHeight="1">
      <c r="A248" s="267" t="n"/>
      <c r="B248" s="74" t="n"/>
      <c r="C248" s="74" t="n"/>
      <c r="D248" s="249" t="n"/>
      <c r="E248" s="74">
        <f>IF(N248&gt;1,"+",0)</f>
        <v/>
      </c>
      <c r="F248" s="75">
        <f>IF(E248&gt;0,$H$4,0)</f>
        <v/>
      </c>
      <c r="G248" s="256" t="n"/>
      <c r="H248" s="123" t="n"/>
      <c r="I248" s="123" t="n"/>
      <c r="J248" s="123" t="n"/>
      <c r="K248" s="123" t="n"/>
      <c r="L248" s="64" t="n"/>
      <c r="M248" s="250">
        <f>IFERROR(VLOOKUP(L248,Tabellen!H:I,2),0)</f>
        <v/>
      </c>
      <c r="N248" s="121" t="n"/>
      <c r="O248" s="251" t="n"/>
      <c r="Q248" s="119">
        <f>IF(OR(L248=47201,L248=47100,L248=47200,L248=47500),H248,0)</f>
        <v/>
      </c>
      <c r="R248" s="119">
        <f>IF(OR(L248=87201,L248=87100,L248=87200,L248=87500),H248,0)</f>
        <v/>
      </c>
    </row>
    <row r="249" ht="15" customHeight="1">
      <c r="A249" s="267" t="n"/>
      <c r="B249" s="74" t="n"/>
      <c r="C249" s="74" t="n"/>
      <c r="D249" s="249" t="n"/>
      <c r="E249" s="74">
        <f>IF(N249&gt;1,"+",0)</f>
        <v/>
      </c>
      <c r="F249" s="75">
        <f>IF(E249&gt;0,$H$4,0)</f>
        <v/>
      </c>
      <c r="G249" s="256" t="n"/>
      <c r="H249" s="123" t="n"/>
      <c r="I249" s="123" t="n"/>
      <c r="J249" s="123" t="n"/>
      <c r="K249" s="123" t="n"/>
      <c r="L249" s="64" t="n"/>
      <c r="M249" s="250">
        <f>IFERROR(VLOOKUP(L249,Tabellen!H:I,2),0)</f>
        <v/>
      </c>
      <c r="N249" s="121" t="n"/>
      <c r="O249" s="251" t="n"/>
      <c r="Q249" s="119">
        <f>IF(OR(L249=47201,L249=47100,L249=47200,L249=47500),H249,0)</f>
        <v/>
      </c>
      <c r="R249" s="119">
        <f>IF(OR(L249=87201,L249=87100,L249=87200,L249=87500),H249,0)</f>
        <v/>
      </c>
    </row>
    <row r="250" ht="15" customHeight="1">
      <c r="A250" s="267" t="n"/>
      <c r="B250" s="74" t="n"/>
      <c r="C250" s="74" t="n"/>
      <c r="D250" s="249" t="n"/>
      <c r="E250" s="74">
        <f>IF(N250&gt;1,"+",0)</f>
        <v/>
      </c>
      <c r="F250" s="75">
        <f>IF(E250&gt;0,$H$4,0)</f>
        <v/>
      </c>
      <c r="G250" s="256" t="n"/>
      <c r="H250" s="123" t="n"/>
      <c r="I250" s="123" t="n"/>
      <c r="J250" s="123" t="n"/>
      <c r="K250" s="123" t="n"/>
      <c r="L250" s="64" t="n"/>
      <c r="M250" s="250">
        <f>IFERROR(VLOOKUP(L250,Tabellen!H:I,2),0)</f>
        <v/>
      </c>
      <c r="N250" s="121" t="n"/>
      <c r="O250" s="251" t="n"/>
      <c r="Q250" s="119">
        <f>IF(OR(L250=47201,L250=47100,L250=47200,L250=47500),H250,0)</f>
        <v/>
      </c>
      <c r="R250" s="119">
        <f>IF(OR(L250=87201,L250=87100,L250=87200,L250=87500),H250,0)</f>
        <v/>
      </c>
    </row>
    <row r="251" ht="15" customHeight="1">
      <c r="A251" s="267" t="n"/>
      <c r="B251" s="74" t="n"/>
      <c r="C251" s="74" t="n"/>
      <c r="D251" s="249" t="n"/>
      <c r="E251" s="74">
        <f>IF(N251&gt;1,"+",0)</f>
        <v/>
      </c>
      <c r="F251" s="75">
        <f>IF(E251&gt;0,$H$4,0)</f>
        <v/>
      </c>
      <c r="G251" s="256" t="n"/>
      <c r="H251" s="123" t="n"/>
      <c r="I251" s="123" t="n"/>
      <c r="J251" s="123" t="n"/>
      <c r="K251" s="123" t="n"/>
      <c r="L251" s="64" t="n"/>
      <c r="M251" s="250">
        <f>IFERROR(VLOOKUP(L251,Tabellen!H:I,2),0)</f>
        <v/>
      </c>
      <c r="N251" s="121" t="n"/>
      <c r="O251" s="251" t="n"/>
      <c r="Q251" s="119">
        <f>IF(OR(L251=47201,L251=47100,L251=47200,L251=47500),H251,0)</f>
        <v/>
      </c>
      <c r="R251" s="119">
        <f>IF(OR(L251=87201,L251=87100,L251=87200,L251=87500),H251,0)</f>
        <v/>
      </c>
    </row>
    <row r="252" ht="15" customHeight="1">
      <c r="A252" s="267" t="n"/>
      <c r="B252" s="74" t="n"/>
      <c r="C252" s="74" t="n"/>
      <c r="D252" s="249" t="n"/>
      <c r="E252" s="74">
        <f>IF(N252&gt;1,"+",0)</f>
        <v/>
      </c>
      <c r="F252" s="75">
        <f>IF(E252&gt;0,$H$4,0)</f>
        <v/>
      </c>
      <c r="G252" s="256" t="n"/>
      <c r="H252" s="123" t="n"/>
      <c r="I252" s="123" t="n"/>
      <c r="J252" s="123" t="n"/>
      <c r="K252" s="123" t="n"/>
      <c r="L252" s="64" t="n"/>
      <c r="M252" s="250">
        <f>IFERROR(VLOOKUP(L252,Tabellen!H:I,2),0)</f>
        <v/>
      </c>
      <c r="N252" s="121" t="n"/>
      <c r="O252" s="251" t="n"/>
      <c r="Q252" s="119">
        <f>IF(OR(L252=47201,L252=47100,L252=47200,L252=47500),H252,0)</f>
        <v/>
      </c>
      <c r="R252" s="119">
        <f>IF(OR(L252=87201,L252=87100,L252=87200,L252=87500),H252,0)</f>
        <v/>
      </c>
    </row>
    <row r="253" ht="15" customHeight="1">
      <c r="A253" s="267" t="n"/>
      <c r="B253" s="74" t="n"/>
      <c r="C253" s="74" t="n"/>
      <c r="D253" s="249" t="n"/>
      <c r="E253" s="74">
        <f>IF(N253&gt;1,"+",0)</f>
        <v/>
      </c>
      <c r="F253" s="75">
        <f>IF(E253&gt;0,$H$4,0)</f>
        <v/>
      </c>
      <c r="G253" s="256" t="n"/>
      <c r="H253" s="123" t="n"/>
      <c r="I253" s="123" t="n"/>
      <c r="J253" s="123" t="n"/>
      <c r="K253" s="123" t="n"/>
      <c r="L253" s="64" t="n"/>
      <c r="M253" s="250">
        <f>IFERROR(VLOOKUP(L253,Tabellen!H:I,2),0)</f>
        <v/>
      </c>
      <c r="N253" s="121" t="n"/>
      <c r="O253" s="251" t="n"/>
      <c r="Q253" s="119">
        <f>IF(OR(L253=47201,L253=47100,L253=47200,L253=47500),H253,0)</f>
        <v/>
      </c>
      <c r="R253" s="119">
        <f>IF(OR(L253=87201,L253=87100,L253=87200,L253=87500),H253,0)</f>
        <v/>
      </c>
    </row>
    <row r="254" ht="15" customHeight="1">
      <c r="A254" s="267" t="n"/>
      <c r="B254" s="74" t="n"/>
      <c r="C254" s="74" t="n"/>
      <c r="D254" s="249" t="n"/>
      <c r="E254" s="74">
        <f>IF(N254&gt;1,"+",0)</f>
        <v/>
      </c>
      <c r="F254" s="75">
        <f>IF(E254&gt;0,$H$4,0)</f>
        <v/>
      </c>
      <c r="G254" s="256" t="n"/>
      <c r="H254" s="123" t="n"/>
      <c r="I254" s="123" t="n"/>
      <c r="J254" s="123" t="n"/>
      <c r="K254" s="123" t="n"/>
      <c r="L254" s="64" t="n"/>
      <c r="M254" s="250">
        <f>IFERROR(VLOOKUP(L254,Tabellen!H:I,2),0)</f>
        <v/>
      </c>
      <c r="N254" s="121" t="n"/>
      <c r="O254" s="251" t="n"/>
      <c r="Q254" s="119">
        <f>IF(OR(L254=47201,L254=47100,L254=47200,L254=47500),H254,0)</f>
        <v/>
      </c>
      <c r="R254" s="119">
        <f>IF(OR(L254=87201,L254=87100,L254=87200,L254=87500),H254,0)</f>
        <v/>
      </c>
    </row>
    <row r="255" ht="15" customHeight="1">
      <c r="A255" s="267" t="n"/>
      <c r="B255" s="74" t="n"/>
      <c r="C255" s="74" t="n"/>
      <c r="D255" s="249" t="n"/>
      <c r="E255" s="74">
        <f>IF(N255&gt;1,"+",0)</f>
        <v/>
      </c>
      <c r="F255" s="75">
        <f>IF(E255&gt;0,$H$4,0)</f>
        <v/>
      </c>
      <c r="G255" s="256" t="n"/>
      <c r="H255" s="123" t="n"/>
      <c r="I255" s="123" t="n"/>
      <c r="J255" s="123" t="n"/>
      <c r="K255" s="123" t="n"/>
      <c r="L255" s="64" t="n"/>
      <c r="M255" s="250">
        <f>IFERROR(VLOOKUP(L255,Tabellen!H:I,2),0)</f>
        <v/>
      </c>
      <c r="N255" s="121" t="n"/>
      <c r="O255" s="251" t="n"/>
      <c r="Q255" s="119">
        <f>IF(OR(L255=47201,L255=47100,L255=47200,L255=47500),H255,0)</f>
        <v/>
      </c>
      <c r="R255" s="119">
        <f>IF(OR(L255=87201,L255=87100,L255=87200,L255=87500),H255,0)</f>
        <v/>
      </c>
    </row>
    <row r="256" ht="15" customHeight="1">
      <c r="A256" s="267" t="n"/>
      <c r="B256" s="74" t="n"/>
      <c r="C256" s="74" t="n"/>
      <c r="D256" s="249" t="n"/>
      <c r="E256" s="74">
        <f>IF(N256&gt;1,"+",0)</f>
        <v/>
      </c>
      <c r="F256" s="75">
        <f>IF(E256&gt;0,$H$4,0)</f>
        <v/>
      </c>
      <c r="G256" s="256" t="n"/>
      <c r="H256" s="123" t="n"/>
      <c r="I256" s="123" t="n"/>
      <c r="J256" s="123" t="n"/>
      <c r="K256" s="123" t="n"/>
      <c r="L256" s="64" t="n"/>
      <c r="M256" s="250">
        <f>IFERROR(VLOOKUP(L256,Tabellen!H:I,2),0)</f>
        <v/>
      </c>
      <c r="N256" s="121" t="n"/>
      <c r="O256" s="251" t="n"/>
      <c r="Q256" s="119">
        <f>IF(OR(L256=47201,L256=47100,L256=47200,L256=47500),H256,0)</f>
        <v/>
      </c>
      <c r="R256" s="119">
        <f>IF(OR(L256=87201,L256=87100,L256=87200,L256=87500),H256,0)</f>
        <v/>
      </c>
    </row>
    <row r="257" ht="15" customHeight="1">
      <c r="A257" s="267" t="n"/>
      <c r="B257" s="74" t="n"/>
      <c r="C257" s="74" t="n"/>
      <c r="D257" s="249" t="n"/>
      <c r="E257" s="74">
        <f>IF(N257&gt;1,"+",0)</f>
        <v/>
      </c>
      <c r="F257" s="75">
        <f>IF(E257&gt;0,$H$4,0)</f>
        <v/>
      </c>
      <c r="G257" s="256" t="n"/>
      <c r="H257" s="123" t="n"/>
      <c r="I257" s="123" t="n"/>
      <c r="J257" s="123" t="n"/>
      <c r="K257" s="123" t="n"/>
      <c r="L257" s="64" t="n"/>
      <c r="M257" s="250">
        <f>IFERROR(VLOOKUP(L257,Tabellen!H:I,2),0)</f>
        <v/>
      </c>
      <c r="N257" s="121" t="n"/>
      <c r="O257" s="251" t="n"/>
      <c r="Q257" s="119">
        <f>IF(OR(L257=47201,L257=47100,L257=47200,L257=47500),H257,0)</f>
        <v/>
      </c>
      <c r="R257" s="119">
        <f>IF(OR(L257=87201,L257=87100,L257=87200,L257=87500),H257,0)</f>
        <v/>
      </c>
    </row>
    <row r="258" ht="15" customHeight="1">
      <c r="A258" s="267" t="n"/>
      <c r="B258" s="74" t="n"/>
      <c r="C258" s="74" t="n"/>
      <c r="D258" s="249" t="n"/>
      <c r="E258" s="74">
        <f>IF(N258&gt;1,"+",0)</f>
        <v/>
      </c>
      <c r="F258" s="75">
        <f>IF(E258&gt;0,$H$4,0)</f>
        <v/>
      </c>
      <c r="G258" s="256" t="n"/>
      <c r="H258" s="123" t="n"/>
      <c r="I258" s="123" t="n"/>
      <c r="J258" s="123" t="n"/>
      <c r="K258" s="123" t="n"/>
      <c r="L258" s="64" t="n"/>
      <c r="M258" s="250">
        <f>IFERROR(VLOOKUP(L258,Tabellen!H:I,2),0)</f>
        <v/>
      </c>
      <c r="N258" s="121" t="n"/>
      <c r="O258" s="251" t="n"/>
      <c r="Q258" s="119">
        <f>IF(OR(L258=47201,L258=47100,L258=47200,L258=47500),H258,0)</f>
        <v/>
      </c>
      <c r="R258" s="119">
        <f>IF(OR(L258=87201,L258=87100,L258=87200,L258=87500),H258,0)</f>
        <v/>
      </c>
    </row>
    <row r="259" ht="15" customHeight="1">
      <c r="A259" s="267" t="n"/>
      <c r="B259" s="74" t="n"/>
      <c r="C259" s="74" t="n"/>
      <c r="D259" s="249" t="n"/>
      <c r="E259" s="74">
        <f>IF(N259&gt;1,"+",0)</f>
        <v/>
      </c>
      <c r="F259" s="75">
        <f>IF(E259&gt;0,$H$4,0)</f>
        <v/>
      </c>
      <c r="G259" s="256" t="n"/>
      <c r="H259" s="123" t="n"/>
      <c r="I259" s="123" t="n"/>
      <c r="J259" s="123" t="n"/>
      <c r="K259" s="123" t="n"/>
      <c r="L259" s="64" t="n"/>
      <c r="M259" s="250">
        <f>IFERROR(VLOOKUP(L259,Tabellen!H:I,2),0)</f>
        <v/>
      </c>
      <c r="N259" s="121" t="n"/>
      <c r="O259" s="251" t="n"/>
      <c r="Q259" s="119">
        <f>IF(OR(L259=47201,L259=47100,L259=47200,L259=47500),H259,0)</f>
        <v/>
      </c>
      <c r="R259" s="119">
        <f>IF(OR(L259=87201,L259=87100,L259=87200,L259=87500),H259,0)</f>
        <v/>
      </c>
    </row>
    <row r="260" ht="15" customHeight="1">
      <c r="A260" s="267" t="n"/>
      <c r="B260" s="74" t="n"/>
      <c r="C260" s="74" t="n"/>
      <c r="D260" s="249" t="n"/>
      <c r="E260" s="74">
        <f>IF(N260&gt;1,"+",0)</f>
        <v/>
      </c>
      <c r="F260" s="75">
        <f>IF(E260&gt;0,$H$4,0)</f>
        <v/>
      </c>
      <c r="G260" s="256" t="n"/>
      <c r="H260" s="123" t="n"/>
      <c r="I260" s="123" t="n"/>
      <c r="J260" s="123" t="n"/>
      <c r="K260" s="123" t="n"/>
      <c r="L260" s="64" t="n"/>
      <c r="M260" s="250">
        <f>IFERROR(VLOOKUP(L260,Tabellen!H:I,2),0)</f>
        <v/>
      </c>
      <c r="N260" s="121" t="n"/>
      <c r="O260" s="251" t="n"/>
      <c r="Q260" s="119">
        <f>IF(OR(L260=47201,L260=47100,L260=47200,L260=47500),H260,0)</f>
        <v/>
      </c>
      <c r="R260" s="119">
        <f>IF(OR(L260=87201,L260=87100,L260=87200,L260=87500),H260,0)</f>
        <v/>
      </c>
    </row>
    <row r="261" ht="15" customHeight="1">
      <c r="A261" s="267" t="n"/>
      <c r="B261" s="74" t="n"/>
      <c r="C261" s="74" t="n"/>
      <c r="D261" s="249" t="n"/>
      <c r="E261" s="74">
        <f>IF(N261&gt;1,"+",0)</f>
        <v/>
      </c>
      <c r="F261" s="75">
        <f>IF(E261&gt;0,$H$4,0)</f>
        <v/>
      </c>
      <c r="G261" s="256" t="n"/>
      <c r="H261" s="123" t="n"/>
      <c r="I261" s="123" t="n"/>
      <c r="J261" s="123" t="n"/>
      <c r="K261" s="123" t="n"/>
      <c r="L261" s="64" t="n"/>
      <c r="M261" s="250">
        <f>IFERROR(VLOOKUP(L261,Tabellen!H:I,2),0)</f>
        <v/>
      </c>
      <c r="N261" s="121" t="n"/>
      <c r="O261" s="251" t="n"/>
      <c r="Q261" s="119">
        <f>IF(OR(L261=47201,L261=47100,L261=47200,L261=47500),H261,0)</f>
        <v/>
      </c>
      <c r="R261" s="119">
        <f>IF(OR(L261=87201,L261=87100,L261=87200,L261=87500),H261,0)</f>
        <v/>
      </c>
    </row>
    <row r="262" ht="15" customHeight="1">
      <c r="A262" s="267" t="n"/>
      <c r="B262" s="74" t="n"/>
      <c r="C262" s="74" t="n"/>
      <c r="D262" s="249" t="n"/>
      <c r="E262" s="74">
        <f>IF(N262&gt;1,"+",0)</f>
        <v/>
      </c>
      <c r="F262" s="75">
        <f>IF(E262&gt;0,$H$4,0)</f>
        <v/>
      </c>
      <c r="G262" s="256" t="n"/>
      <c r="H262" s="123" t="n"/>
      <c r="I262" s="123" t="n"/>
      <c r="J262" s="123" t="n"/>
      <c r="K262" s="123" t="n"/>
      <c r="L262" s="64" t="n"/>
      <c r="M262" s="250">
        <f>IFERROR(VLOOKUP(L262,Tabellen!H:I,2),0)</f>
        <v/>
      </c>
      <c r="N262" s="121" t="n"/>
      <c r="O262" s="251" t="n"/>
      <c r="Q262" s="119">
        <f>IF(OR(L262=47201,L262=47100,L262=47200,L262=47500),H262,0)</f>
        <v/>
      </c>
      <c r="R262" s="119">
        <f>IF(OR(L262=87201,L262=87100,L262=87200,L262=87500),H262,0)</f>
        <v/>
      </c>
    </row>
    <row r="263" ht="15" customHeight="1">
      <c r="A263" s="267" t="n"/>
      <c r="B263" s="74" t="n"/>
      <c r="C263" s="74" t="n"/>
      <c r="D263" s="249" t="n"/>
      <c r="E263" s="74">
        <f>IF(N263&gt;1,"+",0)</f>
        <v/>
      </c>
      <c r="F263" s="75">
        <f>IF(E263&gt;0,$H$4,0)</f>
        <v/>
      </c>
      <c r="G263" s="256" t="n"/>
      <c r="H263" s="123" t="n"/>
      <c r="I263" s="123" t="n"/>
      <c r="J263" s="123" t="n"/>
      <c r="K263" s="123" t="n"/>
      <c r="L263" s="64" t="n"/>
      <c r="M263" s="250">
        <f>IFERROR(VLOOKUP(L263,Tabellen!H:I,2),0)</f>
        <v/>
      </c>
      <c r="N263" s="121" t="n"/>
      <c r="O263" s="251" t="n"/>
      <c r="Q263" s="119">
        <f>IF(OR(L263=47201,L263=47100,L263=47200,L263=47500),H263,0)</f>
        <v/>
      </c>
      <c r="R263" s="119">
        <f>IF(OR(L263=87201,L263=87100,L263=87200,L263=87500),H263,0)</f>
        <v/>
      </c>
    </row>
    <row r="264" ht="15" customHeight="1">
      <c r="A264" s="267" t="n"/>
      <c r="B264" s="74" t="n"/>
      <c r="C264" s="74" t="n"/>
      <c r="D264" s="249" t="n"/>
      <c r="E264" s="74">
        <f>IF(N264&gt;1,"+",0)</f>
        <v/>
      </c>
      <c r="F264" s="75">
        <f>IF(E264&gt;0,$H$4,0)</f>
        <v/>
      </c>
      <c r="G264" s="256" t="n"/>
      <c r="H264" s="123" t="n"/>
      <c r="I264" s="123" t="n"/>
      <c r="J264" s="123" t="n"/>
      <c r="K264" s="123" t="n"/>
      <c r="L264" s="64" t="n"/>
      <c r="M264" s="250">
        <f>IFERROR(VLOOKUP(L264,Tabellen!H:I,2),0)</f>
        <v/>
      </c>
      <c r="N264" s="121" t="n"/>
      <c r="O264" s="251" t="n"/>
      <c r="Q264" s="119">
        <f>IF(OR(L264=47201,L264=47100,L264=47200,L264=47500),H264,0)</f>
        <v/>
      </c>
      <c r="R264" s="119">
        <f>IF(OR(L264=87201,L264=87100,L264=87200,L264=87500),H264,0)</f>
        <v/>
      </c>
    </row>
    <row r="265" ht="15" customHeight="1">
      <c r="A265" s="267" t="n"/>
      <c r="B265" s="74" t="n"/>
      <c r="C265" s="74" t="n"/>
      <c r="D265" s="249" t="n"/>
      <c r="E265" s="74">
        <f>IF(N265&gt;1,"+",0)</f>
        <v/>
      </c>
      <c r="F265" s="75">
        <f>IF(E265&gt;0,$H$4,0)</f>
        <v/>
      </c>
      <c r="G265" s="256" t="n"/>
      <c r="H265" s="123" t="n"/>
      <c r="I265" s="123" t="n"/>
      <c r="J265" s="123" t="n"/>
      <c r="K265" s="123" t="n"/>
      <c r="L265" s="64" t="n"/>
      <c r="M265" s="250">
        <f>IFERROR(VLOOKUP(L265,Tabellen!H:I,2),0)</f>
        <v/>
      </c>
      <c r="N265" s="121" t="n"/>
      <c r="O265" s="251" t="n"/>
      <c r="Q265" s="119">
        <f>IF(OR(L265=47201,L265=47100,L265=47200,L265=47500),H265,0)</f>
        <v/>
      </c>
      <c r="R265" s="119">
        <f>IF(OR(L265=87201,L265=87100,L265=87200,L265=87500),H265,0)</f>
        <v/>
      </c>
    </row>
    <row r="266" ht="15" customHeight="1">
      <c r="A266" s="267" t="n"/>
      <c r="B266" s="74" t="n"/>
      <c r="C266" s="74" t="n"/>
      <c r="D266" s="249" t="n"/>
      <c r="E266" s="74">
        <f>IF(N266&gt;1,"+",0)</f>
        <v/>
      </c>
      <c r="F266" s="75">
        <f>IF(E266&gt;0,$H$4,0)</f>
        <v/>
      </c>
      <c r="G266" s="256" t="n"/>
      <c r="H266" s="123" t="n"/>
      <c r="I266" s="123" t="n"/>
      <c r="J266" s="123" t="n"/>
      <c r="K266" s="123" t="n"/>
      <c r="L266" s="64" t="n"/>
      <c r="M266" s="250">
        <f>IFERROR(VLOOKUP(L266,Tabellen!H:I,2),0)</f>
        <v/>
      </c>
      <c r="N266" s="121" t="n"/>
      <c r="O266" s="251" t="n"/>
      <c r="Q266" s="119">
        <f>IF(OR(L266=47201,L266=47100,L266=47200,L266=47500),H266,0)</f>
        <v/>
      </c>
      <c r="R266" s="119">
        <f>IF(OR(L266=87201,L266=87100,L266=87200,L266=87500),H266,0)</f>
        <v/>
      </c>
    </row>
    <row r="267" ht="15" customHeight="1">
      <c r="A267" s="267" t="n"/>
      <c r="B267" s="74" t="n"/>
      <c r="C267" s="74" t="n"/>
      <c r="D267" s="249" t="n"/>
      <c r="E267" s="74">
        <f>IF(N267&gt;1,"+",0)</f>
        <v/>
      </c>
      <c r="F267" s="75">
        <f>IF(E267&gt;0,$H$4,0)</f>
        <v/>
      </c>
      <c r="G267" s="256" t="n"/>
      <c r="H267" s="123" t="n"/>
      <c r="I267" s="123" t="n"/>
      <c r="J267" s="123" t="n"/>
      <c r="K267" s="123" t="n"/>
      <c r="L267" s="64" t="n"/>
      <c r="M267" s="250">
        <f>IFERROR(VLOOKUP(L267,Tabellen!H:I,2),0)</f>
        <v/>
      </c>
      <c r="N267" s="121" t="n"/>
      <c r="O267" s="251" t="n"/>
      <c r="Q267" s="119">
        <f>IF(OR(L267=47201,L267=47100,L267=47200,L267=47500),H267,0)</f>
        <v/>
      </c>
      <c r="R267" s="119">
        <f>IF(OR(L267=87201,L267=87100,L267=87200,L267=87500),H267,0)</f>
        <v/>
      </c>
    </row>
    <row r="268" ht="15" customHeight="1">
      <c r="A268" s="267" t="n"/>
      <c r="B268" s="74" t="n"/>
      <c r="C268" s="74" t="n"/>
      <c r="D268" s="249" t="n"/>
      <c r="E268" s="74">
        <f>IF(N268&gt;1,"+",0)</f>
        <v/>
      </c>
      <c r="F268" s="75">
        <f>IF(E268&gt;0,$H$4,0)</f>
        <v/>
      </c>
      <c r="G268" s="256" t="n"/>
      <c r="H268" s="123" t="n"/>
      <c r="I268" s="123" t="n"/>
      <c r="J268" s="123" t="n"/>
      <c r="K268" s="123" t="n"/>
      <c r="L268" s="64" t="n"/>
      <c r="M268" s="250">
        <f>IFERROR(VLOOKUP(L268,Tabellen!H:I,2),0)</f>
        <v/>
      </c>
      <c r="N268" s="121" t="n"/>
      <c r="O268" s="251" t="n"/>
      <c r="Q268" s="119">
        <f>IF(OR(L268=47201,L268=47100,L268=47200,L268=47500),H268,0)</f>
        <v/>
      </c>
      <c r="R268" s="119">
        <f>IF(OR(L268=87201,L268=87100,L268=87200,L268=87500),H268,0)</f>
        <v/>
      </c>
    </row>
    <row r="269" ht="15" customHeight="1">
      <c r="A269" s="267" t="n"/>
      <c r="B269" s="74" t="n"/>
      <c r="C269" s="74" t="n"/>
      <c r="D269" s="249" t="n"/>
      <c r="E269" s="74">
        <f>IF(N269&gt;1,"+",0)</f>
        <v/>
      </c>
      <c r="F269" s="75">
        <f>IF(E269&gt;0,$H$4,0)</f>
        <v/>
      </c>
      <c r="G269" s="256" t="n"/>
      <c r="H269" s="123" t="n"/>
      <c r="I269" s="123" t="n"/>
      <c r="J269" s="123" t="n"/>
      <c r="K269" s="123" t="n"/>
      <c r="L269" s="64" t="n"/>
      <c r="M269" s="250">
        <f>IFERROR(VLOOKUP(L269,Tabellen!H:I,2),0)</f>
        <v/>
      </c>
      <c r="N269" s="121" t="n"/>
      <c r="O269" s="251" t="n"/>
      <c r="Q269" s="119">
        <f>IF(OR(L269=47201,L269=47100,L269=47200,L269=47500),H269,0)</f>
        <v/>
      </c>
      <c r="R269" s="119">
        <f>IF(OR(L269=87201,L269=87100,L269=87200,L269=87500),H269,0)</f>
        <v/>
      </c>
    </row>
    <row r="270" ht="15" customHeight="1">
      <c r="A270" s="267" t="n"/>
      <c r="B270" s="74" t="n"/>
      <c r="C270" s="74" t="n"/>
      <c r="D270" s="249" t="n"/>
      <c r="E270" s="74">
        <f>IF(N270&gt;1,"+",0)</f>
        <v/>
      </c>
      <c r="F270" s="75">
        <f>IF(E270&gt;0,$H$4,0)</f>
        <v/>
      </c>
      <c r="G270" s="256" t="n"/>
      <c r="H270" s="123" t="n"/>
      <c r="I270" s="123" t="n"/>
      <c r="J270" s="123" t="n"/>
      <c r="K270" s="123" t="n"/>
      <c r="L270" s="64" t="n"/>
      <c r="M270" s="250">
        <f>IFERROR(VLOOKUP(L270,Tabellen!H:I,2),0)</f>
        <v/>
      </c>
      <c r="N270" s="121" t="n"/>
      <c r="O270" s="251" t="n"/>
      <c r="Q270" s="119">
        <f>IF(OR(L270=47201,L270=47100,L270=47200,L270=47500),H270,0)</f>
        <v/>
      </c>
      <c r="R270" s="119">
        <f>IF(OR(L270=87201,L270=87100,L270=87200,L270=87500),H270,0)</f>
        <v/>
      </c>
    </row>
    <row r="271" ht="15" customHeight="1">
      <c r="A271" s="267" t="n"/>
      <c r="B271" s="74" t="n"/>
      <c r="C271" s="74" t="n"/>
      <c r="D271" s="249" t="n"/>
      <c r="E271" s="74">
        <f>IF(N271&gt;1,"+",0)</f>
        <v/>
      </c>
      <c r="F271" s="75">
        <f>IF(E271&gt;0,$H$4,0)</f>
        <v/>
      </c>
      <c r="G271" s="256" t="n"/>
      <c r="H271" s="123" t="n"/>
      <c r="I271" s="123" t="n"/>
      <c r="J271" s="123" t="n"/>
      <c r="K271" s="123" t="n"/>
      <c r="L271" s="64" t="n"/>
      <c r="M271" s="250">
        <f>IFERROR(VLOOKUP(L271,Tabellen!H:I,2),0)</f>
        <v/>
      </c>
      <c r="N271" s="121" t="n"/>
      <c r="O271" s="251" t="n"/>
      <c r="Q271" s="119">
        <f>IF(OR(L271=47201,L271=47100,L271=47200,L271=47500),H271,0)</f>
        <v/>
      </c>
      <c r="R271" s="119">
        <f>IF(OR(L271=87201,L271=87100,L271=87200,L271=87500),H271,0)</f>
        <v/>
      </c>
    </row>
    <row r="272" ht="15" customHeight="1">
      <c r="A272" s="267" t="n"/>
      <c r="B272" s="74" t="n"/>
      <c r="C272" s="74" t="n"/>
      <c r="D272" s="249" t="n"/>
      <c r="E272" s="74">
        <f>IF(N272&gt;1,"+",0)</f>
        <v/>
      </c>
      <c r="F272" s="75">
        <f>IF(E272&gt;0,$H$4,0)</f>
        <v/>
      </c>
      <c r="G272" s="256" t="n"/>
      <c r="H272" s="124" t="n"/>
      <c r="I272" s="124" t="n"/>
      <c r="J272" s="124" t="n"/>
      <c r="K272" s="124" t="n"/>
      <c r="L272" s="64" t="n"/>
      <c r="M272" s="250">
        <f>IFERROR(VLOOKUP(L272,Tabellen!H:I,2),0)</f>
        <v/>
      </c>
      <c r="N272" s="121" t="n"/>
      <c r="O272" s="251" t="n"/>
      <c r="Q272" s="119">
        <f>IF(OR(L272=47201,L272=47100,L272=47200,L272=47500),H272,0)</f>
        <v/>
      </c>
      <c r="R272" s="119">
        <f>IF(OR(L272=87201,L272=87100,L272=87200,L272=87500),H272,0)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IF(N273&gt;1,"+",0)</f>
        <v/>
      </c>
      <c r="F273" s="127" t="n"/>
      <c r="G273" s="253" t="n"/>
      <c r="H273" s="131">
        <f>SUM(H220:H272)</f>
        <v/>
      </c>
      <c r="I273" s="131">
        <f>SUM(I220:I272)</f>
        <v/>
      </c>
      <c r="J273" s="131">
        <f>SUM(J220:J272)</f>
        <v/>
      </c>
      <c r="K273" s="131">
        <f>SUM(K220:K272)</f>
        <v/>
      </c>
      <c r="L273" s="65" t="n"/>
      <c r="M273" s="254" t="n"/>
      <c r="N273" s="129" t="n"/>
      <c r="O273" s="255" t="n"/>
      <c r="Q273" s="119">
        <f>IF(OR(L273=47201,L273=47100,L273=47200,L273=47500),H273,0)</f>
        <v/>
      </c>
      <c r="R273" s="119">
        <f>IF(OR(L273=87201,L273=87100,L273=87200,L273=87500),H273,0)</f>
        <v/>
      </c>
    </row>
    <row r="274" ht="15" customHeight="1">
      <c r="A274" s="244" t="n"/>
      <c r="B274" s="71" t="n"/>
      <c r="C274" s="71" t="n"/>
      <c r="D274" s="244" t="n"/>
      <c r="E274" s="71">
        <f>IF(N274&gt;1,"+",0)</f>
        <v/>
      </c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>
        <f>IF(N275&gt;1,"+",0)</f>
        <v/>
      </c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IF(N276&gt;1,"+",0)</f>
        <v/>
      </c>
      <c r="F276" s="75">
        <f>IF(E276&gt;0,$H$4,0)</f>
        <v/>
      </c>
      <c r="G276" s="269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161" t="n">
        <v>86100</v>
      </c>
      <c r="M276" s="250">
        <f>IFERROR(VLOOKUP(L276,Tabellen!H:I,2),0)</f>
        <v/>
      </c>
      <c r="N276" s="42" t="n">
        <v>2999999</v>
      </c>
      <c r="O276" s="247" t="n"/>
      <c r="Q276" s="119">
        <f>IF(OR(L276=47201,L276=47100,L276=47200,L276=47500),H276,0)</f>
        <v/>
      </c>
      <c r="R276" s="119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151">
        <f>H168+H217+H273+H276</f>
        <v/>
      </c>
      <c r="I278" s="151">
        <f>I168+I217+I273+I276</f>
        <v/>
      </c>
      <c r="J278" s="151">
        <f>J168+J217+J273+J276</f>
        <v/>
      </c>
      <c r="K278" s="151">
        <f>K168+K217+K273+K276</f>
        <v/>
      </c>
      <c r="L278" s="69" t="n"/>
      <c r="M278" s="272" t="n"/>
      <c r="N278" s="149" t="n"/>
      <c r="O278" s="273" t="n"/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>
        <v>0</v>
      </c>
      <c r="I282" s="209" t="n"/>
      <c r="K282" s="209" t="n"/>
      <c r="L282" s="79" t="n"/>
      <c r="M282" s="209" t="n"/>
      <c r="O282" s="209" t="n"/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groen'!E18&gt;0,18-17,""),"")</f>
        <v/>
      </c>
      <c r="B5" s="534">
        <f>IFERROR(IF('Invullen groen'!E18&gt;0,'Invullen groen'!A18,""),"")</f>
        <v/>
      </c>
      <c r="C5" s="534">
        <f>IFERROR(IF('Invullen groen'!E18&gt;0,'Invullen groen'!C18,""),"")</f>
        <v/>
      </c>
      <c r="D5" s="534">
        <f>IFERROR(IF('Invullen groen'!E18&gt;0,'Invullen groen'!D18,""),"")</f>
        <v/>
      </c>
      <c r="E5" s="534">
        <f>IFERROR(IF('Invullen groen'!E18&gt;0,'Invullen groen'!G18,""),"")</f>
        <v/>
      </c>
      <c r="F5" s="535">
        <f>IFERROR(IF('Invullen groen'!H18&lt;&gt;0,'Invullen groen'!H18,""),"")</f>
        <v/>
      </c>
      <c r="G5" s="535">
        <f>IFERROR(IF('Invullen groen'!I18&lt;&gt;0,'Invullen groen'!I18,""),"")</f>
        <v/>
      </c>
      <c r="H5" s="535">
        <f>IFERROR(IF('Invullen groen'!J18&lt;&gt;0,'Invullen groen'!J18,""),"")</f>
        <v/>
      </c>
      <c r="I5" s="535">
        <f>IFERROR(IF('Invullen groen'!K18&lt;&gt;0,'Invullen groen'!K18,""),"")</f>
        <v/>
      </c>
    </row>
    <row r="6" ht="15" customHeight="1">
      <c r="A6" s="536">
        <f>IFERROR(IF('Invullen groen'!E19&gt;0,19-17,""),"")</f>
        <v/>
      </c>
      <c r="B6" s="536">
        <f>IFERROR(IF('Invullen groen'!E19&gt;0,'Invullen groen'!A19,""),"")</f>
        <v/>
      </c>
      <c r="C6" s="536">
        <f>IFERROR(IF('Invullen groen'!E19&gt;0,'Invullen groen'!C19,""),"")</f>
        <v/>
      </c>
      <c r="D6" s="536">
        <f>IFERROR(IF('Invullen groen'!E19&gt;0,'Invullen groen'!D19,""),"")</f>
        <v/>
      </c>
      <c r="E6" s="536">
        <f>IFERROR(IF('Invullen groen'!E19&gt;0,'Invullen groen'!G19,""),"")</f>
        <v/>
      </c>
      <c r="F6" s="537">
        <f>IFERROR(IF('Invullen groen'!H19&lt;&gt;0,'Invullen groen'!H19,""),"")</f>
        <v/>
      </c>
      <c r="G6" s="537">
        <f>IFERROR(IF('Invullen groen'!I19&lt;&gt;0,'Invullen groen'!I19,""),"")</f>
        <v/>
      </c>
      <c r="H6" s="537">
        <f>IFERROR(IF('Invullen groen'!J19&lt;&gt;0,'Invullen groen'!J19,""),"")</f>
        <v/>
      </c>
      <c r="I6" s="537">
        <f>IFERROR(IF('Invullen groen'!K19&lt;&gt;0,'Invullen groen'!K19,""),"")</f>
        <v/>
      </c>
    </row>
    <row r="7" ht="15" customHeight="1">
      <c r="A7" s="534">
        <f>IFERROR(IF('Invullen groen'!E20&gt;0,20-17,""),"")</f>
        <v/>
      </c>
      <c r="B7" s="534">
        <f>IFERROR(IF('Invullen groen'!E20&gt;0,'Invullen groen'!A20,""),"")</f>
        <v/>
      </c>
      <c r="C7" s="534">
        <f>IFERROR(IF('Invullen groen'!E20&gt;0,'Invullen groen'!C20,""),"")</f>
        <v/>
      </c>
      <c r="D7" s="534">
        <f>IFERROR(IF('Invullen groen'!E20&gt;0,'Invullen groen'!D20,""),"")</f>
        <v/>
      </c>
      <c r="E7" s="534">
        <f>IFERROR(IF('Invullen groen'!E20&gt;0,'Invullen groen'!G20,""),"")</f>
        <v/>
      </c>
      <c r="F7" s="535">
        <f>IFERROR(IF('Invullen groen'!H20&lt;&gt;0,'Invullen groen'!H20,""),"")</f>
        <v/>
      </c>
      <c r="G7" s="535">
        <f>IFERROR(IF('Invullen groen'!I20&lt;&gt;0,'Invullen groen'!I20,""),"")</f>
        <v/>
      </c>
      <c r="H7" s="535">
        <f>IFERROR(IF('Invullen groen'!J20&lt;&gt;0,'Invullen groen'!J20,""),"")</f>
        <v/>
      </c>
      <c r="I7" s="535">
        <f>IFERROR(IF('Invullen groen'!K20&lt;&gt;0,'Invullen groen'!K20,""),"")</f>
        <v/>
      </c>
    </row>
    <row r="8" ht="15" customHeight="1">
      <c r="A8" s="536">
        <f>IFERROR(IF('Invullen groen'!E21&gt;0,21-17,""),"")</f>
        <v/>
      </c>
      <c r="B8" s="536">
        <f>IFERROR(IF('Invullen groen'!E21&gt;0,'Invullen groen'!A21,""),"")</f>
        <v/>
      </c>
      <c r="C8" s="536">
        <f>IFERROR(IF('Invullen groen'!E21&gt;0,'Invullen groen'!C21,""),"")</f>
        <v/>
      </c>
      <c r="D8" s="536">
        <f>IFERROR(IF('Invullen groen'!E21&gt;0,'Invullen groen'!D21,""),"")</f>
        <v/>
      </c>
      <c r="E8" s="536">
        <f>IFERROR(IF('Invullen groen'!E21&gt;0,'Invullen groen'!G21,""),"")</f>
        <v/>
      </c>
      <c r="F8" s="537">
        <f>IFERROR(IF('Invullen groen'!H21&lt;&gt;0,'Invullen groen'!H21,""),"")</f>
        <v/>
      </c>
      <c r="G8" s="537">
        <f>IFERROR(IF('Invullen groen'!I21&lt;&gt;0,'Invullen groen'!I21,""),"")</f>
        <v/>
      </c>
      <c r="H8" s="537">
        <f>IFERROR(IF('Invullen groen'!J21&lt;&gt;0,'Invullen groen'!J21,""),"")</f>
        <v/>
      </c>
      <c r="I8" s="537">
        <f>IFERROR(IF('Invullen groen'!K21&lt;&gt;0,'Invullen groen'!K21,""),"")</f>
        <v/>
      </c>
    </row>
    <row r="9" ht="15" customHeight="1">
      <c r="A9" s="534">
        <f>IFERROR(IF('Invullen groen'!E22&gt;0,22-17,""),"")</f>
        <v/>
      </c>
      <c r="B9" s="534">
        <f>IFERROR(IF('Invullen groen'!E22&gt;0,'Invullen groen'!A22,""),"")</f>
        <v/>
      </c>
      <c r="C9" s="534">
        <f>IFERROR(IF('Invullen groen'!E22&gt;0,'Invullen groen'!C22,""),"")</f>
        <v/>
      </c>
      <c r="D9" s="534">
        <f>IFERROR(IF('Invullen groen'!E22&gt;0,'Invullen groen'!D22,""),"")</f>
        <v/>
      </c>
      <c r="E9" s="534">
        <f>IFERROR(IF('Invullen groen'!E22&gt;0,'Invullen groen'!G22,""),"")</f>
        <v/>
      </c>
      <c r="F9" s="535">
        <f>IFERROR(IF('Invullen groen'!H22&lt;&gt;0,'Invullen groen'!H22,""),"")</f>
        <v/>
      </c>
      <c r="G9" s="535">
        <f>IFERROR(IF('Invullen groen'!I22&lt;&gt;0,'Invullen groen'!I22,""),"")</f>
        <v/>
      </c>
      <c r="H9" s="535">
        <f>IFERROR(IF('Invullen groen'!J22&lt;&gt;0,'Invullen groen'!J22,""),"")</f>
        <v/>
      </c>
      <c r="I9" s="535">
        <f>IFERROR(IF('Invullen groen'!K22&lt;&gt;0,'Invullen groen'!K22,""),"")</f>
        <v/>
      </c>
    </row>
    <row r="10" ht="15" customHeight="1">
      <c r="A10" s="536">
        <f>IFERROR(IF('Invullen groen'!E23&gt;0,23-17,""),"")</f>
        <v/>
      </c>
      <c r="B10" s="536">
        <f>IFERROR(IF('Invullen groen'!E23&gt;0,'Invullen groen'!A23,""),"")</f>
        <v/>
      </c>
      <c r="C10" s="536">
        <f>IFERROR(IF('Invullen groen'!E23&gt;0,'Invullen groen'!C23,""),"")</f>
        <v/>
      </c>
      <c r="D10" s="536">
        <f>IFERROR(IF('Invullen groen'!E23&gt;0,'Invullen groen'!D23,""),"")</f>
        <v/>
      </c>
      <c r="E10" s="536">
        <f>IFERROR(IF('Invullen groen'!E23&gt;0,'Invullen groen'!G23,""),"")</f>
        <v/>
      </c>
      <c r="F10" s="537">
        <f>IFERROR(IF('Invullen groen'!H23&lt;&gt;0,'Invullen groen'!H23,""),"")</f>
        <v/>
      </c>
      <c r="G10" s="537">
        <f>IFERROR(IF('Invullen groen'!I23&lt;&gt;0,'Invullen groen'!I23,""),"")</f>
        <v/>
      </c>
      <c r="H10" s="537">
        <f>IFERROR(IF('Invullen groen'!J23&lt;&gt;0,'Invullen groen'!J23,""),"")</f>
        <v/>
      </c>
      <c r="I10" s="537">
        <f>IFERROR(IF('Invullen groen'!K23&lt;&gt;0,'Invullen groen'!K23,""),"")</f>
        <v/>
      </c>
    </row>
    <row r="11" ht="15" customHeight="1">
      <c r="A11" s="534">
        <f>IFERROR(IF('Invullen groen'!E24&gt;0,24-17,""),"")</f>
        <v/>
      </c>
      <c r="B11" s="534">
        <f>IFERROR(IF('Invullen groen'!E24&gt;0,'Invullen groen'!A24,""),"")</f>
        <v/>
      </c>
      <c r="C11" s="534">
        <f>IFERROR(IF('Invullen groen'!E24&gt;0,'Invullen groen'!C24,""),"")</f>
        <v/>
      </c>
      <c r="D11" s="534">
        <f>IFERROR(IF('Invullen groen'!E24&gt;0,'Invullen groen'!D24,""),"")</f>
        <v/>
      </c>
      <c r="E11" s="534">
        <f>IFERROR(IF('Invullen groen'!E24&gt;0,'Invullen groen'!G24,""),"")</f>
        <v/>
      </c>
      <c r="F11" s="535">
        <f>IFERROR(IF('Invullen groen'!H24&lt;&gt;0,'Invullen groen'!H24,""),"")</f>
        <v/>
      </c>
      <c r="G11" s="535">
        <f>IFERROR(IF('Invullen groen'!I24&lt;&gt;0,'Invullen groen'!I24,""),"")</f>
        <v/>
      </c>
      <c r="H11" s="535">
        <f>IFERROR(IF('Invullen groen'!J24&lt;&gt;0,'Invullen groen'!J24,""),"")</f>
        <v/>
      </c>
      <c r="I11" s="535">
        <f>IFERROR(IF('Invullen groen'!K24&lt;&gt;0,'Invullen groen'!K24,""),"")</f>
        <v/>
      </c>
    </row>
    <row r="12" ht="15" customHeight="1">
      <c r="A12" s="536">
        <f>IFERROR(IF('Invullen groen'!E25&gt;0,25-17,""),"")</f>
        <v/>
      </c>
      <c r="B12" s="536">
        <f>IFERROR(IF('Invullen groen'!E25&gt;0,'Invullen groen'!A25,""),"")</f>
        <v/>
      </c>
      <c r="C12" s="536">
        <f>IFERROR(IF('Invullen groen'!E25&gt;0,'Invullen groen'!C25,""),"")</f>
        <v/>
      </c>
      <c r="D12" s="536">
        <f>IFERROR(IF('Invullen groen'!E25&gt;0,'Invullen groen'!D25,""),"")</f>
        <v/>
      </c>
      <c r="E12" s="536">
        <f>IFERROR(IF('Invullen groen'!E25&gt;0,'Invullen groen'!G25,""),"")</f>
        <v/>
      </c>
      <c r="F12" s="537">
        <f>IFERROR(IF('Invullen groen'!H25&lt;&gt;0,'Invullen groen'!H25,""),"")</f>
        <v/>
      </c>
      <c r="G12" s="537">
        <f>IFERROR(IF('Invullen groen'!I25&lt;&gt;0,'Invullen groen'!I25,""),"")</f>
        <v/>
      </c>
      <c r="H12" s="537">
        <f>IFERROR(IF('Invullen groen'!J25&lt;&gt;0,'Invullen groen'!J25,""),"")</f>
        <v/>
      </c>
      <c r="I12" s="537">
        <f>IFERROR(IF('Invullen groen'!K25&lt;&gt;0,'Invullen groen'!K25,""),"")</f>
        <v/>
      </c>
    </row>
    <row r="13" ht="15" customHeight="1">
      <c r="A13" s="534">
        <f>IFERROR(IF('Invullen groen'!E26&gt;0,26-17,""),"")</f>
        <v/>
      </c>
      <c r="B13" s="534">
        <f>IFERROR(IF('Invullen groen'!E26&gt;0,'Invullen groen'!A26,""),"")</f>
        <v/>
      </c>
      <c r="C13" s="534">
        <f>IFERROR(IF('Invullen groen'!E26&gt;0,'Invullen groen'!C26,""),"")</f>
        <v/>
      </c>
      <c r="D13" s="534">
        <f>IFERROR(IF('Invullen groen'!E26&gt;0,'Invullen groen'!D26,""),"")</f>
        <v/>
      </c>
      <c r="E13" s="534">
        <f>IFERROR(IF('Invullen groen'!E26&gt;0,'Invullen groen'!G26,""),"")</f>
        <v/>
      </c>
      <c r="F13" s="535">
        <f>IFERROR(IF('Invullen groen'!H26&lt;&gt;0,'Invullen groen'!H26,""),"")</f>
        <v/>
      </c>
      <c r="G13" s="535">
        <f>IFERROR(IF('Invullen groen'!I26&lt;&gt;0,'Invullen groen'!I26,""),"")</f>
        <v/>
      </c>
      <c r="H13" s="535">
        <f>IFERROR(IF('Invullen groen'!J26&lt;&gt;0,'Invullen groen'!J26,""),"")</f>
        <v/>
      </c>
      <c r="I13" s="535">
        <f>IFERROR(IF('Invullen groen'!K26&lt;&gt;0,'Invullen groen'!K26,""),"")</f>
        <v/>
      </c>
    </row>
    <row r="14" ht="15" customHeight="1">
      <c r="A14" s="536">
        <f>IFERROR(IF('Invullen groen'!E27&gt;0,27-17,""),"")</f>
        <v/>
      </c>
      <c r="B14" s="536">
        <f>IFERROR(IF('Invullen groen'!E27&gt;0,'Invullen groen'!A27,""),"")</f>
        <v/>
      </c>
      <c r="C14" s="536">
        <f>IFERROR(IF('Invullen groen'!E27&gt;0,'Invullen groen'!C27,""),"")</f>
        <v/>
      </c>
      <c r="D14" s="536">
        <f>IFERROR(IF('Invullen groen'!E27&gt;0,'Invullen groen'!D27,""),"")</f>
        <v/>
      </c>
      <c r="E14" s="536">
        <f>IFERROR(IF('Invullen groen'!E27&gt;0,'Invullen groen'!G27,""),"")</f>
        <v/>
      </c>
      <c r="F14" s="537">
        <f>IFERROR(IF('Invullen groen'!H27&lt;&gt;0,'Invullen groen'!H27,""),"")</f>
        <v/>
      </c>
      <c r="G14" s="537">
        <f>IFERROR(IF('Invullen groen'!I27&lt;&gt;0,'Invullen groen'!I27,""),"")</f>
        <v/>
      </c>
      <c r="H14" s="537">
        <f>IFERROR(IF('Invullen groen'!J27&lt;&gt;0,'Invullen groen'!J27,""),"")</f>
        <v/>
      </c>
      <c r="I14" s="537">
        <f>IFERROR(IF('Invullen groen'!K27&lt;&gt;0,'Invullen groen'!K27,""),"")</f>
        <v/>
      </c>
    </row>
    <row r="15" ht="15" customHeight="1">
      <c r="A15" s="534">
        <f>IFERROR(IF('Invullen groen'!E28&gt;0,28-17,""),"")</f>
        <v/>
      </c>
      <c r="B15" s="534">
        <f>IFERROR(IF('Invullen groen'!E28&gt;0,'Invullen groen'!A28,""),"")</f>
        <v/>
      </c>
      <c r="C15" s="534">
        <f>IFERROR(IF('Invullen groen'!E28&gt;0,'Invullen groen'!C28,""),"")</f>
        <v/>
      </c>
      <c r="D15" s="534">
        <f>IFERROR(IF('Invullen groen'!E28&gt;0,'Invullen groen'!D28,""),"")</f>
        <v/>
      </c>
      <c r="E15" s="534">
        <f>IFERROR(IF('Invullen groen'!E28&gt;0,'Invullen groen'!G28,""),"")</f>
        <v/>
      </c>
      <c r="F15" s="535">
        <f>IFERROR(IF('Invullen groen'!H28&lt;&gt;0,'Invullen groen'!H28,""),"")</f>
        <v/>
      </c>
      <c r="G15" s="535">
        <f>IFERROR(IF('Invullen groen'!I28&lt;&gt;0,'Invullen groen'!I28,""),"")</f>
        <v/>
      </c>
      <c r="H15" s="535">
        <f>IFERROR(IF('Invullen groen'!J28&lt;&gt;0,'Invullen groen'!J28,""),"")</f>
        <v/>
      </c>
      <c r="I15" s="535">
        <f>IFERROR(IF('Invullen groen'!K28&lt;&gt;0,'Invullen groen'!K28,""),"")</f>
        <v/>
      </c>
    </row>
    <row r="16" ht="15" customHeight="1">
      <c r="A16" s="536">
        <f>IFERROR(IF('Invullen groen'!E29&gt;0,29-17,""),"")</f>
        <v/>
      </c>
      <c r="B16" s="536">
        <f>IFERROR(IF('Invullen groen'!E29&gt;0,'Invullen groen'!A29,""),"")</f>
        <v/>
      </c>
      <c r="C16" s="536">
        <f>IFERROR(IF('Invullen groen'!E29&gt;0,'Invullen groen'!C29,""),"")</f>
        <v/>
      </c>
      <c r="D16" s="536">
        <f>IFERROR(IF('Invullen groen'!E29&gt;0,'Invullen groen'!D29,""),"")</f>
        <v/>
      </c>
      <c r="E16" s="536">
        <f>IFERROR(IF('Invullen groen'!E29&gt;0,'Invullen groen'!G29,""),"")</f>
        <v/>
      </c>
      <c r="F16" s="537">
        <f>IFERROR(IF('Invullen groen'!H29&lt;&gt;0,'Invullen groen'!H29,""),"")</f>
        <v/>
      </c>
      <c r="G16" s="537">
        <f>IFERROR(IF('Invullen groen'!I29&lt;&gt;0,'Invullen groen'!I29,""),"")</f>
        <v/>
      </c>
      <c r="H16" s="537">
        <f>IFERROR(IF('Invullen groen'!J29&lt;&gt;0,'Invullen groen'!J29,""),"")</f>
        <v/>
      </c>
      <c r="I16" s="537">
        <f>IFERROR(IF('Invullen groen'!K29&lt;&gt;0,'Invullen groen'!K29,""),"")</f>
        <v/>
      </c>
    </row>
    <row r="17" ht="15" customHeight="1">
      <c r="A17" s="534">
        <f>IFERROR(IF('Invullen groen'!E30&gt;0,30-17,""),"")</f>
        <v/>
      </c>
      <c r="B17" s="534">
        <f>IFERROR(IF('Invullen groen'!E30&gt;0,'Invullen groen'!A30,""),"")</f>
        <v/>
      </c>
      <c r="C17" s="534">
        <f>IFERROR(IF('Invullen groen'!E30&gt;0,'Invullen groen'!C30,""),"")</f>
        <v/>
      </c>
      <c r="D17" s="534">
        <f>IFERROR(IF('Invullen groen'!E30&gt;0,'Invullen groen'!D30,""),"")</f>
        <v/>
      </c>
      <c r="E17" s="534">
        <f>IFERROR(IF('Invullen groen'!E30&gt;0,'Invullen groen'!G30,""),"")</f>
        <v/>
      </c>
      <c r="F17" s="535">
        <f>IFERROR(IF('Invullen groen'!H30&lt;&gt;0,'Invullen groen'!H30,""),"")</f>
        <v/>
      </c>
      <c r="G17" s="535">
        <f>IFERROR(IF('Invullen groen'!I30&lt;&gt;0,'Invullen groen'!I30,""),"")</f>
        <v/>
      </c>
      <c r="H17" s="535">
        <f>IFERROR(IF('Invullen groen'!J30&lt;&gt;0,'Invullen groen'!J30,""),"")</f>
        <v/>
      </c>
      <c r="I17" s="535">
        <f>IFERROR(IF('Invullen groen'!K30&lt;&gt;0,'Invullen groen'!K30,""),"")</f>
        <v/>
      </c>
    </row>
    <row r="18" ht="15" customHeight="1">
      <c r="A18" s="536">
        <f>IFERROR(IF('Invullen groen'!E31&gt;0,31-17,""),"")</f>
        <v/>
      </c>
      <c r="B18" s="536">
        <f>IFERROR(IF('Invullen groen'!E31&gt;0,'Invullen groen'!A31,""),"")</f>
        <v/>
      </c>
      <c r="C18" s="536">
        <f>IFERROR(IF('Invullen groen'!E31&gt;0,'Invullen groen'!C31,""),"")</f>
        <v/>
      </c>
      <c r="D18" s="536">
        <f>IFERROR(IF('Invullen groen'!E31&gt;0,'Invullen groen'!D31,""),"")</f>
        <v/>
      </c>
      <c r="E18" s="536">
        <f>IFERROR(IF('Invullen groen'!E31&gt;0,'Invullen groen'!G31,""),"")</f>
        <v/>
      </c>
      <c r="F18" s="537">
        <f>IFERROR(IF('Invullen groen'!H31&lt;&gt;0,'Invullen groen'!H31,""),"")</f>
        <v/>
      </c>
      <c r="G18" s="537">
        <f>IFERROR(IF('Invullen groen'!I31&lt;&gt;0,'Invullen groen'!I31,""),"")</f>
        <v/>
      </c>
      <c r="H18" s="537">
        <f>IFERROR(IF('Invullen groen'!J31&lt;&gt;0,'Invullen groen'!J31,""),"")</f>
        <v/>
      </c>
      <c r="I18" s="537">
        <f>IFERROR(IF('Invullen groen'!K31&lt;&gt;0,'Invullen groen'!K31,""),"")</f>
        <v/>
      </c>
    </row>
    <row r="19" ht="15" customHeight="1">
      <c r="A19" s="534">
        <f>IFERROR(IF('Invullen groen'!E32&gt;0,32-17,""),"")</f>
        <v/>
      </c>
      <c r="B19" s="534">
        <f>IFERROR(IF('Invullen groen'!E32&gt;0,'Invullen groen'!A32,""),"")</f>
        <v/>
      </c>
      <c r="C19" s="534">
        <f>IFERROR(IF('Invullen groen'!E32&gt;0,'Invullen groen'!C32,""),"")</f>
        <v/>
      </c>
      <c r="D19" s="534">
        <f>IFERROR(IF('Invullen groen'!E32&gt;0,'Invullen groen'!D32,""),"")</f>
        <v/>
      </c>
      <c r="E19" s="534">
        <f>IFERROR(IF('Invullen groen'!E32&gt;0,'Invullen groen'!G32,""),"")</f>
        <v/>
      </c>
      <c r="F19" s="535">
        <f>IFERROR(IF('Invullen groen'!H32&lt;&gt;0,'Invullen groen'!H32,""),"")</f>
        <v/>
      </c>
      <c r="G19" s="535">
        <f>IFERROR(IF('Invullen groen'!I32&lt;&gt;0,'Invullen groen'!I32,""),"")</f>
        <v/>
      </c>
      <c r="H19" s="535">
        <f>IFERROR(IF('Invullen groen'!J32&lt;&gt;0,'Invullen groen'!J32,""),"")</f>
        <v/>
      </c>
      <c r="I19" s="535">
        <f>IFERROR(IF('Invullen groen'!K32&lt;&gt;0,'Invullen groen'!K32,""),"")</f>
        <v/>
      </c>
    </row>
    <row r="20" ht="15" customHeight="1">
      <c r="A20" s="536">
        <f>IFERROR(IF('Invullen groen'!E33&gt;0,33-17,""),"")</f>
        <v/>
      </c>
      <c r="B20" s="536">
        <f>IFERROR(IF('Invullen groen'!E33&gt;0,'Invullen groen'!A33,""),"")</f>
        <v/>
      </c>
      <c r="C20" s="536">
        <f>IFERROR(IF('Invullen groen'!E33&gt;0,'Invullen groen'!C33,""),"")</f>
        <v/>
      </c>
      <c r="D20" s="536">
        <f>IFERROR(IF('Invullen groen'!E33&gt;0,'Invullen groen'!D33,""),"")</f>
        <v/>
      </c>
      <c r="E20" s="536">
        <f>IFERROR(IF('Invullen groen'!E33&gt;0,'Invullen groen'!G33,""),"")</f>
        <v/>
      </c>
      <c r="F20" s="537">
        <f>IFERROR(IF('Invullen groen'!H33&lt;&gt;0,'Invullen groen'!H33,""),"")</f>
        <v/>
      </c>
      <c r="G20" s="537">
        <f>IFERROR(IF('Invullen groen'!I33&lt;&gt;0,'Invullen groen'!I33,""),"")</f>
        <v/>
      </c>
      <c r="H20" s="537">
        <f>IFERROR(IF('Invullen groen'!J33&lt;&gt;0,'Invullen groen'!J33,""),"")</f>
        <v/>
      </c>
      <c r="I20" s="537">
        <f>IFERROR(IF('Invullen groen'!K33&lt;&gt;0,'Invullen groen'!K33,""),"")</f>
        <v/>
      </c>
    </row>
    <row r="21" ht="15" customHeight="1">
      <c r="A21" s="534">
        <f>IFERROR(IF('Invullen groen'!E34&gt;0,34-17,""),"")</f>
        <v/>
      </c>
      <c r="B21" s="534">
        <f>IFERROR(IF('Invullen groen'!E34&gt;0,'Invullen groen'!A34,""),"")</f>
        <v/>
      </c>
      <c r="C21" s="534">
        <f>IFERROR(IF('Invullen groen'!E34&gt;0,'Invullen groen'!C34,""),"")</f>
        <v/>
      </c>
      <c r="D21" s="534">
        <f>IFERROR(IF('Invullen groen'!E34&gt;0,'Invullen groen'!D34,""),"")</f>
        <v/>
      </c>
      <c r="E21" s="534">
        <f>IFERROR(IF('Invullen groen'!E34&gt;0,'Invullen groen'!G34,""),"")</f>
        <v/>
      </c>
      <c r="F21" s="535">
        <f>IFERROR(IF('Invullen groen'!H34&lt;&gt;0,'Invullen groen'!H34,""),"")</f>
        <v/>
      </c>
      <c r="G21" s="535">
        <f>IFERROR(IF('Invullen groen'!I34&lt;&gt;0,'Invullen groen'!I34,""),"")</f>
        <v/>
      </c>
      <c r="H21" s="535">
        <f>IFERROR(IF('Invullen groen'!J34&lt;&gt;0,'Invullen groen'!J34,""),"")</f>
        <v/>
      </c>
      <c r="I21" s="535">
        <f>IFERROR(IF('Invullen groen'!K34&lt;&gt;0,'Invullen groen'!K34,""),"")</f>
        <v/>
      </c>
    </row>
    <row r="22" ht="15" customHeight="1">
      <c r="A22" s="536">
        <f>IFERROR(IF('Invullen groen'!E35&gt;0,35-17,""),"")</f>
        <v/>
      </c>
      <c r="B22" s="536">
        <f>IFERROR(IF('Invullen groen'!E35&gt;0,'Invullen groen'!A35,""),"")</f>
        <v/>
      </c>
      <c r="C22" s="536">
        <f>IFERROR(IF('Invullen groen'!E35&gt;0,'Invullen groen'!C35,""),"")</f>
        <v/>
      </c>
      <c r="D22" s="536">
        <f>IFERROR(IF('Invullen groen'!E35&gt;0,'Invullen groen'!D35,""),"")</f>
        <v/>
      </c>
      <c r="E22" s="536">
        <f>IFERROR(IF('Invullen groen'!E35&gt;0,'Invullen groen'!G35,""),"")</f>
        <v/>
      </c>
      <c r="F22" s="537">
        <f>IFERROR(IF('Invullen groen'!H35&lt;&gt;0,'Invullen groen'!H35,""),"")</f>
        <v/>
      </c>
      <c r="G22" s="537">
        <f>IFERROR(IF('Invullen groen'!I35&lt;&gt;0,'Invullen groen'!I35,""),"")</f>
        <v/>
      </c>
      <c r="H22" s="537">
        <f>IFERROR(IF('Invullen groen'!J35&lt;&gt;0,'Invullen groen'!J35,""),"")</f>
        <v/>
      </c>
      <c r="I22" s="537">
        <f>IFERROR(IF('Invullen groen'!K35&lt;&gt;0,'Invullen groen'!K35,""),"")</f>
        <v/>
      </c>
    </row>
    <row r="23" ht="15" customHeight="1">
      <c r="A23" s="534">
        <f>IFERROR(IF('Invullen groen'!E36&gt;0,36-17,""),"")</f>
        <v/>
      </c>
      <c r="B23" s="534">
        <f>IFERROR(IF('Invullen groen'!E36&gt;0,'Invullen groen'!A36,""),"")</f>
        <v/>
      </c>
      <c r="C23" s="534">
        <f>IFERROR(IF('Invullen groen'!E36&gt;0,'Invullen groen'!C36,""),"")</f>
        <v/>
      </c>
      <c r="D23" s="534">
        <f>IFERROR(IF('Invullen groen'!E36&gt;0,'Invullen groen'!D36,""),"")</f>
        <v/>
      </c>
      <c r="E23" s="534">
        <f>IFERROR(IF('Invullen groen'!E36&gt;0,'Invullen groen'!G36,""),"")</f>
        <v/>
      </c>
      <c r="F23" s="535">
        <f>IFERROR(IF('Invullen groen'!H36&lt;&gt;0,'Invullen groen'!H36,""),"")</f>
        <v/>
      </c>
      <c r="G23" s="535">
        <f>IFERROR(IF('Invullen groen'!I36&lt;&gt;0,'Invullen groen'!I36,""),"")</f>
        <v/>
      </c>
      <c r="H23" s="535">
        <f>IFERROR(IF('Invullen groen'!J36&lt;&gt;0,'Invullen groen'!J36,""),"")</f>
        <v/>
      </c>
      <c r="I23" s="535">
        <f>IFERROR(IF('Invullen groen'!K36&lt;&gt;0,'Invullen groen'!K36,""),"")</f>
        <v/>
      </c>
    </row>
    <row r="24" ht="15" customHeight="1">
      <c r="A24" s="536">
        <f>IFERROR(IF('Invullen groen'!E37&gt;0,37-17,""),"")</f>
        <v/>
      </c>
      <c r="B24" s="536">
        <f>IFERROR(IF('Invullen groen'!E37&gt;0,'Invullen groen'!A37,""),"")</f>
        <v/>
      </c>
      <c r="C24" s="536">
        <f>IFERROR(IF('Invullen groen'!E37&gt;0,'Invullen groen'!C37,""),"")</f>
        <v/>
      </c>
      <c r="D24" s="536">
        <f>IFERROR(IF('Invullen groen'!E37&gt;0,'Invullen groen'!D37,""),"")</f>
        <v/>
      </c>
      <c r="E24" s="536">
        <f>IFERROR(IF('Invullen groen'!E37&gt;0,'Invullen groen'!G37,""),"")</f>
        <v/>
      </c>
      <c r="F24" s="537">
        <f>IFERROR(IF('Invullen groen'!H37&lt;&gt;0,'Invullen groen'!H37,""),"")</f>
        <v/>
      </c>
      <c r="G24" s="537">
        <f>IFERROR(IF('Invullen groen'!I37&lt;&gt;0,'Invullen groen'!I37,""),"")</f>
        <v/>
      </c>
      <c r="H24" s="537">
        <f>IFERROR(IF('Invullen groen'!J37&lt;&gt;0,'Invullen groen'!J37,""),"")</f>
        <v/>
      </c>
      <c r="I24" s="537">
        <f>IFERROR(IF('Invullen groen'!K37&lt;&gt;0,'Invullen groen'!K37,""),"")</f>
        <v/>
      </c>
    </row>
    <row r="25" ht="15" customHeight="1">
      <c r="A25" s="534">
        <f>IFERROR(IF('Invullen groen'!E38&gt;0,38-17,""),"")</f>
        <v/>
      </c>
      <c r="B25" s="534">
        <f>IFERROR(IF('Invullen groen'!E38&gt;0,'Invullen groen'!A38,""),"")</f>
        <v/>
      </c>
      <c r="C25" s="534">
        <f>IFERROR(IF('Invullen groen'!E38&gt;0,'Invullen groen'!C38,""),"")</f>
        <v/>
      </c>
      <c r="D25" s="534">
        <f>IFERROR(IF('Invullen groen'!E38&gt;0,'Invullen groen'!D38,""),"")</f>
        <v/>
      </c>
      <c r="E25" s="534">
        <f>IFERROR(IF('Invullen groen'!E38&gt;0,'Invullen groen'!G38,""),"")</f>
        <v/>
      </c>
      <c r="F25" s="535">
        <f>IFERROR(IF('Invullen groen'!H38&lt;&gt;0,'Invullen groen'!H38,""),"")</f>
        <v/>
      </c>
      <c r="G25" s="535">
        <f>IFERROR(IF('Invullen groen'!I38&lt;&gt;0,'Invullen groen'!I38,""),"")</f>
        <v/>
      </c>
      <c r="H25" s="535">
        <f>IFERROR(IF('Invullen groen'!J38&lt;&gt;0,'Invullen groen'!J38,""),"")</f>
        <v/>
      </c>
      <c r="I25" s="535">
        <f>IFERROR(IF('Invullen groen'!K38&lt;&gt;0,'Invullen groen'!K38,""),"")</f>
        <v/>
      </c>
    </row>
    <row r="26" ht="15" customHeight="1">
      <c r="A26" s="536">
        <f>IFERROR(IF('Invullen groen'!E39&gt;0,39-17,""),"")</f>
        <v/>
      </c>
      <c r="B26" s="536">
        <f>IFERROR(IF('Invullen groen'!E39&gt;0,'Invullen groen'!A39,""),"")</f>
        <v/>
      </c>
      <c r="C26" s="536">
        <f>IFERROR(IF('Invullen groen'!E39&gt;0,'Invullen groen'!C39,""),"")</f>
        <v/>
      </c>
      <c r="D26" s="536">
        <f>IFERROR(IF('Invullen groen'!E39&gt;0,'Invullen groen'!D39,""),"")</f>
        <v/>
      </c>
      <c r="E26" s="536">
        <f>IFERROR(IF('Invullen groen'!E39&gt;0,'Invullen groen'!G39,""),"")</f>
        <v/>
      </c>
      <c r="F26" s="537">
        <f>IFERROR(IF('Invullen groen'!H39&lt;&gt;0,'Invullen groen'!H39,""),"")</f>
        <v/>
      </c>
      <c r="G26" s="537">
        <f>IFERROR(IF('Invullen groen'!I39&lt;&gt;0,'Invullen groen'!I39,""),"")</f>
        <v/>
      </c>
      <c r="H26" s="537">
        <f>IFERROR(IF('Invullen groen'!J39&lt;&gt;0,'Invullen groen'!J39,""),"")</f>
        <v/>
      </c>
      <c r="I26" s="537">
        <f>IFERROR(IF('Invullen groen'!K39&lt;&gt;0,'Invullen groen'!K39,""),"")</f>
        <v/>
      </c>
    </row>
    <row r="27" ht="15" customHeight="1">
      <c r="A27" s="534">
        <f>IFERROR(IF('Invullen groen'!E40&gt;0,40-17,""),"")</f>
        <v/>
      </c>
      <c r="B27" s="534">
        <f>IFERROR(IF('Invullen groen'!E40&gt;0,'Invullen groen'!A40,""),"")</f>
        <v/>
      </c>
      <c r="C27" s="534">
        <f>IFERROR(IF('Invullen groen'!E40&gt;0,'Invullen groen'!C40,""),"")</f>
        <v/>
      </c>
      <c r="D27" s="534">
        <f>IFERROR(IF('Invullen groen'!E40&gt;0,'Invullen groen'!D40,""),"")</f>
        <v/>
      </c>
      <c r="E27" s="534">
        <f>IFERROR(IF('Invullen groen'!E40&gt;0,'Invullen groen'!G40,""),"")</f>
        <v/>
      </c>
      <c r="F27" s="535">
        <f>IFERROR(IF('Invullen groen'!H40&lt;&gt;0,'Invullen groen'!H40,""),"")</f>
        <v/>
      </c>
      <c r="G27" s="535">
        <f>IFERROR(IF('Invullen groen'!I40&lt;&gt;0,'Invullen groen'!I40,""),"")</f>
        <v/>
      </c>
      <c r="H27" s="535">
        <f>IFERROR(IF('Invullen groen'!J40&lt;&gt;0,'Invullen groen'!J40,""),"")</f>
        <v/>
      </c>
      <c r="I27" s="535">
        <f>IFERROR(IF('Invullen groen'!K40&lt;&gt;0,'Invullen groen'!K40,""),"")</f>
        <v/>
      </c>
    </row>
    <row r="28" ht="15" customHeight="1">
      <c r="A28" s="536">
        <f>IFERROR(IF('Invullen groen'!E41&gt;0,41-17,""),"")</f>
        <v/>
      </c>
      <c r="B28" s="536">
        <f>IFERROR(IF('Invullen groen'!E41&gt;0,'Invullen groen'!A41,""),"")</f>
        <v/>
      </c>
      <c r="C28" s="536">
        <f>IFERROR(IF('Invullen groen'!E41&gt;0,'Invullen groen'!C41,""),"")</f>
        <v/>
      </c>
      <c r="D28" s="536">
        <f>IFERROR(IF('Invullen groen'!E41&gt;0,'Invullen groen'!D41,""),"")</f>
        <v/>
      </c>
      <c r="E28" s="536">
        <f>IFERROR(IF('Invullen groen'!E41&gt;0,'Invullen groen'!G41,""),"")</f>
        <v/>
      </c>
      <c r="F28" s="537">
        <f>IFERROR(IF('Invullen groen'!H41&lt;&gt;0,'Invullen groen'!H41,""),"")</f>
        <v/>
      </c>
      <c r="G28" s="537">
        <f>IFERROR(IF('Invullen groen'!I41&lt;&gt;0,'Invullen groen'!I41,""),"")</f>
        <v/>
      </c>
      <c r="H28" s="537">
        <f>IFERROR(IF('Invullen groen'!J41&lt;&gt;0,'Invullen groen'!J41,""),"")</f>
        <v/>
      </c>
      <c r="I28" s="537">
        <f>IFERROR(IF('Invullen groen'!K41&lt;&gt;0,'Invullen groen'!K41,""),"")</f>
        <v/>
      </c>
    </row>
    <row r="29" ht="15" customHeight="1">
      <c r="A29" s="534">
        <f>IFERROR(IF('Invullen groen'!E42&gt;0,42-17,""),"")</f>
        <v/>
      </c>
      <c r="B29" s="534">
        <f>IFERROR(IF('Invullen groen'!E42&gt;0,'Invullen groen'!A42,""),"")</f>
        <v/>
      </c>
      <c r="C29" s="534">
        <f>IFERROR(IF('Invullen groen'!E42&gt;0,'Invullen groen'!C42,""),"")</f>
        <v/>
      </c>
      <c r="D29" s="534">
        <f>IFERROR(IF('Invullen groen'!E42&gt;0,'Invullen groen'!D42,""),"")</f>
        <v/>
      </c>
      <c r="E29" s="534">
        <f>IFERROR(IF('Invullen groen'!E42&gt;0,'Invullen groen'!G42,""),"")</f>
        <v/>
      </c>
      <c r="F29" s="535">
        <f>IFERROR(IF('Invullen groen'!H42&lt;&gt;0,'Invullen groen'!H42,""),"")</f>
        <v/>
      </c>
      <c r="G29" s="535">
        <f>IFERROR(IF('Invullen groen'!I42&lt;&gt;0,'Invullen groen'!I42,""),"")</f>
        <v/>
      </c>
      <c r="H29" s="535">
        <f>IFERROR(IF('Invullen groen'!J42&lt;&gt;0,'Invullen groen'!J42,""),"")</f>
        <v/>
      </c>
      <c r="I29" s="535">
        <f>IFERROR(IF('Invullen groen'!K42&lt;&gt;0,'Invullen groen'!K42,""),"")</f>
        <v/>
      </c>
    </row>
    <row r="30" ht="15" customHeight="1">
      <c r="A30" s="536">
        <f>IFERROR(IF('Invullen groen'!E43&gt;0,43-17,""),"")</f>
        <v/>
      </c>
      <c r="B30" s="536">
        <f>IFERROR(IF('Invullen groen'!E43&gt;0,'Invullen groen'!A43,""),"")</f>
        <v/>
      </c>
      <c r="C30" s="536">
        <f>IFERROR(IF('Invullen groen'!E43&gt;0,'Invullen groen'!C43,""),"")</f>
        <v/>
      </c>
      <c r="D30" s="536">
        <f>IFERROR(IF('Invullen groen'!E43&gt;0,'Invullen groen'!D43,""),"")</f>
        <v/>
      </c>
      <c r="E30" s="536">
        <f>IFERROR(IF('Invullen groen'!E43&gt;0,'Invullen groen'!G43,""),"")</f>
        <v/>
      </c>
      <c r="F30" s="537">
        <f>IFERROR(IF('Invullen groen'!H43&lt;&gt;0,'Invullen groen'!H43,""),"")</f>
        <v/>
      </c>
      <c r="G30" s="537">
        <f>IFERROR(IF('Invullen groen'!I43&lt;&gt;0,'Invullen groen'!I43,""),"")</f>
        <v/>
      </c>
      <c r="H30" s="537">
        <f>IFERROR(IF('Invullen groen'!J43&lt;&gt;0,'Invullen groen'!J43,""),"")</f>
        <v/>
      </c>
      <c r="I30" s="537">
        <f>IFERROR(IF('Invullen groen'!K43&lt;&gt;0,'Invullen groen'!K43,""),"")</f>
        <v/>
      </c>
    </row>
    <row r="31" ht="15" customHeight="1">
      <c r="A31" s="534">
        <f>IFERROR(IF('Invullen groen'!E44&gt;0,44-17,""),"")</f>
        <v/>
      </c>
      <c r="B31" s="534">
        <f>IFERROR(IF('Invullen groen'!E44&gt;0,'Invullen groen'!A44,""),"")</f>
        <v/>
      </c>
      <c r="C31" s="534">
        <f>IFERROR(IF('Invullen groen'!E44&gt;0,'Invullen groen'!C44,""),"")</f>
        <v/>
      </c>
      <c r="D31" s="534">
        <f>IFERROR(IF('Invullen groen'!E44&gt;0,'Invullen groen'!D44,""),"")</f>
        <v/>
      </c>
      <c r="E31" s="534">
        <f>IFERROR(IF('Invullen groen'!E44&gt;0,'Invullen groen'!G44,""),"")</f>
        <v/>
      </c>
      <c r="F31" s="535">
        <f>IFERROR(IF('Invullen groen'!H44&lt;&gt;0,'Invullen groen'!H44,""),"")</f>
        <v/>
      </c>
      <c r="G31" s="535">
        <f>IFERROR(IF('Invullen groen'!I44&lt;&gt;0,'Invullen groen'!I44,""),"")</f>
        <v/>
      </c>
      <c r="H31" s="535">
        <f>IFERROR(IF('Invullen groen'!J44&lt;&gt;0,'Invullen groen'!J44,""),"")</f>
        <v/>
      </c>
      <c r="I31" s="535">
        <f>IFERROR(IF('Invullen groen'!K44&lt;&gt;0,'Invullen groen'!K44,""),"")</f>
        <v/>
      </c>
    </row>
    <row r="32" ht="15" customHeight="1">
      <c r="A32" s="536">
        <f>IFERROR(IF('Invullen groen'!E45&gt;0,45-17,""),"")</f>
        <v/>
      </c>
      <c r="B32" s="536">
        <f>IFERROR(IF('Invullen groen'!E45&gt;0,'Invullen groen'!A45,""),"")</f>
        <v/>
      </c>
      <c r="C32" s="536">
        <f>IFERROR(IF('Invullen groen'!E45&gt;0,'Invullen groen'!C45,""),"")</f>
        <v/>
      </c>
      <c r="D32" s="536">
        <f>IFERROR(IF('Invullen groen'!E45&gt;0,'Invullen groen'!D45,""),"")</f>
        <v/>
      </c>
      <c r="E32" s="536">
        <f>IFERROR(IF('Invullen groen'!E45&gt;0,'Invullen groen'!G45,""),"")</f>
        <v/>
      </c>
      <c r="F32" s="537">
        <f>IFERROR(IF('Invullen groen'!H45&lt;&gt;0,'Invullen groen'!H45,""),"")</f>
        <v/>
      </c>
      <c r="G32" s="537">
        <f>IFERROR(IF('Invullen groen'!I45&lt;&gt;0,'Invullen groen'!I45,""),"")</f>
        <v/>
      </c>
      <c r="H32" s="537">
        <f>IFERROR(IF('Invullen groen'!J45&lt;&gt;0,'Invullen groen'!J45,""),"")</f>
        <v/>
      </c>
      <c r="I32" s="537">
        <f>IFERROR(IF('Invullen groen'!K45&lt;&gt;0,'Invullen groen'!K45,""),"")</f>
        <v/>
      </c>
    </row>
    <row r="33" ht="15" customHeight="1">
      <c r="A33" s="534">
        <f>IFERROR(IF('Invullen groen'!E46&gt;0,46-17,""),"")</f>
        <v/>
      </c>
      <c r="B33" s="534">
        <f>IFERROR(IF('Invullen groen'!E46&gt;0,'Invullen groen'!A46,""),"")</f>
        <v/>
      </c>
      <c r="C33" s="534">
        <f>IFERROR(IF('Invullen groen'!E46&gt;0,'Invullen groen'!C46,""),"")</f>
        <v/>
      </c>
      <c r="D33" s="534">
        <f>IFERROR(IF('Invullen groen'!E46&gt;0,'Invullen groen'!D46,""),"")</f>
        <v/>
      </c>
      <c r="E33" s="534">
        <f>IFERROR(IF('Invullen groen'!E46&gt;0,'Invullen groen'!G46,""),"")</f>
        <v/>
      </c>
      <c r="F33" s="535">
        <f>IFERROR(IF('Invullen groen'!H46&lt;&gt;0,'Invullen groen'!H46,""),"")</f>
        <v/>
      </c>
      <c r="G33" s="535">
        <f>IFERROR(IF('Invullen groen'!I46&lt;&gt;0,'Invullen groen'!I46,""),"")</f>
        <v/>
      </c>
      <c r="H33" s="535">
        <f>IFERROR(IF('Invullen groen'!J46&lt;&gt;0,'Invullen groen'!J46,""),"")</f>
        <v/>
      </c>
      <c r="I33" s="535">
        <f>IFERROR(IF('Invullen groen'!K46&lt;&gt;0,'Invullen groen'!K46,""),"")</f>
        <v/>
      </c>
    </row>
    <row r="34" ht="15" customHeight="1">
      <c r="A34" s="536">
        <f>IFERROR(IF('Invullen groen'!E47&gt;0,47-17,""),"")</f>
        <v/>
      </c>
      <c r="B34" s="536">
        <f>IFERROR(IF('Invullen groen'!E47&gt;0,'Invullen groen'!A47,""),"")</f>
        <v/>
      </c>
      <c r="C34" s="536">
        <f>IFERROR(IF('Invullen groen'!E47&gt;0,'Invullen groen'!C47,""),"")</f>
        <v/>
      </c>
      <c r="D34" s="536">
        <f>IFERROR(IF('Invullen groen'!E47&gt;0,'Invullen groen'!D47,""),"")</f>
        <v/>
      </c>
      <c r="E34" s="536">
        <f>IFERROR(IF('Invullen groen'!E47&gt;0,'Invullen groen'!G47,""),"")</f>
        <v/>
      </c>
      <c r="F34" s="537">
        <f>IFERROR(IF('Invullen groen'!H47&lt;&gt;0,'Invullen groen'!H47,""),"")</f>
        <v/>
      </c>
      <c r="G34" s="537">
        <f>IFERROR(IF('Invullen groen'!I47&lt;&gt;0,'Invullen groen'!I47,""),"")</f>
        <v/>
      </c>
      <c r="H34" s="537">
        <f>IFERROR(IF('Invullen groen'!J47&lt;&gt;0,'Invullen groen'!J47,""),"")</f>
        <v/>
      </c>
      <c r="I34" s="537">
        <f>IFERROR(IF('Invullen groen'!K47&lt;&gt;0,'Invullen groen'!K47,""),"")</f>
        <v/>
      </c>
    </row>
    <row r="35" ht="15" customHeight="1">
      <c r="A35" s="534">
        <f>IFERROR(IF('Invullen groen'!E48&gt;0,48-17,""),"")</f>
        <v/>
      </c>
      <c r="B35" s="534">
        <f>IFERROR(IF('Invullen groen'!E48&gt;0,'Invullen groen'!A48,""),"")</f>
        <v/>
      </c>
      <c r="C35" s="534">
        <f>IFERROR(IF('Invullen groen'!E48&gt;0,'Invullen groen'!C48,""),"")</f>
        <v/>
      </c>
      <c r="D35" s="534">
        <f>IFERROR(IF('Invullen groen'!E48&gt;0,'Invullen groen'!D48,""),"")</f>
        <v/>
      </c>
      <c r="E35" s="534">
        <f>IFERROR(IF('Invullen groen'!E48&gt;0,'Invullen groen'!G48,""),"")</f>
        <v/>
      </c>
      <c r="F35" s="535">
        <f>IFERROR(IF('Invullen groen'!H48&lt;&gt;0,'Invullen groen'!H48,""),"")</f>
        <v/>
      </c>
      <c r="G35" s="535">
        <f>IFERROR(IF('Invullen groen'!I48&lt;&gt;0,'Invullen groen'!I48,""),"")</f>
        <v/>
      </c>
      <c r="H35" s="535">
        <f>IFERROR(IF('Invullen groen'!J48&lt;&gt;0,'Invullen groen'!J48,""),"")</f>
        <v/>
      </c>
      <c r="I35" s="535">
        <f>IFERROR(IF('Invullen groen'!K48&lt;&gt;0,'Invullen groen'!K48,""),"")</f>
        <v/>
      </c>
    </row>
    <row r="36" ht="15" customHeight="1">
      <c r="A36" s="536">
        <f>IFERROR(IF('Invullen groen'!E49&gt;0,49-17,""),"")</f>
        <v/>
      </c>
      <c r="B36" s="536">
        <f>IFERROR(IF('Invullen groen'!E49&gt;0,'Invullen groen'!A49,""),"")</f>
        <v/>
      </c>
      <c r="C36" s="536">
        <f>IFERROR(IF('Invullen groen'!E49&gt;0,'Invullen groen'!C49,""),"")</f>
        <v/>
      </c>
      <c r="D36" s="536">
        <f>IFERROR(IF('Invullen groen'!E49&gt;0,'Invullen groen'!D49,""),"")</f>
        <v/>
      </c>
      <c r="E36" s="536">
        <f>IFERROR(IF('Invullen groen'!E49&gt;0,'Invullen groen'!G49,""),"")</f>
        <v/>
      </c>
      <c r="F36" s="537">
        <f>IFERROR(IF('Invullen groen'!H49&lt;&gt;0,'Invullen groen'!H49,""),"")</f>
        <v/>
      </c>
      <c r="G36" s="537">
        <f>IFERROR(IF('Invullen groen'!I49&lt;&gt;0,'Invullen groen'!I49,""),"")</f>
        <v/>
      </c>
      <c r="H36" s="537">
        <f>IFERROR(IF('Invullen groen'!J49&lt;&gt;0,'Invullen groen'!J49,""),"")</f>
        <v/>
      </c>
      <c r="I36" s="537">
        <f>IFERROR(IF('Invullen groen'!K49&lt;&gt;0,'Invullen groen'!K49,""),"")</f>
        <v/>
      </c>
    </row>
    <row r="37" ht="15" customHeight="1">
      <c r="A37" s="534">
        <f>IFERROR(IF('Invullen groen'!E50&gt;0,50-17,""),"")</f>
        <v/>
      </c>
      <c r="B37" s="534">
        <f>IFERROR(IF('Invullen groen'!E50&gt;0,'Invullen groen'!A50,""),"")</f>
        <v/>
      </c>
      <c r="C37" s="534">
        <f>IFERROR(IF('Invullen groen'!E50&gt;0,'Invullen groen'!C50,""),"")</f>
        <v/>
      </c>
      <c r="D37" s="534">
        <f>IFERROR(IF('Invullen groen'!E50&gt;0,'Invullen groen'!D50,""),"")</f>
        <v/>
      </c>
      <c r="E37" s="534">
        <f>IFERROR(IF('Invullen groen'!E50&gt;0,'Invullen groen'!G50,""),"")</f>
        <v/>
      </c>
      <c r="F37" s="535">
        <f>IFERROR(IF('Invullen groen'!H50&lt;&gt;0,'Invullen groen'!H50,""),"")</f>
        <v/>
      </c>
      <c r="G37" s="535">
        <f>IFERROR(IF('Invullen groen'!I50&lt;&gt;0,'Invullen groen'!I50,""),"")</f>
        <v/>
      </c>
      <c r="H37" s="535">
        <f>IFERROR(IF('Invullen groen'!J50&lt;&gt;0,'Invullen groen'!J50,""),"")</f>
        <v/>
      </c>
      <c r="I37" s="535">
        <f>IFERROR(IF('Invullen groen'!K50&lt;&gt;0,'Invullen groen'!K50,""),"")</f>
        <v/>
      </c>
    </row>
    <row r="38" ht="15" customHeight="1">
      <c r="A38" s="536">
        <f>IFERROR(IF('Invullen groen'!E51&gt;0,51-17,""),"")</f>
        <v/>
      </c>
      <c r="B38" s="536">
        <f>IFERROR(IF('Invullen groen'!E51&gt;0,'Invullen groen'!A51,""),"")</f>
        <v/>
      </c>
      <c r="C38" s="536">
        <f>IFERROR(IF('Invullen groen'!E51&gt;0,'Invullen groen'!C51,""),"")</f>
        <v/>
      </c>
      <c r="D38" s="536">
        <f>IFERROR(IF('Invullen groen'!E51&gt;0,'Invullen groen'!D51,""),"")</f>
        <v/>
      </c>
      <c r="E38" s="536">
        <f>IFERROR(IF('Invullen groen'!E51&gt;0,'Invullen groen'!G51,""),"")</f>
        <v/>
      </c>
      <c r="F38" s="537">
        <f>IFERROR(IF('Invullen groen'!H51&lt;&gt;0,'Invullen groen'!H51,""),"")</f>
        <v/>
      </c>
      <c r="G38" s="537">
        <f>IFERROR(IF('Invullen groen'!I51&lt;&gt;0,'Invullen groen'!I51,""),"")</f>
        <v/>
      </c>
      <c r="H38" s="537">
        <f>IFERROR(IF('Invullen groen'!J51&lt;&gt;0,'Invullen groen'!J51,""),"")</f>
        <v/>
      </c>
      <c r="I38" s="537">
        <f>IFERROR(IF('Invullen groen'!K51&lt;&gt;0,'Invullen groen'!K51,""),"")</f>
        <v/>
      </c>
    </row>
    <row r="39" ht="15" customHeight="1">
      <c r="A39" s="534">
        <f>IFERROR(IF('Invullen groen'!E52&gt;0,52-17,""),"")</f>
        <v/>
      </c>
      <c r="B39" s="534">
        <f>IFERROR(IF('Invullen groen'!E52&gt;0,'Invullen groen'!A52,""),"")</f>
        <v/>
      </c>
      <c r="C39" s="534">
        <f>IFERROR(IF('Invullen groen'!E52&gt;0,'Invullen groen'!C52,""),"")</f>
        <v/>
      </c>
      <c r="D39" s="534">
        <f>IFERROR(IF('Invullen groen'!E52&gt;0,'Invullen groen'!D52,""),"")</f>
        <v/>
      </c>
      <c r="E39" s="534">
        <f>IFERROR(IF('Invullen groen'!E52&gt;0,'Invullen groen'!G52,""),"")</f>
        <v/>
      </c>
      <c r="F39" s="535">
        <f>IFERROR(IF('Invullen groen'!H52&lt;&gt;0,'Invullen groen'!H52,""),"")</f>
        <v/>
      </c>
      <c r="G39" s="535">
        <f>IFERROR(IF('Invullen groen'!I52&lt;&gt;0,'Invullen groen'!I52,""),"")</f>
        <v/>
      </c>
      <c r="H39" s="535">
        <f>IFERROR(IF('Invullen groen'!J52&lt;&gt;0,'Invullen groen'!J52,""),"")</f>
        <v/>
      </c>
      <c r="I39" s="535">
        <f>IFERROR(IF('Invullen groen'!K52&lt;&gt;0,'Invullen groen'!K52,""),"")</f>
        <v/>
      </c>
    </row>
    <row r="40" ht="15" customHeight="1">
      <c r="A40" s="536">
        <f>IFERROR(IF('Invullen groen'!E53&gt;0,53-17,""),"")</f>
        <v/>
      </c>
      <c r="B40" s="536">
        <f>IFERROR(IF('Invullen groen'!E53&gt;0,'Invullen groen'!A53,""),"")</f>
        <v/>
      </c>
      <c r="C40" s="536">
        <f>IFERROR(IF('Invullen groen'!E53&gt;0,'Invullen groen'!C53,""),"")</f>
        <v/>
      </c>
      <c r="D40" s="536">
        <f>IFERROR(IF('Invullen groen'!E53&gt;0,'Invullen groen'!D53,""),"")</f>
        <v/>
      </c>
      <c r="E40" s="536">
        <f>IFERROR(IF('Invullen groen'!E53&gt;0,'Invullen groen'!G53,""),"")</f>
        <v/>
      </c>
      <c r="F40" s="537">
        <f>IFERROR(IF('Invullen groen'!H53&lt;&gt;0,'Invullen groen'!H53,""),"")</f>
        <v/>
      </c>
      <c r="G40" s="537">
        <f>IFERROR(IF('Invullen groen'!I53&lt;&gt;0,'Invullen groen'!I53,""),"")</f>
        <v/>
      </c>
      <c r="H40" s="537">
        <f>IFERROR(IF('Invullen groen'!J53&lt;&gt;0,'Invullen groen'!J53,""),"")</f>
        <v/>
      </c>
      <c r="I40" s="537">
        <f>IFERROR(IF('Invullen groen'!K53&lt;&gt;0,'Invullen groen'!K53,""),"")</f>
        <v/>
      </c>
    </row>
    <row r="41" ht="15" customHeight="1">
      <c r="A41" s="534">
        <f>IFERROR(IF('Invullen groen'!E54&gt;0,54-17,""),"")</f>
        <v/>
      </c>
      <c r="B41" s="534">
        <f>IFERROR(IF('Invullen groen'!E54&gt;0,'Invullen groen'!A54,""),"")</f>
        <v/>
      </c>
      <c r="C41" s="534">
        <f>IFERROR(IF('Invullen groen'!E54&gt;0,'Invullen groen'!C54,""),"")</f>
        <v/>
      </c>
      <c r="D41" s="534">
        <f>IFERROR(IF('Invullen groen'!E54&gt;0,'Invullen groen'!D54,""),"")</f>
        <v/>
      </c>
      <c r="E41" s="534">
        <f>IFERROR(IF('Invullen groen'!E54&gt;0,'Invullen groen'!G54,""),"")</f>
        <v/>
      </c>
      <c r="F41" s="535">
        <f>IFERROR(IF('Invullen groen'!H54&lt;&gt;0,'Invullen groen'!H54,""),"")</f>
        <v/>
      </c>
      <c r="G41" s="535">
        <f>IFERROR(IF('Invullen groen'!I54&lt;&gt;0,'Invullen groen'!I54,""),"")</f>
        <v/>
      </c>
      <c r="H41" s="535">
        <f>IFERROR(IF('Invullen groen'!J54&lt;&gt;0,'Invullen groen'!J54,""),"")</f>
        <v/>
      </c>
      <c r="I41" s="535">
        <f>IFERROR(IF('Invullen groen'!K54&lt;&gt;0,'Invullen groen'!K54,""),"")</f>
        <v/>
      </c>
    </row>
    <row r="42" ht="15" customHeight="1">
      <c r="A42" s="536">
        <f>IFERROR(IF('Invullen groen'!E55&gt;0,55-17,""),"")</f>
        <v/>
      </c>
      <c r="B42" s="536">
        <f>IFERROR(IF('Invullen groen'!E55&gt;0,'Invullen groen'!A55,""),"")</f>
        <v/>
      </c>
      <c r="C42" s="536">
        <f>IFERROR(IF('Invullen groen'!E55&gt;0,'Invullen groen'!C55,""),"")</f>
        <v/>
      </c>
      <c r="D42" s="536">
        <f>IFERROR(IF('Invullen groen'!E55&gt;0,'Invullen groen'!D55,""),"")</f>
        <v/>
      </c>
      <c r="E42" s="536">
        <f>IFERROR(IF('Invullen groen'!E55&gt;0,'Invullen groen'!G55,""),"")</f>
        <v/>
      </c>
      <c r="F42" s="537">
        <f>IFERROR(IF('Invullen groen'!H55&lt;&gt;0,'Invullen groen'!H55,""),"")</f>
        <v/>
      </c>
      <c r="G42" s="537">
        <f>IFERROR(IF('Invullen groen'!I55&lt;&gt;0,'Invullen groen'!I55,""),"")</f>
        <v/>
      </c>
      <c r="H42" s="537">
        <f>IFERROR(IF('Invullen groen'!J55&lt;&gt;0,'Invullen groen'!J55,""),"")</f>
        <v/>
      </c>
      <c r="I42" s="537">
        <f>IFERROR(IF('Invullen groen'!K55&lt;&gt;0,'Invullen groen'!K55,""),"")</f>
        <v/>
      </c>
    </row>
    <row r="43" ht="15" customHeight="1">
      <c r="A43" s="534">
        <f>IFERROR(IF('Invullen groen'!E56&gt;0,56-17,""),"")</f>
        <v/>
      </c>
      <c r="B43" s="534">
        <f>IFERROR(IF('Invullen groen'!E56&gt;0,'Invullen groen'!A56,""),"")</f>
        <v/>
      </c>
      <c r="C43" s="534">
        <f>IFERROR(IF('Invullen groen'!E56&gt;0,'Invullen groen'!C56,""),"")</f>
        <v/>
      </c>
      <c r="D43" s="534">
        <f>IFERROR(IF('Invullen groen'!E56&gt;0,'Invullen groen'!D56,""),"")</f>
        <v/>
      </c>
      <c r="E43" s="534">
        <f>IFERROR(IF('Invullen groen'!E56&gt;0,'Invullen groen'!G56,""),"")</f>
        <v/>
      </c>
      <c r="F43" s="535">
        <f>IFERROR(IF('Invullen groen'!H56&lt;&gt;0,'Invullen groen'!H56,""),"")</f>
        <v/>
      </c>
      <c r="G43" s="535">
        <f>IFERROR(IF('Invullen groen'!I56&lt;&gt;0,'Invullen groen'!I56,""),"")</f>
        <v/>
      </c>
      <c r="H43" s="535">
        <f>IFERROR(IF('Invullen groen'!J56&lt;&gt;0,'Invullen groen'!J56,""),"")</f>
        <v/>
      </c>
      <c r="I43" s="535">
        <f>IFERROR(IF('Invullen groen'!K56&lt;&gt;0,'Invullen groen'!K56,""),"")</f>
        <v/>
      </c>
    </row>
    <row r="44" ht="15" customHeight="1">
      <c r="A44" s="536">
        <f>IFERROR(IF('Invullen groen'!E57&gt;0,57-17,""),"")</f>
        <v/>
      </c>
      <c r="B44" s="536">
        <f>IFERROR(IF('Invullen groen'!E57&gt;0,'Invullen groen'!A57,""),"")</f>
        <v/>
      </c>
      <c r="C44" s="536">
        <f>IFERROR(IF('Invullen groen'!E57&gt;0,'Invullen groen'!C57,""),"")</f>
        <v/>
      </c>
      <c r="D44" s="536">
        <f>IFERROR(IF('Invullen groen'!E57&gt;0,'Invullen groen'!D57,""),"")</f>
        <v/>
      </c>
      <c r="E44" s="536">
        <f>IFERROR(IF('Invullen groen'!E57&gt;0,'Invullen groen'!G57,""),"")</f>
        <v/>
      </c>
      <c r="F44" s="537">
        <f>IFERROR(IF('Invullen groen'!H57&lt;&gt;0,'Invullen groen'!H57,""),"")</f>
        <v/>
      </c>
      <c r="G44" s="537">
        <f>IFERROR(IF('Invullen groen'!I57&lt;&gt;0,'Invullen groen'!I57,""),"")</f>
        <v/>
      </c>
      <c r="H44" s="537">
        <f>IFERROR(IF('Invullen groen'!J57&lt;&gt;0,'Invullen groen'!J57,""),"")</f>
        <v/>
      </c>
      <c r="I44" s="537">
        <f>IFERROR(IF('Invullen groen'!K57&lt;&gt;0,'Invullen groen'!K57,""),"")</f>
        <v/>
      </c>
    </row>
    <row r="45" ht="15" customHeight="1">
      <c r="A45" s="534">
        <f>IFERROR(IF('Invullen groen'!E58&gt;0,58-17,""),"")</f>
        <v/>
      </c>
      <c r="B45" s="534">
        <f>IFERROR(IF('Invullen groen'!E58&gt;0,'Invullen groen'!A58,""),"")</f>
        <v/>
      </c>
      <c r="C45" s="534">
        <f>IFERROR(IF('Invullen groen'!E58&gt;0,'Invullen groen'!C58,""),"")</f>
        <v/>
      </c>
      <c r="D45" s="534">
        <f>IFERROR(IF('Invullen groen'!E58&gt;0,'Invullen groen'!D58,""),"")</f>
        <v/>
      </c>
      <c r="E45" s="534">
        <f>IFERROR(IF('Invullen groen'!E58&gt;0,'Invullen groen'!G58,""),"")</f>
        <v/>
      </c>
      <c r="F45" s="535">
        <f>IFERROR(IF('Invullen groen'!H58&lt;&gt;0,'Invullen groen'!H58,""),"")</f>
        <v/>
      </c>
      <c r="G45" s="535">
        <f>IFERROR(IF('Invullen groen'!I58&lt;&gt;0,'Invullen groen'!I58,""),"")</f>
        <v/>
      </c>
      <c r="H45" s="535">
        <f>IFERROR(IF('Invullen groen'!J58&lt;&gt;0,'Invullen groen'!J58,""),"")</f>
        <v/>
      </c>
      <c r="I45" s="535">
        <f>IFERROR(IF('Invullen groen'!K58&lt;&gt;0,'Invullen groen'!K58,""),"")</f>
        <v/>
      </c>
    </row>
    <row r="46" ht="15" customHeight="1">
      <c r="A46" s="536">
        <f>IFERROR(IF('Invullen groen'!E59&gt;0,59-17,""),"")</f>
        <v/>
      </c>
      <c r="B46" s="536">
        <f>IFERROR(IF('Invullen groen'!E59&gt;0,'Invullen groen'!A59,""),"")</f>
        <v/>
      </c>
      <c r="C46" s="536">
        <f>IFERROR(IF('Invullen groen'!E59&gt;0,'Invullen groen'!C59,""),"")</f>
        <v/>
      </c>
      <c r="D46" s="536">
        <f>IFERROR(IF('Invullen groen'!E59&gt;0,'Invullen groen'!D59,""),"")</f>
        <v/>
      </c>
      <c r="E46" s="536">
        <f>IFERROR(IF('Invullen groen'!E59&gt;0,'Invullen groen'!G59,""),"")</f>
        <v/>
      </c>
      <c r="F46" s="537">
        <f>IFERROR(IF('Invullen groen'!H59&lt;&gt;0,'Invullen groen'!H59,""),"")</f>
        <v/>
      </c>
      <c r="G46" s="537">
        <f>IFERROR(IF('Invullen groen'!I59&lt;&gt;0,'Invullen groen'!I59,""),"")</f>
        <v/>
      </c>
      <c r="H46" s="537">
        <f>IFERROR(IF('Invullen groen'!J59&lt;&gt;0,'Invullen groen'!J59,""),"")</f>
        <v/>
      </c>
      <c r="I46" s="537">
        <f>IFERROR(IF('Invullen groen'!K59&lt;&gt;0,'Invullen groen'!K59,""),"")</f>
        <v/>
      </c>
    </row>
    <row r="47" ht="15" customHeight="1">
      <c r="A47" s="534">
        <f>IFERROR(IF('Invullen groen'!E60&gt;0,60-17,""),"")</f>
        <v/>
      </c>
      <c r="B47" s="534">
        <f>IFERROR(IF('Invullen groen'!E60&gt;0,'Invullen groen'!A60,""),"")</f>
        <v/>
      </c>
      <c r="C47" s="534">
        <f>IFERROR(IF('Invullen groen'!E60&gt;0,'Invullen groen'!C60,""),"")</f>
        <v/>
      </c>
      <c r="D47" s="534">
        <f>IFERROR(IF('Invullen groen'!E60&gt;0,'Invullen groen'!D60,""),"")</f>
        <v/>
      </c>
      <c r="E47" s="534">
        <f>IFERROR(IF('Invullen groen'!E60&gt;0,'Invullen groen'!G60,""),"")</f>
        <v/>
      </c>
      <c r="F47" s="535">
        <f>IFERROR(IF('Invullen groen'!H60&lt;&gt;0,'Invullen groen'!H60,""),"")</f>
        <v/>
      </c>
      <c r="G47" s="535">
        <f>IFERROR(IF('Invullen groen'!I60&lt;&gt;0,'Invullen groen'!I60,""),"")</f>
        <v/>
      </c>
      <c r="H47" s="535">
        <f>IFERROR(IF('Invullen groen'!J60&lt;&gt;0,'Invullen groen'!J60,""),"")</f>
        <v/>
      </c>
      <c r="I47" s="535">
        <f>IFERROR(IF('Invullen groen'!K60&lt;&gt;0,'Invullen groen'!K60,""),"")</f>
        <v/>
      </c>
    </row>
    <row r="48" ht="15" customHeight="1">
      <c r="A48" s="536">
        <f>IFERROR(IF('Invullen groen'!E61&gt;0,61-17,""),"")</f>
        <v/>
      </c>
      <c r="B48" s="536">
        <f>IFERROR(IF('Invullen groen'!E61&gt;0,'Invullen groen'!A61,""),"")</f>
        <v/>
      </c>
      <c r="C48" s="536">
        <f>IFERROR(IF('Invullen groen'!E61&gt;0,'Invullen groen'!C61,""),"")</f>
        <v/>
      </c>
      <c r="D48" s="536">
        <f>IFERROR(IF('Invullen groen'!E61&gt;0,'Invullen groen'!D61,""),"")</f>
        <v/>
      </c>
      <c r="E48" s="536">
        <f>IFERROR(IF('Invullen groen'!E61&gt;0,'Invullen groen'!G61,""),"")</f>
        <v/>
      </c>
      <c r="F48" s="537">
        <f>IFERROR(IF('Invullen groen'!H61&lt;&gt;0,'Invullen groen'!H61,""),"")</f>
        <v/>
      </c>
      <c r="G48" s="537">
        <f>IFERROR(IF('Invullen groen'!I61&lt;&gt;0,'Invullen groen'!I61,""),"")</f>
        <v/>
      </c>
      <c r="H48" s="537">
        <f>IFERROR(IF('Invullen groen'!J61&lt;&gt;0,'Invullen groen'!J61,""),"")</f>
        <v/>
      </c>
      <c r="I48" s="537">
        <f>IFERROR(IF('Invullen groen'!K61&lt;&gt;0,'Invullen groen'!K61,""),"")</f>
        <v/>
      </c>
    </row>
    <row r="49" ht="15" customHeight="1">
      <c r="A49" s="534">
        <f>IFERROR(IF('Invullen groen'!E62&gt;0,62-17,""),"")</f>
        <v/>
      </c>
      <c r="B49" s="534">
        <f>IFERROR(IF('Invullen groen'!E62&gt;0,'Invullen groen'!A62,""),"")</f>
        <v/>
      </c>
      <c r="C49" s="534">
        <f>IFERROR(IF('Invullen groen'!E62&gt;0,'Invullen groen'!C62,""),"")</f>
        <v/>
      </c>
      <c r="D49" s="534">
        <f>IFERROR(IF('Invullen groen'!E62&gt;0,'Invullen groen'!D62,""),"")</f>
        <v/>
      </c>
      <c r="E49" s="534">
        <f>IFERROR(IF('Invullen groen'!E62&gt;0,'Invullen groen'!G62,""),"")</f>
        <v/>
      </c>
      <c r="F49" s="535">
        <f>IFERROR(IF('Invullen groen'!H62&lt;&gt;0,'Invullen groen'!H62,""),"")</f>
        <v/>
      </c>
      <c r="G49" s="535">
        <f>IFERROR(IF('Invullen groen'!I62&lt;&gt;0,'Invullen groen'!I62,""),"")</f>
        <v/>
      </c>
      <c r="H49" s="535">
        <f>IFERROR(IF('Invullen groen'!J62&lt;&gt;0,'Invullen groen'!J62,""),"")</f>
        <v/>
      </c>
      <c r="I49" s="535">
        <f>IFERROR(IF('Invullen groen'!K62&lt;&gt;0,'Invullen groen'!K62,""),"")</f>
        <v/>
      </c>
    </row>
    <row r="50" ht="15" customHeight="1">
      <c r="A50" s="536">
        <f>IFERROR(IF('Invullen groen'!E63&gt;0,63-17,""),"")</f>
        <v/>
      </c>
      <c r="B50" s="536">
        <f>IFERROR(IF('Invullen groen'!E63&gt;0,'Invullen groen'!A63,""),"")</f>
        <v/>
      </c>
      <c r="C50" s="536">
        <f>IFERROR(IF('Invullen groen'!E63&gt;0,'Invullen groen'!C63,""),"")</f>
        <v/>
      </c>
      <c r="D50" s="536">
        <f>IFERROR(IF('Invullen groen'!E63&gt;0,'Invullen groen'!D63,""),"")</f>
        <v/>
      </c>
      <c r="E50" s="536">
        <f>IFERROR(IF('Invullen groen'!E63&gt;0,'Invullen groen'!G63,""),"")</f>
        <v/>
      </c>
      <c r="F50" s="537">
        <f>IFERROR(IF('Invullen groen'!H63&lt;&gt;0,'Invullen groen'!H63,""),"")</f>
        <v/>
      </c>
      <c r="G50" s="537">
        <f>IFERROR(IF('Invullen groen'!I63&lt;&gt;0,'Invullen groen'!I63,""),"")</f>
        <v/>
      </c>
      <c r="H50" s="537">
        <f>IFERROR(IF('Invullen groen'!J63&lt;&gt;0,'Invullen groen'!J63,""),"")</f>
        <v/>
      </c>
      <c r="I50" s="537">
        <f>IFERROR(IF('Invullen groen'!K63&lt;&gt;0,'Invullen groen'!K63,""),"")</f>
        <v/>
      </c>
    </row>
    <row r="51" ht="15" customHeight="1">
      <c r="A51" s="534">
        <f>IFERROR(IF('Invullen groen'!E64&gt;0,64-17,""),"")</f>
        <v/>
      </c>
      <c r="B51" s="534">
        <f>IFERROR(IF('Invullen groen'!E64&gt;0,'Invullen groen'!A64,""),"")</f>
        <v/>
      </c>
      <c r="C51" s="534">
        <f>IFERROR(IF('Invullen groen'!E64&gt;0,'Invullen groen'!C64,""),"")</f>
        <v/>
      </c>
      <c r="D51" s="534">
        <f>IFERROR(IF('Invullen groen'!E64&gt;0,'Invullen groen'!D64,""),"")</f>
        <v/>
      </c>
      <c r="E51" s="534">
        <f>IFERROR(IF('Invullen groen'!E64&gt;0,'Invullen groen'!G64,""),"")</f>
        <v/>
      </c>
      <c r="F51" s="535">
        <f>IFERROR(IF('Invullen groen'!H64&lt;&gt;0,'Invullen groen'!H64,""),"")</f>
        <v/>
      </c>
      <c r="G51" s="535">
        <f>IFERROR(IF('Invullen groen'!I64&lt;&gt;0,'Invullen groen'!I64,""),"")</f>
        <v/>
      </c>
      <c r="H51" s="535">
        <f>IFERROR(IF('Invullen groen'!J64&lt;&gt;0,'Invullen groen'!J64,""),"")</f>
        <v/>
      </c>
      <c r="I51" s="535">
        <f>IFERROR(IF('Invullen groen'!K64&lt;&gt;0,'Invullen groen'!K64,""),"")</f>
        <v/>
      </c>
    </row>
    <row r="52" ht="15" customHeight="1">
      <c r="A52" s="536">
        <f>IFERROR(IF('Invullen groen'!E65&gt;0,65-17,""),"")</f>
        <v/>
      </c>
      <c r="B52" s="536">
        <f>IFERROR(IF('Invullen groen'!E65&gt;0,'Invullen groen'!A65,""),"")</f>
        <v/>
      </c>
      <c r="C52" s="536">
        <f>IFERROR(IF('Invullen groen'!E65&gt;0,'Invullen groen'!C65,""),"")</f>
        <v/>
      </c>
      <c r="D52" s="536">
        <f>IFERROR(IF('Invullen groen'!E65&gt;0,'Invullen groen'!D65,""),"")</f>
        <v/>
      </c>
      <c r="E52" s="536">
        <f>IFERROR(IF('Invullen groen'!E65&gt;0,'Invullen groen'!G65,""),"")</f>
        <v/>
      </c>
      <c r="F52" s="537">
        <f>IFERROR(IF('Invullen groen'!H65&lt;&gt;0,'Invullen groen'!H65,""),"")</f>
        <v/>
      </c>
      <c r="G52" s="537">
        <f>IFERROR(IF('Invullen groen'!I65&lt;&gt;0,'Invullen groen'!I65,""),"")</f>
        <v/>
      </c>
      <c r="H52" s="537">
        <f>IFERROR(IF('Invullen groen'!J65&lt;&gt;0,'Invullen groen'!J65,""),"")</f>
        <v/>
      </c>
      <c r="I52" s="537">
        <f>IFERROR(IF('Invullen groen'!K65&lt;&gt;0,'Invullen groen'!K65,""),"")</f>
        <v/>
      </c>
    </row>
    <row r="53" ht="15" customHeight="1">
      <c r="A53" s="534">
        <f>IFERROR(IF('Invullen groen'!E66&gt;0,66-17,""),"")</f>
        <v/>
      </c>
      <c r="B53" s="534">
        <f>IFERROR(IF('Invullen groen'!E66&gt;0,'Invullen groen'!A66,""),"")</f>
        <v/>
      </c>
      <c r="C53" s="534">
        <f>IFERROR(IF('Invullen groen'!E66&gt;0,'Invullen groen'!C66,""),"")</f>
        <v/>
      </c>
      <c r="D53" s="534">
        <f>IFERROR(IF('Invullen groen'!E66&gt;0,'Invullen groen'!D66,""),"")</f>
        <v/>
      </c>
      <c r="E53" s="534">
        <f>IFERROR(IF('Invullen groen'!E66&gt;0,'Invullen groen'!G66,""),"")</f>
        <v/>
      </c>
      <c r="F53" s="535">
        <f>IFERROR(IF('Invullen groen'!H66&lt;&gt;0,'Invullen groen'!H66,""),"")</f>
        <v/>
      </c>
      <c r="G53" s="535">
        <f>IFERROR(IF('Invullen groen'!I66&lt;&gt;0,'Invullen groen'!I66,""),"")</f>
        <v/>
      </c>
      <c r="H53" s="535">
        <f>IFERROR(IF('Invullen groen'!J66&lt;&gt;0,'Invullen groen'!J66,""),"")</f>
        <v/>
      </c>
      <c r="I53" s="535">
        <f>IFERROR(IF('Invullen groen'!K66&lt;&gt;0,'Invullen groen'!K66,""),"")</f>
        <v/>
      </c>
    </row>
    <row r="54" ht="15" customHeight="1">
      <c r="A54" s="536">
        <f>IFERROR(IF('Invullen groen'!E67&gt;0,67-17,""),"")</f>
        <v/>
      </c>
      <c r="B54" s="536">
        <f>IFERROR(IF('Invullen groen'!E67&gt;0,'Invullen groen'!A67,""),"")</f>
        <v/>
      </c>
      <c r="C54" s="536">
        <f>IFERROR(IF('Invullen groen'!E67&gt;0,'Invullen groen'!C67,""),"")</f>
        <v/>
      </c>
      <c r="D54" s="536">
        <f>IFERROR(IF('Invullen groen'!E67&gt;0,'Invullen groen'!D67,""),"")</f>
        <v/>
      </c>
      <c r="E54" s="536">
        <f>IFERROR(IF('Invullen groen'!E67&gt;0,'Invullen groen'!G67,""),"")</f>
        <v/>
      </c>
      <c r="F54" s="537">
        <f>IFERROR(IF('Invullen groen'!H67&lt;&gt;0,'Invullen groen'!H67,""),"")</f>
        <v/>
      </c>
      <c r="G54" s="537">
        <f>IFERROR(IF('Invullen groen'!I67&lt;&gt;0,'Invullen groen'!I67,""),"")</f>
        <v/>
      </c>
      <c r="H54" s="537">
        <f>IFERROR(IF('Invullen groen'!J67&lt;&gt;0,'Invullen groen'!J67,""),"")</f>
        <v/>
      </c>
      <c r="I54" s="537">
        <f>IFERROR(IF('Invullen groen'!K67&lt;&gt;0,'Invullen groen'!K67,""),"")</f>
        <v/>
      </c>
    </row>
    <row r="55" ht="15" customHeight="1">
      <c r="A55" s="534">
        <f>IFERROR(IF('Invullen groen'!E68&gt;0,68-17,""),"")</f>
        <v/>
      </c>
      <c r="B55" s="534">
        <f>IFERROR(IF('Invullen groen'!E68&gt;0,'Invullen groen'!A68,""),"")</f>
        <v/>
      </c>
      <c r="C55" s="534">
        <f>IFERROR(IF('Invullen groen'!E68&gt;0,'Invullen groen'!C68,""),"")</f>
        <v/>
      </c>
      <c r="D55" s="534">
        <f>IFERROR(IF('Invullen groen'!E68&gt;0,'Invullen groen'!D68,""),"")</f>
        <v/>
      </c>
      <c r="E55" s="534">
        <f>IFERROR(IF('Invullen groen'!E68&gt;0,'Invullen groen'!G68,""),"")</f>
        <v/>
      </c>
      <c r="F55" s="535">
        <f>IFERROR(IF('Invullen groen'!H68&lt;&gt;0,'Invullen groen'!H68,""),"")</f>
        <v/>
      </c>
      <c r="G55" s="535">
        <f>IFERROR(IF('Invullen groen'!I68&lt;&gt;0,'Invullen groen'!I68,""),"")</f>
        <v/>
      </c>
      <c r="H55" s="535">
        <f>IFERROR(IF('Invullen groen'!J68&lt;&gt;0,'Invullen groen'!J68,""),"")</f>
        <v/>
      </c>
      <c r="I55" s="535">
        <f>IFERROR(IF('Invullen groen'!K68&lt;&gt;0,'Invullen groen'!K68,""),"")</f>
        <v/>
      </c>
    </row>
    <row r="56" ht="15" customHeight="1">
      <c r="A56" s="536">
        <f>IFERROR(IF('Invullen groen'!E69&gt;0,69-17,""),"")</f>
        <v/>
      </c>
      <c r="B56" s="536">
        <f>IFERROR(IF('Invullen groen'!E69&gt;0,'Invullen groen'!A69,""),"")</f>
        <v/>
      </c>
      <c r="C56" s="536">
        <f>IFERROR(IF('Invullen groen'!E69&gt;0,'Invullen groen'!C69,""),"")</f>
        <v/>
      </c>
      <c r="D56" s="536">
        <f>IFERROR(IF('Invullen groen'!E69&gt;0,'Invullen groen'!D69,""),"")</f>
        <v/>
      </c>
      <c r="E56" s="536">
        <f>IFERROR(IF('Invullen groen'!E69&gt;0,'Invullen groen'!G69,""),"")</f>
        <v/>
      </c>
      <c r="F56" s="537">
        <f>IFERROR(IF('Invullen groen'!H69&lt;&gt;0,'Invullen groen'!H69,""),"")</f>
        <v/>
      </c>
      <c r="G56" s="537">
        <f>IFERROR(IF('Invullen groen'!I69&lt;&gt;0,'Invullen groen'!I69,""),"")</f>
        <v/>
      </c>
      <c r="H56" s="537">
        <f>IFERROR(IF('Invullen groen'!J69&lt;&gt;0,'Invullen groen'!J69,""),"")</f>
        <v/>
      </c>
      <c r="I56" s="537">
        <f>IFERROR(IF('Invullen groen'!K69&lt;&gt;0,'Invullen groen'!K69,""),"")</f>
        <v/>
      </c>
    </row>
    <row r="57" ht="15" customHeight="1">
      <c r="A57" s="534">
        <f>IFERROR(IF('Invullen groen'!E70&gt;0,70-17,""),"")</f>
        <v/>
      </c>
      <c r="B57" s="534">
        <f>IFERROR(IF('Invullen groen'!E70&gt;0,'Invullen groen'!A70,""),"")</f>
        <v/>
      </c>
      <c r="C57" s="534">
        <f>IFERROR(IF('Invullen groen'!E70&gt;0,'Invullen groen'!C70,""),"")</f>
        <v/>
      </c>
      <c r="D57" s="534">
        <f>IFERROR(IF('Invullen groen'!E70&gt;0,'Invullen groen'!D70,""),"")</f>
        <v/>
      </c>
      <c r="E57" s="534">
        <f>IFERROR(IF('Invullen groen'!E70&gt;0,'Invullen groen'!G70,""),"")</f>
        <v/>
      </c>
      <c r="F57" s="535">
        <f>IFERROR(IF('Invullen groen'!H70&lt;&gt;0,'Invullen groen'!H70,""),"")</f>
        <v/>
      </c>
      <c r="G57" s="535">
        <f>IFERROR(IF('Invullen groen'!I70&lt;&gt;0,'Invullen groen'!I70,""),"")</f>
        <v/>
      </c>
      <c r="H57" s="535">
        <f>IFERROR(IF('Invullen groen'!J70&lt;&gt;0,'Invullen groen'!J70,""),"")</f>
        <v/>
      </c>
      <c r="I57" s="535">
        <f>IFERROR(IF('Invullen groen'!K70&lt;&gt;0,'Invullen groen'!K70,""),"")</f>
        <v/>
      </c>
    </row>
    <row r="58" ht="15" customHeight="1">
      <c r="A58" s="536">
        <f>IFERROR(IF('Invullen groen'!E71&gt;0,71-17,""),"")</f>
        <v/>
      </c>
      <c r="B58" s="536">
        <f>IFERROR(IF('Invullen groen'!E71&gt;0,'Invullen groen'!A71,""),"")</f>
        <v/>
      </c>
      <c r="C58" s="536">
        <f>IFERROR(IF('Invullen groen'!E71&gt;0,'Invullen groen'!C71,""),"")</f>
        <v/>
      </c>
      <c r="D58" s="536">
        <f>IFERROR(IF('Invullen groen'!E71&gt;0,'Invullen groen'!D71,""),"")</f>
        <v/>
      </c>
      <c r="E58" s="536">
        <f>IFERROR(IF('Invullen groen'!E71&gt;0,'Invullen groen'!G71,""),"")</f>
        <v/>
      </c>
      <c r="F58" s="537">
        <f>IFERROR(IF('Invullen groen'!H71&lt;&gt;0,'Invullen groen'!H71,""),"")</f>
        <v/>
      </c>
      <c r="G58" s="537">
        <f>IFERROR(IF('Invullen groen'!I71&lt;&gt;0,'Invullen groen'!I71,""),"")</f>
        <v/>
      </c>
      <c r="H58" s="537">
        <f>IFERROR(IF('Invullen groen'!J71&lt;&gt;0,'Invullen groen'!J71,""),"")</f>
        <v/>
      </c>
      <c r="I58" s="537">
        <f>IFERROR(IF('Invullen groen'!K71&lt;&gt;0,'Invullen groen'!K71,""),"")</f>
        <v/>
      </c>
    </row>
    <row r="59" ht="15" customHeight="1">
      <c r="A59" s="534">
        <f>IFERROR(IF('Invullen groen'!E72&gt;0,72-17,""),"")</f>
        <v/>
      </c>
      <c r="B59" s="534">
        <f>IFERROR(IF('Invullen groen'!E72&gt;0,'Invullen groen'!A72,""),"")</f>
        <v/>
      </c>
      <c r="C59" s="534">
        <f>IFERROR(IF('Invullen groen'!E72&gt;0,'Invullen groen'!C72,""),"")</f>
        <v/>
      </c>
      <c r="D59" s="534">
        <f>IFERROR(IF('Invullen groen'!E72&gt;0,'Invullen groen'!D72,""),"")</f>
        <v/>
      </c>
      <c r="E59" s="534">
        <f>IFERROR(IF('Invullen groen'!E72&gt;0,'Invullen groen'!G72,""),"")</f>
        <v/>
      </c>
      <c r="F59" s="535">
        <f>IFERROR(IF('Invullen groen'!H72&lt;&gt;0,'Invullen groen'!H72,""),"")</f>
        <v/>
      </c>
      <c r="G59" s="535">
        <f>IFERROR(IF('Invullen groen'!I72&lt;&gt;0,'Invullen groen'!I72,""),"")</f>
        <v/>
      </c>
      <c r="H59" s="535">
        <f>IFERROR(IF('Invullen groen'!J72&lt;&gt;0,'Invullen groen'!J72,""),"")</f>
        <v/>
      </c>
      <c r="I59" s="535">
        <f>IFERROR(IF('Invullen groen'!K72&lt;&gt;0,'Invullen groen'!K72,""),"")</f>
        <v/>
      </c>
    </row>
    <row r="60" ht="15" customHeight="1">
      <c r="A60" s="536">
        <f>IFERROR(IF('Invullen groen'!E73&gt;0,73-17,""),"")</f>
        <v/>
      </c>
      <c r="B60" s="536">
        <f>IFERROR(IF('Invullen groen'!E73&gt;0,'Invullen groen'!A73,""),"")</f>
        <v/>
      </c>
      <c r="C60" s="536">
        <f>IFERROR(IF('Invullen groen'!E73&gt;0,'Invullen groen'!C73,""),"")</f>
        <v/>
      </c>
      <c r="D60" s="536">
        <f>IFERROR(IF('Invullen groen'!E73&gt;0,'Invullen groen'!D73,""),"")</f>
        <v/>
      </c>
      <c r="E60" s="536">
        <f>IFERROR(IF('Invullen groen'!E73&gt;0,'Invullen groen'!G73,""),"")</f>
        <v/>
      </c>
      <c r="F60" s="537">
        <f>IFERROR(IF('Invullen groen'!H73&lt;&gt;0,'Invullen groen'!H73,""),"")</f>
        <v/>
      </c>
      <c r="G60" s="537">
        <f>IFERROR(IF('Invullen groen'!I73&lt;&gt;0,'Invullen groen'!I73,""),"")</f>
        <v/>
      </c>
      <c r="H60" s="537">
        <f>IFERROR(IF('Invullen groen'!J73&lt;&gt;0,'Invullen groen'!J73,""),"")</f>
        <v/>
      </c>
      <c r="I60" s="537">
        <f>IFERROR(IF('Invullen groen'!K73&lt;&gt;0,'Invullen groen'!K73,""),"")</f>
        <v/>
      </c>
    </row>
    <row r="61" ht="15" customHeight="1">
      <c r="A61" s="534">
        <f>IFERROR(IF('Invullen groen'!E74&gt;0,74-17,""),"")</f>
        <v/>
      </c>
      <c r="B61" s="534">
        <f>IFERROR(IF('Invullen groen'!E74&gt;0,'Invullen groen'!A74,""),"")</f>
        <v/>
      </c>
      <c r="C61" s="534">
        <f>IFERROR(IF('Invullen groen'!E74&gt;0,'Invullen groen'!C74,""),"")</f>
        <v/>
      </c>
      <c r="D61" s="534">
        <f>IFERROR(IF('Invullen groen'!E74&gt;0,'Invullen groen'!D74,""),"")</f>
        <v/>
      </c>
      <c r="E61" s="534">
        <f>IFERROR(IF('Invullen groen'!E74&gt;0,'Invullen groen'!G74,""),"")</f>
        <v/>
      </c>
      <c r="F61" s="535">
        <f>IFERROR(IF('Invullen groen'!H74&lt;&gt;0,'Invullen groen'!H74,""),"")</f>
        <v/>
      </c>
      <c r="G61" s="535">
        <f>IFERROR(IF('Invullen groen'!I74&lt;&gt;0,'Invullen groen'!I74,""),"")</f>
        <v/>
      </c>
      <c r="H61" s="535">
        <f>IFERROR(IF('Invullen groen'!J74&lt;&gt;0,'Invullen groen'!J74,""),"")</f>
        <v/>
      </c>
      <c r="I61" s="535">
        <f>IFERROR(IF('Invullen groen'!K74&lt;&gt;0,'Invullen groen'!K74,""),"")</f>
        <v/>
      </c>
    </row>
    <row r="62" ht="15" customHeight="1">
      <c r="A62" s="536">
        <f>IFERROR(IF('Invullen groen'!E75&gt;0,75-17,""),"")</f>
        <v/>
      </c>
      <c r="B62" s="536">
        <f>IFERROR(IF('Invullen groen'!E75&gt;0,'Invullen groen'!A75,""),"")</f>
        <v/>
      </c>
      <c r="C62" s="536">
        <f>IFERROR(IF('Invullen groen'!E75&gt;0,'Invullen groen'!C75,""),"")</f>
        <v/>
      </c>
      <c r="D62" s="536">
        <f>IFERROR(IF('Invullen groen'!E75&gt;0,'Invullen groen'!D75,""),"")</f>
        <v/>
      </c>
      <c r="E62" s="536">
        <f>IFERROR(IF('Invullen groen'!E75&gt;0,'Invullen groen'!G75,""),"")</f>
        <v/>
      </c>
      <c r="F62" s="537">
        <f>IFERROR(IF('Invullen groen'!H75&lt;&gt;0,'Invullen groen'!H75,""),"")</f>
        <v/>
      </c>
      <c r="G62" s="537">
        <f>IFERROR(IF('Invullen groen'!I75&lt;&gt;0,'Invullen groen'!I75,""),"")</f>
        <v/>
      </c>
      <c r="H62" s="537">
        <f>IFERROR(IF('Invullen groen'!J75&lt;&gt;0,'Invullen groen'!J75,""),"")</f>
        <v/>
      </c>
      <c r="I62" s="537">
        <f>IFERROR(IF('Invullen groen'!K75&lt;&gt;0,'Invullen groen'!K75,""),"")</f>
        <v/>
      </c>
    </row>
    <row r="63" ht="15" customHeight="1">
      <c r="A63" s="534">
        <f>IFERROR(IF('Invullen groen'!E76&gt;0,76-17,""),"")</f>
        <v/>
      </c>
      <c r="B63" s="534">
        <f>IFERROR(IF('Invullen groen'!E76&gt;0,'Invullen groen'!A76,""),"")</f>
        <v/>
      </c>
      <c r="C63" s="534">
        <f>IFERROR(IF('Invullen groen'!E76&gt;0,'Invullen groen'!C76,""),"")</f>
        <v/>
      </c>
      <c r="D63" s="534">
        <f>IFERROR(IF('Invullen groen'!E76&gt;0,'Invullen groen'!D76,""),"")</f>
        <v/>
      </c>
      <c r="E63" s="534">
        <f>IFERROR(IF('Invullen groen'!E76&gt;0,'Invullen groen'!G76,""),"")</f>
        <v/>
      </c>
      <c r="F63" s="535">
        <f>IFERROR(IF('Invullen groen'!H76&lt;&gt;0,'Invullen groen'!H76,""),"")</f>
        <v/>
      </c>
      <c r="G63" s="535">
        <f>IFERROR(IF('Invullen groen'!I76&lt;&gt;0,'Invullen groen'!I76,""),"")</f>
        <v/>
      </c>
      <c r="H63" s="535">
        <f>IFERROR(IF('Invullen groen'!J76&lt;&gt;0,'Invullen groen'!J76,""),"")</f>
        <v/>
      </c>
      <c r="I63" s="535">
        <f>IFERROR(IF('Invullen groen'!K76&lt;&gt;0,'Invullen groen'!K76,""),"")</f>
        <v/>
      </c>
    </row>
    <row r="64" ht="15" customHeight="1">
      <c r="A64" s="536">
        <f>IFERROR(IF('Invullen groen'!E77&gt;0,77-17,""),"")</f>
        <v/>
      </c>
      <c r="B64" s="536">
        <f>IFERROR(IF('Invullen groen'!E77&gt;0,'Invullen groen'!A77,""),"")</f>
        <v/>
      </c>
      <c r="C64" s="536">
        <f>IFERROR(IF('Invullen groen'!E77&gt;0,'Invullen groen'!C77,""),"")</f>
        <v/>
      </c>
      <c r="D64" s="536">
        <f>IFERROR(IF('Invullen groen'!E77&gt;0,'Invullen groen'!D77,""),"")</f>
        <v/>
      </c>
      <c r="E64" s="536">
        <f>IFERROR(IF('Invullen groen'!E77&gt;0,'Invullen groen'!G77,""),"")</f>
        <v/>
      </c>
      <c r="F64" s="537">
        <f>IFERROR(IF('Invullen groen'!H77&lt;&gt;0,'Invullen groen'!H77,""),"")</f>
        <v/>
      </c>
      <c r="G64" s="537">
        <f>IFERROR(IF('Invullen groen'!I77&lt;&gt;0,'Invullen groen'!I77,""),"")</f>
        <v/>
      </c>
      <c r="H64" s="537">
        <f>IFERROR(IF('Invullen groen'!J77&lt;&gt;0,'Invullen groen'!J77,""),"")</f>
        <v/>
      </c>
      <c r="I64" s="537">
        <f>IFERROR(IF('Invullen groen'!K77&lt;&gt;0,'Invullen groen'!K77,""),"")</f>
        <v/>
      </c>
    </row>
    <row r="65" ht="15" customHeight="1">
      <c r="A65" s="534">
        <f>IFERROR(IF('Invullen groen'!E78&gt;0,78-17,""),"")</f>
        <v/>
      </c>
      <c r="B65" s="534">
        <f>IFERROR(IF('Invullen groen'!E78&gt;0,'Invullen groen'!A78,""),"")</f>
        <v/>
      </c>
      <c r="C65" s="534">
        <f>IFERROR(IF('Invullen groen'!E78&gt;0,'Invullen groen'!C78,""),"")</f>
        <v/>
      </c>
      <c r="D65" s="534">
        <f>IFERROR(IF('Invullen groen'!E78&gt;0,'Invullen groen'!D78,""),"")</f>
        <v/>
      </c>
      <c r="E65" s="534">
        <f>IFERROR(IF('Invullen groen'!E78&gt;0,'Invullen groen'!G78,""),"")</f>
        <v/>
      </c>
      <c r="F65" s="535">
        <f>IFERROR(IF('Invullen groen'!H78&lt;&gt;0,'Invullen groen'!H78,""),"")</f>
        <v/>
      </c>
      <c r="G65" s="535">
        <f>IFERROR(IF('Invullen groen'!I78&lt;&gt;0,'Invullen groen'!I78,""),"")</f>
        <v/>
      </c>
      <c r="H65" s="535">
        <f>IFERROR(IF('Invullen groen'!J78&lt;&gt;0,'Invullen groen'!J78,""),"")</f>
        <v/>
      </c>
      <c r="I65" s="535">
        <f>IFERROR(IF('Invullen groen'!K78&lt;&gt;0,'Invullen groen'!K78,""),"")</f>
        <v/>
      </c>
    </row>
    <row r="66" ht="15" customHeight="1">
      <c r="A66" s="536">
        <f>IFERROR(IF('Invullen groen'!E79&gt;0,79-17,""),"")</f>
        <v/>
      </c>
      <c r="B66" s="536">
        <f>IFERROR(IF('Invullen groen'!E79&gt;0,'Invullen groen'!A79,""),"")</f>
        <v/>
      </c>
      <c r="C66" s="536">
        <f>IFERROR(IF('Invullen groen'!E79&gt;0,'Invullen groen'!C79,""),"")</f>
        <v/>
      </c>
      <c r="D66" s="536">
        <f>IFERROR(IF('Invullen groen'!E79&gt;0,'Invullen groen'!D79,""),"")</f>
        <v/>
      </c>
      <c r="E66" s="536">
        <f>IFERROR(IF('Invullen groen'!E79&gt;0,'Invullen groen'!G79,""),"")</f>
        <v/>
      </c>
      <c r="F66" s="537">
        <f>IFERROR(IF('Invullen groen'!H79&lt;&gt;0,'Invullen groen'!H79,""),"")</f>
        <v/>
      </c>
      <c r="G66" s="537">
        <f>IFERROR(IF('Invullen groen'!I79&lt;&gt;0,'Invullen groen'!I79,""),"")</f>
        <v/>
      </c>
      <c r="H66" s="537">
        <f>IFERROR(IF('Invullen groen'!J79&lt;&gt;0,'Invullen groen'!J79,""),"")</f>
        <v/>
      </c>
      <c r="I66" s="537">
        <f>IFERROR(IF('Invullen groen'!K79&lt;&gt;0,'Invullen groen'!K79,""),"")</f>
        <v/>
      </c>
    </row>
    <row r="67" ht="15" customHeight="1">
      <c r="A67" s="534">
        <f>IFERROR(IF('Invullen groen'!E80&gt;0,80-17,""),"")</f>
        <v/>
      </c>
      <c r="B67" s="534">
        <f>IFERROR(IF('Invullen groen'!E80&gt;0,'Invullen groen'!A80,""),"")</f>
        <v/>
      </c>
      <c r="C67" s="534">
        <f>IFERROR(IF('Invullen groen'!E80&gt;0,'Invullen groen'!C80,""),"")</f>
        <v/>
      </c>
      <c r="D67" s="534">
        <f>IFERROR(IF('Invullen groen'!E80&gt;0,'Invullen groen'!D80,""),"")</f>
        <v/>
      </c>
      <c r="E67" s="534">
        <f>IFERROR(IF('Invullen groen'!E80&gt;0,'Invullen groen'!G80,""),"")</f>
        <v/>
      </c>
      <c r="F67" s="535">
        <f>IFERROR(IF('Invullen groen'!H80&lt;&gt;0,'Invullen groen'!H80,""),"")</f>
        <v/>
      </c>
      <c r="G67" s="535">
        <f>IFERROR(IF('Invullen groen'!I80&lt;&gt;0,'Invullen groen'!I80,""),"")</f>
        <v/>
      </c>
      <c r="H67" s="535">
        <f>IFERROR(IF('Invullen groen'!J80&lt;&gt;0,'Invullen groen'!J80,""),"")</f>
        <v/>
      </c>
      <c r="I67" s="535">
        <f>IFERROR(IF('Invullen groen'!K80&lt;&gt;0,'Invullen groen'!K80,""),"")</f>
        <v/>
      </c>
    </row>
    <row r="68" ht="15" customHeight="1">
      <c r="A68" s="536">
        <f>IFERROR(IF('Invullen groen'!E81&gt;0,81-17,""),"")</f>
        <v/>
      </c>
      <c r="B68" s="536">
        <f>IFERROR(IF('Invullen groen'!E81&gt;0,'Invullen groen'!A81,""),"")</f>
        <v/>
      </c>
      <c r="C68" s="536">
        <f>IFERROR(IF('Invullen groen'!E81&gt;0,'Invullen groen'!C81,""),"")</f>
        <v/>
      </c>
      <c r="D68" s="536">
        <f>IFERROR(IF('Invullen groen'!E81&gt;0,'Invullen groen'!D81,""),"")</f>
        <v/>
      </c>
      <c r="E68" s="536">
        <f>IFERROR(IF('Invullen groen'!E81&gt;0,'Invullen groen'!G81,""),"")</f>
        <v/>
      </c>
      <c r="F68" s="537">
        <f>IFERROR(IF('Invullen groen'!H81&lt;&gt;0,'Invullen groen'!H81,""),"")</f>
        <v/>
      </c>
      <c r="G68" s="537">
        <f>IFERROR(IF('Invullen groen'!I81&lt;&gt;0,'Invullen groen'!I81,""),"")</f>
        <v/>
      </c>
      <c r="H68" s="537">
        <f>IFERROR(IF('Invullen groen'!J81&lt;&gt;0,'Invullen groen'!J81,""),"")</f>
        <v/>
      </c>
      <c r="I68" s="537">
        <f>IFERROR(IF('Invullen groen'!K81&lt;&gt;0,'Invullen groen'!K81,""),"")</f>
        <v/>
      </c>
    </row>
    <row r="69" ht="15" customHeight="1">
      <c r="A69" s="534">
        <f>IFERROR(IF('Invullen groen'!E82&gt;0,82-17,""),"")</f>
        <v/>
      </c>
      <c r="B69" s="534">
        <f>IFERROR(IF('Invullen groen'!E82&gt;0,'Invullen groen'!A82,""),"")</f>
        <v/>
      </c>
      <c r="C69" s="534">
        <f>IFERROR(IF('Invullen groen'!E82&gt;0,'Invullen groen'!C82,""),"")</f>
        <v/>
      </c>
      <c r="D69" s="534">
        <f>IFERROR(IF('Invullen groen'!E82&gt;0,'Invullen groen'!D82,""),"")</f>
        <v/>
      </c>
      <c r="E69" s="534">
        <f>IFERROR(IF('Invullen groen'!E82&gt;0,'Invullen groen'!G82,""),"")</f>
        <v/>
      </c>
      <c r="F69" s="535">
        <f>IFERROR(IF('Invullen groen'!H82&lt;&gt;0,'Invullen groen'!H82,""),"")</f>
        <v/>
      </c>
      <c r="G69" s="535">
        <f>IFERROR(IF('Invullen groen'!I82&lt;&gt;0,'Invullen groen'!I82,""),"")</f>
        <v/>
      </c>
      <c r="H69" s="535">
        <f>IFERROR(IF('Invullen groen'!J82&lt;&gt;0,'Invullen groen'!J82,""),"")</f>
        <v/>
      </c>
      <c r="I69" s="535">
        <f>IFERROR(IF('Invullen groen'!K82&lt;&gt;0,'Invullen groen'!K82,""),"")</f>
        <v/>
      </c>
    </row>
    <row r="70" ht="15" customHeight="1">
      <c r="A70" s="536">
        <f>IFERROR(IF('Invullen groen'!E83&gt;0,83-17,""),"")</f>
        <v/>
      </c>
      <c r="B70" s="536">
        <f>IFERROR(IF('Invullen groen'!E83&gt;0,'Invullen groen'!A83,""),"")</f>
        <v/>
      </c>
      <c r="C70" s="536">
        <f>IFERROR(IF('Invullen groen'!E83&gt;0,'Invullen groen'!C83,""),"")</f>
        <v/>
      </c>
      <c r="D70" s="536">
        <f>IFERROR(IF('Invullen groen'!E83&gt;0,'Invullen groen'!D83,""),"")</f>
        <v/>
      </c>
      <c r="E70" s="536">
        <f>IFERROR(IF('Invullen groen'!E83&gt;0,'Invullen groen'!G83,""),"")</f>
        <v/>
      </c>
      <c r="F70" s="537">
        <f>IFERROR(IF('Invullen groen'!H83&lt;&gt;0,'Invullen groen'!H83,""),"")</f>
        <v/>
      </c>
      <c r="G70" s="537">
        <f>IFERROR(IF('Invullen groen'!I83&lt;&gt;0,'Invullen groen'!I83,""),"")</f>
        <v/>
      </c>
      <c r="H70" s="537">
        <f>IFERROR(IF('Invullen groen'!J83&lt;&gt;0,'Invullen groen'!J83,""),"")</f>
        <v/>
      </c>
      <c r="I70" s="537">
        <f>IFERROR(IF('Invullen groen'!K83&lt;&gt;0,'Invullen groen'!K83,""),"")</f>
        <v/>
      </c>
    </row>
    <row r="71" ht="15" customHeight="1">
      <c r="A71" s="534">
        <f>IFERROR(IF('Invullen groen'!E84&gt;0,84-17,""),"")</f>
        <v/>
      </c>
      <c r="B71" s="534">
        <f>IFERROR(IF('Invullen groen'!E84&gt;0,'Invullen groen'!A84,""),"")</f>
        <v/>
      </c>
      <c r="C71" s="534">
        <f>IFERROR(IF('Invullen groen'!E84&gt;0,'Invullen groen'!C84,""),"")</f>
        <v/>
      </c>
      <c r="D71" s="534">
        <f>IFERROR(IF('Invullen groen'!E84&gt;0,'Invullen groen'!D84,""),"")</f>
        <v/>
      </c>
      <c r="E71" s="534">
        <f>IFERROR(IF('Invullen groen'!E84&gt;0,'Invullen groen'!G84,""),"")</f>
        <v/>
      </c>
      <c r="F71" s="535">
        <f>IFERROR(IF('Invullen groen'!H84&lt;&gt;0,'Invullen groen'!H84,""),"")</f>
        <v/>
      </c>
      <c r="G71" s="535">
        <f>IFERROR(IF('Invullen groen'!I84&lt;&gt;0,'Invullen groen'!I84,""),"")</f>
        <v/>
      </c>
      <c r="H71" s="535">
        <f>IFERROR(IF('Invullen groen'!J84&lt;&gt;0,'Invullen groen'!J84,""),"")</f>
        <v/>
      </c>
      <c r="I71" s="535">
        <f>IFERROR(IF('Invullen groen'!K84&lt;&gt;0,'Invullen groen'!K84,""),"")</f>
        <v/>
      </c>
    </row>
    <row r="72" ht="15" customHeight="1">
      <c r="A72" s="536">
        <f>IFERROR(IF('Invullen groen'!E85&gt;0,85-17,""),"")</f>
        <v/>
      </c>
      <c r="B72" s="536">
        <f>IFERROR(IF('Invullen groen'!E85&gt;0,'Invullen groen'!A85,""),"")</f>
        <v/>
      </c>
      <c r="C72" s="536">
        <f>IFERROR(IF('Invullen groen'!E85&gt;0,'Invullen groen'!C85,""),"")</f>
        <v/>
      </c>
      <c r="D72" s="536">
        <f>IFERROR(IF('Invullen groen'!E85&gt;0,'Invullen groen'!D85,""),"")</f>
        <v/>
      </c>
      <c r="E72" s="536">
        <f>IFERROR(IF('Invullen groen'!E85&gt;0,'Invullen groen'!G85,""),"")</f>
        <v/>
      </c>
      <c r="F72" s="537">
        <f>IFERROR(IF('Invullen groen'!H85&lt;&gt;0,'Invullen groen'!H85,""),"")</f>
        <v/>
      </c>
      <c r="G72" s="537">
        <f>IFERROR(IF('Invullen groen'!I85&lt;&gt;0,'Invullen groen'!I85,""),"")</f>
        <v/>
      </c>
      <c r="H72" s="537">
        <f>IFERROR(IF('Invullen groen'!J85&lt;&gt;0,'Invullen groen'!J85,""),"")</f>
        <v/>
      </c>
      <c r="I72" s="537">
        <f>IFERROR(IF('Invullen groen'!K85&lt;&gt;0,'Invullen groen'!K85,""),"")</f>
        <v/>
      </c>
    </row>
    <row r="73" ht="15" customHeight="1">
      <c r="A73" s="534">
        <f>IFERROR(IF('Invullen groen'!E86&gt;0,86-17,""),"")</f>
        <v/>
      </c>
      <c r="B73" s="534">
        <f>IFERROR(IF('Invullen groen'!E86&gt;0,'Invullen groen'!A86,""),"")</f>
        <v/>
      </c>
      <c r="C73" s="534">
        <f>IFERROR(IF('Invullen groen'!E86&gt;0,'Invullen groen'!C86,""),"")</f>
        <v/>
      </c>
      <c r="D73" s="534">
        <f>IFERROR(IF('Invullen groen'!E86&gt;0,'Invullen groen'!D86,""),"")</f>
        <v/>
      </c>
      <c r="E73" s="534">
        <f>IFERROR(IF('Invullen groen'!E86&gt;0,'Invullen groen'!G86,""),"")</f>
        <v/>
      </c>
      <c r="F73" s="535">
        <f>IFERROR(IF('Invullen groen'!H86&lt;&gt;0,'Invullen groen'!H86,""),"")</f>
        <v/>
      </c>
      <c r="G73" s="535">
        <f>IFERROR(IF('Invullen groen'!I86&lt;&gt;0,'Invullen groen'!I86,""),"")</f>
        <v/>
      </c>
      <c r="H73" s="535">
        <f>IFERROR(IF('Invullen groen'!J86&lt;&gt;0,'Invullen groen'!J86,""),"")</f>
        <v/>
      </c>
      <c r="I73" s="535">
        <f>IFERROR(IF('Invullen groen'!K86&lt;&gt;0,'Invullen groen'!K86,""),"")</f>
        <v/>
      </c>
    </row>
    <row r="74" ht="15" customHeight="1">
      <c r="A74" s="536">
        <f>IFERROR(IF('Invullen groen'!E87&gt;0,87-17,""),"")</f>
        <v/>
      </c>
      <c r="B74" s="536">
        <f>IFERROR(IF('Invullen groen'!E87&gt;0,'Invullen groen'!A87,""),"")</f>
        <v/>
      </c>
      <c r="C74" s="536">
        <f>IFERROR(IF('Invullen groen'!E87&gt;0,'Invullen groen'!C87,""),"")</f>
        <v/>
      </c>
      <c r="D74" s="536">
        <f>IFERROR(IF('Invullen groen'!E87&gt;0,'Invullen groen'!D87,""),"")</f>
        <v/>
      </c>
      <c r="E74" s="536">
        <f>IFERROR(IF('Invullen groen'!E87&gt;0,'Invullen groen'!G87,""),"")</f>
        <v/>
      </c>
      <c r="F74" s="537">
        <f>IFERROR(IF('Invullen groen'!H87&lt;&gt;0,'Invullen groen'!H87,""),"")</f>
        <v/>
      </c>
      <c r="G74" s="537">
        <f>IFERROR(IF('Invullen groen'!I87&lt;&gt;0,'Invullen groen'!I87,""),"")</f>
        <v/>
      </c>
      <c r="H74" s="537">
        <f>IFERROR(IF('Invullen groen'!J87&lt;&gt;0,'Invullen groen'!J87,""),"")</f>
        <v/>
      </c>
      <c r="I74" s="537">
        <f>IFERROR(IF('Invullen groen'!K87&lt;&gt;0,'Invullen groen'!K87,""),"")</f>
        <v/>
      </c>
    </row>
    <row r="75" ht="15" customHeight="1">
      <c r="A75" s="534">
        <f>IFERROR(IF('Invullen groen'!E88&gt;0,88-17,""),"")</f>
        <v/>
      </c>
      <c r="B75" s="534">
        <f>IFERROR(IF('Invullen groen'!E88&gt;0,'Invullen groen'!A88,""),"")</f>
        <v/>
      </c>
      <c r="C75" s="534">
        <f>IFERROR(IF('Invullen groen'!E88&gt;0,'Invullen groen'!C88,""),"")</f>
        <v/>
      </c>
      <c r="D75" s="534">
        <f>IFERROR(IF('Invullen groen'!E88&gt;0,'Invullen groen'!D88,""),"")</f>
        <v/>
      </c>
      <c r="E75" s="534">
        <f>IFERROR(IF('Invullen groen'!E88&gt;0,'Invullen groen'!G88,""),"")</f>
        <v/>
      </c>
      <c r="F75" s="535">
        <f>IFERROR(IF('Invullen groen'!H88&lt;&gt;0,'Invullen groen'!H88,""),"")</f>
        <v/>
      </c>
      <c r="G75" s="535">
        <f>IFERROR(IF('Invullen groen'!I88&lt;&gt;0,'Invullen groen'!I88,""),"")</f>
        <v/>
      </c>
      <c r="H75" s="535">
        <f>IFERROR(IF('Invullen groen'!J88&lt;&gt;0,'Invullen groen'!J88,""),"")</f>
        <v/>
      </c>
      <c r="I75" s="535">
        <f>IFERROR(IF('Invullen groen'!K88&lt;&gt;0,'Invullen groen'!K88,""),"")</f>
        <v/>
      </c>
    </row>
    <row r="76" ht="15" customHeight="1">
      <c r="A76" s="536">
        <f>IFERROR(IF('Invullen groen'!E89&gt;0,89-17,""),"")</f>
        <v/>
      </c>
      <c r="B76" s="536">
        <f>IFERROR(IF('Invullen groen'!E89&gt;0,'Invullen groen'!A89,""),"")</f>
        <v/>
      </c>
      <c r="C76" s="536">
        <f>IFERROR(IF('Invullen groen'!E89&gt;0,'Invullen groen'!C89,""),"")</f>
        <v/>
      </c>
      <c r="D76" s="536">
        <f>IFERROR(IF('Invullen groen'!E89&gt;0,'Invullen groen'!D89,""),"")</f>
        <v/>
      </c>
      <c r="E76" s="536">
        <f>IFERROR(IF('Invullen groen'!E89&gt;0,'Invullen groen'!G89,""),"")</f>
        <v/>
      </c>
      <c r="F76" s="537">
        <f>IFERROR(IF('Invullen groen'!H89&lt;&gt;0,'Invullen groen'!H89,""),"")</f>
        <v/>
      </c>
      <c r="G76" s="537">
        <f>IFERROR(IF('Invullen groen'!I89&lt;&gt;0,'Invullen groen'!I89,""),"")</f>
        <v/>
      </c>
      <c r="H76" s="537">
        <f>IFERROR(IF('Invullen groen'!J89&lt;&gt;0,'Invullen groen'!J89,""),"")</f>
        <v/>
      </c>
      <c r="I76" s="537">
        <f>IFERROR(IF('Invullen groen'!K89&lt;&gt;0,'Invullen groen'!K89,""),"")</f>
        <v/>
      </c>
    </row>
    <row r="77" ht="15" customHeight="1">
      <c r="A77" s="534">
        <f>IFERROR(IF('Invullen groen'!E90&gt;0,90-17,""),"")</f>
        <v/>
      </c>
      <c r="B77" s="534">
        <f>IFERROR(IF('Invullen groen'!E90&gt;0,'Invullen groen'!A90,""),"")</f>
        <v/>
      </c>
      <c r="C77" s="534">
        <f>IFERROR(IF('Invullen groen'!E90&gt;0,'Invullen groen'!C90,""),"")</f>
        <v/>
      </c>
      <c r="D77" s="534">
        <f>IFERROR(IF('Invullen groen'!E90&gt;0,'Invullen groen'!D90,""),"")</f>
        <v/>
      </c>
      <c r="E77" s="534">
        <f>IFERROR(IF('Invullen groen'!E90&gt;0,'Invullen groen'!G90,""),"")</f>
        <v/>
      </c>
      <c r="F77" s="535">
        <f>IFERROR(IF('Invullen groen'!H90&lt;&gt;0,'Invullen groen'!H90,""),"")</f>
        <v/>
      </c>
      <c r="G77" s="535">
        <f>IFERROR(IF('Invullen groen'!I90&lt;&gt;0,'Invullen groen'!I90,""),"")</f>
        <v/>
      </c>
      <c r="H77" s="535">
        <f>IFERROR(IF('Invullen groen'!J90&lt;&gt;0,'Invullen groen'!J90,""),"")</f>
        <v/>
      </c>
      <c r="I77" s="535">
        <f>IFERROR(IF('Invullen groen'!K90&lt;&gt;0,'Invullen groen'!K90,""),"")</f>
        <v/>
      </c>
    </row>
    <row r="78" ht="15" customHeight="1">
      <c r="A78" s="536">
        <f>IFERROR(IF('Invullen groen'!E91&gt;0,91-17,""),"")</f>
        <v/>
      </c>
      <c r="B78" s="536">
        <f>IFERROR(IF('Invullen groen'!E91&gt;0,'Invullen groen'!A91,""),"")</f>
        <v/>
      </c>
      <c r="C78" s="536">
        <f>IFERROR(IF('Invullen groen'!E91&gt;0,'Invullen groen'!C91,""),"")</f>
        <v/>
      </c>
      <c r="D78" s="536">
        <f>IFERROR(IF('Invullen groen'!E91&gt;0,'Invullen groen'!D91,""),"")</f>
        <v/>
      </c>
      <c r="E78" s="536">
        <f>IFERROR(IF('Invullen groen'!E91&gt;0,'Invullen groen'!G91,""),"")</f>
        <v/>
      </c>
      <c r="F78" s="537">
        <f>IFERROR(IF('Invullen groen'!H91&lt;&gt;0,'Invullen groen'!H91,""),"")</f>
        <v/>
      </c>
      <c r="G78" s="537">
        <f>IFERROR(IF('Invullen groen'!I91&lt;&gt;0,'Invullen groen'!I91,""),"")</f>
        <v/>
      </c>
      <c r="H78" s="537">
        <f>IFERROR(IF('Invullen groen'!J91&lt;&gt;0,'Invullen groen'!J91,""),"")</f>
        <v/>
      </c>
      <c r="I78" s="537">
        <f>IFERROR(IF('Invullen groen'!K91&lt;&gt;0,'Invullen groen'!K91,""),"")</f>
        <v/>
      </c>
    </row>
    <row r="79" ht="15" customHeight="1">
      <c r="A79" s="534">
        <f>IFERROR(IF('Invullen groen'!E92&gt;0,92-17,""),"")</f>
        <v/>
      </c>
      <c r="B79" s="534">
        <f>IFERROR(IF('Invullen groen'!E92&gt;0,'Invullen groen'!A92,""),"")</f>
        <v/>
      </c>
      <c r="C79" s="534">
        <f>IFERROR(IF('Invullen groen'!E92&gt;0,'Invullen groen'!C92,""),"")</f>
        <v/>
      </c>
      <c r="D79" s="534">
        <f>IFERROR(IF('Invullen groen'!E92&gt;0,'Invullen groen'!D92,""),"")</f>
        <v/>
      </c>
      <c r="E79" s="534">
        <f>IFERROR(IF('Invullen groen'!E92&gt;0,'Invullen groen'!G92,""),"")</f>
        <v/>
      </c>
      <c r="F79" s="535">
        <f>IFERROR(IF('Invullen groen'!H92&lt;&gt;0,'Invullen groen'!H92,""),"")</f>
        <v/>
      </c>
      <c r="G79" s="535">
        <f>IFERROR(IF('Invullen groen'!I92&lt;&gt;0,'Invullen groen'!I92,""),"")</f>
        <v/>
      </c>
      <c r="H79" s="535">
        <f>IFERROR(IF('Invullen groen'!J92&lt;&gt;0,'Invullen groen'!J92,""),"")</f>
        <v/>
      </c>
      <c r="I79" s="535">
        <f>IFERROR(IF('Invullen groen'!K92&lt;&gt;0,'Invullen groen'!K92,""),"")</f>
        <v/>
      </c>
    </row>
    <row r="80" ht="15" customHeight="1">
      <c r="A80" s="536">
        <f>IFERROR(IF('Invullen groen'!E93&gt;0,93-17,""),"")</f>
        <v/>
      </c>
      <c r="B80" s="536">
        <f>IFERROR(IF('Invullen groen'!E93&gt;0,'Invullen groen'!A93,""),"")</f>
        <v/>
      </c>
      <c r="C80" s="536">
        <f>IFERROR(IF('Invullen groen'!E93&gt;0,'Invullen groen'!C93,""),"")</f>
        <v/>
      </c>
      <c r="D80" s="536">
        <f>IFERROR(IF('Invullen groen'!E93&gt;0,'Invullen groen'!D93,""),"")</f>
        <v/>
      </c>
      <c r="E80" s="536">
        <f>IFERROR(IF('Invullen groen'!E93&gt;0,'Invullen groen'!G93,""),"")</f>
        <v/>
      </c>
      <c r="F80" s="537">
        <f>IFERROR(IF('Invullen groen'!H93&lt;&gt;0,'Invullen groen'!H93,""),"")</f>
        <v/>
      </c>
      <c r="G80" s="537">
        <f>IFERROR(IF('Invullen groen'!I93&lt;&gt;0,'Invullen groen'!I93,""),"")</f>
        <v/>
      </c>
      <c r="H80" s="537">
        <f>IFERROR(IF('Invullen groen'!J93&lt;&gt;0,'Invullen groen'!J93,""),"")</f>
        <v/>
      </c>
      <c r="I80" s="537">
        <f>IFERROR(IF('Invullen groen'!K93&lt;&gt;0,'Invullen groen'!K93,""),"")</f>
        <v/>
      </c>
    </row>
    <row r="81" ht="15" customHeight="1">
      <c r="A81" s="534">
        <f>IFERROR(IF('Invullen groen'!E94&gt;0,94-17,""),"")</f>
        <v/>
      </c>
      <c r="B81" s="534">
        <f>IFERROR(IF('Invullen groen'!E94&gt;0,'Invullen groen'!A94,""),"")</f>
        <v/>
      </c>
      <c r="C81" s="534">
        <f>IFERROR(IF('Invullen groen'!E94&gt;0,'Invullen groen'!C94,""),"")</f>
        <v/>
      </c>
      <c r="D81" s="534">
        <f>IFERROR(IF('Invullen groen'!E94&gt;0,'Invullen groen'!D94,""),"")</f>
        <v/>
      </c>
      <c r="E81" s="534">
        <f>IFERROR(IF('Invullen groen'!E94&gt;0,'Invullen groen'!G94,""),"")</f>
        <v/>
      </c>
      <c r="F81" s="535">
        <f>IFERROR(IF('Invullen groen'!H94&lt;&gt;0,'Invullen groen'!H94,""),"")</f>
        <v/>
      </c>
      <c r="G81" s="535">
        <f>IFERROR(IF('Invullen groen'!I94&lt;&gt;0,'Invullen groen'!I94,""),"")</f>
        <v/>
      </c>
      <c r="H81" s="535">
        <f>IFERROR(IF('Invullen groen'!J94&lt;&gt;0,'Invullen groen'!J94,""),"")</f>
        <v/>
      </c>
      <c r="I81" s="535">
        <f>IFERROR(IF('Invullen groen'!K94&lt;&gt;0,'Invullen groen'!K94,""),"")</f>
        <v/>
      </c>
    </row>
    <row r="82" ht="15" customHeight="1">
      <c r="A82" s="536">
        <f>IFERROR(IF('Invullen groen'!E95&gt;0,95-17,""),"")</f>
        <v/>
      </c>
      <c r="B82" s="536">
        <f>IFERROR(IF('Invullen groen'!E95&gt;0,'Invullen groen'!A95,""),"")</f>
        <v/>
      </c>
      <c r="C82" s="536">
        <f>IFERROR(IF('Invullen groen'!E95&gt;0,'Invullen groen'!C95,""),"")</f>
        <v/>
      </c>
      <c r="D82" s="536">
        <f>IFERROR(IF('Invullen groen'!E95&gt;0,'Invullen groen'!D95,""),"")</f>
        <v/>
      </c>
      <c r="E82" s="536">
        <f>IFERROR(IF('Invullen groen'!E95&gt;0,'Invullen groen'!G95,""),"")</f>
        <v/>
      </c>
      <c r="F82" s="537">
        <f>IFERROR(IF('Invullen groen'!H95&lt;&gt;0,'Invullen groen'!H95,""),"")</f>
        <v/>
      </c>
      <c r="G82" s="537">
        <f>IFERROR(IF('Invullen groen'!I95&lt;&gt;0,'Invullen groen'!I95,""),"")</f>
        <v/>
      </c>
      <c r="H82" s="537">
        <f>IFERROR(IF('Invullen groen'!J95&lt;&gt;0,'Invullen groen'!J95,""),"")</f>
        <v/>
      </c>
      <c r="I82" s="537">
        <f>IFERROR(IF('Invullen groen'!K95&lt;&gt;0,'Invullen groen'!K95,""),"")</f>
        <v/>
      </c>
    </row>
    <row r="83" ht="15" customHeight="1">
      <c r="A83" s="534">
        <f>IFERROR(IF('Invullen groen'!E96&gt;0,96-17,""),"")</f>
        <v/>
      </c>
      <c r="B83" s="534">
        <f>IFERROR(IF('Invullen groen'!E96&gt;0,'Invullen groen'!A96,""),"")</f>
        <v/>
      </c>
      <c r="C83" s="534">
        <f>IFERROR(IF('Invullen groen'!E96&gt;0,'Invullen groen'!C96,""),"")</f>
        <v/>
      </c>
      <c r="D83" s="534">
        <f>IFERROR(IF('Invullen groen'!E96&gt;0,'Invullen groen'!D96,""),"")</f>
        <v/>
      </c>
      <c r="E83" s="534">
        <f>IFERROR(IF('Invullen groen'!E96&gt;0,'Invullen groen'!G96,""),"")</f>
        <v/>
      </c>
      <c r="F83" s="535">
        <f>IFERROR(IF('Invullen groen'!H96&lt;&gt;0,'Invullen groen'!H96,""),"")</f>
        <v/>
      </c>
      <c r="G83" s="535">
        <f>IFERROR(IF('Invullen groen'!I96&lt;&gt;0,'Invullen groen'!I96,""),"")</f>
        <v/>
      </c>
      <c r="H83" s="535">
        <f>IFERROR(IF('Invullen groen'!J96&lt;&gt;0,'Invullen groen'!J96,""),"")</f>
        <v/>
      </c>
      <c r="I83" s="535">
        <f>IFERROR(IF('Invullen groen'!K96&lt;&gt;0,'Invullen groen'!K96,""),"")</f>
        <v/>
      </c>
    </row>
    <row r="84" ht="15" customHeight="1">
      <c r="A84" s="536">
        <f>IFERROR(IF('Invullen groen'!E97&gt;0,97-17,""),"")</f>
        <v/>
      </c>
      <c r="B84" s="536">
        <f>IFERROR(IF('Invullen groen'!E97&gt;0,'Invullen groen'!A97,""),"")</f>
        <v/>
      </c>
      <c r="C84" s="536">
        <f>IFERROR(IF('Invullen groen'!E97&gt;0,'Invullen groen'!C97,""),"")</f>
        <v/>
      </c>
      <c r="D84" s="536">
        <f>IFERROR(IF('Invullen groen'!E97&gt;0,'Invullen groen'!D97,""),"")</f>
        <v/>
      </c>
      <c r="E84" s="536">
        <f>IFERROR(IF('Invullen groen'!E97&gt;0,'Invullen groen'!G97,""),"")</f>
        <v/>
      </c>
      <c r="F84" s="537">
        <f>IFERROR(IF('Invullen groen'!H97&lt;&gt;0,'Invullen groen'!H97,""),"")</f>
        <v/>
      </c>
      <c r="G84" s="537">
        <f>IFERROR(IF('Invullen groen'!I97&lt;&gt;0,'Invullen groen'!I97,""),"")</f>
        <v/>
      </c>
      <c r="H84" s="537">
        <f>IFERROR(IF('Invullen groen'!J97&lt;&gt;0,'Invullen groen'!J97,""),"")</f>
        <v/>
      </c>
      <c r="I84" s="537">
        <f>IFERROR(IF('Invullen groen'!K97&lt;&gt;0,'Invullen groen'!K97,""),"")</f>
        <v/>
      </c>
    </row>
    <row r="85" ht="15" customHeight="1">
      <c r="A85" s="534">
        <f>IFERROR(IF('Invullen groen'!E98&gt;0,98-17,""),"")</f>
        <v/>
      </c>
      <c r="B85" s="534">
        <f>IFERROR(IF('Invullen groen'!E98&gt;0,'Invullen groen'!A98,""),"")</f>
        <v/>
      </c>
      <c r="C85" s="534">
        <f>IFERROR(IF('Invullen groen'!E98&gt;0,'Invullen groen'!C98,""),"")</f>
        <v/>
      </c>
      <c r="D85" s="534">
        <f>IFERROR(IF('Invullen groen'!E98&gt;0,'Invullen groen'!D98,""),"")</f>
        <v/>
      </c>
      <c r="E85" s="534">
        <f>IFERROR(IF('Invullen groen'!E98&gt;0,'Invullen groen'!G98,""),"")</f>
        <v/>
      </c>
      <c r="F85" s="535">
        <f>IFERROR(IF('Invullen groen'!H98&lt;&gt;0,'Invullen groen'!H98,""),"")</f>
        <v/>
      </c>
      <c r="G85" s="535">
        <f>IFERROR(IF('Invullen groen'!I98&lt;&gt;0,'Invullen groen'!I98,""),"")</f>
        <v/>
      </c>
      <c r="H85" s="535">
        <f>IFERROR(IF('Invullen groen'!J98&lt;&gt;0,'Invullen groen'!J98,""),"")</f>
        <v/>
      </c>
      <c r="I85" s="535">
        <f>IFERROR(IF('Invullen groen'!K98&lt;&gt;0,'Invullen groen'!K98,""),"")</f>
        <v/>
      </c>
    </row>
    <row r="86" ht="15" customHeight="1">
      <c r="A86" s="536">
        <f>IFERROR(IF('Invullen groen'!E99&gt;0,99-17,""),"")</f>
        <v/>
      </c>
      <c r="B86" s="536">
        <f>IFERROR(IF('Invullen groen'!E99&gt;0,'Invullen groen'!A99,""),"")</f>
        <v/>
      </c>
      <c r="C86" s="536">
        <f>IFERROR(IF('Invullen groen'!E99&gt;0,'Invullen groen'!C99,""),"")</f>
        <v/>
      </c>
      <c r="D86" s="536">
        <f>IFERROR(IF('Invullen groen'!E99&gt;0,'Invullen groen'!D99,""),"")</f>
        <v/>
      </c>
      <c r="E86" s="536">
        <f>IFERROR(IF('Invullen groen'!E99&gt;0,'Invullen groen'!G99,""),"")</f>
        <v/>
      </c>
      <c r="F86" s="537">
        <f>IFERROR(IF('Invullen groen'!H99&lt;&gt;0,'Invullen groen'!H99,""),"")</f>
        <v/>
      </c>
      <c r="G86" s="537">
        <f>IFERROR(IF('Invullen groen'!I99&lt;&gt;0,'Invullen groen'!I99,""),"")</f>
        <v/>
      </c>
      <c r="H86" s="537">
        <f>IFERROR(IF('Invullen groen'!J99&lt;&gt;0,'Invullen groen'!J99,""),"")</f>
        <v/>
      </c>
      <c r="I86" s="537">
        <f>IFERROR(IF('Invullen groen'!K99&lt;&gt;0,'Invullen groen'!K99,""),"")</f>
        <v/>
      </c>
    </row>
    <row r="87" ht="15" customHeight="1">
      <c r="A87" s="534">
        <f>IFERROR(IF('Invullen groen'!E100&gt;0,100-17,""),"")</f>
        <v/>
      </c>
      <c r="B87" s="534">
        <f>IFERROR(IF('Invullen groen'!E100&gt;0,'Invullen groen'!A100,""),"")</f>
        <v/>
      </c>
      <c r="C87" s="534">
        <f>IFERROR(IF('Invullen groen'!E100&gt;0,'Invullen groen'!C100,""),"")</f>
        <v/>
      </c>
      <c r="D87" s="534">
        <f>IFERROR(IF('Invullen groen'!E100&gt;0,'Invullen groen'!D100,""),"")</f>
        <v/>
      </c>
      <c r="E87" s="534">
        <f>IFERROR(IF('Invullen groen'!E100&gt;0,'Invullen groen'!G100,""),"")</f>
        <v/>
      </c>
      <c r="F87" s="535">
        <f>IFERROR(IF('Invullen groen'!H100&lt;&gt;0,'Invullen groen'!H100,""),"")</f>
        <v/>
      </c>
      <c r="G87" s="535">
        <f>IFERROR(IF('Invullen groen'!I100&lt;&gt;0,'Invullen groen'!I100,""),"")</f>
        <v/>
      </c>
      <c r="H87" s="535">
        <f>IFERROR(IF('Invullen groen'!J100&lt;&gt;0,'Invullen groen'!J100,""),"")</f>
        <v/>
      </c>
      <c r="I87" s="535">
        <f>IFERROR(IF('Invullen groen'!K100&lt;&gt;0,'Invullen groen'!K100,""),"")</f>
        <v/>
      </c>
    </row>
    <row r="88" ht="15" customHeight="1">
      <c r="A88" s="536">
        <f>IFERROR(IF('Invullen groen'!E101&gt;0,101-17,""),"")</f>
        <v/>
      </c>
      <c r="B88" s="536">
        <f>IFERROR(IF('Invullen groen'!E101&gt;0,'Invullen groen'!A101,""),"")</f>
        <v/>
      </c>
      <c r="C88" s="536">
        <f>IFERROR(IF('Invullen groen'!E101&gt;0,'Invullen groen'!C101,""),"")</f>
        <v/>
      </c>
      <c r="D88" s="536">
        <f>IFERROR(IF('Invullen groen'!E101&gt;0,'Invullen groen'!D101,""),"")</f>
        <v/>
      </c>
      <c r="E88" s="536">
        <f>IFERROR(IF('Invullen groen'!E101&gt;0,'Invullen groen'!G101,""),"")</f>
        <v/>
      </c>
      <c r="F88" s="537">
        <f>IFERROR(IF('Invullen groen'!H101&lt;&gt;0,'Invullen groen'!H101,""),"")</f>
        <v/>
      </c>
      <c r="G88" s="537">
        <f>IFERROR(IF('Invullen groen'!I101&lt;&gt;0,'Invullen groen'!I101,""),"")</f>
        <v/>
      </c>
      <c r="H88" s="537">
        <f>IFERROR(IF('Invullen groen'!J101&lt;&gt;0,'Invullen groen'!J101,""),"")</f>
        <v/>
      </c>
      <c r="I88" s="537">
        <f>IFERROR(IF('Invullen groen'!K101&lt;&gt;0,'Invullen groen'!K101,""),"")</f>
        <v/>
      </c>
    </row>
    <row r="89" ht="15" customHeight="1">
      <c r="A89" s="534">
        <f>IFERROR(IF('Invullen groen'!E102&gt;0,102-17,""),"")</f>
        <v/>
      </c>
      <c r="B89" s="534">
        <f>IFERROR(IF('Invullen groen'!E102&gt;0,'Invullen groen'!A102,""),"")</f>
        <v/>
      </c>
      <c r="C89" s="534">
        <f>IFERROR(IF('Invullen groen'!E102&gt;0,'Invullen groen'!C102,""),"")</f>
        <v/>
      </c>
      <c r="D89" s="534">
        <f>IFERROR(IF('Invullen groen'!E102&gt;0,'Invullen groen'!D102,""),"")</f>
        <v/>
      </c>
      <c r="E89" s="534">
        <f>IFERROR(IF('Invullen groen'!E102&gt;0,'Invullen groen'!G102,""),"")</f>
        <v/>
      </c>
      <c r="F89" s="535">
        <f>IFERROR(IF('Invullen groen'!H102&lt;&gt;0,'Invullen groen'!H102,""),"")</f>
        <v/>
      </c>
      <c r="G89" s="535">
        <f>IFERROR(IF('Invullen groen'!I102&lt;&gt;0,'Invullen groen'!I102,""),"")</f>
        <v/>
      </c>
      <c r="H89" s="535">
        <f>IFERROR(IF('Invullen groen'!J102&lt;&gt;0,'Invullen groen'!J102,""),"")</f>
        <v/>
      </c>
      <c r="I89" s="535">
        <f>IFERROR(IF('Invullen groen'!K102&lt;&gt;0,'Invullen groen'!K102,""),"")</f>
        <v/>
      </c>
    </row>
    <row r="90" ht="15" customHeight="1">
      <c r="A90" s="536">
        <f>IFERROR(IF('Invullen groen'!E103&gt;0,103-17,""),"")</f>
        <v/>
      </c>
      <c r="B90" s="536">
        <f>IFERROR(IF('Invullen groen'!E103&gt;0,'Invullen groen'!A103,""),"")</f>
        <v/>
      </c>
      <c r="C90" s="536">
        <f>IFERROR(IF('Invullen groen'!E103&gt;0,'Invullen groen'!C103,""),"")</f>
        <v/>
      </c>
      <c r="D90" s="536">
        <f>IFERROR(IF('Invullen groen'!E103&gt;0,'Invullen groen'!D103,""),"")</f>
        <v/>
      </c>
      <c r="E90" s="536">
        <f>IFERROR(IF('Invullen groen'!E103&gt;0,'Invullen groen'!G103,""),"")</f>
        <v/>
      </c>
      <c r="F90" s="537">
        <f>IFERROR(IF('Invullen groen'!H103&lt;&gt;0,'Invullen groen'!H103,""),"")</f>
        <v/>
      </c>
      <c r="G90" s="537">
        <f>IFERROR(IF('Invullen groen'!I103&lt;&gt;0,'Invullen groen'!I103,""),"")</f>
        <v/>
      </c>
      <c r="H90" s="537">
        <f>IFERROR(IF('Invullen groen'!J103&lt;&gt;0,'Invullen groen'!J103,""),"")</f>
        <v/>
      </c>
      <c r="I90" s="537">
        <f>IFERROR(IF('Invullen groen'!K103&lt;&gt;0,'Invullen groen'!K103,""),"")</f>
        <v/>
      </c>
    </row>
    <row r="91" ht="15" customHeight="1">
      <c r="A91" s="534">
        <f>IFERROR(IF('Invullen groen'!E104&gt;0,104-17,""),"")</f>
        <v/>
      </c>
      <c r="B91" s="534">
        <f>IFERROR(IF('Invullen groen'!E104&gt;0,'Invullen groen'!A104,""),"")</f>
        <v/>
      </c>
      <c r="C91" s="534">
        <f>IFERROR(IF('Invullen groen'!E104&gt;0,'Invullen groen'!C104,""),"")</f>
        <v/>
      </c>
      <c r="D91" s="534">
        <f>IFERROR(IF('Invullen groen'!E104&gt;0,'Invullen groen'!D104,""),"")</f>
        <v/>
      </c>
      <c r="E91" s="534">
        <f>IFERROR(IF('Invullen groen'!E104&gt;0,'Invullen groen'!G104,""),"")</f>
        <v/>
      </c>
      <c r="F91" s="535">
        <f>IFERROR(IF('Invullen groen'!H104&lt;&gt;0,'Invullen groen'!H104,""),"")</f>
        <v/>
      </c>
      <c r="G91" s="535">
        <f>IFERROR(IF('Invullen groen'!I104&lt;&gt;0,'Invullen groen'!I104,""),"")</f>
        <v/>
      </c>
      <c r="H91" s="535">
        <f>IFERROR(IF('Invullen groen'!J104&lt;&gt;0,'Invullen groen'!J104,""),"")</f>
        <v/>
      </c>
      <c r="I91" s="535">
        <f>IFERROR(IF('Invullen groen'!K104&lt;&gt;0,'Invullen groen'!K104,""),"")</f>
        <v/>
      </c>
    </row>
    <row r="92" ht="15" customHeight="1">
      <c r="A92" s="536">
        <f>IFERROR(IF('Invullen groen'!E105&gt;0,105-17,""),"")</f>
        <v/>
      </c>
      <c r="B92" s="536">
        <f>IFERROR(IF('Invullen groen'!E105&gt;0,'Invullen groen'!A105,""),"")</f>
        <v/>
      </c>
      <c r="C92" s="536">
        <f>IFERROR(IF('Invullen groen'!E105&gt;0,'Invullen groen'!C105,""),"")</f>
        <v/>
      </c>
      <c r="D92" s="536">
        <f>IFERROR(IF('Invullen groen'!E105&gt;0,'Invullen groen'!D105,""),"")</f>
        <v/>
      </c>
      <c r="E92" s="536">
        <f>IFERROR(IF('Invullen groen'!E105&gt;0,'Invullen groen'!G105,""),"")</f>
        <v/>
      </c>
      <c r="F92" s="537">
        <f>IFERROR(IF('Invullen groen'!H105&lt;&gt;0,'Invullen groen'!H105,""),"")</f>
        <v/>
      </c>
      <c r="G92" s="537">
        <f>IFERROR(IF('Invullen groen'!I105&lt;&gt;0,'Invullen groen'!I105,""),"")</f>
        <v/>
      </c>
      <c r="H92" s="537">
        <f>IFERROR(IF('Invullen groen'!J105&lt;&gt;0,'Invullen groen'!J105,""),"")</f>
        <v/>
      </c>
      <c r="I92" s="537">
        <f>IFERROR(IF('Invullen groen'!K105&lt;&gt;0,'Invullen groen'!K105,""),"")</f>
        <v/>
      </c>
    </row>
    <row r="93" ht="15" customHeight="1">
      <c r="A93" s="534">
        <f>IFERROR(IF('Invullen groen'!E106&gt;0,106-17,""),"")</f>
        <v/>
      </c>
      <c r="B93" s="534">
        <f>IFERROR(IF('Invullen groen'!E106&gt;0,'Invullen groen'!A106,""),"")</f>
        <v/>
      </c>
      <c r="C93" s="534">
        <f>IFERROR(IF('Invullen groen'!E106&gt;0,'Invullen groen'!C106,""),"")</f>
        <v/>
      </c>
      <c r="D93" s="534">
        <f>IFERROR(IF('Invullen groen'!E106&gt;0,'Invullen groen'!D106,""),"")</f>
        <v/>
      </c>
      <c r="E93" s="534">
        <f>IFERROR(IF('Invullen groen'!E106&gt;0,'Invullen groen'!G106,""),"")</f>
        <v/>
      </c>
      <c r="F93" s="535">
        <f>IFERROR(IF('Invullen groen'!H106&lt;&gt;0,'Invullen groen'!H106,""),"")</f>
        <v/>
      </c>
      <c r="G93" s="535">
        <f>IFERROR(IF('Invullen groen'!I106&lt;&gt;0,'Invullen groen'!I106,""),"")</f>
        <v/>
      </c>
      <c r="H93" s="535">
        <f>IFERROR(IF('Invullen groen'!J106&lt;&gt;0,'Invullen groen'!J106,""),"")</f>
        <v/>
      </c>
      <c r="I93" s="535">
        <f>IFERROR(IF('Invullen groen'!K106&lt;&gt;0,'Invullen groen'!K106,""),"")</f>
        <v/>
      </c>
    </row>
    <row r="94" ht="15" customHeight="1">
      <c r="A94" s="536">
        <f>IFERROR(IF('Invullen groen'!E107&gt;0,107-17,""),"")</f>
        <v/>
      </c>
      <c r="B94" s="536">
        <f>IFERROR(IF('Invullen groen'!E107&gt;0,'Invullen groen'!A107,""),"")</f>
        <v/>
      </c>
      <c r="C94" s="536">
        <f>IFERROR(IF('Invullen groen'!E107&gt;0,'Invullen groen'!C107,""),"")</f>
        <v/>
      </c>
      <c r="D94" s="536">
        <f>IFERROR(IF('Invullen groen'!E107&gt;0,'Invullen groen'!D107,""),"")</f>
        <v/>
      </c>
      <c r="E94" s="536">
        <f>IFERROR(IF('Invullen groen'!E107&gt;0,'Invullen groen'!G107,""),"")</f>
        <v/>
      </c>
      <c r="F94" s="537">
        <f>IFERROR(IF('Invullen groen'!H107&lt;&gt;0,'Invullen groen'!H107,""),"")</f>
        <v/>
      </c>
      <c r="G94" s="537">
        <f>IFERROR(IF('Invullen groen'!I107&lt;&gt;0,'Invullen groen'!I107,""),"")</f>
        <v/>
      </c>
      <c r="H94" s="537">
        <f>IFERROR(IF('Invullen groen'!J107&lt;&gt;0,'Invullen groen'!J107,""),"")</f>
        <v/>
      </c>
      <c r="I94" s="537">
        <f>IFERROR(IF('Invullen groen'!K107&lt;&gt;0,'Invullen groen'!K107,""),"")</f>
        <v/>
      </c>
    </row>
    <row r="95" ht="15" customHeight="1">
      <c r="A95" s="534">
        <f>IFERROR(IF('Invullen groen'!E108&gt;0,108-17,""),"")</f>
        <v/>
      </c>
      <c r="B95" s="534">
        <f>IFERROR(IF('Invullen groen'!E108&gt;0,'Invullen groen'!A108,""),"")</f>
        <v/>
      </c>
      <c r="C95" s="534">
        <f>IFERROR(IF('Invullen groen'!E108&gt;0,'Invullen groen'!C108,""),"")</f>
        <v/>
      </c>
      <c r="D95" s="534">
        <f>IFERROR(IF('Invullen groen'!E108&gt;0,'Invullen groen'!D108,""),"")</f>
        <v/>
      </c>
      <c r="E95" s="534">
        <f>IFERROR(IF('Invullen groen'!E108&gt;0,'Invullen groen'!G108,""),"")</f>
        <v/>
      </c>
      <c r="F95" s="535">
        <f>IFERROR(IF('Invullen groen'!H108&lt;&gt;0,'Invullen groen'!H108,""),"")</f>
        <v/>
      </c>
      <c r="G95" s="535">
        <f>IFERROR(IF('Invullen groen'!I108&lt;&gt;0,'Invullen groen'!I108,""),"")</f>
        <v/>
      </c>
      <c r="H95" s="535">
        <f>IFERROR(IF('Invullen groen'!J108&lt;&gt;0,'Invullen groen'!J108,""),"")</f>
        <v/>
      </c>
      <c r="I95" s="535">
        <f>IFERROR(IF('Invullen groen'!K108&lt;&gt;0,'Invullen groen'!K108,""),"")</f>
        <v/>
      </c>
    </row>
    <row r="96" ht="15" customHeight="1">
      <c r="A96" s="536">
        <f>IFERROR(IF('Invullen groen'!E109&gt;0,109-17,""),"")</f>
        <v/>
      </c>
      <c r="B96" s="536">
        <f>IFERROR(IF('Invullen groen'!E109&gt;0,'Invullen groen'!A109,""),"")</f>
        <v/>
      </c>
      <c r="C96" s="536">
        <f>IFERROR(IF('Invullen groen'!E109&gt;0,'Invullen groen'!C109,""),"")</f>
        <v/>
      </c>
      <c r="D96" s="536">
        <f>IFERROR(IF('Invullen groen'!E109&gt;0,'Invullen groen'!D109,""),"")</f>
        <v/>
      </c>
      <c r="E96" s="536">
        <f>IFERROR(IF('Invullen groen'!E109&gt;0,'Invullen groen'!G109,""),"")</f>
        <v/>
      </c>
      <c r="F96" s="537">
        <f>IFERROR(IF('Invullen groen'!H109&lt;&gt;0,'Invullen groen'!H109,""),"")</f>
        <v/>
      </c>
      <c r="G96" s="537">
        <f>IFERROR(IF('Invullen groen'!I109&lt;&gt;0,'Invullen groen'!I109,""),"")</f>
        <v/>
      </c>
      <c r="H96" s="537">
        <f>IFERROR(IF('Invullen groen'!J109&lt;&gt;0,'Invullen groen'!J109,""),"")</f>
        <v/>
      </c>
      <c r="I96" s="537">
        <f>IFERROR(IF('Invullen groen'!K109&lt;&gt;0,'Invullen groen'!K109,""),"")</f>
        <v/>
      </c>
    </row>
    <row r="97" ht="15" customHeight="1">
      <c r="A97" s="534">
        <f>IFERROR(IF('Invullen groen'!E110&gt;0,110-17,""),"")</f>
        <v/>
      </c>
      <c r="B97" s="534">
        <f>IFERROR(IF('Invullen groen'!E110&gt;0,'Invullen groen'!A110,""),"")</f>
        <v/>
      </c>
      <c r="C97" s="534">
        <f>IFERROR(IF('Invullen groen'!E110&gt;0,'Invullen groen'!C110,""),"")</f>
        <v/>
      </c>
      <c r="D97" s="534">
        <f>IFERROR(IF('Invullen groen'!E110&gt;0,'Invullen groen'!D110,""),"")</f>
        <v/>
      </c>
      <c r="E97" s="534">
        <f>IFERROR(IF('Invullen groen'!E110&gt;0,'Invullen groen'!G110,""),"")</f>
        <v/>
      </c>
      <c r="F97" s="535">
        <f>IFERROR(IF('Invullen groen'!H110&lt;&gt;0,'Invullen groen'!H110,""),"")</f>
        <v/>
      </c>
      <c r="G97" s="535">
        <f>IFERROR(IF('Invullen groen'!I110&lt;&gt;0,'Invullen groen'!I110,""),"")</f>
        <v/>
      </c>
      <c r="H97" s="535">
        <f>IFERROR(IF('Invullen groen'!J110&lt;&gt;0,'Invullen groen'!J110,""),"")</f>
        <v/>
      </c>
      <c r="I97" s="535">
        <f>IFERROR(IF('Invullen groen'!K110&lt;&gt;0,'Invullen groen'!K110,""),"")</f>
        <v/>
      </c>
    </row>
    <row r="98" ht="15" customHeight="1">
      <c r="A98" s="536">
        <f>IFERROR(IF('Invullen groen'!E111&gt;0,111-17,""),"")</f>
        <v/>
      </c>
      <c r="B98" s="536">
        <f>IFERROR(IF('Invullen groen'!E111&gt;0,'Invullen groen'!A111,""),"")</f>
        <v/>
      </c>
      <c r="C98" s="536">
        <f>IFERROR(IF('Invullen groen'!E111&gt;0,'Invullen groen'!C111,""),"")</f>
        <v/>
      </c>
      <c r="D98" s="536">
        <f>IFERROR(IF('Invullen groen'!E111&gt;0,'Invullen groen'!D111,""),"")</f>
        <v/>
      </c>
      <c r="E98" s="536">
        <f>IFERROR(IF('Invullen groen'!E111&gt;0,'Invullen groen'!G111,""),"")</f>
        <v/>
      </c>
      <c r="F98" s="537">
        <f>IFERROR(IF('Invullen groen'!H111&lt;&gt;0,'Invullen groen'!H111,""),"")</f>
        <v/>
      </c>
      <c r="G98" s="537">
        <f>IFERROR(IF('Invullen groen'!I111&lt;&gt;0,'Invullen groen'!I111,""),"")</f>
        <v/>
      </c>
      <c r="H98" s="537">
        <f>IFERROR(IF('Invullen groen'!J111&lt;&gt;0,'Invullen groen'!J111,""),"")</f>
        <v/>
      </c>
      <c r="I98" s="537">
        <f>IFERROR(IF('Invullen groen'!K111&lt;&gt;0,'Invullen groen'!K111,""),"")</f>
        <v/>
      </c>
    </row>
    <row r="99" ht="15" customHeight="1">
      <c r="A99" s="534">
        <f>IFERROR(IF('Invullen groen'!E112&gt;0,112-17,""),"")</f>
        <v/>
      </c>
      <c r="B99" s="534">
        <f>IFERROR(IF('Invullen groen'!E112&gt;0,'Invullen groen'!A112,""),"")</f>
        <v/>
      </c>
      <c r="C99" s="534">
        <f>IFERROR(IF('Invullen groen'!E112&gt;0,'Invullen groen'!C112,""),"")</f>
        <v/>
      </c>
      <c r="D99" s="534">
        <f>IFERROR(IF('Invullen groen'!E112&gt;0,'Invullen groen'!D112,""),"")</f>
        <v/>
      </c>
      <c r="E99" s="534">
        <f>IFERROR(IF('Invullen groen'!E112&gt;0,'Invullen groen'!G112,""),"")</f>
        <v/>
      </c>
      <c r="F99" s="535">
        <f>IFERROR(IF('Invullen groen'!H112&lt;&gt;0,'Invullen groen'!H112,""),"")</f>
        <v/>
      </c>
      <c r="G99" s="535">
        <f>IFERROR(IF('Invullen groen'!I112&lt;&gt;0,'Invullen groen'!I112,""),"")</f>
        <v/>
      </c>
      <c r="H99" s="535">
        <f>IFERROR(IF('Invullen groen'!J112&lt;&gt;0,'Invullen groen'!J112,""),"")</f>
        <v/>
      </c>
      <c r="I99" s="535">
        <f>IFERROR(IF('Invullen groen'!K112&lt;&gt;0,'Invullen groen'!K112,""),"")</f>
        <v/>
      </c>
    </row>
    <row r="100" ht="15" customHeight="1">
      <c r="A100" s="536">
        <f>IFERROR(IF('Invullen groen'!E113&gt;0,113-17,""),"")</f>
        <v/>
      </c>
      <c r="B100" s="536">
        <f>IFERROR(IF('Invullen groen'!E113&gt;0,'Invullen groen'!A113,""),"")</f>
        <v/>
      </c>
      <c r="C100" s="536">
        <f>IFERROR(IF('Invullen groen'!E113&gt;0,'Invullen groen'!C113,""),"")</f>
        <v/>
      </c>
      <c r="D100" s="536">
        <f>IFERROR(IF('Invullen groen'!E113&gt;0,'Invullen groen'!D113,""),"")</f>
        <v/>
      </c>
      <c r="E100" s="536">
        <f>IFERROR(IF('Invullen groen'!E113&gt;0,'Invullen groen'!G113,""),"")</f>
        <v/>
      </c>
      <c r="F100" s="537">
        <f>IFERROR(IF('Invullen groen'!H113&lt;&gt;0,'Invullen groen'!H113,""),"")</f>
        <v/>
      </c>
      <c r="G100" s="537">
        <f>IFERROR(IF('Invullen groen'!I113&lt;&gt;0,'Invullen groen'!I113,""),"")</f>
        <v/>
      </c>
      <c r="H100" s="537">
        <f>IFERROR(IF('Invullen groen'!J113&lt;&gt;0,'Invullen groen'!J113,""),"")</f>
        <v/>
      </c>
      <c r="I100" s="537">
        <f>IFERROR(IF('Invullen groen'!K113&lt;&gt;0,'Invullen groen'!K113,""),"")</f>
        <v/>
      </c>
    </row>
    <row r="101" ht="15" customHeight="1">
      <c r="A101" s="534">
        <f>IFERROR(IF('Invullen groen'!E114&gt;0,114-17,""),"")</f>
        <v/>
      </c>
      <c r="B101" s="534">
        <f>IFERROR(IF('Invullen groen'!E114&gt;0,'Invullen groen'!A114,""),"")</f>
        <v/>
      </c>
      <c r="C101" s="534">
        <f>IFERROR(IF('Invullen groen'!E114&gt;0,'Invullen groen'!C114,""),"")</f>
        <v/>
      </c>
      <c r="D101" s="534">
        <f>IFERROR(IF('Invullen groen'!E114&gt;0,'Invullen groen'!D114,""),"")</f>
        <v/>
      </c>
      <c r="E101" s="534">
        <f>IFERROR(IF('Invullen groen'!E114&gt;0,'Invullen groen'!G114,""),"")</f>
        <v/>
      </c>
      <c r="F101" s="535">
        <f>IFERROR(IF('Invullen groen'!H114&lt;&gt;0,'Invullen groen'!H114,""),"")</f>
        <v/>
      </c>
      <c r="G101" s="535">
        <f>IFERROR(IF('Invullen groen'!I114&lt;&gt;0,'Invullen groen'!I114,""),"")</f>
        <v/>
      </c>
      <c r="H101" s="535">
        <f>IFERROR(IF('Invullen groen'!J114&lt;&gt;0,'Invullen groen'!J114,""),"")</f>
        <v/>
      </c>
      <c r="I101" s="535">
        <f>IFERROR(IF('Invullen groen'!K114&lt;&gt;0,'Invullen groen'!K114,""),"")</f>
        <v/>
      </c>
    </row>
    <row r="102" ht="15" customHeight="1">
      <c r="A102" s="536">
        <f>IFERROR(IF('Invullen groen'!E115&gt;0,115-17,""),"")</f>
        <v/>
      </c>
      <c r="B102" s="536">
        <f>IFERROR(IF('Invullen groen'!E115&gt;0,'Invullen groen'!A115,""),"")</f>
        <v/>
      </c>
      <c r="C102" s="536">
        <f>IFERROR(IF('Invullen groen'!E115&gt;0,'Invullen groen'!C115,""),"")</f>
        <v/>
      </c>
      <c r="D102" s="536">
        <f>IFERROR(IF('Invullen groen'!E115&gt;0,'Invullen groen'!D115,""),"")</f>
        <v/>
      </c>
      <c r="E102" s="536">
        <f>IFERROR(IF('Invullen groen'!E115&gt;0,'Invullen groen'!G115,""),"")</f>
        <v/>
      </c>
      <c r="F102" s="537">
        <f>IFERROR(IF('Invullen groen'!H115&lt;&gt;0,'Invullen groen'!H115,""),"")</f>
        <v/>
      </c>
      <c r="G102" s="537">
        <f>IFERROR(IF('Invullen groen'!I115&lt;&gt;0,'Invullen groen'!I115,""),"")</f>
        <v/>
      </c>
      <c r="H102" s="537">
        <f>IFERROR(IF('Invullen groen'!J115&lt;&gt;0,'Invullen groen'!J115,""),"")</f>
        <v/>
      </c>
      <c r="I102" s="537">
        <f>IFERROR(IF('Invullen groen'!K115&lt;&gt;0,'Invullen groen'!K115,""),"")</f>
        <v/>
      </c>
    </row>
    <row r="103" ht="15" customHeight="1">
      <c r="A103" s="534">
        <f>IFERROR(IF('Invullen groen'!E116&gt;0,116-17,""),"")</f>
        <v/>
      </c>
      <c r="B103" s="534">
        <f>IFERROR(IF('Invullen groen'!E116&gt;0,'Invullen groen'!A116,""),"")</f>
        <v/>
      </c>
      <c r="C103" s="534">
        <f>IFERROR(IF('Invullen groen'!E116&gt;0,'Invullen groen'!C116,""),"")</f>
        <v/>
      </c>
      <c r="D103" s="534">
        <f>IFERROR(IF('Invullen groen'!E116&gt;0,'Invullen groen'!D116,""),"")</f>
        <v/>
      </c>
      <c r="E103" s="534">
        <f>IFERROR(IF('Invullen groen'!E116&gt;0,'Invullen groen'!G116,""),"")</f>
        <v/>
      </c>
      <c r="F103" s="535">
        <f>IFERROR(IF('Invullen groen'!H116&lt;&gt;0,'Invullen groen'!H116,""),"")</f>
        <v/>
      </c>
      <c r="G103" s="535">
        <f>IFERROR(IF('Invullen groen'!I116&lt;&gt;0,'Invullen groen'!I116,""),"")</f>
        <v/>
      </c>
      <c r="H103" s="535">
        <f>IFERROR(IF('Invullen groen'!J116&lt;&gt;0,'Invullen groen'!J116,""),"")</f>
        <v/>
      </c>
      <c r="I103" s="535">
        <f>IFERROR(IF('Invullen groen'!K116&lt;&gt;0,'Invullen groen'!K116,""),"")</f>
        <v/>
      </c>
    </row>
    <row r="104" ht="15" customHeight="1">
      <c r="A104" s="536">
        <f>IFERROR(IF('Invullen groen'!E117&gt;0,117-17,""),"")</f>
        <v/>
      </c>
      <c r="B104" s="536">
        <f>IFERROR(IF('Invullen groen'!E117&gt;0,'Invullen groen'!A117,""),"")</f>
        <v/>
      </c>
      <c r="C104" s="536">
        <f>IFERROR(IF('Invullen groen'!E117&gt;0,'Invullen groen'!C117,""),"")</f>
        <v/>
      </c>
      <c r="D104" s="536">
        <f>IFERROR(IF('Invullen groen'!E117&gt;0,'Invullen groen'!D117,""),"")</f>
        <v/>
      </c>
      <c r="E104" s="536">
        <f>IFERROR(IF('Invullen groen'!E117&gt;0,'Invullen groen'!G117,""),"")</f>
        <v/>
      </c>
      <c r="F104" s="537">
        <f>IFERROR(IF('Invullen groen'!H117&lt;&gt;0,'Invullen groen'!H117,""),"")</f>
        <v/>
      </c>
      <c r="G104" s="537">
        <f>IFERROR(IF('Invullen groen'!I117&lt;&gt;0,'Invullen groen'!I117,""),"")</f>
        <v/>
      </c>
      <c r="H104" s="537">
        <f>IFERROR(IF('Invullen groen'!J117&lt;&gt;0,'Invullen groen'!J117,""),"")</f>
        <v/>
      </c>
      <c r="I104" s="537">
        <f>IFERROR(IF('Invullen groen'!K117&lt;&gt;0,'Invullen groen'!K117,""),"")</f>
        <v/>
      </c>
    </row>
    <row r="105" ht="15" customHeight="1">
      <c r="A105" s="534">
        <f>IFERROR(IF('Invullen groen'!E118&gt;0,118-17,""),"")</f>
        <v/>
      </c>
      <c r="B105" s="534">
        <f>IFERROR(IF('Invullen groen'!E118&gt;0,'Invullen groen'!A118,""),"")</f>
        <v/>
      </c>
      <c r="C105" s="534">
        <f>IFERROR(IF('Invullen groen'!E118&gt;0,'Invullen groen'!C118,""),"")</f>
        <v/>
      </c>
      <c r="D105" s="534">
        <f>IFERROR(IF('Invullen groen'!E118&gt;0,'Invullen groen'!D118,""),"")</f>
        <v/>
      </c>
      <c r="E105" s="534">
        <f>IFERROR(IF('Invullen groen'!E118&gt;0,'Invullen groen'!G118,""),"")</f>
        <v/>
      </c>
      <c r="F105" s="535">
        <f>IFERROR(IF('Invullen groen'!H118&lt;&gt;0,'Invullen groen'!H118,""),"")</f>
        <v/>
      </c>
      <c r="G105" s="535">
        <f>IFERROR(IF('Invullen groen'!I118&lt;&gt;0,'Invullen groen'!I118,""),"")</f>
        <v/>
      </c>
      <c r="H105" s="535">
        <f>IFERROR(IF('Invullen groen'!J118&lt;&gt;0,'Invullen groen'!J118,""),"")</f>
        <v/>
      </c>
      <c r="I105" s="535">
        <f>IFERROR(IF('Invullen groen'!K118&lt;&gt;0,'Invullen groen'!K118,""),"")</f>
        <v/>
      </c>
    </row>
    <row r="106" ht="15" customHeight="1">
      <c r="A106" s="536">
        <f>IFERROR(IF('Invullen groen'!E119&gt;0,119-17,""),"")</f>
        <v/>
      </c>
      <c r="B106" s="536">
        <f>IFERROR(IF('Invullen groen'!E119&gt;0,'Invullen groen'!A119,""),"")</f>
        <v/>
      </c>
      <c r="C106" s="536">
        <f>IFERROR(IF('Invullen groen'!E119&gt;0,'Invullen groen'!C119,""),"")</f>
        <v/>
      </c>
      <c r="D106" s="536">
        <f>IFERROR(IF('Invullen groen'!E119&gt;0,'Invullen groen'!D119,""),"")</f>
        <v/>
      </c>
      <c r="E106" s="536">
        <f>IFERROR(IF('Invullen groen'!E119&gt;0,'Invullen groen'!G119,""),"")</f>
        <v/>
      </c>
      <c r="F106" s="537">
        <f>IFERROR(IF('Invullen groen'!H119&lt;&gt;0,'Invullen groen'!H119,""),"")</f>
        <v/>
      </c>
      <c r="G106" s="537">
        <f>IFERROR(IF('Invullen groen'!I119&lt;&gt;0,'Invullen groen'!I119,""),"")</f>
        <v/>
      </c>
      <c r="H106" s="537">
        <f>IFERROR(IF('Invullen groen'!J119&lt;&gt;0,'Invullen groen'!J119,""),"")</f>
        <v/>
      </c>
      <c r="I106" s="537">
        <f>IFERROR(IF('Invullen groen'!K119&lt;&gt;0,'Invullen groen'!K119,""),"")</f>
        <v/>
      </c>
    </row>
    <row r="107" ht="15" customHeight="1">
      <c r="A107" s="534">
        <f>IFERROR(IF('Invullen groen'!E120&gt;0,120-17,""),"")</f>
        <v/>
      </c>
      <c r="B107" s="534">
        <f>IFERROR(IF('Invullen groen'!E120&gt;0,'Invullen groen'!A120,""),"")</f>
        <v/>
      </c>
      <c r="C107" s="534">
        <f>IFERROR(IF('Invullen groen'!E120&gt;0,'Invullen groen'!C120,""),"")</f>
        <v/>
      </c>
      <c r="D107" s="534">
        <f>IFERROR(IF('Invullen groen'!E120&gt;0,'Invullen groen'!D120,""),"")</f>
        <v/>
      </c>
      <c r="E107" s="534">
        <f>IFERROR(IF('Invullen groen'!E120&gt;0,'Invullen groen'!G120,""),"")</f>
        <v/>
      </c>
      <c r="F107" s="535">
        <f>IFERROR(IF('Invullen groen'!H120&lt;&gt;0,'Invullen groen'!H120,""),"")</f>
        <v/>
      </c>
      <c r="G107" s="535">
        <f>IFERROR(IF('Invullen groen'!I120&lt;&gt;0,'Invullen groen'!I120,""),"")</f>
        <v/>
      </c>
      <c r="H107" s="535">
        <f>IFERROR(IF('Invullen groen'!J120&lt;&gt;0,'Invullen groen'!J120,""),"")</f>
        <v/>
      </c>
      <c r="I107" s="535">
        <f>IFERROR(IF('Invullen groen'!K120&lt;&gt;0,'Invullen groen'!K120,""),"")</f>
        <v/>
      </c>
    </row>
    <row r="108" ht="15" customHeight="1">
      <c r="A108" s="536">
        <f>IFERROR(IF('Invullen groen'!E121&gt;0,121-17,""),"")</f>
        <v/>
      </c>
      <c r="B108" s="536">
        <f>IFERROR(IF('Invullen groen'!E121&gt;0,'Invullen groen'!A121,""),"")</f>
        <v/>
      </c>
      <c r="C108" s="536">
        <f>IFERROR(IF('Invullen groen'!E121&gt;0,'Invullen groen'!C121,""),"")</f>
        <v/>
      </c>
      <c r="D108" s="536">
        <f>IFERROR(IF('Invullen groen'!E121&gt;0,'Invullen groen'!D121,""),"")</f>
        <v/>
      </c>
      <c r="E108" s="536">
        <f>IFERROR(IF('Invullen groen'!E121&gt;0,'Invullen groen'!G121,""),"")</f>
        <v/>
      </c>
      <c r="F108" s="537">
        <f>IFERROR(IF('Invullen groen'!H121&lt;&gt;0,'Invullen groen'!H121,""),"")</f>
        <v/>
      </c>
      <c r="G108" s="537">
        <f>IFERROR(IF('Invullen groen'!I121&lt;&gt;0,'Invullen groen'!I121,""),"")</f>
        <v/>
      </c>
      <c r="H108" s="537">
        <f>IFERROR(IF('Invullen groen'!J121&lt;&gt;0,'Invullen groen'!J121,""),"")</f>
        <v/>
      </c>
      <c r="I108" s="537">
        <f>IFERROR(IF('Invullen groen'!K121&lt;&gt;0,'Invullen groen'!K121,""),"")</f>
        <v/>
      </c>
    </row>
    <row r="109" ht="15" customHeight="1">
      <c r="A109" s="534">
        <f>IFERROR(IF('Invullen groen'!E122&gt;0,122-17,""),"")</f>
        <v/>
      </c>
      <c r="B109" s="534">
        <f>IFERROR(IF('Invullen groen'!E122&gt;0,'Invullen groen'!A122,""),"")</f>
        <v/>
      </c>
      <c r="C109" s="534">
        <f>IFERROR(IF('Invullen groen'!E122&gt;0,'Invullen groen'!C122,""),"")</f>
        <v/>
      </c>
      <c r="D109" s="534">
        <f>IFERROR(IF('Invullen groen'!E122&gt;0,'Invullen groen'!D122,""),"")</f>
        <v/>
      </c>
      <c r="E109" s="534">
        <f>IFERROR(IF('Invullen groen'!E122&gt;0,'Invullen groen'!G122,""),"")</f>
        <v/>
      </c>
      <c r="F109" s="535">
        <f>IFERROR(IF('Invullen groen'!H122&lt;&gt;0,'Invullen groen'!H122,""),"")</f>
        <v/>
      </c>
      <c r="G109" s="535">
        <f>IFERROR(IF('Invullen groen'!I122&lt;&gt;0,'Invullen groen'!I122,""),"")</f>
        <v/>
      </c>
      <c r="H109" s="535">
        <f>IFERROR(IF('Invullen groen'!J122&lt;&gt;0,'Invullen groen'!J122,""),"")</f>
        <v/>
      </c>
      <c r="I109" s="535">
        <f>IFERROR(IF('Invullen groen'!K122&lt;&gt;0,'Invullen groen'!K122,""),"")</f>
        <v/>
      </c>
    </row>
    <row r="110" ht="15" customHeight="1">
      <c r="A110" s="536">
        <f>IFERROR(IF('Invullen groen'!E123&gt;0,123-17,""),"")</f>
        <v/>
      </c>
      <c r="B110" s="536">
        <f>IFERROR(IF('Invullen groen'!E123&gt;0,'Invullen groen'!A123,""),"")</f>
        <v/>
      </c>
      <c r="C110" s="536">
        <f>IFERROR(IF('Invullen groen'!E123&gt;0,'Invullen groen'!C123,""),"")</f>
        <v/>
      </c>
      <c r="D110" s="536">
        <f>IFERROR(IF('Invullen groen'!E123&gt;0,'Invullen groen'!D123,""),"")</f>
        <v/>
      </c>
      <c r="E110" s="536">
        <f>IFERROR(IF('Invullen groen'!E123&gt;0,'Invullen groen'!G123,""),"")</f>
        <v/>
      </c>
      <c r="F110" s="537">
        <f>IFERROR(IF('Invullen groen'!H123&lt;&gt;0,'Invullen groen'!H123,""),"")</f>
        <v/>
      </c>
      <c r="G110" s="537">
        <f>IFERROR(IF('Invullen groen'!I123&lt;&gt;0,'Invullen groen'!I123,""),"")</f>
        <v/>
      </c>
      <c r="H110" s="537">
        <f>IFERROR(IF('Invullen groen'!J123&lt;&gt;0,'Invullen groen'!J123,""),"")</f>
        <v/>
      </c>
      <c r="I110" s="537">
        <f>IFERROR(IF('Invullen groen'!K123&lt;&gt;0,'Invullen groen'!K123,""),"")</f>
        <v/>
      </c>
    </row>
    <row r="111" ht="15" customHeight="1">
      <c r="A111" s="534">
        <f>IFERROR(IF('Invullen groen'!E124&gt;0,124-17,""),"")</f>
        <v/>
      </c>
      <c r="B111" s="534">
        <f>IFERROR(IF('Invullen groen'!E124&gt;0,'Invullen groen'!A124,""),"")</f>
        <v/>
      </c>
      <c r="C111" s="534">
        <f>IFERROR(IF('Invullen groen'!E124&gt;0,'Invullen groen'!C124,""),"")</f>
        <v/>
      </c>
      <c r="D111" s="534">
        <f>IFERROR(IF('Invullen groen'!E124&gt;0,'Invullen groen'!D124,""),"")</f>
        <v/>
      </c>
      <c r="E111" s="534">
        <f>IFERROR(IF('Invullen groen'!E124&gt;0,'Invullen groen'!G124,""),"")</f>
        <v/>
      </c>
      <c r="F111" s="535">
        <f>IFERROR(IF('Invullen groen'!H124&lt;&gt;0,'Invullen groen'!H124,""),"")</f>
        <v/>
      </c>
      <c r="G111" s="535">
        <f>IFERROR(IF('Invullen groen'!I124&lt;&gt;0,'Invullen groen'!I124,""),"")</f>
        <v/>
      </c>
      <c r="H111" s="535">
        <f>IFERROR(IF('Invullen groen'!J124&lt;&gt;0,'Invullen groen'!J124,""),"")</f>
        <v/>
      </c>
      <c r="I111" s="535">
        <f>IFERROR(IF('Invullen groen'!K124&lt;&gt;0,'Invullen groen'!K124,""),"")</f>
        <v/>
      </c>
    </row>
    <row r="112" ht="15" customHeight="1">
      <c r="A112" s="536">
        <f>IFERROR(IF('Invullen groen'!E125&gt;0,125-17,""),"")</f>
        <v/>
      </c>
      <c r="B112" s="536">
        <f>IFERROR(IF('Invullen groen'!E125&gt;0,'Invullen groen'!A125,""),"")</f>
        <v/>
      </c>
      <c r="C112" s="536">
        <f>IFERROR(IF('Invullen groen'!E125&gt;0,'Invullen groen'!C125,""),"")</f>
        <v/>
      </c>
      <c r="D112" s="536">
        <f>IFERROR(IF('Invullen groen'!E125&gt;0,'Invullen groen'!D125,""),"")</f>
        <v/>
      </c>
      <c r="E112" s="536">
        <f>IFERROR(IF('Invullen groen'!E125&gt;0,'Invullen groen'!G125,""),"")</f>
        <v/>
      </c>
      <c r="F112" s="537">
        <f>IFERROR(IF('Invullen groen'!H125&lt;&gt;0,'Invullen groen'!H125,""),"")</f>
        <v/>
      </c>
      <c r="G112" s="537">
        <f>IFERROR(IF('Invullen groen'!I125&lt;&gt;0,'Invullen groen'!I125,""),"")</f>
        <v/>
      </c>
      <c r="H112" s="537">
        <f>IFERROR(IF('Invullen groen'!J125&lt;&gt;0,'Invullen groen'!J125,""),"")</f>
        <v/>
      </c>
      <c r="I112" s="537">
        <f>IFERROR(IF('Invullen groen'!K125&lt;&gt;0,'Invullen groen'!K125,""),"")</f>
        <v/>
      </c>
    </row>
    <row r="113" ht="15" customHeight="1">
      <c r="A113" s="534">
        <f>IFERROR(IF('Invullen groen'!E126&gt;0,126-17,""),"")</f>
        <v/>
      </c>
      <c r="B113" s="534">
        <f>IFERROR(IF('Invullen groen'!E126&gt;0,'Invullen groen'!A126,""),"")</f>
        <v/>
      </c>
      <c r="C113" s="534">
        <f>IFERROR(IF('Invullen groen'!E126&gt;0,'Invullen groen'!C126,""),"")</f>
        <v/>
      </c>
      <c r="D113" s="534">
        <f>IFERROR(IF('Invullen groen'!E126&gt;0,'Invullen groen'!D126,""),"")</f>
        <v/>
      </c>
      <c r="E113" s="534">
        <f>IFERROR(IF('Invullen groen'!E126&gt;0,'Invullen groen'!G126,""),"")</f>
        <v/>
      </c>
      <c r="F113" s="535">
        <f>IFERROR(IF('Invullen groen'!H126&lt;&gt;0,'Invullen groen'!H126,""),"")</f>
        <v/>
      </c>
      <c r="G113" s="535">
        <f>IFERROR(IF('Invullen groen'!I126&lt;&gt;0,'Invullen groen'!I126,""),"")</f>
        <v/>
      </c>
      <c r="H113" s="535">
        <f>IFERROR(IF('Invullen groen'!J126&lt;&gt;0,'Invullen groen'!J126,""),"")</f>
        <v/>
      </c>
      <c r="I113" s="535">
        <f>IFERROR(IF('Invullen groen'!K126&lt;&gt;0,'Invullen groen'!K126,""),"")</f>
        <v/>
      </c>
    </row>
    <row r="114" ht="15" customHeight="1">
      <c r="A114" s="536">
        <f>IFERROR(IF('Invullen groen'!E127&gt;0,127-17,""),"")</f>
        <v/>
      </c>
      <c r="B114" s="536">
        <f>IFERROR(IF('Invullen groen'!E127&gt;0,'Invullen groen'!A127,""),"")</f>
        <v/>
      </c>
      <c r="C114" s="536">
        <f>IFERROR(IF('Invullen groen'!E127&gt;0,'Invullen groen'!C127,""),"")</f>
        <v/>
      </c>
      <c r="D114" s="536">
        <f>IFERROR(IF('Invullen groen'!E127&gt;0,'Invullen groen'!D127,""),"")</f>
        <v/>
      </c>
      <c r="E114" s="536">
        <f>IFERROR(IF('Invullen groen'!E127&gt;0,'Invullen groen'!G127,""),"")</f>
        <v/>
      </c>
      <c r="F114" s="537">
        <f>IFERROR(IF('Invullen groen'!H127&lt;&gt;0,'Invullen groen'!H127,""),"")</f>
        <v/>
      </c>
      <c r="G114" s="537">
        <f>IFERROR(IF('Invullen groen'!I127&lt;&gt;0,'Invullen groen'!I127,""),"")</f>
        <v/>
      </c>
      <c r="H114" s="537">
        <f>IFERROR(IF('Invullen groen'!J127&lt;&gt;0,'Invullen groen'!J127,""),"")</f>
        <v/>
      </c>
      <c r="I114" s="537">
        <f>IFERROR(IF('Invullen groen'!K127&lt;&gt;0,'Invullen groen'!K127,""),"")</f>
        <v/>
      </c>
    </row>
    <row r="115" ht="15" customHeight="1">
      <c r="A115" s="534">
        <f>IFERROR(IF('Invullen groen'!E128&gt;0,128-17,""),"")</f>
        <v/>
      </c>
      <c r="B115" s="534">
        <f>IFERROR(IF('Invullen groen'!E128&gt;0,'Invullen groen'!A128,""),"")</f>
        <v/>
      </c>
      <c r="C115" s="534">
        <f>IFERROR(IF('Invullen groen'!E128&gt;0,'Invullen groen'!C128,""),"")</f>
        <v/>
      </c>
      <c r="D115" s="534">
        <f>IFERROR(IF('Invullen groen'!E128&gt;0,'Invullen groen'!D128,""),"")</f>
        <v/>
      </c>
      <c r="E115" s="534">
        <f>IFERROR(IF('Invullen groen'!E128&gt;0,'Invullen groen'!G128,""),"")</f>
        <v/>
      </c>
      <c r="F115" s="535">
        <f>IFERROR(IF('Invullen groen'!H128&lt;&gt;0,'Invullen groen'!H128,""),"")</f>
        <v/>
      </c>
      <c r="G115" s="535">
        <f>IFERROR(IF('Invullen groen'!I128&lt;&gt;0,'Invullen groen'!I128,""),"")</f>
        <v/>
      </c>
      <c r="H115" s="535">
        <f>IFERROR(IF('Invullen groen'!J128&lt;&gt;0,'Invullen groen'!J128,""),"")</f>
        <v/>
      </c>
      <c r="I115" s="535">
        <f>IFERROR(IF('Invullen groen'!K128&lt;&gt;0,'Invullen groen'!K128,""),"")</f>
        <v/>
      </c>
    </row>
    <row r="116" ht="15" customHeight="1">
      <c r="A116" s="536">
        <f>IFERROR(IF('Invullen groen'!E129&gt;0,129-17,""),"")</f>
        <v/>
      </c>
      <c r="B116" s="536">
        <f>IFERROR(IF('Invullen groen'!E129&gt;0,'Invullen groen'!A129,""),"")</f>
        <v/>
      </c>
      <c r="C116" s="536">
        <f>IFERROR(IF('Invullen groen'!E129&gt;0,'Invullen groen'!C129,""),"")</f>
        <v/>
      </c>
      <c r="D116" s="536">
        <f>IFERROR(IF('Invullen groen'!E129&gt;0,'Invullen groen'!D129,""),"")</f>
        <v/>
      </c>
      <c r="E116" s="536">
        <f>IFERROR(IF('Invullen groen'!E129&gt;0,'Invullen groen'!G129,""),"")</f>
        <v/>
      </c>
      <c r="F116" s="537">
        <f>IFERROR(IF('Invullen groen'!H129&lt;&gt;0,'Invullen groen'!H129,""),"")</f>
        <v/>
      </c>
      <c r="G116" s="537">
        <f>IFERROR(IF('Invullen groen'!I129&lt;&gt;0,'Invullen groen'!I129,""),"")</f>
        <v/>
      </c>
      <c r="H116" s="537">
        <f>IFERROR(IF('Invullen groen'!J129&lt;&gt;0,'Invullen groen'!J129,""),"")</f>
        <v/>
      </c>
      <c r="I116" s="537">
        <f>IFERROR(IF('Invullen groen'!K129&lt;&gt;0,'Invullen groen'!K129,""),"")</f>
        <v/>
      </c>
    </row>
    <row r="117" ht="15" customHeight="1">
      <c r="A117" s="534">
        <f>IFERROR(IF('Invullen groen'!E130&gt;0,130-17,""),"")</f>
        <v/>
      </c>
      <c r="B117" s="534">
        <f>IFERROR(IF('Invullen groen'!E130&gt;0,'Invullen groen'!A130,""),"")</f>
        <v/>
      </c>
      <c r="C117" s="534">
        <f>IFERROR(IF('Invullen groen'!E130&gt;0,'Invullen groen'!C130,""),"")</f>
        <v/>
      </c>
      <c r="D117" s="534">
        <f>IFERROR(IF('Invullen groen'!E130&gt;0,'Invullen groen'!D130,""),"")</f>
        <v/>
      </c>
      <c r="E117" s="534">
        <f>IFERROR(IF('Invullen groen'!E130&gt;0,'Invullen groen'!G130,""),"")</f>
        <v/>
      </c>
      <c r="F117" s="535">
        <f>IFERROR(IF('Invullen groen'!H130&lt;&gt;0,'Invullen groen'!H130,""),"")</f>
        <v/>
      </c>
      <c r="G117" s="535">
        <f>IFERROR(IF('Invullen groen'!I130&lt;&gt;0,'Invullen groen'!I130,""),"")</f>
        <v/>
      </c>
      <c r="H117" s="535">
        <f>IFERROR(IF('Invullen groen'!J130&lt;&gt;0,'Invullen groen'!J130,""),"")</f>
        <v/>
      </c>
      <c r="I117" s="535">
        <f>IFERROR(IF('Invullen groen'!K130&lt;&gt;0,'Invullen groen'!K130,""),"")</f>
        <v/>
      </c>
    </row>
    <row r="118" ht="15" customHeight="1">
      <c r="A118" s="536">
        <f>IFERROR(IF('Invullen groen'!E131&gt;0,131-17,""),"")</f>
        <v/>
      </c>
      <c r="B118" s="536">
        <f>IFERROR(IF('Invullen groen'!E131&gt;0,'Invullen groen'!A131,""),"")</f>
        <v/>
      </c>
      <c r="C118" s="536">
        <f>IFERROR(IF('Invullen groen'!E131&gt;0,'Invullen groen'!C131,""),"")</f>
        <v/>
      </c>
      <c r="D118" s="536">
        <f>IFERROR(IF('Invullen groen'!E131&gt;0,'Invullen groen'!D131,""),"")</f>
        <v/>
      </c>
      <c r="E118" s="536">
        <f>IFERROR(IF('Invullen groen'!E131&gt;0,'Invullen groen'!G131,""),"")</f>
        <v/>
      </c>
      <c r="F118" s="537">
        <f>IFERROR(IF('Invullen groen'!H131&lt;&gt;0,'Invullen groen'!H131,""),"")</f>
        <v/>
      </c>
      <c r="G118" s="537">
        <f>IFERROR(IF('Invullen groen'!I131&lt;&gt;0,'Invullen groen'!I131,""),"")</f>
        <v/>
      </c>
      <c r="H118" s="537">
        <f>IFERROR(IF('Invullen groen'!J131&lt;&gt;0,'Invullen groen'!J131,""),"")</f>
        <v/>
      </c>
      <c r="I118" s="537">
        <f>IFERROR(IF('Invullen groen'!K131&lt;&gt;0,'Invullen groen'!K131,""),"")</f>
        <v/>
      </c>
    </row>
    <row r="119" ht="15" customHeight="1">
      <c r="A119" s="534">
        <f>IFERROR(IF('Invullen groen'!E132&gt;0,132-17,""),"")</f>
        <v/>
      </c>
      <c r="B119" s="534">
        <f>IFERROR(IF('Invullen groen'!E132&gt;0,'Invullen groen'!A132,""),"")</f>
        <v/>
      </c>
      <c r="C119" s="534">
        <f>IFERROR(IF('Invullen groen'!E132&gt;0,'Invullen groen'!C132,""),"")</f>
        <v/>
      </c>
      <c r="D119" s="534">
        <f>IFERROR(IF('Invullen groen'!E132&gt;0,'Invullen groen'!D132,""),"")</f>
        <v/>
      </c>
      <c r="E119" s="534">
        <f>IFERROR(IF('Invullen groen'!E132&gt;0,'Invullen groen'!G132,""),"")</f>
        <v/>
      </c>
      <c r="F119" s="535">
        <f>IFERROR(IF('Invullen groen'!H132&lt;&gt;0,'Invullen groen'!H132,""),"")</f>
        <v/>
      </c>
      <c r="G119" s="535">
        <f>IFERROR(IF('Invullen groen'!I132&lt;&gt;0,'Invullen groen'!I132,""),"")</f>
        <v/>
      </c>
      <c r="H119" s="535">
        <f>IFERROR(IF('Invullen groen'!J132&lt;&gt;0,'Invullen groen'!J132,""),"")</f>
        <v/>
      </c>
      <c r="I119" s="535">
        <f>IFERROR(IF('Invullen groen'!K132&lt;&gt;0,'Invullen groen'!K132,""),"")</f>
        <v/>
      </c>
    </row>
    <row r="120" ht="15" customHeight="1">
      <c r="A120" s="536">
        <f>IFERROR(IF('Invullen groen'!E133&gt;0,133-17,""),"")</f>
        <v/>
      </c>
      <c r="B120" s="536">
        <f>IFERROR(IF('Invullen groen'!E133&gt;0,'Invullen groen'!A133,""),"")</f>
        <v/>
      </c>
      <c r="C120" s="536">
        <f>IFERROR(IF('Invullen groen'!E133&gt;0,'Invullen groen'!C133,""),"")</f>
        <v/>
      </c>
      <c r="D120" s="536">
        <f>IFERROR(IF('Invullen groen'!E133&gt;0,'Invullen groen'!D133,""),"")</f>
        <v/>
      </c>
      <c r="E120" s="536">
        <f>IFERROR(IF('Invullen groen'!E133&gt;0,'Invullen groen'!G133,""),"")</f>
        <v/>
      </c>
      <c r="F120" s="537">
        <f>IFERROR(IF('Invullen groen'!H133&lt;&gt;0,'Invullen groen'!H133,""),"")</f>
        <v/>
      </c>
      <c r="G120" s="537">
        <f>IFERROR(IF('Invullen groen'!I133&lt;&gt;0,'Invullen groen'!I133,""),"")</f>
        <v/>
      </c>
      <c r="H120" s="537">
        <f>IFERROR(IF('Invullen groen'!J133&lt;&gt;0,'Invullen groen'!J133,""),"")</f>
        <v/>
      </c>
      <c r="I120" s="537">
        <f>IFERROR(IF('Invullen groen'!K133&lt;&gt;0,'Invullen groen'!K133,""),"")</f>
        <v/>
      </c>
    </row>
    <row r="121" ht="15" customHeight="1">
      <c r="A121" s="534">
        <f>IFERROR(IF('Invullen groen'!E134&gt;0,134-17,""),"")</f>
        <v/>
      </c>
      <c r="B121" s="534">
        <f>IFERROR(IF('Invullen groen'!E134&gt;0,'Invullen groen'!A134,""),"")</f>
        <v/>
      </c>
      <c r="C121" s="534">
        <f>IFERROR(IF('Invullen groen'!E134&gt;0,'Invullen groen'!C134,""),"")</f>
        <v/>
      </c>
      <c r="D121" s="534">
        <f>IFERROR(IF('Invullen groen'!E134&gt;0,'Invullen groen'!D134,""),"")</f>
        <v/>
      </c>
      <c r="E121" s="534">
        <f>IFERROR(IF('Invullen groen'!E134&gt;0,'Invullen groen'!G134,""),"")</f>
        <v/>
      </c>
      <c r="F121" s="535">
        <f>IFERROR(IF('Invullen groen'!H134&lt;&gt;0,'Invullen groen'!H134,""),"")</f>
        <v/>
      </c>
      <c r="G121" s="535">
        <f>IFERROR(IF('Invullen groen'!I134&lt;&gt;0,'Invullen groen'!I134,""),"")</f>
        <v/>
      </c>
      <c r="H121" s="535">
        <f>IFERROR(IF('Invullen groen'!J134&lt;&gt;0,'Invullen groen'!J134,""),"")</f>
        <v/>
      </c>
      <c r="I121" s="535">
        <f>IFERROR(IF('Invullen groen'!K134&lt;&gt;0,'Invullen groen'!K134,""),"")</f>
        <v/>
      </c>
    </row>
    <row r="122" ht="15" customHeight="1">
      <c r="A122" s="536">
        <f>IFERROR(IF('Invullen groen'!E135&gt;0,135-17,""),"")</f>
        <v/>
      </c>
      <c r="B122" s="536">
        <f>IFERROR(IF('Invullen groen'!E135&gt;0,'Invullen groen'!A135,""),"")</f>
        <v/>
      </c>
      <c r="C122" s="536">
        <f>IFERROR(IF('Invullen groen'!E135&gt;0,'Invullen groen'!C135,""),"")</f>
        <v/>
      </c>
      <c r="D122" s="536">
        <f>IFERROR(IF('Invullen groen'!E135&gt;0,'Invullen groen'!D135,""),"")</f>
        <v/>
      </c>
      <c r="E122" s="536">
        <f>IFERROR(IF('Invullen groen'!E135&gt;0,'Invullen groen'!G135,""),"")</f>
        <v/>
      </c>
      <c r="F122" s="537">
        <f>IFERROR(IF('Invullen groen'!H135&lt;&gt;0,'Invullen groen'!H135,""),"")</f>
        <v/>
      </c>
      <c r="G122" s="537">
        <f>IFERROR(IF('Invullen groen'!I135&lt;&gt;0,'Invullen groen'!I135,""),"")</f>
        <v/>
      </c>
      <c r="H122" s="537">
        <f>IFERROR(IF('Invullen groen'!J135&lt;&gt;0,'Invullen groen'!J135,""),"")</f>
        <v/>
      </c>
      <c r="I122" s="537">
        <f>IFERROR(IF('Invullen groen'!K135&lt;&gt;0,'Invullen groen'!K135,""),"")</f>
        <v/>
      </c>
    </row>
    <row r="123" ht="15" customHeight="1">
      <c r="A123" s="534">
        <f>IFERROR(IF('Invullen groen'!E136&gt;0,136-17,""),"")</f>
        <v/>
      </c>
      <c r="B123" s="534">
        <f>IFERROR(IF('Invullen groen'!E136&gt;0,'Invullen groen'!A136,""),"")</f>
        <v/>
      </c>
      <c r="C123" s="534">
        <f>IFERROR(IF('Invullen groen'!E136&gt;0,'Invullen groen'!C136,""),"")</f>
        <v/>
      </c>
      <c r="D123" s="534">
        <f>IFERROR(IF('Invullen groen'!E136&gt;0,'Invullen groen'!D136,""),"")</f>
        <v/>
      </c>
      <c r="E123" s="534">
        <f>IFERROR(IF('Invullen groen'!E136&gt;0,'Invullen groen'!G136,""),"")</f>
        <v/>
      </c>
      <c r="F123" s="535">
        <f>IFERROR(IF('Invullen groen'!H136&lt;&gt;0,'Invullen groen'!H136,""),"")</f>
        <v/>
      </c>
      <c r="G123" s="535">
        <f>IFERROR(IF('Invullen groen'!I136&lt;&gt;0,'Invullen groen'!I136,""),"")</f>
        <v/>
      </c>
      <c r="H123" s="535">
        <f>IFERROR(IF('Invullen groen'!J136&lt;&gt;0,'Invullen groen'!J136,""),"")</f>
        <v/>
      </c>
      <c r="I123" s="535">
        <f>IFERROR(IF('Invullen groen'!K136&lt;&gt;0,'Invullen groen'!K136,""),"")</f>
        <v/>
      </c>
    </row>
    <row r="124" ht="15" customHeight="1">
      <c r="A124" s="536">
        <f>IFERROR(IF('Invullen groen'!E137&gt;0,137-17,""),"")</f>
        <v/>
      </c>
      <c r="B124" s="536">
        <f>IFERROR(IF('Invullen groen'!E137&gt;0,'Invullen groen'!A137,""),"")</f>
        <v/>
      </c>
      <c r="C124" s="536">
        <f>IFERROR(IF('Invullen groen'!E137&gt;0,'Invullen groen'!C137,""),"")</f>
        <v/>
      </c>
      <c r="D124" s="536">
        <f>IFERROR(IF('Invullen groen'!E137&gt;0,'Invullen groen'!D137,""),"")</f>
        <v/>
      </c>
      <c r="E124" s="536">
        <f>IFERROR(IF('Invullen groen'!E137&gt;0,'Invullen groen'!G137,""),"")</f>
        <v/>
      </c>
      <c r="F124" s="537">
        <f>IFERROR(IF('Invullen groen'!H137&lt;&gt;0,'Invullen groen'!H137,""),"")</f>
        <v/>
      </c>
      <c r="G124" s="537">
        <f>IFERROR(IF('Invullen groen'!I137&lt;&gt;0,'Invullen groen'!I137,""),"")</f>
        <v/>
      </c>
      <c r="H124" s="537">
        <f>IFERROR(IF('Invullen groen'!J137&lt;&gt;0,'Invullen groen'!J137,""),"")</f>
        <v/>
      </c>
      <c r="I124" s="537">
        <f>IFERROR(IF('Invullen groen'!K137&lt;&gt;0,'Invullen groen'!K137,""),"")</f>
        <v/>
      </c>
    </row>
    <row r="125" ht="15" customHeight="1">
      <c r="A125" s="534">
        <f>IFERROR(IF('Invullen groen'!E138&gt;0,138-17,""),"")</f>
        <v/>
      </c>
      <c r="B125" s="534">
        <f>IFERROR(IF('Invullen groen'!E138&gt;0,'Invullen groen'!A138,""),"")</f>
        <v/>
      </c>
      <c r="C125" s="534">
        <f>IFERROR(IF('Invullen groen'!E138&gt;0,'Invullen groen'!C138,""),"")</f>
        <v/>
      </c>
      <c r="D125" s="534">
        <f>IFERROR(IF('Invullen groen'!E138&gt;0,'Invullen groen'!D138,""),"")</f>
        <v/>
      </c>
      <c r="E125" s="534">
        <f>IFERROR(IF('Invullen groen'!E138&gt;0,'Invullen groen'!G138,""),"")</f>
        <v/>
      </c>
      <c r="F125" s="535">
        <f>IFERROR(IF('Invullen groen'!H138&lt;&gt;0,'Invullen groen'!H138,""),"")</f>
        <v/>
      </c>
      <c r="G125" s="535">
        <f>IFERROR(IF('Invullen groen'!I138&lt;&gt;0,'Invullen groen'!I138,""),"")</f>
        <v/>
      </c>
      <c r="H125" s="535">
        <f>IFERROR(IF('Invullen groen'!J138&lt;&gt;0,'Invullen groen'!J138,""),"")</f>
        <v/>
      </c>
      <c r="I125" s="535">
        <f>IFERROR(IF('Invullen groen'!K138&lt;&gt;0,'Invullen groen'!K138,""),"")</f>
        <v/>
      </c>
    </row>
    <row r="126" ht="15" customHeight="1">
      <c r="A126" s="536">
        <f>IFERROR(IF('Invullen groen'!E139&gt;0,139-17,""),"")</f>
        <v/>
      </c>
      <c r="B126" s="536">
        <f>IFERROR(IF('Invullen groen'!E139&gt;0,'Invullen groen'!A139,""),"")</f>
        <v/>
      </c>
      <c r="C126" s="536">
        <f>IFERROR(IF('Invullen groen'!E139&gt;0,'Invullen groen'!C139,""),"")</f>
        <v/>
      </c>
      <c r="D126" s="536">
        <f>IFERROR(IF('Invullen groen'!E139&gt;0,'Invullen groen'!D139,""),"")</f>
        <v/>
      </c>
      <c r="E126" s="536">
        <f>IFERROR(IF('Invullen groen'!E139&gt;0,'Invullen groen'!G139,""),"")</f>
        <v/>
      </c>
      <c r="F126" s="537">
        <f>IFERROR(IF('Invullen groen'!H139&lt;&gt;0,'Invullen groen'!H139,""),"")</f>
        <v/>
      </c>
      <c r="G126" s="537">
        <f>IFERROR(IF('Invullen groen'!I139&lt;&gt;0,'Invullen groen'!I139,""),"")</f>
        <v/>
      </c>
      <c r="H126" s="537">
        <f>IFERROR(IF('Invullen groen'!J139&lt;&gt;0,'Invullen groen'!J139,""),"")</f>
        <v/>
      </c>
      <c r="I126" s="537">
        <f>IFERROR(IF('Invullen groen'!K139&lt;&gt;0,'Invullen groen'!K139,""),"")</f>
        <v/>
      </c>
    </row>
    <row r="127" ht="15" customHeight="1">
      <c r="A127" s="534">
        <f>IFERROR(IF('Invullen groen'!E140&gt;0,140-17,""),"")</f>
        <v/>
      </c>
      <c r="B127" s="534">
        <f>IFERROR(IF('Invullen groen'!E140&gt;0,'Invullen groen'!A140,""),"")</f>
        <v/>
      </c>
      <c r="C127" s="534">
        <f>IFERROR(IF('Invullen groen'!E140&gt;0,'Invullen groen'!C140,""),"")</f>
        <v/>
      </c>
      <c r="D127" s="534">
        <f>IFERROR(IF('Invullen groen'!E140&gt;0,'Invullen groen'!D140,""),"")</f>
        <v/>
      </c>
      <c r="E127" s="534">
        <f>IFERROR(IF('Invullen groen'!E140&gt;0,'Invullen groen'!G140,""),"")</f>
        <v/>
      </c>
      <c r="F127" s="535">
        <f>IFERROR(IF('Invullen groen'!H140&lt;&gt;0,'Invullen groen'!H140,""),"")</f>
        <v/>
      </c>
      <c r="G127" s="535">
        <f>IFERROR(IF('Invullen groen'!I140&lt;&gt;0,'Invullen groen'!I140,""),"")</f>
        <v/>
      </c>
      <c r="H127" s="535">
        <f>IFERROR(IF('Invullen groen'!J140&lt;&gt;0,'Invullen groen'!J140,""),"")</f>
        <v/>
      </c>
      <c r="I127" s="535">
        <f>IFERROR(IF('Invullen groen'!K140&lt;&gt;0,'Invullen groen'!K140,""),"")</f>
        <v/>
      </c>
    </row>
    <row r="128" ht="15" customHeight="1">
      <c r="A128" s="536">
        <f>IFERROR(IF('Invullen groen'!E141&gt;0,141-17,""),"")</f>
        <v/>
      </c>
      <c r="B128" s="536">
        <f>IFERROR(IF('Invullen groen'!E141&gt;0,'Invullen groen'!A141,""),"")</f>
        <v/>
      </c>
      <c r="C128" s="536">
        <f>IFERROR(IF('Invullen groen'!E141&gt;0,'Invullen groen'!C141,""),"")</f>
        <v/>
      </c>
      <c r="D128" s="536">
        <f>IFERROR(IF('Invullen groen'!E141&gt;0,'Invullen groen'!D141,""),"")</f>
        <v/>
      </c>
      <c r="E128" s="536">
        <f>IFERROR(IF('Invullen groen'!E141&gt;0,'Invullen groen'!G141,""),"")</f>
        <v/>
      </c>
      <c r="F128" s="537">
        <f>IFERROR(IF('Invullen groen'!H141&lt;&gt;0,'Invullen groen'!H141,""),"")</f>
        <v/>
      </c>
      <c r="G128" s="537">
        <f>IFERROR(IF('Invullen groen'!I141&lt;&gt;0,'Invullen groen'!I141,""),"")</f>
        <v/>
      </c>
      <c r="H128" s="537">
        <f>IFERROR(IF('Invullen groen'!J141&lt;&gt;0,'Invullen groen'!J141,""),"")</f>
        <v/>
      </c>
      <c r="I128" s="537">
        <f>IFERROR(IF('Invullen groen'!K141&lt;&gt;0,'Invullen groen'!K141,""),"")</f>
        <v/>
      </c>
    </row>
    <row r="129" ht="15" customHeight="1">
      <c r="A129" s="534">
        <f>IFERROR(IF('Invullen groen'!E142&gt;0,142-17,""),"")</f>
        <v/>
      </c>
      <c r="B129" s="534">
        <f>IFERROR(IF('Invullen groen'!E142&gt;0,'Invullen groen'!A142,""),"")</f>
        <v/>
      </c>
      <c r="C129" s="534">
        <f>IFERROR(IF('Invullen groen'!E142&gt;0,'Invullen groen'!C142,""),"")</f>
        <v/>
      </c>
      <c r="D129" s="534">
        <f>IFERROR(IF('Invullen groen'!E142&gt;0,'Invullen groen'!D142,""),"")</f>
        <v/>
      </c>
      <c r="E129" s="534">
        <f>IFERROR(IF('Invullen groen'!E142&gt;0,'Invullen groen'!G142,""),"")</f>
        <v/>
      </c>
      <c r="F129" s="535">
        <f>IFERROR(IF('Invullen groen'!H142&lt;&gt;0,'Invullen groen'!H142,""),"")</f>
        <v/>
      </c>
      <c r="G129" s="535">
        <f>IFERROR(IF('Invullen groen'!I142&lt;&gt;0,'Invullen groen'!I142,""),"")</f>
        <v/>
      </c>
      <c r="H129" s="535">
        <f>IFERROR(IF('Invullen groen'!J142&lt;&gt;0,'Invullen groen'!J142,""),"")</f>
        <v/>
      </c>
      <c r="I129" s="535">
        <f>IFERROR(IF('Invullen groen'!K142&lt;&gt;0,'Invullen groen'!K142,""),"")</f>
        <v/>
      </c>
    </row>
    <row r="130" ht="15" customHeight="1">
      <c r="A130" s="536">
        <f>IFERROR(IF('Invullen groen'!E143&gt;0,143-17,""),"")</f>
        <v/>
      </c>
      <c r="B130" s="536">
        <f>IFERROR(IF('Invullen groen'!E143&gt;0,'Invullen groen'!A143,""),"")</f>
        <v/>
      </c>
      <c r="C130" s="536">
        <f>IFERROR(IF('Invullen groen'!E143&gt;0,'Invullen groen'!C143,""),"")</f>
        <v/>
      </c>
      <c r="D130" s="536">
        <f>IFERROR(IF('Invullen groen'!E143&gt;0,'Invullen groen'!D143,""),"")</f>
        <v/>
      </c>
      <c r="E130" s="536">
        <f>IFERROR(IF('Invullen groen'!E143&gt;0,'Invullen groen'!G143,""),"")</f>
        <v/>
      </c>
      <c r="F130" s="537">
        <f>IFERROR(IF('Invullen groen'!H143&lt;&gt;0,'Invullen groen'!H143,""),"")</f>
        <v/>
      </c>
      <c r="G130" s="537">
        <f>IFERROR(IF('Invullen groen'!I143&lt;&gt;0,'Invullen groen'!I143,""),"")</f>
        <v/>
      </c>
      <c r="H130" s="537">
        <f>IFERROR(IF('Invullen groen'!J143&lt;&gt;0,'Invullen groen'!J143,""),"")</f>
        <v/>
      </c>
      <c r="I130" s="537">
        <f>IFERROR(IF('Invullen groen'!K143&lt;&gt;0,'Invullen groen'!K143,""),"")</f>
        <v/>
      </c>
    </row>
    <row r="131" ht="15" customHeight="1">
      <c r="A131" s="534">
        <f>IFERROR(IF('Invullen groen'!E144&gt;0,144-17,""),"")</f>
        <v/>
      </c>
      <c r="B131" s="534">
        <f>IFERROR(IF('Invullen groen'!E144&gt;0,'Invullen groen'!A144,""),"")</f>
        <v/>
      </c>
      <c r="C131" s="534">
        <f>IFERROR(IF('Invullen groen'!E144&gt;0,'Invullen groen'!C144,""),"")</f>
        <v/>
      </c>
      <c r="D131" s="534">
        <f>IFERROR(IF('Invullen groen'!E144&gt;0,'Invullen groen'!D144,""),"")</f>
        <v/>
      </c>
      <c r="E131" s="534">
        <f>IFERROR(IF('Invullen groen'!E144&gt;0,'Invullen groen'!G144,""),"")</f>
        <v/>
      </c>
      <c r="F131" s="535">
        <f>IFERROR(IF('Invullen groen'!H144&lt;&gt;0,'Invullen groen'!H144,""),"")</f>
        <v/>
      </c>
      <c r="G131" s="535">
        <f>IFERROR(IF('Invullen groen'!I144&lt;&gt;0,'Invullen groen'!I144,""),"")</f>
        <v/>
      </c>
      <c r="H131" s="535">
        <f>IFERROR(IF('Invullen groen'!J144&lt;&gt;0,'Invullen groen'!J144,""),"")</f>
        <v/>
      </c>
      <c r="I131" s="535">
        <f>IFERROR(IF('Invullen groen'!K144&lt;&gt;0,'Invullen groen'!K144,""),"")</f>
        <v/>
      </c>
    </row>
    <row r="132" ht="15" customHeight="1">
      <c r="A132" s="536">
        <f>IFERROR(IF('Invullen groen'!E145&gt;0,145-17,""),"")</f>
        <v/>
      </c>
      <c r="B132" s="536">
        <f>IFERROR(IF('Invullen groen'!E145&gt;0,'Invullen groen'!A145,""),"")</f>
        <v/>
      </c>
      <c r="C132" s="536">
        <f>IFERROR(IF('Invullen groen'!E145&gt;0,'Invullen groen'!C145,""),"")</f>
        <v/>
      </c>
      <c r="D132" s="536">
        <f>IFERROR(IF('Invullen groen'!E145&gt;0,'Invullen groen'!D145,""),"")</f>
        <v/>
      </c>
      <c r="E132" s="536">
        <f>IFERROR(IF('Invullen groen'!E145&gt;0,'Invullen groen'!G145,""),"")</f>
        <v/>
      </c>
      <c r="F132" s="537">
        <f>IFERROR(IF('Invullen groen'!H145&lt;&gt;0,'Invullen groen'!H145,""),"")</f>
        <v/>
      </c>
      <c r="G132" s="537">
        <f>IFERROR(IF('Invullen groen'!I145&lt;&gt;0,'Invullen groen'!I145,""),"")</f>
        <v/>
      </c>
      <c r="H132" s="537">
        <f>IFERROR(IF('Invullen groen'!J145&lt;&gt;0,'Invullen groen'!J145,""),"")</f>
        <v/>
      </c>
      <c r="I132" s="537">
        <f>IFERROR(IF('Invullen groen'!K145&lt;&gt;0,'Invullen groen'!K145,""),"")</f>
        <v/>
      </c>
    </row>
    <row r="133" ht="15" customHeight="1">
      <c r="A133" s="534">
        <f>IFERROR(IF('Invullen groen'!E146&gt;0,146-17,""),"")</f>
        <v/>
      </c>
      <c r="B133" s="534">
        <f>IFERROR(IF('Invullen groen'!E146&gt;0,'Invullen groen'!A146,""),"")</f>
        <v/>
      </c>
      <c r="C133" s="534">
        <f>IFERROR(IF('Invullen groen'!E146&gt;0,'Invullen groen'!C146,""),"")</f>
        <v/>
      </c>
      <c r="D133" s="534">
        <f>IFERROR(IF('Invullen groen'!E146&gt;0,'Invullen groen'!D146,""),"")</f>
        <v/>
      </c>
      <c r="E133" s="534">
        <f>IFERROR(IF('Invullen groen'!E146&gt;0,'Invullen groen'!G146,""),"")</f>
        <v/>
      </c>
      <c r="F133" s="535">
        <f>IFERROR(IF('Invullen groen'!H146&lt;&gt;0,'Invullen groen'!H146,""),"")</f>
        <v/>
      </c>
      <c r="G133" s="535">
        <f>IFERROR(IF('Invullen groen'!I146&lt;&gt;0,'Invullen groen'!I146,""),"")</f>
        <v/>
      </c>
      <c r="H133" s="535">
        <f>IFERROR(IF('Invullen groen'!J146&lt;&gt;0,'Invullen groen'!J146,""),"")</f>
        <v/>
      </c>
      <c r="I133" s="535">
        <f>IFERROR(IF('Invullen groen'!K146&lt;&gt;0,'Invullen groen'!K146,""),"")</f>
        <v/>
      </c>
    </row>
    <row r="134" ht="15" customHeight="1">
      <c r="A134" s="536">
        <f>IFERROR(IF('Invullen groen'!E147&gt;0,147-17,""),"")</f>
        <v/>
      </c>
      <c r="B134" s="536">
        <f>IFERROR(IF('Invullen groen'!E147&gt;0,'Invullen groen'!A147,""),"")</f>
        <v/>
      </c>
      <c r="C134" s="536">
        <f>IFERROR(IF('Invullen groen'!E147&gt;0,'Invullen groen'!C147,""),"")</f>
        <v/>
      </c>
      <c r="D134" s="536">
        <f>IFERROR(IF('Invullen groen'!E147&gt;0,'Invullen groen'!D147,""),"")</f>
        <v/>
      </c>
      <c r="E134" s="536">
        <f>IFERROR(IF('Invullen groen'!E147&gt;0,'Invullen groen'!G147,""),"")</f>
        <v/>
      </c>
      <c r="F134" s="537">
        <f>IFERROR(IF('Invullen groen'!H147&lt;&gt;0,'Invullen groen'!H147,""),"")</f>
        <v/>
      </c>
      <c r="G134" s="537">
        <f>IFERROR(IF('Invullen groen'!I147&lt;&gt;0,'Invullen groen'!I147,""),"")</f>
        <v/>
      </c>
      <c r="H134" s="537">
        <f>IFERROR(IF('Invullen groen'!J147&lt;&gt;0,'Invullen groen'!J147,""),"")</f>
        <v/>
      </c>
      <c r="I134" s="537">
        <f>IFERROR(IF('Invullen groen'!K147&lt;&gt;0,'Invullen groen'!K147,""),"")</f>
        <v/>
      </c>
    </row>
    <row r="135" ht="15" customHeight="1">
      <c r="A135" s="534">
        <f>IFERROR(IF('Invullen groen'!E148&gt;0,148-17,""),"")</f>
        <v/>
      </c>
      <c r="B135" s="534">
        <f>IFERROR(IF('Invullen groen'!E148&gt;0,'Invullen groen'!A148,""),"")</f>
        <v/>
      </c>
      <c r="C135" s="534">
        <f>IFERROR(IF('Invullen groen'!E148&gt;0,'Invullen groen'!C148,""),"")</f>
        <v/>
      </c>
      <c r="D135" s="534">
        <f>IFERROR(IF('Invullen groen'!E148&gt;0,'Invullen groen'!D148,""),"")</f>
        <v/>
      </c>
      <c r="E135" s="534">
        <f>IFERROR(IF('Invullen groen'!E148&gt;0,'Invullen groen'!G148,""),"")</f>
        <v/>
      </c>
      <c r="F135" s="535">
        <f>IFERROR(IF('Invullen groen'!H148&lt;&gt;0,'Invullen groen'!H148,""),"")</f>
        <v/>
      </c>
      <c r="G135" s="535">
        <f>IFERROR(IF('Invullen groen'!I148&lt;&gt;0,'Invullen groen'!I148,""),"")</f>
        <v/>
      </c>
      <c r="H135" s="535">
        <f>IFERROR(IF('Invullen groen'!J148&lt;&gt;0,'Invullen groen'!J148,""),"")</f>
        <v/>
      </c>
      <c r="I135" s="535">
        <f>IFERROR(IF('Invullen groen'!K148&lt;&gt;0,'Invullen groen'!K148,""),"")</f>
        <v/>
      </c>
    </row>
    <row r="136" ht="15" customHeight="1">
      <c r="A136" s="536">
        <f>IFERROR(IF('Invullen groen'!E149&gt;0,149-17,""),"")</f>
        <v/>
      </c>
      <c r="B136" s="536">
        <f>IFERROR(IF('Invullen groen'!E149&gt;0,'Invullen groen'!A149,""),"")</f>
        <v/>
      </c>
      <c r="C136" s="536">
        <f>IFERROR(IF('Invullen groen'!E149&gt;0,'Invullen groen'!C149,""),"")</f>
        <v/>
      </c>
      <c r="D136" s="536">
        <f>IFERROR(IF('Invullen groen'!E149&gt;0,'Invullen groen'!D149,""),"")</f>
        <v/>
      </c>
      <c r="E136" s="536">
        <f>IFERROR(IF('Invullen groen'!E149&gt;0,'Invullen groen'!G149,""),"")</f>
        <v/>
      </c>
      <c r="F136" s="537">
        <f>IFERROR(IF('Invullen groen'!H149&lt;&gt;0,'Invullen groen'!H149,""),"")</f>
        <v/>
      </c>
      <c r="G136" s="537">
        <f>IFERROR(IF('Invullen groen'!I149&lt;&gt;0,'Invullen groen'!I149,""),"")</f>
        <v/>
      </c>
      <c r="H136" s="537">
        <f>IFERROR(IF('Invullen groen'!J149&lt;&gt;0,'Invullen groen'!J149,""),"")</f>
        <v/>
      </c>
      <c r="I136" s="537">
        <f>IFERROR(IF('Invullen groen'!K149&lt;&gt;0,'Invullen groen'!K149,""),"")</f>
        <v/>
      </c>
    </row>
    <row r="137" ht="15" customHeight="1">
      <c r="A137" s="534">
        <f>IFERROR(IF('Invullen groen'!E150&gt;0,150-17,""),"")</f>
        <v/>
      </c>
      <c r="B137" s="534">
        <f>IFERROR(IF('Invullen groen'!E150&gt;0,'Invullen groen'!A150,""),"")</f>
        <v/>
      </c>
      <c r="C137" s="534">
        <f>IFERROR(IF('Invullen groen'!E150&gt;0,'Invullen groen'!C150,""),"")</f>
        <v/>
      </c>
      <c r="D137" s="534">
        <f>IFERROR(IF('Invullen groen'!E150&gt;0,'Invullen groen'!D150,""),"")</f>
        <v/>
      </c>
      <c r="E137" s="534">
        <f>IFERROR(IF('Invullen groen'!E150&gt;0,'Invullen groen'!G150,""),"")</f>
        <v/>
      </c>
      <c r="F137" s="535">
        <f>IFERROR(IF('Invullen groen'!H150&lt;&gt;0,'Invullen groen'!H150,""),"")</f>
        <v/>
      </c>
      <c r="G137" s="535">
        <f>IFERROR(IF('Invullen groen'!I150&lt;&gt;0,'Invullen groen'!I150,""),"")</f>
        <v/>
      </c>
      <c r="H137" s="535">
        <f>IFERROR(IF('Invullen groen'!J150&lt;&gt;0,'Invullen groen'!J150,""),"")</f>
        <v/>
      </c>
      <c r="I137" s="535">
        <f>IFERROR(IF('Invullen groen'!K150&lt;&gt;0,'Invullen groen'!K150,""),"")</f>
        <v/>
      </c>
    </row>
    <row r="138" ht="15" customHeight="1">
      <c r="A138" s="536">
        <f>IFERROR(IF('Invullen groen'!E151&gt;0,151-17,""),"")</f>
        <v/>
      </c>
      <c r="B138" s="536">
        <f>IFERROR(IF('Invullen groen'!E151&gt;0,'Invullen groen'!A151,""),"")</f>
        <v/>
      </c>
      <c r="C138" s="536">
        <f>IFERROR(IF('Invullen groen'!E151&gt;0,'Invullen groen'!C151,""),"")</f>
        <v/>
      </c>
      <c r="D138" s="536">
        <f>IFERROR(IF('Invullen groen'!E151&gt;0,'Invullen groen'!D151,""),"")</f>
        <v/>
      </c>
      <c r="E138" s="536">
        <f>IFERROR(IF('Invullen groen'!E151&gt;0,'Invullen groen'!G151,""),"")</f>
        <v/>
      </c>
      <c r="F138" s="537">
        <f>IFERROR(IF('Invullen groen'!H151&lt;&gt;0,'Invullen groen'!H151,""),"")</f>
        <v/>
      </c>
      <c r="G138" s="537">
        <f>IFERROR(IF('Invullen groen'!I151&lt;&gt;0,'Invullen groen'!I151,""),"")</f>
        <v/>
      </c>
      <c r="H138" s="537">
        <f>IFERROR(IF('Invullen groen'!J151&lt;&gt;0,'Invullen groen'!J151,""),"")</f>
        <v/>
      </c>
      <c r="I138" s="537">
        <f>IFERROR(IF('Invullen groen'!K151&lt;&gt;0,'Invullen groen'!K151,""),"")</f>
        <v/>
      </c>
    </row>
    <row r="139" ht="15" customHeight="1">
      <c r="A139" s="534">
        <f>IFERROR(IF('Invullen groen'!E152&gt;0,152-17,""),"")</f>
        <v/>
      </c>
      <c r="B139" s="534">
        <f>IFERROR(IF('Invullen groen'!E152&gt;0,'Invullen groen'!A152,""),"")</f>
        <v/>
      </c>
      <c r="C139" s="534">
        <f>IFERROR(IF('Invullen groen'!E152&gt;0,'Invullen groen'!C152,""),"")</f>
        <v/>
      </c>
      <c r="D139" s="534">
        <f>IFERROR(IF('Invullen groen'!E152&gt;0,'Invullen groen'!D152,""),"")</f>
        <v/>
      </c>
      <c r="E139" s="534">
        <f>IFERROR(IF('Invullen groen'!E152&gt;0,'Invullen groen'!G152,""),"")</f>
        <v/>
      </c>
      <c r="F139" s="535">
        <f>IFERROR(IF('Invullen groen'!H152&lt;&gt;0,'Invullen groen'!H152,""),"")</f>
        <v/>
      </c>
      <c r="G139" s="535">
        <f>IFERROR(IF('Invullen groen'!I152&lt;&gt;0,'Invullen groen'!I152,""),"")</f>
        <v/>
      </c>
      <c r="H139" s="535">
        <f>IFERROR(IF('Invullen groen'!J152&lt;&gt;0,'Invullen groen'!J152,""),"")</f>
        <v/>
      </c>
      <c r="I139" s="535">
        <f>IFERROR(IF('Invullen groen'!K152&lt;&gt;0,'Invullen groen'!K152,""),"")</f>
        <v/>
      </c>
    </row>
    <row r="140" ht="15" customHeight="1">
      <c r="A140" s="536">
        <f>IFERROR(IF('Invullen groen'!E153&gt;0,153-17,""),"")</f>
        <v/>
      </c>
      <c r="B140" s="536">
        <f>IFERROR(IF('Invullen groen'!E153&gt;0,'Invullen groen'!A153,""),"")</f>
        <v/>
      </c>
      <c r="C140" s="536">
        <f>IFERROR(IF('Invullen groen'!E153&gt;0,'Invullen groen'!C153,""),"")</f>
        <v/>
      </c>
      <c r="D140" s="536">
        <f>IFERROR(IF('Invullen groen'!E153&gt;0,'Invullen groen'!D153,""),"")</f>
        <v/>
      </c>
      <c r="E140" s="536">
        <f>IFERROR(IF('Invullen groen'!E153&gt;0,'Invullen groen'!G153,""),"")</f>
        <v/>
      </c>
      <c r="F140" s="537">
        <f>IFERROR(IF('Invullen groen'!H153&lt;&gt;0,'Invullen groen'!H153,""),"")</f>
        <v/>
      </c>
      <c r="G140" s="537">
        <f>IFERROR(IF('Invullen groen'!I153&lt;&gt;0,'Invullen groen'!I153,""),"")</f>
        <v/>
      </c>
      <c r="H140" s="537">
        <f>IFERROR(IF('Invullen groen'!J153&lt;&gt;0,'Invullen groen'!J153,""),"")</f>
        <v/>
      </c>
      <c r="I140" s="537">
        <f>IFERROR(IF('Invullen groen'!K153&lt;&gt;0,'Invullen groen'!K153,""),"")</f>
        <v/>
      </c>
    </row>
    <row r="141" ht="15" customHeight="1">
      <c r="A141" s="534">
        <f>IFERROR(IF('Invullen groen'!E154&gt;0,154-17,""),"")</f>
        <v/>
      </c>
      <c r="B141" s="534">
        <f>IFERROR(IF('Invullen groen'!E154&gt;0,'Invullen groen'!A154,""),"")</f>
        <v/>
      </c>
      <c r="C141" s="534">
        <f>IFERROR(IF('Invullen groen'!E154&gt;0,'Invullen groen'!C154,""),"")</f>
        <v/>
      </c>
      <c r="D141" s="534">
        <f>IFERROR(IF('Invullen groen'!E154&gt;0,'Invullen groen'!D154,""),"")</f>
        <v/>
      </c>
      <c r="E141" s="534">
        <f>IFERROR(IF('Invullen groen'!E154&gt;0,'Invullen groen'!G154,""),"")</f>
        <v/>
      </c>
      <c r="F141" s="535">
        <f>IFERROR(IF('Invullen groen'!H154&lt;&gt;0,'Invullen groen'!H154,""),"")</f>
        <v/>
      </c>
      <c r="G141" s="535">
        <f>IFERROR(IF('Invullen groen'!I154&lt;&gt;0,'Invullen groen'!I154,""),"")</f>
        <v/>
      </c>
      <c r="H141" s="535">
        <f>IFERROR(IF('Invullen groen'!J154&lt;&gt;0,'Invullen groen'!J154,""),"")</f>
        <v/>
      </c>
      <c r="I141" s="535">
        <f>IFERROR(IF('Invullen groen'!K154&lt;&gt;0,'Invullen groen'!K154,""),"")</f>
        <v/>
      </c>
    </row>
    <row r="142" ht="15" customHeight="1">
      <c r="A142" s="536">
        <f>IFERROR(IF('Invullen groen'!E155&gt;0,155-17,""),"")</f>
        <v/>
      </c>
      <c r="B142" s="536">
        <f>IFERROR(IF('Invullen groen'!E155&gt;0,'Invullen groen'!A155,""),"")</f>
        <v/>
      </c>
      <c r="C142" s="536">
        <f>IFERROR(IF('Invullen groen'!E155&gt;0,'Invullen groen'!C155,""),"")</f>
        <v/>
      </c>
      <c r="D142" s="536">
        <f>IFERROR(IF('Invullen groen'!E155&gt;0,'Invullen groen'!D155,""),"")</f>
        <v/>
      </c>
      <c r="E142" s="536">
        <f>IFERROR(IF('Invullen groen'!E155&gt;0,'Invullen groen'!G155,""),"")</f>
        <v/>
      </c>
      <c r="F142" s="537">
        <f>IFERROR(IF('Invullen groen'!H155&lt;&gt;0,'Invullen groen'!H155,""),"")</f>
        <v/>
      </c>
      <c r="G142" s="537">
        <f>IFERROR(IF('Invullen groen'!I155&lt;&gt;0,'Invullen groen'!I155,""),"")</f>
        <v/>
      </c>
      <c r="H142" s="537">
        <f>IFERROR(IF('Invullen groen'!J155&lt;&gt;0,'Invullen groen'!J155,""),"")</f>
        <v/>
      </c>
      <c r="I142" s="537">
        <f>IFERROR(IF('Invullen groen'!K155&lt;&gt;0,'Invullen groen'!K155,""),"")</f>
        <v/>
      </c>
    </row>
    <row r="143" ht="15" customHeight="1">
      <c r="A143" s="534">
        <f>IFERROR(IF('Invullen groen'!E156&gt;0,156-17,""),"")</f>
        <v/>
      </c>
      <c r="B143" s="534">
        <f>IFERROR(IF('Invullen groen'!E156&gt;0,'Invullen groen'!A156,""),"")</f>
        <v/>
      </c>
      <c r="C143" s="534">
        <f>IFERROR(IF('Invullen groen'!E156&gt;0,'Invullen groen'!C156,""),"")</f>
        <v/>
      </c>
      <c r="D143" s="534">
        <f>IFERROR(IF('Invullen groen'!E156&gt;0,'Invullen groen'!D156,""),"")</f>
        <v/>
      </c>
      <c r="E143" s="534">
        <f>IFERROR(IF('Invullen groen'!E156&gt;0,'Invullen groen'!G156,""),"")</f>
        <v/>
      </c>
      <c r="F143" s="535">
        <f>IFERROR(IF('Invullen groen'!H156&lt;&gt;0,'Invullen groen'!H156,""),"")</f>
        <v/>
      </c>
      <c r="G143" s="535">
        <f>IFERROR(IF('Invullen groen'!I156&lt;&gt;0,'Invullen groen'!I156,""),"")</f>
        <v/>
      </c>
      <c r="H143" s="535">
        <f>IFERROR(IF('Invullen groen'!J156&lt;&gt;0,'Invullen groen'!J156,""),"")</f>
        <v/>
      </c>
      <c r="I143" s="535">
        <f>IFERROR(IF('Invullen groen'!K156&lt;&gt;0,'Invullen groen'!K156,""),"")</f>
        <v/>
      </c>
    </row>
    <row r="144" ht="15" customHeight="1">
      <c r="A144" s="536">
        <f>IFERROR(IF('Invullen groen'!E157&gt;0,157-17,""),"")</f>
        <v/>
      </c>
      <c r="B144" s="536">
        <f>IFERROR(IF('Invullen groen'!E157&gt;0,'Invullen groen'!A157,""),"")</f>
        <v/>
      </c>
      <c r="C144" s="536">
        <f>IFERROR(IF('Invullen groen'!E157&gt;0,'Invullen groen'!C157,""),"")</f>
        <v/>
      </c>
      <c r="D144" s="536">
        <f>IFERROR(IF('Invullen groen'!E157&gt;0,'Invullen groen'!D157,""),"")</f>
        <v/>
      </c>
      <c r="E144" s="536">
        <f>IFERROR(IF('Invullen groen'!E157&gt;0,'Invullen groen'!G157,""),"")</f>
        <v/>
      </c>
      <c r="F144" s="537">
        <f>IFERROR(IF('Invullen groen'!H157&lt;&gt;0,'Invullen groen'!H157,""),"")</f>
        <v/>
      </c>
      <c r="G144" s="537">
        <f>IFERROR(IF('Invullen groen'!I157&lt;&gt;0,'Invullen groen'!I157,""),"")</f>
        <v/>
      </c>
      <c r="H144" s="537">
        <f>IFERROR(IF('Invullen groen'!J157&lt;&gt;0,'Invullen groen'!J157,""),"")</f>
        <v/>
      </c>
      <c r="I144" s="537">
        <f>IFERROR(IF('Invullen groen'!K157&lt;&gt;0,'Invullen groen'!K157,""),"")</f>
        <v/>
      </c>
    </row>
    <row r="145" ht="15" customHeight="1">
      <c r="A145" s="534">
        <f>IFERROR(IF('Invullen groen'!E158&gt;0,158-17,""),"")</f>
        <v/>
      </c>
      <c r="B145" s="534">
        <f>IFERROR(IF('Invullen groen'!E158&gt;0,'Invullen groen'!A158,""),"")</f>
        <v/>
      </c>
      <c r="C145" s="534">
        <f>IFERROR(IF('Invullen groen'!E158&gt;0,'Invullen groen'!C158,""),"")</f>
        <v/>
      </c>
      <c r="D145" s="534">
        <f>IFERROR(IF('Invullen groen'!E158&gt;0,'Invullen groen'!D158,""),"")</f>
        <v/>
      </c>
      <c r="E145" s="534">
        <f>IFERROR(IF('Invullen groen'!E158&gt;0,'Invullen groen'!G158,""),"")</f>
        <v/>
      </c>
      <c r="F145" s="535">
        <f>IFERROR(IF('Invullen groen'!H158&lt;&gt;0,'Invullen groen'!H158,""),"")</f>
        <v/>
      </c>
      <c r="G145" s="535">
        <f>IFERROR(IF('Invullen groen'!I158&lt;&gt;0,'Invullen groen'!I158,""),"")</f>
        <v/>
      </c>
      <c r="H145" s="535">
        <f>IFERROR(IF('Invullen groen'!J158&lt;&gt;0,'Invullen groen'!J158,""),"")</f>
        <v/>
      </c>
      <c r="I145" s="535">
        <f>IFERROR(IF('Invullen groen'!K158&lt;&gt;0,'Invullen groen'!K158,""),"")</f>
        <v/>
      </c>
    </row>
    <row r="146" ht="15" customHeight="1">
      <c r="A146" s="536">
        <f>IFERROR(IF('Invullen groen'!E159&gt;0,159-17,""),"")</f>
        <v/>
      </c>
      <c r="B146" s="536">
        <f>IFERROR(IF('Invullen groen'!E159&gt;0,'Invullen groen'!A159,""),"")</f>
        <v/>
      </c>
      <c r="C146" s="536">
        <f>IFERROR(IF('Invullen groen'!E159&gt;0,'Invullen groen'!C159,""),"")</f>
        <v/>
      </c>
      <c r="D146" s="536">
        <f>IFERROR(IF('Invullen groen'!E159&gt;0,'Invullen groen'!D159,""),"")</f>
        <v/>
      </c>
      <c r="E146" s="536">
        <f>IFERROR(IF('Invullen groen'!E159&gt;0,'Invullen groen'!G159,""),"")</f>
        <v/>
      </c>
      <c r="F146" s="537">
        <f>IFERROR(IF('Invullen groen'!H159&lt;&gt;0,'Invullen groen'!H159,""),"")</f>
        <v/>
      </c>
      <c r="G146" s="537">
        <f>IFERROR(IF('Invullen groen'!I159&lt;&gt;0,'Invullen groen'!I159,""),"")</f>
        <v/>
      </c>
      <c r="H146" s="537">
        <f>IFERROR(IF('Invullen groen'!J159&lt;&gt;0,'Invullen groen'!J159,""),"")</f>
        <v/>
      </c>
      <c r="I146" s="537">
        <f>IFERROR(IF('Invullen groen'!K159&lt;&gt;0,'Invullen groen'!K159,""),"")</f>
        <v/>
      </c>
    </row>
    <row r="147" ht="15" customHeight="1">
      <c r="A147" s="534">
        <f>IFERROR(IF('Invullen groen'!E160&gt;0,160-17,""),"")</f>
        <v/>
      </c>
      <c r="B147" s="534">
        <f>IFERROR(IF('Invullen groen'!E160&gt;0,'Invullen groen'!A160,""),"")</f>
        <v/>
      </c>
      <c r="C147" s="534">
        <f>IFERROR(IF('Invullen groen'!E160&gt;0,'Invullen groen'!C160,""),"")</f>
        <v/>
      </c>
      <c r="D147" s="534">
        <f>IFERROR(IF('Invullen groen'!E160&gt;0,'Invullen groen'!D160,""),"")</f>
        <v/>
      </c>
      <c r="E147" s="534">
        <f>IFERROR(IF('Invullen groen'!E160&gt;0,'Invullen groen'!G160,""),"")</f>
        <v/>
      </c>
      <c r="F147" s="535">
        <f>IFERROR(IF('Invullen groen'!H160&lt;&gt;0,'Invullen groen'!H160,""),"")</f>
        <v/>
      </c>
      <c r="G147" s="535">
        <f>IFERROR(IF('Invullen groen'!I160&lt;&gt;0,'Invullen groen'!I160,""),"")</f>
        <v/>
      </c>
      <c r="H147" s="535">
        <f>IFERROR(IF('Invullen groen'!J160&lt;&gt;0,'Invullen groen'!J160,""),"")</f>
        <v/>
      </c>
      <c r="I147" s="535">
        <f>IFERROR(IF('Invullen groen'!K160&lt;&gt;0,'Invullen groen'!K160,""),"")</f>
        <v/>
      </c>
    </row>
    <row r="148" ht="15" customHeight="1">
      <c r="A148" s="536">
        <f>IFERROR(IF('Invullen groen'!E161&gt;0,161-17,""),"")</f>
        <v/>
      </c>
      <c r="B148" s="536">
        <f>IFERROR(IF('Invullen groen'!E161&gt;0,'Invullen groen'!A161,""),"")</f>
        <v/>
      </c>
      <c r="C148" s="536">
        <f>IFERROR(IF('Invullen groen'!E161&gt;0,'Invullen groen'!C161,""),"")</f>
        <v/>
      </c>
      <c r="D148" s="536">
        <f>IFERROR(IF('Invullen groen'!E161&gt;0,'Invullen groen'!D161,""),"")</f>
        <v/>
      </c>
      <c r="E148" s="536">
        <f>IFERROR(IF('Invullen groen'!E161&gt;0,'Invullen groen'!G161,""),"")</f>
        <v/>
      </c>
      <c r="F148" s="537">
        <f>IFERROR(IF('Invullen groen'!H161&lt;&gt;0,'Invullen groen'!H161,""),"")</f>
        <v/>
      </c>
      <c r="G148" s="537">
        <f>IFERROR(IF('Invullen groen'!I161&lt;&gt;0,'Invullen groen'!I161,""),"")</f>
        <v/>
      </c>
      <c r="H148" s="537">
        <f>IFERROR(IF('Invullen groen'!J161&lt;&gt;0,'Invullen groen'!J161,""),"")</f>
        <v/>
      </c>
      <c r="I148" s="537">
        <f>IFERROR(IF('Invullen groen'!K161&lt;&gt;0,'Invullen groen'!K161,""),"")</f>
        <v/>
      </c>
    </row>
    <row r="149" ht="15" customHeight="1">
      <c r="A149" s="534">
        <f>IFERROR(IF('Invullen groen'!E162&gt;0,162-17,""),"")</f>
        <v/>
      </c>
      <c r="B149" s="534">
        <f>IFERROR(IF('Invullen groen'!E162&gt;0,'Invullen groen'!A162,""),"")</f>
        <v/>
      </c>
      <c r="C149" s="534">
        <f>IFERROR(IF('Invullen groen'!E162&gt;0,'Invullen groen'!C162,""),"")</f>
        <v/>
      </c>
      <c r="D149" s="534">
        <f>IFERROR(IF('Invullen groen'!E162&gt;0,'Invullen groen'!D162,""),"")</f>
        <v/>
      </c>
      <c r="E149" s="534">
        <f>IFERROR(IF('Invullen groen'!E162&gt;0,'Invullen groen'!G162,""),"")</f>
        <v/>
      </c>
      <c r="F149" s="535">
        <f>IFERROR(IF('Invullen groen'!H162&lt;&gt;0,'Invullen groen'!H162,""),"")</f>
        <v/>
      </c>
      <c r="G149" s="535">
        <f>IFERROR(IF('Invullen groen'!I162&lt;&gt;0,'Invullen groen'!I162,""),"")</f>
        <v/>
      </c>
      <c r="H149" s="535">
        <f>IFERROR(IF('Invullen groen'!J162&lt;&gt;0,'Invullen groen'!J162,""),"")</f>
        <v/>
      </c>
      <c r="I149" s="535">
        <f>IFERROR(IF('Invullen groen'!K162&lt;&gt;0,'Invullen groen'!K162,""),"")</f>
        <v/>
      </c>
    </row>
    <row r="150" ht="15" customHeight="1">
      <c r="A150" s="536">
        <f>IFERROR(IF('Invullen groen'!E163&gt;0,163-17,""),"")</f>
        <v/>
      </c>
      <c r="B150" s="536">
        <f>IFERROR(IF('Invullen groen'!E163&gt;0,'Invullen groen'!A163,""),"")</f>
        <v/>
      </c>
      <c r="C150" s="536">
        <f>IFERROR(IF('Invullen groen'!E163&gt;0,'Invullen groen'!C163,""),"")</f>
        <v/>
      </c>
      <c r="D150" s="536">
        <f>IFERROR(IF('Invullen groen'!E163&gt;0,'Invullen groen'!D163,""),"")</f>
        <v/>
      </c>
      <c r="E150" s="536">
        <f>IFERROR(IF('Invullen groen'!E163&gt;0,'Invullen groen'!G163,""),"")</f>
        <v/>
      </c>
      <c r="F150" s="537">
        <f>IFERROR(IF('Invullen groen'!H163&lt;&gt;0,'Invullen groen'!H163,""),"")</f>
        <v/>
      </c>
      <c r="G150" s="537">
        <f>IFERROR(IF('Invullen groen'!I163&lt;&gt;0,'Invullen groen'!I163,""),"")</f>
        <v/>
      </c>
      <c r="H150" s="537">
        <f>IFERROR(IF('Invullen groen'!J163&lt;&gt;0,'Invullen groen'!J163,""),"")</f>
        <v/>
      </c>
      <c r="I150" s="537">
        <f>IFERROR(IF('Invullen groen'!K163&lt;&gt;0,'Invullen groen'!K163,""),"")</f>
        <v/>
      </c>
    </row>
    <row r="151" ht="15" customHeight="1">
      <c r="A151" s="534">
        <f>IFERROR(IF('Invullen groen'!E164&gt;0,164-17,""),"")</f>
        <v/>
      </c>
      <c r="B151" s="534">
        <f>IFERROR(IF('Invullen groen'!E164&gt;0,'Invullen groen'!A164,""),"")</f>
        <v/>
      </c>
      <c r="C151" s="534">
        <f>IFERROR(IF('Invullen groen'!E164&gt;0,'Invullen groen'!C164,""),"")</f>
        <v/>
      </c>
      <c r="D151" s="534">
        <f>IFERROR(IF('Invullen groen'!E164&gt;0,'Invullen groen'!D164,""),"")</f>
        <v/>
      </c>
      <c r="E151" s="534">
        <f>IFERROR(IF('Invullen groen'!E164&gt;0,'Invullen groen'!G164,""),"")</f>
        <v/>
      </c>
      <c r="F151" s="535">
        <f>IFERROR(IF('Invullen groen'!H164&lt;&gt;0,'Invullen groen'!H164,""),"")</f>
        <v/>
      </c>
      <c r="G151" s="535">
        <f>IFERROR(IF('Invullen groen'!I164&lt;&gt;0,'Invullen groen'!I164,""),"")</f>
        <v/>
      </c>
      <c r="H151" s="535">
        <f>IFERROR(IF('Invullen groen'!J164&lt;&gt;0,'Invullen groen'!J164,""),"")</f>
        <v/>
      </c>
      <c r="I151" s="535">
        <f>IFERROR(IF('Invullen groen'!K164&lt;&gt;0,'Invullen groen'!K164,""),"")</f>
        <v/>
      </c>
    </row>
    <row r="152" ht="15" customHeight="1">
      <c r="A152" s="536">
        <f>IFERROR(IF('Invullen groen'!E165&gt;0,165-17,""),"")</f>
        <v/>
      </c>
      <c r="B152" s="536">
        <f>IFERROR(IF('Invullen groen'!E165&gt;0,'Invullen groen'!A165,""),"")</f>
        <v/>
      </c>
      <c r="C152" s="536">
        <f>IFERROR(IF('Invullen groen'!E165&gt;0,'Invullen groen'!C165,""),"")</f>
        <v/>
      </c>
      <c r="D152" s="536">
        <f>IFERROR(IF('Invullen groen'!E165&gt;0,'Invullen groen'!D165,""),"")</f>
        <v/>
      </c>
      <c r="E152" s="536">
        <f>IFERROR(IF('Invullen groen'!E165&gt;0,'Invullen groen'!G165,""),"")</f>
        <v/>
      </c>
      <c r="F152" s="537">
        <f>IFERROR(IF('Invullen groen'!H165&lt;&gt;0,'Invullen groen'!H165,""),"")</f>
        <v/>
      </c>
      <c r="G152" s="537">
        <f>IFERROR(IF('Invullen groen'!I165&lt;&gt;0,'Invullen groen'!I165,""),"")</f>
        <v/>
      </c>
      <c r="H152" s="537">
        <f>IFERROR(IF('Invullen groen'!J165&lt;&gt;0,'Invullen groen'!J165,""),"")</f>
        <v/>
      </c>
      <c r="I152" s="537">
        <f>IFERROR(IF('Invullen groen'!K165&lt;&gt;0,'Invullen groen'!K165,""),"")</f>
        <v/>
      </c>
    </row>
    <row r="153" ht="15" customHeight="1">
      <c r="A153" s="534">
        <f>IFERROR(IF('Invullen groen'!E166&gt;0,166-17,""),"")</f>
        <v/>
      </c>
      <c r="B153" s="534">
        <f>IFERROR(IF('Invullen groen'!E166&gt;0,'Invullen groen'!A166,""),"")</f>
        <v/>
      </c>
      <c r="C153" s="534">
        <f>IFERROR(IF('Invullen groen'!E166&gt;0,'Invullen groen'!C166,""),"")</f>
        <v/>
      </c>
      <c r="D153" s="534">
        <f>IFERROR(IF('Invullen groen'!E166&gt;0,'Invullen groen'!D166,""),"")</f>
        <v/>
      </c>
      <c r="E153" s="534">
        <f>IFERROR(IF('Invullen groen'!E166&gt;0,'Invullen groen'!G166,""),"")</f>
        <v/>
      </c>
      <c r="F153" s="535">
        <f>IFERROR(IF('Invullen groen'!H166&lt;&gt;0,'Invullen groen'!H166,""),"")</f>
        <v/>
      </c>
      <c r="G153" s="535">
        <f>IFERROR(IF('Invullen groen'!I166&lt;&gt;0,'Invullen groen'!I166,""),"")</f>
        <v/>
      </c>
      <c r="H153" s="535">
        <f>IFERROR(IF('Invullen groen'!J166&lt;&gt;0,'Invullen groen'!J166,""),"")</f>
        <v/>
      </c>
      <c r="I153" s="535">
        <f>IFERROR(IF('Invullen groen'!K166&lt;&gt;0,'Invullen groen'!K166,""),"")</f>
        <v/>
      </c>
    </row>
    <row r="154" ht="15" customHeight="1">
      <c r="A154" s="536">
        <f>IFERROR(IF('Invullen groen'!E167&gt;0,167-17,""),"")</f>
        <v/>
      </c>
      <c r="B154" s="536">
        <f>IFERROR(IF('Invullen groen'!E167&gt;0,'Invullen groen'!A167,""),"")</f>
        <v/>
      </c>
      <c r="C154" s="536">
        <f>IFERROR(IF('Invullen groen'!E167&gt;0,'Invullen groen'!C167,""),"")</f>
        <v/>
      </c>
      <c r="D154" s="536">
        <f>IFERROR(IF('Invullen groen'!E167&gt;0,'Invullen groen'!D167,""),"")</f>
        <v/>
      </c>
      <c r="E154" s="536">
        <f>IFERROR(IF('Invullen groen'!E167&gt;0,'Invullen groen'!G167,""),"")</f>
        <v/>
      </c>
      <c r="F154" s="537">
        <f>IFERROR(IF('Invullen groen'!H167&lt;&gt;0,'Invullen groen'!H167,""),"")</f>
        <v/>
      </c>
      <c r="G154" s="537">
        <f>IFERROR(IF('Invullen groen'!I167&lt;&gt;0,'Invullen groen'!I167,""),"")</f>
        <v/>
      </c>
      <c r="H154" s="537">
        <f>IFERROR(IF('Invullen groen'!J167&lt;&gt;0,'Invullen groen'!J167,""),"")</f>
        <v/>
      </c>
      <c r="I154" s="537">
        <f>IFERROR(IF('Invullen groen'!K167&lt;&gt;0,'Invullen groen'!K167,""),"")</f>
        <v/>
      </c>
    </row>
    <row r="155" ht="15" customHeight="1">
      <c r="A155" s="534">
        <f>IFERROR(IF('Invullen groen'!E168&gt;0,168-17,""),"")</f>
        <v/>
      </c>
      <c r="B155" s="534">
        <f>IFERROR(IF('Invullen groen'!E168&gt;0,'Invullen groen'!A168,""),"")</f>
        <v/>
      </c>
      <c r="C155" s="534">
        <f>IFERROR(IF('Invullen groen'!E168&gt;0,'Invullen groen'!C168,""),"")</f>
        <v/>
      </c>
      <c r="D155" s="534">
        <f>IFERROR(IF('Invullen groen'!E168&gt;0,'Invullen groen'!D168,""),"")</f>
        <v/>
      </c>
      <c r="E155" s="534">
        <f>IFERROR(IF('Invullen groen'!E168&gt;0,'Invullen groen'!G168,""),"")</f>
        <v/>
      </c>
      <c r="F155" s="535">
        <f>IFERROR(IF('Invullen groen'!H168&lt;&gt;0,'Invullen groen'!H168,""),"")</f>
        <v/>
      </c>
      <c r="G155" s="535">
        <f>IFERROR(IF('Invullen groen'!I168&lt;&gt;0,'Invullen groen'!I168,""),"")</f>
        <v/>
      </c>
      <c r="H155" s="535">
        <f>IFERROR(IF('Invullen groen'!J168&lt;&gt;0,'Invullen groen'!J168,""),"")</f>
        <v/>
      </c>
      <c r="I155" s="535">
        <f>IFERROR(IF('Invullen groen'!K168&lt;&gt;0,'Invullen groen'!K168,""),"")</f>
        <v/>
      </c>
    </row>
    <row r="156" ht="15" customHeight="1">
      <c r="A156" s="536">
        <f>IFERROR(IF('Invullen groen'!E169&gt;0,169-17,""),"")</f>
        <v/>
      </c>
      <c r="B156" s="536">
        <f>IFERROR(IF('Invullen groen'!E169&gt;0,'Invullen groen'!A169,""),"")</f>
        <v/>
      </c>
      <c r="C156" s="536">
        <f>IFERROR(IF('Invullen groen'!E169&gt;0,'Invullen groen'!C169,""),"")</f>
        <v/>
      </c>
      <c r="D156" s="536">
        <f>IFERROR(IF('Invullen groen'!E169&gt;0,'Invullen groen'!D169,""),"")</f>
        <v/>
      </c>
      <c r="E156" s="536">
        <f>IFERROR(IF('Invullen groen'!E169&gt;0,'Invullen groen'!G169,""),"")</f>
        <v/>
      </c>
      <c r="F156" s="537">
        <f>IFERROR(IF('Invullen groen'!H169&lt;&gt;0,'Invullen groen'!H169,""),"")</f>
        <v/>
      </c>
      <c r="G156" s="537">
        <f>IFERROR(IF('Invullen groen'!I169&lt;&gt;0,'Invullen groen'!I169,""),"")</f>
        <v/>
      </c>
      <c r="H156" s="537">
        <f>IFERROR(IF('Invullen groen'!J169&lt;&gt;0,'Invullen groen'!J169,""),"")</f>
        <v/>
      </c>
      <c r="I156" s="537">
        <f>IFERROR(IF('Invullen groen'!K169&lt;&gt;0,'Invullen groen'!K169,""),"")</f>
        <v/>
      </c>
    </row>
    <row r="157" ht="15" customHeight="1">
      <c r="A157" s="534">
        <f>IFERROR(IF('Invullen groen'!E170&gt;0,170-17,""),"")</f>
        <v/>
      </c>
      <c r="B157" s="534">
        <f>IFERROR(IF('Invullen groen'!E170&gt;0,'Invullen groen'!A170,""),"")</f>
        <v/>
      </c>
      <c r="C157" s="534">
        <f>IFERROR(IF('Invullen groen'!E170&gt;0,'Invullen groen'!C170,""),"")</f>
        <v/>
      </c>
      <c r="D157" s="534">
        <f>IFERROR(IF('Invullen groen'!E170&gt;0,'Invullen groen'!D170,""),"")</f>
        <v/>
      </c>
      <c r="E157" s="534">
        <f>IFERROR(IF('Invullen groen'!E170&gt;0,'Invullen groen'!G170,""),"")</f>
        <v/>
      </c>
      <c r="F157" s="535">
        <f>IFERROR(IF('Invullen groen'!H170&lt;&gt;0,'Invullen groen'!H170,""),"")</f>
        <v/>
      </c>
      <c r="G157" s="535">
        <f>IFERROR(IF('Invullen groen'!I170&lt;&gt;0,'Invullen groen'!I170,""),"")</f>
        <v/>
      </c>
      <c r="H157" s="535">
        <f>IFERROR(IF('Invullen groen'!J170&lt;&gt;0,'Invullen groen'!J170,""),"")</f>
        <v/>
      </c>
      <c r="I157" s="535">
        <f>IFERROR(IF('Invullen groen'!K170&lt;&gt;0,'Invullen groen'!K170,""),"")</f>
        <v/>
      </c>
    </row>
    <row r="158" ht="15" customHeight="1">
      <c r="A158" s="536">
        <f>IFERROR(IF('Invullen groen'!E171&gt;0,171-17,""),"")</f>
        <v/>
      </c>
      <c r="B158" s="536">
        <f>IFERROR(IF('Invullen groen'!E171&gt;0,'Invullen groen'!A171,""),"")</f>
        <v/>
      </c>
      <c r="C158" s="536">
        <f>IFERROR(IF('Invullen groen'!E171&gt;0,'Invullen groen'!C171,""),"")</f>
        <v/>
      </c>
      <c r="D158" s="536">
        <f>IFERROR(IF('Invullen groen'!E171&gt;0,'Invullen groen'!D171,""),"")</f>
        <v/>
      </c>
      <c r="E158" s="536">
        <f>IFERROR(IF('Invullen groen'!E171&gt;0,'Invullen groen'!G171,""),"")</f>
        <v/>
      </c>
      <c r="F158" s="537">
        <f>IFERROR(IF('Invullen groen'!H171&lt;&gt;0,'Invullen groen'!H171,""),"")</f>
        <v/>
      </c>
      <c r="G158" s="537">
        <f>IFERROR(IF('Invullen groen'!I171&lt;&gt;0,'Invullen groen'!I171,""),"")</f>
        <v/>
      </c>
      <c r="H158" s="537">
        <f>IFERROR(IF('Invullen groen'!J171&lt;&gt;0,'Invullen groen'!J171,""),"")</f>
        <v/>
      </c>
      <c r="I158" s="537">
        <f>IFERROR(IF('Invullen groen'!K171&lt;&gt;0,'Invullen groen'!K171,""),"")</f>
        <v/>
      </c>
    </row>
    <row r="159" ht="15" customHeight="1">
      <c r="A159" s="534">
        <f>IFERROR(IF('Invullen groen'!E172&gt;0,172-17,""),"")</f>
        <v/>
      </c>
      <c r="B159" s="534">
        <f>IFERROR(IF('Invullen groen'!E172&gt;0,'Invullen groen'!A172,""),"")</f>
        <v/>
      </c>
      <c r="C159" s="534">
        <f>IFERROR(IF('Invullen groen'!E172&gt;0,'Invullen groen'!C172,""),"")</f>
        <v/>
      </c>
      <c r="D159" s="534">
        <f>IFERROR(IF('Invullen groen'!E172&gt;0,'Invullen groen'!D172,""),"")</f>
        <v/>
      </c>
      <c r="E159" s="534">
        <f>IFERROR(IF('Invullen groen'!E172&gt;0,'Invullen groen'!G172,""),"")</f>
        <v/>
      </c>
      <c r="F159" s="535">
        <f>IFERROR(IF('Invullen groen'!H172&lt;&gt;0,'Invullen groen'!H172,""),"")</f>
        <v/>
      </c>
      <c r="G159" s="535">
        <f>IFERROR(IF('Invullen groen'!I172&lt;&gt;0,'Invullen groen'!I172,""),"")</f>
        <v/>
      </c>
      <c r="H159" s="535">
        <f>IFERROR(IF('Invullen groen'!J172&lt;&gt;0,'Invullen groen'!J172,""),"")</f>
        <v/>
      </c>
      <c r="I159" s="535">
        <f>IFERROR(IF('Invullen groen'!K172&lt;&gt;0,'Invullen groen'!K172,""),"")</f>
        <v/>
      </c>
    </row>
    <row r="160" ht="15" customHeight="1">
      <c r="A160" s="536">
        <f>IFERROR(IF('Invullen groen'!E173&gt;0,173-17,""),"")</f>
        <v/>
      </c>
      <c r="B160" s="536">
        <f>IFERROR(IF('Invullen groen'!E173&gt;0,'Invullen groen'!A173,""),"")</f>
        <v/>
      </c>
      <c r="C160" s="536">
        <f>IFERROR(IF('Invullen groen'!E173&gt;0,'Invullen groen'!C173,""),"")</f>
        <v/>
      </c>
      <c r="D160" s="536">
        <f>IFERROR(IF('Invullen groen'!E173&gt;0,'Invullen groen'!D173,""),"")</f>
        <v/>
      </c>
      <c r="E160" s="536">
        <f>IFERROR(IF('Invullen groen'!E173&gt;0,'Invullen groen'!G173,""),"")</f>
        <v/>
      </c>
      <c r="F160" s="537">
        <f>IFERROR(IF('Invullen groen'!H173&lt;&gt;0,'Invullen groen'!H173,""),"")</f>
        <v/>
      </c>
      <c r="G160" s="537">
        <f>IFERROR(IF('Invullen groen'!I173&lt;&gt;0,'Invullen groen'!I173,""),"")</f>
        <v/>
      </c>
      <c r="H160" s="537">
        <f>IFERROR(IF('Invullen groen'!J173&lt;&gt;0,'Invullen groen'!J173,""),"")</f>
        <v/>
      </c>
      <c r="I160" s="537">
        <f>IFERROR(IF('Invullen groen'!K173&lt;&gt;0,'Invullen groen'!K173,""),"")</f>
        <v/>
      </c>
    </row>
    <row r="161" ht="15" customHeight="1">
      <c r="A161" s="534">
        <f>IFERROR(IF('Invullen groen'!E174&gt;0,174-17,""),"")</f>
        <v/>
      </c>
      <c r="B161" s="534">
        <f>IFERROR(IF('Invullen groen'!E174&gt;0,'Invullen groen'!A174,""),"")</f>
        <v/>
      </c>
      <c r="C161" s="534">
        <f>IFERROR(IF('Invullen groen'!E174&gt;0,'Invullen groen'!C174,""),"")</f>
        <v/>
      </c>
      <c r="D161" s="534">
        <f>IFERROR(IF('Invullen groen'!E174&gt;0,'Invullen groen'!D174,""),"")</f>
        <v/>
      </c>
      <c r="E161" s="534">
        <f>IFERROR(IF('Invullen groen'!E174&gt;0,'Invullen groen'!G174,""),"")</f>
        <v/>
      </c>
      <c r="F161" s="535">
        <f>IFERROR(IF('Invullen groen'!H174&lt;&gt;0,'Invullen groen'!H174,""),"")</f>
        <v/>
      </c>
      <c r="G161" s="535">
        <f>IFERROR(IF('Invullen groen'!I174&lt;&gt;0,'Invullen groen'!I174,""),"")</f>
        <v/>
      </c>
      <c r="H161" s="535">
        <f>IFERROR(IF('Invullen groen'!J174&lt;&gt;0,'Invullen groen'!J174,""),"")</f>
        <v/>
      </c>
      <c r="I161" s="535">
        <f>IFERROR(IF('Invullen groen'!K174&lt;&gt;0,'Invullen groen'!K174,""),"")</f>
        <v/>
      </c>
    </row>
    <row r="162" ht="15" customHeight="1">
      <c r="A162" s="536">
        <f>IFERROR(IF('Invullen groen'!E175&gt;0,175-17,""),"")</f>
        <v/>
      </c>
      <c r="B162" s="536">
        <f>IFERROR(IF('Invullen groen'!E175&gt;0,'Invullen groen'!A175,""),"")</f>
        <v/>
      </c>
      <c r="C162" s="536">
        <f>IFERROR(IF('Invullen groen'!E175&gt;0,'Invullen groen'!C175,""),"")</f>
        <v/>
      </c>
      <c r="D162" s="536">
        <f>IFERROR(IF('Invullen groen'!E175&gt;0,'Invullen groen'!D175,""),"")</f>
        <v/>
      </c>
      <c r="E162" s="536">
        <f>IFERROR(IF('Invullen groen'!E175&gt;0,'Invullen groen'!G175,""),"")</f>
        <v/>
      </c>
      <c r="F162" s="537">
        <f>IFERROR(IF('Invullen groen'!H175&lt;&gt;0,'Invullen groen'!H175,""),"")</f>
        <v/>
      </c>
      <c r="G162" s="537">
        <f>IFERROR(IF('Invullen groen'!I175&lt;&gt;0,'Invullen groen'!I175,""),"")</f>
        <v/>
      </c>
      <c r="H162" s="537">
        <f>IFERROR(IF('Invullen groen'!J175&lt;&gt;0,'Invullen groen'!J175,""),"")</f>
        <v/>
      </c>
      <c r="I162" s="537">
        <f>IFERROR(IF('Invullen groen'!K175&lt;&gt;0,'Invullen groen'!K175,""),"")</f>
        <v/>
      </c>
    </row>
    <row r="163" ht="15" customHeight="1">
      <c r="A163" s="534">
        <f>IFERROR(IF('Invullen groen'!E176&gt;0,176-17,""),"")</f>
        <v/>
      </c>
      <c r="B163" s="534">
        <f>IFERROR(IF('Invullen groen'!E176&gt;0,'Invullen groen'!A176,""),"")</f>
        <v/>
      </c>
      <c r="C163" s="534">
        <f>IFERROR(IF('Invullen groen'!E176&gt;0,'Invullen groen'!C176,""),"")</f>
        <v/>
      </c>
      <c r="D163" s="534">
        <f>IFERROR(IF('Invullen groen'!E176&gt;0,'Invullen groen'!D176,""),"")</f>
        <v/>
      </c>
      <c r="E163" s="534">
        <f>IFERROR(IF('Invullen groen'!E176&gt;0,'Invullen groen'!G176,""),"")</f>
        <v/>
      </c>
      <c r="F163" s="535">
        <f>IFERROR(IF('Invullen groen'!H176&lt;&gt;0,'Invullen groen'!H176,""),"")</f>
        <v/>
      </c>
      <c r="G163" s="535">
        <f>IFERROR(IF('Invullen groen'!I176&lt;&gt;0,'Invullen groen'!I176,""),"")</f>
        <v/>
      </c>
      <c r="H163" s="535">
        <f>IFERROR(IF('Invullen groen'!J176&lt;&gt;0,'Invullen groen'!J176,""),"")</f>
        <v/>
      </c>
      <c r="I163" s="535">
        <f>IFERROR(IF('Invullen groen'!K176&lt;&gt;0,'Invullen groen'!K176,""),"")</f>
        <v/>
      </c>
    </row>
    <row r="164" ht="15" customHeight="1">
      <c r="A164" s="536">
        <f>IFERROR(IF('Invullen groen'!E177&gt;0,177-17,""),"")</f>
        <v/>
      </c>
      <c r="B164" s="536">
        <f>IFERROR(IF('Invullen groen'!E177&gt;0,'Invullen groen'!A177,""),"")</f>
        <v/>
      </c>
      <c r="C164" s="536">
        <f>IFERROR(IF('Invullen groen'!E177&gt;0,'Invullen groen'!C177,""),"")</f>
        <v/>
      </c>
      <c r="D164" s="536">
        <f>IFERROR(IF('Invullen groen'!E177&gt;0,'Invullen groen'!D177,""),"")</f>
        <v/>
      </c>
      <c r="E164" s="536">
        <f>IFERROR(IF('Invullen groen'!E177&gt;0,'Invullen groen'!G177,""),"")</f>
        <v/>
      </c>
      <c r="F164" s="537">
        <f>IFERROR(IF('Invullen groen'!H177&lt;&gt;0,'Invullen groen'!H177,""),"")</f>
        <v/>
      </c>
      <c r="G164" s="537">
        <f>IFERROR(IF('Invullen groen'!I177&lt;&gt;0,'Invullen groen'!I177,""),"")</f>
        <v/>
      </c>
      <c r="H164" s="537">
        <f>IFERROR(IF('Invullen groen'!J177&lt;&gt;0,'Invullen groen'!J177,""),"")</f>
        <v/>
      </c>
      <c r="I164" s="537">
        <f>IFERROR(IF('Invullen groen'!K177&lt;&gt;0,'Invullen groen'!K177,""),"")</f>
        <v/>
      </c>
    </row>
    <row r="165" ht="15" customHeight="1">
      <c r="A165" s="534">
        <f>IFERROR(IF('Invullen groen'!E178&gt;0,178-17,""),"")</f>
        <v/>
      </c>
      <c r="B165" s="534">
        <f>IFERROR(IF('Invullen groen'!E178&gt;0,'Invullen groen'!A178,""),"")</f>
        <v/>
      </c>
      <c r="C165" s="534">
        <f>IFERROR(IF('Invullen groen'!E178&gt;0,'Invullen groen'!C178,""),"")</f>
        <v/>
      </c>
      <c r="D165" s="534">
        <f>IFERROR(IF('Invullen groen'!E178&gt;0,'Invullen groen'!D178,""),"")</f>
        <v/>
      </c>
      <c r="E165" s="534">
        <f>IFERROR(IF('Invullen groen'!E178&gt;0,'Invullen groen'!G178,""),"")</f>
        <v/>
      </c>
      <c r="F165" s="535">
        <f>IFERROR(IF('Invullen groen'!H178&lt;&gt;0,'Invullen groen'!H178,""),"")</f>
        <v/>
      </c>
      <c r="G165" s="535">
        <f>IFERROR(IF('Invullen groen'!I178&lt;&gt;0,'Invullen groen'!I178,""),"")</f>
        <v/>
      </c>
      <c r="H165" s="535">
        <f>IFERROR(IF('Invullen groen'!J178&lt;&gt;0,'Invullen groen'!J178,""),"")</f>
        <v/>
      </c>
      <c r="I165" s="535">
        <f>IFERROR(IF('Invullen groen'!K178&lt;&gt;0,'Invullen groen'!K178,""),"")</f>
        <v/>
      </c>
    </row>
    <row r="166" ht="15" customHeight="1">
      <c r="A166" s="536">
        <f>IFERROR(IF('Invullen groen'!E179&gt;0,179-17,""),"")</f>
        <v/>
      </c>
      <c r="B166" s="536">
        <f>IFERROR(IF('Invullen groen'!E179&gt;0,'Invullen groen'!A179,""),"")</f>
        <v/>
      </c>
      <c r="C166" s="536">
        <f>IFERROR(IF('Invullen groen'!E179&gt;0,'Invullen groen'!C179,""),"")</f>
        <v/>
      </c>
      <c r="D166" s="536">
        <f>IFERROR(IF('Invullen groen'!E179&gt;0,'Invullen groen'!D179,""),"")</f>
        <v/>
      </c>
      <c r="E166" s="536">
        <f>IFERROR(IF('Invullen groen'!E179&gt;0,'Invullen groen'!G179,""),"")</f>
        <v/>
      </c>
      <c r="F166" s="537">
        <f>IFERROR(IF('Invullen groen'!H179&lt;&gt;0,'Invullen groen'!H179,""),"")</f>
        <v/>
      </c>
      <c r="G166" s="537">
        <f>IFERROR(IF('Invullen groen'!I179&lt;&gt;0,'Invullen groen'!I179,""),"")</f>
        <v/>
      </c>
      <c r="H166" s="537">
        <f>IFERROR(IF('Invullen groen'!J179&lt;&gt;0,'Invullen groen'!J179,""),"")</f>
        <v/>
      </c>
      <c r="I166" s="537">
        <f>IFERROR(IF('Invullen groen'!K179&lt;&gt;0,'Invullen groen'!K179,""),"")</f>
        <v/>
      </c>
    </row>
    <row r="167" ht="15" customHeight="1">
      <c r="A167" s="534">
        <f>IFERROR(IF('Invullen groen'!E180&gt;0,180-17,""),"")</f>
        <v/>
      </c>
      <c r="B167" s="534">
        <f>IFERROR(IF('Invullen groen'!E180&gt;0,'Invullen groen'!A180,""),"")</f>
        <v/>
      </c>
      <c r="C167" s="534">
        <f>IFERROR(IF('Invullen groen'!E180&gt;0,'Invullen groen'!C180,""),"")</f>
        <v/>
      </c>
      <c r="D167" s="534">
        <f>IFERROR(IF('Invullen groen'!E180&gt;0,'Invullen groen'!D180,""),"")</f>
        <v/>
      </c>
      <c r="E167" s="534">
        <f>IFERROR(IF('Invullen groen'!E180&gt;0,'Invullen groen'!G180,""),"")</f>
        <v/>
      </c>
      <c r="F167" s="535">
        <f>IFERROR(IF('Invullen groen'!H180&lt;&gt;0,'Invullen groen'!H180,""),"")</f>
        <v/>
      </c>
      <c r="G167" s="535">
        <f>IFERROR(IF('Invullen groen'!I180&lt;&gt;0,'Invullen groen'!I180,""),"")</f>
        <v/>
      </c>
      <c r="H167" s="535">
        <f>IFERROR(IF('Invullen groen'!J180&lt;&gt;0,'Invullen groen'!J180,""),"")</f>
        <v/>
      </c>
      <c r="I167" s="535">
        <f>IFERROR(IF('Invullen groen'!K180&lt;&gt;0,'Invullen groen'!K180,""),"")</f>
        <v/>
      </c>
    </row>
    <row r="168" ht="15" customHeight="1">
      <c r="A168" s="536">
        <f>IFERROR(IF('Invullen groen'!E181&gt;0,181-17,""),"")</f>
        <v/>
      </c>
      <c r="B168" s="536">
        <f>IFERROR(IF('Invullen groen'!E181&gt;0,'Invullen groen'!A181,""),"")</f>
        <v/>
      </c>
      <c r="C168" s="536">
        <f>IFERROR(IF('Invullen groen'!E181&gt;0,'Invullen groen'!C181,""),"")</f>
        <v/>
      </c>
      <c r="D168" s="536">
        <f>IFERROR(IF('Invullen groen'!E181&gt;0,'Invullen groen'!D181,""),"")</f>
        <v/>
      </c>
      <c r="E168" s="536">
        <f>IFERROR(IF('Invullen groen'!E181&gt;0,'Invullen groen'!G181,""),"")</f>
        <v/>
      </c>
      <c r="F168" s="537">
        <f>IFERROR(IF('Invullen groen'!H181&lt;&gt;0,'Invullen groen'!H181,""),"")</f>
        <v/>
      </c>
      <c r="G168" s="537">
        <f>IFERROR(IF('Invullen groen'!I181&lt;&gt;0,'Invullen groen'!I181,""),"")</f>
        <v/>
      </c>
      <c r="H168" s="537">
        <f>IFERROR(IF('Invullen groen'!J181&lt;&gt;0,'Invullen groen'!J181,""),"")</f>
        <v/>
      </c>
      <c r="I168" s="537">
        <f>IFERROR(IF('Invullen groen'!K181&lt;&gt;0,'Invullen groen'!K181,""),"")</f>
        <v/>
      </c>
    </row>
    <row r="169" ht="15" customHeight="1">
      <c r="A169" s="534">
        <f>IFERROR(IF('Invullen groen'!E182&gt;0,182-17,""),"")</f>
        <v/>
      </c>
      <c r="B169" s="534">
        <f>IFERROR(IF('Invullen groen'!E182&gt;0,'Invullen groen'!A182,""),"")</f>
        <v/>
      </c>
      <c r="C169" s="534">
        <f>IFERROR(IF('Invullen groen'!E182&gt;0,'Invullen groen'!C182,""),"")</f>
        <v/>
      </c>
      <c r="D169" s="534">
        <f>IFERROR(IF('Invullen groen'!E182&gt;0,'Invullen groen'!D182,""),"")</f>
        <v/>
      </c>
      <c r="E169" s="534">
        <f>IFERROR(IF('Invullen groen'!E182&gt;0,'Invullen groen'!G182,""),"")</f>
        <v/>
      </c>
      <c r="F169" s="535">
        <f>IFERROR(IF('Invullen groen'!H182&lt;&gt;0,'Invullen groen'!H182,""),"")</f>
        <v/>
      </c>
      <c r="G169" s="535">
        <f>IFERROR(IF('Invullen groen'!I182&lt;&gt;0,'Invullen groen'!I182,""),"")</f>
        <v/>
      </c>
      <c r="H169" s="535">
        <f>IFERROR(IF('Invullen groen'!J182&lt;&gt;0,'Invullen groen'!J182,""),"")</f>
        <v/>
      </c>
      <c r="I169" s="535">
        <f>IFERROR(IF('Invullen groen'!K182&lt;&gt;0,'Invullen groen'!K182,""),"")</f>
        <v/>
      </c>
    </row>
    <row r="170" ht="15" customHeight="1">
      <c r="A170" s="536">
        <f>IFERROR(IF('Invullen groen'!E183&gt;0,183-17,""),"")</f>
        <v/>
      </c>
      <c r="B170" s="536">
        <f>IFERROR(IF('Invullen groen'!E183&gt;0,'Invullen groen'!A183,""),"")</f>
        <v/>
      </c>
      <c r="C170" s="536">
        <f>IFERROR(IF('Invullen groen'!E183&gt;0,'Invullen groen'!C183,""),"")</f>
        <v/>
      </c>
      <c r="D170" s="536">
        <f>IFERROR(IF('Invullen groen'!E183&gt;0,'Invullen groen'!D183,""),"")</f>
        <v/>
      </c>
      <c r="E170" s="536">
        <f>IFERROR(IF('Invullen groen'!E183&gt;0,'Invullen groen'!G183,""),"")</f>
        <v/>
      </c>
      <c r="F170" s="537">
        <f>IFERROR(IF('Invullen groen'!H183&lt;&gt;0,'Invullen groen'!H183,""),"")</f>
        <v/>
      </c>
      <c r="G170" s="537">
        <f>IFERROR(IF('Invullen groen'!I183&lt;&gt;0,'Invullen groen'!I183,""),"")</f>
        <v/>
      </c>
      <c r="H170" s="537">
        <f>IFERROR(IF('Invullen groen'!J183&lt;&gt;0,'Invullen groen'!J183,""),"")</f>
        <v/>
      </c>
      <c r="I170" s="537">
        <f>IFERROR(IF('Invullen groen'!K183&lt;&gt;0,'Invullen groen'!K183,""),"")</f>
        <v/>
      </c>
    </row>
    <row r="171" ht="15" customHeight="1">
      <c r="A171" s="534">
        <f>IFERROR(IF('Invullen groen'!E184&gt;0,184-17,""),"")</f>
        <v/>
      </c>
      <c r="B171" s="534">
        <f>IFERROR(IF('Invullen groen'!E184&gt;0,'Invullen groen'!A184,""),"")</f>
        <v/>
      </c>
      <c r="C171" s="534">
        <f>IFERROR(IF('Invullen groen'!E184&gt;0,'Invullen groen'!C184,""),"")</f>
        <v/>
      </c>
      <c r="D171" s="534">
        <f>IFERROR(IF('Invullen groen'!E184&gt;0,'Invullen groen'!D184,""),"")</f>
        <v/>
      </c>
      <c r="E171" s="534">
        <f>IFERROR(IF('Invullen groen'!E184&gt;0,'Invullen groen'!G184,""),"")</f>
        <v/>
      </c>
      <c r="F171" s="535">
        <f>IFERROR(IF('Invullen groen'!H184&lt;&gt;0,'Invullen groen'!H184,""),"")</f>
        <v/>
      </c>
      <c r="G171" s="535">
        <f>IFERROR(IF('Invullen groen'!I184&lt;&gt;0,'Invullen groen'!I184,""),"")</f>
        <v/>
      </c>
      <c r="H171" s="535">
        <f>IFERROR(IF('Invullen groen'!J184&lt;&gt;0,'Invullen groen'!J184,""),"")</f>
        <v/>
      </c>
      <c r="I171" s="535">
        <f>IFERROR(IF('Invullen groen'!K184&lt;&gt;0,'Invullen groen'!K184,""),"")</f>
        <v/>
      </c>
    </row>
    <row r="172" ht="15" customHeight="1">
      <c r="A172" s="536">
        <f>IFERROR(IF('Invullen groen'!E185&gt;0,185-17,""),"")</f>
        <v/>
      </c>
      <c r="B172" s="536">
        <f>IFERROR(IF('Invullen groen'!E185&gt;0,'Invullen groen'!A185,""),"")</f>
        <v/>
      </c>
      <c r="C172" s="536">
        <f>IFERROR(IF('Invullen groen'!E185&gt;0,'Invullen groen'!C185,""),"")</f>
        <v/>
      </c>
      <c r="D172" s="536">
        <f>IFERROR(IF('Invullen groen'!E185&gt;0,'Invullen groen'!D185,""),"")</f>
        <v/>
      </c>
      <c r="E172" s="536">
        <f>IFERROR(IF('Invullen groen'!E185&gt;0,'Invullen groen'!G185,""),"")</f>
        <v/>
      </c>
      <c r="F172" s="537">
        <f>IFERROR(IF('Invullen groen'!H185&lt;&gt;0,'Invullen groen'!H185,""),"")</f>
        <v/>
      </c>
      <c r="G172" s="537">
        <f>IFERROR(IF('Invullen groen'!I185&lt;&gt;0,'Invullen groen'!I185,""),"")</f>
        <v/>
      </c>
      <c r="H172" s="537">
        <f>IFERROR(IF('Invullen groen'!J185&lt;&gt;0,'Invullen groen'!J185,""),"")</f>
        <v/>
      </c>
      <c r="I172" s="537">
        <f>IFERROR(IF('Invullen groen'!K185&lt;&gt;0,'Invullen groen'!K185,""),"")</f>
        <v/>
      </c>
    </row>
    <row r="173" ht="15" customHeight="1">
      <c r="A173" s="534">
        <f>IFERROR(IF('Invullen groen'!E186&gt;0,186-17,""),"")</f>
        <v/>
      </c>
      <c r="B173" s="534">
        <f>IFERROR(IF('Invullen groen'!E186&gt;0,'Invullen groen'!A186,""),"")</f>
        <v/>
      </c>
      <c r="C173" s="534">
        <f>IFERROR(IF('Invullen groen'!E186&gt;0,'Invullen groen'!C186,""),"")</f>
        <v/>
      </c>
      <c r="D173" s="534">
        <f>IFERROR(IF('Invullen groen'!E186&gt;0,'Invullen groen'!D186,""),"")</f>
        <v/>
      </c>
      <c r="E173" s="534">
        <f>IFERROR(IF('Invullen groen'!E186&gt;0,'Invullen groen'!G186,""),"")</f>
        <v/>
      </c>
      <c r="F173" s="535">
        <f>IFERROR(IF('Invullen groen'!H186&lt;&gt;0,'Invullen groen'!H186,""),"")</f>
        <v/>
      </c>
      <c r="G173" s="535">
        <f>IFERROR(IF('Invullen groen'!I186&lt;&gt;0,'Invullen groen'!I186,""),"")</f>
        <v/>
      </c>
      <c r="H173" s="535">
        <f>IFERROR(IF('Invullen groen'!J186&lt;&gt;0,'Invullen groen'!J186,""),"")</f>
        <v/>
      </c>
      <c r="I173" s="535">
        <f>IFERROR(IF('Invullen groen'!K186&lt;&gt;0,'Invullen groen'!K186,""),"")</f>
        <v/>
      </c>
    </row>
    <row r="174" ht="15" customHeight="1">
      <c r="A174" s="536">
        <f>IFERROR(IF('Invullen groen'!E187&gt;0,187-17,""),"")</f>
        <v/>
      </c>
      <c r="B174" s="536">
        <f>IFERROR(IF('Invullen groen'!E187&gt;0,'Invullen groen'!A187,""),"")</f>
        <v/>
      </c>
      <c r="C174" s="536">
        <f>IFERROR(IF('Invullen groen'!E187&gt;0,'Invullen groen'!C187,""),"")</f>
        <v/>
      </c>
      <c r="D174" s="536">
        <f>IFERROR(IF('Invullen groen'!E187&gt;0,'Invullen groen'!D187,""),"")</f>
        <v/>
      </c>
      <c r="E174" s="536">
        <f>IFERROR(IF('Invullen groen'!E187&gt;0,'Invullen groen'!G187,""),"")</f>
        <v/>
      </c>
      <c r="F174" s="537">
        <f>IFERROR(IF('Invullen groen'!H187&lt;&gt;0,'Invullen groen'!H187,""),"")</f>
        <v/>
      </c>
      <c r="G174" s="537">
        <f>IFERROR(IF('Invullen groen'!I187&lt;&gt;0,'Invullen groen'!I187,""),"")</f>
        <v/>
      </c>
      <c r="H174" s="537">
        <f>IFERROR(IF('Invullen groen'!J187&lt;&gt;0,'Invullen groen'!J187,""),"")</f>
        <v/>
      </c>
      <c r="I174" s="537">
        <f>IFERROR(IF('Invullen groen'!K187&lt;&gt;0,'Invullen groen'!K187,""),"")</f>
        <v/>
      </c>
    </row>
    <row r="175" ht="15" customHeight="1">
      <c r="A175" s="534">
        <f>IFERROR(IF('Invullen groen'!E188&gt;0,188-17,""),"")</f>
        <v/>
      </c>
      <c r="B175" s="534">
        <f>IFERROR(IF('Invullen groen'!E188&gt;0,'Invullen groen'!A188,""),"")</f>
        <v/>
      </c>
      <c r="C175" s="534">
        <f>IFERROR(IF('Invullen groen'!E188&gt;0,'Invullen groen'!C188,""),"")</f>
        <v/>
      </c>
      <c r="D175" s="534">
        <f>IFERROR(IF('Invullen groen'!E188&gt;0,'Invullen groen'!D188,""),"")</f>
        <v/>
      </c>
      <c r="E175" s="534">
        <f>IFERROR(IF('Invullen groen'!E188&gt;0,'Invullen groen'!G188,""),"")</f>
        <v/>
      </c>
      <c r="F175" s="535">
        <f>IFERROR(IF('Invullen groen'!H188&lt;&gt;0,'Invullen groen'!H188,""),"")</f>
        <v/>
      </c>
      <c r="G175" s="535">
        <f>IFERROR(IF('Invullen groen'!I188&lt;&gt;0,'Invullen groen'!I188,""),"")</f>
        <v/>
      </c>
      <c r="H175" s="535">
        <f>IFERROR(IF('Invullen groen'!J188&lt;&gt;0,'Invullen groen'!J188,""),"")</f>
        <v/>
      </c>
      <c r="I175" s="535">
        <f>IFERROR(IF('Invullen groen'!K188&lt;&gt;0,'Invullen groen'!K188,""),"")</f>
        <v/>
      </c>
    </row>
    <row r="176" ht="15" customHeight="1">
      <c r="A176" s="536">
        <f>IFERROR(IF('Invullen groen'!E189&gt;0,189-17,""),"")</f>
        <v/>
      </c>
      <c r="B176" s="536">
        <f>IFERROR(IF('Invullen groen'!E189&gt;0,'Invullen groen'!A189,""),"")</f>
        <v/>
      </c>
      <c r="C176" s="536">
        <f>IFERROR(IF('Invullen groen'!E189&gt;0,'Invullen groen'!C189,""),"")</f>
        <v/>
      </c>
      <c r="D176" s="536">
        <f>IFERROR(IF('Invullen groen'!E189&gt;0,'Invullen groen'!D189,""),"")</f>
        <v/>
      </c>
      <c r="E176" s="536">
        <f>IFERROR(IF('Invullen groen'!E189&gt;0,'Invullen groen'!G189,""),"")</f>
        <v/>
      </c>
      <c r="F176" s="537">
        <f>IFERROR(IF('Invullen groen'!H189&lt;&gt;0,'Invullen groen'!H189,""),"")</f>
        <v/>
      </c>
      <c r="G176" s="537">
        <f>IFERROR(IF('Invullen groen'!I189&lt;&gt;0,'Invullen groen'!I189,""),"")</f>
        <v/>
      </c>
      <c r="H176" s="537">
        <f>IFERROR(IF('Invullen groen'!J189&lt;&gt;0,'Invullen groen'!J189,""),"")</f>
        <v/>
      </c>
      <c r="I176" s="537">
        <f>IFERROR(IF('Invullen groen'!K189&lt;&gt;0,'Invullen groen'!K189,""),"")</f>
        <v/>
      </c>
    </row>
    <row r="177" ht="15" customHeight="1">
      <c r="A177" s="534">
        <f>IFERROR(IF('Invullen groen'!E190&gt;0,190-17,""),"")</f>
        <v/>
      </c>
      <c r="B177" s="534">
        <f>IFERROR(IF('Invullen groen'!E190&gt;0,'Invullen groen'!A190,""),"")</f>
        <v/>
      </c>
      <c r="C177" s="534">
        <f>IFERROR(IF('Invullen groen'!E190&gt;0,'Invullen groen'!C190,""),"")</f>
        <v/>
      </c>
      <c r="D177" s="534">
        <f>IFERROR(IF('Invullen groen'!E190&gt;0,'Invullen groen'!D190,""),"")</f>
        <v/>
      </c>
      <c r="E177" s="534">
        <f>IFERROR(IF('Invullen groen'!E190&gt;0,'Invullen groen'!G190,""),"")</f>
        <v/>
      </c>
      <c r="F177" s="535">
        <f>IFERROR(IF('Invullen groen'!H190&lt;&gt;0,'Invullen groen'!H190,""),"")</f>
        <v/>
      </c>
      <c r="G177" s="535">
        <f>IFERROR(IF('Invullen groen'!I190&lt;&gt;0,'Invullen groen'!I190,""),"")</f>
        <v/>
      </c>
      <c r="H177" s="535">
        <f>IFERROR(IF('Invullen groen'!J190&lt;&gt;0,'Invullen groen'!J190,""),"")</f>
        <v/>
      </c>
      <c r="I177" s="535">
        <f>IFERROR(IF('Invullen groen'!K190&lt;&gt;0,'Invullen groen'!K190,""),"")</f>
        <v/>
      </c>
    </row>
    <row r="178" ht="15" customHeight="1">
      <c r="A178" s="536">
        <f>IFERROR(IF('Invullen groen'!E191&gt;0,191-17,""),"")</f>
        <v/>
      </c>
      <c r="B178" s="536">
        <f>IFERROR(IF('Invullen groen'!E191&gt;0,'Invullen groen'!A191,""),"")</f>
        <v/>
      </c>
      <c r="C178" s="536">
        <f>IFERROR(IF('Invullen groen'!E191&gt;0,'Invullen groen'!C191,""),"")</f>
        <v/>
      </c>
      <c r="D178" s="536">
        <f>IFERROR(IF('Invullen groen'!E191&gt;0,'Invullen groen'!D191,""),"")</f>
        <v/>
      </c>
      <c r="E178" s="536">
        <f>IFERROR(IF('Invullen groen'!E191&gt;0,'Invullen groen'!G191,""),"")</f>
        <v/>
      </c>
      <c r="F178" s="537">
        <f>IFERROR(IF('Invullen groen'!H191&lt;&gt;0,'Invullen groen'!H191,""),"")</f>
        <v/>
      </c>
      <c r="G178" s="537">
        <f>IFERROR(IF('Invullen groen'!I191&lt;&gt;0,'Invullen groen'!I191,""),"")</f>
        <v/>
      </c>
      <c r="H178" s="537">
        <f>IFERROR(IF('Invullen groen'!J191&lt;&gt;0,'Invullen groen'!J191,""),"")</f>
        <v/>
      </c>
      <c r="I178" s="537">
        <f>IFERROR(IF('Invullen groen'!K191&lt;&gt;0,'Invullen groen'!K191,""),"")</f>
        <v/>
      </c>
    </row>
    <row r="179" ht="15" customHeight="1">
      <c r="A179" s="534">
        <f>IFERROR(IF('Invullen groen'!E192&gt;0,192-17,""),"")</f>
        <v/>
      </c>
      <c r="B179" s="534">
        <f>IFERROR(IF('Invullen groen'!E192&gt;0,'Invullen groen'!A192,""),"")</f>
        <v/>
      </c>
      <c r="C179" s="534">
        <f>IFERROR(IF('Invullen groen'!E192&gt;0,'Invullen groen'!C192,""),"")</f>
        <v/>
      </c>
      <c r="D179" s="534">
        <f>IFERROR(IF('Invullen groen'!E192&gt;0,'Invullen groen'!D192,""),"")</f>
        <v/>
      </c>
      <c r="E179" s="534">
        <f>IFERROR(IF('Invullen groen'!E192&gt;0,'Invullen groen'!G192,""),"")</f>
        <v/>
      </c>
      <c r="F179" s="535">
        <f>IFERROR(IF('Invullen groen'!H192&lt;&gt;0,'Invullen groen'!H192,""),"")</f>
        <v/>
      </c>
      <c r="G179" s="535">
        <f>IFERROR(IF('Invullen groen'!I192&lt;&gt;0,'Invullen groen'!I192,""),"")</f>
        <v/>
      </c>
      <c r="H179" s="535">
        <f>IFERROR(IF('Invullen groen'!J192&lt;&gt;0,'Invullen groen'!J192,""),"")</f>
        <v/>
      </c>
      <c r="I179" s="535">
        <f>IFERROR(IF('Invullen groen'!K192&lt;&gt;0,'Invullen groen'!K192,""),"")</f>
        <v/>
      </c>
    </row>
    <row r="180" ht="15" customHeight="1">
      <c r="A180" s="536">
        <f>IFERROR(IF('Invullen groen'!E193&gt;0,193-17,""),"")</f>
        <v/>
      </c>
      <c r="B180" s="536">
        <f>IFERROR(IF('Invullen groen'!E193&gt;0,'Invullen groen'!A193,""),"")</f>
        <v/>
      </c>
      <c r="C180" s="536">
        <f>IFERROR(IF('Invullen groen'!E193&gt;0,'Invullen groen'!C193,""),"")</f>
        <v/>
      </c>
      <c r="D180" s="536">
        <f>IFERROR(IF('Invullen groen'!E193&gt;0,'Invullen groen'!D193,""),"")</f>
        <v/>
      </c>
      <c r="E180" s="536">
        <f>IFERROR(IF('Invullen groen'!E193&gt;0,'Invullen groen'!G193,""),"")</f>
        <v/>
      </c>
      <c r="F180" s="537">
        <f>IFERROR(IF('Invullen groen'!H193&lt;&gt;0,'Invullen groen'!H193,""),"")</f>
        <v/>
      </c>
      <c r="G180" s="537">
        <f>IFERROR(IF('Invullen groen'!I193&lt;&gt;0,'Invullen groen'!I193,""),"")</f>
        <v/>
      </c>
      <c r="H180" s="537">
        <f>IFERROR(IF('Invullen groen'!J193&lt;&gt;0,'Invullen groen'!J193,""),"")</f>
        <v/>
      </c>
      <c r="I180" s="537">
        <f>IFERROR(IF('Invullen groen'!K193&lt;&gt;0,'Invullen groen'!K193,""),"")</f>
        <v/>
      </c>
    </row>
    <row r="181" ht="15" customHeight="1">
      <c r="A181" s="534">
        <f>IFERROR(IF('Invullen groen'!E194&gt;0,194-17,""),"")</f>
        <v/>
      </c>
      <c r="B181" s="534">
        <f>IFERROR(IF('Invullen groen'!E194&gt;0,'Invullen groen'!A194,""),"")</f>
        <v/>
      </c>
      <c r="C181" s="534">
        <f>IFERROR(IF('Invullen groen'!E194&gt;0,'Invullen groen'!C194,""),"")</f>
        <v/>
      </c>
      <c r="D181" s="534">
        <f>IFERROR(IF('Invullen groen'!E194&gt;0,'Invullen groen'!D194,""),"")</f>
        <v/>
      </c>
      <c r="E181" s="534">
        <f>IFERROR(IF('Invullen groen'!E194&gt;0,'Invullen groen'!G194,""),"")</f>
        <v/>
      </c>
      <c r="F181" s="535">
        <f>IFERROR(IF('Invullen groen'!H194&lt;&gt;0,'Invullen groen'!H194,""),"")</f>
        <v/>
      </c>
      <c r="G181" s="535">
        <f>IFERROR(IF('Invullen groen'!I194&lt;&gt;0,'Invullen groen'!I194,""),"")</f>
        <v/>
      </c>
      <c r="H181" s="535">
        <f>IFERROR(IF('Invullen groen'!J194&lt;&gt;0,'Invullen groen'!J194,""),"")</f>
        <v/>
      </c>
      <c r="I181" s="535">
        <f>IFERROR(IF('Invullen groen'!K194&lt;&gt;0,'Invullen groen'!K194,""),"")</f>
        <v/>
      </c>
    </row>
    <row r="182" ht="15" customHeight="1">
      <c r="A182" s="536">
        <f>IFERROR(IF('Invullen groen'!E195&gt;0,195-17,""),"")</f>
        <v/>
      </c>
      <c r="B182" s="536">
        <f>IFERROR(IF('Invullen groen'!E195&gt;0,'Invullen groen'!A195,""),"")</f>
        <v/>
      </c>
      <c r="C182" s="536">
        <f>IFERROR(IF('Invullen groen'!E195&gt;0,'Invullen groen'!C195,""),"")</f>
        <v/>
      </c>
      <c r="D182" s="536">
        <f>IFERROR(IF('Invullen groen'!E195&gt;0,'Invullen groen'!D195,""),"")</f>
        <v/>
      </c>
      <c r="E182" s="536">
        <f>IFERROR(IF('Invullen groen'!E195&gt;0,'Invullen groen'!G195,""),"")</f>
        <v/>
      </c>
      <c r="F182" s="537">
        <f>IFERROR(IF('Invullen groen'!H195&lt;&gt;0,'Invullen groen'!H195,""),"")</f>
        <v/>
      </c>
      <c r="G182" s="537">
        <f>IFERROR(IF('Invullen groen'!I195&lt;&gt;0,'Invullen groen'!I195,""),"")</f>
        <v/>
      </c>
      <c r="H182" s="537">
        <f>IFERROR(IF('Invullen groen'!J195&lt;&gt;0,'Invullen groen'!J195,""),"")</f>
        <v/>
      </c>
      <c r="I182" s="537">
        <f>IFERROR(IF('Invullen groen'!K195&lt;&gt;0,'Invullen groen'!K195,""),"")</f>
        <v/>
      </c>
    </row>
    <row r="183" ht="15" customHeight="1">
      <c r="A183" s="534">
        <f>IFERROR(IF('Invullen groen'!E196&gt;0,196-17,""),"")</f>
        <v/>
      </c>
      <c r="B183" s="534">
        <f>IFERROR(IF('Invullen groen'!E196&gt;0,'Invullen groen'!A196,""),"")</f>
        <v/>
      </c>
      <c r="C183" s="534">
        <f>IFERROR(IF('Invullen groen'!E196&gt;0,'Invullen groen'!C196,""),"")</f>
        <v/>
      </c>
      <c r="D183" s="534">
        <f>IFERROR(IF('Invullen groen'!E196&gt;0,'Invullen groen'!D196,""),"")</f>
        <v/>
      </c>
      <c r="E183" s="534">
        <f>IFERROR(IF('Invullen groen'!E196&gt;0,'Invullen groen'!G196,""),"")</f>
        <v/>
      </c>
      <c r="F183" s="535">
        <f>IFERROR(IF('Invullen groen'!H196&lt;&gt;0,'Invullen groen'!H196,""),"")</f>
        <v/>
      </c>
      <c r="G183" s="535">
        <f>IFERROR(IF('Invullen groen'!I196&lt;&gt;0,'Invullen groen'!I196,""),"")</f>
        <v/>
      </c>
      <c r="H183" s="535">
        <f>IFERROR(IF('Invullen groen'!J196&lt;&gt;0,'Invullen groen'!J196,""),"")</f>
        <v/>
      </c>
      <c r="I183" s="535">
        <f>IFERROR(IF('Invullen groen'!K196&lt;&gt;0,'Invullen groen'!K196,""),"")</f>
        <v/>
      </c>
    </row>
    <row r="184" ht="15" customHeight="1">
      <c r="A184" s="536">
        <f>IFERROR(IF('Invullen groen'!E197&gt;0,197-17,""),"")</f>
        <v/>
      </c>
      <c r="B184" s="536">
        <f>IFERROR(IF('Invullen groen'!E197&gt;0,'Invullen groen'!A197,""),"")</f>
        <v/>
      </c>
      <c r="C184" s="536">
        <f>IFERROR(IF('Invullen groen'!E197&gt;0,'Invullen groen'!C197,""),"")</f>
        <v/>
      </c>
      <c r="D184" s="536">
        <f>IFERROR(IF('Invullen groen'!E197&gt;0,'Invullen groen'!D197,""),"")</f>
        <v/>
      </c>
      <c r="E184" s="536">
        <f>IFERROR(IF('Invullen groen'!E197&gt;0,'Invullen groen'!G197,""),"")</f>
        <v/>
      </c>
      <c r="F184" s="537">
        <f>IFERROR(IF('Invullen groen'!H197&lt;&gt;0,'Invullen groen'!H197,""),"")</f>
        <v/>
      </c>
      <c r="G184" s="537">
        <f>IFERROR(IF('Invullen groen'!I197&lt;&gt;0,'Invullen groen'!I197,""),"")</f>
        <v/>
      </c>
      <c r="H184" s="537">
        <f>IFERROR(IF('Invullen groen'!J197&lt;&gt;0,'Invullen groen'!J197,""),"")</f>
        <v/>
      </c>
      <c r="I184" s="537">
        <f>IFERROR(IF('Invullen groen'!K197&lt;&gt;0,'Invullen groen'!K197,""),"")</f>
        <v/>
      </c>
    </row>
    <row r="185" ht="15" customHeight="1">
      <c r="A185" s="534">
        <f>IFERROR(IF('Invullen groen'!E198&gt;0,198-17,""),"")</f>
        <v/>
      </c>
      <c r="B185" s="534">
        <f>IFERROR(IF('Invullen groen'!E198&gt;0,'Invullen groen'!A198,""),"")</f>
        <v/>
      </c>
      <c r="C185" s="534">
        <f>IFERROR(IF('Invullen groen'!E198&gt;0,'Invullen groen'!C198,""),"")</f>
        <v/>
      </c>
      <c r="D185" s="534">
        <f>IFERROR(IF('Invullen groen'!E198&gt;0,'Invullen groen'!D198,""),"")</f>
        <v/>
      </c>
      <c r="E185" s="534">
        <f>IFERROR(IF('Invullen groen'!E198&gt;0,'Invullen groen'!G198,""),"")</f>
        <v/>
      </c>
      <c r="F185" s="535">
        <f>IFERROR(IF('Invullen groen'!H198&lt;&gt;0,'Invullen groen'!H198,""),"")</f>
        <v/>
      </c>
      <c r="G185" s="535">
        <f>IFERROR(IF('Invullen groen'!I198&lt;&gt;0,'Invullen groen'!I198,""),"")</f>
        <v/>
      </c>
      <c r="H185" s="535">
        <f>IFERROR(IF('Invullen groen'!J198&lt;&gt;0,'Invullen groen'!J198,""),"")</f>
        <v/>
      </c>
      <c r="I185" s="535">
        <f>IFERROR(IF('Invullen groen'!K198&lt;&gt;0,'Invullen groen'!K198,""),"")</f>
        <v/>
      </c>
    </row>
    <row r="186" ht="15" customHeight="1">
      <c r="A186" s="536">
        <f>IFERROR(IF('Invullen groen'!E199&gt;0,199-17,""),"")</f>
        <v/>
      </c>
      <c r="B186" s="536">
        <f>IFERROR(IF('Invullen groen'!E199&gt;0,'Invullen groen'!A199,""),"")</f>
        <v/>
      </c>
      <c r="C186" s="536">
        <f>IFERROR(IF('Invullen groen'!E199&gt;0,'Invullen groen'!C199,""),"")</f>
        <v/>
      </c>
      <c r="D186" s="536">
        <f>IFERROR(IF('Invullen groen'!E199&gt;0,'Invullen groen'!D199,""),"")</f>
        <v/>
      </c>
      <c r="E186" s="536">
        <f>IFERROR(IF('Invullen groen'!E199&gt;0,'Invullen groen'!G199,""),"")</f>
        <v/>
      </c>
      <c r="F186" s="537">
        <f>IFERROR(IF('Invullen groen'!H199&lt;&gt;0,'Invullen groen'!H199,""),"")</f>
        <v/>
      </c>
      <c r="G186" s="537">
        <f>IFERROR(IF('Invullen groen'!I199&lt;&gt;0,'Invullen groen'!I199,""),"")</f>
        <v/>
      </c>
      <c r="H186" s="537">
        <f>IFERROR(IF('Invullen groen'!J199&lt;&gt;0,'Invullen groen'!J199,""),"")</f>
        <v/>
      </c>
      <c r="I186" s="537">
        <f>IFERROR(IF('Invullen groen'!K199&lt;&gt;0,'Invullen groen'!K199,""),"")</f>
        <v/>
      </c>
    </row>
    <row r="187" ht="15" customHeight="1">
      <c r="A187" s="534">
        <f>IFERROR(IF('Invullen groen'!E200&gt;0,200-17,""),"")</f>
        <v/>
      </c>
      <c r="B187" s="534">
        <f>IFERROR(IF('Invullen groen'!E200&gt;0,'Invullen groen'!A200,""),"")</f>
        <v/>
      </c>
      <c r="C187" s="534">
        <f>IFERROR(IF('Invullen groen'!E200&gt;0,'Invullen groen'!C200,""),"")</f>
        <v/>
      </c>
      <c r="D187" s="534">
        <f>IFERROR(IF('Invullen groen'!E200&gt;0,'Invullen groen'!D200,""),"")</f>
        <v/>
      </c>
      <c r="E187" s="534">
        <f>IFERROR(IF('Invullen groen'!E200&gt;0,'Invullen groen'!G200,""),"")</f>
        <v/>
      </c>
      <c r="F187" s="535">
        <f>IFERROR(IF('Invullen groen'!H200&lt;&gt;0,'Invullen groen'!H200,""),"")</f>
        <v/>
      </c>
      <c r="G187" s="535">
        <f>IFERROR(IF('Invullen groen'!I200&lt;&gt;0,'Invullen groen'!I200,""),"")</f>
        <v/>
      </c>
      <c r="H187" s="535">
        <f>IFERROR(IF('Invullen groen'!J200&lt;&gt;0,'Invullen groen'!J200,""),"")</f>
        <v/>
      </c>
      <c r="I187" s="535">
        <f>IFERROR(IF('Invullen groen'!K200&lt;&gt;0,'Invullen groen'!K200,""),"")</f>
        <v/>
      </c>
    </row>
    <row r="188" ht="15" customHeight="1">
      <c r="A188" s="536">
        <f>IFERROR(IF('Invullen groen'!E201&gt;0,201-17,""),"")</f>
        <v/>
      </c>
      <c r="B188" s="536">
        <f>IFERROR(IF('Invullen groen'!E201&gt;0,'Invullen groen'!A201,""),"")</f>
        <v/>
      </c>
      <c r="C188" s="536">
        <f>IFERROR(IF('Invullen groen'!E201&gt;0,'Invullen groen'!C201,""),"")</f>
        <v/>
      </c>
      <c r="D188" s="536">
        <f>IFERROR(IF('Invullen groen'!E201&gt;0,'Invullen groen'!D201,""),"")</f>
        <v/>
      </c>
      <c r="E188" s="536">
        <f>IFERROR(IF('Invullen groen'!E201&gt;0,'Invullen groen'!G201,""),"")</f>
        <v/>
      </c>
      <c r="F188" s="537">
        <f>IFERROR(IF('Invullen groen'!H201&lt;&gt;0,'Invullen groen'!H201,""),"")</f>
        <v/>
      </c>
      <c r="G188" s="537">
        <f>IFERROR(IF('Invullen groen'!I201&lt;&gt;0,'Invullen groen'!I201,""),"")</f>
        <v/>
      </c>
      <c r="H188" s="537">
        <f>IFERROR(IF('Invullen groen'!J201&lt;&gt;0,'Invullen groen'!J201,""),"")</f>
        <v/>
      </c>
      <c r="I188" s="537">
        <f>IFERROR(IF('Invullen groen'!K201&lt;&gt;0,'Invullen groen'!K201,""),"")</f>
        <v/>
      </c>
    </row>
    <row r="189" ht="15" customHeight="1">
      <c r="A189" s="534">
        <f>IFERROR(IF('Invullen groen'!E202&gt;0,202-17,""),"")</f>
        <v/>
      </c>
      <c r="B189" s="534">
        <f>IFERROR(IF('Invullen groen'!E202&gt;0,'Invullen groen'!A202,""),"")</f>
        <v/>
      </c>
      <c r="C189" s="534">
        <f>IFERROR(IF('Invullen groen'!E202&gt;0,'Invullen groen'!C202,""),"")</f>
        <v/>
      </c>
      <c r="D189" s="534">
        <f>IFERROR(IF('Invullen groen'!E202&gt;0,'Invullen groen'!D202,""),"")</f>
        <v/>
      </c>
      <c r="E189" s="534">
        <f>IFERROR(IF('Invullen groen'!E202&gt;0,'Invullen groen'!G202,""),"")</f>
        <v/>
      </c>
      <c r="F189" s="535">
        <f>IFERROR(IF('Invullen groen'!H202&lt;&gt;0,'Invullen groen'!H202,""),"")</f>
        <v/>
      </c>
      <c r="G189" s="535">
        <f>IFERROR(IF('Invullen groen'!I202&lt;&gt;0,'Invullen groen'!I202,""),"")</f>
        <v/>
      </c>
      <c r="H189" s="535">
        <f>IFERROR(IF('Invullen groen'!J202&lt;&gt;0,'Invullen groen'!J202,""),"")</f>
        <v/>
      </c>
      <c r="I189" s="535">
        <f>IFERROR(IF('Invullen groen'!K202&lt;&gt;0,'Invullen groen'!K202,""),"")</f>
        <v/>
      </c>
    </row>
    <row r="190" ht="15" customHeight="1">
      <c r="A190" s="536">
        <f>IFERROR(IF('Invullen groen'!E203&gt;0,203-17,""),"")</f>
        <v/>
      </c>
      <c r="B190" s="536">
        <f>IFERROR(IF('Invullen groen'!E203&gt;0,'Invullen groen'!A203,""),"")</f>
        <v/>
      </c>
      <c r="C190" s="536">
        <f>IFERROR(IF('Invullen groen'!E203&gt;0,'Invullen groen'!C203,""),"")</f>
        <v/>
      </c>
      <c r="D190" s="536">
        <f>IFERROR(IF('Invullen groen'!E203&gt;0,'Invullen groen'!D203,""),"")</f>
        <v/>
      </c>
      <c r="E190" s="536">
        <f>IFERROR(IF('Invullen groen'!E203&gt;0,'Invullen groen'!G203,""),"")</f>
        <v/>
      </c>
      <c r="F190" s="537">
        <f>IFERROR(IF('Invullen groen'!H203&lt;&gt;0,'Invullen groen'!H203,""),"")</f>
        <v/>
      </c>
      <c r="G190" s="537">
        <f>IFERROR(IF('Invullen groen'!I203&lt;&gt;0,'Invullen groen'!I203,""),"")</f>
        <v/>
      </c>
      <c r="H190" s="537">
        <f>IFERROR(IF('Invullen groen'!J203&lt;&gt;0,'Invullen groen'!J203,""),"")</f>
        <v/>
      </c>
      <c r="I190" s="537">
        <f>IFERROR(IF('Invullen groen'!K203&lt;&gt;0,'Invullen groen'!K203,""),"")</f>
        <v/>
      </c>
    </row>
    <row r="191" ht="15" customHeight="1">
      <c r="A191" s="534">
        <f>IFERROR(IF('Invullen groen'!E204&gt;0,204-17,""),"")</f>
        <v/>
      </c>
      <c r="B191" s="534">
        <f>IFERROR(IF('Invullen groen'!E204&gt;0,'Invullen groen'!A204,""),"")</f>
        <v/>
      </c>
      <c r="C191" s="534">
        <f>IFERROR(IF('Invullen groen'!E204&gt;0,'Invullen groen'!C204,""),"")</f>
        <v/>
      </c>
      <c r="D191" s="534">
        <f>IFERROR(IF('Invullen groen'!E204&gt;0,'Invullen groen'!D204,""),"")</f>
        <v/>
      </c>
      <c r="E191" s="534">
        <f>IFERROR(IF('Invullen groen'!E204&gt;0,'Invullen groen'!G204,""),"")</f>
        <v/>
      </c>
      <c r="F191" s="535">
        <f>IFERROR(IF('Invullen groen'!H204&lt;&gt;0,'Invullen groen'!H204,""),"")</f>
        <v/>
      </c>
      <c r="G191" s="535">
        <f>IFERROR(IF('Invullen groen'!I204&lt;&gt;0,'Invullen groen'!I204,""),"")</f>
        <v/>
      </c>
      <c r="H191" s="535">
        <f>IFERROR(IF('Invullen groen'!J204&lt;&gt;0,'Invullen groen'!J204,""),"")</f>
        <v/>
      </c>
      <c r="I191" s="535">
        <f>IFERROR(IF('Invullen groen'!K204&lt;&gt;0,'Invullen groen'!K204,""),"")</f>
        <v/>
      </c>
    </row>
    <row r="192" ht="15" customHeight="1">
      <c r="A192" s="536">
        <f>IFERROR(IF('Invullen groen'!E205&gt;0,205-17,""),"")</f>
        <v/>
      </c>
      <c r="B192" s="536">
        <f>IFERROR(IF('Invullen groen'!E205&gt;0,'Invullen groen'!A205,""),"")</f>
        <v/>
      </c>
      <c r="C192" s="536">
        <f>IFERROR(IF('Invullen groen'!E205&gt;0,'Invullen groen'!C205,""),"")</f>
        <v/>
      </c>
      <c r="D192" s="536">
        <f>IFERROR(IF('Invullen groen'!E205&gt;0,'Invullen groen'!D205,""),"")</f>
        <v/>
      </c>
      <c r="E192" s="536">
        <f>IFERROR(IF('Invullen groen'!E205&gt;0,'Invullen groen'!G205,""),"")</f>
        <v/>
      </c>
      <c r="F192" s="537">
        <f>IFERROR(IF('Invullen groen'!H205&lt;&gt;0,'Invullen groen'!H205,""),"")</f>
        <v/>
      </c>
      <c r="G192" s="537">
        <f>IFERROR(IF('Invullen groen'!I205&lt;&gt;0,'Invullen groen'!I205,""),"")</f>
        <v/>
      </c>
      <c r="H192" s="537">
        <f>IFERROR(IF('Invullen groen'!J205&lt;&gt;0,'Invullen groen'!J205,""),"")</f>
        <v/>
      </c>
      <c r="I192" s="537">
        <f>IFERROR(IF('Invullen groen'!K205&lt;&gt;0,'Invullen groen'!K205,""),"")</f>
        <v/>
      </c>
    </row>
    <row r="193" ht="15" customHeight="1">
      <c r="A193" s="534">
        <f>IFERROR(IF('Invullen groen'!E206&gt;0,206-17,""),"")</f>
        <v/>
      </c>
      <c r="B193" s="534">
        <f>IFERROR(IF('Invullen groen'!E206&gt;0,'Invullen groen'!A206,""),"")</f>
        <v/>
      </c>
      <c r="C193" s="534">
        <f>IFERROR(IF('Invullen groen'!E206&gt;0,'Invullen groen'!C206,""),"")</f>
        <v/>
      </c>
      <c r="D193" s="534">
        <f>IFERROR(IF('Invullen groen'!E206&gt;0,'Invullen groen'!D206,""),"")</f>
        <v/>
      </c>
      <c r="E193" s="534">
        <f>IFERROR(IF('Invullen groen'!E206&gt;0,'Invullen groen'!G206,""),"")</f>
        <v/>
      </c>
      <c r="F193" s="535">
        <f>IFERROR(IF('Invullen groen'!H206&lt;&gt;0,'Invullen groen'!H206,""),"")</f>
        <v/>
      </c>
      <c r="G193" s="535">
        <f>IFERROR(IF('Invullen groen'!I206&lt;&gt;0,'Invullen groen'!I206,""),"")</f>
        <v/>
      </c>
      <c r="H193" s="535">
        <f>IFERROR(IF('Invullen groen'!J206&lt;&gt;0,'Invullen groen'!J206,""),"")</f>
        <v/>
      </c>
      <c r="I193" s="535">
        <f>IFERROR(IF('Invullen groen'!K206&lt;&gt;0,'Invullen groen'!K206,""),"")</f>
        <v/>
      </c>
    </row>
    <row r="194" ht="15" customHeight="1">
      <c r="A194" s="536">
        <f>IFERROR(IF('Invullen groen'!E207&gt;0,207-17,""),"")</f>
        <v/>
      </c>
      <c r="B194" s="536">
        <f>IFERROR(IF('Invullen groen'!E207&gt;0,'Invullen groen'!A207,""),"")</f>
        <v/>
      </c>
      <c r="C194" s="536">
        <f>IFERROR(IF('Invullen groen'!E207&gt;0,'Invullen groen'!C207,""),"")</f>
        <v/>
      </c>
      <c r="D194" s="536">
        <f>IFERROR(IF('Invullen groen'!E207&gt;0,'Invullen groen'!D207,""),"")</f>
        <v/>
      </c>
      <c r="E194" s="536">
        <f>IFERROR(IF('Invullen groen'!E207&gt;0,'Invullen groen'!G207,""),"")</f>
        <v/>
      </c>
      <c r="F194" s="537">
        <f>IFERROR(IF('Invullen groen'!H207&lt;&gt;0,'Invullen groen'!H207,""),"")</f>
        <v/>
      </c>
      <c r="G194" s="537">
        <f>IFERROR(IF('Invullen groen'!I207&lt;&gt;0,'Invullen groen'!I207,""),"")</f>
        <v/>
      </c>
      <c r="H194" s="537">
        <f>IFERROR(IF('Invullen groen'!J207&lt;&gt;0,'Invullen groen'!J207,""),"")</f>
        <v/>
      </c>
      <c r="I194" s="537">
        <f>IFERROR(IF('Invullen groen'!K207&lt;&gt;0,'Invullen groen'!K207,""),"")</f>
        <v/>
      </c>
    </row>
    <row r="195" ht="15" customHeight="1">
      <c r="A195" s="534">
        <f>IFERROR(IF('Invullen groen'!E208&gt;0,208-17,""),"")</f>
        <v/>
      </c>
      <c r="B195" s="534">
        <f>IFERROR(IF('Invullen groen'!E208&gt;0,'Invullen groen'!A208,""),"")</f>
        <v/>
      </c>
      <c r="C195" s="534">
        <f>IFERROR(IF('Invullen groen'!E208&gt;0,'Invullen groen'!C208,""),"")</f>
        <v/>
      </c>
      <c r="D195" s="534">
        <f>IFERROR(IF('Invullen groen'!E208&gt;0,'Invullen groen'!D208,""),"")</f>
        <v/>
      </c>
      <c r="E195" s="534">
        <f>IFERROR(IF('Invullen groen'!E208&gt;0,'Invullen groen'!G208,""),"")</f>
        <v/>
      </c>
      <c r="F195" s="535">
        <f>IFERROR(IF('Invullen groen'!H208&lt;&gt;0,'Invullen groen'!H208,""),"")</f>
        <v/>
      </c>
      <c r="G195" s="535">
        <f>IFERROR(IF('Invullen groen'!I208&lt;&gt;0,'Invullen groen'!I208,""),"")</f>
        <v/>
      </c>
      <c r="H195" s="535">
        <f>IFERROR(IF('Invullen groen'!J208&lt;&gt;0,'Invullen groen'!J208,""),"")</f>
        <v/>
      </c>
      <c r="I195" s="535">
        <f>IFERROR(IF('Invullen groen'!K208&lt;&gt;0,'Invullen groen'!K208,""),"")</f>
        <v/>
      </c>
    </row>
    <row r="196" ht="15" customHeight="1">
      <c r="A196" s="536">
        <f>IFERROR(IF('Invullen groen'!E209&gt;0,209-17,""),"")</f>
        <v/>
      </c>
      <c r="B196" s="536">
        <f>IFERROR(IF('Invullen groen'!E209&gt;0,'Invullen groen'!A209,""),"")</f>
        <v/>
      </c>
      <c r="C196" s="536">
        <f>IFERROR(IF('Invullen groen'!E209&gt;0,'Invullen groen'!C209,""),"")</f>
        <v/>
      </c>
      <c r="D196" s="536">
        <f>IFERROR(IF('Invullen groen'!E209&gt;0,'Invullen groen'!D209,""),"")</f>
        <v/>
      </c>
      <c r="E196" s="536">
        <f>IFERROR(IF('Invullen groen'!E209&gt;0,'Invullen groen'!G209,""),"")</f>
        <v/>
      </c>
      <c r="F196" s="537">
        <f>IFERROR(IF('Invullen groen'!H209&lt;&gt;0,'Invullen groen'!H209,""),"")</f>
        <v/>
      </c>
      <c r="G196" s="537">
        <f>IFERROR(IF('Invullen groen'!I209&lt;&gt;0,'Invullen groen'!I209,""),"")</f>
        <v/>
      </c>
      <c r="H196" s="537">
        <f>IFERROR(IF('Invullen groen'!J209&lt;&gt;0,'Invullen groen'!J209,""),"")</f>
        <v/>
      </c>
      <c r="I196" s="537">
        <f>IFERROR(IF('Invullen groen'!K209&lt;&gt;0,'Invullen groen'!K209,""),"")</f>
        <v/>
      </c>
    </row>
    <row r="197" ht="15" customHeight="1">
      <c r="A197" s="534">
        <f>IFERROR(IF('Invullen groen'!E210&gt;0,210-17,""),"")</f>
        <v/>
      </c>
      <c r="B197" s="534">
        <f>IFERROR(IF('Invullen groen'!E210&gt;0,'Invullen groen'!A210,""),"")</f>
        <v/>
      </c>
      <c r="C197" s="534">
        <f>IFERROR(IF('Invullen groen'!E210&gt;0,'Invullen groen'!C210,""),"")</f>
        <v/>
      </c>
      <c r="D197" s="534">
        <f>IFERROR(IF('Invullen groen'!E210&gt;0,'Invullen groen'!D210,""),"")</f>
        <v/>
      </c>
      <c r="E197" s="534">
        <f>IFERROR(IF('Invullen groen'!E210&gt;0,'Invullen groen'!G210,""),"")</f>
        <v/>
      </c>
      <c r="F197" s="535">
        <f>IFERROR(IF('Invullen groen'!H210&lt;&gt;0,'Invullen groen'!H210,""),"")</f>
        <v/>
      </c>
      <c r="G197" s="535">
        <f>IFERROR(IF('Invullen groen'!I210&lt;&gt;0,'Invullen groen'!I210,""),"")</f>
        <v/>
      </c>
      <c r="H197" s="535">
        <f>IFERROR(IF('Invullen groen'!J210&lt;&gt;0,'Invullen groen'!J210,""),"")</f>
        <v/>
      </c>
      <c r="I197" s="535">
        <f>IFERROR(IF('Invullen groen'!K210&lt;&gt;0,'Invullen groen'!K210,""),"")</f>
        <v/>
      </c>
    </row>
    <row r="198" ht="15" customHeight="1">
      <c r="A198" s="536">
        <f>IFERROR(IF('Invullen groen'!E211&gt;0,211-17,""),"")</f>
        <v/>
      </c>
      <c r="B198" s="536">
        <f>IFERROR(IF('Invullen groen'!E211&gt;0,'Invullen groen'!A211,""),"")</f>
        <v/>
      </c>
      <c r="C198" s="536">
        <f>IFERROR(IF('Invullen groen'!E211&gt;0,'Invullen groen'!C211,""),"")</f>
        <v/>
      </c>
      <c r="D198" s="536">
        <f>IFERROR(IF('Invullen groen'!E211&gt;0,'Invullen groen'!D211,""),"")</f>
        <v/>
      </c>
      <c r="E198" s="536">
        <f>IFERROR(IF('Invullen groen'!E211&gt;0,'Invullen groen'!G211,""),"")</f>
        <v/>
      </c>
      <c r="F198" s="537">
        <f>IFERROR(IF('Invullen groen'!H211&lt;&gt;0,'Invullen groen'!H211,""),"")</f>
        <v/>
      </c>
      <c r="G198" s="537">
        <f>IFERROR(IF('Invullen groen'!I211&lt;&gt;0,'Invullen groen'!I211,""),"")</f>
        <v/>
      </c>
      <c r="H198" s="537">
        <f>IFERROR(IF('Invullen groen'!J211&lt;&gt;0,'Invullen groen'!J211,""),"")</f>
        <v/>
      </c>
      <c r="I198" s="537">
        <f>IFERROR(IF('Invullen groen'!K211&lt;&gt;0,'Invullen groen'!K211,""),"")</f>
        <v/>
      </c>
    </row>
    <row r="199" ht="15" customHeight="1">
      <c r="A199" s="534">
        <f>IFERROR(IF('Invullen groen'!E212&gt;0,212-17,""),"")</f>
        <v/>
      </c>
      <c r="B199" s="534">
        <f>IFERROR(IF('Invullen groen'!E212&gt;0,'Invullen groen'!A212,""),"")</f>
        <v/>
      </c>
      <c r="C199" s="534">
        <f>IFERROR(IF('Invullen groen'!E212&gt;0,'Invullen groen'!C212,""),"")</f>
        <v/>
      </c>
      <c r="D199" s="534">
        <f>IFERROR(IF('Invullen groen'!E212&gt;0,'Invullen groen'!D212,""),"")</f>
        <v/>
      </c>
      <c r="E199" s="534">
        <f>IFERROR(IF('Invullen groen'!E212&gt;0,'Invullen groen'!G212,""),"")</f>
        <v/>
      </c>
      <c r="F199" s="535">
        <f>IFERROR(IF('Invullen groen'!H212&lt;&gt;0,'Invullen groen'!H212,""),"")</f>
        <v/>
      </c>
      <c r="G199" s="535">
        <f>IFERROR(IF('Invullen groen'!I212&lt;&gt;0,'Invullen groen'!I212,""),"")</f>
        <v/>
      </c>
      <c r="H199" s="535">
        <f>IFERROR(IF('Invullen groen'!J212&lt;&gt;0,'Invullen groen'!J212,""),"")</f>
        <v/>
      </c>
      <c r="I199" s="535">
        <f>IFERROR(IF('Invullen groen'!K212&lt;&gt;0,'Invullen groen'!K212,""),"")</f>
        <v/>
      </c>
    </row>
    <row r="200" ht="15" customHeight="1">
      <c r="A200" s="536">
        <f>IFERROR(IF('Invullen groen'!E213&gt;0,213-17,""),"")</f>
        <v/>
      </c>
      <c r="B200" s="536">
        <f>IFERROR(IF('Invullen groen'!E213&gt;0,'Invullen groen'!A213,""),"")</f>
        <v/>
      </c>
      <c r="C200" s="536">
        <f>IFERROR(IF('Invullen groen'!E213&gt;0,'Invullen groen'!C213,""),"")</f>
        <v/>
      </c>
      <c r="D200" s="536">
        <f>IFERROR(IF('Invullen groen'!E213&gt;0,'Invullen groen'!D213,""),"")</f>
        <v/>
      </c>
      <c r="E200" s="536">
        <f>IFERROR(IF('Invullen groen'!E213&gt;0,'Invullen groen'!G213,""),"")</f>
        <v/>
      </c>
      <c r="F200" s="537">
        <f>IFERROR(IF('Invullen groen'!H213&lt;&gt;0,'Invullen groen'!H213,""),"")</f>
        <v/>
      </c>
      <c r="G200" s="537">
        <f>IFERROR(IF('Invullen groen'!I213&lt;&gt;0,'Invullen groen'!I213,""),"")</f>
        <v/>
      </c>
      <c r="H200" s="537">
        <f>IFERROR(IF('Invullen groen'!J213&lt;&gt;0,'Invullen groen'!J213,""),"")</f>
        <v/>
      </c>
      <c r="I200" s="537">
        <f>IFERROR(IF('Invullen groen'!K213&lt;&gt;0,'Invullen groen'!K213,""),"")</f>
        <v/>
      </c>
    </row>
    <row r="201" ht="15" customHeight="1">
      <c r="A201" s="534">
        <f>IFERROR(IF('Invullen groen'!E214&gt;0,214-17,""),"")</f>
        <v/>
      </c>
      <c r="B201" s="534">
        <f>IFERROR(IF('Invullen groen'!E214&gt;0,'Invullen groen'!A214,""),"")</f>
        <v/>
      </c>
      <c r="C201" s="534">
        <f>IFERROR(IF('Invullen groen'!E214&gt;0,'Invullen groen'!C214,""),"")</f>
        <v/>
      </c>
      <c r="D201" s="534">
        <f>IFERROR(IF('Invullen groen'!E214&gt;0,'Invullen groen'!D214,""),"")</f>
        <v/>
      </c>
      <c r="E201" s="534">
        <f>IFERROR(IF('Invullen groen'!E214&gt;0,'Invullen groen'!G214,""),"")</f>
        <v/>
      </c>
      <c r="F201" s="535">
        <f>IFERROR(IF('Invullen groen'!H214&lt;&gt;0,'Invullen groen'!H214,""),"")</f>
        <v/>
      </c>
      <c r="G201" s="535">
        <f>IFERROR(IF('Invullen groen'!I214&lt;&gt;0,'Invullen groen'!I214,""),"")</f>
        <v/>
      </c>
      <c r="H201" s="535">
        <f>IFERROR(IF('Invullen groen'!J214&lt;&gt;0,'Invullen groen'!J214,""),"")</f>
        <v/>
      </c>
      <c r="I201" s="535">
        <f>IFERROR(IF('Invullen groen'!K214&lt;&gt;0,'Invullen groen'!K214,""),"")</f>
        <v/>
      </c>
    </row>
    <row r="202" ht="15" customHeight="1">
      <c r="A202" s="536">
        <f>IFERROR(IF('Invullen groen'!E215&gt;0,215-17,""),"")</f>
        <v/>
      </c>
      <c r="B202" s="536">
        <f>IFERROR(IF('Invullen groen'!E215&gt;0,'Invullen groen'!A215,""),"")</f>
        <v/>
      </c>
      <c r="C202" s="536">
        <f>IFERROR(IF('Invullen groen'!E215&gt;0,'Invullen groen'!C215,""),"")</f>
        <v/>
      </c>
      <c r="D202" s="536">
        <f>IFERROR(IF('Invullen groen'!E215&gt;0,'Invullen groen'!D215,""),"")</f>
        <v/>
      </c>
      <c r="E202" s="536">
        <f>IFERROR(IF('Invullen groen'!E215&gt;0,'Invullen groen'!G215,""),"")</f>
        <v/>
      </c>
      <c r="F202" s="537">
        <f>IFERROR(IF('Invullen groen'!H215&lt;&gt;0,'Invullen groen'!H215,""),"")</f>
        <v/>
      </c>
      <c r="G202" s="537">
        <f>IFERROR(IF('Invullen groen'!I215&lt;&gt;0,'Invullen groen'!I215,""),"")</f>
        <v/>
      </c>
      <c r="H202" s="537">
        <f>IFERROR(IF('Invullen groen'!J215&lt;&gt;0,'Invullen groen'!J215,""),"")</f>
        <v/>
      </c>
      <c r="I202" s="537">
        <f>IFERROR(IF('Invullen groen'!K215&lt;&gt;0,'Invullen groen'!K215,""),"")</f>
        <v/>
      </c>
    </row>
    <row r="203" ht="15" customHeight="1">
      <c r="A203" s="534">
        <f>IFERROR(IF('Invullen groen'!E216&gt;0,216-17,""),"")</f>
        <v/>
      </c>
      <c r="B203" s="534">
        <f>IFERROR(IF('Invullen groen'!E216&gt;0,'Invullen groen'!A216,""),"")</f>
        <v/>
      </c>
      <c r="C203" s="534">
        <f>IFERROR(IF('Invullen groen'!E216&gt;0,'Invullen groen'!C216,""),"")</f>
        <v/>
      </c>
      <c r="D203" s="534">
        <f>IFERROR(IF('Invullen groen'!E216&gt;0,'Invullen groen'!D216,""),"")</f>
        <v/>
      </c>
      <c r="E203" s="534">
        <f>IFERROR(IF('Invullen groen'!E216&gt;0,'Invullen groen'!G216,""),"")</f>
        <v/>
      </c>
      <c r="F203" s="535">
        <f>IFERROR(IF('Invullen groen'!H216&lt;&gt;0,'Invullen groen'!H216,""),"")</f>
        <v/>
      </c>
      <c r="G203" s="535">
        <f>IFERROR(IF('Invullen groen'!I216&lt;&gt;0,'Invullen groen'!I216,""),"")</f>
        <v/>
      </c>
      <c r="H203" s="535">
        <f>IFERROR(IF('Invullen groen'!J216&lt;&gt;0,'Invullen groen'!J216,""),"")</f>
        <v/>
      </c>
      <c r="I203" s="535">
        <f>IFERROR(IF('Invullen groen'!K216&lt;&gt;0,'Invullen groen'!K216,""),"")</f>
        <v/>
      </c>
    </row>
    <row r="204" ht="15" customHeight="1">
      <c r="A204" s="536">
        <f>IFERROR(IF('Invullen groen'!E217&gt;0,217-17,""),"")</f>
        <v/>
      </c>
      <c r="B204" s="536">
        <f>IFERROR(IF('Invullen groen'!E217&gt;0,'Invullen groen'!A217,""),"")</f>
        <v/>
      </c>
      <c r="C204" s="536">
        <f>IFERROR(IF('Invullen groen'!E217&gt;0,'Invullen groen'!C217,""),"")</f>
        <v/>
      </c>
      <c r="D204" s="536">
        <f>IFERROR(IF('Invullen groen'!E217&gt;0,'Invullen groen'!D217,""),"")</f>
        <v/>
      </c>
      <c r="E204" s="536">
        <f>IFERROR(IF('Invullen groen'!E217&gt;0,'Invullen groen'!G217,""),"")</f>
        <v/>
      </c>
      <c r="F204" s="537">
        <f>IFERROR(IF('Invullen groen'!H217&lt;&gt;0,'Invullen groen'!H217,""),"")</f>
        <v/>
      </c>
      <c r="G204" s="537">
        <f>IFERROR(IF('Invullen groen'!I217&lt;&gt;0,'Invullen groen'!I217,""),"")</f>
        <v/>
      </c>
      <c r="H204" s="537">
        <f>IFERROR(IF('Invullen groen'!J217&lt;&gt;0,'Invullen groen'!J217,""),"")</f>
        <v/>
      </c>
      <c r="I204" s="537">
        <f>IFERROR(IF('Invullen groen'!K217&lt;&gt;0,'Invullen groen'!K217,""),"")</f>
        <v/>
      </c>
    </row>
    <row r="205" ht="15" customHeight="1">
      <c r="A205" s="534">
        <f>IFERROR(IF('Invullen groen'!E218&gt;0,218-17,""),"")</f>
        <v/>
      </c>
      <c r="B205" s="534">
        <f>IFERROR(IF('Invullen groen'!E218&gt;0,'Invullen groen'!A218,""),"")</f>
        <v/>
      </c>
      <c r="C205" s="534">
        <f>IFERROR(IF('Invullen groen'!E218&gt;0,'Invullen groen'!C218,""),"")</f>
        <v/>
      </c>
      <c r="D205" s="534">
        <f>IFERROR(IF('Invullen groen'!E218&gt;0,'Invullen groen'!D218,""),"")</f>
        <v/>
      </c>
      <c r="E205" s="534">
        <f>IFERROR(IF('Invullen groen'!E218&gt;0,'Invullen groen'!G218,""),"")</f>
        <v/>
      </c>
      <c r="F205" s="535">
        <f>IFERROR(IF('Invullen groen'!H218&lt;&gt;0,'Invullen groen'!H218,""),"")</f>
        <v/>
      </c>
      <c r="G205" s="535">
        <f>IFERROR(IF('Invullen groen'!I218&lt;&gt;0,'Invullen groen'!I218,""),"")</f>
        <v/>
      </c>
      <c r="H205" s="535">
        <f>IFERROR(IF('Invullen groen'!J218&lt;&gt;0,'Invullen groen'!J218,""),"")</f>
        <v/>
      </c>
      <c r="I205" s="535">
        <f>IFERROR(IF('Invullen groen'!K218&lt;&gt;0,'Invullen groen'!K218,""),"")</f>
        <v/>
      </c>
    </row>
    <row r="206" ht="15" customHeight="1">
      <c r="A206" s="536">
        <f>IFERROR(IF('Invullen groen'!E219&gt;0,219-17,""),"")</f>
        <v/>
      </c>
      <c r="B206" s="536">
        <f>IFERROR(IF('Invullen groen'!E219&gt;0,'Invullen groen'!A219,""),"")</f>
        <v/>
      </c>
      <c r="C206" s="536">
        <f>IFERROR(IF('Invullen groen'!E219&gt;0,'Invullen groen'!C219,""),"")</f>
        <v/>
      </c>
      <c r="D206" s="536">
        <f>IFERROR(IF('Invullen groen'!E219&gt;0,'Invullen groen'!D219,""),"")</f>
        <v/>
      </c>
      <c r="E206" s="536">
        <f>IFERROR(IF('Invullen groen'!E219&gt;0,'Invullen groen'!G219,""),"")</f>
        <v/>
      </c>
      <c r="F206" s="537">
        <f>IFERROR(IF('Invullen groen'!H219&lt;&gt;0,'Invullen groen'!H219,""),"")</f>
        <v/>
      </c>
      <c r="G206" s="537">
        <f>IFERROR(IF('Invullen groen'!I219&lt;&gt;0,'Invullen groen'!I219,""),"")</f>
        <v/>
      </c>
      <c r="H206" s="537">
        <f>IFERROR(IF('Invullen groen'!J219&lt;&gt;0,'Invullen groen'!J219,""),"")</f>
        <v/>
      </c>
      <c r="I206" s="537">
        <f>IFERROR(IF('Invullen groen'!K219&lt;&gt;0,'Invullen groen'!K219,""),"")</f>
        <v/>
      </c>
    </row>
    <row r="207" ht="15" customHeight="1">
      <c r="A207" s="534">
        <f>IFERROR(IF('Invullen groen'!E220&gt;0,220-17,""),"")</f>
        <v/>
      </c>
      <c r="B207" s="534">
        <f>IFERROR(IF('Invullen groen'!E220&gt;0,'Invullen groen'!A220,""),"")</f>
        <v/>
      </c>
      <c r="C207" s="534">
        <f>IFERROR(IF('Invullen groen'!E220&gt;0,'Invullen groen'!C220,""),"")</f>
        <v/>
      </c>
      <c r="D207" s="534">
        <f>IFERROR(IF('Invullen groen'!E220&gt;0,'Invullen groen'!D220,""),"")</f>
        <v/>
      </c>
      <c r="E207" s="534">
        <f>IFERROR(IF('Invullen groen'!E220&gt;0,'Invullen groen'!G220,""),"")</f>
        <v/>
      </c>
      <c r="F207" s="535">
        <f>IFERROR(IF('Invullen groen'!H220&lt;&gt;0,'Invullen groen'!H220,""),"")</f>
        <v/>
      </c>
      <c r="G207" s="535">
        <f>IFERROR(IF('Invullen groen'!I220&lt;&gt;0,'Invullen groen'!I220,""),"")</f>
        <v/>
      </c>
      <c r="H207" s="535">
        <f>IFERROR(IF('Invullen groen'!J220&lt;&gt;0,'Invullen groen'!J220,""),"")</f>
        <v/>
      </c>
      <c r="I207" s="535">
        <f>IFERROR(IF('Invullen groen'!K220&lt;&gt;0,'Invullen groen'!K220,""),"")</f>
        <v/>
      </c>
    </row>
    <row r="208" ht="15" customHeight="1">
      <c r="A208" s="536">
        <f>IFERROR(IF('Invullen groen'!E221&gt;0,221-17,""),"")</f>
        <v/>
      </c>
      <c r="B208" s="536">
        <f>IFERROR(IF('Invullen groen'!E221&gt;0,'Invullen groen'!A221,""),"")</f>
        <v/>
      </c>
      <c r="C208" s="536">
        <f>IFERROR(IF('Invullen groen'!E221&gt;0,'Invullen groen'!C221,""),"")</f>
        <v/>
      </c>
      <c r="D208" s="536">
        <f>IFERROR(IF('Invullen groen'!E221&gt;0,'Invullen groen'!D221,""),"")</f>
        <v/>
      </c>
      <c r="E208" s="536">
        <f>IFERROR(IF('Invullen groen'!E221&gt;0,'Invullen groen'!G221,""),"")</f>
        <v/>
      </c>
      <c r="F208" s="537">
        <f>IFERROR(IF('Invullen groen'!H221&lt;&gt;0,'Invullen groen'!H221,""),"")</f>
        <v/>
      </c>
      <c r="G208" s="537">
        <f>IFERROR(IF('Invullen groen'!I221&lt;&gt;0,'Invullen groen'!I221,""),"")</f>
        <v/>
      </c>
      <c r="H208" s="537">
        <f>IFERROR(IF('Invullen groen'!J221&lt;&gt;0,'Invullen groen'!J221,""),"")</f>
        <v/>
      </c>
      <c r="I208" s="537">
        <f>IFERROR(IF('Invullen groen'!K221&lt;&gt;0,'Invullen groen'!K221,""),"")</f>
        <v/>
      </c>
    </row>
    <row r="209" ht="15" customHeight="1">
      <c r="A209" s="534">
        <f>IFERROR(IF('Invullen groen'!E222&gt;0,222-17,""),"")</f>
        <v/>
      </c>
      <c r="B209" s="534">
        <f>IFERROR(IF('Invullen groen'!E222&gt;0,'Invullen groen'!A222,""),"")</f>
        <v/>
      </c>
      <c r="C209" s="534">
        <f>IFERROR(IF('Invullen groen'!E222&gt;0,'Invullen groen'!C222,""),"")</f>
        <v/>
      </c>
      <c r="D209" s="534">
        <f>IFERROR(IF('Invullen groen'!E222&gt;0,'Invullen groen'!D222,""),"")</f>
        <v/>
      </c>
      <c r="E209" s="534">
        <f>IFERROR(IF('Invullen groen'!E222&gt;0,'Invullen groen'!G222,""),"")</f>
        <v/>
      </c>
      <c r="F209" s="535">
        <f>IFERROR(IF('Invullen groen'!H222&lt;&gt;0,'Invullen groen'!H222,""),"")</f>
        <v/>
      </c>
      <c r="G209" s="535">
        <f>IFERROR(IF('Invullen groen'!I222&lt;&gt;0,'Invullen groen'!I222,""),"")</f>
        <v/>
      </c>
      <c r="H209" s="535">
        <f>IFERROR(IF('Invullen groen'!J222&lt;&gt;0,'Invullen groen'!J222,""),"")</f>
        <v/>
      </c>
      <c r="I209" s="535">
        <f>IFERROR(IF('Invullen groen'!K222&lt;&gt;0,'Invullen groen'!K222,""),"")</f>
        <v/>
      </c>
    </row>
    <row r="210" ht="15" customHeight="1">
      <c r="A210" s="536">
        <f>IFERROR(IF('Invullen groen'!E223&gt;0,223-17,""),"")</f>
        <v/>
      </c>
      <c r="B210" s="536">
        <f>IFERROR(IF('Invullen groen'!E223&gt;0,'Invullen groen'!A223,""),"")</f>
        <v/>
      </c>
      <c r="C210" s="536">
        <f>IFERROR(IF('Invullen groen'!E223&gt;0,'Invullen groen'!C223,""),"")</f>
        <v/>
      </c>
      <c r="D210" s="536">
        <f>IFERROR(IF('Invullen groen'!E223&gt;0,'Invullen groen'!D223,""),"")</f>
        <v/>
      </c>
      <c r="E210" s="536">
        <f>IFERROR(IF('Invullen groen'!E223&gt;0,'Invullen groen'!G223,""),"")</f>
        <v/>
      </c>
      <c r="F210" s="537">
        <f>IFERROR(IF('Invullen groen'!H223&lt;&gt;0,'Invullen groen'!H223,""),"")</f>
        <v/>
      </c>
      <c r="G210" s="537">
        <f>IFERROR(IF('Invullen groen'!I223&lt;&gt;0,'Invullen groen'!I223,""),"")</f>
        <v/>
      </c>
      <c r="H210" s="537">
        <f>IFERROR(IF('Invullen groen'!J223&lt;&gt;0,'Invullen groen'!J223,""),"")</f>
        <v/>
      </c>
      <c r="I210" s="537">
        <f>IFERROR(IF('Invullen groen'!K223&lt;&gt;0,'Invullen groen'!K223,""),"")</f>
        <v/>
      </c>
    </row>
    <row r="211" ht="15" customHeight="1">
      <c r="A211" s="534">
        <f>IFERROR(IF('Invullen groen'!E224&gt;0,224-17,""),"")</f>
        <v/>
      </c>
      <c r="B211" s="534">
        <f>IFERROR(IF('Invullen groen'!E224&gt;0,'Invullen groen'!A224,""),"")</f>
        <v/>
      </c>
      <c r="C211" s="534">
        <f>IFERROR(IF('Invullen groen'!E224&gt;0,'Invullen groen'!C224,""),"")</f>
        <v/>
      </c>
      <c r="D211" s="534">
        <f>IFERROR(IF('Invullen groen'!E224&gt;0,'Invullen groen'!D224,""),"")</f>
        <v/>
      </c>
      <c r="E211" s="534">
        <f>IFERROR(IF('Invullen groen'!E224&gt;0,'Invullen groen'!G224,""),"")</f>
        <v/>
      </c>
      <c r="F211" s="535">
        <f>IFERROR(IF('Invullen groen'!H224&lt;&gt;0,'Invullen groen'!H224,""),"")</f>
        <v/>
      </c>
      <c r="G211" s="535">
        <f>IFERROR(IF('Invullen groen'!I224&lt;&gt;0,'Invullen groen'!I224,""),"")</f>
        <v/>
      </c>
      <c r="H211" s="535">
        <f>IFERROR(IF('Invullen groen'!J224&lt;&gt;0,'Invullen groen'!J224,""),"")</f>
        <v/>
      </c>
      <c r="I211" s="535">
        <f>IFERROR(IF('Invullen groen'!K224&lt;&gt;0,'Invullen groen'!K224,""),"")</f>
        <v/>
      </c>
    </row>
    <row r="212" ht="15" customHeight="1">
      <c r="A212" s="536">
        <f>IFERROR(IF('Invullen groen'!E225&gt;0,225-17,""),"")</f>
        <v/>
      </c>
      <c r="B212" s="536">
        <f>IFERROR(IF('Invullen groen'!E225&gt;0,'Invullen groen'!A225,""),"")</f>
        <v/>
      </c>
      <c r="C212" s="536">
        <f>IFERROR(IF('Invullen groen'!E225&gt;0,'Invullen groen'!C225,""),"")</f>
        <v/>
      </c>
      <c r="D212" s="536">
        <f>IFERROR(IF('Invullen groen'!E225&gt;0,'Invullen groen'!D225,""),"")</f>
        <v/>
      </c>
      <c r="E212" s="536">
        <f>IFERROR(IF('Invullen groen'!E225&gt;0,'Invullen groen'!G225,""),"")</f>
        <v/>
      </c>
      <c r="F212" s="537">
        <f>IFERROR(IF('Invullen groen'!H225&lt;&gt;0,'Invullen groen'!H225,""),"")</f>
        <v/>
      </c>
      <c r="G212" s="537">
        <f>IFERROR(IF('Invullen groen'!I225&lt;&gt;0,'Invullen groen'!I225,""),"")</f>
        <v/>
      </c>
      <c r="H212" s="537">
        <f>IFERROR(IF('Invullen groen'!J225&lt;&gt;0,'Invullen groen'!J225,""),"")</f>
        <v/>
      </c>
      <c r="I212" s="537">
        <f>IFERROR(IF('Invullen groen'!K225&lt;&gt;0,'Invullen groen'!K225,""),"")</f>
        <v/>
      </c>
    </row>
    <row r="213" ht="15" customHeight="1">
      <c r="A213" s="534">
        <f>IFERROR(IF('Invullen groen'!E226&gt;0,226-17,""),"")</f>
        <v/>
      </c>
      <c r="B213" s="534">
        <f>IFERROR(IF('Invullen groen'!E226&gt;0,'Invullen groen'!A226,""),"")</f>
        <v/>
      </c>
      <c r="C213" s="534">
        <f>IFERROR(IF('Invullen groen'!E226&gt;0,'Invullen groen'!C226,""),"")</f>
        <v/>
      </c>
      <c r="D213" s="534">
        <f>IFERROR(IF('Invullen groen'!E226&gt;0,'Invullen groen'!D226,""),"")</f>
        <v/>
      </c>
      <c r="E213" s="534">
        <f>IFERROR(IF('Invullen groen'!E226&gt;0,'Invullen groen'!G226,""),"")</f>
        <v/>
      </c>
      <c r="F213" s="535">
        <f>IFERROR(IF('Invullen groen'!H226&lt;&gt;0,'Invullen groen'!H226,""),"")</f>
        <v/>
      </c>
      <c r="G213" s="535">
        <f>IFERROR(IF('Invullen groen'!I226&lt;&gt;0,'Invullen groen'!I226,""),"")</f>
        <v/>
      </c>
      <c r="H213" s="535">
        <f>IFERROR(IF('Invullen groen'!J226&lt;&gt;0,'Invullen groen'!J226,""),"")</f>
        <v/>
      </c>
      <c r="I213" s="535">
        <f>IFERROR(IF('Invullen groen'!K226&lt;&gt;0,'Invullen groen'!K226,""),"")</f>
        <v/>
      </c>
    </row>
    <row r="214" ht="15" customHeight="1">
      <c r="A214" s="536">
        <f>IFERROR(IF('Invullen groen'!E227&gt;0,227-17,""),"")</f>
        <v/>
      </c>
      <c r="B214" s="536">
        <f>IFERROR(IF('Invullen groen'!E227&gt;0,'Invullen groen'!A227,""),"")</f>
        <v/>
      </c>
      <c r="C214" s="536">
        <f>IFERROR(IF('Invullen groen'!E227&gt;0,'Invullen groen'!C227,""),"")</f>
        <v/>
      </c>
      <c r="D214" s="536">
        <f>IFERROR(IF('Invullen groen'!E227&gt;0,'Invullen groen'!D227,""),"")</f>
        <v/>
      </c>
      <c r="E214" s="536">
        <f>IFERROR(IF('Invullen groen'!E227&gt;0,'Invullen groen'!G227,""),"")</f>
        <v/>
      </c>
      <c r="F214" s="537">
        <f>IFERROR(IF('Invullen groen'!H227&lt;&gt;0,'Invullen groen'!H227,""),"")</f>
        <v/>
      </c>
      <c r="G214" s="537">
        <f>IFERROR(IF('Invullen groen'!I227&lt;&gt;0,'Invullen groen'!I227,""),"")</f>
        <v/>
      </c>
      <c r="H214" s="537">
        <f>IFERROR(IF('Invullen groen'!J227&lt;&gt;0,'Invullen groen'!J227,""),"")</f>
        <v/>
      </c>
      <c r="I214" s="537">
        <f>IFERROR(IF('Invullen groen'!K227&lt;&gt;0,'Invullen groen'!K227,""),"")</f>
        <v/>
      </c>
    </row>
    <row r="215" ht="15" customHeight="1">
      <c r="A215" s="534">
        <f>IFERROR(IF('Invullen groen'!E228&gt;0,228-17,""),"")</f>
        <v/>
      </c>
      <c r="B215" s="534">
        <f>IFERROR(IF('Invullen groen'!E228&gt;0,'Invullen groen'!A228,""),"")</f>
        <v/>
      </c>
      <c r="C215" s="534">
        <f>IFERROR(IF('Invullen groen'!E228&gt;0,'Invullen groen'!C228,""),"")</f>
        <v/>
      </c>
      <c r="D215" s="534">
        <f>IFERROR(IF('Invullen groen'!E228&gt;0,'Invullen groen'!D228,""),"")</f>
        <v/>
      </c>
      <c r="E215" s="534">
        <f>IFERROR(IF('Invullen groen'!E228&gt;0,'Invullen groen'!G228,""),"")</f>
        <v/>
      </c>
      <c r="F215" s="535">
        <f>IFERROR(IF('Invullen groen'!H228&lt;&gt;0,'Invullen groen'!H228,""),"")</f>
        <v/>
      </c>
      <c r="G215" s="535">
        <f>IFERROR(IF('Invullen groen'!I228&lt;&gt;0,'Invullen groen'!I228,""),"")</f>
        <v/>
      </c>
      <c r="H215" s="535">
        <f>IFERROR(IF('Invullen groen'!J228&lt;&gt;0,'Invullen groen'!J228,""),"")</f>
        <v/>
      </c>
      <c r="I215" s="535">
        <f>IFERROR(IF('Invullen groen'!K228&lt;&gt;0,'Invullen groen'!K228,""),"")</f>
        <v/>
      </c>
    </row>
    <row r="216" ht="15" customHeight="1">
      <c r="A216" s="536">
        <f>IFERROR(IF('Invullen groen'!E229&gt;0,229-17,""),"")</f>
        <v/>
      </c>
      <c r="B216" s="536">
        <f>IFERROR(IF('Invullen groen'!E229&gt;0,'Invullen groen'!A229,""),"")</f>
        <v/>
      </c>
      <c r="C216" s="536">
        <f>IFERROR(IF('Invullen groen'!E229&gt;0,'Invullen groen'!C229,""),"")</f>
        <v/>
      </c>
      <c r="D216" s="536">
        <f>IFERROR(IF('Invullen groen'!E229&gt;0,'Invullen groen'!D229,""),"")</f>
        <v/>
      </c>
      <c r="E216" s="536">
        <f>IFERROR(IF('Invullen groen'!E229&gt;0,'Invullen groen'!G229,""),"")</f>
        <v/>
      </c>
      <c r="F216" s="537">
        <f>IFERROR(IF('Invullen groen'!H229&lt;&gt;0,'Invullen groen'!H229,""),"")</f>
        <v/>
      </c>
      <c r="G216" s="537">
        <f>IFERROR(IF('Invullen groen'!I229&lt;&gt;0,'Invullen groen'!I229,""),"")</f>
        <v/>
      </c>
      <c r="H216" s="537">
        <f>IFERROR(IF('Invullen groen'!J229&lt;&gt;0,'Invullen groen'!J229,""),"")</f>
        <v/>
      </c>
      <c r="I216" s="537">
        <f>IFERROR(IF('Invullen groen'!K229&lt;&gt;0,'Invullen groen'!K229,""),"")</f>
        <v/>
      </c>
    </row>
    <row r="217" ht="15" customHeight="1">
      <c r="A217" s="534">
        <f>IFERROR(IF('Invullen groen'!E230&gt;0,230-17,""),"")</f>
        <v/>
      </c>
      <c r="B217" s="534">
        <f>IFERROR(IF('Invullen groen'!E230&gt;0,'Invullen groen'!A230,""),"")</f>
        <v/>
      </c>
      <c r="C217" s="534">
        <f>IFERROR(IF('Invullen groen'!E230&gt;0,'Invullen groen'!C230,""),"")</f>
        <v/>
      </c>
      <c r="D217" s="534">
        <f>IFERROR(IF('Invullen groen'!E230&gt;0,'Invullen groen'!D230,""),"")</f>
        <v/>
      </c>
      <c r="E217" s="534">
        <f>IFERROR(IF('Invullen groen'!E230&gt;0,'Invullen groen'!G230,""),"")</f>
        <v/>
      </c>
      <c r="F217" s="535">
        <f>IFERROR(IF('Invullen groen'!H230&lt;&gt;0,'Invullen groen'!H230,""),"")</f>
        <v/>
      </c>
      <c r="G217" s="535">
        <f>IFERROR(IF('Invullen groen'!I230&lt;&gt;0,'Invullen groen'!I230,""),"")</f>
        <v/>
      </c>
      <c r="H217" s="535">
        <f>IFERROR(IF('Invullen groen'!J230&lt;&gt;0,'Invullen groen'!J230,""),"")</f>
        <v/>
      </c>
      <c r="I217" s="535">
        <f>IFERROR(IF('Invullen groen'!K230&lt;&gt;0,'Invullen groen'!K230,""),"")</f>
        <v/>
      </c>
    </row>
    <row r="218" ht="15" customHeight="1">
      <c r="A218" s="536">
        <f>IFERROR(IF('Invullen groen'!E231&gt;0,231-17,""),"")</f>
        <v/>
      </c>
      <c r="B218" s="536">
        <f>IFERROR(IF('Invullen groen'!E231&gt;0,'Invullen groen'!A231,""),"")</f>
        <v/>
      </c>
      <c r="C218" s="536">
        <f>IFERROR(IF('Invullen groen'!E231&gt;0,'Invullen groen'!C231,""),"")</f>
        <v/>
      </c>
      <c r="D218" s="536">
        <f>IFERROR(IF('Invullen groen'!E231&gt;0,'Invullen groen'!D231,""),"")</f>
        <v/>
      </c>
      <c r="E218" s="536">
        <f>IFERROR(IF('Invullen groen'!E231&gt;0,'Invullen groen'!G231,""),"")</f>
        <v/>
      </c>
      <c r="F218" s="537">
        <f>IFERROR(IF('Invullen groen'!H231&lt;&gt;0,'Invullen groen'!H231,""),"")</f>
        <v/>
      </c>
      <c r="G218" s="537">
        <f>IFERROR(IF('Invullen groen'!I231&lt;&gt;0,'Invullen groen'!I231,""),"")</f>
        <v/>
      </c>
      <c r="H218" s="537">
        <f>IFERROR(IF('Invullen groen'!J231&lt;&gt;0,'Invullen groen'!J231,""),"")</f>
        <v/>
      </c>
      <c r="I218" s="537">
        <f>IFERROR(IF('Invullen groen'!K231&lt;&gt;0,'Invullen groen'!K231,""),"")</f>
        <v/>
      </c>
    </row>
    <row r="219" ht="15" customHeight="1">
      <c r="A219" s="534">
        <f>IFERROR(IF('Invullen groen'!E232&gt;0,232-17,""),"")</f>
        <v/>
      </c>
      <c r="B219" s="534">
        <f>IFERROR(IF('Invullen groen'!E232&gt;0,'Invullen groen'!A232,""),"")</f>
        <v/>
      </c>
      <c r="C219" s="534">
        <f>IFERROR(IF('Invullen groen'!E232&gt;0,'Invullen groen'!C232,""),"")</f>
        <v/>
      </c>
      <c r="D219" s="534">
        <f>IFERROR(IF('Invullen groen'!E232&gt;0,'Invullen groen'!D232,""),"")</f>
        <v/>
      </c>
      <c r="E219" s="534">
        <f>IFERROR(IF('Invullen groen'!E232&gt;0,'Invullen groen'!G232,""),"")</f>
        <v/>
      </c>
      <c r="F219" s="535">
        <f>IFERROR(IF('Invullen groen'!H232&lt;&gt;0,'Invullen groen'!H232,""),"")</f>
        <v/>
      </c>
      <c r="G219" s="535">
        <f>IFERROR(IF('Invullen groen'!I232&lt;&gt;0,'Invullen groen'!I232,""),"")</f>
        <v/>
      </c>
      <c r="H219" s="535">
        <f>IFERROR(IF('Invullen groen'!J232&lt;&gt;0,'Invullen groen'!J232,""),"")</f>
        <v/>
      </c>
      <c r="I219" s="535">
        <f>IFERROR(IF('Invullen groen'!K232&lt;&gt;0,'Invullen groen'!K232,""),"")</f>
        <v/>
      </c>
    </row>
    <row r="220" ht="15" customHeight="1">
      <c r="A220" s="536">
        <f>IFERROR(IF('Invullen groen'!E233&gt;0,233-17,""),"")</f>
        <v/>
      </c>
      <c r="B220" s="536">
        <f>IFERROR(IF('Invullen groen'!E233&gt;0,'Invullen groen'!A233,""),"")</f>
        <v/>
      </c>
      <c r="C220" s="536">
        <f>IFERROR(IF('Invullen groen'!E233&gt;0,'Invullen groen'!C233,""),"")</f>
        <v/>
      </c>
      <c r="D220" s="536">
        <f>IFERROR(IF('Invullen groen'!E233&gt;0,'Invullen groen'!D233,""),"")</f>
        <v/>
      </c>
      <c r="E220" s="536">
        <f>IFERROR(IF('Invullen groen'!E233&gt;0,'Invullen groen'!G233,""),"")</f>
        <v/>
      </c>
      <c r="F220" s="537">
        <f>IFERROR(IF('Invullen groen'!H233&lt;&gt;0,'Invullen groen'!H233,""),"")</f>
        <v/>
      </c>
      <c r="G220" s="537">
        <f>IFERROR(IF('Invullen groen'!I233&lt;&gt;0,'Invullen groen'!I233,""),"")</f>
        <v/>
      </c>
      <c r="H220" s="537">
        <f>IFERROR(IF('Invullen groen'!J233&lt;&gt;0,'Invullen groen'!J233,""),"")</f>
        <v/>
      </c>
      <c r="I220" s="537">
        <f>IFERROR(IF('Invullen groen'!K233&lt;&gt;0,'Invullen groen'!K233,""),"")</f>
        <v/>
      </c>
    </row>
    <row r="221" ht="15" customHeight="1">
      <c r="A221" s="534">
        <f>IFERROR(IF('Invullen groen'!E234&gt;0,234-17,""),"")</f>
        <v/>
      </c>
      <c r="B221" s="534">
        <f>IFERROR(IF('Invullen groen'!E234&gt;0,'Invullen groen'!A234,""),"")</f>
        <v/>
      </c>
      <c r="C221" s="534">
        <f>IFERROR(IF('Invullen groen'!E234&gt;0,'Invullen groen'!C234,""),"")</f>
        <v/>
      </c>
      <c r="D221" s="534">
        <f>IFERROR(IF('Invullen groen'!E234&gt;0,'Invullen groen'!D234,""),"")</f>
        <v/>
      </c>
      <c r="E221" s="534">
        <f>IFERROR(IF('Invullen groen'!E234&gt;0,'Invullen groen'!G234,""),"")</f>
        <v/>
      </c>
      <c r="F221" s="535">
        <f>IFERROR(IF('Invullen groen'!H234&lt;&gt;0,'Invullen groen'!H234,""),"")</f>
        <v/>
      </c>
      <c r="G221" s="535">
        <f>IFERROR(IF('Invullen groen'!I234&lt;&gt;0,'Invullen groen'!I234,""),"")</f>
        <v/>
      </c>
      <c r="H221" s="535">
        <f>IFERROR(IF('Invullen groen'!J234&lt;&gt;0,'Invullen groen'!J234,""),"")</f>
        <v/>
      </c>
      <c r="I221" s="535">
        <f>IFERROR(IF('Invullen groen'!K234&lt;&gt;0,'Invullen groen'!K234,""),"")</f>
        <v/>
      </c>
    </row>
    <row r="222" ht="15" customHeight="1">
      <c r="A222" s="536">
        <f>IFERROR(IF('Invullen groen'!E235&gt;0,235-17,""),"")</f>
        <v/>
      </c>
      <c r="B222" s="536">
        <f>IFERROR(IF('Invullen groen'!E235&gt;0,'Invullen groen'!A235,""),"")</f>
        <v/>
      </c>
      <c r="C222" s="536">
        <f>IFERROR(IF('Invullen groen'!E235&gt;0,'Invullen groen'!C235,""),"")</f>
        <v/>
      </c>
      <c r="D222" s="536">
        <f>IFERROR(IF('Invullen groen'!E235&gt;0,'Invullen groen'!D235,""),"")</f>
        <v/>
      </c>
      <c r="E222" s="536">
        <f>IFERROR(IF('Invullen groen'!E235&gt;0,'Invullen groen'!G235,""),"")</f>
        <v/>
      </c>
      <c r="F222" s="537">
        <f>IFERROR(IF('Invullen groen'!H235&lt;&gt;0,'Invullen groen'!H235,""),"")</f>
        <v/>
      </c>
      <c r="G222" s="537">
        <f>IFERROR(IF('Invullen groen'!I235&lt;&gt;0,'Invullen groen'!I235,""),"")</f>
        <v/>
      </c>
      <c r="H222" s="537">
        <f>IFERROR(IF('Invullen groen'!J235&lt;&gt;0,'Invullen groen'!J235,""),"")</f>
        <v/>
      </c>
      <c r="I222" s="537">
        <f>IFERROR(IF('Invullen groen'!K235&lt;&gt;0,'Invullen groen'!K235,""),"")</f>
        <v/>
      </c>
    </row>
    <row r="223" ht="15" customHeight="1">
      <c r="A223" s="534">
        <f>IFERROR(IF('Invullen groen'!E236&gt;0,236-17,""),"")</f>
        <v/>
      </c>
      <c r="B223" s="534">
        <f>IFERROR(IF('Invullen groen'!E236&gt;0,'Invullen groen'!A236,""),"")</f>
        <v/>
      </c>
      <c r="C223" s="534">
        <f>IFERROR(IF('Invullen groen'!E236&gt;0,'Invullen groen'!C236,""),"")</f>
        <v/>
      </c>
      <c r="D223" s="534">
        <f>IFERROR(IF('Invullen groen'!E236&gt;0,'Invullen groen'!D236,""),"")</f>
        <v/>
      </c>
      <c r="E223" s="534">
        <f>IFERROR(IF('Invullen groen'!E236&gt;0,'Invullen groen'!G236,""),"")</f>
        <v/>
      </c>
      <c r="F223" s="535">
        <f>IFERROR(IF('Invullen groen'!H236&lt;&gt;0,'Invullen groen'!H236,""),"")</f>
        <v/>
      </c>
      <c r="G223" s="535">
        <f>IFERROR(IF('Invullen groen'!I236&lt;&gt;0,'Invullen groen'!I236,""),"")</f>
        <v/>
      </c>
      <c r="H223" s="535">
        <f>IFERROR(IF('Invullen groen'!J236&lt;&gt;0,'Invullen groen'!J236,""),"")</f>
        <v/>
      </c>
      <c r="I223" s="535">
        <f>IFERROR(IF('Invullen groen'!K236&lt;&gt;0,'Invullen groen'!K236,""),"")</f>
        <v/>
      </c>
    </row>
    <row r="224" ht="15" customHeight="1">
      <c r="A224" s="536">
        <f>IFERROR(IF('Invullen groen'!E237&gt;0,237-17,""),"")</f>
        <v/>
      </c>
      <c r="B224" s="536">
        <f>IFERROR(IF('Invullen groen'!E237&gt;0,'Invullen groen'!A237,""),"")</f>
        <v/>
      </c>
      <c r="C224" s="536">
        <f>IFERROR(IF('Invullen groen'!E237&gt;0,'Invullen groen'!C237,""),"")</f>
        <v/>
      </c>
      <c r="D224" s="536">
        <f>IFERROR(IF('Invullen groen'!E237&gt;0,'Invullen groen'!D237,""),"")</f>
        <v/>
      </c>
      <c r="E224" s="536">
        <f>IFERROR(IF('Invullen groen'!E237&gt;0,'Invullen groen'!G237,""),"")</f>
        <v/>
      </c>
      <c r="F224" s="537">
        <f>IFERROR(IF('Invullen groen'!H237&lt;&gt;0,'Invullen groen'!H237,""),"")</f>
        <v/>
      </c>
      <c r="G224" s="537">
        <f>IFERROR(IF('Invullen groen'!I237&lt;&gt;0,'Invullen groen'!I237,""),"")</f>
        <v/>
      </c>
      <c r="H224" s="537">
        <f>IFERROR(IF('Invullen groen'!J237&lt;&gt;0,'Invullen groen'!J237,""),"")</f>
        <v/>
      </c>
      <c r="I224" s="537">
        <f>IFERROR(IF('Invullen groen'!K237&lt;&gt;0,'Invullen groen'!K237,""),"")</f>
        <v/>
      </c>
    </row>
    <row r="225" ht="15" customHeight="1">
      <c r="A225" s="534">
        <f>IFERROR(IF('Invullen groen'!E238&gt;0,238-17,""),"")</f>
        <v/>
      </c>
      <c r="B225" s="534">
        <f>IFERROR(IF('Invullen groen'!E238&gt;0,'Invullen groen'!A238,""),"")</f>
        <v/>
      </c>
      <c r="C225" s="534">
        <f>IFERROR(IF('Invullen groen'!E238&gt;0,'Invullen groen'!C238,""),"")</f>
        <v/>
      </c>
      <c r="D225" s="534">
        <f>IFERROR(IF('Invullen groen'!E238&gt;0,'Invullen groen'!D238,""),"")</f>
        <v/>
      </c>
      <c r="E225" s="534">
        <f>IFERROR(IF('Invullen groen'!E238&gt;0,'Invullen groen'!G238,""),"")</f>
        <v/>
      </c>
      <c r="F225" s="535">
        <f>IFERROR(IF('Invullen groen'!H238&lt;&gt;0,'Invullen groen'!H238,""),"")</f>
        <v/>
      </c>
      <c r="G225" s="535">
        <f>IFERROR(IF('Invullen groen'!I238&lt;&gt;0,'Invullen groen'!I238,""),"")</f>
        <v/>
      </c>
      <c r="H225" s="535">
        <f>IFERROR(IF('Invullen groen'!J238&lt;&gt;0,'Invullen groen'!J238,""),"")</f>
        <v/>
      </c>
      <c r="I225" s="535">
        <f>IFERROR(IF('Invullen groen'!K238&lt;&gt;0,'Invullen groen'!K238,""),"")</f>
        <v/>
      </c>
    </row>
    <row r="226" ht="15" customHeight="1">
      <c r="A226" s="536">
        <f>IFERROR(IF('Invullen groen'!E239&gt;0,239-17,""),"")</f>
        <v/>
      </c>
      <c r="B226" s="536">
        <f>IFERROR(IF('Invullen groen'!E239&gt;0,'Invullen groen'!A239,""),"")</f>
        <v/>
      </c>
      <c r="C226" s="536">
        <f>IFERROR(IF('Invullen groen'!E239&gt;0,'Invullen groen'!C239,""),"")</f>
        <v/>
      </c>
      <c r="D226" s="536">
        <f>IFERROR(IF('Invullen groen'!E239&gt;0,'Invullen groen'!D239,""),"")</f>
        <v/>
      </c>
      <c r="E226" s="536">
        <f>IFERROR(IF('Invullen groen'!E239&gt;0,'Invullen groen'!G239,""),"")</f>
        <v/>
      </c>
      <c r="F226" s="537">
        <f>IFERROR(IF('Invullen groen'!H239&lt;&gt;0,'Invullen groen'!H239,""),"")</f>
        <v/>
      </c>
      <c r="G226" s="537">
        <f>IFERROR(IF('Invullen groen'!I239&lt;&gt;0,'Invullen groen'!I239,""),"")</f>
        <v/>
      </c>
      <c r="H226" s="537">
        <f>IFERROR(IF('Invullen groen'!J239&lt;&gt;0,'Invullen groen'!J239,""),"")</f>
        <v/>
      </c>
      <c r="I226" s="537">
        <f>IFERROR(IF('Invullen groen'!K239&lt;&gt;0,'Invullen groen'!K239,""),"")</f>
        <v/>
      </c>
    </row>
    <row r="227" ht="15" customHeight="1">
      <c r="A227" s="534">
        <f>IFERROR(IF('Invullen groen'!E240&gt;0,240-17,""),"")</f>
        <v/>
      </c>
      <c r="B227" s="534">
        <f>IFERROR(IF('Invullen groen'!E240&gt;0,'Invullen groen'!A240,""),"")</f>
        <v/>
      </c>
      <c r="C227" s="534">
        <f>IFERROR(IF('Invullen groen'!E240&gt;0,'Invullen groen'!C240,""),"")</f>
        <v/>
      </c>
      <c r="D227" s="534">
        <f>IFERROR(IF('Invullen groen'!E240&gt;0,'Invullen groen'!D240,""),"")</f>
        <v/>
      </c>
      <c r="E227" s="534">
        <f>IFERROR(IF('Invullen groen'!E240&gt;0,'Invullen groen'!G240,""),"")</f>
        <v/>
      </c>
      <c r="F227" s="535">
        <f>IFERROR(IF('Invullen groen'!H240&lt;&gt;0,'Invullen groen'!H240,""),"")</f>
        <v/>
      </c>
      <c r="G227" s="535">
        <f>IFERROR(IF('Invullen groen'!I240&lt;&gt;0,'Invullen groen'!I240,""),"")</f>
        <v/>
      </c>
      <c r="H227" s="535">
        <f>IFERROR(IF('Invullen groen'!J240&lt;&gt;0,'Invullen groen'!J240,""),"")</f>
        <v/>
      </c>
      <c r="I227" s="535">
        <f>IFERROR(IF('Invullen groen'!K240&lt;&gt;0,'Invullen groen'!K240,""),"")</f>
        <v/>
      </c>
    </row>
    <row r="228" ht="15" customHeight="1">
      <c r="A228" s="536">
        <f>IFERROR(IF('Invullen groen'!E241&gt;0,241-17,""),"")</f>
        <v/>
      </c>
      <c r="B228" s="536">
        <f>IFERROR(IF('Invullen groen'!E241&gt;0,'Invullen groen'!A241,""),"")</f>
        <v/>
      </c>
      <c r="C228" s="536">
        <f>IFERROR(IF('Invullen groen'!E241&gt;0,'Invullen groen'!C241,""),"")</f>
        <v/>
      </c>
      <c r="D228" s="536">
        <f>IFERROR(IF('Invullen groen'!E241&gt;0,'Invullen groen'!D241,""),"")</f>
        <v/>
      </c>
      <c r="E228" s="536">
        <f>IFERROR(IF('Invullen groen'!E241&gt;0,'Invullen groen'!G241,""),"")</f>
        <v/>
      </c>
      <c r="F228" s="537">
        <f>IFERROR(IF('Invullen groen'!H241&lt;&gt;0,'Invullen groen'!H241,""),"")</f>
        <v/>
      </c>
      <c r="G228" s="537">
        <f>IFERROR(IF('Invullen groen'!I241&lt;&gt;0,'Invullen groen'!I241,""),"")</f>
        <v/>
      </c>
      <c r="H228" s="537">
        <f>IFERROR(IF('Invullen groen'!J241&lt;&gt;0,'Invullen groen'!J241,""),"")</f>
        <v/>
      </c>
      <c r="I228" s="537">
        <f>IFERROR(IF('Invullen groen'!K241&lt;&gt;0,'Invullen groen'!K241,""),"")</f>
        <v/>
      </c>
    </row>
    <row r="229" ht="15" customHeight="1">
      <c r="A229" s="526" t="n"/>
      <c r="B229" s="526" t="n"/>
      <c r="C229" s="526" t="n"/>
      <c r="D229" s="526" t="n"/>
      <c r="E229" s="526" t="n"/>
      <c r="F229" s="527" t="n"/>
      <c r="G229" s="527" t="n"/>
      <c r="H229" s="527" t="n"/>
      <c r="I229" s="527" t="n"/>
    </row>
    <row r="230" ht="15" customHeight="1">
      <c r="A230" s="538" t="inlineStr">
        <is>
          <t>Totaal lasten</t>
        </is>
      </c>
      <c r="B230" s="312" t="n"/>
      <c r="C230" s="312" t="n"/>
      <c r="D230" s="312" t="n"/>
      <c r="E230" s="312" t="n"/>
      <c r="F230" s="540">
        <f>SUMIF('Invullen groen'!Q18:Q241,"&gt;0",'Invullen groen'!Q18:Q241)</f>
        <v/>
      </c>
      <c r="G230" s="540">
        <f>SUMIF('Invullen groen'!I18:M241,"&gt;0",'Invullen groen'!Q18:Q241)</f>
        <v/>
      </c>
      <c r="H230" s="540">
        <f>SUMIF('Invullen groen'!J18:N241,"&gt;0",'Invullen groen'!Q18:Q241)</f>
        <v/>
      </c>
      <c r="I230" s="540">
        <f>SUMIF('Invullen groen'!K18:O241,"&gt;0",'Invullen groen'!Q18:Q241)</f>
        <v/>
      </c>
    </row>
    <row r="231" ht="15" customHeight="1">
      <c r="A231" s="541" t="inlineStr">
        <is>
          <t>Totaal baten</t>
        </is>
      </c>
      <c r="B231" s="312" t="n"/>
      <c r="C231" s="312" t="n"/>
      <c r="D231" s="312" t="n"/>
      <c r="E231" s="312" t="n"/>
      <c r="F231" s="543">
        <f>SUMIF('Invullen groen'!R18:R241,"&lt;&gt;0",'Invullen groen'!R18:R241)</f>
        <v/>
      </c>
      <c r="G231" s="543">
        <f>SUMIF('Invullen groen'!I18:M241,"&lt;&gt;0",'Invullen groen'!R18:R241)</f>
        <v/>
      </c>
      <c r="H231" s="543">
        <f>SUMIF('Invullen groen'!J18:N241,"&lt;&gt;0",'Invullen groen'!R18:R241)</f>
        <v/>
      </c>
      <c r="I231" s="543">
        <f>SUMIF('Invullen groen'!K18:O241,"&lt;&gt;0",'Invullen groen'!R18:R241)</f>
        <v/>
      </c>
    </row>
    <row r="232" ht="15" customHeight="1">
      <c r="A232" s="544" t="inlineStr">
        <is>
          <t>Saldo (lasten + baten)</t>
        </is>
      </c>
      <c r="B232" s="312" t="n"/>
      <c r="C232" s="312" t="n"/>
      <c r="D232" s="312" t="n"/>
      <c r="E232" s="312" t="n"/>
      <c r="F232" s="545">
        <f>F230+F231</f>
        <v/>
      </c>
      <c r="G232" s="545">
        <f>G230+G231</f>
        <v/>
      </c>
      <c r="H232" s="545">
        <f>H230+H231</f>
        <v/>
      </c>
      <c r="I232" s="545">
        <f>I230+I231</f>
        <v/>
      </c>
    </row>
    <row r="233" ht="15" customHeight="1">
      <c r="A233" s="526" t="n"/>
      <c r="B233" s="526" t="n"/>
      <c r="C233" s="526" t="n"/>
      <c r="D233" s="526" t="n"/>
      <c r="E233" s="526" t="n"/>
      <c r="F233" s="527" t="n"/>
      <c r="G233" s="527" t="n"/>
      <c r="H233" s="527" t="n"/>
      <c r="I233" s="527" t="n"/>
    </row>
    <row r="234" ht="15" customHeight="1">
      <c r="A234" s="50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groen'!H17:L74&gt;0)*'Invullen groen'!H17:L74)</f>
        <v/>
      </c>
      <c r="C5" s="468">
        <f>SUMPRODUCT((LOWER('Invullen groen'!A17:A74)="bestuur en ondersteuning")*('Invullen groen'!H17:L74&lt;0)*'Invullen groen'!H17:L74)</f>
        <v/>
      </c>
      <c r="D5" s="468">
        <f>B5+C5</f>
        <v/>
      </c>
      <c r="E5" s="468">
        <f>SUMPRODUCT((LOWER('Invullen groen'!A17:A74)="bestuur en ondersteuning")*IFERROR('Invullen groen'!I17:M74*1,0))</f>
        <v/>
      </c>
      <c r="F5" s="468">
        <f>SUMPRODUCT((LOWER('Invullen groen'!A17:A74)="bestuur en ondersteuning")*IFERROR('Invullen groen'!J17:N74*1,0))</f>
        <v/>
      </c>
      <c r="G5" s="468">
        <f>SUMPRODUCT((LOWER('Invullen groen'!A17:A74)="bestuur en ondersteuning")*IFERROR('Invullen groen'!K17:O74*1,0))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groen'!H17:L74&gt;0)*'Invullen groen'!H17:L74)</f>
        <v/>
      </c>
      <c r="C6" s="470">
        <f>SUMPRODUCT((LOWER('Invullen groen'!A17:A74)="veiligheid")*('Invullen groen'!H17:L74&lt;0)*'Invullen groen'!H17:L74)</f>
        <v/>
      </c>
      <c r="D6" s="470">
        <f>B6+C6</f>
        <v/>
      </c>
      <c r="E6" s="470">
        <f>SUMPRODUCT((LOWER('Invullen groen'!A17:A74)="veiligheid")*IFERROR('Invullen groen'!I17:M74*1,0))</f>
        <v/>
      </c>
      <c r="F6" s="470">
        <f>SUMPRODUCT((LOWER('Invullen groen'!A17:A74)="veiligheid")*IFERROR('Invullen groen'!J17:N74*1,0))</f>
        <v/>
      </c>
      <c r="G6" s="470">
        <f>SUMPRODUCT((LOWER('Invullen groen'!A17:A74)="veiligheid")*IFERROR('Invullen groen'!K17:O74*1,0))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groen'!H17:L74&gt;0)*'Invullen groen'!H17:L74)</f>
        <v/>
      </c>
      <c r="C7" s="468">
        <f>SUMPRODUCT((LOWER('Invullen groen'!A17:A74)="verkeer, vervoer en waterstaat")*('Invullen groen'!H17:L74&lt;0)*'Invullen groen'!H17:L74)</f>
        <v/>
      </c>
      <c r="D7" s="468">
        <f>B7+C7</f>
        <v/>
      </c>
      <c r="E7" s="468">
        <f>SUMPRODUCT((LOWER('Invullen groen'!A17:A74)="verkeer, vervoer en waterstaat")*IFERROR('Invullen groen'!I17:M74*1,0))</f>
        <v/>
      </c>
      <c r="F7" s="468">
        <f>SUMPRODUCT((LOWER('Invullen groen'!A17:A74)="verkeer, vervoer en waterstaat")*IFERROR('Invullen groen'!J17:N74*1,0))</f>
        <v/>
      </c>
      <c r="G7" s="468">
        <f>SUMPRODUCT((LOWER('Invullen groen'!A17:A74)="verkeer, vervoer en waterstaat")*IFERROR('Invullen groen'!K17:O74*1,0))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groen'!H17:L74&gt;0)*'Invullen groen'!H17:L74)</f>
        <v/>
      </c>
      <c r="C8" s="470">
        <f>SUMPRODUCT((LOWER('Invullen groen'!A17:A74)="economie")*('Invullen groen'!H17:L74&lt;0)*'Invullen groen'!H17:L74)</f>
        <v/>
      </c>
      <c r="D8" s="470">
        <f>B8+C8</f>
        <v/>
      </c>
      <c r="E8" s="470">
        <f>SUMPRODUCT((LOWER('Invullen groen'!A17:A74)="economie")*IFERROR('Invullen groen'!I17:M74*1,0))</f>
        <v/>
      </c>
      <c r="F8" s="470">
        <f>SUMPRODUCT((LOWER('Invullen groen'!A17:A74)="economie")*IFERROR('Invullen groen'!J17:N74*1,0))</f>
        <v/>
      </c>
      <c r="G8" s="470">
        <f>SUMPRODUCT((LOWER('Invullen groen'!A17:A74)="economie")*IFERROR('Invullen groen'!K17:O74*1,0))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groen'!H17:L74&gt;0)*'Invullen groen'!H17:L74)</f>
        <v/>
      </c>
      <c r="C9" s="468">
        <f>SUMPRODUCT((LOWER('Invullen groen'!A17:A74)="onderwijs")*('Invullen groen'!H17:L74&lt;0)*'Invullen groen'!H17:L74)</f>
        <v/>
      </c>
      <c r="D9" s="468">
        <f>B9+C9</f>
        <v/>
      </c>
      <c r="E9" s="468">
        <f>SUMPRODUCT((LOWER('Invullen groen'!A17:A74)="onderwijs")*IFERROR('Invullen groen'!I17:M74*1,0))</f>
        <v/>
      </c>
      <c r="F9" s="468">
        <f>SUMPRODUCT((LOWER('Invullen groen'!A17:A74)="onderwijs")*IFERROR('Invullen groen'!J17:N74*1,0))</f>
        <v/>
      </c>
      <c r="G9" s="468">
        <f>SUMPRODUCT((LOWER('Invullen groen'!A17:A74)="onderwijs")*IFERROR('Invullen groen'!K17:O74*1,0))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groen'!H17:L74&gt;0)*'Invullen groen'!H17:L74)</f>
        <v/>
      </c>
      <c r="C10" s="470">
        <f>SUMPRODUCT((LOWER('Invullen groen'!A17:A74)="sport, cultuur en recreatie")*('Invullen groen'!H17:L74&lt;0)*'Invullen groen'!H17:L74)</f>
        <v/>
      </c>
      <c r="D10" s="470">
        <f>B10+C10</f>
        <v/>
      </c>
      <c r="E10" s="470">
        <f>SUMPRODUCT((LOWER('Invullen groen'!A17:A74)="sport, cultuur en recreatie")*IFERROR('Invullen groen'!I17:M74*1,0))</f>
        <v/>
      </c>
      <c r="F10" s="470">
        <f>SUMPRODUCT((LOWER('Invullen groen'!A17:A74)="sport, cultuur en recreatie")*IFERROR('Invullen groen'!J17:N74*1,0))</f>
        <v/>
      </c>
      <c r="G10" s="470">
        <f>SUMPRODUCT((LOWER('Invullen groen'!A17:A74)="sport, cultuur en recreatie")*IFERROR('Invullen groen'!K17:O74*1,0))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groen'!H17:L74&gt;0)*'Invullen groen'!H17:L74)</f>
        <v/>
      </c>
      <c r="C11" s="468">
        <f>SUMPRODUCT((LOWER('Invullen groen'!A17:A74)="sociaal domein")*('Invullen groen'!H17:L74&lt;0)*'Invullen groen'!H17:L74)</f>
        <v/>
      </c>
      <c r="D11" s="468">
        <f>B11+C11</f>
        <v/>
      </c>
      <c r="E11" s="468">
        <f>SUMPRODUCT((LOWER('Invullen groen'!A17:A74)="sociaal domein")*IFERROR('Invullen groen'!I17:M74*1,0))</f>
        <v/>
      </c>
      <c r="F11" s="468">
        <f>SUMPRODUCT((LOWER('Invullen groen'!A17:A74)="sociaal domein")*IFERROR('Invullen groen'!J17:N74*1,0))</f>
        <v/>
      </c>
      <c r="G11" s="468">
        <f>SUMPRODUCT((LOWER('Invullen groen'!A17:A74)="sociaal domein")*IFERROR('Invullen groen'!K17:O74*1,0))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groen'!H17:L74&gt;0)*'Invullen groen'!H17:L74)</f>
        <v/>
      </c>
      <c r="C12" s="470">
        <f>SUMPRODUCT((LOWER('Invullen groen'!A17:A74)="volksgezondheid en milieu")*('Invullen groen'!H17:L74&lt;0)*'Invullen groen'!H17:L74)</f>
        <v/>
      </c>
      <c r="D12" s="470">
        <f>B12+C12</f>
        <v/>
      </c>
      <c r="E12" s="470">
        <f>SUMPRODUCT((LOWER('Invullen groen'!A17:A74)="volksgezondheid en milieu")*IFERROR('Invullen groen'!I17:M74*1,0))</f>
        <v/>
      </c>
      <c r="F12" s="470">
        <f>SUMPRODUCT((LOWER('Invullen groen'!A17:A74)="volksgezondheid en milieu")*IFERROR('Invullen groen'!J17:N74*1,0))</f>
        <v/>
      </c>
      <c r="G12" s="470">
        <f>SUMPRODUCT((LOWER('Invullen groen'!A17:A74)="volksgezondheid en milieu")*IFERROR('Invullen groen'!K17:O74*1,0))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groen'!H17:L74&gt;0)*'Invullen groen'!H17:L74)</f>
        <v/>
      </c>
      <c r="C13" s="468">
        <f>SUMPRODUCT((LOWER('Invullen groen'!A17:A74)="volkshuisv., ro en stedelijke vernieuwing")*('Invullen groen'!H17:L74&lt;0)*'Invullen groen'!H17:L74)</f>
        <v/>
      </c>
      <c r="D13" s="468">
        <f>B13+C13</f>
        <v/>
      </c>
      <c r="E13" s="468">
        <f>SUMPRODUCT((LOWER('Invullen groen'!A17:A74)="volkshuisv., ro en stedelijke vernieuwing")*IFERROR('Invullen groen'!I17:M74*1,0))</f>
        <v/>
      </c>
      <c r="F13" s="468">
        <f>SUMPRODUCT((LOWER('Invullen groen'!A17:A74)="volkshuisv., ro en stedelijke vernieuwing")*IFERROR('Invullen groen'!J17:N74*1,0))</f>
        <v/>
      </c>
      <c r="G13" s="468">
        <f>SUMPRODUCT((LOWER('Invullen groen'!A17:A74)="volkshuisv., ro en stedelijke vernieuwing")*IFERROR('Invullen groen'!K17:O74*1,0))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groen'!H18&gt;0,1,""),"")</f>
        <v/>
      </c>
      <c r="B6" s="536">
        <f>IFERROR(IF('Invullen groen'!H18&gt;0,'Invullen groen'!A18,""),"")</f>
        <v/>
      </c>
      <c r="C6" s="536">
        <f>IFERROR(IF('Invullen groen'!H18&gt;0,'Invullen groen'!G18,""),"")</f>
        <v/>
      </c>
      <c r="D6" s="537">
        <f>IFERROR(IF('Invullen groen'!H18&gt;0,'Invullen groen'!H18,""),"")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groen'!H19&gt;0,2,""),"")</f>
        <v/>
      </c>
      <c r="B7" s="534">
        <f>IFERROR(IF('Invullen groen'!H19&gt;0,'Invullen groen'!A19,""),"")</f>
        <v/>
      </c>
      <c r="C7" s="534">
        <f>IFERROR(IF('Invullen groen'!H19&gt;0,'Invullen groen'!G19,""),"")</f>
        <v/>
      </c>
      <c r="D7" s="535">
        <f>IFERROR(IF('Invullen groen'!H19&gt;0,'Invullen groen'!H19,""),"")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groen'!H20&gt;0,3,""),"")</f>
        <v/>
      </c>
      <c r="B8" s="536">
        <f>IFERROR(IF('Invullen groen'!H20&gt;0,'Invullen groen'!A20,""),"")</f>
        <v/>
      </c>
      <c r="C8" s="536">
        <f>IFERROR(IF('Invullen groen'!H20&gt;0,'Invullen groen'!G20,""),"")</f>
        <v/>
      </c>
      <c r="D8" s="537">
        <f>IFERROR(IF('Invullen groen'!H20&gt;0,'Invullen groen'!H20,""),"")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groen'!H21&gt;0,4,""),"")</f>
        <v/>
      </c>
      <c r="B9" s="534">
        <f>IFERROR(IF('Invullen groen'!H21&gt;0,'Invullen groen'!A21,""),"")</f>
        <v/>
      </c>
      <c r="C9" s="534">
        <f>IFERROR(IF('Invullen groen'!H21&gt;0,'Invullen groen'!G21,""),"")</f>
        <v/>
      </c>
      <c r="D9" s="535">
        <f>IFERROR(IF('Invullen groen'!H21&gt;0,'Invullen groen'!H21,""),"")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groen'!H22&gt;0,5,""),"")</f>
        <v/>
      </c>
      <c r="B10" s="536">
        <f>IFERROR(IF('Invullen groen'!H22&gt;0,'Invullen groen'!A22,""),"")</f>
        <v/>
      </c>
      <c r="C10" s="536">
        <f>IFERROR(IF('Invullen groen'!H22&gt;0,'Invullen groen'!G22,""),"")</f>
        <v/>
      </c>
      <c r="D10" s="537">
        <f>IFERROR(IF('Invullen groen'!H22&gt;0,'Invullen groen'!H22,""),"")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groen'!H23&gt;0,6,""),"")</f>
        <v/>
      </c>
      <c r="B11" s="534">
        <f>IFERROR(IF('Invullen groen'!H23&gt;0,'Invullen groen'!A23,""),"")</f>
        <v/>
      </c>
      <c r="C11" s="534">
        <f>IFERROR(IF('Invullen groen'!H23&gt;0,'Invullen groen'!G23,""),"")</f>
        <v/>
      </c>
      <c r="D11" s="535">
        <f>IFERROR(IF('Invullen groen'!H23&gt;0,'Invullen groen'!H23,""),"")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groen'!H24&gt;0,7,""),"")</f>
        <v/>
      </c>
      <c r="B12" s="536">
        <f>IFERROR(IF('Invullen groen'!H24&gt;0,'Invullen groen'!A24,""),"")</f>
        <v/>
      </c>
      <c r="C12" s="536">
        <f>IFERROR(IF('Invullen groen'!H24&gt;0,'Invullen groen'!G24,""),"")</f>
        <v/>
      </c>
      <c r="D12" s="537">
        <f>IFERROR(IF('Invullen groen'!H24&gt;0,'Invullen groen'!H24,""),"")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groen'!H25&gt;0,8,""),"")</f>
        <v/>
      </c>
      <c r="B13" s="534">
        <f>IFERROR(IF('Invullen groen'!H25&gt;0,'Invullen groen'!A25,""),"")</f>
        <v/>
      </c>
      <c r="C13" s="534">
        <f>IFERROR(IF('Invullen groen'!H25&gt;0,'Invullen groen'!G25,""),"")</f>
        <v/>
      </c>
      <c r="D13" s="535">
        <f>IFERROR(IF('Invullen groen'!H25&gt;0,'Invullen groen'!H25,""),"")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groen'!H26&gt;0,9,""),"")</f>
        <v/>
      </c>
      <c r="B14" s="536">
        <f>IFERROR(IF('Invullen groen'!H26&gt;0,'Invullen groen'!A26,""),"")</f>
        <v/>
      </c>
      <c r="C14" s="536">
        <f>IFERROR(IF('Invullen groen'!H26&gt;0,'Invullen groen'!G26,""),"")</f>
        <v/>
      </c>
      <c r="D14" s="537">
        <f>IFERROR(IF('Invullen groen'!H26&gt;0,'Invullen groen'!H26,""),"")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groen'!H27&gt;0,10,""),"")</f>
        <v/>
      </c>
      <c r="B15" s="534">
        <f>IFERROR(IF('Invullen groen'!H27&gt;0,'Invullen groen'!A27,""),"")</f>
        <v/>
      </c>
      <c r="C15" s="534">
        <f>IFERROR(IF('Invullen groen'!H27&gt;0,'Invullen groen'!G27,""),"")</f>
        <v/>
      </c>
      <c r="D15" s="535">
        <f>IFERROR(IF('Invullen groen'!H27&gt;0,'Invullen groen'!H27,""),"")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groen'!H28&gt;0,11,""),"")</f>
        <v/>
      </c>
      <c r="B16" s="536">
        <f>IFERROR(IF('Invullen groen'!H28&gt;0,'Invullen groen'!A28,""),"")</f>
        <v/>
      </c>
      <c r="C16" s="536">
        <f>IFERROR(IF('Invullen groen'!H28&gt;0,'Invullen groen'!G28,""),"")</f>
        <v/>
      </c>
      <c r="D16" s="537">
        <f>IFERROR(IF('Invullen groen'!H28&gt;0,'Invullen groen'!H28,""),"")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groen'!H29&gt;0,12,""),"")</f>
        <v/>
      </c>
      <c r="B17" s="534">
        <f>IFERROR(IF('Invullen groen'!H29&gt;0,'Invullen groen'!A29,""),"")</f>
        <v/>
      </c>
      <c r="C17" s="534">
        <f>IFERROR(IF('Invullen groen'!H29&gt;0,'Invullen groen'!G29,""),"")</f>
        <v/>
      </c>
      <c r="D17" s="535">
        <f>IFERROR(IF('Invullen groen'!H29&gt;0,'Invullen groen'!H29,""),"")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groen'!H30&gt;0,13,""),"")</f>
        <v/>
      </c>
      <c r="B18" s="536">
        <f>IFERROR(IF('Invullen groen'!H30&gt;0,'Invullen groen'!A30,""),"")</f>
        <v/>
      </c>
      <c r="C18" s="536">
        <f>IFERROR(IF('Invullen groen'!H30&gt;0,'Invullen groen'!G30,""),"")</f>
        <v/>
      </c>
      <c r="D18" s="537">
        <f>IFERROR(IF('Invullen groen'!H30&gt;0,'Invullen groen'!H30,""),"")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groen'!H31&gt;0,14,""),"")</f>
        <v/>
      </c>
      <c r="B19" s="534">
        <f>IFERROR(IF('Invullen groen'!H31&gt;0,'Invullen groen'!A31,""),"")</f>
        <v/>
      </c>
      <c r="C19" s="534">
        <f>IFERROR(IF('Invullen groen'!H31&gt;0,'Invullen groen'!G31,""),"")</f>
        <v/>
      </c>
      <c r="D19" s="535">
        <f>IFERROR(IF('Invullen groen'!H31&gt;0,'Invullen groen'!H31,""),"")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groen'!H32&gt;0,15,""),"")</f>
        <v/>
      </c>
      <c r="B20" s="536">
        <f>IFERROR(IF('Invullen groen'!H32&gt;0,'Invullen groen'!A32,""),"")</f>
        <v/>
      </c>
      <c r="C20" s="536">
        <f>IFERROR(IF('Invullen groen'!H32&gt;0,'Invullen groen'!G32,""),"")</f>
        <v/>
      </c>
      <c r="D20" s="537">
        <f>IFERROR(IF('Invullen groen'!H32&gt;0,'Invullen groen'!H32,""),"")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groen'!H33&gt;0,16,""),"")</f>
        <v/>
      </c>
      <c r="B21" s="534">
        <f>IFERROR(IF('Invullen groen'!H33&gt;0,'Invullen groen'!A33,""),"")</f>
        <v/>
      </c>
      <c r="C21" s="534">
        <f>IFERROR(IF('Invullen groen'!H33&gt;0,'Invullen groen'!G33,""),"")</f>
        <v/>
      </c>
      <c r="D21" s="535">
        <f>IFERROR(IF('Invullen groen'!H33&gt;0,'Invullen groen'!H33,""),"")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groen'!H34&gt;0,17,""),"")</f>
        <v/>
      </c>
      <c r="B22" s="536">
        <f>IFERROR(IF('Invullen groen'!H34&gt;0,'Invullen groen'!A34,""),"")</f>
        <v/>
      </c>
      <c r="C22" s="536">
        <f>IFERROR(IF('Invullen groen'!H34&gt;0,'Invullen groen'!G34,""),"")</f>
        <v/>
      </c>
      <c r="D22" s="537">
        <f>IFERROR(IF('Invullen groen'!H34&gt;0,'Invullen groen'!H34,""),"")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groen'!H35&gt;0,18,""),"")</f>
        <v/>
      </c>
      <c r="B23" s="534">
        <f>IFERROR(IF('Invullen groen'!H35&gt;0,'Invullen groen'!A35,""),"")</f>
        <v/>
      </c>
      <c r="C23" s="534">
        <f>IFERROR(IF('Invullen groen'!H35&gt;0,'Invullen groen'!G35,""),"")</f>
        <v/>
      </c>
      <c r="D23" s="535">
        <f>IFERROR(IF('Invullen groen'!H35&gt;0,'Invullen groen'!H35,""),"")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groen'!H36&gt;0,19,""),"")</f>
        <v/>
      </c>
      <c r="B24" s="536">
        <f>IFERROR(IF('Invullen groen'!H36&gt;0,'Invullen groen'!A36,""),"")</f>
        <v/>
      </c>
      <c r="C24" s="536">
        <f>IFERROR(IF('Invullen groen'!H36&gt;0,'Invullen groen'!G36,""),"")</f>
        <v/>
      </c>
      <c r="D24" s="537">
        <f>IFERROR(IF('Invullen groen'!H36&gt;0,'Invullen groen'!H36,""),"")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groen'!H37&gt;0,20,""),"")</f>
        <v/>
      </c>
      <c r="B25" s="534">
        <f>IFERROR(IF('Invullen groen'!H37&gt;0,'Invullen groen'!A37,""),"")</f>
        <v/>
      </c>
      <c r="C25" s="534">
        <f>IFERROR(IF('Invullen groen'!H37&gt;0,'Invullen groen'!G37,""),"")</f>
        <v/>
      </c>
      <c r="D25" s="535">
        <f>IFERROR(IF('Invullen groen'!H37&gt;0,'Invullen groen'!H37,""),"")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groen'!H38&gt;0,21,""),"")</f>
        <v/>
      </c>
      <c r="B26" s="536">
        <f>IFERROR(IF('Invullen groen'!H38&gt;0,'Invullen groen'!A38,""),"")</f>
        <v/>
      </c>
      <c r="C26" s="536">
        <f>IFERROR(IF('Invullen groen'!H38&gt;0,'Invullen groen'!G38,""),"")</f>
        <v/>
      </c>
      <c r="D26" s="537">
        <f>IFERROR(IF('Invullen groen'!H38&gt;0,'Invullen groen'!H38,""),"")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groen'!H39&gt;0,22,""),"")</f>
        <v/>
      </c>
      <c r="B27" s="534">
        <f>IFERROR(IF('Invullen groen'!H39&gt;0,'Invullen groen'!A39,""),"")</f>
        <v/>
      </c>
      <c r="C27" s="534">
        <f>IFERROR(IF('Invullen groen'!H39&gt;0,'Invullen groen'!G39,""),"")</f>
        <v/>
      </c>
      <c r="D27" s="535">
        <f>IFERROR(IF('Invullen groen'!H39&gt;0,'Invullen groen'!H39,""),"")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groen'!H40&gt;0,23,""),"")</f>
        <v/>
      </c>
      <c r="B28" s="536">
        <f>IFERROR(IF('Invullen groen'!H40&gt;0,'Invullen groen'!A40,""),"")</f>
        <v/>
      </c>
      <c r="C28" s="536">
        <f>IFERROR(IF('Invullen groen'!H40&gt;0,'Invullen groen'!G40,""),"")</f>
        <v/>
      </c>
      <c r="D28" s="537">
        <f>IFERROR(IF('Invullen groen'!H40&gt;0,'Invullen groen'!H40,""),"")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groen'!H41&gt;0,24,""),"")</f>
        <v/>
      </c>
      <c r="B29" s="534">
        <f>IFERROR(IF('Invullen groen'!H41&gt;0,'Invullen groen'!A41,""),"")</f>
        <v/>
      </c>
      <c r="C29" s="534">
        <f>IFERROR(IF('Invullen groen'!H41&gt;0,'Invullen groen'!G41,""),"")</f>
        <v/>
      </c>
      <c r="D29" s="535">
        <f>IFERROR(IF('Invullen groen'!H41&gt;0,'Invullen groen'!H41,""),"")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groen'!H42&gt;0,25,""),"")</f>
        <v/>
      </c>
      <c r="B30" s="536">
        <f>IFERROR(IF('Invullen groen'!H42&gt;0,'Invullen groen'!A42,""),"")</f>
        <v/>
      </c>
      <c r="C30" s="536">
        <f>IFERROR(IF('Invullen groen'!H42&gt;0,'Invullen groen'!G42,""),"")</f>
        <v/>
      </c>
      <c r="D30" s="537">
        <f>IFERROR(IF('Invullen groen'!H42&gt;0,'Invullen groen'!H42,""),"")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groen'!H43&gt;0,26,""),"")</f>
        <v/>
      </c>
      <c r="B31" s="534">
        <f>IFERROR(IF('Invullen groen'!H43&gt;0,'Invullen groen'!A43,""),"")</f>
        <v/>
      </c>
      <c r="C31" s="534">
        <f>IFERROR(IF('Invullen groen'!H43&gt;0,'Invullen groen'!G43,""),"")</f>
        <v/>
      </c>
      <c r="D31" s="535">
        <f>IFERROR(IF('Invullen groen'!H43&gt;0,'Invullen groen'!H43,""),"")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groen'!H44&gt;0,27,""),"")</f>
        <v/>
      </c>
      <c r="B32" s="536">
        <f>IFERROR(IF('Invullen groen'!H44&gt;0,'Invullen groen'!A44,""),"")</f>
        <v/>
      </c>
      <c r="C32" s="536">
        <f>IFERROR(IF('Invullen groen'!H44&gt;0,'Invullen groen'!G44,""),"")</f>
        <v/>
      </c>
      <c r="D32" s="537">
        <f>IFERROR(IF('Invullen groen'!H44&gt;0,'Invullen groen'!H44,""),"")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groen'!H45&gt;0,28,""),"")</f>
        <v/>
      </c>
      <c r="B33" s="534">
        <f>IFERROR(IF('Invullen groen'!H45&gt;0,'Invullen groen'!A45,""),"")</f>
        <v/>
      </c>
      <c r="C33" s="534">
        <f>IFERROR(IF('Invullen groen'!H45&gt;0,'Invullen groen'!G45,""),"")</f>
        <v/>
      </c>
      <c r="D33" s="535">
        <f>IFERROR(IF('Invullen groen'!H45&gt;0,'Invullen groen'!H45,""),"")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groen'!H46&gt;0,29,""),"")</f>
        <v/>
      </c>
      <c r="B34" s="536">
        <f>IFERROR(IF('Invullen groen'!H46&gt;0,'Invullen groen'!A46,""),"")</f>
        <v/>
      </c>
      <c r="C34" s="536">
        <f>IFERROR(IF('Invullen groen'!H46&gt;0,'Invullen groen'!G46,""),"")</f>
        <v/>
      </c>
      <c r="D34" s="537">
        <f>IFERROR(IF('Invullen groen'!H46&gt;0,'Invullen groen'!H46,""),"")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groen'!H47&gt;0,30,""),"")</f>
        <v/>
      </c>
      <c r="B35" s="534">
        <f>IFERROR(IF('Invullen groen'!H47&gt;0,'Invullen groen'!A47,""),"")</f>
        <v/>
      </c>
      <c r="C35" s="534">
        <f>IFERROR(IF('Invullen groen'!H47&gt;0,'Invullen groen'!G47,""),"")</f>
        <v/>
      </c>
      <c r="D35" s="535">
        <f>IFERROR(IF('Invullen groen'!H47&gt;0,'Invullen groen'!H47,""),"")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groen'!H48&gt;0,31,""),"")</f>
        <v/>
      </c>
      <c r="B36" s="536">
        <f>IFERROR(IF('Invullen groen'!H48&gt;0,'Invullen groen'!A48,""),"")</f>
        <v/>
      </c>
      <c r="C36" s="536">
        <f>IFERROR(IF('Invullen groen'!H48&gt;0,'Invullen groen'!G48,""),"")</f>
        <v/>
      </c>
      <c r="D36" s="537">
        <f>IFERROR(IF('Invullen groen'!H48&gt;0,'Invullen groen'!H48,""),"")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groen'!H49&gt;0,32,""),"")</f>
        <v/>
      </c>
      <c r="B37" s="534">
        <f>IFERROR(IF('Invullen groen'!H49&gt;0,'Invullen groen'!A49,""),"")</f>
        <v/>
      </c>
      <c r="C37" s="534">
        <f>IFERROR(IF('Invullen groen'!H49&gt;0,'Invullen groen'!G49,""),"")</f>
        <v/>
      </c>
      <c r="D37" s="535">
        <f>IFERROR(IF('Invullen groen'!H49&gt;0,'Invullen groen'!H49,""),"")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groen'!H50&gt;0,33,""),"")</f>
        <v/>
      </c>
      <c r="B38" s="536">
        <f>IFERROR(IF('Invullen groen'!H50&gt;0,'Invullen groen'!A50,""),"")</f>
        <v/>
      </c>
      <c r="C38" s="536">
        <f>IFERROR(IF('Invullen groen'!H50&gt;0,'Invullen groen'!G50,""),"")</f>
        <v/>
      </c>
      <c r="D38" s="537">
        <f>IFERROR(IF('Invullen groen'!H50&gt;0,'Invullen groen'!H50,""),"")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groen'!H51&gt;0,34,""),"")</f>
        <v/>
      </c>
      <c r="B39" s="534">
        <f>IFERROR(IF('Invullen groen'!H51&gt;0,'Invullen groen'!A51,""),"")</f>
        <v/>
      </c>
      <c r="C39" s="534">
        <f>IFERROR(IF('Invullen groen'!H51&gt;0,'Invullen groen'!G51,""),"")</f>
        <v/>
      </c>
      <c r="D39" s="535">
        <f>IFERROR(IF('Invullen groen'!H51&gt;0,'Invullen groen'!H51,""),"")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groen'!H52&gt;0,35,""),"")</f>
        <v/>
      </c>
      <c r="B40" s="536">
        <f>IFERROR(IF('Invullen groen'!H52&gt;0,'Invullen groen'!A52,""),"")</f>
        <v/>
      </c>
      <c r="C40" s="536">
        <f>IFERROR(IF('Invullen groen'!H52&gt;0,'Invullen groen'!G52,""),"")</f>
        <v/>
      </c>
      <c r="D40" s="537">
        <f>IFERROR(IF('Invullen groen'!H52&gt;0,'Invullen groen'!H52,""),"")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groen'!H53&gt;0,36,""),"")</f>
        <v/>
      </c>
      <c r="B41" s="534">
        <f>IFERROR(IF('Invullen groen'!H53&gt;0,'Invullen groen'!A53,""),"")</f>
        <v/>
      </c>
      <c r="C41" s="534">
        <f>IFERROR(IF('Invullen groen'!H53&gt;0,'Invullen groen'!G53,""),"")</f>
        <v/>
      </c>
      <c r="D41" s="535">
        <f>IFERROR(IF('Invullen groen'!H53&gt;0,'Invullen groen'!H53,""),"")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groen'!H54&gt;0,37,""),"")</f>
        <v/>
      </c>
      <c r="B42" s="536">
        <f>IFERROR(IF('Invullen groen'!H54&gt;0,'Invullen groen'!A54,""),"")</f>
        <v/>
      </c>
      <c r="C42" s="536">
        <f>IFERROR(IF('Invullen groen'!H54&gt;0,'Invullen groen'!G54,""),"")</f>
        <v/>
      </c>
      <c r="D42" s="537">
        <f>IFERROR(IF('Invullen groen'!H54&gt;0,'Invullen groen'!H54,""),"")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groen'!H55&gt;0,38,""),"")</f>
        <v/>
      </c>
      <c r="B43" s="534">
        <f>IFERROR(IF('Invullen groen'!H55&gt;0,'Invullen groen'!A55,""),"")</f>
        <v/>
      </c>
      <c r="C43" s="534">
        <f>IFERROR(IF('Invullen groen'!H55&gt;0,'Invullen groen'!G55,""),"")</f>
        <v/>
      </c>
      <c r="D43" s="535">
        <f>IFERROR(IF('Invullen groen'!H55&gt;0,'Invullen groen'!H55,""),"")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groen'!H56&gt;0,39,""),"")</f>
        <v/>
      </c>
      <c r="B44" s="536">
        <f>IFERROR(IF('Invullen groen'!H56&gt;0,'Invullen groen'!A56,""),"")</f>
        <v/>
      </c>
      <c r="C44" s="536">
        <f>IFERROR(IF('Invullen groen'!H56&gt;0,'Invullen groen'!G56,""),"")</f>
        <v/>
      </c>
      <c r="D44" s="537">
        <f>IFERROR(IF('Invullen groen'!H56&gt;0,'Invullen groen'!H56,""),"")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groen'!H57&gt;0,40,""),"")</f>
        <v/>
      </c>
      <c r="B45" s="534">
        <f>IFERROR(IF('Invullen groen'!H57&gt;0,'Invullen groen'!A57,""),"")</f>
        <v/>
      </c>
      <c r="C45" s="534">
        <f>IFERROR(IF('Invullen groen'!H57&gt;0,'Invullen groen'!G57,""),"")</f>
        <v/>
      </c>
      <c r="D45" s="535">
        <f>IFERROR(IF('Invullen groen'!H57&gt;0,'Invullen groen'!H57,""),"")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groen'!H58&gt;0,41,""),"")</f>
        <v/>
      </c>
      <c r="B46" s="536">
        <f>IFERROR(IF('Invullen groen'!H58&gt;0,'Invullen groen'!A58,""),"")</f>
        <v/>
      </c>
      <c r="C46" s="536">
        <f>IFERROR(IF('Invullen groen'!H58&gt;0,'Invullen groen'!G58,""),"")</f>
        <v/>
      </c>
      <c r="D46" s="537">
        <f>IFERROR(IF('Invullen groen'!H58&gt;0,'Invullen groen'!H58,""),"")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groen'!H59&gt;0,42,""),"")</f>
        <v/>
      </c>
      <c r="B47" s="534">
        <f>IFERROR(IF('Invullen groen'!H59&gt;0,'Invullen groen'!A59,""),"")</f>
        <v/>
      </c>
      <c r="C47" s="534">
        <f>IFERROR(IF('Invullen groen'!H59&gt;0,'Invullen groen'!G59,""),"")</f>
        <v/>
      </c>
      <c r="D47" s="535">
        <f>IFERROR(IF('Invullen groen'!H59&gt;0,'Invullen groen'!H59,""),"")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groen'!H60&gt;0,43,""),"")</f>
        <v/>
      </c>
      <c r="B48" s="536">
        <f>IFERROR(IF('Invullen groen'!H60&gt;0,'Invullen groen'!A60,""),"")</f>
        <v/>
      </c>
      <c r="C48" s="536">
        <f>IFERROR(IF('Invullen groen'!H60&gt;0,'Invullen groen'!G60,""),"")</f>
        <v/>
      </c>
      <c r="D48" s="537">
        <f>IFERROR(IF('Invullen groen'!H60&gt;0,'Invullen groen'!H60,""),"")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groen'!H61&gt;0,44,""),"")</f>
        <v/>
      </c>
      <c r="B49" s="534">
        <f>IFERROR(IF('Invullen groen'!H61&gt;0,'Invullen groen'!A61,""),"")</f>
        <v/>
      </c>
      <c r="C49" s="534">
        <f>IFERROR(IF('Invullen groen'!H61&gt;0,'Invullen groen'!G61,""),"")</f>
        <v/>
      </c>
      <c r="D49" s="535">
        <f>IFERROR(IF('Invullen groen'!H61&gt;0,'Invullen groen'!H61,""),"")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groen'!H62&gt;0,45,""),"")</f>
        <v/>
      </c>
      <c r="B50" s="536">
        <f>IFERROR(IF('Invullen groen'!H62&gt;0,'Invullen groen'!A62,""),"")</f>
        <v/>
      </c>
      <c r="C50" s="536">
        <f>IFERROR(IF('Invullen groen'!H62&gt;0,'Invullen groen'!G62,""),"")</f>
        <v/>
      </c>
      <c r="D50" s="537">
        <f>IFERROR(IF('Invullen groen'!H62&gt;0,'Invullen groen'!H62,""),"")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groen'!H63&gt;0,46,""),"")</f>
        <v/>
      </c>
      <c r="B51" s="534">
        <f>IFERROR(IF('Invullen groen'!H63&gt;0,'Invullen groen'!A63,""),"")</f>
        <v/>
      </c>
      <c r="C51" s="534">
        <f>IFERROR(IF('Invullen groen'!H63&gt;0,'Invullen groen'!G63,""),"")</f>
        <v/>
      </c>
      <c r="D51" s="535">
        <f>IFERROR(IF('Invullen groen'!H63&gt;0,'Invullen groen'!H63,""),"")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groen'!H64&gt;0,47,""),"")</f>
        <v/>
      </c>
      <c r="B52" s="536">
        <f>IFERROR(IF('Invullen groen'!H64&gt;0,'Invullen groen'!A64,""),"")</f>
        <v/>
      </c>
      <c r="C52" s="536">
        <f>IFERROR(IF('Invullen groen'!H64&gt;0,'Invullen groen'!G64,""),"")</f>
        <v/>
      </c>
      <c r="D52" s="537">
        <f>IFERROR(IF('Invullen groen'!H64&gt;0,'Invullen groen'!H64,""),"")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groen'!H65&gt;0,48,""),"")</f>
        <v/>
      </c>
      <c r="B53" s="534">
        <f>IFERROR(IF('Invullen groen'!H65&gt;0,'Invullen groen'!A65,""),"")</f>
        <v/>
      </c>
      <c r="C53" s="534">
        <f>IFERROR(IF('Invullen groen'!H65&gt;0,'Invullen groen'!G65,""),"")</f>
        <v/>
      </c>
      <c r="D53" s="535">
        <f>IFERROR(IF('Invullen groen'!H65&gt;0,'Invullen groen'!H65,""),"")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groen'!H66&gt;0,49,""),"")</f>
        <v/>
      </c>
      <c r="B54" s="536">
        <f>IFERROR(IF('Invullen groen'!H66&gt;0,'Invullen groen'!A66,""),"")</f>
        <v/>
      </c>
      <c r="C54" s="536">
        <f>IFERROR(IF('Invullen groen'!H66&gt;0,'Invullen groen'!G66,""),"")</f>
        <v/>
      </c>
      <c r="D54" s="537">
        <f>IFERROR(IF('Invullen groen'!H66&gt;0,'Invullen groen'!H66,""),"")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groen'!H67&gt;0,50,""),"")</f>
        <v/>
      </c>
      <c r="B55" s="534">
        <f>IFERROR(IF('Invullen groen'!H67&gt;0,'Invullen groen'!A67,""),"")</f>
        <v/>
      </c>
      <c r="C55" s="534">
        <f>IFERROR(IF('Invullen groen'!H67&gt;0,'Invullen groen'!G67,""),"")</f>
        <v/>
      </c>
      <c r="D55" s="535">
        <f>IFERROR(IF('Invullen groen'!H67&gt;0,'Invullen groen'!H67,""),"")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groen'!H68&gt;0,51,""),"")</f>
        <v/>
      </c>
      <c r="B56" s="536">
        <f>IFERROR(IF('Invullen groen'!H68&gt;0,'Invullen groen'!A68,""),"")</f>
        <v/>
      </c>
      <c r="C56" s="536">
        <f>IFERROR(IF('Invullen groen'!H68&gt;0,'Invullen groen'!G68,""),"")</f>
        <v/>
      </c>
      <c r="D56" s="537">
        <f>IFERROR(IF('Invullen groen'!H68&gt;0,'Invullen groen'!H68,""),"")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groen'!H69&gt;0,52,""),"")</f>
        <v/>
      </c>
      <c r="B57" s="534">
        <f>IFERROR(IF('Invullen groen'!H69&gt;0,'Invullen groen'!A69,""),"")</f>
        <v/>
      </c>
      <c r="C57" s="534">
        <f>IFERROR(IF('Invullen groen'!H69&gt;0,'Invullen groen'!G69,""),"")</f>
        <v/>
      </c>
      <c r="D57" s="535">
        <f>IFERROR(IF('Invullen groen'!H69&gt;0,'Invullen groen'!H69,""),"")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groen'!H70&gt;0,53,""),"")</f>
        <v/>
      </c>
      <c r="B58" s="536">
        <f>IFERROR(IF('Invullen groen'!H70&gt;0,'Invullen groen'!A70,""),"")</f>
        <v/>
      </c>
      <c r="C58" s="536">
        <f>IFERROR(IF('Invullen groen'!H70&gt;0,'Invullen groen'!G70,""),"")</f>
        <v/>
      </c>
      <c r="D58" s="537">
        <f>IFERROR(IF('Invullen groen'!H70&gt;0,'Invullen groen'!H70,""),"")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groen'!H71&gt;0,54,""),"")</f>
        <v/>
      </c>
      <c r="B59" s="534">
        <f>IFERROR(IF('Invullen groen'!H71&gt;0,'Invullen groen'!A71,""),"")</f>
        <v/>
      </c>
      <c r="C59" s="534">
        <f>IFERROR(IF('Invullen groen'!H71&gt;0,'Invullen groen'!G71,""),"")</f>
        <v/>
      </c>
      <c r="D59" s="535">
        <f>IFERROR(IF('Invullen groen'!H71&gt;0,'Invullen groen'!H71,""),"")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groen'!H72&gt;0,55,""),"")</f>
        <v/>
      </c>
      <c r="B60" s="536">
        <f>IFERROR(IF('Invullen groen'!H72&gt;0,'Invullen groen'!A72,""),"")</f>
        <v/>
      </c>
      <c r="C60" s="536">
        <f>IFERROR(IF('Invullen groen'!H72&gt;0,'Invullen groen'!G72,""),"")</f>
        <v/>
      </c>
      <c r="D60" s="537">
        <f>IFERROR(IF('Invullen groen'!H72&gt;0,'Invullen groen'!H72,""),"")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groen'!H73&gt;0,56,""),"")</f>
        <v/>
      </c>
      <c r="B61" s="534">
        <f>IFERROR(IF('Invullen groen'!H73&gt;0,'Invullen groen'!A73,""),"")</f>
        <v/>
      </c>
      <c r="C61" s="534">
        <f>IFERROR(IF('Invullen groen'!H73&gt;0,'Invullen groen'!G73,""),"")</f>
        <v/>
      </c>
      <c r="D61" s="535">
        <f>IFERROR(IF('Invullen groen'!H73&gt;0,'Invullen groen'!H73,""),"")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groen'!H74&gt;0,57,""),"")</f>
        <v/>
      </c>
      <c r="B62" s="536">
        <f>IFERROR(IF('Invullen groen'!H74&gt;0,'Invullen groen'!A74,""),"")</f>
        <v/>
      </c>
      <c r="C62" s="536">
        <f>IFERROR(IF('Invullen groen'!H74&gt;0,'Invullen groen'!G74,""),"")</f>
        <v/>
      </c>
      <c r="D62" s="537">
        <f>IFERROR(IF('Invullen groen'!H74&gt;0,'Invullen groen'!H74,""),"")</f>
        <v/>
      </c>
      <c r="E62" s="508" t="n"/>
      <c r="F62" s="536" t="n"/>
      <c r="G62" s="536" t="n"/>
      <c r="H62" s="537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SUM(D6:D62)</f>
        <v/>
      </c>
      <c r="E64" s="461" t="n"/>
      <c r="F64" s="547" t="inlineStr">
        <is>
          <t>Totaal dekking / baten</t>
        </is>
      </c>
      <c r="G64" s="547" t="n"/>
      <c r="H64" s="548">
        <f>SUM(H6:H62)</f>
        <v/>
      </c>
    </row>
    <row r="65" ht="18" customHeight="1">
      <c r="A65" s="549">
        <f>IF(D64+H64=0,"✓  Budgettair neutraal — saldo = 0","⚠  Niet gedekt — saldo: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2026-06-26T11:47:57Z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