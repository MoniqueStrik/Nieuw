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calcMode="auto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 t="inlineStr">
        <is>
          <t>Aldus vastgesteld in de raadsvergadering van:</t>
        </is>
      </c>
      <c r="B277" s="54" t="n"/>
      <c r="C277" s="194" t="inlineStr">
        <is>
          <t>x-xx-2026</t>
        </is>
      </c>
      <c r="D277" s="4" t="n"/>
      <c r="E277" s="3" t="n"/>
      <c r="F277" s="3" t="n"/>
      <c r="G277" s="3" t="n"/>
      <c r="H277" s="3" t="n"/>
      <c r="I277" s="1" t="n"/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 t="n"/>
      <c r="B278" s="55" t="n"/>
      <c r="C278" s="56" t="n"/>
      <c r="D278" s="4" t="n"/>
      <c r="E278" s="3" t="n"/>
      <c r="F278" s="3" t="n"/>
      <c r="G278" s="3" t="n"/>
      <c r="H278" s="3" t="n"/>
      <c r="I278" s="1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 t="inlineStr">
        <is>
          <t>De Gemeenteraad,</t>
        </is>
      </c>
      <c r="B279" s="55" t="n"/>
      <c r="C279" s="56" t="n"/>
      <c r="D279" s="4" t="n"/>
      <c r="E279" s="3" t="n"/>
      <c r="F279" s="3" t="n"/>
      <c r="G279" s="3" t="n"/>
      <c r="H279" s="3" t="n"/>
      <c r="I279" s="1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 t="n"/>
      <c r="B280" s="55" t="n"/>
      <c r="C280" s="56" t="n"/>
      <c r="D280" s="4" t="n"/>
      <c r="E280" s="3" t="n"/>
      <c r="F280" s="3" t="n"/>
      <c r="G280" s="3" t="n"/>
      <c r="H280" s="3" t="n"/>
      <c r="I280" s="1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 t="inlineStr">
        <is>
          <t>De Griffier,</t>
        </is>
      </c>
      <c r="B281" s="55" t="n"/>
      <c r="C281" s="193" t="inlineStr">
        <is>
          <t>De voorzitter,</t>
        </is>
      </c>
      <c r="D281" s="4" t="n"/>
      <c r="E281" s="3" t="n"/>
      <c r="F281" s="3" t="n"/>
      <c r="G281" s="3" t="n"/>
      <c r="H281" s="3" t="n"/>
      <c r="I281" s="1" t="n"/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 t="n"/>
      <c r="B282" s="55" t="n"/>
      <c r="C282" s="56" t="n"/>
      <c r="D282" s="4" t="n"/>
      <c r="E282" s="3" t="n"/>
      <c r="F282" s="3" t="n"/>
      <c r="G282" s="3" t="n"/>
      <c r="H282" s="3" t="n"/>
      <c r="I282" s="1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 t="n"/>
      <c r="B283" s="55" t="n"/>
      <c r="C283" s="56" t="n"/>
      <c r="D283" s="4" t="n"/>
      <c r="E283" s="3" t="n"/>
      <c r="F283" s="3" t="n"/>
      <c r="G283" s="3" t="n"/>
      <c r="H283" s="3" t="n"/>
      <c r="I283" s="1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 t="n"/>
      <c r="B284" s="55" t="n"/>
      <c r="C284" s="56" t="n"/>
      <c r="D284" s="4" t="n"/>
      <c r="E284" s="3" t="n"/>
      <c r="F284" s="3" t="n"/>
      <c r="G284" s="3" t="n"/>
      <c r="H284" s="3" t="n"/>
      <c r="I284" s="1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 t="n"/>
      <c r="B285" s="55" t="n"/>
      <c r="C285" s="56" t="n"/>
      <c r="D285" s="4" t="n"/>
      <c r="E285" s="3" t="n"/>
      <c r="F285" s="3" t="n"/>
      <c r="G285" s="3" t="n"/>
      <c r="H285" s="3" t="n"/>
      <c r="I285" s="1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 t="n"/>
      <c r="B286" s="55" t="n"/>
      <c r="C286" s="56" t="n"/>
      <c r="D286" s="4" t="n"/>
      <c r="E286" s="3" t="n"/>
      <c r="F286" s="3" t="n"/>
      <c r="G286" s="3" t="n"/>
      <c r="H286" s="3" t="n"/>
      <c r="I286" s="1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 t="n"/>
      <c r="C287" s="56" t="inlineStr">
        <is>
          <t>R. Donders- de Leest</t>
        </is>
      </c>
      <c r="D287" s="4" t="n"/>
      <c r="E287" s="3" t="n"/>
      <c r="F287" s="3" t="n"/>
      <c r="G287" s="3" t="n"/>
      <c r="H287" s="3" t="n"/>
      <c r="I287" s="1" t="n"/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 t="n"/>
      <c r="B288" s="55" t="n"/>
      <c r="C288" s="56" t="n"/>
      <c r="D288" s="4" t="n"/>
      <c r="E288" s="3" t="n"/>
      <c r="F288" s="3" t="n"/>
      <c r="G288" s="3" t="n"/>
      <c r="H288" s="3" t="n"/>
      <c r="I288" s="1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 t="n"/>
      <c r="B289" s="55" t="n"/>
      <c r="C289" s="56" t="n"/>
      <c r="D289" s="4" t="n"/>
      <c r="E289" s="3" t="n"/>
      <c r="F289" s="3" t="n"/>
      <c r="G289" s="3" t="n"/>
      <c r="H289" s="3" t="n"/>
      <c r="I289" s="1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 t="n"/>
      <c r="B290" s="55" t="n"/>
      <c r="C290" s="56" t="n"/>
      <c r="D290" s="4" t="n"/>
      <c r="E290" s="3" t="n"/>
      <c r="F290" s="3" t="n"/>
      <c r="G290" s="3" t="n"/>
      <c r="H290" s="3" t="n"/>
      <c r="I290" s="1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 t="n"/>
      <c r="B291" s="57" t="n"/>
      <c r="C291" s="58" t="n"/>
      <c r="D291" s="4" t="n"/>
      <c r="E291" s="3" t="n"/>
      <c r="F291" s="3" t="n"/>
      <c r="G291" s="3" t="n"/>
      <c r="H291" s="3" t="n"/>
      <c r="I291" s="1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 t="n"/>
      <c r="B292" s="1" t="n"/>
      <c r="C292" s="1" t="n"/>
      <c r="D292" s="4" t="n"/>
      <c r="E292" s="3" t="n"/>
      <c r="F292" s="3" t="n"/>
      <c r="G292" s="3" t="n"/>
      <c r="H292" s="3" t="n"/>
      <c r="I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 t="n"/>
      <c r="B293" s="1" t="n"/>
      <c r="C293" s="1" t="n"/>
      <c r="D293" s="4" t="n"/>
      <c r="E293" s="3" t="n"/>
      <c r="F293" s="3" t="n"/>
      <c r="G293" s="3" t="n"/>
      <c r="H293" s="3" t="n"/>
      <c r="I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 t="n"/>
      <c r="B294" s="1" t="n"/>
      <c r="C294" s="1" t="n"/>
      <c r="D294" s="4" t="n"/>
      <c r="E294" s="3" t="n"/>
      <c r="F294" s="3" t="n"/>
      <c r="G294" s="3" t="n"/>
      <c r="H294" s="3" t="n"/>
      <c r="I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 t="n"/>
      <c r="B295" s="1" t="n"/>
      <c r="C295" s="1" t="n"/>
      <c r="D295" s="4" t="n"/>
      <c r="E295" s="3" t="n"/>
      <c r="F295" s="3" t="n"/>
      <c r="G295" s="3" t="n"/>
      <c r="H295" s="3" t="n"/>
      <c r="I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hidden="1" width="5" customWidth="1" min="12" max="12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IFERROR(IF($L5&gt;0,INDEX('Invullen groen'!$E:$E,$L5),""),"")</f>
        <v/>
      </c>
      <c r="B5" s="522">
        <f>IFERROR(IF($L5&gt;0,IF(INDEX('Invullen groen'!$F:$F,$L5)&gt;0,INDEX('Invullen groen'!$F:$F,$L5),""),""),"")</f>
        <v/>
      </c>
      <c r="C5" s="522">
        <f>IFERROR(IF($L5&gt;0,IF(INDEX('Invullen groen'!$N:$N,$L5)&gt;0,INDEX('Invullen groen'!$N:$N,$L5),""),""),"")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IFERROR(IF($L5&gt;0,IF(INDEX('Invullen groen'!$H:$H,$L5)=0,"",INT(INDEX('Invullen groen'!$H:$H,$L5))),""),"")</f>
        <v/>
      </c>
      <c r="G5" s="523">
        <f>IFERROR(IF($L5&gt;0,IF(INDEX('Invullen groen'!$I:$I,$L5)=0,"",INT(INDEX('Invullen groen'!$I:$I,$L5))),""),"")</f>
        <v/>
      </c>
      <c r="H5" s="523">
        <f>IFERROR(IF($L5&gt;0,IF(INDEX('Invullen groen'!$J:$J,$L5)=0,"",INT(INDEX('Invullen groen'!$J:$J,$L5))),""),"")</f>
        <v/>
      </c>
      <c r="I5" s="523">
        <f>IFERROR(IF($L5&gt;0,IF(INDEX('Invullen groen'!$K:$K,$L5)=0,"",INT(INDEX('Invullen groen'!$K:$K,$L5))),""),"")</f>
        <v/>
      </c>
      <c r="J5" s="522">
        <f>IF($L5&gt;0,IFERROR($K$1&amp;" "&amp;TRIM(SUBSTITUTE(SUBSTITUTE(SUBSTITUTE(SUBSTITUTE(SUBSTITUTE(SUBSTITUTE(SUBSTITUTE(SUBSTITUTE(SUBSTITUTE(SUBSTITUTE(SUBSTITUTE(SUBSTITUTE(LOWER(IF(LEFT(TEXT(INDEX('Invullen groen'!$E:$E,$L5),"0"),1)="6",INDEX('Invullen groen'!$O:$O,$L5),IF(INDEX('Invullen groen'!$N:$N,$L5)&gt;0,INDEX('Invullen groen'!$G:$G,$L5),INDEX('Invullen groen'!$O:$O,$L5)))),"2024",""),"2025",""),"2026",""),"2027",""),"2028",""),"2029",""),"taakveld ",""),"installaties","inst"),"ruwbouw","ruwb"),"afbouw","afb"),"bijstelling","bijst"),"investeringen","invest")),""),")</f>
        <v/>
      </c>
      <c r="K5" s="522" t="n"/>
      <c r="L5" s="234">
        <f>IFERROR(MATCH(ROW()-4,'Invullen groen'!$P$17:$P$109,0)+16,0)</f>
        <v/>
      </c>
      <c r="M5" s="234" t="n"/>
      <c r="N5" s="234" t="n"/>
    </row>
    <row r="6" ht="15" customHeight="1">
      <c r="A6" s="524">
        <f>IFERROR(IF($L6&gt;0,INDEX('Invullen groen'!$E:$E,$L6),""),"")</f>
        <v/>
      </c>
      <c r="B6" s="524">
        <f>IFERROR(IF($L6&gt;0,IF(INDEX('Invullen groen'!$F:$F,$L6)&gt;0,INDEX('Invullen groen'!$F:$F,$L6),""),""),"")</f>
        <v/>
      </c>
      <c r="C6" s="524">
        <f>IFERROR(IF($L6&gt;0,IF(INDEX('Invullen groen'!$N:$N,$L6)&gt;0,INDEX('Invullen groen'!$N:$N,$L6),""),""),"")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IFERROR(IF($L6&gt;0,IF(INDEX('Invullen groen'!$H:$H,$L6)=0,"",INT(INDEX('Invullen groen'!$H:$H,$L6))),""),"")</f>
        <v/>
      </c>
      <c r="G6" s="525">
        <f>IFERROR(IF($L6&gt;0,IF(INDEX('Invullen groen'!$I:$I,$L6)=0,"",INT(INDEX('Invullen groen'!$I:$I,$L6))),""),"")</f>
        <v/>
      </c>
      <c r="H6" s="525">
        <f>IFERROR(IF($L6&gt;0,IF(INDEX('Invullen groen'!$J:$J,$L6)=0,"",INT(INDEX('Invullen groen'!$J:$J,$L6))),""),"")</f>
        <v/>
      </c>
      <c r="I6" s="525">
        <f>IFERROR(IF($L6&gt;0,IF(INDEX('Invullen groen'!$K:$K,$L6)=0,"",INT(INDEX('Invullen groen'!$K:$K,$L6))),""),"")</f>
        <v/>
      </c>
      <c r="J6" s="524">
        <f>IF($L6&gt;0,IFERROR($K$1&amp;" "&amp;TRIM(SUBSTITUTE(SUBSTITUTE(SUBSTITUTE(SUBSTITUTE(SUBSTITUTE(SUBSTITUTE(SUBSTITUTE(SUBSTITUTE(SUBSTITUTE(SUBSTITUTE(SUBSTITUTE(SUBSTITUTE(LOWER(IF(LEFT(TEXT(INDEX('Invullen groen'!$E:$E,$L6),"0"),1)="6",INDEX('Invullen groen'!$O:$O,$L6),IF(INDEX('Invullen groen'!$N:$N,$L6)&gt;0,INDEX('Invullen groen'!$G:$G,$L6),INDEX('Invullen groen'!$O:$O,$L6)))),"2024",""),"2025",""),"2026",""),"2027",""),"2028",""),"2029",""),"taakveld ",""),"installaties","inst"),"ruwbouw","ruwb"),"afbouw","afb"),"bijstelling","bijst"),"investeringen","invest")),""),")</f>
        <v/>
      </c>
      <c r="K6" s="524" t="n"/>
      <c r="L6" s="234">
        <f>IFERROR(MATCH(ROW()-4,'Invullen groen'!$P$17:$P$109,0)+16,0)</f>
        <v/>
      </c>
      <c r="M6" s="234" t="n"/>
      <c r="N6" s="234" t="n"/>
    </row>
    <row r="7" ht="15" customHeight="1">
      <c r="A7" s="522">
        <f>IFERROR(IF($L7&gt;0,INDEX('Invullen groen'!$E:$E,$L7),""),"")</f>
        <v/>
      </c>
      <c r="B7" s="522">
        <f>IFERROR(IF($L7&gt;0,IF(INDEX('Invullen groen'!$F:$F,$L7)&gt;0,INDEX('Invullen groen'!$F:$F,$L7),""),""),"")</f>
        <v/>
      </c>
      <c r="C7" s="522">
        <f>IFERROR(IF($L7&gt;0,IF(INDEX('Invullen groen'!$N:$N,$L7)&gt;0,INDEX('Invullen groen'!$N:$N,$L7),""),""),"")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IFERROR(IF($L7&gt;0,IF(INDEX('Invullen groen'!$H:$H,$L7)=0,"",INT(INDEX('Invullen groen'!$H:$H,$L7))),""),"")</f>
        <v/>
      </c>
      <c r="G7" s="523">
        <f>IFERROR(IF($L7&gt;0,IF(INDEX('Invullen groen'!$I:$I,$L7)=0,"",INT(INDEX('Invullen groen'!$I:$I,$L7))),""),"")</f>
        <v/>
      </c>
      <c r="H7" s="523">
        <f>IFERROR(IF($L7&gt;0,IF(INDEX('Invullen groen'!$J:$J,$L7)=0,"",INT(INDEX('Invullen groen'!$J:$J,$L7))),""),"")</f>
        <v/>
      </c>
      <c r="I7" s="523">
        <f>IFERROR(IF($L7&gt;0,IF(INDEX('Invullen groen'!$K:$K,$L7)=0,"",INT(INDEX('Invullen groen'!$K:$K,$L7))),""),"")</f>
        <v/>
      </c>
      <c r="J7" s="522">
        <f>IF($L7&gt;0,IFERROR($K$1&amp;" "&amp;TRIM(SUBSTITUTE(SUBSTITUTE(SUBSTITUTE(SUBSTITUTE(SUBSTITUTE(SUBSTITUTE(SUBSTITUTE(SUBSTITUTE(SUBSTITUTE(SUBSTITUTE(SUBSTITUTE(SUBSTITUTE(LOWER(IF(LEFT(TEXT(INDEX('Invullen groen'!$E:$E,$L7),"0"),1)="6",INDEX('Invullen groen'!$O:$O,$L7),IF(INDEX('Invullen groen'!$N:$N,$L7)&gt;0,INDEX('Invullen groen'!$G:$G,$L7),INDEX('Invullen groen'!$O:$O,$L7)))),"2024",""),"2025",""),"2026",""),"2027",""),"2028",""),"2029",""),"taakveld ",""),"installaties","inst"),"ruwbouw","ruwb"),"afbouw","afb"),"bijstelling","bijst"),"investeringen","invest")),""),")</f>
        <v/>
      </c>
      <c r="K7" s="522" t="n"/>
      <c r="L7" s="234">
        <f>IFERROR(MATCH(ROW()-4,'Invullen groen'!$P$17:$P$109,0)+16,0)</f>
        <v/>
      </c>
      <c r="M7" s="234" t="n"/>
      <c r="N7" s="234" t="n"/>
    </row>
    <row r="8" ht="15" customHeight="1">
      <c r="A8" s="524">
        <f>IFERROR(IF($L8&gt;0,INDEX('Invullen groen'!$E:$E,$L8),""),"")</f>
        <v/>
      </c>
      <c r="B8" s="524">
        <f>IFERROR(IF($L8&gt;0,IF(INDEX('Invullen groen'!$F:$F,$L8)&gt;0,INDEX('Invullen groen'!$F:$F,$L8),""),""),"")</f>
        <v/>
      </c>
      <c r="C8" s="524">
        <f>IFERROR(IF($L8&gt;0,IF(INDEX('Invullen groen'!$N:$N,$L8)&gt;0,INDEX('Invullen groen'!$N:$N,$L8),""),""),"")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IFERROR(IF($L8&gt;0,IF(INDEX('Invullen groen'!$H:$H,$L8)=0,"",INT(INDEX('Invullen groen'!$H:$H,$L8))),""),"")</f>
        <v/>
      </c>
      <c r="G8" s="525">
        <f>IFERROR(IF($L8&gt;0,IF(INDEX('Invullen groen'!$I:$I,$L8)=0,"",INT(INDEX('Invullen groen'!$I:$I,$L8))),""),"")</f>
        <v/>
      </c>
      <c r="H8" s="525">
        <f>IFERROR(IF($L8&gt;0,IF(INDEX('Invullen groen'!$J:$J,$L8)=0,"",INT(INDEX('Invullen groen'!$J:$J,$L8))),""),"")</f>
        <v/>
      </c>
      <c r="I8" s="525">
        <f>IFERROR(IF($L8&gt;0,IF(INDEX('Invullen groen'!$K:$K,$L8)=0,"",INT(INDEX('Invullen groen'!$K:$K,$L8))),""),"")</f>
        <v/>
      </c>
      <c r="J8" s="524">
        <f>IF($L8&gt;0,IFERROR($K$1&amp;" "&amp;TRIM(SUBSTITUTE(SUBSTITUTE(SUBSTITUTE(SUBSTITUTE(SUBSTITUTE(SUBSTITUTE(SUBSTITUTE(SUBSTITUTE(SUBSTITUTE(SUBSTITUTE(SUBSTITUTE(SUBSTITUTE(LOWER(IF(LEFT(TEXT(INDEX('Invullen groen'!$E:$E,$L8),"0"),1)="6",INDEX('Invullen groen'!$O:$O,$L8),IF(INDEX('Invullen groen'!$N:$N,$L8)&gt;0,INDEX('Invullen groen'!$G:$G,$L8),INDEX('Invullen groen'!$O:$O,$L8)))),"2024",""),"2025",""),"2026",""),"2027",""),"2028",""),"2029",""),"taakveld ",""),"installaties","inst"),"ruwbouw","ruwb"),"afbouw","afb"),"bijstelling","bijst"),"investeringen","invest")),""),")</f>
        <v/>
      </c>
      <c r="K8" s="524" t="n"/>
      <c r="L8" s="234">
        <f>IFERROR(MATCH(ROW()-4,'Invullen groen'!$P$17:$P$109,0)+16,0)</f>
        <v/>
      </c>
      <c r="M8" s="234" t="n"/>
      <c r="N8" s="234" t="n"/>
    </row>
    <row r="9" ht="15" customHeight="1">
      <c r="A9" s="522">
        <f>IFERROR(IF($L9&gt;0,INDEX('Invullen groen'!$E:$E,$L9),""),"")</f>
        <v/>
      </c>
      <c r="B9" s="522">
        <f>IFERROR(IF($L9&gt;0,IF(INDEX('Invullen groen'!$F:$F,$L9)&gt;0,INDEX('Invullen groen'!$F:$F,$L9),""),""),"")</f>
        <v/>
      </c>
      <c r="C9" s="522">
        <f>IFERROR(IF($L9&gt;0,IF(INDEX('Invullen groen'!$N:$N,$L9)&gt;0,INDEX('Invullen groen'!$N:$N,$L9),""),""),"")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IFERROR(IF($L9&gt;0,IF(INDEX('Invullen groen'!$H:$H,$L9)=0,"",INT(INDEX('Invullen groen'!$H:$H,$L9))),""),"")</f>
        <v/>
      </c>
      <c r="G9" s="523">
        <f>IFERROR(IF($L9&gt;0,IF(INDEX('Invullen groen'!$I:$I,$L9)=0,"",INT(INDEX('Invullen groen'!$I:$I,$L9))),""),"")</f>
        <v/>
      </c>
      <c r="H9" s="523">
        <f>IFERROR(IF($L9&gt;0,IF(INDEX('Invullen groen'!$J:$J,$L9)=0,"",INT(INDEX('Invullen groen'!$J:$J,$L9))),""),"")</f>
        <v/>
      </c>
      <c r="I9" s="523">
        <f>IFERROR(IF($L9&gt;0,IF(INDEX('Invullen groen'!$K:$K,$L9)=0,"",INT(INDEX('Invullen groen'!$K:$K,$L9))),""),"")</f>
        <v/>
      </c>
      <c r="J9" s="522">
        <f>IF($L9&gt;0,IFERROR($K$1&amp;" "&amp;TRIM(SUBSTITUTE(SUBSTITUTE(SUBSTITUTE(SUBSTITUTE(SUBSTITUTE(SUBSTITUTE(SUBSTITUTE(SUBSTITUTE(SUBSTITUTE(SUBSTITUTE(SUBSTITUTE(SUBSTITUTE(LOWER(IF(LEFT(TEXT(INDEX('Invullen groen'!$E:$E,$L9),"0"),1)="6",INDEX('Invullen groen'!$O:$O,$L9),IF(INDEX('Invullen groen'!$N:$N,$L9)&gt;0,INDEX('Invullen groen'!$G:$G,$L9),INDEX('Invullen groen'!$O:$O,$L9)))),"2024",""),"2025",""),"2026",""),"2027",""),"2028",""),"2029",""),"taakveld ",""),"installaties","inst"),"ruwbouw","ruwb"),"afbouw","afb"),"bijstelling","bijst"),"investeringen","invest")),""),")</f>
        <v/>
      </c>
      <c r="K9" s="522" t="n"/>
      <c r="L9" s="234">
        <f>IFERROR(MATCH(ROW()-4,'Invullen groen'!$P$17:$P$109,0)+16,0)</f>
        <v/>
      </c>
      <c r="M9" s="234" t="n"/>
      <c r="N9" s="234" t="n"/>
    </row>
    <row r="10" ht="15" customHeight="1">
      <c r="A10" s="524">
        <f>IFERROR(IF($L10&gt;0,INDEX('Invullen groen'!$E:$E,$L10),""),"")</f>
        <v/>
      </c>
      <c r="B10" s="524">
        <f>IFERROR(IF($L10&gt;0,IF(INDEX('Invullen groen'!$F:$F,$L10)&gt;0,INDEX('Invullen groen'!$F:$F,$L10),""),""),"")</f>
        <v/>
      </c>
      <c r="C10" s="524">
        <f>IFERROR(IF($L10&gt;0,IF(INDEX('Invullen groen'!$N:$N,$L10)&gt;0,INDEX('Invullen groen'!$N:$N,$L10),""),""),"")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IFERROR(IF($L10&gt;0,IF(INDEX('Invullen groen'!$H:$H,$L10)=0,"",INT(INDEX('Invullen groen'!$H:$H,$L10))),""),"")</f>
        <v/>
      </c>
      <c r="G10" s="525">
        <f>IFERROR(IF($L10&gt;0,IF(INDEX('Invullen groen'!$I:$I,$L10)=0,"",INT(INDEX('Invullen groen'!$I:$I,$L10))),""),"")</f>
        <v/>
      </c>
      <c r="H10" s="525">
        <f>IFERROR(IF($L10&gt;0,IF(INDEX('Invullen groen'!$J:$J,$L10)=0,"",INT(INDEX('Invullen groen'!$J:$J,$L10))),""),"")</f>
        <v/>
      </c>
      <c r="I10" s="525">
        <f>IFERROR(IF($L10&gt;0,IF(INDEX('Invullen groen'!$K:$K,$L10)=0,"",INT(INDEX('Invullen groen'!$K:$K,$L10))),""),"")</f>
        <v/>
      </c>
      <c r="J10" s="524">
        <f>IF($L10&gt;0,IFERROR($K$1&amp;" "&amp;TRIM(SUBSTITUTE(SUBSTITUTE(SUBSTITUTE(SUBSTITUTE(SUBSTITUTE(SUBSTITUTE(SUBSTITUTE(SUBSTITUTE(SUBSTITUTE(SUBSTITUTE(SUBSTITUTE(SUBSTITUTE(LOWER(IF(LEFT(TEXT(INDEX('Invullen groen'!$E:$E,$L10),"0"),1)="6",INDEX('Invullen groen'!$O:$O,$L10),IF(INDEX('Invullen groen'!$N:$N,$L10)&gt;0,INDEX('Invullen groen'!$G:$G,$L10),INDEX('Invullen groen'!$O:$O,$L10)))),"2024",""),"2025",""),"2026",""),"2027",""),"2028",""),"2029",""),"taakveld ",""),"installaties","inst"),"ruwbouw","ruwb"),"afbouw","afb"),"bijstelling","bijst"),"investeringen","invest")),""),")</f>
        <v/>
      </c>
      <c r="K10" s="524" t="n"/>
      <c r="L10" s="234">
        <f>IFERROR(MATCH(ROW()-4,'Invullen groen'!$P$17:$P$109,0)+16,0)</f>
        <v/>
      </c>
      <c r="M10" s="234" t="n"/>
      <c r="N10" s="234" t="n"/>
    </row>
    <row r="11" ht="15" customHeight="1">
      <c r="A11" s="522">
        <f>IFERROR(IF($L11&gt;0,INDEX('Invullen groen'!$E:$E,$L11),""),"")</f>
        <v/>
      </c>
      <c r="B11" s="522">
        <f>IFERROR(IF($L11&gt;0,IF(INDEX('Invullen groen'!$F:$F,$L11)&gt;0,INDEX('Invullen groen'!$F:$F,$L11),""),""),"")</f>
        <v/>
      </c>
      <c r="C11" s="522">
        <f>IFERROR(IF($L11&gt;0,IF(INDEX('Invullen groen'!$N:$N,$L11)&gt;0,INDEX('Invullen groen'!$N:$N,$L11),""),""),"")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IFERROR(IF($L11&gt;0,IF(INDEX('Invullen groen'!$H:$H,$L11)=0,"",INT(INDEX('Invullen groen'!$H:$H,$L11))),""),"")</f>
        <v/>
      </c>
      <c r="G11" s="523">
        <f>IFERROR(IF($L11&gt;0,IF(INDEX('Invullen groen'!$I:$I,$L11)=0,"",INT(INDEX('Invullen groen'!$I:$I,$L11))),""),"")</f>
        <v/>
      </c>
      <c r="H11" s="523">
        <f>IFERROR(IF($L11&gt;0,IF(INDEX('Invullen groen'!$J:$J,$L11)=0,"",INT(INDEX('Invullen groen'!$J:$J,$L11))),""),"")</f>
        <v/>
      </c>
      <c r="I11" s="523">
        <f>IFERROR(IF($L11&gt;0,IF(INDEX('Invullen groen'!$K:$K,$L11)=0,"",INT(INDEX('Invullen groen'!$K:$K,$L11))),""),"")</f>
        <v/>
      </c>
      <c r="J11" s="522">
        <f>IF($L11&gt;0,IFERROR($K$1&amp;" "&amp;TRIM(SUBSTITUTE(SUBSTITUTE(SUBSTITUTE(SUBSTITUTE(SUBSTITUTE(SUBSTITUTE(SUBSTITUTE(SUBSTITUTE(SUBSTITUTE(SUBSTITUTE(SUBSTITUTE(SUBSTITUTE(LOWER(IF(LEFT(TEXT(INDEX('Invullen groen'!$E:$E,$L11),"0"),1)="6",INDEX('Invullen groen'!$O:$O,$L11),IF(INDEX('Invullen groen'!$N:$N,$L11)&gt;0,INDEX('Invullen groen'!$G:$G,$L11),INDEX('Invullen groen'!$O:$O,$L11)))),"2024",""),"2025",""),"2026",""),"2027",""),"2028",""),"2029",""),"taakveld ",""),"installaties","inst"),"ruwbouw","ruwb"),"afbouw","afb"),"bijstelling","bijst"),"investeringen","invest")),""),")</f>
        <v/>
      </c>
      <c r="K11" s="522" t="n"/>
      <c r="L11" s="234">
        <f>IFERROR(MATCH(ROW()-4,'Invullen groen'!$P$17:$P$109,0)+16,0)</f>
        <v/>
      </c>
      <c r="M11" s="234" t="n"/>
      <c r="N11" s="234" t="n"/>
    </row>
    <row r="12" ht="15" customHeight="1">
      <c r="A12" s="524">
        <f>IFERROR(IF($L12&gt;0,INDEX('Invullen groen'!$E:$E,$L12),""),"")</f>
        <v/>
      </c>
      <c r="B12" s="524">
        <f>IFERROR(IF($L12&gt;0,IF(INDEX('Invullen groen'!$F:$F,$L12)&gt;0,INDEX('Invullen groen'!$F:$F,$L12),""),""),"")</f>
        <v/>
      </c>
      <c r="C12" s="524">
        <f>IFERROR(IF($L12&gt;0,IF(INDEX('Invullen groen'!$N:$N,$L12)&gt;0,INDEX('Invullen groen'!$N:$N,$L12),""),""),"")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IFERROR(IF($L12&gt;0,IF(INDEX('Invullen groen'!$H:$H,$L12)=0,"",INT(INDEX('Invullen groen'!$H:$H,$L12))),""),"")</f>
        <v/>
      </c>
      <c r="G12" s="525">
        <f>IFERROR(IF($L12&gt;0,IF(INDEX('Invullen groen'!$I:$I,$L12)=0,"",INT(INDEX('Invullen groen'!$I:$I,$L12))),""),"")</f>
        <v/>
      </c>
      <c r="H12" s="525">
        <f>IFERROR(IF($L12&gt;0,IF(INDEX('Invullen groen'!$J:$J,$L12)=0,"",INT(INDEX('Invullen groen'!$J:$J,$L12))),""),"")</f>
        <v/>
      </c>
      <c r="I12" s="525">
        <f>IFERROR(IF($L12&gt;0,IF(INDEX('Invullen groen'!$K:$K,$L12)=0,"",INT(INDEX('Invullen groen'!$K:$K,$L12))),""),"")</f>
        <v/>
      </c>
      <c r="J12" s="524">
        <f>IF($L12&gt;0,IFERROR($K$1&amp;" "&amp;TRIM(SUBSTITUTE(SUBSTITUTE(SUBSTITUTE(SUBSTITUTE(SUBSTITUTE(SUBSTITUTE(SUBSTITUTE(SUBSTITUTE(SUBSTITUTE(SUBSTITUTE(SUBSTITUTE(SUBSTITUTE(LOWER(IF(LEFT(TEXT(INDEX('Invullen groen'!$E:$E,$L12),"0"),1)="6",INDEX('Invullen groen'!$O:$O,$L12),IF(INDEX('Invullen groen'!$N:$N,$L12)&gt;0,INDEX('Invullen groen'!$G:$G,$L12),INDEX('Invullen groen'!$O:$O,$L12)))),"2024",""),"2025",""),"2026",""),"2027",""),"2028",""),"2029",""),"taakveld ",""),"installaties","inst"),"ruwbouw","ruwb"),"afbouw","afb"),"bijstelling","bijst"),"investeringen","invest")),""),")</f>
        <v/>
      </c>
      <c r="K12" s="524" t="n"/>
      <c r="L12" s="234">
        <f>IFERROR(MATCH(ROW()-4,'Invullen groen'!$P$17:$P$109,0)+16,0)</f>
        <v/>
      </c>
      <c r="M12" s="234" t="n"/>
      <c r="N12" s="234" t="n"/>
    </row>
    <row r="13" ht="15" customHeight="1">
      <c r="A13" s="522">
        <f>IFERROR(IF($L13&gt;0,INDEX('Invullen groen'!$E:$E,$L13),""),"")</f>
        <v/>
      </c>
      <c r="B13" s="522">
        <f>IFERROR(IF($L13&gt;0,IF(INDEX('Invullen groen'!$F:$F,$L13)&gt;0,INDEX('Invullen groen'!$F:$F,$L13),""),""),"")</f>
        <v/>
      </c>
      <c r="C13" s="522">
        <f>IFERROR(IF($L13&gt;0,IF(INDEX('Invullen groen'!$N:$N,$L13)&gt;0,INDEX('Invullen groen'!$N:$N,$L13),""),""),"")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IFERROR(IF($L13&gt;0,IF(INDEX('Invullen groen'!$H:$H,$L13)=0,"",INT(INDEX('Invullen groen'!$H:$H,$L13))),""),"")</f>
        <v/>
      </c>
      <c r="G13" s="523">
        <f>IFERROR(IF($L13&gt;0,IF(INDEX('Invullen groen'!$I:$I,$L13)=0,"",INT(INDEX('Invullen groen'!$I:$I,$L13))),""),"")</f>
        <v/>
      </c>
      <c r="H13" s="523">
        <f>IFERROR(IF($L13&gt;0,IF(INDEX('Invullen groen'!$J:$J,$L13)=0,"",INT(INDEX('Invullen groen'!$J:$J,$L13))),""),"")</f>
        <v/>
      </c>
      <c r="I13" s="523">
        <f>IFERROR(IF($L13&gt;0,IF(INDEX('Invullen groen'!$K:$K,$L13)=0,"",INT(INDEX('Invullen groen'!$K:$K,$L13))),""),"")</f>
        <v/>
      </c>
      <c r="J13" s="522">
        <f>IF($L13&gt;0,IFERROR($K$1&amp;" "&amp;TRIM(SUBSTITUTE(SUBSTITUTE(SUBSTITUTE(SUBSTITUTE(SUBSTITUTE(SUBSTITUTE(SUBSTITUTE(SUBSTITUTE(SUBSTITUTE(SUBSTITUTE(SUBSTITUTE(SUBSTITUTE(LOWER(IF(LEFT(TEXT(INDEX('Invullen groen'!$E:$E,$L13),"0"),1)="6",INDEX('Invullen groen'!$O:$O,$L13),IF(INDEX('Invullen groen'!$N:$N,$L13)&gt;0,INDEX('Invullen groen'!$G:$G,$L13),INDEX('Invullen groen'!$O:$O,$L13)))),"2024",""),"2025",""),"2026",""),"2027",""),"2028",""),"2029",""),"taakveld ",""),"installaties","inst"),"ruwbouw","ruwb"),"afbouw","afb"),"bijstelling","bijst"),"investeringen","invest")),""),")</f>
        <v/>
      </c>
      <c r="K13" s="522" t="n"/>
      <c r="L13" s="234">
        <f>IFERROR(MATCH(ROW()-4,'Invullen groen'!$P$17:$P$109,0)+16,0)</f>
        <v/>
      </c>
      <c r="M13" s="234" t="n"/>
      <c r="N13" s="234" t="n"/>
    </row>
    <row r="14" ht="15" customHeight="1">
      <c r="A14" s="524">
        <f>IFERROR(IF($L14&gt;0,INDEX('Invullen groen'!$E:$E,$L14),""),"")</f>
        <v/>
      </c>
      <c r="B14" s="524">
        <f>IFERROR(IF($L14&gt;0,IF(INDEX('Invullen groen'!$F:$F,$L14)&gt;0,INDEX('Invullen groen'!$F:$F,$L14),""),""),"")</f>
        <v/>
      </c>
      <c r="C14" s="524">
        <f>IFERROR(IF($L14&gt;0,IF(INDEX('Invullen groen'!$N:$N,$L14)&gt;0,INDEX('Invullen groen'!$N:$N,$L14),""),""),"")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IFERROR(IF($L14&gt;0,IF(INDEX('Invullen groen'!$H:$H,$L14)=0,"",INT(INDEX('Invullen groen'!$H:$H,$L14))),""),"")</f>
        <v/>
      </c>
      <c r="G14" s="525">
        <f>IFERROR(IF($L14&gt;0,IF(INDEX('Invullen groen'!$I:$I,$L14)=0,"",INT(INDEX('Invullen groen'!$I:$I,$L14))),""),"")</f>
        <v/>
      </c>
      <c r="H14" s="525">
        <f>IFERROR(IF($L14&gt;0,IF(INDEX('Invullen groen'!$J:$J,$L14)=0,"",INT(INDEX('Invullen groen'!$J:$J,$L14))),""),"")</f>
        <v/>
      </c>
      <c r="I14" s="525">
        <f>IFERROR(IF($L14&gt;0,IF(INDEX('Invullen groen'!$K:$K,$L14)=0,"",INT(INDEX('Invullen groen'!$K:$K,$L14))),""),"")</f>
        <v/>
      </c>
      <c r="J14" s="524">
        <f>IF($L14&gt;0,IFERROR($K$1&amp;" "&amp;TRIM(SUBSTITUTE(SUBSTITUTE(SUBSTITUTE(SUBSTITUTE(SUBSTITUTE(SUBSTITUTE(SUBSTITUTE(SUBSTITUTE(SUBSTITUTE(SUBSTITUTE(SUBSTITUTE(SUBSTITUTE(LOWER(IF(LEFT(TEXT(INDEX('Invullen groen'!$E:$E,$L14),"0"),1)="6",INDEX('Invullen groen'!$O:$O,$L14),IF(INDEX('Invullen groen'!$N:$N,$L14)&gt;0,INDEX('Invullen groen'!$G:$G,$L14),INDEX('Invullen groen'!$O:$O,$L14)))),"2024",""),"2025",""),"2026",""),"2027",""),"2028",""),"2029",""),"taakveld ",""),"installaties","inst"),"ruwbouw","ruwb"),"afbouw","afb"),"bijstelling","bijst"),"investeringen","invest")),""),")</f>
        <v/>
      </c>
      <c r="K14" s="524" t="n"/>
      <c r="L14" s="234">
        <f>IFERROR(MATCH(ROW()-4,'Invullen groen'!$P$17:$P$109,0)+16,0)</f>
        <v/>
      </c>
      <c r="M14" s="234" t="n"/>
      <c r="N14" s="234" t="n"/>
    </row>
    <row r="15" ht="15" customHeight="1">
      <c r="A15" s="522">
        <f>IFERROR(IF($L15&gt;0,INDEX('Invullen groen'!$E:$E,$L15),""),"")</f>
        <v/>
      </c>
      <c r="B15" s="522">
        <f>IFERROR(IF($L15&gt;0,IF(INDEX('Invullen groen'!$F:$F,$L15)&gt;0,INDEX('Invullen groen'!$F:$F,$L15),""),""),"")</f>
        <v/>
      </c>
      <c r="C15" s="522">
        <f>IFERROR(IF($L15&gt;0,IF(INDEX('Invullen groen'!$N:$N,$L15)&gt;0,INDEX('Invullen groen'!$N:$N,$L15),""),""),"")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IFERROR(IF($L15&gt;0,IF(INDEX('Invullen groen'!$H:$H,$L15)=0,"",INT(INDEX('Invullen groen'!$H:$H,$L15))),""),"")</f>
        <v/>
      </c>
      <c r="G15" s="523">
        <f>IFERROR(IF($L15&gt;0,IF(INDEX('Invullen groen'!$I:$I,$L15)=0,"",INT(INDEX('Invullen groen'!$I:$I,$L15))),""),"")</f>
        <v/>
      </c>
      <c r="H15" s="523">
        <f>IFERROR(IF($L15&gt;0,IF(INDEX('Invullen groen'!$J:$J,$L15)=0,"",INT(INDEX('Invullen groen'!$J:$J,$L15))),""),"")</f>
        <v/>
      </c>
      <c r="I15" s="523">
        <f>IFERROR(IF($L15&gt;0,IF(INDEX('Invullen groen'!$K:$K,$L15)=0,"",INT(INDEX('Invullen groen'!$K:$K,$L15))),""),"")</f>
        <v/>
      </c>
      <c r="J15" s="522">
        <f>IF($L15&gt;0,IFERROR($K$1&amp;" "&amp;TRIM(SUBSTITUTE(SUBSTITUTE(SUBSTITUTE(SUBSTITUTE(SUBSTITUTE(SUBSTITUTE(SUBSTITUTE(SUBSTITUTE(SUBSTITUTE(SUBSTITUTE(SUBSTITUTE(SUBSTITUTE(LOWER(IF(LEFT(TEXT(INDEX('Invullen groen'!$E:$E,$L15),"0"),1)="6",INDEX('Invullen groen'!$O:$O,$L15),IF(INDEX('Invullen groen'!$N:$N,$L15)&gt;0,INDEX('Invullen groen'!$G:$G,$L15),INDEX('Invullen groen'!$O:$O,$L15)))),"2024",""),"2025",""),"2026",""),"2027",""),"2028",""),"2029",""),"taakveld ",""),"installaties","inst"),"ruwbouw","ruwb"),"afbouw","afb"),"bijstelling","bijst"),"investeringen","invest")),""),")</f>
        <v/>
      </c>
      <c r="K15" s="522" t="n"/>
      <c r="L15" s="234">
        <f>IFERROR(MATCH(ROW()-4,'Invullen groen'!$P$17:$P$109,0)+16,0)</f>
        <v/>
      </c>
      <c r="M15" s="234" t="n"/>
      <c r="N15" s="234" t="n"/>
    </row>
    <row r="16" ht="15" customHeight="1">
      <c r="A16" s="524">
        <f>IFERROR(IF($L16&gt;0,INDEX('Invullen groen'!$E:$E,$L16),""),"")</f>
        <v/>
      </c>
      <c r="B16" s="524">
        <f>IFERROR(IF($L16&gt;0,IF(INDEX('Invullen groen'!$F:$F,$L16)&gt;0,INDEX('Invullen groen'!$F:$F,$L16),""),""),"")</f>
        <v/>
      </c>
      <c r="C16" s="524">
        <f>IFERROR(IF($L16&gt;0,IF(INDEX('Invullen groen'!$N:$N,$L16)&gt;0,INDEX('Invullen groen'!$N:$N,$L16),""),""),"")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IFERROR(IF($L16&gt;0,IF(INDEX('Invullen groen'!$H:$H,$L16)=0,"",INT(INDEX('Invullen groen'!$H:$H,$L16))),""),"")</f>
        <v/>
      </c>
      <c r="G16" s="525">
        <f>IFERROR(IF($L16&gt;0,IF(INDEX('Invullen groen'!$I:$I,$L16)=0,"",INT(INDEX('Invullen groen'!$I:$I,$L16))),""),"")</f>
        <v/>
      </c>
      <c r="H16" s="525">
        <f>IFERROR(IF($L16&gt;0,IF(INDEX('Invullen groen'!$J:$J,$L16)=0,"",INT(INDEX('Invullen groen'!$J:$J,$L16))),""),"")</f>
        <v/>
      </c>
      <c r="I16" s="525">
        <f>IFERROR(IF($L16&gt;0,IF(INDEX('Invullen groen'!$K:$K,$L16)=0,"",INT(INDEX('Invullen groen'!$K:$K,$L16))),""),"")</f>
        <v/>
      </c>
      <c r="J16" s="524">
        <f>IF($L16&gt;0,IFERROR($K$1&amp;" "&amp;TRIM(SUBSTITUTE(SUBSTITUTE(SUBSTITUTE(SUBSTITUTE(SUBSTITUTE(SUBSTITUTE(SUBSTITUTE(SUBSTITUTE(SUBSTITUTE(SUBSTITUTE(SUBSTITUTE(SUBSTITUTE(LOWER(IF(LEFT(TEXT(INDEX('Invullen groen'!$E:$E,$L16),"0"),1)="6",INDEX('Invullen groen'!$O:$O,$L16),IF(INDEX('Invullen groen'!$N:$N,$L16)&gt;0,INDEX('Invullen groen'!$G:$G,$L16),INDEX('Invullen groen'!$O:$O,$L16)))),"2024",""),"2025",""),"2026",""),"2027",""),"2028",""),"2029",""),"taakveld ",""),"installaties","inst"),"ruwbouw","ruwb"),"afbouw","afb"),"bijstelling","bijst"),"investeringen","invest")),""),")</f>
        <v/>
      </c>
      <c r="K16" s="524" t="n"/>
      <c r="L16" s="234">
        <f>IFERROR(MATCH(ROW()-4,'Invullen groen'!$P$17:$P$109,0)+16,0)</f>
        <v/>
      </c>
      <c r="M16" s="234" t="n"/>
      <c r="N16" s="234" t="n"/>
    </row>
    <row r="17" ht="15" customHeight="1">
      <c r="A17" s="522">
        <f>IFERROR(IF($L17&gt;0,INDEX('Invullen groen'!$E:$E,$L17),""),"")</f>
        <v/>
      </c>
      <c r="B17" s="522">
        <f>IFERROR(IF($L17&gt;0,IF(INDEX('Invullen groen'!$F:$F,$L17)&gt;0,INDEX('Invullen groen'!$F:$F,$L17),""),""),"")</f>
        <v/>
      </c>
      <c r="C17" s="522">
        <f>IFERROR(IF($L17&gt;0,IF(INDEX('Invullen groen'!$N:$N,$L17)&gt;0,INDEX('Invullen groen'!$N:$N,$L17),""),""),"")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IFERROR(IF($L17&gt;0,IF(INDEX('Invullen groen'!$H:$H,$L17)=0,"",INT(INDEX('Invullen groen'!$H:$H,$L17))),""),"")</f>
        <v/>
      </c>
      <c r="G17" s="523">
        <f>IFERROR(IF($L17&gt;0,IF(INDEX('Invullen groen'!$I:$I,$L17)=0,"",INT(INDEX('Invullen groen'!$I:$I,$L17))),""),"")</f>
        <v/>
      </c>
      <c r="H17" s="523">
        <f>IFERROR(IF($L17&gt;0,IF(INDEX('Invullen groen'!$J:$J,$L17)=0,"",INT(INDEX('Invullen groen'!$J:$J,$L17))),""),"")</f>
        <v/>
      </c>
      <c r="I17" s="523">
        <f>IFERROR(IF($L17&gt;0,IF(INDEX('Invullen groen'!$K:$K,$L17)=0,"",INT(INDEX('Invullen groen'!$K:$K,$L17))),""),"")</f>
        <v/>
      </c>
      <c r="J17" s="522">
        <f>IF($L17&gt;0,IFERROR($K$1&amp;" "&amp;TRIM(SUBSTITUTE(SUBSTITUTE(SUBSTITUTE(SUBSTITUTE(SUBSTITUTE(SUBSTITUTE(SUBSTITUTE(SUBSTITUTE(SUBSTITUTE(SUBSTITUTE(SUBSTITUTE(SUBSTITUTE(LOWER(IF(LEFT(TEXT(INDEX('Invullen groen'!$E:$E,$L17),"0"),1)="6",INDEX('Invullen groen'!$O:$O,$L17),IF(INDEX('Invullen groen'!$N:$N,$L17)&gt;0,INDEX('Invullen groen'!$G:$G,$L17),INDEX('Invullen groen'!$O:$O,$L17)))),"2024",""),"2025",""),"2026",""),"2027",""),"2028",""),"2029",""),"taakveld ",""),"installaties","inst"),"ruwbouw","ruwb"),"afbouw","afb"),"bijstelling","bijst"),"investeringen","invest")),""),")</f>
        <v/>
      </c>
      <c r="K17" s="522" t="n"/>
      <c r="L17" s="234">
        <f>IFERROR(MATCH(ROW()-4,'Invullen groen'!$P$17:$P$109,0)+16,0)</f>
        <v/>
      </c>
      <c r="M17" s="234" t="n"/>
      <c r="N17" s="234" t="n"/>
    </row>
    <row r="18" ht="15" customHeight="1">
      <c r="A18" s="524">
        <f>IFERROR(IF($L18&gt;0,INDEX('Invullen groen'!$E:$E,$L18),""),"")</f>
        <v/>
      </c>
      <c r="B18" s="524">
        <f>IFERROR(IF($L18&gt;0,IF(INDEX('Invullen groen'!$F:$F,$L18)&gt;0,INDEX('Invullen groen'!$F:$F,$L18),""),""),"")</f>
        <v/>
      </c>
      <c r="C18" s="524">
        <f>IFERROR(IF($L18&gt;0,IF(INDEX('Invullen groen'!$N:$N,$L18)&gt;0,INDEX('Invullen groen'!$N:$N,$L18),""),""),"")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IFERROR(IF($L18&gt;0,IF(INDEX('Invullen groen'!$H:$H,$L18)=0,"",INT(INDEX('Invullen groen'!$H:$H,$L18))),""),"")</f>
        <v/>
      </c>
      <c r="G18" s="525">
        <f>IFERROR(IF($L18&gt;0,IF(INDEX('Invullen groen'!$I:$I,$L18)=0,"",INT(INDEX('Invullen groen'!$I:$I,$L18))),""),"")</f>
        <v/>
      </c>
      <c r="H18" s="525">
        <f>IFERROR(IF($L18&gt;0,IF(INDEX('Invullen groen'!$J:$J,$L18)=0,"",INT(INDEX('Invullen groen'!$J:$J,$L18))),""),"")</f>
        <v/>
      </c>
      <c r="I18" s="525">
        <f>IFERROR(IF($L18&gt;0,IF(INDEX('Invullen groen'!$K:$K,$L18)=0,"",INT(INDEX('Invullen groen'!$K:$K,$L18))),""),"")</f>
        <v/>
      </c>
      <c r="J18" s="524">
        <f>IF($L18&gt;0,IFERROR($K$1&amp;" "&amp;TRIM(SUBSTITUTE(SUBSTITUTE(SUBSTITUTE(SUBSTITUTE(SUBSTITUTE(SUBSTITUTE(SUBSTITUTE(SUBSTITUTE(SUBSTITUTE(SUBSTITUTE(SUBSTITUTE(SUBSTITUTE(LOWER(IF(LEFT(TEXT(INDEX('Invullen groen'!$E:$E,$L18),"0"),1)="6",INDEX('Invullen groen'!$O:$O,$L18),IF(INDEX('Invullen groen'!$N:$N,$L18)&gt;0,INDEX('Invullen groen'!$G:$G,$L18),INDEX('Invullen groen'!$O:$O,$L18)))),"2024",""),"2025",""),"2026",""),"2027",""),"2028",""),"2029",""),"taakveld ",""),"installaties","inst"),"ruwbouw","ruwb"),"afbouw","afb"),"bijstelling","bijst"),"investeringen","invest")),""),")</f>
        <v/>
      </c>
      <c r="K18" s="524" t="n"/>
      <c r="L18" s="234">
        <f>IFERROR(MATCH(ROW()-4,'Invullen groen'!$P$17:$P$109,0)+16,0)</f>
        <v/>
      </c>
      <c r="M18" s="234" t="n"/>
      <c r="N18" s="234" t="n"/>
    </row>
    <row r="19" ht="15" customHeight="1">
      <c r="A19" s="522">
        <f>IFERROR(IF($L19&gt;0,INDEX('Invullen groen'!$E:$E,$L19),""),"")</f>
        <v/>
      </c>
      <c r="B19" s="522">
        <f>IFERROR(IF($L19&gt;0,IF(INDEX('Invullen groen'!$F:$F,$L19)&gt;0,INDEX('Invullen groen'!$F:$F,$L19),""),""),"")</f>
        <v/>
      </c>
      <c r="C19" s="522">
        <f>IFERROR(IF($L19&gt;0,IF(INDEX('Invullen groen'!$N:$N,$L19)&gt;0,INDEX('Invullen groen'!$N:$N,$L19),""),""),"")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IFERROR(IF($L19&gt;0,IF(INDEX('Invullen groen'!$H:$H,$L19)=0,"",INT(INDEX('Invullen groen'!$H:$H,$L19))),""),"")</f>
        <v/>
      </c>
      <c r="G19" s="523">
        <f>IFERROR(IF($L19&gt;0,IF(INDEX('Invullen groen'!$I:$I,$L19)=0,"",INT(INDEX('Invullen groen'!$I:$I,$L19))),""),"")</f>
        <v/>
      </c>
      <c r="H19" s="523">
        <f>IFERROR(IF($L19&gt;0,IF(INDEX('Invullen groen'!$J:$J,$L19)=0,"",INT(INDEX('Invullen groen'!$J:$J,$L19))),""),"")</f>
        <v/>
      </c>
      <c r="I19" s="523">
        <f>IFERROR(IF($L19&gt;0,IF(INDEX('Invullen groen'!$K:$K,$L19)=0,"",INT(INDEX('Invullen groen'!$K:$K,$L19))),""),"")</f>
        <v/>
      </c>
      <c r="J19" s="522">
        <f>IF($L19&gt;0,IFERROR($K$1&amp;" "&amp;TRIM(SUBSTITUTE(SUBSTITUTE(SUBSTITUTE(SUBSTITUTE(SUBSTITUTE(SUBSTITUTE(SUBSTITUTE(SUBSTITUTE(SUBSTITUTE(SUBSTITUTE(SUBSTITUTE(SUBSTITUTE(LOWER(IF(LEFT(TEXT(INDEX('Invullen groen'!$E:$E,$L19),"0"),1)="6",INDEX('Invullen groen'!$O:$O,$L19),IF(INDEX('Invullen groen'!$N:$N,$L19)&gt;0,INDEX('Invullen groen'!$G:$G,$L19),INDEX('Invullen groen'!$O:$O,$L19)))),"2024",""),"2025",""),"2026",""),"2027",""),"2028",""),"2029",""),"taakveld ",""),"installaties","inst"),"ruwbouw","ruwb"),"afbouw","afb"),"bijstelling","bijst"),"investeringen","invest")),""),")</f>
        <v/>
      </c>
      <c r="K19" s="522" t="n"/>
      <c r="L19" s="234">
        <f>IFERROR(MATCH(ROW()-4,'Invullen groen'!$P$17:$P$109,0)+16,0)</f>
        <v/>
      </c>
      <c r="M19" s="234" t="n"/>
      <c r="N19" s="234" t="n"/>
    </row>
    <row r="20" ht="15" customHeight="1">
      <c r="A20" s="524">
        <f>IFERROR(IF($L20&gt;0,INDEX('Invullen groen'!$E:$E,$L20),""),"")</f>
        <v/>
      </c>
      <c r="B20" s="524">
        <f>IFERROR(IF($L20&gt;0,IF(INDEX('Invullen groen'!$F:$F,$L20)&gt;0,INDEX('Invullen groen'!$F:$F,$L20),""),""),"")</f>
        <v/>
      </c>
      <c r="C20" s="524">
        <f>IFERROR(IF($L20&gt;0,IF(INDEX('Invullen groen'!$N:$N,$L20)&gt;0,INDEX('Invullen groen'!$N:$N,$L20),""),""),"")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IFERROR(IF($L20&gt;0,IF(INDEX('Invullen groen'!$H:$H,$L20)=0,"",INT(INDEX('Invullen groen'!$H:$H,$L20))),""),"")</f>
        <v/>
      </c>
      <c r="G20" s="525">
        <f>IFERROR(IF($L20&gt;0,IF(INDEX('Invullen groen'!$I:$I,$L20)=0,"",INT(INDEX('Invullen groen'!$I:$I,$L20))),""),"")</f>
        <v/>
      </c>
      <c r="H20" s="525">
        <f>IFERROR(IF($L20&gt;0,IF(INDEX('Invullen groen'!$J:$J,$L20)=0,"",INT(INDEX('Invullen groen'!$J:$J,$L20))),""),"")</f>
        <v/>
      </c>
      <c r="I20" s="525">
        <f>IFERROR(IF($L20&gt;0,IF(INDEX('Invullen groen'!$K:$K,$L20)=0,"",INT(INDEX('Invullen groen'!$K:$K,$L20))),""),"")</f>
        <v/>
      </c>
      <c r="J20" s="524">
        <f>IF($L20&gt;0,IFERROR($K$1&amp;" "&amp;TRIM(SUBSTITUTE(SUBSTITUTE(SUBSTITUTE(SUBSTITUTE(SUBSTITUTE(SUBSTITUTE(SUBSTITUTE(SUBSTITUTE(SUBSTITUTE(SUBSTITUTE(SUBSTITUTE(SUBSTITUTE(LOWER(IF(LEFT(TEXT(INDEX('Invullen groen'!$E:$E,$L20),"0"),1)="6",INDEX('Invullen groen'!$O:$O,$L20),IF(INDEX('Invullen groen'!$N:$N,$L20)&gt;0,INDEX('Invullen groen'!$G:$G,$L20),INDEX('Invullen groen'!$O:$O,$L20)))),"2024",""),"2025",""),"2026",""),"2027",""),"2028",""),"2029",""),"taakveld ",""),"installaties","inst"),"ruwbouw","ruwb"),"afbouw","afb"),"bijstelling","bijst"),"investeringen","invest")),""),")</f>
        <v/>
      </c>
      <c r="K20" s="524" t="n"/>
      <c r="L20" s="234">
        <f>IFERROR(MATCH(ROW()-4,'Invullen groen'!$P$17:$P$109,0)+16,0)</f>
        <v/>
      </c>
      <c r="M20" s="234" t="n"/>
      <c r="N20" s="234" t="n"/>
    </row>
    <row r="21" ht="15" customHeight="1">
      <c r="A21" s="522">
        <f>IFERROR(IF($L21&gt;0,INDEX('Invullen groen'!$E:$E,$L21),""),"")</f>
        <v/>
      </c>
      <c r="B21" s="522">
        <f>IFERROR(IF($L21&gt;0,IF(INDEX('Invullen groen'!$F:$F,$L21)&gt;0,INDEX('Invullen groen'!$F:$F,$L21),""),""),"")</f>
        <v/>
      </c>
      <c r="C21" s="522">
        <f>IFERROR(IF($L21&gt;0,IF(INDEX('Invullen groen'!$N:$N,$L21)&gt;0,INDEX('Invullen groen'!$N:$N,$L21),""),""),"")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IFERROR(IF($L21&gt;0,IF(INDEX('Invullen groen'!$H:$H,$L21)=0,"",INT(INDEX('Invullen groen'!$H:$H,$L21))),""),"")</f>
        <v/>
      </c>
      <c r="G21" s="523">
        <f>IFERROR(IF($L21&gt;0,IF(INDEX('Invullen groen'!$I:$I,$L21)=0,"",INT(INDEX('Invullen groen'!$I:$I,$L21))),""),"")</f>
        <v/>
      </c>
      <c r="H21" s="523">
        <f>IFERROR(IF($L21&gt;0,IF(INDEX('Invullen groen'!$J:$J,$L21)=0,"",INT(INDEX('Invullen groen'!$J:$J,$L21))),""),"")</f>
        <v/>
      </c>
      <c r="I21" s="523">
        <f>IFERROR(IF($L21&gt;0,IF(INDEX('Invullen groen'!$K:$K,$L21)=0,"",INT(INDEX('Invullen groen'!$K:$K,$L21))),""),"")</f>
        <v/>
      </c>
      <c r="J21" s="522">
        <f>IF($L21&gt;0,IFERROR($K$1&amp;" "&amp;TRIM(SUBSTITUTE(SUBSTITUTE(SUBSTITUTE(SUBSTITUTE(SUBSTITUTE(SUBSTITUTE(SUBSTITUTE(SUBSTITUTE(SUBSTITUTE(SUBSTITUTE(SUBSTITUTE(SUBSTITUTE(LOWER(IF(LEFT(TEXT(INDEX('Invullen groen'!$E:$E,$L21),"0"),1)="6",INDEX('Invullen groen'!$O:$O,$L21),IF(INDEX('Invullen groen'!$N:$N,$L21)&gt;0,INDEX('Invullen groen'!$G:$G,$L21),INDEX('Invullen groen'!$O:$O,$L21)))),"2024",""),"2025",""),"2026",""),"2027",""),"2028",""),"2029",""),"taakveld ",""),"installaties","inst"),"ruwbouw","ruwb"),"afbouw","afb"),"bijstelling","bijst"),"investeringen","invest")),""),")</f>
        <v/>
      </c>
      <c r="K21" s="522" t="n"/>
      <c r="L21" s="234">
        <f>IFERROR(MATCH(ROW()-4,'Invullen groen'!$P$17:$P$109,0)+16,0)</f>
        <v/>
      </c>
      <c r="M21" s="234" t="n"/>
      <c r="N21" s="234" t="n"/>
    </row>
    <row r="22" ht="15" customHeight="1">
      <c r="A22" s="524">
        <f>IFERROR(IF($L22&gt;0,INDEX('Invullen groen'!$E:$E,$L22),""),"")</f>
        <v/>
      </c>
      <c r="B22" s="524">
        <f>IFERROR(IF($L22&gt;0,IF(INDEX('Invullen groen'!$F:$F,$L22)&gt;0,INDEX('Invullen groen'!$F:$F,$L22),""),""),"")</f>
        <v/>
      </c>
      <c r="C22" s="524">
        <f>IFERROR(IF($L22&gt;0,IF(INDEX('Invullen groen'!$N:$N,$L22)&gt;0,INDEX('Invullen groen'!$N:$N,$L22),""),""),"")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IFERROR(IF($L22&gt;0,IF(INDEX('Invullen groen'!$H:$H,$L22)=0,"",INT(INDEX('Invullen groen'!$H:$H,$L22))),""),"")</f>
        <v/>
      </c>
      <c r="G22" s="525">
        <f>IFERROR(IF($L22&gt;0,IF(INDEX('Invullen groen'!$I:$I,$L22)=0,"",INT(INDEX('Invullen groen'!$I:$I,$L22))),""),"")</f>
        <v/>
      </c>
      <c r="H22" s="525">
        <f>IFERROR(IF($L22&gt;0,IF(INDEX('Invullen groen'!$J:$J,$L22)=0,"",INT(INDEX('Invullen groen'!$J:$J,$L22))),""),"")</f>
        <v/>
      </c>
      <c r="I22" s="525">
        <f>IFERROR(IF($L22&gt;0,IF(INDEX('Invullen groen'!$K:$K,$L22)=0,"",INT(INDEX('Invullen groen'!$K:$K,$L22))),""),"")</f>
        <v/>
      </c>
      <c r="J22" s="524">
        <f>IF($L22&gt;0,IFERROR($K$1&amp;" "&amp;TRIM(SUBSTITUTE(SUBSTITUTE(SUBSTITUTE(SUBSTITUTE(SUBSTITUTE(SUBSTITUTE(SUBSTITUTE(SUBSTITUTE(SUBSTITUTE(SUBSTITUTE(SUBSTITUTE(SUBSTITUTE(LOWER(IF(LEFT(TEXT(INDEX('Invullen groen'!$E:$E,$L22),"0"),1)="6",INDEX('Invullen groen'!$O:$O,$L22),IF(INDEX('Invullen groen'!$N:$N,$L22)&gt;0,INDEX('Invullen groen'!$G:$G,$L22),INDEX('Invullen groen'!$O:$O,$L22)))),"2024",""),"2025",""),"2026",""),"2027",""),"2028",""),"2029",""),"taakveld ",""),"installaties","inst"),"ruwbouw","ruwb"),"afbouw","afb"),"bijstelling","bijst"),"investeringen","invest")),""),")</f>
        <v/>
      </c>
      <c r="K22" s="524" t="n"/>
      <c r="L22" s="234">
        <f>IFERROR(MATCH(ROW()-4,'Invullen groen'!$P$17:$P$109,0)+16,0)</f>
        <v/>
      </c>
      <c r="M22" s="234" t="n"/>
      <c r="N22" s="234" t="n"/>
    </row>
    <row r="23" ht="15" customHeight="1">
      <c r="A23" s="522">
        <f>IFERROR(IF($L23&gt;0,INDEX('Invullen groen'!$E:$E,$L23),""),"")</f>
        <v/>
      </c>
      <c r="B23" s="522">
        <f>IFERROR(IF($L23&gt;0,IF(INDEX('Invullen groen'!$F:$F,$L23)&gt;0,INDEX('Invullen groen'!$F:$F,$L23),""),""),"")</f>
        <v/>
      </c>
      <c r="C23" s="522">
        <f>IFERROR(IF($L23&gt;0,IF(INDEX('Invullen groen'!$N:$N,$L23)&gt;0,INDEX('Invullen groen'!$N:$N,$L23),""),""),"")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IFERROR(IF($L23&gt;0,IF(INDEX('Invullen groen'!$H:$H,$L23)=0,"",INT(INDEX('Invullen groen'!$H:$H,$L23))),""),"")</f>
        <v/>
      </c>
      <c r="G23" s="523">
        <f>IFERROR(IF($L23&gt;0,IF(INDEX('Invullen groen'!$I:$I,$L23)=0,"",INT(INDEX('Invullen groen'!$I:$I,$L23))),""),"")</f>
        <v/>
      </c>
      <c r="H23" s="523">
        <f>IFERROR(IF($L23&gt;0,IF(INDEX('Invullen groen'!$J:$J,$L23)=0,"",INT(INDEX('Invullen groen'!$J:$J,$L23))),""),"")</f>
        <v/>
      </c>
      <c r="I23" s="523">
        <f>IFERROR(IF($L23&gt;0,IF(INDEX('Invullen groen'!$K:$K,$L23)=0,"",INT(INDEX('Invullen groen'!$K:$K,$L23))),""),"")</f>
        <v/>
      </c>
      <c r="J23" s="522">
        <f>IF($L23&gt;0,IFERROR($K$1&amp;" "&amp;TRIM(SUBSTITUTE(SUBSTITUTE(SUBSTITUTE(SUBSTITUTE(SUBSTITUTE(SUBSTITUTE(SUBSTITUTE(SUBSTITUTE(SUBSTITUTE(SUBSTITUTE(SUBSTITUTE(SUBSTITUTE(LOWER(IF(LEFT(TEXT(INDEX('Invullen groen'!$E:$E,$L23),"0"),1)="6",INDEX('Invullen groen'!$O:$O,$L23),IF(INDEX('Invullen groen'!$N:$N,$L23)&gt;0,INDEX('Invullen groen'!$G:$G,$L23),INDEX('Invullen groen'!$O:$O,$L23)))),"2024",""),"2025",""),"2026",""),"2027",""),"2028",""),"2029",""),"taakveld ",""),"installaties","inst"),"ruwbouw","ruwb"),"afbouw","afb"),"bijstelling","bijst"),"investeringen","invest")),""),")</f>
        <v/>
      </c>
      <c r="K23" s="522" t="n"/>
      <c r="L23" s="234">
        <f>IFERROR(MATCH(ROW()-4,'Invullen groen'!$P$17:$P$109,0)+16,0)</f>
        <v/>
      </c>
      <c r="M23" s="234" t="n"/>
      <c r="N23" s="234" t="n"/>
    </row>
    <row r="24" ht="15" customHeight="1">
      <c r="A24" s="524">
        <f>IFERROR(IF($L24&gt;0,INDEX('Invullen groen'!$E:$E,$L24),""),"")</f>
        <v/>
      </c>
      <c r="B24" s="524">
        <f>IFERROR(IF($L24&gt;0,IF(INDEX('Invullen groen'!$F:$F,$L24)&gt;0,INDEX('Invullen groen'!$F:$F,$L24),""),""),"")</f>
        <v/>
      </c>
      <c r="C24" s="524">
        <f>IFERROR(IF($L24&gt;0,IF(INDEX('Invullen groen'!$N:$N,$L24)&gt;0,INDEX('Invullen groen'!$N:$N,$L24),""),""),"")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IFERROR(IF($L24&gt;0,IF(INDEX('Invullen groen'!$H:$H,$L24)=0,"",INT(INDEX('Invullen groen'!$H:$H,$L24))),""),"")</f>
        <v/>
      </c>
      <c r="G24" s="525">
        <f>IFERROR(IF($L24&gt;0,IF(INDEX('Invullen groen'!$I:$I,$L24)=0,"",INT(INDEX('Invullen groen'!$I:$I,$L24))),""),"")</f>
        <v/>
      </c>
      <c r="H24" s="525">
        <f>IFERROR(IF($L24&gt;0,IF(INDEX('Invullen groen'!$J:$J,$L24)=0,"",INT(INDEX('Invullen groen'!$J:$J,$L24))),""),"")</f>
        <v/>
      </c>
      <c r="I24" s="525">
        <f>IFERROR(IF($L24&gt;0,IF(INDEX('Invullen groen'!$K:$K,$L24)=0,"",INT(INDEX('Invullen groen'!$K:$K,$L24))),""),"")</f>
        <v/>
      </c>
      <c r="J24" s="524">
        <f>IF($L24&gt;0,IFERROR($K$1&amp;" "&amp;TRIM(SUBSTITUTE(SUBSTITUTE(SUBSTITUTE(SUBSTITUTE(SUBSTITUTE(SUBSTITUTE(SUBSTITUTE(SUBSTITUTE(SUBSTITUTE(SUBSTITUTE(SUBSTITUTE(SUBSTITUTE(LOWER(IF(LEFT(TEXT(INDEX('Invullen groen'!$E:$E,$L24),"0"),1)="6",INDEX('Invullen groen'!$O:$O,$L24),IF(INDEX('Invullen groen'!$N:$N,$L24)&gt;0,INDEX('Invullen groen'!$G:$G,$L24),INDEX('Invullen groen'!$O:$O,$L24)))),"2024",""),"2025",""),"2026",""),"2027",""),"2028",""),"2029",""),"taakveld ",""),"installaties","inst"),"ruwbouw","ruwb"),"afbouw","afb"),"bijstelling","bijst"),"investeringen","invest")),""),")</f>
        <v/>
      </c>
      <c r="K24" s="524" t="n"/>
      <c r="L24" s="234">
        <f>IFERROR(MATCH(ROW()-4,'Invullen groen'!$P$17:$P$109,0)+16,0)</f>
        <v/>
      </c>
      <c r="M24" s="234" t="n"/>
      <c r="N24" s="234" t="n"/>
    </row>
    <row r="25" ht="15" customHeight="1">
      <c r="A25" s="522">
        <f>IFERROR(IF($L25&gt;0,INDEX('Invullen groen'!$E:$E,$L25),""),"")</f>
        <v/>
      </c>
      <c r="B25" s="522">
        <f>IFERROR(IF($L25&gt;0,IF(INDEX('Invullen groen'!$F:$F,$L25)&gt;0,INDEX('Invullen groen'!$F:$F,$L25),""),""),"")</f>
        <v/>
      </c>
      <c r="C25" s="522">
        <f>IFERROR(IF($L25&gt;0,IF(INDEX('Invullen groen'!$N:$N,$L25)&gt;0,INDEX('Invullen groen'!$N:$N,$L25),""),""),"")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IFERROR(IF($L25&gt;0,IF(INDEX('Invullen groen'!$H:$H,$L25)=0,"",INT(INDEX('Invullen groen'!$H:$H,$L25))),""),"")</f>
        <v/>
      </c>
      <c r="G25" s="523">
        <f>IFERROR(IF($L25&gt;0,IF(INDEX('Invullen groen'!$I:$I,$L25)=0,"",INT(INDEX('Invullen groen'!$I:$I,$L25))),""),"")</f>
        <v/>
      </c>
      <c r="H25" s="523">
        <f>IFERROR(IF($L25&gt;0,IF(INDEX('Invullen groen'!$J:$J,$L25)=0,"",INT(INDEX('Invullen groen'!$J:$J,$L25))),""),"")</f>
        <v/>
      </c>
      <c r="I25" s="523">
        <f>IFERROR(IF($L25&gt;0,IF(INDEX('Invullen groen'!$K:$K,$L25)=0,"",INT(INDEX('Invullen groen'!$K:$K,$L25))),""),"")</f>
        <v/>
      </c>
      <c r="J25" s="522">
        <f>IF($L25&gt;0,IFERROR($K$1&amp;" "&amp;TRIM(SUBSTITUTE(SUBSTITUTE(SUBSTITUTE(SUBSTITUTE(SUBSTITUTE(SUBSTITUTE(SUBSTITUTE(SUBSTITUTE(SUBSTITUTE(SUBSTITUTE(SUBSTITUTE(SUBSTITUTE(LOWER(IF(LEFT(TEXT(INDEX('Invullen groen'!$E:$E,$L25),"0"),1)="6",INDEX('Invullen groen'!$O:$O,$L25),IF(INDEX('Invullen groen'!$N:$N,$L25)&gt;0,INDEX('Invullen groen'!$G:$G,$L25),INDEX('Invullen groen'!$O:$O,$L25)))),"2024",""),"2025",""),"2026",""),"2027",""),"2028",""),"2029",""),"taakveld ",""),"installaties","inst"),"ruwbouw","ruwb"),"afbouw","afb"),"bijstelling","bijst"),"investeringen","invest")),""),")</f>
        <v/>
      </c>
      <c r="K25" s="522" t="n"/>
      <c r="L25" s="234">
        <f>IFERROR(MATCH(ROW()-4,'Invullen groen'!$P$17:$P$109,0)+16,0)</f>
        <v/>
      </c>
      <c r="M25" s="234" t="n"/>
      <c r="N25" s="234" t="n"/>
    </row>
    <row r="26" ht="15" customHeight="1">
      <c r="A26" s="524">
        <f>IFERROR(IF($L26&gt;0,INDEX('Invullen groen'!$E:$E,$L26),""),"")</f>
        <v/>
      </c>
      <c r="B26" s="524">
        <f>IFERROR(IF($L26&gt;0,IF(INDEX('Invullen groen'!$F:$F,$L26)&gt;0,INDEX('Invullen groen'!$F:$F,$L26),""),""),"")</f>
        <v/>
      </c>
      <c r="C26" s="524">
        <f>IFERROR(IF($L26&gt;0,IF(INDEX('Invullen groen'!$N:$N,$L26)&gt;0,INDEX('Invullen groen'!$N:$N,$L26),""),""),"")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IFERROR(IF($L26&gt;0,IF(INDEX('Invullen groen'!$H:$H,$L26)=0,"",INT(INDEX('Invullen groen'!$H:$H,$L26))),""),"")</f>
        <v/>
      </c>
      <c r="G26" s="525">
        <f>IFERROR(IF($L26&gt;0,IF(INDEX('Invullen groen'!$I:$I,$L26)=0,"",INT(INDEX('Invullen groen'!$I:$I,$L26))),""),"")</f>
        <v/>
      </c>
      <c r="H26" s="525">
        <f>IFERROR(IF($L26&gt;0,IF(INDEX('Invullen groen'!$J:$J,$L26)=0,"",INT(INDEX('Invullen groen'!$J:$J,$L26))),""),"")</f>
        <v/>
      </c>
      <c r="I26" s="525">
        <f>IFERROR(IF($L26&gt;0,IF(INDEX('Invullen groen'!$K:$K,$L26)=0,"",INT(INDEX('Invullen groen'!$K:$K,$L26))),""),"")</f>
        <v/>
      </c>
      <c r="J26" s="524">
        <f>IF($L26&gt;0,IFERROR($K$1&amp;" "&amp;TRIM(SUBSTITUTE(SUBSTITUTE(SUBSTITUTE(SUBSTITUTE(SUBSTITUTE(SUBSTITUTE(SUBSTITUTE(SUBSTITUTE(SUBSTITUTE(SUBSTITUTE(SUBSTITUTE(SUBSTITUTE(LOWER(IF(LEFT(TEXT(INDEX('Invullen groen'!$E:$E,$L26),"0"),1)="6",INDEX('Invullen groen'!$O:$O,$L26),IF(INDEX('Invullen groen'!$N:$N,$L26)&gt;0,INDEX('Invullen groen'!$G:$G,$L26),INDEX('Invullen groen'!$O:$O,$L26)))),"2024",""),"2025",""),"2026",""),"2027",""),"2028",""),"2029",""),"taakveld ",""),"installaties","inst"),"ruwbouw","ruwb"),"afbouw","afb"),"bijstelling","bijst"),"investeringen","invest")),""),")</f>
        <v/>
      </c>
      <c r="K26" s="524" t="n"/>
      <c r="L26" s="234">
        <f>IFERROR(MATCH(ROW()-4,'Invullen groen'!$P$17:$P$109,0)+16,0)</f>
        <v/>
      </c>
      <c r="M26" s="234" t="n"/>
      <c r="N26" s="234" t="n"/>
    </row>
    <row r="27" ht="15" customHeight="1">
      <c r="A27" s="522">
        <f>IFERROR(IF($L27&gt;0,INDEX('Invullen groen'!$E:$E,$L27),""),"")</f>
        <v/>
      </c>
      <c r="B27" s="522">
        <f>IFERROR(IF($L27&gt;0,IF(INDEX('Invullen groen'!$F:$F,$L27)&gt;0,INDEX('Invullen groen'!$F:$F,$L27),""),""),"")</f>
        <v/>
      </c>
      <c r="C27" s="522">
        <f>IFERROR(IF($L27&gt;0,IF(INDEX('Invullen groen'!$N:$N,$L27)&gt;0,INDEX('Invullen groen'!$N:$N,$L27),""),""),"")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IFERROR(IF($L27&gt;0,IF(INDEX('Invullen groen'!$H:$H,$L27)=0,"",INT(INDEX('Invullen groen'!$H:$H,$L27))),""),"")</f>
        <v/>
      </c>
      <c r="G27" s="523">
        <f>IFERROR(IF($L27&gt;0,IF(INDEX('Invullen groen'!$I:$I,$L27)=0,"",INT(INDEX('Invullen groen'!$I:$I,$L27))),""),"")</f>
        <v/>
      </c>
      <c r="H27" s="523">
        <f>IFERROR(IF($L27&gt;0,IF(INDEX('Invullen groen'!$J:$J,$L27)=0,"",INT(INDEX('Invullen groen'!$J:$J,$L27))),""),"")</f>
        <v/>
      </c>
      <c r="I27" s="523">
        <f>IFERROR(IF($L27&gt;0,IF(INDEX('Invullen groen'!$K:$K,$L27)=0,"",INT(INDEX('Invullen groen'!$K:$K,$L27))),""),"")</f>
        <v/>
      </c>
      <c r="J27" s="522">
        <f>IF($L27&gt;0,IFERROR($K$1&amp;" "&amp;TRIM(SUBSTITUTE(SUBSTITUTE(SUBSTITUTE(SUBSTITUTE(SUBSTITUTE(SUBSTITUTE(SUBSTITUTE(SUBSTITUTE(SUBSTITUTE(SUBSTITUTE(SUBSTITUTE(SUBSTITUTE(LOWER(IF(LEFT(TEXT(INDEX('Invullen groen'!$E:$E,$L27),"0"),1)="6",INDEX('Invullen groen'!$O:$O,$L27),IF(INDEX('Invullen groen'!$N:$N,$L27)&gt;0,INDEX('Invullen groen'!$G:$G,$L27),INDEX('Invullen groen'!$O:$O,$L27)))),"2024",""),"2025",""),"2026",""),"2027",""),"2028",""),"2029",""),"taakveld ",""),"installaties","inst"),"ruwbouw","ruwb"),"afbouw","afb"),"bijstelling","bijst"),"investeringen","invest")),""),")</f>
        <v/>
      </c>
      <c r="K27" s="522" t="n"/>
      <c r="L27" s="234">
        <f>IFERROR(MATCH(ROW()-4,'Invullen groen'!$P$17:$P$109,0)+16,0)</f>
        <v/>
      </c>
      <c r="M27" s="234" t="n"/>
      <c r="N27" s="234" t="n"/>
    </row>
    <row r="28" ht="15" customHeight="1">
      <c r="A28" s="524">
        <f>IFERROR(IF($L28&gt;0,INDEX('Invullen groen'!$E:$E,$L28),""),"")</f>
        <v/>
      </c>
      <c r="B28" s="524">
        <f>IFERROR(IF($L28&gt;0,IF(INDEX('Invullen groen'!$F:$F,$L28)&gt;0,INDEX('Invullen groen'!$F:$F,$L28),""),""),"")</f>
        <v/>
      </c>
      <c r="C28" s="524">
        <f>IFERROR(IF($L28&gt;0,IF(INDEX('Invullen groen'!$N:$N,$L28)&gt;0,INDEX('Invullen groen'!$N:$N,$L28),""),""),"")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IFERROR(IF($L28&gt;0,IF(INDEX('Invullen groen'!$H:$H,$L28)=0,"",INT(INDEX('Invullen groen'!$H:$H,$L28))),""),"")</f>
        <v/>
      </c>
      <c r="G28" s="525">
        <f>IFERROR(IF($L28&gt;0,IF(INDEX('Invullen groen'!$I:$I,$L28)=0,"",INT(INDEX('Invullen groen'!$I:$I,$L28))),""),"")</f>
        <v/>
      </c>
      <c r="H28" s="525">
        <f>IFERROR(IF($L28&gt;0,IF(INDEX('Invullen groen'!$J:$J,$L28)=0,"",INT(INDEX('Invullen groen'!$J:$J,$L28))),""),"")</f>
        <v/>
      </c>
      <c r="I28" s="525">
        <f>IFERROR(IF($L28&gt;0,IF(INDEX('Invullen groen'!$K:$K,$L28)=0,"",INT(INDEX('Invullen groen'!$K:$K,$L28))),""),"")</f>
        <v/>
      </c>
      <c r="J28" s="524">
        <f>IF($L28&gt;0,IFERROR($K$1&amp;" "&amp;TRIM(SUBSTITUTE(SUBSTITUTE(SUBSTITUTE(SUBSTITUTE(SUBSTITUTE(SUBSTITUTE(SUBSTITUTE(SUBSTITUTE(SUBSTITUTE(SUBSTITUTE(SUBSTITUTE(SUBSTITUTE(LOWER(IF(LEFT(TEXT(INDEX('Invullen groen'!$E:$E,$L28),"0"),1)="6",INDEX('Invullen groen'!$O:$O,$L28),IF(INDEX('Invullen groen'!$N:$N,$L28)&gt;0,INDEX('Invullen groen'!$G:$G,$L28),INDEX('Invullen groen'!$O:$O,$L28)))),"2024",""),"2025",""),"2026",""),"2027",""),"2028",""),"2029",""),"taakveld ",""),"installaties","inst"),"ruwbouw","ruwb"),"afbouw","afb"),"bijstelling","bijst"),"investeringen","invest")),""),")</f>
        <v/>
      </c>
      <c r="K28" s="524" t="n"/>
      <c r="L28" s="234">
        <f>IFERROR(MATCH(ROW()-4,'Invullen groen'!$P$17:$P$109,0)+16,0)</f>
        <v/>
      </c>
      <c r="M28" s="234" t="n"/>
      <c r="N28" s="234" t="n"/>
    </row>
    <row r="29" ht="15" customHeight="1">
      <c r="A29" s="522">
        <f>IFERROR(IF($L29&gt;0,INDEX('Invullen groen'!$E:$E,$L29),""),"")</f>
        <v/>
      </c>
      <c r="B29" s="522">
        <f>IFERROR(IF($L29&gt;0,IF(INDEX('Invullen groen'!$F:$F,$L29)&gt;0,INDEX('Invullen groen'!$F:$F,$L29),""),""),"")</f>
        <v/>
      </c>
      <c r="C29" s="522">
        <f>IFERROR(IF($L29&gt;0,IF(INDEX('Invullen groen'!$N:$N,$L29)&gt;0,INDEX('Invullen groen'!$N:$N,$L29),""),""),"")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IFERROR(IF($L29&gt;0,IF(INDEX('Invullen groen'!$H:$H,$L29)=0,"",INT(INDEX('Invullen groen'!$H:$H,$L29))),""),"")</f>
        <v/>
      </c>
      <c r="G29" s="523">
        <f>IFERROR(IF($L29&gt;0,IF(INDEX('Invullen groen'!$I:$I,$L29)=0,"",INT(INDEX('Invullen groen'!$I:$I,$L29))),""),"")</f>
        <v/>
      </c>
      <c r="H29" s="523">
        <f>IFERROR(IF($L29&gt;0,IF(INDEX('Invullen groen'!$J:$J,$L29)=0,"",INT(INDEX('Invullen groen'!$J:$J,$L29))),""),"")</f>
        <v/>
      </c>
      <c r="I29" s="523">
        <f>IFERROR(IF($L29&gt;0,IF(INDEX('Invullen groen'!$K:$K,$L29)=0,"",INT(INDEX('Invullen groen'!$K:$K,$L29))),""),"")</f>
        <v/>
      </c>
      <c r="J29" s="522">
        <f>IF($L29&gt;0,IFERROR($K$1&amp;" "&amp;TRIM(SUBSTITUTE(SUBSTITUTE(SUBSTITUTE(SUBSTITUTE(SUBSTITUTE(SUBSTITUTE(SUBSTITUTE(SUBSTITUTE(SUBSTITUTE(SUBSTITUTE(SUBSTITUTE(SUBSTITUTE(LOWER(IF(LEFT(TEXT(INDEX('Invullen groen'!$E:$E,$L29),"0"),1)="6",INDEX('Invullen groen'!$O:$O,$L29),IF(INDEX('Invullen groen'!$N:$N,$L29)&gt;0,INDEX('Invullen groen'!$G:$G,$L29),INDEX('Invullen groen'!$O:$O,$L29)))),"2024",""),"2025",""),"2026",""),"2027",""),"2028",""),"2029",""),"taakveld ",""),"installaties","inst"),"ruwbouw","ruwb"),"afbouw","afb"),"bijstelling","bijst"),"investeringen","invest")),""),")</f>
        <v/>
      </c>
      <c r="K29" s="522" t="n"/>
      <c r="L29" s="234">
        <f>IFERROR(MATCH(ROW()-4,'Invullen groen'!$P$17:$P$109,0)+16,0)</f>
        <v/>
      </c>
      <c r="M29" s="234" t="n"/>
      <c r="N29" s="234" t="n"/>
    </row>
    <row r="30" ht="15" customHeight="1">
      <c r="A30" s="524">
        <f>IFERROR(IF($L30&gt;0,INDEX('Invullen groen'!$E:$E,$L30),""),"")</f>
        <v/>
      </c>
      <c r="B30" s="524">
        <f>IFERROR(IF($L30&gt;0,IF(INDEX('Invullen groen'!$F:$F,$L30)&gt;0,INDEX('Invullen groen'!$F:$F,$L30),""),""),"")</f>
        <v/>
      </c>
      <c r="C30" s="524">
        <f>IFERROR(IF($L30&gt;0,IF(INDEX('Invullen groen'!$N:$N,$L30)&gt;0,INDEX('Invullen groen'!$N:$N,$L30),""),""),"")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IFERROR(IF($L30&gt;0,IF(INDEX('Invullen groen'!$H:$H,$L30)=0,"",INT(INDEX('Invullen groen'!$H:$H,$L30))),""),"")</f>
        <v/>
      </c>
      <c r="G30" s="525">
        <f>IFERROR(IF($L30&gt;0,IF(INDEX('Invullen groen'!$I:$I,$L30)=0,"",INT(INDEX('Invullen groen'!$I:$I,$L30))),""),"")</f>
        <v/>
      </c>
      <c r="H30" s="525">
        <f>IFERROR(IF($L30&gt;0,IF(INDEX('Invullen groen'!$J:$J,$L30)=0,"",INT(INDEX('Invullen groen'!$J:$J,$L30))),""),"")</f>
        <v/>
      </c>
      <c r="I30" s="525">
        <f>IFERROR(IF($L30&gt;0,IF(INDEX('Invullen groen'!$K:$K,$L30)=0,"",INT(INDEX('Invullen groen'!$K:$K,$L30))),""),"")</f>
        <v/>
      </c>
      <c r="J30" s="524">
        <f>IF($L30&gt;0,IFERROR($K$1&amp;" "&amp;TRIM(SUBSTITUTE(SUBSTITUTE(SUBSTITUTE(SUBSTITUTE(SUBSTITUTE(SUBSTITUTE(SUBSTITUTE(SUBSTITUTE(SUBSTITUTE(SUBSTITUTE(SUBSTITUTE(SUBSTITUTE(LOWER(IF(LEFT(TEXT(INDEX('Invullen groen'!$E:$E,$L30),"0"),1)="6",INDEX('Invullen groen'!$O:$O,$L30),IF(INDEX('Invullen groen'!$N:$N,$L30)&gt;0,INDEX('Invullen groen'!$G:$G,$L30),INDEX('Invullen groen'!$O:$O,$L30)))),"2024",""),"2025",""),"2026",""),"2027",""),"2028",""),"2029",""),"taakveld ",""),"installaties","inst"),"ruwbouw","ruwb"),"afbouw","afb"),"bijstelling","bijst"),"investeringen","invest")),""),")</f>
        <v/>
      </c>
      <c r="K30" s="524" t="n"/>
      <c r="L30" s="234">
        <f>IFERROR(MATCH(ROW()-4,'Invullen groen'!$P$17:$P$109,0)+16,0)</f>
        <v/>
      </c>
      <c r="M30" s="234" t="n"/>
      <c r="N30" s="234" t="n"/>
    </row>
    <row r="31" ht="15" customHeight="1">
      <c r="A31" s="522">
        <f>IFERROR(IF($L31&gt;0,INDEX('Invullen groen'!$E:$E,$L31),""),"")</f>
        <v/>
      </c>
      <c r="B31" s="522">
        <f>IFERROR(IF($L31&gt;0,IF(INDEX('Invullen groen'!$F:$F,$L31)&gt;0,INDEX('Invullen groen'!$F:$F,$L31),""),""),"")</f>
        <v/>
      </c>
      <c r="C31" s="522">
        <f>IFERROR(IF($L31&gt;0,IF(INDEX('Invullen groen'!$N:$N,$L31)&gt;0,INDEX('Invullen groen'!$N:$N,$L31),""),""),"")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IFERROR(IF($L31&gt;0,IF(INDEX('Invullen groen'!$H:$H,$L31)=0,"",INT(INDEX('Invullen groen'!$H:$H,$L31))),""),"")</f>
        <v/>
      </c>
      <c r="G31" s="523">
        <f>IFERROR(IF($L31&gt;0,IF(INDEX('Invullen groen'!$I:$I,$L31)=0,"",INT(INDEX('Invullen groen'!$I:$I,$L31))),""),"")</f>
        <v/>
      </c>
      <c r="H31" s="523">
        <f>IFERROR(IF($L31&gt;0,IF(INDEX('Invullen groen'!$J:$J,$L31)=0,"",INT(INDEX('Invullen groen'!$J:$J,$L31))),""),"")</f>
        <v/>
      </c>
      <c r="I31" s="523">
        <f>IFERROR(IF($L31&gt;0,IF(INDEX('Invullen groen'!$K:$K,$L31)=0,"",INT(INDEX('Invullen groen'!$K:$K,$L31))),""),"")</f>
        <v/>
      </c>
      <c r="J31" s="522">
        <f>IF($L31&gt;0,IFERROR($K$1&amp;" "&amp;TRIM(SUBSTITUTE(SUBSTITUTE(SUBSTITUTE(SUBSTITUTE(SUBSTITUTE(SUBSTITUTE(SUBSTITUTE(SUBSTITUTE(SUBSTITUTE(SUBSTITUTE(SUBSTITUTE(SUBSTITUTE(LOWER(IF(LEFT(TEXT(INDEX('Invullen groen'!$E:$E,$L31),"0"),1)="6",INDEX('Invullen groen'!$O:$O,$L31),IF(INDEX('Invullen groen'!$N:$N,$L31)&gt;0,INDEX('Invullen groen'!$G:$G,$L31),INDEX('Invullen groen'!$O:$O,$L31)))),"2024",""),"2025",""),"2026",""),"2027",""),"2028",""),"2029",""),"taakveld ",""),"installaties","inst"),"ruwbouw","ruwb"),"afbouw","afb"),"bijstelling","bijst"),"investeringen","invest")),""),")</f>
        <v/>
      </c>
      <c r="K31" s="522" t="n"/>
      <c r="L31" s="234">
        <f>IFERROR(MATCH(ROW()-4,'Invullen groen'!$P$17:$P$109,0)+16,0)</f>
        <v/>
      </c>
      <c r="M31" s="234" t="n"/>
      <c r="N31" s="234" t="n"/>
    </row>
    <row r="32" ht="15" customHeight="1">
      <c r="A32" s="524">
        <f>IFERROR(IF($L32&gt;0,INDEX('Invullen groen'!$E:$E,$L32),""),"")</f>
        <v/>
      </c>
      <c r="B32" s="524">
        <f>IFERROR(IF($L32&gt;0,IF(INDEX('Invullen groen'!$F:$F,$L32)&gt;0,INDEX('Invullen groen'!$F:$F,$L32),""),""),"")</f>
        <v/>
      </c>
      <c r="C32" s="524">
        <f>IFERROR(IF($L32&gt;0,IF(INDEX('Invullen groen'!$N:$N,$L32)&gt;0,INDEX('Invullen groen'!$N:$N,$L32),""),""),"")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IFERROR(IF($L32&gt;0,IF(INDEX('Invullen groen'!$H:$H,$L32)=0,"",INT(INDEX('Invullen groen'!$H:$H,$L32))),""),"")</f>
        <v/>
      </c>
      <c r="G32" s="525">
        <f>IFERROR(IF($L32&gt;0,IF(INDEX('Invullen groen'!$I:$I,$L32)=0,"",INT(INDEX('Invullen groen'!$I:$I,$L32))),""),"")</f>
        <v/>
      </c>
      <c r="H32" s="525">
        <f>IFERROR(IF($L32&gt;0,IF(INDEX('Invullen groen'!$J:$J,$L32)=0,"",INT(INDEX('Invullen groen'!$J:$J,$L32))),""),"")</f>
        <v/>
      </c>
      <c r="I32" s="525">
        <f>IFERROR(IF($L32&gt;0,IF(INDEX('Invullen groen'!$K:$K,$L32)=0,"",INT(INDEX('Invullen groen'!$K:$K,$L32))),""),"")</f>
        <v/>
      </c>
      <c r="J32" s="524">
        <f>IF($L32&gt;0,IFERROR($K$1&amp;" "&amp;TRIM(SUBSTITUTE(SUBSTITUTE(SUBSTITUTE(SUBSTITUTE(SUBSTITUTE(SUBSTITUTE(SUBSTITUTE(SUBSTITUTE(SUBSTITUTE(SUBSTITUTE(SUBSTITUTE(SUBSTITUTE(LOWER(IF(LEFT(TEXT(INDEX('Invullen groen'!$E:$E,$L32),"0"),1)="6",INDEX('Invullen groen'!$O:$O,$L32),IF(INDEX('Invullen groen'!$N:$N,$L32)&gt;0,INDEX('Invullen groen'!$G:$G,$L32),INDEX('Invullen groen'!$O:$O,$L32)))),"2024",""),"2025",""),"2026",""),"2027",""),"2028",""),"2029",""),"taakveld ",""),"installaties","inst"),"ruwbouw","ruwb"),"afbouw","afb"),"bijstelling","bijst"),"investeringen","invest")),""),")</f>
        <v/>
      </c>
      <c r="K32" s="524" t="n"/>
      <c r="L32" s="234">
        <f>IFERROR(MATCH(ROW()-4,'Invullen groen'!$P$17:$P$109,0)+16,0)</f>
        <v/>
      </c>
      <c r="M32" s="234" t="n"/>
      <c r="N32" s="234" t="n"/>
    </row>
    <row r="33" ht="15" customHeight="1">
      <c r="A33" s="522">
        <f>IFERROR(IF($L33&gt;0,INDEX('Invullen groen'!$E:$E,$L33),""),"")</f>
        <v/>
      </c>
      <c r="B33" s="522">
        <f>IFERROR(IF($L33&gt;0,IF(INDEX('Invullen groen'!$F:$F,$L33)&gt;0,INDEX('Invullen groen'!$F:$F,$L33),""),""),"")</f>
        <v/>
      </c>
      <c r="C33" s="522">
        <f>IFERROR(IF($L33&gt;0,IF(INDEX('Invullen groen'!$N:$N,$L33)&gt;0,INDEX('Invullen groen'!$N:$N,$L33),""),""),"")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IFERROR(IF($L33&gt;0,IF(INDEX('Invullen groen'!$H:$H,$L33)=0,"",INT(INDEX('Invullen groen'!$H:$H,$L33))),""),"")</f>
        <v/>
      </c>
      <c r="G33" s="523">
        <f>IFERROR(IF($L33&gt;0,IF(INDEX('Invullen groen'!$I:$I,$L33)=0,"",INT(INDEX('Invullen groen'!$I:$I,$L33))),""),"")</f>
        <v/>
      </c>
      <c r="H33" s="523">
        <f>IFERROR(IF($L33&gt;0,IF(INDEX('Invullen groen'!$J:$J,$L33)=0,"",INT(INDEX('Invullen groen'!$J:$J,$L33))),""),"")</f>
        <v/>
      </c>
      <c r="I33" s="523">
        <f>IFERROR(IF($L33&gt;0,IF(INDEX('Invullen groen'!$K:$K,$L33)=0,"",INT(INDEX('Invullen groen'!$K:$K,$L33))),""),"")</f>
        <v/>
      </c>
      <c r="J33" s="522">
        <f>IF($L33&gt;0,IFERROR($K$1&amp;" "&amp;TRIM(SUBSTITUTE(SUBSTITUTE(SUBSTITUTE(SUBSTITUTE(SUBSTITUTE(SUBSTITUTE(SUBSTITUTE(SUBSTITUTE(SUBSTITUTE(SUBSTITUTE(SUBSTITUTE(SUBSTITUTE(LOWER(IF(LEFT(TEXT(INDEX('Invullen groen'!$E:$E,$L33),"0"),1)="6",INDEX('Invullen groen'!$O:$O,$L33),IF(INDEX('Invullen groen'!$N:$N,$L33)&gt;0,INDEX('Invullen groen'!$G:$G,$L33),INDEX('Invullen groen'!$O:$O,$L33)))),"2024",""),"2025",""),"2026",""),"2027",""),"2028",""),"2029",""),"taakveld ",""),"installaties","inst"),"ruwbouw","ruwb"),"afbouw","afb"),"bijstelling","bijst"),"investeringen","invest")),""),")</f>
        <v/>
      </c>
      <c r="K33" s="522" t="n"/>
      <c r="L33" s="234">
        <f>IFERROR(MATCH(ROW()-4,'Invullen groen'!$P$17:$P$109,0)+16,0)</f>
        <v/>
      </c>
      <c r="M33" s="234" t="n"/>
      <c r="N33" s="234" t="n"/>
    </row>
    <row r="34" ht="15" customHeight="1">
      <c r="A34" s="524">
        <f>IFERROR(IF($L34&gt;0,INDEX('Invullen groen'!$E:$E,$L34),""),"")</f>
        <v/>
      </c>
      <c r="B34" s="524">
        <f>IFERROR(IF($L34&gt;0,IF(INDEX('Invullen groen'!$F:$F,$L34)&gt;0,INDEX('Invullen groen'!$F:$F,$L34),""),""),"")</f>
        <v/>
      </c>
      <c r="C34" s="524">
        <f>IFERROR(IF($L34&gt;0,IF(INDEX('Invullen groen'!$N:$N,$L34)&gt;0,INDEX('Invullen groen'!$N:$N,$L34),""),""),"")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IFERROR(IF($L34&gt;0,IF(INDEX('Invullen groen'!$H:$H,$L34)=0,"",INT(INDEX('Invullen groen'!$H:$H,$L34))),""),"")</f>
        <v/>
      </c>
      <c r="G34" s="525">
        <f>IFERROR(IF($L34&gt;0,IF(INDEX('Invullen groen'!$I:$I,$L34)=0,"",INT(INDEX('Invullen groen'!$I:$I,$L34))),""),"")</f>
        <v/>
      </c>
      <c r="H34" s="525">
        <f>IFERROR(IF($L34&gt;0,IF(INDEX('Invullen groen'!$J:$J,$L34)=0,"",INT(INDEX('Invullen groen'!$J:$J,$L34))),""),"")</f>
        <v/>
      </c>
      <c r="I34" s="525">
        <f>IFERROR(IF($L34&gt;0,IF(INDEX('Invullen groen'!$K:$K,$L34)=0,"",INT(INDEX('Invullen groen'!$K:$K,$L34))),""),"")</f>
        <v/>
      </c>
      <c r="J34" s="524">
        <f>IF($L34&gt;0,IFERROR($K$1&amp;" "&amp;TRIM(SUBSTITUTE(SUBSTITUTE(SUBSTITUTE(SUBSTITUTE(SUBSTITUTE(SUBSTITUTE(SUBSTITUTE(SUBSTITUTE(SUBSTITUTE(SUBSTITUTE(SUBSTITUTE(SUBSTITUTE(LOWER(IF(LEFT(TEXT(INDEX('Invullen groen'!$E:$E,$L34),"0"),1)="6",INDEX('Invullen groen'!$O:$O,$L34),IF(INDEX('Invullen groen'!$N:$N,$L34)&gt;0,INDEX('Invullen groen'!$G:$G,$L34),INDEX('Invullen groen'!$O:$O,$L34)))),"2024",""),"2025",""),"2026",""),"2027",""),"2028",""),"2029",""),"taakveld ",""),"installaties","inst"),"ruwbouw","ruwb"),"afbouw","afb"),"bijstelling","bijst"),"investeringen","invest")),""),")</f>
        <v/>
      </c>
      <c r="K34" s="524" t="n"/>
      <c r="L34" s="234">
        <f>IFERROR(MATCH(ROW()-4,'Invullen groen'!$P$17:$P$109,0)+16,0)</f>
        <v/>
      </c>
      <c r="M34" s="234" t="n"/>
      <c r="N34" s="234" t="n"/>
    </row>
    <row r="35" hidden="1" ht="15" customHeight="1">
      <c r="A35" s="522">
        <f>IFERROR(IF($L35&gt;0,INDEX('Invullen groen'!$E:$E,$L35),""),"")</f>
        <v/>
      </c>
      <c r="B35" s="522">
        <f>IFERROR(IF($L35&gt;0,IF(INDEX('Invullen groen'!$F:$F,$L35)&gt;0,INDEX('Invullen groen'!$F:$F,$L35),""),""),"")</f>
        <v/>
      </c>
      <c r="C35" s="522">
        <f>IFERROR(IF($L35&gt;0,IF(INDEX('Invullen groen'!$N:$N,$L35)&gt;0,INDEX('Invullen groen'!$N:$N,$L35),""),""),"")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IFERROR(IF($L35&gt;0,IF(INDEX('Invullen groen'!$H:$H,$L35)=0,"",INT(INDEX('Invullen groen'!$H:$H,$L35))),""),"")</f>
        <v/>
      </c>
      <c r="G35" s="523">
        <f>IFERROR(IF($L35&gt;0,IF(INDEX('Invullen groen'!$I:$I,$L35)=0,"",INT(INDEX('Invullen groen'!$I:$I,$L35))),""),"")</f>
        <v/>
      </c>
      <c r="H35" s="523">
        <f>IFERROR(IF($L35&gt;0,IF(INDEX('Invullen groen'!$J:$J,$L35)=0,"",INT(INDEX('Invullen groen'!$J:$J,$L35))),""),"")</f>
        <v/>
      </c>
      <c r="I35" s="523">
        <f>IFERROR(IF($L35&gt;0,IF(INDEX('Invullen groen'!$K:$K,$L35)=0,"",INT(INDEX('Invullen groen'!$K:$K,$L35))),""),"")</f>
        <v/>
      </c>
      <c r="J35" s="522">
        <f>IF($L35&gt;0,IFERROR($K$1&amp;" "&amp;TRIM(SUBSTITUTE(SUBSTITUTE(SUBSTITUTE(SUBSTITUTE(SUBSTITUTE(SUBSTITUTE(SUBSTITUTE(SUBSTITUTE(SUBSTITUTE(SUBSTITUTE(SUBSTITUTE(SUBSTITUTE(LOWER(IF(LEFT(TEXT(INDEX('Invullen groen'!$E:$E,$L35),"0"),1)="6",INDEX('Invullen groen'!$O:$O,$L35),IF(INDEX('Invullen groen'!$N:$N,$L35)&gt;0,INDEX('Invullen groen'!$G:$G,$L35),INDEX('Invullen groen'!$O:$O,$L35)))),"2024",""),"2025",""),"2026",""),"2027",""),"2028",""),"2029",""),"taakveld ",""),"installaties","inst"),"ruwbouw","ruwb"),"afbouw","afb"),"bijstelling","bijst"),"investeringen","invest")),""),")</f>
        <v/>
      </c>
      <c r="K35" s="522" t="n"/>
      <c r="L35" s="234">
        <f>IFERROR(MATCH(ROW()-4,'Invullen groen'!$P$17:$P$109,0)+16,0)</f>
        <v/>
      </c>
      <c r="M35" s="234" t="n"/>
      <c r="N35" s="234" t="n"/>
    </row>
    <row r="36" hidden="1" ht="15" customHeight="1">
      <c r="A36" s="524">
        <f>IFERROR(IF($L36&gt;0,INDEX('Invullen groen'!$E:$E,$L36),""),"")</f>
        <v/>
      </c>
      <c r="B36" s="524">
        <f>IFERROR(IF($L36&gt;0,IF(INDEX('Invullen groen'!$F:$F,$L36)&gt;0,INDEX('Invullen groen'!$F:$F,$L36),""),""),"")</f>
        <v/>
      </c>
      <c r="C36" s="524">
        <f>IFERROR(IF($L36&gt;0,IF(INDEX('Invullen groen'!$N:$N,$L36)&gt;0,INDEX('Invullen groen'!$N:$N,$L36),""),""),"")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IFERROR(IF($L36&gt;0,IF(INDEX('Invullen groen'!$H:$H,$L36)=0,"",INT(INDEX('Invullen groen'!$H:$H,$L36))),""),"")</f>
        <v/>
      </c>
      <c r="G36" s="525">
        <f>IFERROR(IF($L36&gt;0,IF(INDEX('Invullen groen'!$I:$I,$L36)=0,"",INT(INDEX('Invullen groen'!$I:$I,$L36))),""),"")</f>
        <v/>
      </c>
      <c r="H36" s="525">
        <f>IFERROR(IF($L36&gt;0,IF(INDEX('Invullen groen'!$J:$J,$L36)=0,"",INT(INDEX('Invullen groen'!$J:$J,$L36))),""),"")</f>
        <v/>
      </c>
      <c r="I36" s="525">
        <f>IFERROR(IF($L36&gt;0,IF(INDEX('Invullen groen'!$K:$K,$L36)=0,"",INT(INDEX('Invullen groen'!$K:$K,$L36))),""),"")</f>
        <v/>
      </c>
      <c r="J36" s="524">
        <f>IF($L36&gt;0,IFERROR($K$1&amp;" "&amp;TRIM(SUBSTITUTE(SUBSTITUTE(SUBSTITUTE(SUBSTITUTE(SUBSTITUTE(SUBSTITUTE(SUBSTITUTE(SUBSTITUTE(SUBSTITUTE(SUBSTITUTE(SUBSTITUTE(SUBSTITUTE(LOWER(IF(LEFT(TEXT(INDEX('Invullen groen'!$E:$E,$L36),"0"),1)="6",INDEX('Invullen groen'!$O:$O,$L36),IF(INDEX('Invullen groen'!$N:$N,$L36)&gt;0,INDEX('Invullen groen'!$G:$G,$L36),INDEX('Invullen groen'!$O:$O,$L36)))),"2024",""),"2025",""),"2026",""),"2027",""),"2028",""),"2029",""),"taakveld ",""),"installaties","inst"),"ruwbouw","ruwb"),"afbouw","afb"),"bijstelling","bijst"),"investeringen","invest")),""),")</f>
        <v/>
      </c>
      <c r="K36" s="524" t="n"/>
      <c r="L36" s="234">
        <f>IFERROR(MATCH(ROW()-4,'Invullen groen'!$P$17:$P$109,0)+16,0)</f>
        <v/>
      </c>
      <c r="M36" s="234" t="n"/>
      <c r="N36" s="234" t="n"/>
    </row>
    <row r="37" hidden="1" ht="15" customHeight="1">
      <c r="A37" s="522">
        <f>IFERROR(IF($L37&gt;0,INDEX('Invullen groen'!$E:$E,$L37),""),"")</f>
        <v/>
      </c>
      <c r="B37" s="522">
        <f>IFERROR(IF($L37&gt;0,IF(INDEX('Invullen groen'!$F:$F,$L37)&gt;0,INDEX('Invullen groen'!$F:$F,$L37),""),""),"")</f>
        <v/>
      </c>
      <c r="C37" s="522">
        <f>IFERROR(IF($L37&gt;0,IF(INDEX('Invullen groen'!$N:$N,$L37)&gt;0,INDEX('Invullen groen'!$N:$N,$L37),""),""),"")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IFERROR(IF($L37&gt;0,IF(INDEX('Invullen groen'!$H:$H,$L37)=0,"",INT(INDEX('Invullen groen'!$H:$H,$L37))),""),"")</f>
        <v/>
      </c>
      <c r="G37" s="523">
        <f>IFERROR(IF($L37&gt;0,IF(INDEX('Invullen groen'!$I:$I,$L37)=0,"",INT(INDEX('Invullen groen'!$I:$I,$L37))),""),"")</f>
        <v/>
      </c>
      <c r="H37" s="523">
        <f>IFERROR(IF($L37&gt;0,IF(INDEX('Invullen groen'!$J:$J,$L37)=0,"",INT(INDEX('Invullen groen'!$J:$J,$L37))),""),"")</f>
        <v/>
      </c>
      <c r="I37" s="523">
        <f>IFERROR(IF($L37&gt;0,IF(INDEX('Invullen groen'!$K:$K,$L37)=0,"",INT(INDEX('Invullen groen'!$K:$K,$L37))),""),"")</f>
        <v/>
      </c>
      <c r="J37" s="522">
        <f>IF($L37&gt;0,IFERROR($K$1&amp;" "&amp;TRIM(SUBSTITUTE(SUBSTITUTE(SUBSTITUTE(SUBSTITUTE(SUBSTITUTE(SUBSTITUTE(SUBSTITUTE(SUBSTITUTE(SUBSTITUTE(SUBSTITUTE(SUBSTITUTE(SUBSTITUTE(LOWER(IF(LEFT(TEXT(INDEX('Invullen groen'!$E:$E,$L37),"0"),1)="6",INDEX('Invullen groen'!$O:$O,$L37),IF(INDEX('Invullen groen'!$N:$N,$L37)&gt;0,INDEX('Invullen groen'!$G:$G,$L37),INDEX('Invullen groen'!$O:$O,$L37)))),"2024",""),"2025",""),"2026",""),"2027",""),"2028",""),"2029",""),"taakveld ",""),"installaties","inst"),"ruwbouw","ruwb"),"afbouw","afb"),"bijstelling","bijst"),"investeringen","invest")),""),")</f>
        <v/>
      </c>
      <c r="K37" s="522" t="n"/>
      <c r="L37" s="234">
        <f>IFERROR(MATCH(ROW()-4,'Invullen groen'!$P$17:$P$109,0)+16,0)</f>
        <v/>
      </c>
      <c r="M37" s="234" t="n"/>
      <c r="N37" s="234" t="n"/>
    </row>
    <row r="38" hidden="1" ht="15" customHeight="1">
      <c r="A38" s="524">
        <f>IFERROR(IF($L38&gt;0,INDEX('Invullen groen'!$E:$E,$L38),""),"")</f>
        <v/>
      </c>
      <c r="B38" s="524">
        <f>IFERROR(IF($L38&gt;0,IF(INDEX('Invullen groen'!$F:$F,$L38)&gt;0,INDEX('Invullen groen'!$F:$F,$L38),""),""),"")</f>
        <v/>
      </c>
      <c r="C38" s="524">
        <f>IFERROR(IF($L38&gt;0,IF(INDEX('Invullen groen'!$N:$N,$L38)&gt;0,INDEX('Invullen groen'!$N:$N,$L38),""),""),"")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IFERROR(IF($L38&gt;0,IF(INDEX('Invullen groen'!$H:$H,$L38)=0,"",INT(INDEX('Invullen groen'!$H:$H,$L38))),""),"")</f>
        <v/>
      </c>
      <c r="G38" s="525">
        <f>IFERROR(IF($L38&gt;0,IF(INDEX('Invullen groen'!$I:$I,$L38)=0,"",INT(INDEX('Invullen groen'!$I:$I,$L38))),""),"")</f>
        <v/>
      </c>
      <c r="H38" s="525">
        <f>IFERROR(IF($L38&gt;0,IF(INDEX('Invullen groen'!$J:$J,$L38)=0,"",INT(INDEX('Invullen groen'!$J:$J,$L38))),""),"")</f>
        <v/>
      </c>
      <c r="I38" s="525">
        <f>IFERROR(IF($L38&gt;0,IF(INDEX('Invullen groen'!$K:$K,$L38)=0,"",INT(INDEX('Invullen groen'!$K:$K,$L38))),""),"")</f>
        <v/>
      </c>
      <c r="J38" s="524">
        <f>IF($L38&gt;0,IFERROR($K$1&amp;" "&amp;TRIM(SUBSTITUTE(SUBSTITUTE(SUBSTITUTE(SUBSTITUTE(SUBSTITUTE(SUBSTITUTE(SUBSTITUTE(SUBSTITUTE(SUBSTITUTE(SUBSTITUTE(SUBSTITUTE(SUBSTITUTE(LOWER(IF(LEFT(TEXT(INDEX('Invullen groen'!$E:$E,$L38),"0"),1)="6",INDEX('Invullen groen'!$O:$O,$L38),IF(INDEX('Invullen groen'!$N:$N,$L38)&gt;0,INDEX('Invullen groen'!$G:$G,$L38),INDEX('Invullen groen'!$O:$O,$L38)))),"2024",""),"2025",""),"2026",""),"2027",""),"2028",""),"2029",""),"taakveld ",""),"installaties","inst"),"ruwbouw","ruwb"),"afbouw","afb"),"bijstelling","bijst"),"investeringen","invest")),""),")</f>
        <v/>
      </c>
      <c r="K38" s="524" t="n"/>
      <c r="L38" s="234">
        <f>IFERROR(MATCH(ROW()-4,'Invullen groen'!$P$17:$P$109,0)+16,0)</f>
        <v/>
      </c>
      <c r="M38" s="234" t="n"/>
      <c r="N38" s="234" t="n"/>
    </row>
    <row r="39" hidden="1" ht="15" customHeight="1">
      <c r="A39" s="522">
        <f>IFERROR(IF($L39&gt;0,INDEX('Invullen groen'!$E:$E,$L39),""),"")</f>
        <v/>
      </c>
      <c r="B39" s="522">
        <f>IFERROR(IF($L39&gt;0,IF(INDEX('Invullen groen'!$F:$F,$L39)&gt;0,INDEX('Invullen groen'!$F:$F,$L39),""),""),"")</f>
        <v/>
      </c>
      <c r="C39" s="522">
        <f>IFERROR(IF($L39&gt;0,IF(INDEX('Invullen groen'!$N:$N,$L39)&gt;0,INDEX('Invullen groen'!$N:$N,$L39),""),""),"")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IFERROR(IF($L39&gt;0,IF(INDEX('Invullen groen'!$H:$H,$L39)=0,"",INT(INDEX('Invullen groen'!$H:$H,$L39))),""),"")</f>
        <v/>
      </c>
      <c r="G39" s="523">
        <f>IFERROR(IF($L39&gt;0,IF(INDEX('Invullen groen'!$I:$I,$L39)=0,"",INT(INDEX('Invullen groen'!$I:$I,$L39))),""),"")</f>
        <v/>
      </c>
      <c r="H39" s="523">
        <f>IFERROR(IF($L39&gt;0,IF(INDEX('Invullen groen'!$J:$J,$L39)=0,"",INT(INDEX('Invullen groen'!$J:$J,$L39))),""),"")</f>
        <v/>
      </c>
      <c r="I39" s="523">
        <f>IFERROR(IF($L39&gt;0,IF(INDEX('Invullen groen'!$K:$K,$L39)=0,"",INT(INDEX('Invullen groen'!$K:$K,$L39))),""),"")</f>
        <v/>
      </c>
      <c r="J39" s="522">
        <f>IF($L39&gt;0,IFERROR($K$1&amp;" "&amp;TRIM(SUBSTITUTE(SUBSTITUTE(SUBSTITUTE(SUBSTITUTE(SUBSTITUTE(SUBSTITUTE(SUBSTITUTE(SUBSTITUTE(SUBSTITUTE(SUBSTITUTE(SUBSTITUTE(SUBSTITUTE(LOWER(IF(LEFT(TEXT(INDEX('Invullen groen'!$E:$E,$L39),"0"),1)="6",INDEX('Invullen groen'!$O:$O,$L39),IF(INDEX('Invullen groen'!$N:$N,$L39)&gt;0,INDEX('Invullen groen'!$G:$G,$L39),INDEX('Invullen groen'!$O:$O,$L39)))),"2024",""),"2025",""),"2026",""),"2027",""),"2028",""),"2029",""),"taakveld ",""),"installaties","inst"),"ruwbouw","ruwb"),"afbouw","afb"),"bijstelling","bijst"),"investeringen","invest")),""),")</f>
        <v/>
      </c>
      <c r="K39" s="522" t="n"/>
      <c r="L39" s="234">
        <f>IFERROR(MATCH(ROW()-4,'Invullen groen'!$P$17:$P$109,0)+16,0)</f>
        <v/>
      </c>
      <c r="M39" s="234" t="n"/>
      <c r="N39" s="234" t="n"/>
    </row>
    <row r="40" hidden="1" ht="15" customHeight="1">
      <c r="A40" s="524">
        <f>IFERROR(IF($L40&gt;0,INDEX('Invullen groen'!$E:$E,$L40),""),"")</f>
        <v/>
      </c>
      <c r="B40" s="524">
        <f>IFERROR(IF($L40&gt;0,IF(INDEX('Invullen groen'!$F:$F,$L40)&gt;0,INDEX('Invullen groen'!$F:$F,$L40),""),""),"")</f>
        <v/>
      </c>
      <c r="C40" s="524">
        <f>IFERROR(IF($L40&gt;0,IF(INDEX('Invullen groen'!$N:$N,$L40)&gt;0,INDEX('Invullen groen'!$N:$N,$L40),""),""),"")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IFERROR(IF($L40&gt;0,IF(INDEX('Invullen groen'!$H:$H,$L40)=0,"",INT(INDEX('Invullen groen'!$H:$H,$L40))),""),"")</f>
        <v/>
      </c>
      <c r="G40" s="525">
        <f>IFERROR(IF($L40&gt;0,IF(INDEX('Invullen groen'!$I:$I,$L40)=0,"",INT(INDEX('Invullen groen'!$I:$I,$L40))),""),"")</f>
        <v/>
      </c>
      <c r="H40" s="525">
        <f>IFERROR(IF($L40&gt;0,IF(INDEX('Invullen groen'!$J:$J,$L40)=0,"",INT(INDEX('Invullen groen'!$J:$J,$L40))),""),"")</f>
        <v/>
      </c>
      <c r="I40" s="525">
        <f>IFERROR(IF($L40&gt;0,IF(INDEX('Invullen groen'!$K:$K,$L40)=0,"",INT(INDEX('Invullen groen'!$K:$K,$L40))),""),"")</f>
        <v/>
      </c>
      <c r="J40" s="524">
        <f>IF($L40&gt;0,IFERROR($K$1&amp;" "&amp;TRIM(SUBSTITUTE(SUBSTITUTE(SUBSTITUTE(SUBSTITUTE(SUBSTITUTE(SUBSTITUTE(SUBSTITUTE(SUBSTITUTE(SUBSTITUTE(SUBSTITUTE(SUBSTITUTE(SUBSTITUTE(LOWER(IF(LEFT(TEXT(INDEX('Invullen groen'!$E:$E,$L40),"0"),1)="6",INDEX('Invullen groen'!$O:$O,$L40),IF(INDEX('Invullen groen'!$N:$N,$L40)&gt;0,INDEX('Invullen groen'!$G:$G,$L40),INDEX('Invullen groen'!$O:$O,$L40)))),"2024",""),"2025",""),"2026",""),"2027",""),"2028",""),"2029",""),"taakveld ",""),"installaties","inst"),"ruwbouw","ruwb"),"afbouw","afb"),"bijstelling","bijst"),"investeringen","invest")),""),")</f>
        <v/>
      </c>
      <c r="K40" s="524" t="n"/>
      <c r="L40" s="234">
        <f>IFERROR(MATCH(ROW()-4,'Invullen groen'!$P$17:$P$109,0)+16,0)</f>
        <v/>
      </c>
      <c r="M40" s="234" t="n"/>
      <c r="N40" s="234" t="n"/>
    </row>
    <row r="41" hidden="1" ht="15" customHeight="1">
      <c r="A41" s="522">
        <f>IFERROR(IF($L41&gt;0,INDEX('Invullen groen'!$E:$E,$L41),""),"")</f>
        <v/>
      </c>
      <c r="B41" s="522">
        <f>IFERROR(IF($L41&gt;0,IF(INDEX('Invullen groen'!$F:$F,$L41)&gt;0,INDEX('Invullen groen'!$F:$F,$L41),""),""),"")</f>
        <v/>
      </c>
      <c r="C41" s="522">
        <f>IFERROR(IF($L41&gt;0,IF(INDEX('Invullen groen'!$N:$N,$L41)&gt;0,INDEX('Invullen groen'!$N:$N,$L41),""),""),"")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IFERROR(IF($L41&gt;0,IF(INDEX('Invullen groen'!$H:$H,$L41)=0,"",INT(INDEX('Invullen groen'!$H:$H,$L41))),""),"")</f>
        <v/>
      </c>
      <c r="G41" s="523">
        <f>IFERROR(IF($L41&gt;0,IF(INDEX('Invullen groen'!$I:$I,$L41)=0,"",INT(INDEX('Invullen groen'!$I:$I,$L41))),""),"")</f>
        <v/>
      </c>
      <c r="H41" s="523">
        <f>IFERROR(IF($L41&gt;0,IF(INDEX('Invullen groen'!$J:$J,$L41)=0,"",INT(INDEX('Invullen groen'!$J:$J,$L41))),""),"")</f>
        <v/>
      </c>
      <c r="I41" s="523">
        <f>IFERROR(IF($L41&gt;0,IF(INDEX('Invullen groen'!$K:$K,$L41)=0,"",INT(INDEX('Invullen groen'!$K:$K,$L41))),""),"")</f>
        <v/>
      </c>
      <c r="J41" s="522">
        <f>IF($L41&gt;0,IFERROR($K$1&amp;" "&amp;TRIM(SUBSTITUTE(SUBSTITUTE(SUBSTITUTE(SUBSTITUTE(SUBSTITUTE(SUBSTITUTE(SUBSTITUTE(SUBSTITUTE(SUBSTITUTE(SUBSTITUTE(SUBSTITUTE(SUBSTITUTE(LOWER(IF(LEFT(TEXT(INDEX('Invullen groen'!$E:$E,$L41),"0"),1)="6",INDEX('Invullen groen'!$O:$O,$L41),IF(INDEX('Invullen groen'!$N:$N,$L41)&gt;0,INDEX('Invullen groen'!$G:$G,$L41),INDEX('Invullen groen'!$O:$O,$L41)))),"2024",""),"2025",""),"2026",""),"2027",""),"2028",""),"2029",""),"taakveld ",""),"installaties","inst"),"ruwbouw","ruwb"),"afbouw","afb"),"bijstelling","bijst"),"investeringen","invest")),""),")</f>
        <v/>
      </c>
      <c r="K41" s="522" t="n"/>
      <c r="L41" s="234">
        <f>IFERROR(MATCH(ROW()-4,'Invullen groen'!$P$17:$P$109,0)+16,0)</f>
        <v/>
      </c>
      <c r="M41" s="234" t="n"/>
      <c r="N41" s="234" t="n"/>
    </row>
    <row r="42" hidden="1" ht="15" customHeight="1">
      <c r="A42" s="524">
        <f>IFERROR(IF($L42&gt;0,INDEX('Invullen groen'!$E:$E,$L42),""),"")</f>
        <v/>
      </c>
      <c r="B42" s="524">
        <f>IFERROR(IF($L42&gt;0,IF(INDEX('Invullen groen'!$F:$F,$L42)&gt;0,INDEX('Invullen groen'!$F:$F,$L42),""),""),"")</f>
        <v/>
      </c>
      <c r="C42" s="524">
        <f>IFERROR(IF($L42&gt;0,IF(INDEX('Invullen groen'!$N:$N,$L42)&gt;0,INDEX('Invullen groen'!$N:$N,$L42),""),""),"")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IFERROR(IF($L42&gt;0,IF(INDEX('Invullen groen'!$H:$H,$L42)=0,"",INT(INDEX('Invullen groen'!$H:$H,$L42))),""),"")</f>
        <v/>
      </c>
      <c r="G42" s="525">
        <f>IFERROR(IF($L42&gt;0,IF(INDEX('Invullen groen'!$I:$I,$L42)=0,"",INT(INDEX('Invullen groen'!$I:$I,$L42))),""),"")</f>
        <v/>
      </c>
      <c r="H42" s="525">
        <f>IFERROR(IF($L42&gt;0,IF(INDEX('Invullen groen'!$J:$J,$L42)=0,"",INT(INDEX('Invullen groen'!$J:$J,$L42))),""),"")</f>
        <v/>
      </c>
      <c r="I42" s="525">
        <f>IFERROR(IF($L42&gt;0,IF(INDEX('Invullen groen'!$K:$K,$L42)=0,"",INT(INDEX('Invullen groen'!$K:$K,$L42))),""),"")</f>
        <v/>
      </c>
      <c r="J42" s="524">
        <f>IF($L42&gt;0,IFERROR($K$1&amp;" "&amp;TRIM(SUBSTITUTE(SUBSTITUTE(SUBSTITUTE(SUBSTITUTE(SUBSTITUTE(SUBSTITUTE(SUBSTITUTE(SUBSTITUTE(SUBSTITUTE(SUBSTITUTE(SUBSTITUTE(SUBSTITUTE(LOWER(IF(LEFT(TEXT(INDEX('Invullen groen'!$E:$E,$L42),"0"),1)="6",INDEX('Invullen groen'!$O:$O,$L42),IF(INDEX('Invullen groen'!$N:$N,$L42)&gt;0,INDEX('Invullen groen'!$G:$G,$L42),INDEX('Invullen groen'!$O:$O,$L42)))),"2024",""),"2025",""),"2026",""),"2027",""),"2028",""),"2029",""),"taakveld ",""),"installaties","inst"),"ruwbouw","ruwb"),"afbouw","afb"),"bijstelling","bijst"),"investeringen","invest")),""),")</f>
        <v/>
      </c>
      <c r="K42" s="524" t="n"/>
      <c r="L42" s="234">
        <f>IFERROR(MATCH(ROW()-4,'Invullen groen'!$P$17:$P$109,0)+16,0)</f>
        <v/>
      </c>
      <c r="M42" s="234" t="n"/>
      <c r="N42" s="234" t="n"/>
    </row>
    <row r="43" hidden="1" ht="15" customHeight="1">
      <c r="A43" s="522">
        <f>IFERROR(IF($L43&gt;0,INDEX('Invullen groen'!$E:$E,$L43),""),"")</f>
        <v/>
      </c>
      <c r="B43" s="522">
        <f>IFERROR(IF($L43&gt;0,IF(INDEX('Invullen groen'!$F:$F,$L43)&gt;0,INDEX('Invullen groen'!$F:$F,$L43),""),""),"")</f>
        <v/>
      </c>
      <c r="C43" s="522">
        <f>IFERROR(IF($L43&gt;0,IF(INDEX('Invullen groen'!$N:$N,$L43)&gt;0,INDEX('Invullen groen'!$N:$N,$L43),""),""),"")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IFERROR(IF($L43&gt;0,IF(INDEX('Invullen groen'!$H:$H,$L43)=0,"",INT(INDEX('Invullen groen'!$H:$H,$L43))),""),"")</f>
        <v/>
      </c>
      <c r="G43" s="523">
        <f>IFERROR(IF($L43&gt;0,IF(INDEX('Invullen groen'!$I:$I,$L43)=0,"",INT(INDEX('Invullen groen'!$I:$I,$L43))),""),"")</f>
        <v/>
      </c>
      <c r="H43" s="523">
        <f>IFERROR(IF($L43&gt;0,IF(INDEX('Invullen groen'!$J:$J,$L43)=0,"",INT(INDEX('Invullen groen'!$J:$J,$L43))),""),"")</f>
        <v/>
      </c>
      <c r="I43" s="523">
        <f>IFERROR(IF($L43&gt;0,IF(INDEX('Invullen groen'!$K:$K,$L43)=0,"",INT(INDEX('Invullen groen'!$K:$K,$L43))),""),"")</f>
        <v/>
      </c>
      <c r="J43" s="522">
        <f>IF($L43&gt;0,IFERROR($K$1&amp;" "&amp;TRIM(SUBSTITUTE(SUBSTITUTE(SUBSTITUTE(SUBSTITUTE(SUBSTITUTE(SUBSTITUTE(SUBSTITUTE(SUBSTITUTE(SUBSTITUTE(SUBSTITUTE(SUBSTITUTE(SUBSTITUTE(LOWER(IF(LEFT(TEXT(INDEX('Invullen groen'!$E:$E,$L43),"0"),1)="6",INDEX('Invullen groen'!$O:$O,$L43),IF(INDEX('Invullen groen'!$N:$N,$L43)&gt;0,INDEX('Invullen groen'!$G:$G,$L43),INDEX('Invullen groen'!$O:$O,$L43)))),"2024",""),"2025",""),"2026",""),"2027",""),"2028",""),"2029",""),"taakveld ",""),"installaties","inst"),"ruwbouw","ruwb"),"afbouw","afb"),"bijstelling","bijst"),"investeringen","invest")),""),")</f>
        <v/>
      </c>
      <c r="K43" s="522" t="n"/>
      <c r="L43" s="234">
        <f>IFERROR(MATCH(ROW()-4,'Invullen groen'!$P$17:$P$109,0)+16,0)</f>
        <v/>
      </c>
      <c r="M43" s="234" t="n"/>
      <c r="N43" s="234" t="n"/>
    </row>
    <row r="44" hidden="1" ht="15" customHeight="1">
      <c r="A44" s="524">
        <f>IFERROR(IF($L44&gt;0,INDEX('Invullen groen'!$E:$E,$L44),""),"")</f>
        <v/>
      </c>
      <c r="B44" s="524">
        <f>IFERROR(IF($L44&gt;0,IF(INDEX('Invullen groen'!$F:$F,$L44)&gt;0,INDEX('Invullen groen'!$F:$F,$L44),""),""),"")</f>
        <v/>
      </c>
      <c r="C44" s="524">
        <f>IFERROR(IF($L44&gt;0,IF(INDEX('Invullen groen'!$N:$N,$L44)&gt;0,INDEX('Invullen groen'!$N:$N,$L44),""),""),"")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IFERROR(IF($L44&gt;0,IF(INDEX('Invullen groen'!$H:$H,$L44)=0,"",INT(INDEX('Invullen groen'!$H:$H,$L44))),""),"")</f>
        <v/>
      </c>
      <c r="G44" s="525">
        <f>IFERROR(IF($L44&gt;0,IF(INDEX('Invullen groen'!$I:$I,$L44)=0,"",INT(INDEX('Invullen groen'!$I:$I,$L44))),""),"")</f>
        <v/>
      </c>
      <c r="H44" s="525">
        <f>IFERROR(IF($L44&gt;0,IF(INDEX('Invullen groen'!$J:$J,$L44)=0,"",INT(INDEX('Invullen groen'!$J:$J,$L44))),""),"")</f>
        <v/>
      </c>
      <c r="I44" s="525">
        <f>IFERROR(IF($L44&gt;0,IF(INDEX('Invullen groen'!$K:$K,$L44)=0,"",INT(INDEX('Invullen groen'!$K:$K,$L44))),""),"")</f>
        <v/>
      </c>
      <c r="J44" s="524">
        <f>IF($L44&gt;0,IFERROR($K$1&amp;" "&amp;TRIM(SUBSTITUTE(SUBSTITUTE(SUBSTITUTE(SUBSTITUTE(SUBSTITUTE(SUBSTITUTE(SUBSTITUTE(SUBSTITUTE(SUBSTITUTE(SUBSTITUTE(SUBSTITUTE(SUBSTITUTE(LOWER(IF(LEFT(TEXT(INDEX('Invullen groen'!$E:$E,$L44),"0"),1)="6",INDEX('Invullen groen'!$O:$O,$L44),IF(INDEX('Invullen groen'!$N:$N,$L44)&gt;0,INDEX('Invullen groen'!$G:$G,$L44),INDEX('Invullen groen'!$O:$O,$L44)))),"2024",""),"2025",""),"2026",""),"2027",""),"2028",""),"2029",""),"taakveld ",""),"installaties","inst"),"ruwbouw","ruwb"),"afbouw","afb"),"bijstelling","bijst"),"investeringen","invest")),""),")</f>
        <v/>
      </c>
      <c r="K44" s="524" t="n"/>
      <c r="L44" s="234">
        <f>IFERROR(MATCH(ROW()-4,'Invullen groen'!$P$17:$P$109,0)+16,0)</f>
        <v/>
      </c>
      <c r="M44" s="234" t="n"/>
      <c r="N44" s="234" t="n"/>
    </row>
    <row r="45" hidden="1" ht="15" customHeight="1">
      <c r="A45" s="522">
        <f>IFERROR(IF($L45&gt;0,INDEX('Invullen groen'!$E:$E,$L45),""),"")</f>
        <v/>
      </c>
      <c r="B45" s="522">
        <f>IFERROR(IF($L45&gt;0,IF(INDEX('Invullen groen'!$F:$F,$L45)&gt;0,INDEX('Invullen groen'!$F:$F,$L45),""),""),"")</f>
        <v/>
      </c>
      <c r="C45" s="522">
        <f>IFERROR(IF($L45&gt;0,IF(INDEX('Invullen groen'!$N:$N,$L45)&gt;0,INDEX('Invullen groen'!$N:$N,$L45),""),""),"")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IFERROR(IF($L45&gt;0,IF(INDEX('Invullen groen'!$H:$H,$L45)=0,"",INT(INDEX('Invullen groen'!$H:$H,$L45))),""),"")</f>
        <v/>
      </c>
      <c r="G45" s="523">
        <f>IFERROR(IF($L45&gt;0,IF(INDEX('Invullen groen'!$I:$I,$L45)=0,"",INT(INDEX('Invullen groen'!$I:$I,$L45))),""),"")</f>
        <v/>
      </c>
      <c r="H45" s="523">
        <f>IFERROR(IF($L45&gt;0,IF(INDEX('Invullen groen'!$J:$J,$L45)=0,"",INT(INDEX('Invullen groen'!$J:$J,$L45))),""),"")</f>
        <v/>
      </c>
      <c r="I45" s="523">
        <f>IFERROR(IF($L45&gt;0,IF(INDEX('Invullen groen'!$K:$K,$L45)=0,"",INT(INDEX('Invullen groen'!$K:$K,$L45))),""),"")</f>
        <v/>
      </c>
      <c r="J45" s="522">
        <f>IF($L45&gt;0,IFERROR($K$1&amp;" "&amp;TRIM(SUBSTITUTE(SUBSTITUTE(SUBSTITUTE(SUBSTITUTE(SUBSTITUTE(SUBSTITUTE(SUBSTITUTE(SUBSTITUTE(SUBSTITUTE(SUBSTITUTE(SUBSTITUTE(SUBSTITUTE(LOWER(IF(LEFT(TEXT(INDEX('Invullen groen'!$E:$E,$L45),"0"),1)="6",INDEX('Invullen groen'!$O:$O,$L45),IF(INDEX('Invullen groen'!$N:$N,$L45)&gt;0,INDEX('Invullen groen'!$G:$G,$L45),INDEX('Invullen groen'!$O:$O,$L45)))),"2024",""),"2025",""),"2026",""),"2027",""),"2028",""),"2029",""),"taakveld ",""),"installaties","inst"),"ruwbouw","ruwb"),"afbouw","afb"),"bijstelling","bijst"),"investeringen","invest")),""),")</f>
        <v/>
      </c>
      <c r="K45" s="522" t="n"/>
      <c r="L45" s="234">
        <f>IFERROR(MATCH(ROW()-4,'Invullen groen'!$P$17:$P$109,0)+16,0)</f>
        <v/>
      </c>
      <c r="M45" s="234" t="n"/>
      <c r="N45" s="234" t="n"/>
    </row>
    <row r="46" hidden="1" ht="15" customHeight="1">
      <c r="A46" s="524">
        <f>IFERROR(IF($L46&gt;0,INDEX('Invullen groen'!$E:$E,$L46),""),"")</f>
        <v/>
      </c>
      <c r="B46" s="524">
        <f>IFERROR(IF($L46&gt;0,IF(INDEX('Invullen groen'!$F:$F,$L46)&gt;0,INDEX('Invullen groen'!$F:$F,$L46),""),""),"")</f>
        <v/>
      </c>
      <c r="C46" s="524">
        <f>IFERROR(IF($L46&gt;0,IF(INDEX('Invullen groen'!$N:$N,$L46)&gt;0,INDEX('Invullen groen'!$N:$N,$L46),""),""),"")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IFERROR(IF($L46&gt;0,IF(INDEX('Invullen groen'!$H:$H,$L46)=0,"",INT(INDEX('Invullen groen'!$H:$H,$L46))),""),"")</f>
        <v/>
      </c>
      <c r="G46" s="525">
        <f>IFERROR(IF($L46&gt;0,IF(INDEX('Invullen groen'!$I:$I,$L46)=0,"",INT(INDEX('Invullen groen'!$I:$I,$L46))),""),"")</f>
        <v/>
      </c>
      <c r="H46" s="525">
        <f>IFERROR(IF($L46&gt;0,IF(INDEX('Invullen groen'!$J:$J,$L46)=0,"",INT(INDEX('Invullen groen'!$J:$J,$L46))),""),"")</f>
        <v/>
      </c>
      <c r="I46" s="525">
        <f>IFERROR(IF($L46&gt;0,IF(INDEX('Invullen groen'!$K:$K,$L46)=0,"",INT(INDEX('Invullen groen'!$K:$K,$L46))),""),"")</f>
        <v/>
      </c>
      <c r="J46" s="524">
        <f>IF($L46&gt;0,IFERROR($K$1&amp;" "&amp;TRIM(SUBSTITUTE(SUBSTITUTE(SUBSTITUTE(SUBSTITUTE(SUBSTITUTE(SUBSTITUTE(SUBSTITUTE(SUBSTITUTE(SUBSTITUTE(SUBSTITUTE(SUBSTITUTE(SUBSTITUTE(LOWER(IF(LEFT(TEXT(INDEX('Invullen groen'!$E:$E,$L46),"0"),1)="6",INDEX('Invullen groen'!$O:$O,$L46),IF(INDEX('Invullen groen'!$N:$N,$L46)&gt;0,INDEX('Invullen groen'!$G:$G,$L46),INDEX('Invullen groen'!$O:$O,$L46)))),"2024",""),"2025",""),"2026",""),"2027",""),"2028",""),"2029",""),"taakveld ",""),"installaties","inst"),"ruwbouw","ruwb"),"afbouw","afb"),"bijstelling","bijst"),"investeringen","invest")),""),")</f>
        <v/>
      </c>
      <c r="K46" s="524" t="n"/>
      <c r="L46" s="234">
        <f>IFERROR(MATCH(ROW()-4,'Invullen groen'!$P$17:$P$109,0)+16,0)</f>
        <v/>
      </c>
      <c r="M46" s="234" t="n"/>
      <c r="N46" s="234" t="n"/>
    </row>
    <row r="47" hidden="1" ht="15" customHeight="1">
      <c r="A47" s="522">
        <f>IFERROR(IF($L47&gt;0,INDEX('Invullen groen'!$E:$E,$L47),""),"")</f>
        <v/>
      </c>
      <c r="B47" s="522">
        <f>IFERROR(IF($L47&gt;0,IF(INDEX('Invullen groen'!$F:$F,$L47)&gt;0,INDEX('Invullen groen'!$F:$F,$L47),""),""),"")</f>
        <v/>
      </c>
      <c r="C47" s="522">
        <f>IFERROR(IF($L47&gt;0,IF(INDEX('Invullen groen'!$N:$N,$L47)&gt;0,INDEX('Invullen groen'!$N:$N,$L47),""),""),"")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IFERROR(IF($L47&gt;0,IF(INDEX('Invullen groen'!$H:$H,$L47)=0,"",INT(INDEX('Invullen groen'!$H:$H,$L47))),""),"")</f>
        <v/>
      </c>
      <c r="G47" s="523">
        <f>IFERROR(IF($L47&gt;0,IF(INDEX('Invullen groen'!$I:$I,$L47)=0,"",INT(INDEX('Invullen groen'!$I:$I,$L47))),""),"")</f>
        <v/>
      </c>
      <c r="H47" s="523">
        <f>IFERROR(IF($L47&gt;0,IF(INDEX('Invullen groen'!$J:$J,$L47)=0,"",INT(INDEX('Invullen groen'!$J:$J,$L47))),""),"")</f>
        <v/>
      </c>
      <c r="I47" s="523">
        <f>IFERROR(IF($L47&gt;0,IF(INDEX('Invullen groen'!$K:$K,$L47)=0,"",INT(INDEX('Invullen groen'!$K:$K,$L47))),""),"")</f>
        <v/>
      </c>
      <c r="J47" s="522">
        <f>IF($L47&gt;0,IFERROR($K$1&amp;" "&amp;TRIM(SUBSTITUTE(SUBSTITUTE(SUBSTITUTE(SUBSTITUTE(SUBSTITUTE(SUBSTITUTE(SUBSTITUTE(SUBSTITUTE(SUBSTITUTE(SUBSTITUTE(SUBSTITUTE(SUBSTITUTE(LOWER(IF(LEFT(TEXT(INDEX('Invullen groen'!$E:$E,$L47),"0"),1)="6",INDEX('Invullen groen'!$O:$O,$L47),IF(INDEX('Invullen groen'!$N:$N,$L47)&gt;0,INDEX('Invullen groen'!$G:$G,$L47),INDEX('Invullen groen'!$O:$O,$L47)))),"2024",""),"2025",""),"2026",""),"2027",""),"2028",""),"2029",""),"taakveld ",""),"installaties","inst"),"ruwbouw","ruwb"),"afbouw","afb"),"bijstelling","bijst"),"investeringen","invest")),""),")</f>
        <v/>
      </c>
      <c r="K47" s="522" t="n"/>
      <c r="L47" s="234">
        <f>IFERROR(MATCH(ROW()-4,'Invullen groen'!$P$17:$P$109,0)+16,0)</f>
        <v/>
      </c>
      <c r="M47" s="234" t="n"/>
      <c r="N47" s="234" t="n"/>
    </row>
    <row r="48" hidden="1" ht="15" customHeight="1">
      <c r="A48" s="524">
        <f>IFERROR(IF($L48&gt;0,INDEX('Invullen groen'!$E:$E,$L48),""),"")</f>
        <v/>
      </c>
      <c r="B48" s="524">
        <f>IFERROR(IF($L48&gt;0,IF(INDEX('Invullen groen'!$F:$F,$L48)&gt;0,INDEX('Invullen groen'!$F:$F,$L48),""),""),"")</f>
        <v/>
      </c>
      <c r="C48" s="524">
        <f>IFERROR(IF($L48&gt;0,IF(INDEX('Invullen groen'!$N:$N,$L48)&gt;0,INDEX('Invullen groen'!$N:$N,$L48),""),""),"")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IFERROR(IF($L48&gt;0,IF(INDEX('Invullen groen'!$H:$H,$L48)=0,"",INT(INDEX('Invullen groen'!$H:$H,$L48))),""),"")</f>
        <v/>
      </c>
      <c r="G48" s="525">
        <f>IFERROR(IF($L48&gt;0,IF(INDEX('Invullen groen'!$I:$I,$L48)=0,"",INT(INDEX('Invullen groen'!$I:$I,$L48))),""),"")</f>
        <v/>
      </c>
      <c r="H48" s="525">
        <f>IFERROR(IF($L48&gt;0,IF(INDEX('Invullen groen'!$J:$J,$L48)=0,"",INT(INDEX('Invullen groen'!$J:$J,$L48))),""),"")</f>
        <v/>
      </c>
      <c r="I48" s="525">
        <f>IFERROR(IF($L48&gt;0,IF(INDEX('Invullen groen'!$K:$K,$L48)=0,"",INT(INDEX('Invullen groen'!$K:$K,$L48))),""),"")</f>
        <v/>
      </c>
      <c r="J48" s="524">
        <f>IF($L48&gt;0,IFERROR($K$1&amp;" "&amp;TRIM(SUBSTITUTE(SUBSTITUTE(SUBSTITUTE(SUBSTITUTE(SUBSTITUTE(SUBSTITUTE(SUBSTITUTE(SUBSTITUTE(SUBSTITUTE(SUBSTITUTE(SUBSTITUTE(SUBSTITUTE(LOWER(IF(LEFT(TEXT(INDEX('Invullen groen'!$E:$E,$L48),"0"),1)="6",INDEX('Invullen groen'!$O:$O,$L48),IF(INDEX('Invullen groen'!$N:$N,$L48)&gt;0,INDEX('Invullen groen'!$G:$G,$L48),INDEX('Invullen groen'!$O:$O,$L48)))),"2024",""),"2025",""),"2026",""),"2027",""),"2028",""),"2029",""),"taakveld ",""),"installaties","inst"),"ruwbouw","ruwb"),"afbouw","afb"),"bijstelling","bijst"),"investeringen","invest")),""),")</f>
        <v/>
      </c>
      <c r="K48" s="524" t="n"/>
      <c r="L48" s="234">
        <f>IFERROR(MATCH(ROW()-4,'Invullen groen'!$P$17:$P$109,0)+16,0)</f>
        <v/>
      </c>
      <c r="M48" s="234" t="n"/>
      <c r="N48" s="234" t="n"/>
    </row>
    <row r="49" hidden="1" ht="15" customHeight="1">
      <c r="A49" s="522">
        <f>IFERROR(IF($L49&gt;0,INDEX('Invullen groen'!$E:$E,$L49),""),"")</f>
        <v/>
      </c>
      <c r="B49" s="522">
        <f>IFERROR(IF($L49&gt;0,IF(INDEX('Invullen groen'!$F:$F,$L49)&gt;0,INDEX('Invullen groen'!$F:$F,$L49),""),""),"")</f>
        <v/>
      </c>
      <c r="C49" s="522">
        <f>IFERROR(IF($L49&gt;0,IF(INDEX('Invullen groen'!$N:$N,$L49)&gt;0,INDEX('Invullen groen'!$N:$N,$L49),""),""),"")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IFERROR(IF($L49&gt;0,IF(INDEX('Invullen groen'!$H:$H,$L49)=0,"",INT(INDEX('Invullen groen'!$H:$H,$L49))),""),"")</f>
        <v/>
      </c>
      <c r="G49" s="523">
        <f>IFERROR(IF($L49&gt;0,IF(INDEX('Invullen groen'!$I:$I,$L49)=0,"",INT(INDEX('Invullen groen'!$I:$I,$L49))),""),"")</f>
        <v/>
      </c>
      <c r="H49" s="523">
        <f>IFERROR(IF($L49&gt;0,IF(INDEX('Invullen groen'!$J:$J,$L49)=0,"",INT(INDEX('Invullen groen'!$J:$J,$L49))),""),"")</f>
        <v/>
      </c>
      <c r="I49" s="523">
        <f>IFERROR(IF($L49&gt;0,IF(INDEX('Invullen groen'!$K:$K,$L49)=0,"",INT(INDEX('Invullen groen'!$K:$K,$L49))),""),"")</f>
        <v/>
      </c>
      <c r="J49" s="522">
        <f>IF($L49&gt;0,IFERROR($K$1&amp;" "&amp;TRIM(SUBSTITUTE(SUBSTITUTE(SUBSTITUTE(SUBSTITUTE(SUBSTITUTE(SUBSTITUTE(SUBSTITUTE(SUBSTITUTE(SUBSTITUTE(SUBSTITUTE(SUBSTITUTE(SUBSTITUTE(LOWER(IF(LEFT(TEXT(INDEX('Invullen groen'!$E:$E,$L49),"0"),1)="6",INDEX('Invullen groen'!$O:$O,$L49),IF(INDEX('Invullen groen'!$N:$N,$L49)&gt;0,INDEX('Invullen groen'!$G:$G,$L49),INDEX('Invullen groen'!$O:$O,$L49)))),"2024",""),"2025",""),"2026",""),"2027",""),"2028",""),"2029",""),"taakveld ",""),"installaties","inst"),"ruwbouw","ruwb"),"afbouw","afb"),"bijstelling","bijst"),"investeringen","invest")),""),")</f>
        <v/>
      </c>
      <c r="K49" s="522" t="n"/>
      <c r="L49" s="234">
        <f>IFERROR(MATCH(ROW()-4,'Invullen groen'!$P$17:$P$109,0)+16,0)</f>
        <v/>
      </c>
      <c r="M49" s="234" t="n"/>
      <c r="N49" s="234" t="n"/>
    </row>
    <row r="50" hidden="1" ht="15" customHeight="1">
      <c r="A50" s="524">
        <f>IFERROR(IF($L50&gt;0,INDEX('Invullen groen'!$E:$E,$L50),""),"")</f>
        <v/>
      </c>
      <c r="B50" s="524">
        <f>IFERROR(IF($L50&gt;0,IF(INDEX('Invullen groen'!$F:$F,$L50)&gt;0,INDEX('Invullen groen'!$F:$F,$L50),""),""),"")</f>
        <v/>
      </c>
      <c r="C50" s="524">
        <f>IFERROR(IF($L50&gt;0,IF(INDEX('Invullen groen'!$N:$N,$L50)&gt;0,INDEX('Invullen groen'!$N:$N,$L50),""),""),"")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IFERROR(IF($L50&gt;0,IF(INDEX('Invullen groen'!$H:$H,$L50)=0,"",INT(INDEX('Invullen groen'!$H:$H,$L50))),""),"")</f>
        <v/>
      </c>
      <c r="G50" s="525">
        <f>IFERROR(IF($L50&gt;0,IF(INDEX('Invullen groen'!$I:$I,$L50)=0,"",INT(INDEX('Invullen groen'!$I:$I,$L50))),""),"")</f>
        <v/>
      </c>
      <c r="H50" s="525">
        <f>IFERROR(IF($L50&gt;0,IF(INDEX('Invullen groen'!$J:$J,$L50)=0,"",INT(INDEX('Invullen groen'!$J:$J,$L50))),""),"")</f>
        <v/>
      </c>
      <c r="I50" s="525">
        <f>IFERROR(IF($L50&gt;0,IF(INDEX('Invullen groen'!$K:$K,$L50)=0,"",INT(INDEX('Invullen groen'!$K:$K,$L50))),""),"")</f>
        <v/>
      </c>
      <c r="J50" s="524">
        <f>IF($L50&gt;0,IFERROR($K$1&amp;" "&amp;TRIM(SUBSTITUTE(SUBSTITUTE(SUBSTITUTE(SUBSTITUTE(SUBSTITUTE(SUBSTITUTE(SUBSTITUTE(SUBSTITUTE(SUBSTITUTE(SUBSTITUTE(SUBSTITUTE(SUBSTITUTE(LOWER(IF(LEFT(TEXT(INDEX('Invullen groen'!$E:$E,$L50),"0"),1)="6",INDEX('Invullen groen'!$O:$O,$L50),IF(INDEX('Invullen groen'!$N:$N,$L50)&gt;0,INDEX('Invullen groen'!$G:$G,$L50),INDEX('Invullen groen'!$O:$O,$L50)))),"2024",""),"2025",""),"2026",""),"2027",""),"2028",""),"2029",""),"taakveld ",""),"installaties","inst"),"ruwbouw","ruwb"),"afbouw","afb"),"bijstelling","bijst"),"investeringen","invest")),""),")</f>
        <v/>
      </c>
      <c r="K50" s="524" t="n"/>
      <c r="L50" s="234">
        <f>IFERROR(MATCH(ROW()-4,'Invullen groen'!$P$17:$P$109,0)+16,0)</f>
        <v/>
      </c>
      <c r="M50" s="234" t="n"/>
      <c r="N50" s="234" t="n"/>
    </row>
    <row r="51" hidden="1" ht="15" customHeight="1">
      <c r="A51" s="522">
        <f>IFERROR(IF($L51&gt;0,INDEX('Invullen groen'!$E:$E,$L51),""),"")</f>
        <v/>
      </c>
      <c r="B51" s="522">
        <f>IFERROR(IF($L51&gt;0,IF(INDEX('Invullen groen'!$F:$F,$L51)&gt;0,INDEX('Invullen groen'!$F:$F,$L51),""),""),"")</f>
        <v/>
      </c>
      <c r="C51" s="522">
        <f>IFERROR(IF($L51&gt;0,IF(INDEX('Invullen groen'!$N:$N,$L51)&gt;0,INDEX('Invullen groen'!$N:$N,$L51),""),""),"")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IFERROR(IF($L51&gt;0,IF(INDEX('Invullen groen'!$H:$H,$L51)=0,"",INT(INDEX('Invullen groen'!$H:$H,$L51))),""),"")</f>
        <v/>
      </c>
      <c r="G51" s="523">
        <f>IFERROR(IF($L51&gt;0,IF(INDEX('Invullen groen'!$I:$I,$L51)=0,"",INT(INDEX('Invullen groen'!$I:$I,$L51))),""),"")</f>
        <v/>
      </c>
      <c r="H51" s="523">
        <f>IFERROR(IF($L51&gt;0,IF(INDEX('Invullen groen'!$J:$J,$L51)=0,"",INT(INDEX('Invullen groen'!$J:$J,$L51))),""),"")</f>
        <v/>
      </c>
      <c r="I51" s="523">
        <f>IFERROR(IF($L51&gt;0,IF(INDEX('Invullen groen'!$K:$K,$L51)=0,"",INT(INDEX('Invullen groen'!$K:$K,$L51))),""),"")</f>
        <v/>
      </c>
      <c r="J51" s="522">
        <f>IF($L51&gt;0,IFERROR($K$1&amp;" "&amp;TRIM(SUBSTITUTE(SUBSTITUTE(SUBSTITUTE(SUBSTITUTE(SUBSTITUTE(SUBSTITUTE(SUBSTITUTE(SUBSTITUTE(SUBSTITUTE(SUBSTITUTE(SUBSTITUTE(SUBSTITUTE(LOWER(IF(LEFT(TEXT(INDEX('Invullen groen'!$E:$E,$L51),"0"),1)="6",INDEX('Invullen groen'!$O:$O,$L51),IF(INDEX('Invullen groen'!$N:$N,$L51)&gt;0,INDEX('Invullen groen'!$G:$G,$L51),INDEX('Invullen groen'!$O:$O,$L51)))),"2024",""),"2025",""),"2026",""),"2027",""),"2028",""),"2029",""),"taakveld ",""),"installaties","inst"),"ruwbouw","ruwb"),"afbouw","afb"),"bijstelling","bijst"),"investeringen","invest")),""),")</f>
        <v/>
      </c>
      <c r="K51" s="522" t="n"/>
      <c r="L51" s="234">
        <f>IFERROR(MATCH(ROW()-4,'Invullen groen'!$P$17:$P$109,0)+16,0)</f>
        <v/>
      </c>
      <c r="M51" s="234" t="n"/>
      <c r="N51" s="234" t="n"/>
    </row>
    <row r="52" hidden="1" ht="15" customHeight="1">
      <c r="A52" s="524">
        <f>IFERROR(IF($L52&gt;0,INDEX('Invullen groen'!$E:$E,$L52),""),"")</f>
        <v/>
      </c>
      <c r="B52" s="524">
        <f>IFERROR(IF($L52&gt;0,IF(INDEX('Invullen groen'!$F:$F,$L52)&gt;0,INDEX('Invullen groen'!$F:$F,$L52),""),""),"")</f>
        <v/>
      </c>
      <c r="C52" s="524">
        <f>IFERROR(IF($L52&gt;0,IF(INDEX('Invullen groen'!$N:$N,$L52)&gt;0,INDEX('Invullen groen'!$N:$N,$L52),""),""),"")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IFERROR(IF($L52&gt;0,IF(INDEX('Invullen groen'!$H:$H,$L52)=0,"",INT(INDEX('Invullen groen'!$H:$H,$L52))),""),"")</f>
        <v/>
      </c>
      <c r="G52" s="525">
        <f>IFERROR(IF($L52&gt;0,IF(INDEX('Invullen groen'!$I:$I,$L52)=0,"",INT(INDEX('Invullen groen'!$I:$I,$L52))),""),"")</f>
        <v/>
      </c>
      <c r="H52" s="525">
        <f>IFERROR(IF($L52&gt;0,IF(INDEX('Invullen groen'!$J:$J,$L52)=0,"",INT(INDEX('Invullen groen'!$J:$J,$L52))),""),"")</f>
        <v/>
      </c>
      <c r="I52" s="525">
        <f>IFERROR(IF($L52&gt;0,IF(INDEX('Invullen groen'!$K:$K,$L52)=0,"",INT(INDEX('Invullen groen'!$K:$K,$L52))),""),"")</f>
        <v/>
      </c>
      <c r="J52" s="524">
        <f>IF($L52&gt;0,IFERROR($K$1&amp;" "&amp;TRIM(SUBSTITUTE(SUBSTITUTE(SUBSTITUTE(SUBSTITUTE(SUBSTITUTE(SUBSTITUTE(SUBSTITUTE(SUBSTITUTE(SUBSTITUTE(SUBSTITUTE(SUBSTITUTE(SUBSTITUTE(LOWER(IF(LEFT(TEXT(INDEX('Invullen groen'!$E:$E,$L52),"0"),1)="6",INDEX('Invullen groen'!$O:$O,$L52),IF(INDEX('Invullen groen'!$N:$N,$L52)&gt;0,INDEX('Invullen groen'!$G:$G,$L52),INDEX('Invullen groen'!$O:$O,$L52)))),"2024",""),"2025",""),"2026",""),"2027",""),"2028",""),"2029",""),"taakveld ",""),"installaties","inst"),"ruwbouw","ruwb"),"afbouw","afb"),"bijstelling","bijst"),"investeringen","invest")),""),")</f>
        <v/>
      </c>
      <c r="K52" s="524" t="n"/>
      <c r="L52" s="234">
        <f>IFERROR(MATCH(ROW()-4,'Invullen groen'!$P$17:$P$109,0)+16,0)</f>
        <v/>
      </c>
      <c r="M52" s="234" t="n"/>
      <c r="N52" s="234" t="n"/>
    </row>
    <row r="53" hidden="1" ht="15" customHeight="1">
      <c r="A53" s="522">
        <f>IFERROR(IF($L53&gt;0,INDEX('Invullen groen'!$E:$E,$L53),""),"")</f>
        <v/>
      </c>
      <c r="B53" s="522">
        <f>IFERROR(IF($L53&gt;0,IF(INDEX('Invullen groen'!$F:$F,$L53)&gt;0,INDEX('Invullen groen'!$F:$F,$L53),""),""),"")</f>
        <v/>
      </c>
      <c r="C53" s="522">
        <f>IFERROR(IF($L53&gt;0,IF(INDEX('Invullen groen'!$N:$N,$L53)&gt;0,INDEX('Invullen groen'!$N:$N,$L53),""),""),"")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IFERROR(IF($L53&gt;0,IF(INDEX('Invullen groen'!$H:$H,$L53)=0,"",INT(INDEX('Invullen groen'!$H:$H,$L53))),""),"")</f>
        <v/>
      </c>
      <c r="G53" s="523">
        <f>IFERROR(IF($L53&gt;0,IF(INDEX('Invullen groen'!$I:$I,$L53)=0,"",INT(INDEX('Invullen groen'!$I:$I,$L53))),""),"")</f>
        <v/>
      </c>
      <c r="H53" s="523">
        <f>IFERROR(IF($L53&gt;0,IF(INDEX('Invullen groen'!$J:$J,$L53)=0,"",INT(INDEX('Invullen groen'!$J:$J,$L53))),""),"")</f>
        <v/>
      </c>
      <c r="I53" s="523">
        <f>IFERROR(IF($L53&gt;0,IF(INDEX('Invullen groen'!$K:$K,$L53)=0,"",INT(INDEX('Invullen groen'!$K:$K,$L53))),""),"")</f>
        <v/>
      </c>
      <c r="J53" s="522">
        <f>IF($L53&gt;0,IFERROR($K$1&amp;" "&amp;TRIM(SUBSTITUTE(SUBSTITUTE(SUBSTITUTE(SUBSTITUTE(SUBSTITUTE(SUBSTITUTE(SUBSTITUTE(SUBSTITUTE(SUBSTITUTE(SUBSTITUTE(SUBSTITUTE(SUBSTITUTE(LOWER(IF(LEFT(TEXT(INDEX('Invullen groen'!$E:$E,$L53),"0"),1)="6",INDEX('Invullen groen'!$O:$O,$L53),IF(INDEX('Invullen groen'!$N:$N,$L53)&gt;0,INDEX('Invullen groen'!$G:$G,$L53),INDEX('Invullen groen'!$O:$O,$L53)))),"2024",""),"2025",""),"2026",""),"2027",""),"2028",""),"2029",""),"taakveld ",""),"installaties","inst"),"ruwbouw","ruwb"),"afbouw","afb"),"bijstelling","bijst"),"investeringen","invest")),""),")</f>
        <v/>
      </c>
      <c r="K53" s="522" t="n"/>
      <c r="L53" s="234">
        <f>IFERROR(MATCH(ROW()-4,'Invullen groen'!$P$17:$P$109,0)+16,0)</f>
        <v/>
      </c>
      <c r="M53" s="234" t="n"/>
      <c r="N53" s="234" t="n"/>
    </row>
    <row r="54" hidden="1" ht="15" customHeight="1">
      <c r="A54" s="524">
        <f>IFERROR(IF($L54&gt;0,INDEX('Invullen groen'!$E:$E,$L54),""),"")</f>
        <v/>
      </c>
      <c r="B54" s="524">
        <f>IFERROR(IF($L54&gt;0,IF(INDEX('Invullen groen'!$F:$F,$L54)&gt;0,INDEX('Invullen groen'!$F:$F,$L54),""),""),"")</f>
        <v/>
      </c>
      <c r="C54" s="524">
        <f>IFERROR(IF($L54&gt;0,IF(INDEX('Invullen groen'!$N:$N,$L54)&gt;0,INDEX('Invullen groen'!$N:$N,$L54),""),""),"")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IFERROR(IF($L54&gt;0,IF(INDEX('Invullen groen'!$H:$H,$L54)=0,"",INT(INDEX('Invullen groen'!$H:$H,$L54))),""),"")</f>
        <v/>
      </c>
      <c r="G54" s="525">
        <f>IFERROR(IF($L54&gt;0,IF(INDEX('Invullen groen'!$I:$I,$L54)=0,"",INT(INDEX('Invullen groen'!$I:$I,$L54))),""),"")</f>
        <v/>
      </c>
      <c r="H54" s="525">
        <f>IFERROR(IF($L54&gt;0,IF(INDEX('Invullen groen'!$J:$J,$L54)=0,"",INT(INDEX('Invullen groen'!$J:$J,$L54))),""),"")</f>
        <v/>
      </c>
      <c r="I54" s="525">
        <f>IFERROR(IF($L54&gt;0,IF(INDEX('Invullen groen'!$K:$K,$L54)=0,"",INT(INDEX('Invullen groen'!$K:$K,$L54))),""),"")</f>
        <v/>
      </c>
      <c r="J54" s="524">
        <f>IF($L54&gt;0,IFERROR($K$1&amp;" "&amp;TRIM(SUBSTITUTE(SUBSTITUTE(SUBSTITUTE(SUBSTITUTE(SUBSTITUTE(SUBSTITUTE(SUBSTITUTE(SUBSTITUTE(SUBSTITUTE(SUBSTITUTE(SUBSTITUTE(SUBSTITUTE(LOWER(IF(LEFT(TEXT(INDEX('Invullen groen'!$E:$E,$L54),"0"),1)="6",INDEX('Invullen groen'!$O:$O,$L54),IF(INDEX('Invullen groen'!$N:$N,$L54)&gt;0,INDEX('Invullen groen'!$G:$G,$L54),INDEX('Invullen groen'!$O:$O,$L54)))),"2024",""),"2025",""),"2026",""),"2027",""),"2028",""),"2029",""),"taakveld ",""),"installaties","inst"),"ruwbouw","ruwb"),"afbouw","afb"),"bijstelling","bijst"),"investeringen","invest")),""),")</f>
        <v/>
      </c>
      <c r="K54" s="524" t="n"/>
      <c r="L54" s="234">
        <f>IFERROR(MATCH(ROW()-4,'Invullen groen'!$P$17:$P$109,0)+16,0)</f>
        <v/>
      </c>
      <c r="M54" s="234" t="n"/>
      <c r="N54" s="234" t="n"/>
    </row>
    <row r="55" hidden="1" ht="15" customHeight="1">
      <c r="A55" s="522">
        <f>IFERROR(IF($L55&gt;0,INDEX('Invullen groen'!$E:$E,$L55),""),"")</f>
        <v/>
      </c>
      <c r="B55" s="522">
        <f>IFERROR(IF($L55&gt;0,IF(INDEX('Invullen groen'!$F:$F,$L55)&gt;0,INDEX('Invullen groen'!$F:$F,$L55),""),""),"")</f>
        <v/>
      </c>
      <c r="C55" s="522">
        <f>IFERROR(IF($L55&gt;0,IF(INDEX('Invullen groen'!$N:$N,$L55)&gt;0,INDEX('Invullen groen'!$N:$N,$L55),""),""),"")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IFERROR(IF($L55&gt;0,IF(INDEX('Invullen groen'!$H:$H,$L55)=0,"",INT(INDEX('Invullen groen'!$H:$H,$L55))),""),"")</f>
        <v/>
      </c>
      <c r="G55" s="523">
        <f>IFERROR(IF($L55&gt;0,IF(INDEX('Invullen groen'!$I:$I,$L55)=0,"",INT(INDEX('Invullen groen'!$I:$I,$L55))),""),"")</f>
        <v/>
      </c>
      <c r="H55" s="523">
        <f>IFERROR(IF($L55&gt;0,IF(INDEX('Invullen groen'!$J:$J,$L55)=0,"",INT(INDEX('Invullen groen'!$J:$J,$L55))),""),"")</f>
        <v/>
      </c>
      <c r="I55" s="523">
        <f>IFERROR(IF($L55&gt;0,IF(INDEX('Invullen groen'!$K:$K,$L55)=0,"",INT(INDEX('Invullen groen'!$K:$K,$L55))),""),"")</f>
        <v/>
      </c>
      <c r="J55" s="522">
        <f>IF($L55&gt;0,IFERROR($K$1&amp;" "&amp;TRIM(SUBSTITUTE(SUBSTITUTE(SUBSTITUTE(SUBSTITUTE(SUBSTITUTE(SUBSTITUTE(SUBSTITUTE(SUBSTITUTE(SUBSTITUTE(SUBSTITUTE(SUBSTITUTE(SUBSTITUTE(LOWER(IF(LEFT(TEXT(INDEX('Invullen groen'!$E:$E,$L55),"0"),1)="6",INDEX('Invullen groen'!$O:$O,$L55),IF(INDEX('Invullen groen'!$N:$N,$L55)&gt;0,INDEX('Invullen groen'!$G:$G,$L55),INDEX('Invullen groen'!$O:$O,$L55)))),"2024",""),"2025",""),"2026",""),"2027",""),"2028",""),"2029",""),"taakveld ",""),"installaties","inst"),"ruwbouw","ruwb"),"afbouw","afb"),"bijstelling","bijst"),"investeringen","invest")),""),")</f>
        <v/>
      </c>
      <c r="K55" s="522" t="n"/>
      <c r="L55" s="234">
        <f>IFERROR(MATCH(ROW()-4,'Invullen groen'!$P$17:$P$109,0)+16,0)</f>
        <v/>
      </c>
      <c r="M55" s="234" t="n"/>
      <c r="N55" s="234" t="n"/>
    </row>
    <row r="56" hidden="1" ht="15" customHeight="1">
      <c r="A56" s="524">
        <f>IFERROR(IF($L56&gt;0,INDEX('Invullen groen'!$E:$E,$L56),""),"")</f>
        <v/>
      </c>
      <c r="B56" s="524">
        <f>IFERROR(IF($L56&gt;0,IF(INDEX('Invullen groen'!$F:$F,$L56)&gt;0,INDEX('Invullen groen'!$F:$F,$L56),""),""),"")</f>
        <v/>
      </c>
      <c r="C56" s="524">
        <f>IFERROR(IF($L56&gt;0,IF(INDEX('Invullen groen'!$N:$N,$L56)&gt;0,INDEX('Invullen groen'!$N:$N,$L56),""),""),"")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IFERROR(IF($L56&gt;0,IF(INDEX('Invullen groen'!$H:$H,$L56)=0,"",INT(INDEX('Invullen groen'!$H:$H,$L56))),""),"")</f>
        <v/>
      </c>
      <c r="G56" s="525">
        <f>IFERROR(IF($L56&gt;0,IF(INDEX('Invullen groen'!$I:$I,$L56)=0,"",INT(INDEX('Invullen groen'!$I:$I,$L56))),""),"")</f>
        <v/>
      </c>
      <c r="H56" s="525">
        <f>IFERROR(IF($L56&gt;0,IF(INDEX('Invullen groen'!$J:$J,$L56)=0,"",INT(INDEX('Invullen groen'!$J:$J,$L56))),""),"")</f>
        <v/>
      </c>
      <c r="I56" s="525">
        <f>IFERROR(IF($L56&gt;0,IF(INDEX('Invullen groen'!$K:$K,$L56)=0,"",INT(INDEX('Invullen groen'!$K:$K,$L56))),""),"")</f>
        <v/>
      </c>
      <c r="J56" s="524">
        <f>IF($L56&gt;0,IFERROR($K$1&amp;" "&amp;TRIM(SUBSTITUTE(SUBSTITUTE(SUBSTITUTE(SUBSTITUTE(SUBSTITUTE(SUBSTITUTE(SUBSTITUTE(SUBSTITUTE(SUBSTITUTE(SUBSTITUTE(SUBSTITUTE(SUBSTITUTE(LOWER(IF(LEFT(TEXT(INDEX('Invullen groen'!$E:$E,$L56),"0"),1)="6",INDEX('Invullen groen'!$O:$O,$L56),IF(INDEX('Invullen groen'!$N:$N,$L56)&gt;0,INDEX('Invullen groen'!$G:$G,$L56),INDEX('Invullen groen'!$O:$O,$L56)))),"2024",""),"2025",""),"2026",""),"2027",""),"2028",""),"2029",""),"taakveld ",""),"installaties","inst"),"ruwbouw","ruwb"),"afbouw","afb"),"bijstelling","bijst"),"investeringen","invest")),""),")</f>
        <v/>
      </c>
      <c r="K56" s="524" t="n"/>
      <c r="L56" s="234">
        <f>IFERROR(MATCH(ROW()-4,'Invullen groen'!$P$17:$P$109,0)+16,0)</f>
        <v/>
      </c>
      <c r="M56" s="234" t="n"/>
      <c r="N56" s="234" t="n"/>
    </row>
    <row r="57" hidden="1" ht="15" customHeight="1">
      <c r="A57" s="522">
        <f>IFERROR(IF($L57&gt;0,INDEX('Invullen groen'!$E:$E,$L57),""),"")</f>
        <v/>
      </c>
      <c r="B57" s="522">
        <f>IFERROR(IF($L57&gt;0,IF(INDEX('Invullen groen'!$F:$F,$L57)&gt;0,INDEX('Invullen groen'!$F:$F,$L57),""),""),"")</f>
        <v/>
      </c>
      <c r="C57" s="522">
        <f>IFERROR(IF($L57&gt;0,IF(INDEX('Invullen groen'!$N:$N,$L57)&gt;0,INDEX('Invullen groen'!$N:$N,$L57),""),""),"")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IFERROR(IF($L57&gt;0,IF(INDEX('Invullen groen'!$H:$H,$L57)=0,"",INT(INDEX('Invullen groen'!$H:$H,$L57))),""),"")</f>
        <v/>
      </c>
      <c r="G57" s="523">
        <f>IFERROR(IF($L57&gt;0,IF(INDEX('Invullen groen'!$I:$I,$L57)=0,"",INT(INDEX('Invullen groen'!$I:$I,$L57))),""),"")</f>
        <v/>
      </c>
      <c r="H57" s="523">
        <f>IFERROR(IF($L57&gt;0,IF(INDEX('Invullen groen'!$J:$J,$L57)=0,"",INT(INDEX('Invullen groen'!$J:$J,$L57))),""),"")</f>
        <v/>
      </c>
      <c r="I57" s="523">
        <f>IFERROR(IF($L57&gt;0,IF(INDEX('Invullen groen'!$K:$K,$L57)=0,"",INT(INDEX('Invullen groen'!$K:$K,$L57))),""),"")</f>
        <v/>
      </c>
      <c r="J57" s="522">
        <f>IF($L57&gt;0,IFERROR($K$1&amp;" "&amp;TRIM(SUBSTITUTE(SUBSTITUTE(SUBSTITUTE(SUBSTITUTE(SUBSTITUTE(SUBSTITUTE(SUBSTITUTE(SUBSTITUTE(SUBSTITUTE(SUBSTITUTE(SUBSTITUTE(SUBSTITUTE(LOWER(IF(LEFT(TEXT(INDEX('Invullen groen'!$E:$E,$L57),"0"),1)="6",INDEX('Invullen groen'!$O:$O,$L57),IF(INDEX('Invullen groen'!$N:$N,$L57)&gt;0,INDEX('Invullen groen'!$G:$G,$L57),INDEX('Invullen groen'!$O:$O,$L57)))),"2024",""),"2025",""),"2026",""),"2027",""),"2028",""),"2029",""),"taakveld ",""),"installaties","inst"),"ruwbouw","ruwb"),"afbouw","afb"),"bijstelling","bijst"),"investeringen","invest")),""),")</f>
        <v/>
      </c>
      <c r="K57" s="522" t="n"/>
      <c r="L57" s="234">
        <f>IFERROR(MATCH(ROW()-4,'Invullen groen'!$P$17:$P$109,0)+16,0)</f>
        <v/>
      </c>
      <c r="M57" s="234" t="n"/>
      <c r="N57" s="234" t="n"/>
    </row>
    <row r="58" hidden="1" ht="15" customHeight="1">
      <c r="A58" s="524">
        <f>IFERROR(IF($L58&gt;0,INDEX('Invullen groen'!$E:$E,$L58),""),"")</f>
        <v/>
      </c>
      <c r="B58" s="524">
        <f>IFERROR(IF($L58&gt;0,IF(INDEX('Invullen groen'!$F:$F,$L58)&gt;0,INDEX('Invullen groen'!$F:$F,$L58),""),""),"")</f>
        <v/>
      </c>
      <c r="C58" s="524">
        <f>IFERROR(IF($L58&gt;0,IF(INDEX('Invullen groen'!$N:$N,$L58)&gt;0,INDEX('Invullen groen'!$N:$N,$L58),""),""),"")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IFERROR(IF($L58&gt;0,IF(INDEX('Invullen groen'!$H:$H,$L58)=0,"",INT(INDEX('Invullen groen'!$H:$H,$L58))),""),"")</f>
        <v/>
      </c>
      <c r="G58" s="525">
        <f>IFERROR(IF($L58&gt;0,IF(INDEX('Invullen groen'!$I:$I,$L58)=0,"",INT(INDEX('Invullen groen'!$I:$I,$L58))),""),"")</f>
        <v/>
      </c>
      <c r="H58" s="525">
        <f>IFERROR(IF($L58&gt;0,IF(INDEX('Invullen groen'!$J:$J,$L58)=0,"",INT(INDEX('Invullen groen'!$J:$J,$L58))),""),"")</f>
        <v/>
      </c>
      <c r="I58" s="525">
        <f>IFERROR(IF($L58&gt;0,IF(INDEX('Invullen groen'!$K:$K,$L58)=0,"",INT(INDEX('Invullen groen'!$K:$K,$L58))),""),"")</f>
        <v/>
      </c>
      <c r="J58" s="524">
        <f>IF($L58&gt;0,IFERROR($K$1&amp;" "&amp;TRIM(SUBSTITUTE(SUBSTITUTE(SUBSTITUTE(SUBSTITUTE(SUBSTITUTE(SUBSTITUTE(SUBSTITUTE(SUBSTITUTE(SUBSTITUTE(SUBSTITUTE(SUBSTITUTE(SUBSTITUTE(LOWER(IF(LEFT(TEXT(INDEX('Invullen groen'!$E:$E,$L58),"0"),1)="6",INDEX('Invullen groen'!$O:$O,$L58),IF(INDEX('Invullen groen'!$N:$N,$L58)&gt;0,INDEX('Invullen groen'!$G:$G,$L58),INDEX('Invullen groen'!$O:$O,$L58)))),"2024",""),"2025",""),"2026",""),"2027",""),"2028",""),"2029",""),"taakveld ",""),"installaties","inst"),"ruwbouw","ruwb"),"afbouw","afb"),"bijstelling","bijst"),"investeringen","invest")),""),")</f>
        <v/>
      </c>
      <c r="K58" s="524" t="n"/>
      <c r="L58" s="234">
        <f>IFERROR(MATCH(ROW()-4,'Invullen groen'!$P$17:$P$109,0)+16,0)</f>
        <v/>
      </c>
      <c r="M58" s="234" t="n"/>
      <c r="N58" s="234" t="n"/>
    </row>
    <row r="59" hidden="1" ht="15" customHeight="1">
      <c r="A59" s="522">
        <f>IFERROR(IF($L59&gt;0,INDEX('Invullen groen'!$E:$E,$L59),""),"")</f>
        <v/>
      </c>
      <c r="B59" s="522">
        <f>IFERROR(IF($L59&gt;0,IF(INDEX('Invullen groen'!$F:$F,$L59)&gt;0,INDEX('Invullen groen'!$F:$F,$L59),""),""),"")</f>
        <v/>
      </c>
      <c r="C59" s="522">
        <f>IFERROR(IF($L59&gt;0,IF(INDEX('Invullen groen'!$N:$N,$L59)&gt;0,INDEX('Invullen groen'!$N:$N,$L59),""),""),"")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IFERROR(IF($L59&gt;0,IF(INDEX('Invullen groen'!$H:$H,$L59)=0,"",INT(INDEX('Invullen groen'!$H:$H,$L59))),""),"")</f>
        <v/>
      </c>
      <c r="G59" s="523">
        <f>IFERROR(IF($L59&gt;0,IF(INDEX('Invullen groen'!$I:$I,$L59)=0,"",INT(INDEX('Invullen groen'!$I:$I,$L59))),""),"")</f>
        <v/>
      </c>
      <c r="H59" s="523">
        <f>IFERROR(IF($L59&gt;0,IF(INDEX('Invullen groen'!$J:$J,$L59)=0,"",INT(INDEX('Invullen groen'!$J:$J,$L59))),""),"")</f>
        <v/>
      </c>
      <c r="I59" s="523">
        <f>IFERROR(IF($L59&gt;0,IF(INDEX('Invullen groen'!$K:$K,$L59)=0,"",INT(INDEX('Invullen groen'!$K:$K,$L59))),""),"")</f>
        <v/>
      </c>
      <c r="J59" s="522">
        <f>IF($L59&gt;0,IFERROR($K$1&amp;" "&amp;TRIM(SUBSTITUTE(SUBSTITUTE(SUBSTITUTE(SUBSTITUTE(SUBSTITUTE(SUBSTITUTE(SUBSTITUTE(SUBSTITUTE(SUBSTITUTE(SUBSTITUTE(SUBSTITUTE(SUBSTITUTE(LOWER(IF(LEFT(TEXT(INDEX('Invullen groen'!$E:$E,$L59),"0"),1)="6",INDEX('Invullen groen'!$O:$O,$L59),IF(INDEX('Invullen groen'!$N:$N,$L59)&gt;0,INDEX('Invullen groen'!$G:$G,$L59),INDEX('Invullen groen'!$O:$O,$L59)))),"2024",""),"2025",""),"2026",""),"2027",""),"2028",""),"2029",""),"taakveld ",""),"installaties","inst"),"ruwbouw","ruwb"),"afbouw","afb"),"bijstelling","bijst"),"investeringen","invest")),""),")</f>
        <v/>
      </c>
      <c r="K59" s="522" t="n"/>
      <c r="L59" s="234">
        <f>IFERROR(MATCH(ROW()-4,'Invullen groen'!$P$17:$P$109,0)+16,0)</f>
        <v/>
      </c>
      <c r="M59" s="234" t="n"/>
      <c r="N59" s="234" t="n"/>
    </row>
    <row r="60" hidden="1" ht="15" customHeight="1">
      <c r="A60" s="524">
        <f>IFERROR(IF($L60&gt;0,INDEX('Invullen groen'!$E:$E,$L60),""),"")</f>
        <v/>
      </c>
      <c r="B60" s="524">
        <f>IFERROR(IF($L60&gt;0,IF(INDEX('Invullen groen'!$F:$F,$L60)&gt;0,INDEX('Invullen groen'!$F:$F,$L60),""),""),"")</f>
        <v/>
      </c>
      <c r="C60" s="524">
        <f>IFERROR(IF($L60&gt;0,IF(INDEX('Invullen groen'!$N:$N,$L60)&gt;0,INDEX('Invullen groen'!$N:$N,$L60),""),""),"")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IFERROR(IF($L60&gt;0,IF(INDEX('Invullen groen'!$H:$H,$L60)=0,"",INT(INDEX('Invullen groen'!$H:$H,$L60))),""),"")</f>
        <v/>
      </c>
      <c r="G60" s="525">
        <f>IFERROR(IF($L60&gt;0,IF(INDEX('Invullen groen'!$I:$I,$L60)=0,"",INT(INDEX('Invullen groen'!$I:$I,$L60))),""),"")</f>
        <v/>
      </c>
      <c r="H60" s="525">
        <f>IFERROR(IF($L60&gt;0,IF(INDEX('Invullen groen'!$J:$J,$L60)=0,"",INT(INDEX('Invullen groen'!$J:$J,$L60))),""),"")</f>
        <v/>
      </c>
      <c r="I60" s="525">
        <f>IFERROR(IF($L60&gt;0,IF(INDEX('Invullen groen'!$K:$K,$L60)=0,"",INT(INDEX('Invullen groen'!$K:$K,$L60))),""),"")</f>
        <v/>
      </c>
      <c r="J60" s="524">
        <f>IF($L60&gt;0,IFERROR($K$1&amp;" "&amp;TRIM(SUBSTITUTE(SUBSTITUTE(SUBSTITUTE(SUBSTITUTE(SUBSTITUTE(SUBSTITUTE(SUBSTITUTE(SUBSTITUTE(SUBSTITUTE(SUBSTITUTE(SUBSTITUTE(SUBSTITUTE(LOWER(IF(LEFT(TEXT(INDEX('Invullen groen'!$E:$E,$L60),"0"),1)="6",INDEX('Invullen groen'!$O:$O,$L60),IF(INDEX('Invullen groen'!$N:$N,$L60)&gt;0,INDEX('Invullen groen'!$G:$G,$L60),INDEX('Invullen groen'!$O:$O,$L60)))),"2024",""),"2025",""),"2026",""),"2027",""),"2028",""),"2029",""),"taakveld ",""),"installaties","inst"),"ruwbouw","ruwb"),"afbouw","afb"),"bijstelling","bijst"),"investeringen","invest")),""),")</f>
        <v/>
      </c>
      <c r="K60" s="524" t="n"/>
      <c r="L60" s="234">
        <f>IFERROR(MATCH(ROW()-4,'Invullen groen'!$P$17:$P$109,0)+16,0)</f>
        <v/>
      </c>
      <c r="M60" s="234" t="n"/>
      <c r="N60" s="234" t="n"/>
    </row>
    <row r="61" hidden="1" ht="15" customHeight="1">
      <c r="A61" s="522">
        <f>IFERROR(IF($L61&gt;0,INDEX('Invullen groen'!$E:$E,$L61),""),"")</f>
        <v/>
      </c>
      <c r="B61" s="522">
        <f>IFERROR(IF($L61&gt;0,IF(INDEX('Invullen groen'!$F:$F,$L61)&gt;0,INDEX('Invullen groen'!$F:$F,$L61),""),""),"")</f>
        <v/>
      </c>
      <c r="C61" s="522">
        <f>IFERROR(IF($L61&gt;0,IF(INDEX('Invullen groen'!$N:$N,$L61)&gt;0,INDEX('Invullen groen'!$N:$N,$L61),""),""),"")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IFERROR(IF($L61&gt;0,IF(INDEX('Invullen groen'!$H:$H,$L61)=0,"",INT(INDEX('Invullen groen'!$H:$H,$L61))),""),"")</f>
        <v/>
      </c>
      <c r="G61" s="523">
        <f>IFERROR(IF($L61&gt;0,IF(INDEX('Invullen groen'!$I:$I,$L61)=0,"",INT(INDEX('Invullen groen'!$I:$I,$L61))),""),"")</f>
        <v/>
      </c>
      <c r="H61" s="523">
        <f>IFERROR(IF($L61&gt;0,IF(INDEX('Invullen groen'!$J:$J,$L61)=0,"",INT(INDEX('Invullen groen'!$J:$J,$L61))),""),"")</f>
        <v/>
      </c>
      <c r="I61" s="523">
        <f>IFERROR(IF($L61&gt;0,IF(INDEX('Invullen groen'!$K:$K,$L61)=0,"",INT(INDEX('Invullen groen'!$K:$K,$L61))),""),"")</f>
        <v/>
      </c>
      <c r="J61" s="522">
        <f>IF($L61&gt;0,IFERROR($K$1&amp;" "&amp;TRIM(SUBSTITUTE(SUBSTITUTE(SUBSTITUTE(SUBSTITUTE(SUBSTITUTE(SUBSTITUTE(SUBSTITUTE(SUBSTITUTE(SUBSTITUTE(SUBSTITUTE(SUBSTITUTE(SUBSTITUTE(LOWER(IF(LEFT(TEXT(INDEX('Invullen groen'!$E:$E,$L61),"0"),1)="6",INDEX('Invullen groen'!$O:$O,$L61),IF(INDEX('Invullen groen'!$N:$N,$L61)&gt;0,INDEX('Invullen groen'!$G:$G,$L61),INDEX('Invullen groen'!$O:$O,$L61)))),"2024",""),"2025",""),"2026",""),"2027",""),"2028",""),"2029",""),"taakveld ",""),"installaties","inst"),"ruwbouw","ruwb"),"afbouw","afb"),"bijstelling","bijst"),"investeringen","invest")),""),")</f>
        <v/>
      </c>
      <c r="K61" s="522" t="n"/>
      <c r="L61" s="234">
        <f>IFERROR(MATCH(ROW()-4,'Invullen groen'!$P$17:$P$109,0)+16,0)</f>
        <v/>
      </c>
      <c r="M61" s="234" t="n"/>
      <c r="N61" s="234" t="n"/>
    </row>
    <row r="62" hidden="1" ht="15" customHeight="1">
      <c r="A62" s="524">
        <f>IFERROR(IF($L62&gt;0,INDEX('Invullen groen'!$E:$E,$L62),""),"")</f>
        <v/>
      </c>
      <c r="B62" s="524">
        <f>IFERROR(IF($L62&gt;0,IF(INDEX('Invullen groen'!$F:$F,$L62)&gt;0,INDEX('Invullen groen'!$F:$F,$L62),""),""),"")</f>
        <v/>
      </c>
      <c r="C62" s="524">
        <f>IFERROR(IF($L62&gt;0,IF(INDEX('Invullen groen'!$N:$N,$L62)&gt;0,INDEX('Invullen groen'!$N:$N,$L62),""),""),"")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IFERROR(IF($L62&gt;0,IF(INDEX('Invullen groen'!$H:$H,$L62)=0,"",INT(INDEX('Invullen groen'!$H:$H,$L62))),""),"")</f>
        <v/>
      </c>
      <c r="G62" s="525">
        <f>IFERROR(IF($L62&gt;0,IF(INDEX('Invullen groen'!$I:$I,$L62)=0,"",INT(INDEX('Invullen groen'!$I:$I,$L62))),""),"")</f>
        <v/>
      </c>
      <c r="H62" s="525">
        <f>IFERROR(IF($L62&gt;0,IF(INDEX('Invullen groen'!$J:$J,$L62)=0,"",INT(INDEX('Invullen groen'!$J:$J,$L62))),""),"")</f>
        <v/>
      </c>
      <c r="I62" s="525">
        <f>IFERROR(IF($L62&gt;0,IF(INDEX('Invullen groen'!$K:$K,$L62)=0,"",INT(INDEX('Invullen groen'!$K:$K,$L62))),""),"")</f>
        <v/>
      </c>
      <c r="J62" s="524">
        <f>IF($L62&gt;0,IFERROR($K$1&amp;" "&amp;TRIM(SUBSTITUTE(SUBSTITUTE(SUBSTITUTE(SUBSTITUTE(SUBSTITUTE(SUBSTITUTE(SUBSTITUTE(SUBSTITUTE(SUBSTITUTE(SUBSTITUTE(SUBSTITUTE(SUBSTITUTE(LOWER(IF(LEFT(TEXT(INDEX('Invullen groen'!$E:$E,$L62),"0"),1)="6",INDEX('Invullen groen'!$O:$O,$L62),IF(INDEX('Invullen groen'!$N:$N,$L62)&gt;0,INDEX('Invullen groen'!$G:$G,$L62),INDEX('Invullen groen'!$O:$O,$L62)))),"2024",""),"2025",""),"2026",""),"2027",""),"2028",""),"2029",""),"taakveld ",""),"installaties","inst"),"ruwbouw","ruwb"),"afbouw","afb"),"bijstelling","bijst"),"investeringen","invest")),""),")</f>
        <v/>
      </c>
      <c r="K62" s="524" t="n"/>
      <c r="L62" s="234">
        <f>IFERROR(MATCH(ROW()-4,'Invullen groen'!$P$17:$P$109,0)+16,0)</f>
        <v/>
      </c>
      <c r="M62" s="234" t="n"/>
      <c r="N62" s="234" t="n"/>
    </row>
    <row r="63" hidden="1" ht="15" customHeight="1">
      <c r="A63" s="522">
        <f>IFERROR(IF($L63&gt;0,INDEX('Invullen groen'!$E:$E,$L63),""),"")</f>
        <v/>
      </c>
      <c r="B63" s="522">
        <f>IFERROR(IF($L63&gt;0,IF(INDEX('Invullen groen'!$F:$F,$L63)&gt;0,INDEX('Invullen groen'!$F:$F,$L63),""),""),"")</f>
        <v/>
      </c>
      <c r="C63" s="522">
        <f>IFERROR(IF($L63&gt;0,IF(INDEX('Invullen groen'!$N:$N,$L63)&gt;0,INDEX('Invullen groen'!$N:$N,$L63),""),""),"")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IFERROR(IF($L63&gt;0,IF(INDEX('Invullen groen'!$H:$H,$L63)=0,"",INT(INDEX('Invullen groen'!$H:$H,$L63))),""),"")</f>
        <v/>
      </c>
      <c r="G63" s="523">
        <f>IFERROR(IF($L63&gt;0,IF(INDEX('Invullen groen'!$I:$I,$L63)=0,"",INT(INDEX('Invullen groen'!$I:$I,$L63))),""),"")</f>
        <v/>
      </c>
      <c r="H63" s="523">
        <f>IFERROR(IF($L63&gt;0,IF(INDEX('Invullen groen'!$J:$J,$L63)=0,"",INT(INDEX('Invullen groen'!$J:$J,$L63))),""),"")</f>
        <v/>
      </c>
      <c r="I63" s="523">
        <f>IFERROR(IF($L63&gt;0,IF(INDEX('Invullen groen'!$K:$K,$L63)=0,"",INT(INDEX('Invullen groen'!$K:$K,$L63))),""),"")</f>
        <v/>
      </c>
      <c r="J63" s="522">
        <f>IF($L63&gt;0,IFERROR($K$1&amp;" "&amp;TRIM(SUBSTITUTE(SUBSTITUTE(SUBSTITUTE(SUBSTITUTE(SUBSTITUTE(SUBSTITUTE(SUBSTITUTE(SUBSTITUTE(SUBSTITUTE(SUBSTITUTE(SUBSTITUTE(SUBSTITUTE(LOWER(IF(LEFT(TEXT(INDEX('Invullen groen'!$E:$E,$L63),"0"),1)="6",INDEX('Invullen groen'!$O:$O,$L63),IF(INDEX('Invullen groen'!$N:$N,$L63)&gt;0,INDEX('Invullen groen'!$G:$G,$L63),INDEX('Invullen groen'!$O:$O,$L63)))),"2024",""),"2025",""),"2026",""),"2027",""),"2028",""),"2029",""),"taakveld ",""),"installaties","inst"),"ruwbouw","ruwb"),"afbouw","afb"),"bijstelling","bijst"),"investeringen","invest")),""),")</f>
        <v/>
      </c>
      <c r="K63" s="522" t="n"/>
      <c r="L63" s="234">
        <f>IFERROR(MATCH(ROW()-4,'Invullen groen'!$P$17:$P$109,0)+16,0)</f>
        <v/>
      </c>
      <c r="M63" s="234" t="n"/>
      <c r="N63" s="234" t="n"/>
    </row>
    <row r="64" hidden="1" ht="15" customHeight="1">
      <c r="A64" s="524">
        <f>IFERROR(IF($L64&gt;0,INDEX('Invullen groen'!$E:$E,$L64),""),"")</f>
        <v/>
      </c>
      <c r="B64" s="524">
        <f>IFERROR(IF($L64&gt;0,IF(INDEX('Invullen groen'!$F:$F,$L64)&gt;0,INDEX('Invullen groen'!$F:$F,$L64),""),""),"")</f>
        <v/>
      </c>
      <c r="C64" s="524">
        <f>IFERROR(IF($L64&gt;0,IF(INDEX('Invullen groen'!$N:$N,$L64)&gt;0,INDEX('Invullen groen'!$N:$N,$L64),""),""),"")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IFERROR(IF($L64&gt;0,IF(INDEX('Invullen groen'!$H:$H,$L64)=0,"",INT(INDEX('Invullen groen'!$H:$H,$L64))),""),"")</f>
        <v/>
      </c>
      <c r="G64" s="525">
        <f>IFERROR(IF($L64&gt;0,IF(INDEX('Invullen groen'!$I:$I,$L64)=0,"",INT(INDEX('Invullen groen'!$I:$I,$L64))),""),"")</f>
        <v/>
      </c>
      <c r="H64" s="525">
        <f>IFERROR(IF($L64&gt;0,IF(INDEX('Invullen groen'!$J:$J,$L64)=0,"",INT(INDEX('Invullen groen'!$J:$J,$L64))),""),"")</f>
        <v/>
      </c>
      <c r="I64" s="525">
        <f>IFERROR(IF($L64&gt;0,IF(INDEX('Invullen groen'!$K:$K,$L64)=0,"",INT(INDEX('Invullen groen'!$K:$K,$L64))),""),"")</f>
        <v/>
      </c>
      <c r="J64" s="524">
        <f>IF($L64&gt;0,IFERROR($K$1&amp;" "&amp;TRIM(SUBSTITUTE(SUBSTITUTE(SUBSTITUTE(SUBSTITUTE(SUBSTITUTE(SUBSTITUTE(SUBSTITUTE(SUBSTITUTE(SUBSTITUTE(SUBSTITUTE(SUBSTITUTE(SUBSTITUTE(LOWER(IF(LEFT(TEXT(INDEX('Invullen groen'!$E:$E,$L64),"0"),1)="6",INDEX('Invullen groen'!$O:$O,$L64),IF(INDEX('Invullen groen'!$N:$N,$L64)&gt;0,INDEX('Invullen groen'!$G:$G,$L64),INDEX('Invullen groen'!$O:$O,$L64)))),"2024",""),"2025",""),"2026",""),"2027",""),"2028",""),"2029",""),"taakveld ",""),"installaties","inst"),"ruwbouw","ruwb"),"afbouw","afb"),"bijstelling","bijst"),"investeringen","invest")),""),")</f>
        <v/>
      </c>
      <c r="K64" s="524" t="n"/>
      <c r="L64" s="234">
        <f>IFERROR(MATCH(ROW()-4,'Invullen groen'!$P$17:$P$109,0)+16,0)</f>
        <v/>
      </c>
      <c r="M64" s="234" t="n"/>
      <c r="N64" s="234" t="n"/>
    </row>
    <row r="65" hidden="1" ht="15" customHeight="1">
      <c r="A65" s="522">
        <f>IFERROR(IF($L65&gt;0,INDEX('Invullen groen'!$E:$E,$L65),""),"")</f>
        <v/>
      </c>
      <c r="B65" s="522">
        <f>IFERROR(IF($L65&gt;0,IF(INDEX('Invullen groen'!$F:$F,$L65)&gt;0,INDEX('Invullen groen'!$F:$F,$L65),""),""),"")</f>
        <v/>
      </c>
      <c r="C65" s="522">
        <f>IFERROR(IF($L65&gt;0,IF(INDEX('Invullen groen'!$N:$N,$L65)&gt;0,INDEX('Invullen groen'!$N:$N,$L65),""),""),"")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IFERROR(IF($L65&gt;0,IF(INDEX('Invullen groen'!$H:$H,$L65)=0,"",INT(INDEX('Invullen groen'!$H:$H,$L65))),""),"")</f>
        <v/>
      </c>
      <c r="G65" s="523">
        <f>IFERROR(IF($L65&gt;0,IF(INDEX('Invullen groen'!$I:$I,$L65)=0,"",INT(INDEX('Invullen groen'!$I:$I,$L65))),""),"")</f>
        <v/>
      </c>
      <c r="H65" s="523">
        <f>IFERROR(IF($L65&gt;0,IF(INDEX('Invullen groen'!$J:$J,$L65)=0,"",INT(INDEX('Invullen groen'!$J:$J,$L65))),""),"")</f>
        <v/>
      </c>
      <c r="I65" s="523">
        <f>IFERROR(IF($L65&gt;0,IF(INDEX('Invullen groen'!$K:$K,$L65)=0,"",INT(INDEX('Invullen groen'!$K:$K,$L65))),""),"")</f>
        <v/>
      </c>
      <c r="J65" s="522">
        <f>IF($L65&gt;0,IFERROR($K$1&amp;" "&amp;TRIM(SUBSTITUTE(SUBSTITUTE(SUBSTITUTE(SUBSTITUTE(SUBSTITUTE(SUBSTITUTE(SUBSTITUTE(SUBSTITUTE(SUBSTITUTE(SUBSTITUTE(SUBSTITUTE(SUBSTITUTE(LOWER(IF(LEFT(TEXT(INDEX('Invullen groen'!$E:$E,$L65),"0"),1)="6",INDEX('Invullen groen'!$O:$O,$L65),IF(INDEX('Invullen groen'!$N:$N,$L65)&gt;0,INDEX('Invullen groen'!$G:$G,$L65),INDEX('Invullen groen'!$O:$O,$L65)))),"2024",""),"2025",""),"2026",""),"2027",""),"2028",""),"2029",""),"taakveld ",""),"installaties","inst"),"ruwbouw","ruwb"),"afbouw","afb"),"bijstelling","bijst"),"investeringen","invest")),""),")</f>
        <v/>
      </c>
      <c r="K65" s="522" t="n"/>
      <c r="L65" s="234">
        <f>IFERROR(MATCH(ROW()-4,'Invullen groen'!$P$17:$P$109,0)+16,0)</f>
        <v/>
      </c>
      <c r="M65" s="234" t="n"/>
      <c r="N65" s="234" t="n"/>
    </row>
    <row r="66" hidden="1" ht="15" customHeight="1">
      <c r="A66" s="524">
        <f>IFERROR(IF($L66&gt;0,INDEX('Invullen groen'!$E:$E,$L66),""),"")</f>
        <v/>
      </c>
      <c r="B66" s="524">
        <f>IFERROR(IF($L66&gt;0,IF(INDEX('Invullen groen'!$F:$F,$L66)&gt;0,INDEX('Invullen groen'!$F:$F,$L66),""),""),"")</f>
        <v/>
      </c>
      <c r="C66" s="524">
        <f>IFERROR(IF($L66&gt;0,IF(INDEX('Invullen groen'!$N:$N,$L66)&gt;0,INDEX('Invullen groen'!$N:$N,$L66),""),""),"")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IFERROR(IF($L66&gt;0,IF(INDEX('Invullen groen'!$H:$H,$L66)=0,"",INT(INDEX('Invullen groen'!$H:$H,$L66))),""),"")</f>
        <v/>
      </c>
      <c r="G66" s="525">
        <f>IFERROR(IF($L66&gt;0,IF(INDEX('Invullen groen'!$I:$I,$L66)=0,"",INT(INDEX('Invullen groen'!$I:$I,$L66))),""),"")</f>
        <v/>
      </c>
      <c r="H66" s="525">
        <f>IFERROR(IF($L66&gt;0,IF(INDEX('Invullen groen'!$J:$J,$L66)=0,"",INT(INDEX('Invullen groen'!$J:$J,$L66))),""),"")</f>
        <v/>
      </c>
      <c r="I66" s="525">
        <f>IFERROR(IF($L66&gt;0,IF(INDEX('Invullen groen'!$K:$K,$L66)=0,"",INT(INDEX('Invullen groen'!$K:$K,$L66))),""),"")</f>
        <v/>
      </c>
      <c r="J66" s="524">
        <f>IF($L66&gt;0,IFERROR($K$1&amp;" "&amp;TRIM(SUBSTITUTE(SUBSTITUTE(SUBSTITUTE(SUBSTITUTE(SUBSTITUTE(SUBSTITUTE(SUBSTITUTE(SUBSTITUTE(SUBSTITUTE(SUBSTITUTE(SUBSTITUTE(SUBSTITUTE(LOWER(IF(LEFT(TEXT(INDEX('Invullen groen'!$E:$E,$L66),"0"),1)="6",INDEX('Invullen groen'!$O:$O,$L66),IF(INDEX('Invullen groen'!$N:$N,$L66)&gt;0,INDEX('Invullen groen'!$G:$G,$L66),INDEX('Invullen groen'!$O:$O,$L66)))),"2024",""),"2025",""),"2026",""),"2027",""),"2028",""),"2029",""),"taakveld ",""),"installaties","inst"),"ruwbouw","ruwb"),"afbouw","afb"),"bijstelling","bijst"),"investeringen","invest")),""),")</f>
        <v/>
      </c>
      <c r="K66" s="524" t="n"/>
      <c r="L66" s="234">
        <f>IFERROR(MATCH(ROW()-4,'Invullen groen'!$P$17:$P$109,0)+16,0)</f>
        <v/>
      </c>
      <c r="M66" s="234" t="n"/>
      <c r="N66" s="234" t="n"/>
    </row>
    <row r="67" hidden="1" ht="15" customHeight="1">
      <c r="A67" s="522">
        <f>IFERROR(IF($L67&gt;0,INDEX('Invullen groen'!$E:$E,$L67),""),"")</f>
        <v/>
      </c>
      <c r="B67" s="522">
        <f>IFERROR(IF($L67&gt;0,IF(INDEX('Invullen groen'!$F:$F,$L67)&gt;0,INDEX('Invullen groen'!$F:$F,$L67),""),""),"")</f>
        <v/>
      </c>
      <c r="C67" s="522">
        <f>IFERROR(IF($L67&gt;0,IF(INDEX('Invullen groen'!$N:$N,$L67)&gt;0,INDEX('Invullen groen'!$N:$N,$L67),""),""),"")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IFERROR(IF($L67&gt;0,IF(INDEX('Invullen groen'!$H:$H,$L67)=0,"",INT(INDEX('Invullen groen'!$H:$H,$L67))),""),"")</f>
        <v/>
      </c>
      <c r="G67" s="523">
        <f>IFERROR(IF($L67&gt;0,IF(INDEX('Invullen groen'!$I:$I,$L67)=0,"",INT(INDEX('Invullen groen'!$I:$I,$L67))),""),"")</f>
        <v/>
      </c>
      <c r="H67" s="523">
        <f>IFERROR(IF($L67&gt;0,IF(INDEX('Invullen groen'!$J:$J,$L67)=0,"",INT(INDEX('Invullen groen'!$J:$J,$L67))),""),"")</f>
        <v/>
      </c>
      <c r="I67" s="523">
        <f>IFERROR(IF($L67&gt;0,IF(INDEX('Invullen groen'!$K:$K,$L67)=0,"",INT(INDEX('Invullen groen'!$K:$K,$L67))),""),"")</f>
        <v/>
      </c>
      <c r="J67" s="522">
        <f>IF($L67&gt;0,IFERROR($K$1&amp;" "&amp;TRIM(SUBSTITUTE(SUBSTITUTE(SUBSTITUTE(SUBSTITUTE(SUBSTITUTE(SUBSTITUTE(SUBSTITUTE(SUBSTITUTE(SUBSTITUTE(SUBSTITUTE(SUBSTITUTE(SUBSTITUTE(LOWER(IF(LEFT(TEXT(INDEX('Invullen groen'!$E:$E,$L67),"0"),1)="6",INDEX('Invullen groen'!$O:$O,$L67),IF(INDEX('Invullen groen'!$N:$N,$L67)&gt;0,INDEX('Invullen groen'!$G:$G,$L67),INDEX('Invullen groen'!$O:$O,$L67)))),"2024",""),"2025",""),"2026",""),"2027",""),"2028",""),"2029",""),"taakveld ",""),"installaties","inst"),"ruwbouw","ruwb"),"afbouw","afb"),"bijstelling","bijst"),"investeringen","invest")),""),")</f>
        <v/>
      </c>
      <c r="K67" s="522" t="n"/>
      <c r="L67" s="234">
        <f>IFERROR(MATCH(ROW()-4,'Invullen groen'!$P$17:$P$109,0)+16,0)</f>
        <v/>
      </c>
      <c r="M67" s="234" t="n"/>
      <c r="N67" s="234" t="n"/>
    </row>
    <row r="68" hidden="1" ht="15" customHeight="1">
      <c r="A68" s="524">
        <f>IFERROR(IF($L68&gt;0,INDEX('Invullen groen'!$E:$E,$L68),""),"")</f>
        <v/>
      </c>
      <c r="B68" s="524">
        <f>IFERROR(IF($L68&gt;0,IF(INDEX('Invullen groen'!$F:$F,$L68)&gt;0,INDEX('Invullen groen'!$F:$F,$L68),""),""),"")</f>
        <v/>
      </c>
      <c r="C68" s="524">
        <f>IFERROR(IF($L68&gt;0,IF(INDEX('Invullen groen'!$N:$N,$L68)&gt;0,INDEX('Invullen groen'!$N:$N,$L68),""),""),"")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IFERROR(IF($L68&gt;0,IF(INDEX('Invullen groen'!$H:$H,$L68)=0,"",INT(INDEX('Invullen groen'!$H:$H,$L68))),""),"")</f>
        <v/>
      </c>
      <c r="G68" s="525">
        <f>IFERROR(IF($L68&gt;0,IF(INDEX('Invullen groen'!$I:$I,$L68)=0,"",INT(INDEX('Invullen groen'!$I:$I,$L68))),""),"")</f>
        <v/>
      </c>
      <c r="H68" s="525">
        <f>IFERROR(IF($L68&gt;0,IF(INDEX('Invullen groen'!$J:$J,$L68)=0,"",INT(INDEX('Invullen groen'!$J:$J,$L68))),""),"")</f>
        <v/>
      </c>
      <c r="I68" s="525">
        <f>IFERROR(IF($L68&gt;0,IF(INDEX('Invullen groen'!$K:$K,$L68)=0,"",INT(INDEX('Invullen groen'!$K:$K,$L68))),""),"")</f>
        <v/>
      </c>
      <c r="J68" s="524">
        <f>IF($L68&gt;0,IFERROR($K$1&amp;" "&amp;TRIM(SUBSTITUTE(SUBSTITUTE(SUBSTITUTE(SUBSTITUTE(SUBSTITUTE(SUBSTITUTE(SUBSTITUTE(SUBSTITUTE(SUBSTITUTE(SUBSTITUTE(SUBSTITUTE(SUBSTITUTE(LOWER(IF(LEFT(TEXT(INDEX('Invullen groen'!$E:$E,$L68),"0"),1)="6",INDEX('Invullen groen'!$O:$O,$L68),IF(INDEX('Invullen groen'!$N:$N,$L68)&gt;0,INDEX('Invullen groen'!$G:$G,$L68),INDEX('Invullen groen'!$O:$O,$L68)))),"2024",""),"2025",""),"2026",""),"2027",""),"2028",""),"2029",""),"taakveld ",""),"installaties","inst"),"ruwbouw","ruwb"),"afbouw","afb"),"bijstelling","bijst"),"investeringen","invest")),""),")</f>
        <v/>
      </c>
      <c r="K68" s="524" t="n"/>
      <c r="L68" s="234">
        <f>IFERROR(MATCH(ROW()-4,'Invullen groen'!$P$17:$P$109,0)+16,0)</f>
        <v/>
      </c>
      <c r="M68" s="234" t="n"/>
      <c r="N68" s="234" t="n"/>
    </row>
    <row r="69" hidden="1" ht="15" customHeight="1">
      <c r="A69" s="522">
        <f>IFERROR(IF($L69&gt;0,INDEX('Invullen groen'!$E:$E,$L69),""),"")</f>
        <v/>
      </c>
      <c r="B69" s="522">
        <f>IFERROR(IF($L69&gt;0,IF(INDEX('Invullen groen'!$F:$F,$L69)&gt;0,INDEX('Invullen groen'!$F:$F,$L69),""),""),"")</f>
        <v/>
      </c>
      <c r="C69" s="522">
        <f>IFERROR(IF($L69&gt;0,IF(INDEX('Invullen groen'!$N:$N,$L69)&gt;0,INDEX('Invullen groen'!$N:$N,$L69),""),""),"")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IFERROR(IF($L69&gt;0,IF(INDEX('Invullen groen'!$H:$H,$L69)=0,"",INT(INDEX('Invullen groen'!$H:$H,$L69))),""),"")</f>
        <v/>
      </c>
      <c r="G69" s="523">
        <f>IFERROR(IF($L69&gt;0,IF(INDEX('Invullen groen'!$I:$I,$L69)=0,"",INT(INDEX('Invullen groen'!$I:$I,$L69))),""),"")</f>
        <v/>
      </c>
      <c r="H69" s="523">
        <f>IFERROR(IF($L69&gt;0,IF(INDEX('Invullen groen'!$J:$J,$L69)=0,"",INT(INDEX('Invullen groen'!$J:$J,$L69))),""),"")</f>
        <v/>
      </c>
      <c r="I69" s="523">
        <f>IFERROR(IF($L69&gt;0,IF(INDEX('Invullen groen'!$K:$K,$L69)=0,"",INT(INDEX('Invullen groen'!$K:$K,$L69))),""),"")</f>
        <v/>
      </c>
      <c r="J69" s="522">
        <f>IF($L69&gt;0,IFERROR($K$1&amp;" "&amp;TRIM(SUBSTITUTE(SUBSTITUTE(SUBSTITUTE(SUBSTITUTE(SUBSTITUTE(SUBSTITUTE(SUBSTITUTE(SUBSTITUTE(SUBSTITUTE(SUBSTITUTE(SUBSTITUTE(SUBSTITUTE(LOWER(IF(LEFT(TEXT(INDEX('Invullen groen'!$E:$E,$L69),"0"),1)="6",INDEX('Invullen groen'!$O:$O,$L69),IF(INDEX('Invullen groen'!$N:$N,$L69)&gt;0,INDEX('Invullen groen'!$G:$G,$L69),INDEX('Invullen groen'!$O:$O,$L69)))),"2024",""),"2025",""),"2026",""),"2027",""),"2028",""),"2029",""),"taakveld ",""),"installaties","inst"),"ruwbouw","ruwb"),"afbouw","afb"),"bijstelling","bijst"),"investeringen","invest")),""),")</f>
        <v/>
      </c>
      <c r="K69" s="522" t="n"/>
      <c r="L69" s="234">
        <f>IFERROR(MATCH(ROW()-4,'Invullen groen'!$P$17:$P$109,0)+16,0)</f>
        <v/>
      </c>
      <c r="M69" s="234" t="n"/>
      <c r="N69" s="234" t="n"/>
    </row>
    <row r="70" hidden="1" ht="15" customHeight="1">
      <c r="A70" s="524">
        <f>IFERROR(IF($L70&gt;0,INDEX('Invullen groen'!$E:$E,$L70),""),"")</f>
        <v/>
      </c>
      <c r="B70" s="524">
        <f>IFERROR(IF($L70&gt;0,IF(INDEX('Invullen groen'!$F:$F,$L70)&gt;0,INDEX('Invullen groen'!$F:$F,$L70),""),""),"")</f>
        <v/>
      </c>
      <c r="C70" s="524">
        <f>IFERROR(IF($L70&gt;0,IF(INDEX('Invullen groen'!$N:$N,$L70)&gt;0,INDEX('Invullen groen'!$N:$N,$L70),""),""),"")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IFERROR(IF($L70&gt;0,IF(INDEX('Invullen groen'!$H:$H,$L70)=0,"",INT(INDEX('Invullen groen'!$H:$H,$L70))),""),"")</f>
        <v/>
      </c>
      <c r="G70" s="525">
        <f>IFERROR(IF($L70&gt;0,IF(INDEX('Invullen groen'!$I:$I,$L70)=0,"",INT(INDEX('Invullen groen'!$I:$I,$L70))),""),"")</f>
        <v/>
      </c>
      <c r="H70" s="525">
        <f>IFERROR(IF($L70&gt;0,IF(INDEX('Invullen groen'!$J:$J,$L70)=0,"",INT(INDEX('Invullen groen'!$J:$J,$L70))),""),"")</f>
        <v/>
      </c>
      <c r="I70" s="525">
        <f>IFERROR(IF($L70&gt;0,IF(INDEX('Invullen groen'!$K:$K,$L70)=0,"",INT(INDEX('Invullen groen'!$K:$K,$L70))),""),"")</f>
        <v/>
      </c>
      <c r="J70" s="524">
        <f>IF($L70&gt;0,IFERROR($K$1&amp;" "&amp;TRIM(SUBSTITUTE(SUBSTITUTE(SUBSTITUTE(SUBSTITUTE(SUBSTITUTE(SUBSTITUTE(SUBSTITUTE(SUBSTITUTE(SUBSTITUTE(SUBSTITUTE(SUBSTITUTE(SUBSTITUTE(LOWER(IF(LEFT(TEXT(INDEX('Invullen groen'!$E:$E,$L70),"0"),1)="6",INDEX('Invullen groen'!$O:$O,$L70),IF(INDEX('Invullen groen'!$N:$N,$L70)&gt;0,INDEX('Invullen groen'!$G:$G,$L70),INDEX('Invullen groen'!$O:$O,$L70)))),"2024",""),"2025",""),"2026",""),"2027",""),"2028",""),"2029",""),"taakveld ",""),"installaties","inst"),"ruwbouw","ruwb"),"afbouw","afb"),"bijstelling","bijst"),"investeringen","invest")),""),")</f>
        <v/>
      </c>
      <c r="K70" s="524" t="n"/>
      <c r="L70" s="234">
        <f>IFERROR(MATCH(ROW()-4,'Invullen groen'!$P$17:$P$109,0)+16,0)</f>
        <v/>
      </c>
      <c r="M70" s="234" t="n"/>
      <c r="N70" s="234" t="n"/>
    </row>
    <row r="71" hidden="1" ht="15" customHeight="1">
      <c r="A71" s="522">
        <f>IFERROR(IF($L71&gt;0,INDEX('Invullen groen'!$E:$E,$L71),""),"")</f>
        <v/>
      </c>
      <c r="B71" s="522">
        <f>IFERROR(IF($L71&gt;0,IF(INDEX('Invullen groen'!$F:$F,$L71)&gt;0,INDEX('Invullen groen'!$F:$F,$L71),""),""),"")</f>
        <v/>
      </c>
      <c r="C71" s="522">
        <f>IFERROR(IF($L71&gt;0,IF(INDEX('Invullen groen'!$N:$N,$L71)&gt;0,INDEX('Invullen groen'!$N:$N,$L71),""),""),"")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IFERROR(IF($L71&gt;0,IF(INDEX('Invullen groen'!$H:$H,$L71)=0,"",INT(INDEX('Invullen groen'!$H:$H,$L71))),""),"")</f>
        <v/>
      </c>
      <c r="G71" s="523">
        <f>IFERROR(IF($L71&gt;0,IF(INDEX('Invullen groen'!$I:$I,$L71)=0,"",INT(INDEX('Invullen groen'!$I:$I,$L71))),""),"")</f>
        <v/>
      </c>
      <c r="H71" s="523">
        <f>IFERROR(IF($L71&gt;0,IF(INDEX('Invullen groen'!$J:$J,$L71)=0,"",INT(INDEX('Invullen groen'!$J:$J,$L71))),""),"")</f>
        <v/>
      </c>
      <c r="I71" s="523">
        <f>IFERROR(IF($L71&gt;0,IF(INDEX('Invullen groen'!$K:$K,$L71)=0,"",INT(INDEX('Invullen groen'!$K:$K,$L71))),""),"")</f>
        <v/>
      </c>
      <c r="J71" s="522">
        <f>IF($L71&gt;0,IFERROR($K$1&amp;" "&amp;TRIM(SUBSTITUTE(SUBSTITUTE(SUBSTITUTE(SUBSTITUTE(SUBSTITUTE(SUBSTITUTE(SUBSTITUTE(SUBSTITUTE(SUBSTITUTE(SUBSTITUTE(SUBSTITUTE(SUBSTITUTE(LOWER(IF(LEFT(TEXT(INDEX('Invullen groen'!$E:$E,$L71),"0"),1)="6",INDEX('Invullen groen'!$O:$O,$L71),IF(INDEX('Invullen groen'!$N:$N,$L71)&gt;0,INDEX('Invullen groen'!$G:$G,$L71),INDEX('Invullen groen'!$O:$O,$L71)))),"2024",""),"2025",""),"2026",""),"2027",""),"2028",""),"2029",""),"taakveld ",""),"installaties","inst"),"ruwbouw","ruwb"),"afbouw","afb"),"bijstelling","bijst"),"investeringen","invest")),""),")</f>
        <v/>
      </c>
      <c r="K71" s="522" t="n"/>
      <c r="L71" s="234">
        <f>IFERROR(MATCH(ROW()-4,'Invullen groen'!$P$17:$P$109,0)+16,0)</f>
        <v/>
      </c>
      <c r="M71" s="234" t="n"/>
      <c r="N71" s="234" t="n"/>
    </row>
    <row r="72" hidden="1" ht="15" customHeight="1">
      <c r="A72" s="524">
        <f>IFERROR(IF($L72&gt;0,INDEX('Invullen groen'!$E:$E,$L72),""),"")</f>
        <v/>
      </c>
      <c r="B72" s="524">
        <f>IFERROR(IF($L72&gt;0,IF(INDEX('Invullen groen'!$F:$F,$L72)&gt;0,INDEX('Invullen groen'!$F:$F,$L72),""),""),"")</f>
        <v/>
      </c>
      <c r="C72" s="524">
        <f>IFERROR(IF($L72&gt;0,IF(INDEX('Invullen groen'!$N:$N,$L72)&gt;0,INDEX('Invullen groen'!$N:$N,$L72),""),""),"")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IFERROR(IF($L72&gt;0,IF(INDEX('Invullen groen'!$H:$H,$L72)=0,"",INT(INDEX('Invullen groen'!$H:$H,$L72))),""),"")</f>
        <v/>
      </c>
      <c r="G72" s="525">
        <f>IFERROR(IF($L72&gt;0,IF(INDEX('Invullen groen'!$I:$I,$L72)=0,"",INT(INDEX('Invullen groen'!$I:$I,$L72))),""),"")</f>
        <v/>
      </c>
      <c r="H72" s="525">
        <f>IFERROR(IF($L72&gt;0,IF(INDEX('Invullen groen'!$J:$J,$L72)=0,"",INT(INDEX('Invullen groen'!$J:$J,$L72))),""),"")</f>
        <v/>
      </c>
      <c r="I72" s="525">
        <f>IFERROR(IF($L72&gt;0,IF(INDEX('Invullen groen'!$K:$K,$L72)=0,"",INT(INDEX('Invullen groen'!$K:$K,$L72))),""),"")</f>
        <v/>
      </c>
      <c r="J72" s="524">
        <f>IF($L72&gt;0,IFERROR($K$1&amp;" "&amp;TRIM(SUBSTITUTE(SUBSTITUTE(SUBSTITUTE(SUBSTITUTE(SUBSTITUTE(SUBSTITUTE(SUBSTITUTE(SUBSTITUTE(SUBSTITUTE(SUBSTITUTE(SUBSTITUTE(SUBSTITUTE(LOWER(IF(LEFT(TEXT(INDEX('Invullen groen'!$E:$E,$L72),"0"),1)="6",INDEX('Invullen groen'!$O:$O,$L72),IF(INDEX('Invullen groen'!$N:$N,$L72)&gt;0,INDEX('Invullen groen'!$G:$G,$L72),INDEX('Invullen groen'!$O:$O,$L72)))),"2024",""),"2025",""),"2026",""),"2027",""),"2028",""),"2029",""),"taakveld ",""),"installaties","inst"),"ruwbouw","ruwb"),"afbouw","afb"),"bijstelling","bijst"),"investeringen","invest")),""),")</f>
        <v/>
      </c>
      <c r="K72" s="524" t="n"/>
      <c r="L72" s="234">
        <f>IFERROR(MATCH(ROW()-4,'Invullen groen'!$P$17:$P$109,0)+16,0)</f>
        <v/>
      </c>
      <c r="M72" s="234" t="n"/>
      <c r="N72" s="234" t="n"/>
    </row>
    <row r="73" hidden="1" ht="15" customHeight="1">
      <c r="A73" s="522">
        <f>IFERROR(IF($L73&gt;0,INDEX('Invullen groen'!$E:$E,$L73),""),"")</f>
        <v/>
      </c>
      <c r="B73" s="522">
        <f>IFERROR(IF($L73&gt;0,IF(INDEX('Invullen groen'!$F:$F,$L73)&gt;0,INDEX('Invullen groen'!$F:$F,$L73),""),""),"")</f>
        <v/>
      </c>
      <c r="C73" s="522">
        <f>IFERROR(IF($L73&gt;0,IF(INDEX('Invullen groen'!$N:$N,$L73)&gt;0,INDEX('Invullen groen'!$N:$N,$L73),""),""),"")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IFERROR(IF($L73&gt;0,IF(INDEX('Invullen groen'!$H:$H,$L73)=0,"",INT(INDEX('Invullen groen'!$H:$H,$L73))),""),"")</f>
        <v/>
      </c>
      <c r="G73" s="523">
        <f>IFERROR(IF($L73&gt;0,IF(INDEX('Invullen groen'!$I:$I,$L73)=0,"",INT(INDEX('Invullen groen'!$I:$I,$L73))),""),"")</f>
        <v/>
      </c>
      <c r="H73" s="523">
        <f>IFERROR(IF($L73&gt;0,IF(INDEX('Invullen groen'!$J:$J,$L73)=0,"",INT(INDEX('Invullen groen'!$J:$J,$L73))),""),"")</f>
        <v/>
      </c>
      <c r="I73" s="523">
        <f>IFERROR(IF($L73&gt;0,IF(INDEX('Invullen groen'!$K:$K,$L73)=0,"",INT(INDEX('Invullen groen'!$K:$K,$L73))),""),"")</f>
        <v/>
      </c>
      <c r="J73" s="522">
        <f>IF($L73&gt;0,IFERROR($K$1&amp;" "&amp;TRIM(SUBSTITUTE(SUBSTITUTE(SUBSTITUTE(SUBSTITUTE(SUBSTITUTE(SUBSTITUTE(SUBSTITUTE(SUBSTITUTE(SUBSTITUTE(SUBSTITUTE(SUBSTITUTE(SUBSTITUTE(LOWER(IF(LEFT(TEXT(INDEX('Invullen groen'!$E:$E,$L73),"0"),1)="6",INDEX('Invullen groen'!$O:$O,$L73),IF(INDEX('Invullen groen'!$N:$N,$L73)&gt;0,INDEX('Invullen groen'!$G:$G,$L73),INDEX('Invullen groen'!$O:$O,$L73)))),"2024",""),"2025",""),"2026",""),"2027",""),"2028",""),"2029",""),"taakveld ",""),"installaties","inst"),"ruwbouw","ruwb"),"afbouw","afb"),"bijstelling","bijst"),"investeringen","invest")),""),")</f>
        <v/>
      </c>
      <c r="K73" s="522" t="n"/>
      <c r="L73" s="234">
        <f>IFERROR(MATCH(ROW()-4,'Invullen groen'!$P$17:$P$109,0)+16,0)</f>
        <v/>
      </c>
      <c r="M73" s="234" t="n"/>
      <c r="N73" s="234" t="n"/>
    </row>
    <row r="74" hidden="1" ht="15" customHeight="1">
      <c r="A74" s="524">
        <f>IFERROR(IF($L74&gt;0,INDEX('Invullen groen'!$E:$E,$L74),""),"")</f>
        <v/>
      </c>
      <c r="B74" s="524">
        <f>IFERROR(IF($L74&gt;0,IF(INDEX('Invullen groen'!$F:$F,$L74)&gt;0,INDEX('Invullen groen'!$F:$F,$L74),""),""),"")</f>
        <v/>
      </c>
      <c r="C74" s="524">
        <f>IFERROR(IF($L74&gt;0,IF(INDEX('Invullen groen'!$N:$N,$L74)&gt;0,INDEX('Invullen groen'!$N:$N,$L74),""),""),"")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IFERROR(IF($L74&gt;0,IF(INDEX('Invullen groen'!$H:$H,$L74)=0,"",INT(INDEX('Invullen groen'!$H:$H,$L74))),""),"")</f>
        <v/>
      </c>
      <c r="G74" s="525">
        <f>IFERROR(IF($L74&gt;0,IF(INDEX('Invullen groen'!$I:$I,$L74)=0,"",INT(INDEX('Invullen groen'!$I:$I,$L74))),""),"")</f>
        <v/>
      </c>
      <c r="H74" s="525">
        <f>IFERROR(IF($L74&gt;0,IF(INDEX('Invullen groen'!$J:$J,$L74)=0,"",INT(INDEX('Invullen groen'!$J:$J,$L74))),""),"")</f>
        <v/>
      </c>
      <c r="I74" s="525">
        <f>IFERROR(IF($L74&gt;0,IF(INDEX('Invullen groen'!$K:$K,$L74)=0,"",INT(INDEX('Invullen groen'!$K:$K,$L74))),""),"")</f>
        <v/>
      </c>
      <c r="J74" s="524">
        <f>IF($L74&gt;0,IFERROR($K$1&amp;" "&amp;TRIM(SUBSTITUTE(SUBSTITUTE(SUBSTITUTE(SUBSTITUTE(SUBSTITUTE(SUBSTITUTE(SUBSTITUTE(SUBSTITUTE(SUBSTITUTE(SUBSTITUTE(SUBSTITUTE(SUBSTITUTE(LOWER(IF(LEFT(TEXT(INDEX('Invullen groen'!$E:$E,$L74),"0"),1)="6",INDEX('Invullen groen'!$O:$O,$L74),IF(INDEX('Invullen groen'!$N:$N,$L74)&gt;0,INDEX('Invullen groen'!$G:$G,$L74),INDEX('Invullen groen'!$O:$O,$L74)))),"2024",""),"2025",""),"2026",""),"2027",""),"2028",""),"2029",""),"taakveld ",""),"installaties","inst"),"ruwbouw","ruwb"),"afbouw","afb"),"bijstelling","bijst"),"investeringen","invest")),""),")</f>
        <v/>
      </c>
      <c r="K74" s="524" t="n"/>
      <c r="L74" s="234">
        <f>IFERROR(MATCH(ROW()-4,'Invullen groen'!$P$17:$P$109,0)+16,0)</f>
        <v/>
      </c>
      <c r="M74" s="234" t="n"/>
      <c r="N74" s="234" t="n"/>
    </row>
    <row r="75" hidden="1" ht="15" customHeight="1">
      <c r="A75" s="522">
        <f>IFERROR(IF($L75&gt;0,INDEX('Invullen groen'!$E:$E,$L75),""),"")</f>
        <v/>
      </c>
      <c r="B75" s="522">
        <f>IFERROR(IF($L75&gt;0,IF(INDEX('Invullen groen'!$F:$F,$L75)&gt;0,INDEX('Invullen groen'!$F:$F,$L75),""),""),"")</f>
        <v/>
      </c>
      <c r="C75" s="522">
        <f>IFERROR(IF($L75&gt;0,IF(INDEX('Invullen groen'!$N:$N,$L75)&gt;0,INDEX('Invullen groen'!$N:$N,$L75),""),""),"")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IFERROR(IF($L75&gt;0,IF(INDEX('Invullen groen'!$H:$H,$L75)=0,"",INT(INDEX('Invullen groen'!$H:$H,$L75))),""),"")</f>
        <v/>
      </c>
      <c r="G75" s="523">
        <f>IFERROR(IF($L75&gt;0,IF(INDEX('Invullen groen'!$I:$I,$L75)=0,"",INT(INDEX('Invullen groen'!$I:$I,$L75))),""),"")</f>
        <v/>
      </c>
      <c r="H75" s="523">
        <f>IFERROR(IF($L75&gt;0,IF(INDEX('Invullen groen'!$J:$J,$L75)=0,"",INT(INDEX('Invullen groen'!$J:$J,$L75))),""),"")</f>
        <v/>
      </c>
      <c r="I75" s="523">
        <f>IFERROR(IF($L75&gt;0,IF(INDEX('Invullen groen'!$K:$K,$L75)=0,"",INT(INDEX('Invullen groen'!$K:$K,$L75))),""),"")</f>
        <v/>
      </c>
      <c r="J75" s="522">
        <f>IF($L75&gt;0,IFERROR($K$1&amp;" "&amp;TRIM(SUBSTITUTE(SUBSTITUTE(SUBSTITUTE(SUBSTITUTE(SUBSTITUTE(SUBSTITUTE(SUBSTITUTE(SUBSTITUTE(SUBSTITUTE(SUBSTITUTE(SUBSTITUTE(SUBSTITUTE(LOWER(IF(LEFT(TEXT(INDEX('Invullen groen'!$E:$E,$L75),"0"),1)="6",INDEX('Invullen groen'!$O:$O,$L75),IF(INDEX('Invullen groen'!$N:$N,$L75)&gt;0,INDEX('Invullen groen'!$G:$G,$L75),INDEX('Invullen groen'!$O:$O,$L75)))),"2024",""),"2025",""),"2026",""),"2027",""),"2028",""),"2029",""),"taakveld ",""),"installaties","inst"),"ruwbouw","ruwb"),"afbouw","afb"),"bijstelling","bijst"),"investeringen","invest")),""),")</f>
        <v/>
      </c>
      <c r="K75" s="522" t="n"/>
      <c r="L75" s="234">
        <f>IFERROR(MATCH(ROW()-4,'Invullen groen'!$P$17:$P$109,0)+16,0)</f>
        <v/>
      </c>
      <c r="M75" s="234" t="n"/>
      <c r="N75" s="234" t="n"/>
    </row>
    <row r="76" hidden="1" ht="15" customHeight="1">
      <c r="A76" s="524">
        <f>IFERROR(IF($L76&gt;0,INDEX('Invullen groen'!$E:$E,$L76),""),"")</f>
        <v/>
      </c>
      <c r="B76" s="524">
        <f>IFERROR(IF($L76&gt;0,IF(INDEX('Invullen groen'!$F:$F,$L76)&gt;0,INDEX('Invullen groen'!$F:$F,$L76),""),""),"")</f>
        <v/>
      </c>
      <c r="C76" s="524">
        <f>IFERROR(IF($L76&gt;0,IF(INDEX('Invullen groen'!$N:$N,$L76)&gt;0,INDEX('Invullen groen'!$N:$N,$L76),""),""),"")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IFERROR(IF($L76&gt;0,IF(INDEX('Invullen groen'!$H:$H,$L76)=0,"",INT(INDEX('Invullen groen'!$H:$H,$L76))),""),"")</f>
        <v/>
      </c>
      <c r="G76" s="525">
        <f>IFERROR(IF($L76&gt;0,IF(INDEX('Invullen groen'!$I:$I,$L76)=0,"",INT(INDEX('Invullen groen'!$I:$I,$L76))),""),"")</f>
        <v/>
      </c>
      <c r="H76" s="525">
        <f>IFERROR(IF($L76&gt;0,IF(INDEX('Invullen groen'!$J:$J,$L76)=0,"",INT(INDEX('Invullen groen'!$J:$J,$L76))),""),"")</f>
        <v/>
      </c>
      <c r="I76" s="525">
        <f>IFERROR(IF($L76&gt;0,IF(INDEX('Invullen groen'!$K:$K,$L76)=0,"",INT(INDEX('Invullen groen'!$K:$K,$L76))),""),"")</f>
        <v/>
      </c>
      <c r="J76" s="524">
        <f>IF($L76&gt;0,IFERROR($K$1&amp;" "&amp;TRIM(SUBSTITUTE(SUBSTITUTE(SUBSTITUTE(SUBSTITUTE(SUBSTITUTE(SUBSTITUTE(SUBSTITUTE(SUBSTITUTE(SUBSTITUTE(SUBSTITUTE(SUBSTITUTE(SUBSTITUTE(LOWER(IF(LEFT(TEXT(INDEX('Invullen groen'!$E:$E,$L76),"0"),1)="6",INDEX('Invullen groen'!$O:$O,$L76),IF(INDEX('Invullen groen'!$N:$N,$L76)&gt;0,INDEX('Invullen groen'!$G:$G,$L76),INDEX('Invullen groen'!$O:$O,$L76)))),"2024",""),"2025",""),"2026",""),"2027",""),"2028",""),"2029",""),"taakveld ",""),"installaties","inst"),"ruwbouw","ruwb"),"afbouw","afb"),"bijstelling","bijst"),"investeringen","invest")),""),")</f>
        <v/>
      </c>
      <c r="K76" s="508" t="n"/>
      <c r="L76">
        <f>IFERROR(MATCH(ROW()-4,'Invullen groen'!$P$17:$P$109,0)+16,0)</f>
        <v/>
      </c>
    </row>
    <row r="77" hidden="1" ht="15" customHeight="1">
      <c r="A77" s="522">
        <f>IFERROR(IF($L77&gt;0,INDEX('Invullen groen'!$E:$E,$L77),""),"")</f>
        <v/>
      </c>
      <c r="B77" s="522">
        <f>IFERROR(IF($L77&gt;0,IF(INDEX('Invullen groen'!$F:$F,$L77)&gt;0,INDEX('Invullen groen'!$F:$F,$L77),""),""),"")</f>
        <v/>
      </c>
      <c r="C77" s="522">
        <f>IFERROR(IF($L77&gt;0,IF(INDEX('Invullen groen'!$N:$N,$L77)&gt;0,INDEX('Invullen groen'!$N:$N,$L77),""),""),"")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IFERROR(IF($L77&gt;0,IF(INDEX('Invullen groen'!$H:$H,$L77)=0,"",INT(INDEX('Invullen groen'!$H:$H,$L77))),""),"")</f>
        <v/>
      </c>
      <c r="G77" s="523">
        <f>IFERROR(IF($L77&gt;0,IF(INDEX('Invullen groen'!$I:$I,$L77)=0,"",INT(INDEX('Invullen groen'!$I:$I,$L77))),""),"")</f>
        <v/>
      </c>
      <c r="H77" s="523">
        <f>IFERROR(IF($L77&gt;0,IF(INDEX('Invullen groen'!$J:$J,$L77)=0,"",INT(INDEX('Invullen groen'!$J:$J,$L77))),""),"")</f>
        <v/>
      </c>
      <c r="I77" s="523">
        <f>IFERROR(IF($L77&gt;0,IF(INDEX('Invullen groen'!$K:$K,$L77)=0,"",INT(INDEX('Invullen groen'!$K:$K,$L77))),""),"")</f>
        <v/>
      </c>
      <c r="J77" s="522">
        <f>IF($L77&gt;0,IFERROR($K$1&amp;" "&amp;TRIM(SUBSTITUTE(SUBSTITUTE(SUBSTITUTE(SUBSTITUTE(SUBSTITUTE(SUBSTITUTE(SUBSTITUTE(SUBSTITUTE(SUBSTITUTE(SUBSTITUTE(SUBSTITUTE(SUBSTITUTE(LOWER(IF(LEFT(TEXT(INDEX('Invullen groen'!$E:$E,$L77),"0"),1)="6",INDEX('Invullen groen'!$O:$O,$L77),IF(INDEX('Invullen groen'!$N:$N,$L77)&gt;0,INDEX('Invullen groen'!$G:$G,$L77),INDEX('Invullen groen'!$O:$O,$L77)))),"2024",""),"2025",""),"2026",""),"2027",""),"2028",""),"2029",""),"taakveld ",""),"installaties","inst"),"ruwbouw","ruwb"),"afbouw","afb"),"bijstelling","bijst"),"investeringen","invest")),""),")</f>
        <v/>
      </c>
      <c r="K77" s="526" t="n"/>
      <c r="L77">
        <f>IFERROR(MATCH(ROW()-4,'Invullen groen'!$P$17:$P$109,0)+16,0)</f>
        <v/>
      </c>
    </row>
    <row r="78" hidden="1" ht="15" customHeight="1">
      <c r="A78" s="524">
        <f>IFERROR(IF($L78&gt;0,INDEX('Invullen groen'!$E:$E,$L78),""),"")</f>
        <v/>
      </c>
      <c r="B78" s="524">
        <f>IFERROR(IF($L78&gt;0,IF(INDEX('Invullen groen'!$F:$F,$L78)&gt;0,INDEX('Invullen groen'!$F:$F,$L78),""),""),"")</f>
        <v/>
      </c>
      <c r="C78" s="524">
        <f>IFERROR(IF($L78&gt;0,IF(INDEX('Invullen groen'!$N:$N,$L78)&gt;0,INDEX('Invullen groen'!$N:$N,$L78),""),""),"")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IFERROR(IF($L78&gt;0,IF(INDEX('Invullen groen'!$H:$H,$L78)=0,"",INT(INDEX('Invullen groen'!$H:$H,$L78))),""),"")</f>
        <v/>
      </c>
      <c r="G78" s="525">
        <f>IFERROR(IF($L78&gt;0,IF(INDEX('Invullen groen'!$I:$I,$L78)=0,"",INT(INDEX('Invullen groen'!$I:$I,$L78))),""),"")</f>
        <v/>
      </c>
      <c r="H78" s="525">
        <f>IFERROR(IF($L78&gt;0,IF(INDEX('Invullen groen'!$J:$J,$L78)=0,"",INT(INDEX('Invullen groen'!$J:$J,$L78))),""),"")</f>
        <v/>
      </c>
      <c r="I78" s="525">
        <f>IFERROR(IF($L78&gt;0,IF(INDEX('Invullen groen'!$K:$K,$L78)=0,"",INT(INDEX('Invullen groen'!$K:$K,$L78))),""),"")</f>
        <v/>
      </c>
      <c r="J78" s="524">
        <f>IF($L78&gt;0,IFERROR($K$1&amp;" "&amp;TRIM(SUBSTITUTE(SUBSTITUTE(SUBSTITUTE(SUBSTITUTE(SUBSTITUTE(SUBSTITUTE(SUBSTITUTE(SUBSTITUTE(SUBSTITUTE(SUBSTITUTE(SUBSTITUTE(SUBSTITUTE(LOWER(IF(LEFT(TEXT(INDEX('Invullen groen'!$E:$E,$L78),"0"),1)="6",INDEX('Invullen groen'!$O:$O,$L78),IF(INDEX('Invullen groen'!$N:$N,$L78)&gt;0,INDEX('Invullen groen'!$G:$G,$L78),INDEX('Invullen groen'!$O:$O,$L78)))),"2024",""),"2025",""),"2026",""),"2027",""),"2028",""),"2029",""),"taakveld ",""),"installaties","inst"),"ruwbouw","ruwb"),"afbouw","afb"),"bijstelling","bijst"),"investeringen","invest")),""),")</f>
        <v/>
      </c>
      <c r="K78" s="508" t="n"/>
      <c r="L78">
        <f>IFERROR(MATCH(ROW()-4,'Invullen groen'!$P$17:$P$109,0)+16,0)</f>
        <v/>
      </c>
    </row>
    <row r="79" hidden="1" ht="15" customHeight="1">
      <c r="A79" s="522">
        <f>IFERROR(IF($L79&gt;0,INDEX('Invullen groen'!$E:$E,$L79),""),"")</f>
        <v/>
      </c>
      <c r="B79" s="522">
        <f>IFERROR(IF($L79&gt;0,IF(INDEX('Invullen groen'!$F:$F,$L79)&gt;0,INDEX('Invullen groen'!$F:$F,$L79),""),""),"")</f>
        <v/>
      </c>
      <c r="C79" s="522">
        <f>IFERROR(IF($L79&gt;0,IF(INDEX('Invullen groen'!$N:$N,$L79)&gt;0,INDEX('Invullen groen'!$N:$N,$L79),""),""),"")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IFERROR(IF($L79&gt;0,IF(INDEX('Invullen groen'!$H:$H,$L79)=0,"",INT(INDEX('Invullen groen'!$H:$H,$L79))),""),"")</f>
        <v/>
      </c>
      <c r="G79" s="523">
        <f>IFERROR(IF($L79&gt;0,IF(INDEX('Invullen groen'!$I:$I,$L79)=0,"",INT(INDEX('Invullen groen'!$I:$I,$L79))),""),"")</f>
        <v/>
      </c>
      <c r="H79" s="523">
        <f>IFERROR(IF($L79&gt;0,IF(INDEX('Invullen groen'!$J:$J,$L79)=0,"",INT(INDEX('Invullen groen'!$J:$J,$L79))),""),"")</f>
        <v/>
      </c>
      <c r="I79" s="523">
        <f>IFERROR(IF($L79&gt;0,IF(INDEX('Invullen groen'!$K:$K,$L79)=0,"",INT(INDEX('Invullen groen'!$K:$K,$L79))),""),"")</f>
        <v/>
      </c>
      <c r="J79" s="522">
        <f>IF($L79&gt;0,IFERROR($K$1&amp;" "&amp;TRIM(SUBSTITUTE(SUBSTITUTE(SUBSTITUTE(SUBSTITUTE(SUBSTITUTE(SUBSTITUTE(SUBSTITUTE(SUBSTITUTE(SUBSTITUTE(SUBSTITUTE(SUBSTITUTE(SUBSTITUTE(LOWER(IF(LEFT(TEXT(INDEX('Invullen groen'!$E:$E,$L79),"0"),1)="6",INDEX('Invullen groen'!$O:$O,$L79),IF(INDEX('Invullen groen'!$N:$N,$L79)&gt;0,INDEX('Invullen groen'!$G:$G,$L79),INDEX('Invullen groen'!$O:$O,$L79)))),"2024",""),"2025",""),"2026",""),"2027",""),"2028",""),"2029",""),"taakveld ",""),"installaties","inst"),"ruwbouw","ruwb"),"afbouw","afb"),"bijstelling","bijst"),"investeringen","invest")),""),")</f>
        <v/>
      </c>
      <c r="K79" s="526" t="n"/>
      <c r="L79">
        <f>IFERROR(MATCH(ROW()-4,'Invullen groen'!$P$17:$P$109,0)+16,0)</f>
        <v/>
      </c>
    </row>
    <row r="80" hidden="1" ht="15" customHeight="1">
      <c r="A80" s="524">
        <f>IFERROR(IF($L80&gt;0,INDEX('Invullen groen'!$E:$E,$L80),""),"")</f>
        <v/>
      </c>
      <c r="B80" s="524">
        <f>IFERROR(IF($L80&gt;0,IF(INDEX('Invullen groen'!$F:$F,$L80)&gt;0,INDEX('Invullen groen'!$F:$F,$L80),""),""),"")</f>
        <v/>
      </c>
      <c r="C80" s="524">
        <f>IFERROR(IF($L80&gt;0,IF(INDEX('Invullen groen'!$N:$N,$L80)&gt;0,INDEX('Invullen groen'!$N:$N,$L80),""),""),"")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IFERROR(IF($L80&gt;0,IF(INDEX('Invullen groen'!$H:$H,$L80)=0,"",INT(INDEX('Invullen groen'!$H:$H,$L80))),""),"")</f>
        <v/>
      </c>
      <c r="G80" s="525">
        <f>IFERROR(IF($L80&gt;0,IF(INDEX('Invullen groen'!$I:$I,$L80)=0,"",INT(INDEX('Invullen groen'!$I:$I,$L80))),""),"")</f>
        <v/>
      </c>
      <c r="H80" s="525">
        <f>IFERROR(IF($L80&gt;0,IF(INDEX('Invullen groen'!$J:$J,$L80)=0,"",INT(INDEX('Invullen groen'!$J:$J,$L80))),""),"")</f>
        <v/>
      </c>
      <c r="I80" s="525">
        <f>IFERROR(IF($L80&gt;0,IF(INDEX('Invullen groen'!$K:$K,$L80)=0,"",INT(INDEX('Invullen groen'!$K:$K,$L80))),""),"")</f>
        <v/>
      </c>
      <c r="J80" s="524">
        <f>IF($L80&gt;0,IFERROR($K$1&amp;" "&amp;TRIM(SUBSTITUTE(SUBSTITUTE(SUBSTITUTE(SUBSTITUTE(SUBSTITUTE(SUBSTITUTE(SUBSTITUTE(SUBSTITUTE(SUBSTITUTE(SUBSTITUTE(SUBSTITUTE(SUBSTITUTE(LOWER(IF(LEFT(TEXT(INDEX('Invullen groen'!$E:$E,$L80),"0"),1)="6",INDEX('Invullen groen'!$O:$O,$L80),IF(INDEX('Invullen groen'!$N:$N,$L80)&gt;0,INDEX('Invullen groen'!$G:$G,$L80),INDEX('Invullen groen'!$O:$O,$L80)))),"2024",""),"2025",""),"2026",""),"2027",""),"2028",""),"2029",""),"taakveld ",""),"installaties","inst"),"ruwbouw","ruwb"),"afbouw","afb"),"bijstelling","bijst"),"investeringen","invest")),""),")</f>
        <v/>
      </c>
      <c r="K80" s="508" t="n"/>
      <c r="L80">
        <f>IFERROR(MATCH(ROW()-4,'Invullen groen'!$P$17:$P$109,0)+16,0)</f>
        <v/>
      </c>
    </row>
    <row r="81" hidden="1" ht="15" customHeight="1">
      <c r="A81" s="522">
        <f>IFERROR(IF($L81&gt;0,INDEX('Invullen groen'!$E:$E,$L81),""),"")</f>
        <v/>
      </c>
      <c r="B81" s="522">
        <f>IFERROR(IF($L81&gt;0,IF(INDEX('Invullen groen'!$F:$F,$L81)&gt;0,INDEX('Invullen groen'!$F:$F,$L81),""),""),"")</f>
        <v/>
      </c>
      <c r="C81" s="522">
        <f>IFERROR(IF($L81&gt;0,IF(INDEX('Invullen groen'!$N:$N,$L81)&gt;0,INDEX('Invullen groen'!$N:$N,$L81),""),""),"")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IFERROR(IF($L81&gt;0,IF(INDEX('Invullen groen'!$H:$H,$L81)=0,"",INT(INDEX('Invullen groen'!$H:$H,$L81))),""),"")</f>
        <v/>
      </c>
      <c r="G81" s="523">
        <f>IFERROR(IF($L81&gt;0,IF(INDEX('Invullen groen'!$I:$I,$L81)=0,"",INT(INDEX('Invullen groen'!$I:$I,$L81))),""),"")</f>
        <v/>
      </c>
      <c r="H81" s="523">
        <f>IFERROR(IF($L81&gt;0,IF(INDEX('Invullen groen'!$J:$J,$L81)=0,"",INT(INDEX('Invullen groen'!$J:$J,$L81))),""),"")</f>
        <v/>
      </c>
      <c r="I81" s="523">
        <f>IFERROR(IF($L81&gt;0,IF(INDEX('Invullen groen'!$K:$K,$L81)=0,"",INT(INDEX('Invullen groen'!$K:$K,$L81))),""),"")</f>
        <v/>
      </c>
      <c r="J81" s="522">
        <f>IF($L81&gt;0,IFERROR($K$1&amp;" "&amp;TRIM(SUBSTITUTE(SUBSTITUTE(SUBSTITUTE(SUBSTITUTE(SUBSTITUTE(SUBSTITUTE(SUBSTITUTE(SUBSTITUTE(SUBSTITUTE(SUBSTITUTE(SUBSTITUTE(SUBSTITUTE(LOWER(IF(LEFT(TEXT(INDEX('Invullen groen'!$E:$E,$L81),"0"),1)="6",INDEX('Invullen groen'!$O:$O,$L81),IF(INDEX('Invullen groen'!$N:$N,$L81)&gt;0,INDEX('Invullen groen'!$G:$G,$L81),INDEX('Invullen groen'!$O:$O,$L81)))),"2024",""),"2025",""),"2026",""),"2027",""),"2028",""),"2029",""),"taakveld ",""),"installaties","inst"),"ruwbouw","ruwb"),"afbouw","afb"),"bijstelling","bijst"),"investeringen","invest")),""),")</f>
        <v/>
      </c>
      <c r="K81" s="526" t="n"/>
      <c r="L81">
        <f>IFERROR(MATCH(ROW()-4,'Invullen groen'!$P$17:$P$109,0)+16,0)</f>
        <v/>
      </c>
    </row>
    <row r="82" hidden="1" ht="15" customHeight="1">
      <c r="A82" s="524">
        <f>IFERROR(IF($L82&gt;0,INDEX('Invullen groen'!$E:$E,$L82),""),"")</f>
        <v/>
      </c>
      <c r="B82" s="524">
        <f>IFERROR(IF($L82&gt;0,IF(INDEX('Invullen groen'!$F:$F,$L82)&gt;0,INDEX('Invullen groen'!$F:$F,$L82),""),""),"")</f>
        <v/>
      </c>
      <c r="C82" s="524">
        <f>IFERROR(IF($L82&gt;0,IF(INDEX('Invullen groen'!$N:$N,$L82)&gt;0,INDEX('Invullen groen'!$N:$N,$L82),""),""),"")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IFERROR(IF($L82&gt;0,IF(INDEX('Invullen groen'!$H:$H,$L82)=0,"",INT(INDEX('Invullen groen'!$H:$H,$L82))),""),"")</f>
        <v/>
      </c>
      <c r="G82" s="525">
        <f>IFERROR(IF($L82&gt;0,IF(INDEX('Invullen groen'!$I:$I,$L82)=0,"",INT(INDEX('Invullen groen'!$I:$I,$L82))),""),"")</f>
        <v/>
      </c>
      <c r="H82" s="525">
        <f>IFERROR(IF($L82&gt;0,IF(INDEX('Invullen groen'!$J:$J,$L82)=0,"",INT(INDEX('Invullen groen'!$J:$J,$L82))),""),"")</f>
        <v/>
      </c>
      <c r="I82" s="525">
        <f>IFERROR(IF($L82&gt;0,IF(INDEX('Invullen groen'!$K:$K,$L82)=0,"",INT(INDEX('Invullen groen'!$K:$K,$L82))),""),"")</f>
        <v/>
      </c>
      <c r="J82" s="524">
        <f>IF($L82&gt;0,IFERROR($K$1&amp;" "&amp;TRIM(SUBSTITUTE(SUBSTITUTE(SUBSTITUTE(SUBSTITUTE(SUBSTITUTE(SUBSTITUTE(SUBSTITUTE(SUBSTITUTE(SUBSTITUTE(SUBSTITUTE(SUBSTITUTE(SUBSTITUTE(LOWER(IF(LEFT(TEXT(INDEX('Invullen groen'!$E:$E,$L82),"0"),1)="6",INDEX('Invullen groen'!$O:$O,$L82),IF(INDEX('Invullen groen'!$N:$N,$L82)&gt;0,INDEX('Invullen groen'!$G:$G,$L82),INDEX('Invullen groen'!$O:$O,$L82)))),"2024",""),"2025",""),"2026",""),"2027",""),"2028",""),"2029",""),"taakveld ",""),"installaties","inst"),"ruwbouw","ruwb"),"afbouw","afb"),"bijstelling","bijst"),"investeringen","invest")),""),")</f>
        <v/>
      </c>
      <c r="K82" s="508" t="n"/>
      <c r="L82">
        <f>IFERROR(MATCH(ROW()-4,'Invullen groen'!$P$17:$P$109,0)+16,0)</f>
        <v/>
      </c>
    </row>
    <row r="83" hidden="1" ht="15" customHeight="1">
      <c r="A83" s="522">
        <f>IFERROR(IF($L83&gt;0,INDEX('Invullen groen'!$E:$E,$L83),""),"")</f>
        <v/>
      </c>
      <c r="B83" s="522">
        <f>IFERROR(IF($L83&gt;0,IF(INDEX('Invullen groen'!$F:$F,$L83)&gt;0,INDEX('Invullen groen'!$F:$F,$L83),""),""),"")</f>
        <v/>
      </c>
      <c r="C83" s="522">
        <f>IFERROR(IF($L83&gt;0,IF(INDEX('Invullen groen'!$N:$N,$L83)&gt;0,INDEX('Invullen groen'!$N:$N,$L83),""),""),"")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IFERROR(IF($L83&gt;0,IF(INDEX('Invullen groen'!$H:$H,$L83)=0,"",INT(INDEX('Invullen groen'!$H:$H,$L83))),""),"")</f>
        <v/>
      </c>
      <c r="G83" s="523">
        <f>IFERROR(IF($L83&gt;0,IF(INDEX('Invullen groen'!$I:$I,$L83)=0,"",INT(INDEX('Invullen groen'!$I:$I,$L83))),""),"")</f>
        <v/>
      </c>
      <c r="H83" s="523">
        <f>IFERROR(IF($L83&gt;0,IF(INDEX('Invullen groen'!$J:$J,$L83)=0,"",INT(INDEX('Invullen groen'!$J:$J,$L83))),""),"")</f>
        <v/>
      </c>
      <c r="I83" s="523">
        <f>IFERROR(IF($L83&gt;0,IF(INDEX('Invullen groen'!$K:$K,$L83)=0,"",INT(INDEX('Invullen groen'!$K:$K,$L83))),""),"")</f>
        <v/>
      </c>
      <c r="J83" s="522">
        <f>IF($L83&gt;0,IFERROR($K$1&amp;" "&amp;TRIM(SUBSTITUTE(SUBSTITUTE(SUBSTITUTE(SUBSTITUTE(SUBSTITUTE(SUBSTITUTE(SUBSTITUTE(SUBSTITUTE(SUBSTITUTE(SUBSTITUTE(SUBSTITUTE(SUBSTITUTE(LOWER(IF(LEFT(TEXT(INDEX('Invullen groen'!$E:$E,$L83),"0"),1)="6",INDEX('Invullen groen'!$O:$O,$L83),IF(INDEX('Invullen groen'!$N:$N,$L83)&gt;0,INDEX('Invullen groen'!$G:$G,$L83),INDEX('Invullen groen'!$O:$O,$L83)))),"2024",""),"2025",""),"2026",""),"2027",""),"2028",""),"2029",""),"taakveld ",""),"installaties","inst"),"ruwbouw","ruwb"),"afbouw","afb"),"bijstelling","bijst"),"investeringen","invest")),""),")</f>
        <v/>
      </c>
      <c r="K83" s="526" t="n"/>
      <c r="L83">
        <f>IFERROR(MATCH(ROW()-4,'Invullen groen'!$P$17:$P$109,0)+16,0)</f>
        <v/>
      </c>
    </row>
    <row r="84" hidden="1" ht="15" customHeight="1">
      <c r="A84" s="524">
        <f>IFERROR(IF($L84&gt;0,INDEX('Invullen groen'!$E:$E,$L84),""),"")</f>
        <v/>
      </c>
      <c r="B84" s="524">
        <f>IFERROR(IF($L84&gt;0,IF(INDEX('Invullen groen'!$F:$F,$L84)&gt;0,INDEX('Invullen groen'!$F:$F,$L84),""),""),"")</f>
        <v/>
      </c>
      <c r="C84" s="524">
        <f>IFERROR(IF($L84&gt;0,IF(INDEX('Invullen groen'!$N:$N,$L84)&gt;0,INDEX('Invullen groen'!$N:$N,$L84),""),""),"")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IFERROR(IF($L84&gt;0,IF(INDEX('Invullen groen'!$H:$H,$L84)=0,"",INT(INDEX('Invullen groen'!$H:$H,$L84))),""),"")</f>
        <v/>
      </c>
      <c r="G84" s="525">
        <f>IFERROR(IF($L84&gt;0,IF(INDEX('Invullen groen'!$I:$I,$L84)=0,"",INT(INDEX('Invullen groen'!$I:$I,$L84))),""),"")</f>
        <v/>
      </c>
      <c r="H84" s="525">
        <f>IFERROR(IF($L84&gt;0,IF(INDEX('Invullen groen'!$J:$J,$L84)=0,"",INT(INDEX('Invullen groen'!$J:$J,$L84))),""),"")</f>
        <v/>
      </c>
      <c r="I84" s="525">
        <f>IFERROR(IF($L84&gt;0,IF(INDEX('Invullen groen'!$K:$K,$L84)=0,"",INT(INDEX('Invullen groen'!$K:$K,$L84))),""),"")</f>
        <v/>
      </c>
      <c r="J84" s="524">
        <f>IF($L84&gt;0,IFERROR($K$1&amp;" "&amp;TRIM(SUBSTITUTE(SUBSTITUTE(SUBSTITUTE(SUBSTITUTE(SUBSTITUTE(SUBSTITUTE(SUBSTITUTE(SUBSTITUTE(SUBSTITUTE(SUBSTITUTE(SUBSTITUTE(SUBSTITUTE(LOWER(IF(LEFT(TEXT(INDEX('Invullen groen'!$E:$E,$L84),"0"),1)="6",INDEX('Invullen groen'!$O:$O,$L84),IF(INDEX('Invullen groen'!$N:$N,$L84)&gt;0,INDEX('Invullen groen'!$G:$G,$L84),INDEX('Invullen groen'!$O:$O,$L84)))),"2024",""),"2025",""),"2026",""),"2027",""),"2028",""),"2029",""),"taakveld ",""),"installaties","inst"),"ruwbouw","ruwb"),"afbouw","afb"),"bijstelling","bijst"),"investeringen","invest")),""),")</f>
        <v/>
      </c>
      <c r="K84" s="508" t="n"/>
      <c r="L84">
        <f>IFERROR(MATCH(ROW()-4,'Invullen groen'!$P$17:$P$109,0)+16,0)</f>
        <v/>
      </c>
    </row>
    <row r="85" hidden="1" ht="15" customHeight="1">
      <c r="A85" s="522">
        <f>IFERROR(IF($L85&gt;0,INDEX('Invullen groen'!$E:$E,$L85),""),"")</f>
        <v/>
      </c>
      <c r="B85" s="522">
        <f>IFERROR(IF($L85&gt;0,IF(INDEX('Invullen groen'!$F:$F,$L85)&gt;0,INDEX('Invullen groen'!$F:$F,$L85),""),""),"")</f>
        <v/>
      </c>
      <c r="C85" s="522">
        <f>IFERROR(IF($L85&gt;0,IF(INDEX('Invullen groen'!$N:$N,$L85)&gt;0,INDEX('Invullen groen'!$N:$N,$L85),""),""),"")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IFERROR(IF($L85&gt;0,IF(INDEX('Invullen groen'!$H:$H,$L85)=0,"",INT(INDEX('Invullen groen'!$H:$H,$L85))),""),"")</f>
        <v/>
      </c>
      <c r="G85" s="523">
        <f>IFERROR(IF($L85&gt;0,IF(INDEX('Invullen groen'!$I:$I,$L85)=0,"",INT(INDEX('Invullen groen'!$I:$I,$L85))),""),"")</f>
        <v/>
      </c>
      <c r="H85" s="523">
        <f>IFERROR(IF($L85&gt;0,IF(INDEX('Invullen groen'!$J:$J,$L85)=0,"",INT(INDEX('Invullen groen'!$J:$J,$L85))),""),"")</f>
        <v/>
      </c>
      <c r="I85" s="523">
        <f>IFERROR(IF($L85&gt;0,IF(INDEX('Invullen groen'!$K:$K,$L85)=0,"",INT(INDEX('Invullen groen'!$K:$K,$L85))),""),"")</f>
        <v/>
      </c>
      <c r="J85" s="522">
        <f>IF($L85&gt;0,IFERROR($K$1&amp;" "&amp;TRIM(SUBSTITUTE(SUBSTITUTE(SUBSTITUTE(SUBSTITUTE(SUBSTITUTE(SUBSTITUTE(SUBSTITUTE(SUBSTITUTE(SUBSTITUTE(SUBSTITUTE(SUBSTITUTE(SUBSTITUTE(LOWER(IF(LEFT(TEXT(INDEX('Invullen groen'!$E:$E,$L85),"0"),1)="6",INDEX('Invullen groen'!$O:$O,$L85),IF(INDEX('Invullen groen'!$N:$N,$L85)&gt;0,INDEX('Invullen groen'!$G:$G,$L85),INDEX('Invullen groen'!$O:$O,$L85)))),"2024",""),"2025",""),"2026",""),"2027",""),"2028",""),"2029",""),"taakveld ",""),"installaties","inst"),"ruwbouw","ruwb"),"afbouw","afb"),"bijstelling","bijst"),"investeringen","invest")),""),")</f>
        <v/>
      </c>
      <c r="K85" s="526" t="n"/>
      <c r="L85">
        <f>IFERROR(MATCH(ROW()-4,'Invullen groen'!$P$17:$P$109,0)+16,0)</f>
        <v/>
      </c>
    </row>
    <row r="86" hidden="1" ht="15" customHeight="1">
      <c r="A86" s="524">
        <f>IFERROR(IF($L86&gt;0,INDEX('Invullen groen'!$E:$E,$L86),""),"")</f>
        <v/>
      </c>
      <c r="B86" s="524">
        <f>IFERROR(IF($L86&gt;0,IF(INDEX('Invullen groen'!$F:$F,$L86)&gt;0,INDEX('Invullen groen'!$F:$F,$L86),""),""),"")</f>
        <v/>
      </c>
      <c r="C86" s="524">
        <f>IFERROR(IF($L86&gt;0,IF(INDEX('Invullen groen'!$N:$N,$L86)&gt;0,INDEX('Invullen groen'!$N:$N,$L86),""),""),"")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IFERROR(IF($L86&gt;0,IF(INDEX('Invullen groen'!$H:$H,$L86)=0,"",INT(INDEX('Invullen groen'!$H:$H,$L86))),""),"")</f>
        <v/>
      </c>
      <c r="G86" s="525">
        <f>IFERROR(IF($L86&gt;0,IF(INDEX('Invullen groen'!$I:$I,$L86)=0,"",INT(INDEX('Invullen groen'!$I:$I,$L86))),""),"")</f>
        <v/>
      </c>
      <c r="H86" s="525">
        <f>IFERROR(IF($L86&gt;0,IF(INDEX('Invullen groen'!$J:$J,$L86)=0,"",INT(INDEX('Invullen groen'!$J:$J,$L86))),""),"")</f>
        <v/>
      </c>
      <c r="I86" s="525">
        <f>IFERROR(IF($L86&gt;0,IF(INDEX('Invullen groen'!$K:$K,$L86)=0,"",INT(INDEX('Invullen groen'!$K:$K,$L86))),""),"")</f>
        <v/>
      </c>
      <c r="J86" s="524">
        <f>IF($L86&gt;0,IFERROR($K$1&amp;" "&amp;TRIM(SUBSTITUTE(SUBSTITUTE(SUBSTITUTE(SUBSTITUTE(SUBSTITUTE(SUBSTITUTE(SUBSTITUTE(SUBSTITUTE(SUBSTITUTE(SUBSTITUTE(SUBSTITUTE(SUBSTITUTE(LOWER(IF(LEFT(TEXT(INDEX('Invullen groen'!$E:$E,$L86),"0"),1)="6",INDEX('Invullen groen'!$O:$O,$L86),IF(INDEX('Invullen groen'!$N:$N,$L86)&gt;0,INDEX('Invullen groen'!$G:$G,$L86),INDEX('Invullen groen'!$O:$O,$L86)))),"2024",""),"2025",""),"2026",""),"2027",""),"2028",""),"2029",""),"taakveld ",""),"installaties","inst"),"ruwbouw","ruwb"),"afbouw","afb"),"bijstelling","bijst"),"investeringen","invest")),""),")</f>
        <v/>
      </c>
      <c r="K86" s="508" t="n"/>
      <c r="L86">
        <f>IFERROR(MATCH(ROW()-4,'Invullen groen'!$P$17:$P$109,0)+16,0)</f>
        <v/>
      </c>
    </row>
    <row r="87" hidden="1" ht="15" customHeight="1">
      <c r="A87" s="522">
        <f>IFERROR(IF($L87&gt;0,INDEX('Invullen groen'!$E:$E,$L87),""),"")</f>
        <v/>
      </c>
      <c r="B87" s="522">
        <f>IFERROR(IF($L87&gt;0,IF(INDEX('Invullen groen'!$F:$F,$L87)&gt;0,INDEX('Invullen groen'!$F:$F,$L87),""),""),"")</f>
        <v/>
      </c>
      <c r="C87" s="522">
        <f>IFERROR(IF($L87&gt;0,IF(INDEX('Invullen groen'!$N:$N,$L87)&gt;0,INDEX('Invullen groen'!$N:$N,$L87),""),""),"")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IFERROR(IF($L87&gt;0,IF(INDEX('Invullen groen'!$H:$H,$L87)=0,"",INT(INDEX('Invullen groen'!$H:$H,$L87))),""),"")</f>
        <v/>
      </c>
      <c r="G87" s="523">
        <f>IFERROR(IF($L87&gt;0,IF(INDEX('Invullen groen'!$I:$I,$L87)=0,"",INT(INDEX('Invullen groen'!$I:$I,$L87))),""),"")</f>
        <v/>
      </c>
      <c r="H87" s="523">
        <f>IFERROR(IF($L87&gt;0,IF(INDEX('Invullen groen'!$J:$J,$L87)=0,"",INT(INDEX('Invullen groen'!$J:$J,$L87))),""),"")</f>
        <v/>
      </c>
      <c r="I87" s="523">
        <f>IFERROR(IF($L87&gt;0,IF(INDEX('Invullen groen'!$K:$K,$L87)=0,"",INT(INDEX('Invullen groen'!$K:$K,$L87))),""),"")</f>
        <v/>
      </c>
      <c r="J87" s="522">
        <f>IF($L87&gt;0,IFERROR($K$1&amp;" "&amp;TRIM(SUBSTITUTE(SUBSTITUTE(SUBSTITUTE(SUBSTITUTE(SUBSTITUTE(SUBSTITUTE(SUBSTITUTE(SUBSTITUTE(SUBSTITUTE(SUBSTITUTE(SUBSTITUTE(SUBSTITUTE(LOWER(IF(LEFT(TEXT(INDEX('Invullen groen'!$E:$E,$L87),"0"),1)="6",INDEX('Invullen groen'!$O:$O,$L87),IF(INDEX('Invullen groen'!$N:$N,$L87)&gt;0,INDEX('Invullen groen'!$G:$G,$L87),INDEX('Invullen groen'!$O:$O,$L87)))),"2024",""),"2025",""),"2026",""),"2027",""),"2028",""),"2029",""),"taakveld ",""),"installaties","inst"),"ruwbouw","ruwb"),"afbouw","afb"),"bijstelling","bijst"),"investeringen","invest")),""),")</f>
        <v/>
      </c>
      <c r="K87" s="526" t="n"/>
      <c r="L87">
        <f>IFERROR(MATCH(ROW()-4,'Invullen groen'!$P$17:$P$109,0)+16,0)</f>
        <v/>
      </c>
    </row>
    <row r="88" hidden="1" ht="15" customHeight="1">
      <c r="A88" s="524">
        <f>IFERROR(IF($L88&gt;0,INDEX('Invullen groen'!$E:$E,$L88),""),"")</f>
        <v/>
      </c>
      <c r="B88" s="524">
        <f>IFERROR(IF($L88&gt;0,IF(INDEX('Invullen groen'!$F:$F,$L88)&gt;0,INDEX('Invullen groen'!$F:$F,$L88),""),""),"")</f>
        <v/>
      </c>
      <c r="C88" s="524">
        <f>IFERROR(IF($L88&gt;0,IF(INDEX('Invullen groen'!$N:$N,$L88)&gt;0,INDEX('Invullen groen'!$N:$N,$L88),""),""),"")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IFERROR(IF($L88&gt;0,IF(INDEX('Invullen groen'!$H:$H,$L88)=0,"",INT(INDEX('Invullen groen'!$H:$H,$L88))),""),"")</f>
        <v/>
      </c>
      <c r="G88" s="525">
        <f>IFERROR(IF($L88&gt;0,IF(INDEX('Invullen groen'!$I:$I,$L88)=0,"",INT(INDEX('Invullen groen'!$I:$I,$L88))),""),"")</f>
        <v/>
      </c>
      <c r="H88" s="525">
        <f>IFERROR(IF($L88&gt;0,IF(INDEX('Invullen groen'!$J:$J,$L88)=0,"",INT(INDEX('Invullen groen'!$J:$J,$L88))),""),"")</f>
        <v/>
      </c>
      <c r="I88" s="525">
        <f>IFERROR(IF($L88&gt;0,IF(INDEX('Invullen groen'!$K:$K,$L88)=0,"",INT(INDEX('Invullen groen'!$K:$K,$L88))),""),"")</f>
        <v/>
      </c>
      <c r="J88" s="524">
        <f>IF($L88&gt;0,IFERROR($K$1&amp;" "&amp;TRIM(SUBSTITUTE(SUBSTITUTE(SUBSTITUTE(SUBSTITUTE(SUBSTITUTE(SUBSTITUTE(SUBSTITUTE(SUBSTITUTE(SUBSTITUTE(SUBSTITUTE(SUBSTITUTE(SUBSTITUTE(LOWER(IF(LEFT(TEXT(INDEX('Invullen groen'!$E:$E,$L88),"0"),1)="6",INDEX('Invullen groen'!$O:$O,$L88),IF(INDEX('Invullen groen'!$N:$N,$L88)&gt;0,INDEX('Invullen groen'!$G:$G,$L88),INDEX('Invullen groen'!$O:$O,$L88)))),"2024",""),"2025",""),"2026",""),"2027",""),"2028",""),"2029",""),"taakveld ",""),"installaties","inst"),"ruwbouw","ruwb"),"afbouw","afb"),"bijstelling","bijst"),"investeringen","invest")),""),")</f>
        <v/>
      </c>
      <c r="K88" s="508" t="n"/>
      <c r="L88">
        <f>IFERROR(MATCH(ROW()-4,'Invullen groen'!$P$17:$P$109,0)+16,0)</f>
        <v/>
      </c>
    </row>
    <row r="89" hidden="1" ht="15" customHeight="1">
      <c r="A89" s="522">
        <f>IFERROR(IF($L89&gt;0,INDEX('Invullen groen'!$E:$E,$L89),""),"")</f>
        <v/>
      </c>
      <c r="B89" s="522">
        <f>IFERROR(IF($L89&gt;0,IF(INDEX('Invullen groen'!$F:$F,$L89)&gt;0,INDEX('Invullen groen'!$F:$F,$L89),""),""),"")</f>
        <v/>
      </c>
      <c r="C89" s="522">
        <f>IFERROR(IF($L89&gt;0,IF(INDEX('Invullen groen'!$N:$N,$L89)&gt;0,INDEX('Invullen groen'!$N:$N,$L89),""),""),"")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IFERROR(IF($L89&gt;0,IF(INDEX('Invullen groen'!$H:$H,$L89)=0,"",INT(INDEX('Invullen groen'!$H:$H,$L89))),""),"")</f>
        <v/>
      </c>
      <c r="G89" s="523">
        <f>IFERROR(IF($L89&gt;0,IF(INDEX('Invullen groen'!$I:$I,$L89)=0,"",INT(INDEX('Invullen groen'!$I:$I,$L89))),""),"")</f>
        <v/>
      </c>
      <c r="H89" s="523">
        <f>IFERROR(IF($L89&gt;0,IF(INDEX('Invullen groen'!$J:$J,$L89)=0,"",INT(INDEX('Invullen groen'!$J:$J,$L89))),""),"")</f>
        <v/>
      </c>
      <c r="I89" s="523">
        <f>IFERROR(IF($L89&gt;0,IF(INDEX('Invullen groen'!$K:$K,$L89)=0,"",INT(INDEX('Invullen groen'!$K:$K,$L89))),""),"")</f>
        <v/>
      </c>
      <c r="J89" s="522">
        <f>IF($L89&gt;0,IFERROR($K$1&amp;" "&amp;TRIM(SUBSTITUTE(SUBSTITUTE(SUBSTITUTE(SUBSTITUTE(SUBSTITUTE(SUBSTITUTE(SUBSTITUTE(SUBSTITUTE(SUBSTITUTE(SUBSTITUTE(SUBSTITUTE(SUBSTITUTE(LOWER(IF(LEFT(TEXT(INDEX('Invullen groen'!$E:$E,$L89),"0"),1)="6",INDEX('Invullen groen'!$O:$O,$L89),IF(INDEX('Invullen groen'!$N:$N,$L89)&gt;0,INDEX('Invullen groen'!$G:$G,$L89),INDEX('Invullen groen'!$O:$O,$L89)))),"2024",""),"2025",""),"2026",""),"2027",""),"2028",""),"2029",""),"taakveld ",""),"installaties","inst"),"ruwbouw","ruwb"),"afbouw","afb"),"bijstelling","bijst"),"investeringen","invest")),""),")</f>
        <v/>
      </c>
      <c r="K89" s="526" t="n"/>
      <c r="L89">
        <f>IFERROR(MATCH(ROW()-4,'Invullen groen'!$P$17:$P$109,0)+16,0)</f>
        <v/>
      </c>
    </row>
    <row r="90" hidden="1" ht="15" customHeight="1">
      <c r="A90" s="524">
        <f>IFERROR(IF($L90&gt;0,INDEX('Invullen groen'!$E:$E,$L90),""),"")</f>
        <v/>
      </c>
      <c r="B90" s="524">
        <f>IFERROR(IF($L90&gt;0,IF(INDEX('Invullen groen'!$F:$F,$L90)&gt;0,INDEX('Invullen groen'!$F:$F,$L90),""),""),"")</f>
        <v/>
      </c>
      <c r="C90" s="524">
        <f>IFERROR(IF($L90&gt;0,IF(INDEX('Invullen groen'!$N:$N,$L90)&gt;0,INDEX('Invullen groen'!$N:$N,$L90),""),""),"")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IFERROR(IF($L90&gt;0,IF(INDEX('Invullen groen'!$H:$H,$L90)=0,"",INT(INDEX('Invullen groen'!$H:$H,$L90))),""),"")</f>
        <v/>
      </c>
      <c r="G90" s="525">
        <f>IFERROR(IF($L90&gt;0,IF(INDEX('Invullen groen'!$I:$I,$L90)=0,"",INT(INDEX('Invullen groen'!$I:$I,$L90))),""),"")</f>
        <v/>
      </c>
      <c r="H90" s="525">
        <f>IFERROR(IF($L90&gt;0,IF(INDEX('Invullen groen'!$J:$J,$L90)=0,"",INT(INDEX('Invullen groen'!$J:$J,$L90))),""),"")</f>
        <v/>
      </c>
      <c r="I90" s="525">
        <f>IFERROR(IF($L90&gt;0,IF(INDEX('Invullen groen'!$K:$K,$L90)=0,"",INT(INDEX('Invullen groen'!$K:$K,$L90))),""),"")</f>
        <v/>
      </c>
      <c r="J90" s="524">
        <f>IF($L90&gt;0,IFERROR($K$1&amp;" "&amp;TRIM(SUBSTITUTE(SUBSTITUTE(SUBSTITUTE(SUBSTITUTE(SUBSTITUTE(SUBSTITUTE(SUBSTITUTE(SUBSTITUTE(SUBSTITUTE(SUBSTITUTE(SUBSTITUTE(SUBSTITUTE(LOWER(IF(LEFT(TEXT(INDEX('Invullen groen'!$E:$E,$L90),"0"),1)="6",INDEX('Invullen groen'!$O:$O,$L90),IF(INDEX('Invullen groen'!$N:$N,$L90)&gt;0,INDEX('Invullen groen'!$G:$G,$L90),INDEX('Invullen groen'!$O:$O,$L90)))),"2024",""),"2025",""),"2026",""),"2027",""),"2028",""),"2029",""),"taakveld ",""),"installaties","inst"),"ruwbouw","ruwb"),"afbouw","afb"),"bijstelling","bijst"),"investeringen","invest")),""),")</f>
        <v/>
      </c>
      <c r="K90" s="508" t="n"/>
      <c r="L90">
        <f>IFERROR(MATCH(ROW()-4,'Invullen groen'!$P$17:$P$109,0)+16,0)</f>
        <v/>
      </c>
    </row>
    <row r="91" hidden="1" ht="15" customHeight="1">
      <c r="A91" s="522">
        <f>IFERROR(IF($L91&gt;0,INDEX('Invullen groen'!$E:$E,$L91),""),"")</f>
        <v/>
      </c>
      <c r="B91" s="522">
        <f>IFERROR(IF($L91&gt;0,IF(INDEX('Invullen groen'!$F:$F,$L91)&gt;0,INDEX('Invullen groen'!$F:$F,$L91),""),""),"")</f>
        <v/>
      </c>
      <c r="C91" s="522">
        <f>IFERROR(IF($L91&gt;0,IF(INDEX('Invullen groen'!$N:$N,$L91)&gt;0,INDEX('Invullen groen'!$N:$N,$L91),""),""),"")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IFERROR(IF($L91&gt;0,IF(INDEX('Invullen groen'!$H:$H,$L91)=0,"",INT(INDEX('Invullen groen'!$H:$H,$L91))),""),"")</f>
        <v/>
      </c>
      <c r="G91" s="523">
        <f>IFERROR(IF($L91&gt;0,IF(INDEX('Invullen groen'!$I:$I,$L91)=0,"",INT(INDEX('Invullen groen'!$I:$I,$L91))),""),"")</f>
        <v/>
      </c>
      <c r="H91" s="523">
        <f>IFERROR(IF($L91&gt;0,IF(INDEX('Invullen groen'!$J:$J,$L91)=0,"",INT(INDEX('Invullen groen'!$J:$J,$L91))),""),"")</f>
        <v/>
      </c>
      <c r="I91" s="523">
        <f>IFERROR(IF($L91&gt;0,IF(INDEX('Invullen groen'!$K:$K,$L91)=0,"",INT(INDEX('Invullen groen'!$K:$K,$L91))),""),"")</f>
        <v/>
      </c>
      <c r="J91" s="522">
        <f>IF($L91&gt;0,IFERROR($K$1&amp;" "&amp;TRIM(SUBSTITUTE(SUBSTITUTE(SUBSTITUTE(SUBSTITUTE(SUBSTITUTE(SUBSTITUTE(SUBSTITUTE(SUBSTITUTE(SUBSTITUTE(SUBSTITUTE(SUBSTITUTE(SUBSTITUTE(LOWER(IF(LEFT(TEXT(INDEX('Invullen groen'!$E:$E,$L91),"0"),1)="6",INDEX('Invullen groen'!$O:$O,$L91),IF(INDEX('Invullen groen'!$N:$N,$L91)&gt;0,INDEX('Invullen groen'!$G:$G,$L91),INDEX('Invullen groen'!$O:$O,$L91)))),"2024",""),"2025",""),"2026",""),"2027",""),"2028",""),"2029",""),"taakveld ",""),"installaties","inst"),"ruwbouw","ruwb"),"afbouw","afb"),"bijstelling","bijst"),"investeringen","invest")),""),")</f>
        <v/>
      </c>
      <c r="K91" s="526" t="n"/>
      <c r="L91">
        <f>IFERROR(MATCH(ROW()-4,'Invullen groen'!$P$17:$P$109,0)+16,0)</f>
        <v/>
      </c>
    </row>
    <row r="92" hidden="1" ht="15" customHeight="1">
      <c r="A92" s="524">
        <f>IFERROR(IF($L92&gt;0,INDEX('Invullen groen'!$E:$E,$L92),""),"")</f>
        <v/>
      </c>
      <c r="B92" s="524">
        <f>IFERROR(IF($L92&gt;0,IF(INDEX('Invullen groen'!$F:$F,$L92)&gt;0,INDEX('Invullen groen'!$F:$F,$L92),""),""),"")</f>
        <v/>
      </c>
      <c r="C92" s="524">
        <f>IFERROR(IF($L92&gt;0,IF(INDEX('Invullen groen'!$N:$N,$L92)&gt;0,INDEX('Invullen groen'!$N:$N,$L92),""),""),"")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IFERROR(IF($L92&gt;0,IF(INDEX('Invullen groen'!$H:$H,$L92)=0,"",INT(INDEX('Invullen groen'!$H:$H,$L92))),""),"")</f>
        <v/>
      </c>
      <c r="G92" s="525">
        <f>IFERROR(IF($L92&gt;0,IF(INDEX('Invullen groen'!$I:$I,$L92)=0,"",INT(INDEX('Invullen groen'!$I:$I,$L92))),""),"")</f>
        <v/>
      </c>
      <c r="H92" s="525">
        <f>IFERROR(IF($L92&gt;0,IF(INDEX('Invullen groen'!$J:$J,$L92)=0,"",INT(INDEX('Invullen groen'!$J:$J,$L92))),""),"")</f>
        <v/>
      </c>
      <c r="I92" s="525">
        <f>IFERROR(IF($L92&gt;0,IF(INDEX('Invullen groen'!$K:$K,$L92)=0,"",INT(INDEX('Invullen groen'!$K:$K,$L92))),""),"")</f>
        <v/>
      </c>
      <c r="J92" s="524">
        <f>IF($L92&gt;0,IFERROR($K$1&amp;" "&amp;TRIM(SUBSTITUTE(SUBSTITUTE(SUBSTITUTE(SUBSTITUTE(SUBSTITUTE(SUBSTITUTE(SUBSTITUTE(SUBSTITUTE(SUBSTITUTE(SUBSTITUTE(SUBSTITUTE(SUBSTITUTE(LOWER(IF(LEFT(TEXT(INDEX('Invullen groen'!$E:$E,$L92),"0"),1)="6",INDEX('Invullen groen'!$O:$O,$L92),IF(INDEX('Invullen groen'!$N:$N,$L92)&gt;0,INDEX('Invullen groen'!$G:$G,$L92),INDEX('Invullen groen'!$O:$O,$L92)))),"2024",""),"2025",""),"2026",""),"2027",""),"2028",""),"2029",""),"taakveld ",""),"installaties","inst"),"ruwbouw","ruwb"),"afbouw","afb"),"bijstelling","bijst"),"investeringen","invest")),""),")</f>
        <v/>
      </c>
      <c r="K92" s="508" t="n"/>
      <c r="L92">
        <f>IFERROR(MATCH(ROW()-4,'Invullen groen'!$P$17:$P$109,0)+16,0)</f>
        <v/>
      </c>
    </row>
    <row r="93" hidden="1" ht="15" customHeight="1">
      <c r="A93" s="522">
        <f>IFERROR(IF($L93&gt;0,INDEX('Invullen groen'!$E:$E,$L93),""),"")</f>
        <v/>
      </c>
      <c r="B93" s="522">
        <f>IFERROR(IF($L93&gt;0,IF(INDEX('Invullen groen'!$F:$F,$L93)&gt;0,INDEX('Invullen groen'!$F:$F,$L93),""),""),"")</f>
        <v/>
      </c>
      <c r="C93" s="522">
        <f>IFERROR(IF($L93&gt;0,IF(INDEX('Invullen groen'!$N:$N,$L93)&gt;0,INDEX('Invullen groen'!$N:$N,$L93),""),""),"")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IFERROR(IF($L93&gt;0,IF(INDEX('Invullen groen'!$H:$H,$L93)=0,"",INT(INDEX('Invullen groen'!$H:$H,$L93))),""),"")</f>
        <v/>
      </c>
      <c r="G93" s="523">
        <f>IFERROR(IF($L93&gt;0,IF(INDEX('Invullen groen'!$I:$I,$L93)=0,"",INT(INDEX('Invullen groen'!$I:$I,$L93))),""),"")</f>
        <v/>
      </c>
      <c r="H93" s="523">
        <f>IFERROR(IF($L93&gt;0,IF(INDEX('Invullen groen'!$J:$J,$L93)=0,"",INT(INDEX('Invullen groen'!$J:$J,$L93))),""),"")</f>
        <v/>
      </c>
      <c r="I93" s="523">
        <f>IFERROR(IF($L93&gt;0,IF(INDEX('Invullen groen'!$K:$K,$L93)=0,"",INT(INDEX('Invullen groen'!$K:$K,$L93))),""),"")</f>
        <v/>
      </c>
      <c r="J93" s="522">
        <f>IF($L93&gt;0,IFERROR($K$1&amp;" "&amp;TRIM(SUBSTITUTE(SUBSTITUTE(SUBSTITUTE(SUBSTITUTE(SUBSTITUTE(SUBSTITUTE(SUBSTITUTE(SUBSTITUTE(SUBSTITUTE(SUBSTITUTE(SUBSTITUTE(SUBSTITUTE(LOWER(IF(LEFT(TEXT(INDEX('Invullen groen'!$E:$E,$L93),"0"),1)="6",INDEX('Invullen groen'!$O:$O,$L93),IF(INDEX('Invullen groen'!$N:$N,$L93)&gt;0,INDEX('Invullen groen'!$G:$G,$L93),INDEX('Invullen groen'!$O:$O,$L93)))),"2024",""),"2025",""),"2026",""),"2027",""),"2028",""),"2029",""),"taakveld ",""),"installaties","inst"),"ruwbouw","ruwb"),"afbouw","afb"),"bijstelling","bijst"),"investeringen","invest")),""),")</f>
        <v/>
      </c>
      <c r="K93" s="526" t="n"/>
      <c r="L93">
        <f>IFERROR(MATCH(ROW()-4,'Invullen groen'!$P$17:$P$109,0)+16,0)</f>
        <v/>
      </c>
    </row>
    <row r="94" hidden="1" ht="15" customHeight="1">
      <c r="A94" s="524">
        <f>IFERROR(IF($L94&gt;0,INDEX('Invullen groen'!$E:$E,$L94),""),"")</f>
        <v/>
      </c>
      <c r="B94" s="524">
        <f>IFERROR(IF($L94&gt;0,IF(INDEX('Invullen groen'!$F:$F,$L94)&gt;0,INDEX('Invullen groen'!$F:$F,$L94),""),""),"")</f>
        <v/>
      </c>
      <c r="C94" s="524">
        <f>IFERROR(IF($L94&gt;0,IF(INDEX('Invullen groen'!$N:$N,$L94)&gt;0,INDEX('Invullen groen'!$N:$N,$L94),""),""),"")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IFERROR(IF($L94&gt;0,IF(INDEX('Invullen groen'!$H:$H,$L94)=0,"",INT(INDEX('Invullen groen'!$H:$H,$L94))),""),"")</f>
        <v/>
      </c>
      <c r="G94" s="525">
        <f>IFERROR(IF($L94&gt;0,IF(INDEX('Invullen groen'!$I:$I,$L94)=0,"",INT(INDEX('Invullen groen'!$I:$I,$L94))),""),"")</f>
        <v/>
      </c>
      <c r="H94" s="525">
        <f>IFERROR(IF($L94&gt;0,IF(INDEX('Invullen groen'!$J:$J,$L94)=0,"",INT(INDEX('Invullen groen'!$J:$J,$L94))),""),"")</f>
        <v/>
      </c>
      <c r="I94" s="525">
        <f>IFERROR(IF($L94&gt;0,IF(INDEX('Invullen groen'!$K:$K,$L94)=0,"",INT(INDEX('Invullen groen'!$K:$K,$L94))),""),"")</f>
        <v/>
      </c>
      <c r="J94" s="524">
        <f>IF($L94&gt;0,IFERROR($K$1&amp;" "&amp;TRIM(SUBSTITUTE(SUBSTITUTE(SUBSTITUTE(SUBSTITUTE(SUBSTITUTE(SUBSTITUTE(SUBSTITUTE(SUBSTITUTE(SUBSTITUTE(SUBSTITUTE(SUBSTITUTE(SUBSTITUTE(LOWER(IF(LEFT(TEXT(INDEX('Invullen groen'!$E:$E,$L94),"0"),1)="6",INDEX('Invullen groen'!$O:$O,$L94),IF(INDEX('Invullen groen'!$N:$N,$L94)&gt;0,INDEX('Invullen groen'!$G:$G,$L94),INDEX('Invullen groen'!$O:$O,$L94)))),"2024",""),"2025",""),"2026",""),"2027",""),"2028",""),"2029",""),"taakveld ",""),"installaties","inst"),"ruwbouw","ruwb"),"afbouw","afb"),"bijstelling","bijst"),"investeringen","invest")),""),")</f>
        <v/>
      </c>
      <c r="K94" s="508" t="n"/>
      <c r="L94">
        <f>IFERROR(MATCH(ROW()-4,'Invullen groen'!$P$17:$P$109,0)+16,0)</f>
        <v/>
      </c>
    </row>
    <row r="95" hidden="1" ht="15" customHeight="1">
      <c r="A95" s="526">
        <f>IFERROR(IF($L95&gt;0,INDEX('Invullen groen'!$E:$E,$L95),""),"")</f>
        <v/>
      </c>
      <c r="B95" s="526">
        <f>IFERROR(IF($L95&gt;0,IF(INDEX('Invullen groen'!$F:$F,$L95)&gt;0,INDEX('Invullen groen'!$F:$F,$L95),""),""),"")</f>
        <v/>
      </c>
      <c r="C95" s="526">
        <f>IFERROR(IF($L95&gt;0,IF(INDEX('Invullen groen'!$N:$N,$L95)&gt;0,INDEX('Invullen groen'!$N:$N,$L95),""),""),"")</f>
        <v/>
      </c>
      <c r="D95" s="526" t="n"/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IFERROR(IF($L95&gt;0,IF(INDEX('Invullen groen'!$H:$H,$L95)=0,"",INT(INDEX('Invullen groen'!$H:$H,$L95))),""),"")</f>
        <v/>
      </c>
      <c r="G95" s="527">
        <f>IFERROR(IF($L95&gt;0,IF(INDEX('Invullen groen'!$I:$I,$L95)=0,"",INT(INDEX('Invullen groen'!$I:$I,$L95))),""),"")</f>
        <v/>
      </c>
      <c r="H95" s="527">
        <f>IFERROR(IF($L95&gt;0,IF(INDEX('Invullen groen'!$J:$J,$L95)=0,"",INT(INDEX('Invullen groen'!$J:$J,$L95))),""),"")</f>
        <v/>
      </c>
      <c r="I95" s="527">
        <f>IFERROR(IF($L95&gt;0,IF(INDEX('Invullen groen'!$K:$K,$L95)=0,"",INT(INDEX('Invullen groen'!$K:$K,$L95))),""),"")</f>
        <v/>
      </c>
      <c r="J95" s="526">
        <f>IF($L95&gt;0,IFERROR($K$1&amp;" "&amp;TRIM(SUBSTITUTE(SUBSTITUTE(SUBSTITUTE(SUBSTITUTE(SUBSTITUTE(SUBSTITUTE(SUBSTITUTE(SUBSTITUTE(SUBSTITUTE(SUBSTITUTE(SUBSTITUTE(SUBSTITUTE(LOWER(IF(LEFT(TEXT(INDEX('Invullen groen'!$E:$E,$L95),"0"),1)="6",INDEX('Invullen groen'!$O:$O,$L95),IF(INDEX('Invullen groen'!$N:$N,$L95)&gt;0,INDEX('Invullen groen'!$G:$G,$L95),INDEX('Invullen groen'!$O:$O,$L95)))),"2024",""),"2025",""),"2026",""),"2027",""),"2028",""),"2029",""),"taakveld ",""),"installaties","inst"),"ruwbouw","ruwb"),"afbouw","afb"),"bijstelling","bijst"),"investeringen","invest")),""),")</f>
        <v/>
      </c>
      <c r="K95" s="526" t="n"/>
      <c r="L95">
        <f>IFERROR(MATCH(ROW()-4,'Invullen groen'!$P$17:$P$109,0)+16,0)</f>
        <v/>
      </c>
    </row>
    <row r="96" hidden="1">
      <c r="A96" s="237">
        <f>IFERROR(IF($L96&gt;0,INDEX('Invullen groen'!$E:$E,$L96),""),"")</f>
        <v/>
      </c>
      <c r="B96">
        <f>IFERROR(IF($L96&gt;0,IF(INDEX('Invullen groen'!$F:$F,$L96)&gt;0,INDEX('Invullen groen'!$F:$F,$L96),""),""),"")</f>
        <v/>
      </c>
      <c r="C96">
        <f>IFERROR(IF($L96&gt;0,IF(INDEX('Invullen groen'!$N:$N,$L96)&gt;0,INDEX('Invullen groen'!$N:$N,$L96),""),""),"")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IFERROR(IF($L96&gt;0,IF(INDEX('Invullen groen'!$H:$H,$L96)=0,"",INT(INDEX('Invullen groen'!$H:$H,$L96))),""),"")</f>
        <v/>
      </c>
      <c r="G96" s="236">
        <f>IFERROR(IF($L96&gt;0,IF(INDEX('Invullen groen'!$I:$I,$L96)=0,"",INT(INDEX('Invullen groen'!$I:$I,$L96))),""),"")</f>
        <v/>
      </c>
      <c r="H96" s="236">
        <f>IFERROR(IF($L96&gt;0,IF(INDEX('Invullen groen'!$J:$J,$L96)=0,"",INT(INDEX('Invullen groen'!$J:$J,$L96))),""),"")</f>
        <v/>
      </c>
      <c r="I96" s="236">
        <f>IFERROR(IF($L96&gt;0,IF(INDEX('Invullen groen'!$K:$K,$L96)=0,"",INT(INDEX('Invullen groen'!$K:$K,$L96))),""),"")</f>
        <v/>
      </c>
      <c r="J96">
        <f>IF($L96&gt;0,IFERROR($K$1&amp;" "&amp;TRIM(SUBSTITUTE(SUBSTITUTE(SUBSTITUTE(SUBSTITUTE(SUBSTITUTE(SUBSTITUTE(SUBSTITUTE(SUBSTITUTE(SUBSTITUTE(SUBSTITUTE(SUBSTITUTE(SUBSTITUTE(LOWER(IF(LEFT(TEXT(INDEX('Invullen groen'!$E:$E,$L96),"0"),1)="6",INDEX('Invullen groen'!$O:$O,$L96),IF(INDEX('Invullen groen'!$N:$N,$L96)&gt;0,INDEX('Invullen groen'!$G:$G,$L96),INDEX('Invullen groen'!$O:$O,$L96)))),"2024",""),"2025",""),"2026",""),"2027",""),"2028",""),"2029",""),"taakveld ",""),"installaties","inst"),"ruwbouw","ruwb"),"afbouw","afb"),"bijstelling","bijst"),"investeringen","invest")),""),")</f>
        <v/>
      </c>
      <c r="L96">
        <f>IFERROR(MATCH(ROW()-4,'Invullen groen'!$P$17:$P$109,0)+16,0)</f>
        <v/>
      </c>
    </row>
    <row r="97" hidden="1">
      <c r="A97" s="237">
        <f>IFERROR(IF($L97&gt;0,INDEX('Invullen groen'!$E:$E,$L97),""),"")</f>
        <v/>
      </c>
      <c r="B97">
        <f>IFERROR(IF($L97&gt;0,IF(INDEX('Invullen groen'!$F:$F,$L97)&gt;0,INDEX('Invullen groen'!$F:$F,$L97),""),""),"")</f>
        <v/>
      </c>
      <c r="C97">
        <f>IFERROR(IF($L97&gt;0,IF(INDEX('Invullen groen'!$N:$N,$L97)&gt;0,INDEX('Invullen groen'!$N:$N,$L97),""),""),"")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IFERROR(IF($L97&gt;0,IF(INDEX('Invullen groen'!$H:$H,$L97)=0,"",INT(INDEX('Invullen groen'!$H:$H,$L97))),""),"")</f>
        <v/>
      </c>
      <c r="G97" s="236">
        <f>IFERROR(IF($L97&gt;0,IF(INDEX('Invullen groen'!$I:$I,$L97)=0,"",INT(INDEX('Invullen groen'!$I:$I,$L97))),""),"")</f>
        <v/>
      </c>
      <c r="H97" s="236">
        <f>IFERROR(IF($L97&gt;0,IF(INDEX('Invullen groen'!$J:$J,$L97)=0,"",INT(INDEX('Invullen groen'!$J:$J,$L97))),""),"")</f>
        <v/>
      </c>
      <c r="I97" s="236">
        <f>IFERROR(IF($L97&gt;0,IF(INDEX('Invullen groen'!$K:$K,$L97)=0,"",INT(INDEX('Invullen groen'!$K:$K,$L97))),""),"")</f>
        <v/>
      </c>
      <c r="J97">
        <f>IF($L97&gt;0,IFERROR($K$1&amp;" "&amp;TRIM(SUBSTITUTE(SUBSTITUTE(SUBSTITUTE(SUBSTITUTE(SUBSTITUTE(SUBSTITUTE(SUBSTITUTE(SUBSTITUTE(SUBSTITUTE(SUBSTITUTE(SUBSTITUTE(SUBSTITUTE(LOWER(IF(LEFT(TEXT(INDEX('Invullen groen'!$E:$E,$L97),"0"),1)="6",INDEX('Invullen groen'!$O:$O,$L97),IF(INDEX('Invullen groen'!$N:$N,$L97)&gt;0,INDEX('Invullen groen'!$G:$G,$L97),INDEX('Invullen groen'!$O:$O,$L97)))),"2024",""),"2025",""),"2026",""),"2027",""),"2028",""),"2029",""),"taakveld ",""),"installaties","inst"),"ruwbouw","ruwb"),"afbouw","afb"),"bijstelling","bijst"),"investeringen","invest")),""),")</f>
        <v/>
      </c>
      <c r="L97">
        <f>IFERROR(MATCH(ROW()-4,'Invullen groen'!$P$17:$P$109,0)+16,0)</f>
        <v/>
      </c>
    </row>
    <row r="98" hidden="1">
      <c r="A98" s="237">
        <f>IFERROR(IF($L98&gt;0,INDEX('Invullen groen'!$E:$E,$L98),""),"")</f>
        <v/>
      </c>
      <c r="B98">
        <f>IFERROR(IF($L98&gt;0,IF(INDEX('Invullen groen'!$F:$F,$L98)&gt;0,INDEX('Invullen groen'!$F:$F,$L98),""),""),"")</f>
        <v/>
      </c>
      <c r="C98">
        <f>IFERROR(IF($L98&gt;0,IF(INDEX('Invullen groen'!$N:$N,$L98)&gt;0,INDEX('Invullen groen'!$N:$N,$L98),""),""),"")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IFERROR(IF($L98&gt;0,IF(INDEX('Invullen groen'!$H:$H,$L98)=0,"",INT(INDEX('Invullen groen'!$H:$H,$L98))),""),"")</f>
        <v/>
      </c>
      <c r="G98" s="236">
        <f>IFERROR(IF($L98&gt;0,IF(INDEX('Invullen groen'!$I:$I,$L98)=0,"",INT(INDEX('Invullen groen'!$I:$I,$L98))),""),"")</f>
        <v/>
      </c>
      <c r="H98" s="236">
        <f>IFERROR(IF($L98&gt;0,IF(INDEX('Invullen groen'!$J:$J,$L98)=0,"",INT(INDEX('Invullen groen'!$J:$J,$L98))),""),"")</f>
        <v/>
      </c>
      <c r="I98" s="236">
        <f>IFERROR(IF($L98&gt;0,IF(INDEX('Invullen groen'!$K:$K,$L98)=0,"",INT(INDEX('Invullen groen'!$K:$K,$L98))),""),"")</f>
        <v/>
      </c>
      <c r="J98">
        <f>IF($L98&gt;0,IFERROR($K$1&amp;" "&amp;TRIM(SUBSTITUTE(SUBSTITUTE(SUBSTITUTE(SUBSTITUTE(SUBSTITUTE(SUBSTITUTE(SUBSTITUTE(SUBSTITUTE(SUBSTITUTE(SUBSTITUTE(SUBSTITUTE(SUBSTITUTE(LOWER(IF(LEFT(TEXT(INDEX('Invullen groen'!$E:$E,$L98),"0"),1)="6",INDEX('Invullen groen'!$O:$O,$L98),IF(INDEX('Invullen groen'!$N:$N,$L98)&gt;0,INDEX('Invullen groen'!$G:$G,$L98),INDEX('Invullen groen'!$O:$O,$L98)))),"2024",""),"2025",""),"2026",""),"2027",""),"2028",""),"2029",""),"taakveld ",""),"installaties","inst"),"ruwbouw","ruwb"),"afbouw","afb"),"bijstelling","bijst"),"investeringen","invest")),""),")</f>
        <v/>
      </c>
      <c r="L98">
        <f>IFERROR(MATCH(ROW()-4,'Invullen groen'!$P$17:$P$109,0)+16,0)</f>
        <v/>
      </c>
    </row>
    <row r="99" hidden="1">
      <c r="A99" s="237">
        <f>IFERROR(IF($L99&gt;0,INDEX('Invullen groen'!$E:$E,$L99),""),"")</f>
        <v/>
      </c>
      <c r="B99">
        <f>IFERROR(IF($L99&gt;0,IF(INDEX('Invullen groen'!$F:$F,$L99)&gt;0,INDEX('Invullen groen'!$F:$F,$L99),""),""),"")</f>
        <v/>
      </c>
      <c r="C99">
        <f>IFERROR(IF($L99&gt;0,IF(INDEX('Invullen groen'!$N:$N,$L99)&gt;0,INDEX('Invullen groen'!$N:$N,$L99),""),""),"")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IFERROR(IF($L99&gt;0,IF(INDEX('Invullen groen'!$H:$H,$L99)=0,"",INT(INDEX('Invullen groen'!$H:$H,$L99))),""),"")</f>
        <v/>
      </c>
      <c r="G99" s="236">
        <f>IFERROR(IF($L99&gt;0,IF(INDEX('Invullen groen'!$I:$I,$L99)=0,"",INT(INDEX('Invullen groen'!$I:$I,$L99))),""),"")</f>
        <v/>
      </c>
      <c r="H99" s="236">
        <f>IFERROR(IF($L99&gt;0,IF(INDEX('Invullen groen'!$J:$J,$L99)=0,"",INT(INDEX('Invullen groen'!$J:$J,$L99))),""),"")</f>
        <v/>
      </c>
      <c r="I99" s="236">
        <f>IFERROR(IF($L99&gt;0,IF(INDEX('Invullen groen'!$K:$K,$L99)=0,"",INT(INDEX('Invullen groen'!$K:$K,$L99))),""),"")</f>
        <v/>
      </c>
      <c r="J99">
        <f>IF($L99&gt;0,IFERROR($K$1&amp;" "&amp;TRIM(SUBSTITUTE(SUBSTITUTE(SUBSTITUTE(SUBSTITUTE(SUBSTITUTE(SUBSTITUTE(SUBSTITUTE(SUBSTITUTE(SUBSTITUTE(SUBSTITUTE(SUBSTITUTE(SUBSTITUTE(LOWER(IF(LEFT(TEXT(INDEX('Invullen groen'!$E:$E,$L99),"0"),1)="6",INDEX('Invullen groen'!$O:$O,$L99),IF(INDEX('Invullen groen'!$N:$N,$L99)&gt;0,INDEX('Invullen groen'!$G:$G,$L99),INDEX('Invullen groen'!$O:$O,$L99)))),"2024",""),"2025",""),"2026",""),"2027",""),"2028",""),"2029",""),"taakveld ",""),"installaties","inst"),"ruwbouw","ruwb"),"afbouw","afb"),"bijstelling","bijst"),"investeringen","invest")),""),")</f>
        <v/>
      </c>
      <c r="L99">
        <f>IFERROR(MATCH(ROW()-4,'Invullen groen'!$P$17:$P$109,0)+16,0)</f>
        <v/>
      </c>
    </row>
    <row r="100" hidden="1">
      <c r="A100" s="237">
        <f>IFERROR(IF($L100&gt;0,INDEX('Invullen groen'!$E:$E,$L100),""),"")</f>
        <v/>
      </c>
      <c r="B100">
        <f>IFERROR(IF($L100&gt;0,IF(INDEX('Invullen groen'!$F:$F,$L100)&gt;0,INDEX('Invullen groen'!$F:$F,$L100),""),""),"")</f>
        <v/>
      </c>
      <c r="C100">
        <f>IFERROR(IF($L100&gt;0,IF(INDEX('Invullen groen'!$N:$N,$L100)&gt;0,INDEX('Invullen groen'!$N:$N,$L100),""),""),"")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IFERROR(IF($L100&gt;0,IF(INDEX('Invullen groen'!$H:$H,$L100)=0,"",INT(INDEX('Invullen groen'!$H:$H,$L100))),""),"")</f>
        <v/>
      </c>
      <c r="G100" s="236">
        <f>IFERROR(IF($L100&gt;0,IF(INDEX('Invullen groen'!$I:$I,$L100)=0,"",INT(INDEX('Invullen groen'!$I:$I,$L100))),""),"")</f>
        <v/>
      </c>
      <c r="H100" s="236">
        <f>IFERROR(IF($L100&gt;0,IF(INDEX('Invullen groen'!$J:$J,$L100)=0,"",INT(INDEX('Invullen groen'!$J:$J,$L100))),""),"")</f>
        <v/>
      </c>
      <c r="I100" s="236">
        <f>IFERROR(IF($L100&gt;0,IF(INDEX('Invullen groen'!$K:$K,$L100)=0,"",INT(INDEX('Invullen groen'!$K:$K,$L100))),""),"")</f>
        <v/>
      </c>
      <c r="J100">
        <f>IF($L100&gt;0,IFERROR($K$1&amp;" "&amp;TRIM(SUBSTITUTE(SUBSTITUTE(SUBSTITUTE(SUBSTITUTE(SUBSTITUTE(SUBSTITUTE(SUBSTITUTE(SUBSTITUTE(SUBSTITUTE(SUBSTITUTE(SUBSTITUTE(SUBSTITUTE(LOWER(IF(LEFT(TEXT(INDEX('Invullen groen'!$E:$E,$L100),"0"),1)="6",INDEX('Invullen groen'!$O:$O,$L100),IF(INDEX('Invullen groen'!$N:$N,$L100)&gt;0,INDEX('Invullen groen'!$G:$G,$L100),INDEX('Invullen groen'!$O:$O,$L100)))),"2024",""),"2025",""),"2026",""),"2027",""),"2028",""),"2029",""),"taakveld ",""),"installaties","inst"),"ruwbouw","ruwb"),"afbouw","afb"),"bijstelling","bijst"),"investeringen","invest")),""),")</f>
        <v/>
      </c>
      <c r="L100">
        <f>IFERROR(MATCH(ROW()-4,'Invullen groen'!$P$17:$P$109,0)+16,0)</f>
        <v/>
      </c>
    </row>
    <row r="101" hidden="1">
      <c r="A101" s="237">
        <f>IFERROR(IF($L101&gt;0,INDEX('Invullen groen'!$E:$E,$L101),""),"")</f>
        <v/>
      </c>
      <c r="B101">
        <f>IFERROR(IF($L101&gt;0,IF(INDEX('Invullen groen'!$F:$F,$L101)&gt;0,INDEX('Invullen groen'!$F:$F,$L101),""),""),"")</f>
        <v/>
      </c>
      <c r="C101">
        <f>IFERROR(IF($L101&gt;0,IF(INDEX('Invullen groen'!$N:$N,$L101)&gt;0,INDEX('Invullen groen'!$N:$N,$L101),""),""),"")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IFERROR(IF($L101&gt;0,IF(INDEX('Invullen groen'!$H:$H,$L101)=0,"",INT(INDEX('Invullen groen'!$H:$H,$L101))),""),"")</f>
        <v/>
      </c>
      <c r="G101" s="236">
        <f>IFERROR(IF($L101&gt;0,IF(INDEX('Invullen groen'!$I:$I,$L101)=0,"",INT(INDEX('Invullen groen'!$I:$I,$L101))),""),"")</f>
        <v/>
      </c>
      <c r="H101" s="236">
        <f>IFERROR(IF($L101&gt;0,IF(INDEX('Invullen groen'!$J:$J,$L101)=0,"",INT(INDEX('Invullen groen'!$J:$J,$L101))),""),"")</f>
        <v/>
      </c>
      <c r="I101" s="236">
        <f>IFERROR(IF($L101&gt;0,IF(INDEX('Invullen groen'!$K:$K,$L101)=0,"",INT(INDEX('Invullen groen'!$K:$K,$L101))),""),"")</f>
        <v/>
      </c>
      <c r="J101">
        <f>IF($L101&gt;0,IFERROR($K$1&amp;" "&amp;TRIM(SUBSTITUTE(SUBSTITUTE(SUBSTITUTE(SUBSTITUTE(SUBSTITUTE(SUBSTITUTE(SUBSTITUTE(SUBSTITUTE(SUBSTITUTE(SUBSTITUTE(SUBSTITUTE(SUBSTITUTE(LOWER(IF(LEFT(TEXT(INDEX('Invullen groen'!$E:$E,$L101),"0"),1)="6",INDEX('Invullen groen'!$O:$O,$L101),IF(INDEX('Invullen groen'!$N:$N,$L101)&gt;0,INDEX('Invullen groen'!$G:$G,$L101),INDEX('Invullen groen'!$O:$O,$L101)))),"2024",""),"2025",""),"2026",""),"2027",""),"2028",""),"2029",""),"taakveld ",""),"installaties","inst"),"ruwbouw","ruwb"),"afbouw","afb"),"bijstelling","bijst"),"investeringen","invest")),""),")</f>
        <v/>
      </c>
      <c r="L101">
        <f>IFERROR(MATCH(ROW()-4,'Invullen groen'!$P$17:$P$109,0)+16,0)</f>
        <v/>
      </c>
    </row>
    <row r="102" hidden="1">
      <c r="A102" s="237">
        <f>IFERROR(IF($L102&gt;0,INDEX('Invullen groen'!$E:$E,$L102),""),"")</f>
        <v/>
      </c>
      <c r="B102">
        <f>IFERROR(IF($L102&gt;0,IF(INDEX('Invullen groen'!$F:$F,$L102)&gt;0,INDEX('Invullen groen'!$F:$F,$L102),""),""),"")</f>
        <v/>
      </c>
      <c r="C102">
        <f>IFERROR(IF($L102&gt;0,IF(INDEX('Invullen groen'!$N:$N,$L102)&gt;0,INDEX('Invullen groen'!$N:$N,$L102),""),""),"")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IFERROR(IF($L102&gt;0,IF(INDEX('Invullen groen'!$H:$H,$L102)=0,"",INT(INDEX('Invullen groen'!$H:$H,$L102))),""),"")</f>
        <v/>
      </c>
      <c r="G102" s="236">
        <f>IFERROR(IF($L102&gt;0,IF(INDEX('Invullen groen'!$I:$I,$L102)=0,"",INT(INDEX('Invullen groen'!$I:$I,$L102))),""),"")</f>
        <v/>
      </c>
      <c r="H102" s="236">
        <f>IFERROR(IF($L102&gt;0,IF(INDEX('Invullen groen'!$J:$J,$L102)=0,"",INT(INDEX('Invullen groen'!$J:$J,$L102))),""),"")</f>
        <v/>
      </c>
      <c r="I102" s="236">
        <f>IFERROR(IF($L102&gt;0,IF(INDEX('Invullen groen'!$K:$K,$L102)=0,"",INT(INDEX('Invullen groen'!$K:$K,$L102))),""),"")</f>
        <v/>
      </c>
      <c r="J102">
        <f>IF($L102&gt;0,IFERROR($K$1&amp;" "&amp;TRIM(SUBSTITUTE(SUBSTITUTE(SUBSTITUTE(SUBSTITUTE(SUBSTITUTE(SUBSTITUTE(SUBSTITUTE(SUBSTITUTE(SUBSTITUTE(SUBSTITUTE(SUBSTITUTE(SUBSTITUTE(LOWER(IF(LEFT(TEXT(INDEX('Invullen groen'!$E:$E,$L102),"0"),1)="6",INDEX('Invullen groen'!$O:$O,$L102),IF(INDEX('Invullen groen'!$N:$N,$L102)&gt;0,INDEX('Invullen groen'!$G:$G,$L102),INDEX('Invullen groen'!$O:$O,$L102)))),"2024",""),"2025",""),"2026",""),"2027",""),"2028",""),"2029",""),"taakveld ",""),"installaties","inst"),"ruwbouw","ruwb"),"afbouw","afb"),"bijstelling","bijst"),"investeringen","invest")),""),")</f>
        <v/>
      </c>
      <c r="L102">
        <f>IFERROR(MATCH(ROW()-4,'Invullen groen'!$P$17:$P$109,0)+16,0)</f>
        <v/>
      </c>
    </row>
    <row r="103" hidden="1">
      <c r="A103" s="237">
        <f>IFERROR(IF($L103&gt;0,INDEX('Invullen groen'!$E:$E,$L103),""),"")</f>
        <v/>
      </c>
      <c r="B103">
        <f>IFERROR(IF($L103&gt;0,IF(INDEX('Invullen groen'!$F:$F,$L103)&gt;0,INDEX('Invullen groen'!$F:$F,$L103),""),""),"")</f>
        <v/>
      </c>
      <c r="C103">
        <f>IFERROR(IF($L103&gt;0,IF(INDEX('Invullen groen'!$N:$N,$L103)&gt;0,INDEX('Invullen groen'!$N:$N,$L103),""),""),"")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IFERROR(IF($L103&gt;0,IF(INDEX('Invullen groen'!$H:$H,$L103)=0,"",INT(INDEX('Invullen groen'!$H:$H,$L103))),""),"")</f>
        <v/>
      </c>
      <c r="G103" s="236">
        <f>IFERROR(IF($L103&gt;0,IF(INDEX('Invullen groen'!$I:$I,$L103)=0,"",INT(INDEX('Invullen groen'!$I:$I,$L103))),""),"")</f>
        <v/>
      </c>
      <c r="H103" s="236">
        <f>IFERROR(IF($L103&gt;0,IF(INDEX('Invullen groen'!$J:$J,$L103)=0,"",INT(INDEX('Invullen groen'!$J:$J,$L103))),""),"")</f>
        <v/>
      </c>
      <c r="I103" s="236">
        <f>IFERROR(IF($L103&gt;0,IF(INDEX('Invullen groen'!$K:$K,$L103)=0,"",INT(INDEX('Invullen groen'!$K:$K,$L103))),""),"")</f>
        <v/>
      </c>
      <c r="J103">
        <f>IF($L103&gt;0,IFERROR($K$1&amp;" "&amp;TRIM(SUBSTITUTE(SUBSTITUTE(SUBSTITUTE(SUBSTITUTE(SUBSTITUTE(SUBSTITUTE(SUBSTITUTE(SUBSTITUTE(SUBSTITUTE(SUBSTITUTE(SUBSTITUTE(SUBSTITUTE(LOWER(IF(LEFT(TEXT(INDEX('Invullen groen'!$E:$E,$L103),"0"),1)="6",INDEX('Invullen groen'!$O:$O,$L103),IF(INDEX('Invullen groen'!$N:$N,$L103)&gt;0,INDEX('Invullen groen'!$G:$G,$L103),INDEX('Invullen groen'!$O:$O,$L103)))),"2024",""),"2025",""),"2026",""),"2027",""),"2028",""),"2029",""),"taakveld ",""),"installaties","inst"),"ruwbouw","ruwb"),"afbouw","afb"),"bijstelling","bijst"),"investeringen","invest")),""),")</f>
        <v/>
      </c>
      <c r="L103">
        <f>IFERROR(MATCH(ROW()-4,'Invullen groen'!$P$17:$P$109,0)+16,0)</f>
        <v/>
      </c>
    </row>
    <row r="104" hidden="1">
      <c r="A104" s="237">
        <f>IFERROR(IF($L104&gt;0,INDEX('Invullen groen'!$E:$E,$L104),""),"")</f>
        <v/>
      </c>
      <c r="B104">
        <f>IFERROR(IF($L104&gt;0,IF(INDEX('Invullen groen'!$F:$F,$L104)&gt;0,INDEX('Invullen groen'!$F:$F,$L104),""),""),"")</f>
        <v/>
      </c>
      <c r="C104">
        <f>IFERROR(IF($L104&gt;0,IF(INDEX('Invullen groen'!$N:$N,$L104)&gt;0,INDEX('Invullen groen'!$N:$N,$L104),""),""),"")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IFERROR(IF($L104&gt;0,IF(INDEX('Invullen groen'!$H:$H,$L104)=0,"",INT(INDEX('Invullen groen'!$H:$H,$L104))),""),"")</f>
        <v/>
      </c>
      <c r="G104" s="236">
        <f>IFERROR(IF($L104&gt;0,IF(INDEX('Invullen groen'!$I:$I,$L104)=0,"",INT(INDEX('Invullen groen'!$I:$I,$L104))),""),"")</f>
        <v/>
      </c>
      <c r="H104" s="236">
        <f>IFERROR(IF($L104&gt;0,IF(INDEX('Invullen groen'!$J:$J,$L104)=0,"",INT(INDEX('Invullen groen'!$J:$J,$L104))),""),"")</f>
        <v/>
      </c>
      <c r="I104" s="236">
        <f>IFERROR(IF($L104&gt;0,IF(INDEX('Invullen groen'!$K:$K,$L104)=0,"",INT(INDEX('Invullen groen'!$K:$K,$L104))),""),"")</f>
        <v/>
      </c>
      <c r="J104">
        <f>IF($L104&gt;0,IFERROR($K$1&amp;" "&amp;TRIM(SUBSTITUTE(SUBSTITUTE(SUBSTITUTE(SUBSTITUTE(SUBSTITUTE(SUBSTITUTE(SUBSTITUTE(SUBSTITUTE(SUBSTITUTE(SUBSTITUTE(SUBSTITUTE(SUBSTITUTE(LOWER(IF(LEFT(TEXT(INDEX('Invullen groen'!$E:$E,$L104),"0"),1)="6",INDEX('Invullen groen'!$O:$O,$L104),IF(INDEX('Invullen groen'!$N:$N,$L104)&gt;0,INDEX('Invullen groen'!$G:$G,$L104),INDEX('Invullen groen'!$O:$O,$L104)))),"2024",""),"2025",""),"2026",""),"2027",""),"2028",""),"2029",""),"taakveld ",""),"installaties","inst"),"ruwbouw","ruwb"),"afbouw","afb"),"bijstelling","bijst"),"investeringen","invest")),""),")</f>
        <v/>
      </c>
      <c r="L104">
        <f>IFERROR(MATCH(ROW()-4,'Invullen groen'!$P$17:$P$109,0)+16,0)</f>
        <v/>
      </c>
    </row>
    <row r="105" hidden="1">
      <c r="A105" s="237">
        <f>IF($L105&gt;0,"+","")</f>
        <v/>
      </c>
      <c r="B105">
        <f>IFERROR(IF($L105&gt;0,IF(INDEX('Invullen groen'!$F:$F,$L105)&gt;0,INDEX('Invullen groen'!$F:$F,$L105),""),""),"")</f>
        <v/>
      </c>
      <c r="C105">
        <f>IFERROR(IF($L105&gt;0,IF(INDEX('Invullen groen'!$N:$N,$L105)&gt;0,INDEX('Invullen groen'!$N:$N,$L105),""),""),"")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IFERROR(IF($L105&gt;0,IF(INDEX('Invullen groen'!$H:$H,$L105)=0,"",INT(INDEX('Invullen groen'!$H:$H,$L105))),""),"")</f>
        <v/>
      </c>
      <c r="G105" s="236">
        <f>IFERROR(IF($L105&gt;0,IF(INDEX('Invullen groen'!$I:$I,$L105)=0,"",INT(INDEX('Invullen groen'!$I:$I,$L105))),""),"")</f>
        <v/>
      </c>
      <c r="H105" s="236">
        <f>IFERROR(IF($L105&gt;0,IF(INDEX('Invullen groen'!$J:$J,$L105)=0,"",INT(INDEX('Invullen groen'!$J:$J,$L105))),""),"")</f>
        <v/>
      </c>
      <c r="I105" s="236">
        <f>IFERROR(IF($L105&gt;0,IF(INDEX('Invullen groen'!$K:$K,$L105)=0,"",INT(INDEX('Invullen groen'!$K:$K,$L105))),""),"")</f>
        <v/>
      </c>
      <c r="J105">
        <f>IF($L105&gt;0,IFERROR($K$1&amp;" "&amp;TRIM(SUBSTITUTE(SUBSTITUTE(SUBSTITUTE(SUBSTITUTE(SUBSTITUTE(SUBSTITUTE(SUBSTITUTE(SUBSTITUTE(SUBSTITUTE(SUBSTITUTE(SUBSTITUTE(SUBSTITUTE(LOWER(IF(LEFT(TEXT(INDEX('Invullen groen'!$E:$E,$L105),"0"),1)="6",INDEX('Invullen groen'!$O:$O,$L105),IF(INDEX('Invullen groen'!$N:$N,$L105)&gt;0,INDEX('Invullen groen'!$G:$G,$L105),INDEX('Invullen groen'!$O:$O,$L105)))),"2024",""),"2025",""),"2026",""),"2027",""),"2028",""),"2029",""),"taakveld ",""),"installaties","inst"),"ruwbouw","ruwb"),"afbouw","afb"),"bijstelling","bijst"),"investeringen","invest")),""),")</f>
        <v/>
      </c>
      <c r="L105">
        <f>IFERROR(MATCH(ROW()-104,'Invullen groen'!$S$121:$S$272,0)+120,0)</f>
        <v/>
      </c>
    </row>
    <row r="106" hidden="1">
      <c r="A106" s="237">
        <f>IF($L106&gt;0,"+","")</f>
        <v/>
      </c>
      <c r="B106">
        <f>IFERROR(IF($L106&gt;0,IF(INDEX('Invullen groen'!$F:$F,$L106)&gt;0,INDEX('Invullen groen'!$F:$F,$L106),""),""),"")</f>
        <v/>
      </c>
      <c r="C106">
        <f>IFERROR(IF($L106&gt;0,IF(INDEX('Invullen groen'!$N:$N,$L106)&gt;0,INDEX('Invullen groen'!$N:$N,$L106),""),""),"")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IFERROR(IF($L106&gt;0,IF(INDEX('Invullen groen'!$H:$H,$L106)=0,"",INT(INDEX('Invullen groen'!$H:$H,$L106))),""),"")</f>
        <v/>
      </c>
      <c r="G106" s="236">
        <f>IFERROR(IF($L106&gt;0,IF(INDEX('Invullen groen'!$I:$I,$L106)=0,"",INT(INDEX('Invullen groen'!$I:$I,$L106))),""),"")</f>
        <v/>
      </c>
      <c r="H106" s="236">
        <f>IFERROR(IF($L106&gt;0,IF(INDEX('Invullen groen'!$J:$J,$L106)=0,"",INT(INDEX('Invullen groen'!$J:$J,$L106))),""),"")</f>
        <v/>
      </c>
      <c r="I106" s="236">
        <f>IFERROR(IF($L106&gt;0,IF(INDEX('Invullen groen'!$K:$K,$L106)=0,"",INT(INDEX('Invullen groen'!$K:$K,$L106))),""),"")</f>
        <v/>
      </c>
      <c r="J106">
        <f>IF($L106&gt;0,IFERROR($K$1&amp;" "&amp;TRIM(SUBSTITUTE(SUBSTITUTE(SUBSTITUTE(SUBSTITUTE(SUBSTITUTE(SUBSTITUTE(SUBSTITUTE(SUBSTITUTE(SUBSTITUTE(SUBSTITUTE(SUBSTITUTE(SUBSTITUTE(LOWER(IF(LEFT(TEXT(INDEX('Invullen groen'!$E:$E,$L106),"0"),1)="6",INDEX('Invullen groen'!$O:$O,$L106),IF(INDEX('Invullen groen'!$N:$N,$L106)&gt;0,INDEX('Invullen groen'!$G:$G,$L106),INDEX('Invullen groen'!$O:$O,$L106)))),"2024",""),"2025",""),"2026",""),"2027",""),"2028",""),"2029",""),"taakveld ",""),"installaties","inst"),"ruwbouw","ruwb"),"afbouw","afb"),"bijstelling","bijst"),"investeringen","invest")),""),")</f>
        <v/>
      </c>
      <c r="L106">
        <f>IFERROR(MATCH(ROW()-104,'Invullen groen'!$S$121:$S$272,0)+120,0)</f>
        <v/>
      </c>
    </row>
    <row r="107" hidden="1">
      <c r="A107" s="237">
        <f>IF($L107&gt;0,"+","")</f>
        <v/>
      </c>
      <c r="B107">
        <f>IFERROR(IF($L107&gt;0,IF(INDEX('Invullen groen'!$F:$F,$L107)&gt;0,INDEX('Invullen groen'!$F:$F,$L107),""),""),"")</f>
        <v/>
      </c>
      <c r="C107">
        <f>IFERROR(IF($L107&gt;0,IF(INDEX('Invullen groen'!$N:$N,$L107)&gt;0,INDEX('Invullen groen'!$N:$N,$L107),""),""),"")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IFERROR(IF($L107&gt;0,IF(INDEX('Invullen groen'!$H:$H,$L107)=0,"",INT(INDEX('Invullen groen'!$H:$H,$L107))),""),"")</f>
        <v/>
      </c>
      <c r="G107" s="236">
        <f>IFERROR(IF($L107&gt;0,IF(INDEX('Invullen groen'!$I:$I,$L107)=0,"",INT(INDEX('Invullen groen'!$I:$I,$L107))),""),"")</f>
        <v/>
      </c>
      <c r="H107" s="236">
        <f>IFERROR(IF($L107&gt;0,IF(INDEX('Invullen groen'!$J:$J,$L107)=0,"",INT(INDEX('Invullen groen'!$J:$J,$L107))),""),"")</f>
        <v/>
      </c>
      <c r="I107" s="236">
        <f>IFERROR(IF($L107&gt;0,IF(INDEX('Invullen groen'!$K:$K,$L107)=0,"",INT(INDEX('Invullen groen'!$K:$K,$L107))),""),"")</f>
        <v/>
      </c>
      <c r="J107">
        <f>IF($L107&gt;0,IFERROR($K$1&amp;" "&amp;TRIM(SUBSTITUTE(SUBSTITUTE(SUBSTITUTE(SUBSTITUTE(SUBSTITUTE(SUBSTITUTE(SUBSTITUTE(SUBSTITUTE(SUBSTITUTE(SUBSTITUTE(SUBSTITUTE(SUBSTITUTE(LOWER(IF(LEFT(TEXT(INDEX('Invullen groen'!$E:$E,$L107),"0"),1)="6",INDEX('Invullen groen'!$O:$O,$L107),IF(INDEX('Invullen groen'!$N:$N,$L107)&gt;0,INDEX('Invullen groen'!$G:$G,$L107),INDEX('Invullen groen'!$O:$O,$L107)))),"2024",""),"2025",""),"2026",""),"2027",""),"2028",""),"2029",""),"taakveld ",""),"installaties","inst"),"ruwbouw","ruwb"),"afbouw","afb"),"bijstelling","bijst"),"investeringen","invest")),""),")</f>
        <v/>
      </c>
      <c r="L107">
        <f>IFERROR(MATCH(ROW()-104,'Invullen groen'!$S$121:$S$272,0)+120,0)</f>
        <v/>
      </c>
    </row>
    <row r="108" hidden="1">
      <c r="A108" s="237">
        <f>IF($L108&gt;0,"+","")</f>
        <v/>
      </c>
      <c r="B108">
        <f>IFERROR(IF($L108&gt;0,IF(INDEX('Invullen groen'!$F:$F,$L108)&gt;0,INDEX('Invullen groen'!$F:$F,$L108),""),""),"")</f>
        <v/>
      </c>
      <c r="C108">
        <f>IFERROR(IF($L108&gt;0,IF(INDEX('Invullen groen'!$N:$N,$L108)&gt;0,INDEX('Invullen groen'!$N:$N,$L108),""),""),"")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IFERROR(IF($L108&gt;0,IF(INDEX('Invullen groen'!$H:$H,$L108)=0,"",INT(INDEX('Invullen groen'!$H:$H,$L108))),""),"")</f>
        <v/>
      </c>
      <c r="G108" s="236">
        <f>IFERROR(IF($L108&gt;0,IF(INDEX('Invullen groen'!$I:$I,$L108)=0,"",INT(INDEX('Invullen groen'!$I:$I,$L108))),""),"")</f>
        <v/>
      </c>
      <c r="H108" s="236">
        <f>IFERROR(IF($L108&gt;0,IF(INDEX('Invullen groen'!$J:$J,$L108)=0,"",INT(INDEX('Invullen groen'!$J:$J,$L108))),""),"")</f>
        <v/>
      </c>
      <c r="I108" s="236">
        <f>IFERROR(IF($L108&gt;0,IF(INDEX('Invullen groen'!$K:$K,$L108)=0,"",INT(INDEX('Invullen groen'!$K:$K,$L108))),""),"")</f>
        <v/>
      </c>
      <c r="J108">
        <f>IF($L108&gt;0,IFERROR($K$1&amp;" "&amp;TRIM(SUBSTITUTE(SUBSTITUTE(SUBSTITUTE(SUBSTITUTE(SUBSTITUTE(SUBSTITUTE(SUBSTITUTE(SUBSTITUTE(SUBSTITUTE(SUBSTITUTE(SUBSTITUTE(SUBSTITUTE(LOWER(IF(LEFT(TEXT(INDEX('Invullen groen'!$E:$E,$L108),"0"),1)="6",INDEX('Invullen groen'!$O:$O,$L108),IF(INDEX('Invullen groen'!$N:$N,$L108)&gt;0,INDEX('Invullen groen'!$G:$G,$L108),INDEX('Invullen groen'!$O:$O,$L108)))),"2024",""),"2025",""),"2026",""),"2027",""),"2028",""),"2029",""),"taakveld ",""),"installaties","inst"),"ruwbouw","ruwb"),"afbouw","afb"),"bijstelling","bijst"),"investeringen","invest")),""),")</f>
        <v/>
      </c>
      <c r="L108">
        <f>IFERROR(MATCH(ROW()-104,'Invullen groen'!$S$121:$S$272,0)+120,0)</f>
        <v/>
      </c>
    </row>
    <row r="109" hidden="1">
      <c r="A109" s="237">
        <f>IF($L109&gt;0,"+","")</f>
        <v/>
      </c>
      <c r="B109">
        <f>IFERROR(IF($L109&gt;0,IF(INDEX('Invullen groen'!$F:$F,$L109)&gt;0,INDEX('Invullen groen'!$F:$F,$L109),""),""),"")</f>
        <v/>
      </c>
      <c r="C109">
        <f>IFERROR(IF($L109&gt;0,IF(INDEX('Invullen groen'!$N:$N,$L109)&gt;0,INDEX('Invullen groen'!$N:$N,$L109),""),""),"")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IFERROR(IF($L109&gt;0,IF(INDEX('Invullen groen'!$H:$H,$L109)=0,"",INT(INDEX('Invullen groen'!$H:$H,$L109))),""),"")</f>
        <v/>
      </c>
      <c r="G109" s="236">
        <f>IFERROR(IF($L109&gt;0,IF(INDEX('Invullen groen'!$I:$I,$L109)=0,"",INT(INDEX('Invullen groen'!$I:$I,$L109))),""),"")</f>
        <v/>
      </c>
      <c r="H109" s="236">
        <f>IFERROR(IF($L109&gt;0,IF(INDEX('Invullen groen'!$J:$J,$L109)=0,"",INT(INDEX('Invullen groen'!$J:$J,$L109))),""),"")</f>
        <v/>
      </c>
      <c r="I109" s="236">
        <f>IFERROR(IF($L109&gt;0,IF(INDEX('Invullen groen'!$K:$K,$L109)=0,"",INT(INDEX('Invullen groen'!$K:$K,$L109))),""),"")</f>
        <v/>
      </c>
      <c r="J109">
        <f>IF($L109&gt;0,IFERROR($K$1&amp;" "&amp;TRIM(SUBSTITUTE(SUBSTITUTE(SUBSTITUTE(SUBSTITUTE(SUBSTITUTE(SUBSTITUTE(SUBSTITUTE(SUBSTITUTE(SUBSTITUTE(SUBSTITUTE(SUBSTITUTE(SUBSTITUTE(LOWER(IF(LEFT(TEXT(INDEX('Invullen groen'!$E:$E,$L109),"0"),1)="6",INDEX('Invullen groen'!$O:$O,$L109),IF(INDEX('Invullen groen'!$N:$N,$L109)&gt;0,INDEX('Invullen groen'!$G:$G,$L109),INDEX('Invullen groen'!$O:$O,$L109)))),"2024",""),"2025",""),"2026",""),"2027",""),"2028",""),"2029",""),"taakveld ",""),"installaties","inst"),"ruwbouw","ruwb"),"afbouw","afb"),"bijstelling","bijst"),"investeringen","invest")),""),")</f>
        <v/>
      </c>
      <c r="L109">
        <f>IFERROR(MATCH(ROW()-104,'Invullen groen'!$S$121:$S$272,0)+120,0)</f>
        <v/>
      </c>
    </row>
    <row r="110" hidden="1">
      <c r="A110" s="237">
        <f>IF($L110&gt;0,"+","")</f>
        <v/>
      </c>
      <c r="B110">
        <f>IFERROR(IF($L110&gt;0,IF(INDEX('Invullen groen'!$F:$F,$L110)&gt;0,INDEX('Invullen groen'!$F:$F,$L110),""),""),"")</f>
        <v/>
      </c>
      <c r="C110">
        <f>IFERROR(IF($L110&gt;0,IF(INDEX('Invullen groen'!$N:$N,$L110)&gt;0,INDEX('Invullen groen'!$N:$N,$L110),""),""),"")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IFERROR(IF($L110&gt;0,IF(INDEX('Invullen groen'!$H:$H,$L110)=0,"",INT(INDEX('Invullen groen'!$H:$H,$L110))),""),"")</f>
        <v/>
      </c>
      <c r="G110" s="236">
        <f>IFERROR(IF($L110&gt;0,IF(INDEX('Invullen groen'!$I:$I,$L110)=0,"",INT(INDEX('Invullen groen'!$I:$I,$L110))),""),"")</f>
        <v/>
      </c>
      <c r="H110" s="236">
        <f>IFERROR(IF($L110&gt;0,IF(INDEX('Invullen groen'!$J:$J,$L110)=0,"",INT(INDEX('Invullen groen'!$J:$J,$L110))),""),"")</f>
        <v/>
      </c>
      <c r="I110" s="236">
        <f>IFERROR(IF($L110&gt;0,IF(INDEX('Invullen groen'!$K:$K,$L110)=0,"",INT(INDEX('Invullen groen'!$K:$K,$L110))),""),"")</f>
        <v/>
      </c>
      <c r="J110">
        <f>IF($L110&gt;0,IFERROR($K$1&amp;" "&amp;TRIM(SUBSTITUTE(SUBSTITUTE(SUBSTITUTE(SUBSTITUTE(SUBSTITUTE(SUBSTITUTE(SUBSTITUTE(SUBSTITUTE(SUBSTITUTE(SUBSTITUTE(SUBSTITUTE(SUBSTITUTE(LOWER(IF(LEFT(TEXT(INDEX('Invullen groen'!$E:$E,$L110),"0"),1)="6",INDEX('Invullen groen'!$O:$O,$L110),IF(INDEX('Invullen groen'!$N:$N,$L110)&gt;0,INDEX('Invullen groen'!$G:$G,$L110),INDEX('Invullen groen'!$O:$O,$L110)))),"2024",""),"2025",""),"2026",""),"2027",""),"2028",""),"2029",""),"taakveld ",""),"installaties","inst"),"ruwbouw","ruwb"),"afbouw","afb"),"bijstelling","bijst"),"investeringen","invest")),""),")</f>
        <v/>
      </c>
      <c r="L110">
        <f>IFERROR(MATCH(ROW()-104,'Invullen groen'!$S$121:$S$272,0)+120,0)</f>
        <v/>
      </c>
    </row>
    <row r="111" hidden="1">
      <c r="A111" s="237">
        <f>IF($L111&gt;0,"+","")</f>
        <v/>
      </c>
      <c r="B111">
        <f>IFERROR(IF($L111&gt;0,IF(INDEX('Invullen groen'!$F:$F,$L111)&gt;0,INDEX('Invullen groen'!$F:$F,$L111),""),""),"")</f>
        <v/>
      </c>
      <c r="C111">
        <f>IFERROR(IF($L111&gt;0,IF(INDEX('Invullen groen'!$N:$N,$L111)&gt;0,INDEX('Invullen groen'!$N:$N,$L111),""),""),"")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IFERROR(IF($L111&gt;0,IF(INDEX('Invullen groen'!$H:$H,$L111)=0,"",INT(INDEX('Invullen groen'!$H:$H,$L111))),""),"")</f>
        <v/>
      </c>
      <c r="G111" s="236">
        <f>IFERROR(IF($L111&gt;0,IF(INDEX('Invullen groen'!$I:$I,$L111)=0,"",INT(INDEX('Invullen groen'!$I:$I,$L111))),""),"")</f>
        <v/>
      </c>
      <c r="H111" s="236">
        <f>IFERROR(IF($L111&gt;0,IF(INDEX('Invullen groen'!$J:$J,$L111)=0,"",INT(INDEX('Invullen groen'!$J:$J,$L111))),""),"")</f>
        <v/>
      </c>
      <c r="I111" s="236">
        <f>IFERROR(IF($L111&gt;0,IF(INDEX('Invullen groen'!$K:$K,$L111)=0,"",INT(INDEX('Invullen groen'!$K:$K,$L111))),""),"")</f>
        <v/>
      </c>
      <c r="J111">
        <f>IF($L111&gt;0,IFERROR($K$1&amp;" "&amp;TRIM(SUBSTITUTE(SUBSTITUTE(SUBSTITUTE(SUBSTITUTE(SUBSTITUTE(SUBSTITUTE(SUBSTITUTE(SUBSTITUTE(SUBSTITUTE(SUBSTITUTE(SUBSTITUTE(SUBSTITUTE(LOWER(IF(LEFT(TEXT(INDEX('Invullen groen'!$E:$E,$L111),"0"),1)="6",INDEX('Invullen groen'!$O:$O,$L111),IF(INDEX('Invullen groen'!$N:$N,$L111)&gt;0,INDEX('Invullen groen'!$G:$G,$L111),INDEX('Invullen groen'!$O:$O,$L111)))),"2024",""),"2025",""),"2026",""),"2027",""),"2028",""),"2029",""),"taakveld ",""),"installaties","inst"),"ruwbouw","ruwb"),"afbouw","afb"),"bijstelling","bijst"),"investeringen","invest")),""),")</f>
        <v/>
      </c>
      <c r="L111">
        <f>IFERROR(MATCH(ROW()-104,'Invullen groen'!$S$121:$S$272,0)+120,0)</f>
        <v/>
      </c>
    </row>
    <row r="112" hidden="1">
      <c r="A112" s="237">
        <f>IF($L112&gt;0,"+","")</f>
        <v/>
      </c>
      <c r="B112">
        <f>IFERROR(IF($L112&gt;0,IF(INDEX('Invullen groen'!$F:$F,$L112)&gt;0,INDEX('Invullen groen'!$F:$F,$L112),""),""),"")</f>
        <v/>
      </c>
      <c r="C112">
        <f>IFERROR(IF($L112&gt;0,IF(INDEX('Invullen groen'!$N:$N,$L112)&gt;0,INDEX('Invullen groen'!$N:$N,$L112),""),""),"")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IFERROR(IF($L112&gt;0,IF(INDEX('Invullen groen'!$H:$H,$L112)=0,"",INT(INDEX('Invullen groen'!$H:$H,$L112))),""),"")</f>
        <v/>
      </c>
      <c r="G112" s="236">
        <f>IFERROR(IF($L112&gt;0,IF(INDEX('Invullen groen'!$I:$I,$L112)=0,"",INT(INDEX('Invullen groen'!$I:$I,$L112))),""),"")</f>
        <v/>
      </c>
      <c r="H112" s="236">
        <f>IFERROR(IF($L112&gt;0,IF(INDEX('Invullen groen'!$J:$J,$L112)=0,"",INT(INDEX('Invullen groen'!$J:$J,$L112))),""),"")</f>
        <v/>
      </c>
      <c r="I112" s="236">
        <f>IFERROR(IF($L112&gt;0,IF(INDEX('Invullen groen'!$K:$K,$L112)=0,"",INT(INDEX('Invullen groen'!$K:$K,$L112))),""),"")</f>
        <v/>
      </c>
      <c r="J112">
        <f>IF($L112&gt;0,IFERROR($K$1&amp;" "&amp;TRIM(SUBSTITUTE(SUBSTITUTE(SUBSTITUTE(SUBSTITUTE(SUBSTITUTE(SUBSTITUTE(SUBSTITUTE(SUBSTITUTE(SUBSTITUTE(SUBSTITUTE(SUBSTITUTE(SUBSTITUTE(LOWER(IF(LEFT(TEXT(INDEX('Invullen groen'!$E:$E,$L112),"0"),1)="6",INDEX('Invullen groen'!$O:$O,$L112),IF(INDEX('Invullen groen'!$N:$N,$L112)&gt;0,INDEX('Invullen groen'!$G:$G,$L112),INDEX('Invullen groen'!$O:$O,$L112)))),"2024",""),"2025",""),"2026",""),"2027",""),"2028",""),"2029",""),"taakveld ",""),"installaties","inst"),"ruwbouw","ruwb"),"afbouw","afb"),"bijstelling","bijst"),"investeringen","invest")),""),")</f>
        <v/>
      </c>
      <c r="L112">
        <f>IFERROR(MATCH(ROW()-104,'Invullen groen'!$S$121:$S$272,0)+120,0)</f>
        <v/>
      </c>
    </row>
    <row r="113" hidden="1">
      <c r="A113" s="237">
        <f>IF($L113&gt;0,"+","")</f>
        <v/>
      </c>
      <c r="B113">
        <f>IFERROR(IF($L113&gt;0,IF(INDEX('Invullen groen'!$F:$F,$L113)&gt;0,INDEX('Invullen groen'!$F:$F,$L113),""),""),"")</f>
        <v/>
      </c>
      <c r="C113">
        <f>IFERROR(IF($L113&gt;0,IF(INDEX('Invullen groen'!$N:$N,$L113)&gt;0,INDEX('Invullen groen'!$N:$N,$L113),""),""),"")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IFERROR(IF($L113&gt;0,IF(INDEX('Invullen groen'!$H:$H,$L113)=0,"",INT(INDEX('Invullen groen'!$H:$H,$L113))),""),"")</f>
        <v/>
      </c>
      <c r="G113" s="236">
        <f>IFERROR(IF($L113&gt;0,IF(INDEX('Invullen groen'!$I:$I,$L113)=0,"",INT(INDEX('Invullen groen'!$I:$I,$L113))),""),"")</f>
        <v/>
      </c>
      <c r="H113" s="236">
        <f>IFERROR(IF($L113&gt;0,IF(INDEX('Invullen groen'!$J:$J,$L113)=0,"",INT(INDEX('Invullen groen'!$J:$J,$L113))),""),"")</f>
        <v/>
      </c>
      <c r="I113" s="236">
        <f>IFERROR(IF($L113&gt;0,IF(INDEX('Invullen groen'!$K:$K,$L113)=0,"",INT(INDEX('Invullen groen'!$K:$K,$L113))),""),"")</f>
        <v/>
      </c>
      <c r="J113">
        <f>IF($L113&gt;0,IFERROR($K$1&amp;" "&amp;TRIM(SUBSTITUTE(SUBSTITUTE(SUBSTITUTE(SUBSTITUTE(SUBSTITUTE(SUBSTITUTE(SUBSTITUTE(SUBSTITUTE(SUBSTITUTE(SUBSTITUTE(SUBSTITUTE(SUBSTITUTE(LOWER(IF(LEFT(TEXT(INDEX('Invullen groen'!$E:$E,$L113),"0"),1)="6",INDEX('Invullen groen'!$O:$O,$L113),IF(INDEX('Invullen groen'!$N:$N,$L113)&gt;0,INDEX('Invullen groen'!$G:$G,$L113),INDEX('Invullen groen'!$O:$O,$L113)))),"2024",""),"2025",""),"2026",""),"2027",""),"2028",""),"2029",""),"taakveld ",""),"installaties","inst"),"ruwbouw","ruwb"),"afbouw","afb"),"bijstelling","bijst"),"investeringen","invest")),""),")</f>
        <v/>
      </c>
      <c r="L113">
        <f>IFERROR(MATCH(ROW()-104,'Invullen groen'!$S$121:$S$272,0)+120,0)</f>
        <v/>
      </c>
    </row>
    <row r="114" hidden="1">
      <c r="A114" s="237">
        <f>IF($L114&gt;0,"+","")</f>
        <v/>
      </c>
      <c r="B114">
        <f>IFERROR(IF($L114&gt;0,IF(INDEX('Invullen groen'!$F:$F,$L114)&gt;0,INDEX('Invullen groen'!$F:$F,$L114),""),""),"")</f>
        <v/>
      </c>
      <c r="C114">
        <f>IFERROR(IF($L114&gt;0,IF(INDEX('Invullen groen'!$N:$N,$L114)&gt;0,INDEX('Invullen groen'!$N:$N,$L114),""),""),"")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IFERROR(IF($L114&gt;0,IF(INDEX('Invullen groen'!$H:$H,$L114)=0,"",INT(INDEX('Invullen groen'!$H:$H,$L114))),""),"")</f>
        <v/>
      </c>
      <c r="G114" s="236">
        <f>IFERROR(IF($L114&gt;0,IF(INDEX('Invullen groen'!$I:$I,$L114)=0,"",INT(INDEX('Invullen groen'!$I:$I,$L114))),""),"")</f>
        <v/>
      </c>
      <c r="H114" s="236">
        <f>IFERROR(IF($L114&gt;0,IF(INDEX('Invullen groen'!$J:$J,$L114)=0,"",INT(INDEX('Invullen groen'!$J:$J,$L114))),""),"")</f>
        <v/>
      </c>
      <c r="I114" s="236">
        <f>IFERROR(IF($L114&gt;0,IF(INDEX('Invullen groen'!$K:$K,$L114)=0,"",INT(INDEX('Invullen groen'!$K:$K,$L114))),""),"")</f>
        <v/>
      </c>
      <c r="J114">
        <f>IF($L114&gt;0,IFERROR($K$1&amp;" "&amp;TRIM(SUBSTITUTE(SUBSTITUTE(SUBSTITUTE(SUBSTITUTE(SUBSTITUTE(SUBSTITUTE(SUBSTITUTE(SUBSTITUTE(SUBSTITUTE(SUBSTITUTE(SUBSTITUTE(SUBSTITUTE(LOWER(IF(LEFT(TEXT(INDEX('Invullen groen'!$E:$E,$L114),"0"),1)="6",INDEX('Invullen groen'!$O:$O,$L114),IF(INDEX('Invullen groen'!$N:$N,$L114)&gt;0,INDEX('Invullen groen'!$G:$G,$L114),INDEX('Invullen groen'!$O:$O,$L114)))),"2024",""),"2025",""),"2026",""),"2027",""),"2028",""),"2029",""),"taakveld ",""),"installaties","inst"),"ruwbouw","ruwb"),"afbouw","afb"),"bijstelling","bijst"),"investeringen","invest")),""),")</f>
        <v/>
      </c>
      <c r="L114">
        <f>IFERROR(MATCH(ROW()-104,'Invullen groen'!$S$121:$S$272,0)+120,0)</f>
        <v/>
      </c>
    </row>
    <row r="115" hidden="1">
      <c r="A115" s="237">
        <f>IF($L115&gt;0,"+","")</f>
        <v/>
      </c>
      <c r="B115">
        <f>IFERROR(IF($L115&gt;0,IF(INDEX('Invullen groen'!$F:$F,$L115)&gt;0,INDEX('Invullen groen'!$F:$F,$L115),""),""),"")</f>
        <v/>
      </c>
      <c r="C115">
        <f>IFERROR(IF($L115&gt;0,IF(INDEX('Invullen groen'!$N:$N,$L115)&gt;0,INDEX('Invullen groen'!$N:$N,$L115),""),""),"")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IFERROR(IF($L115&gt;0,IF(INDEX('Invullen groen'!$H:$H,$L115)=0,"",INT(INDEX('Invullen groen'!$H:$H,$L115))),""),"")</f>
        <v/>
      </c>
      <c r="G115" s="236">
        <f>IFERROR(IF($L115&gt;0,IF(INDEX('Invullen groen'!$I:$I,$L115)=0,"",INT(INDEX('Invullen groen'!$I:$I,$L115))),""),"")</f>
        <v/>
      </c>
      <c r="H115" s="236">
        <f>IFERROR(IF($L115&gt;0,IF(INDEX('Invullen groen'!$J:$J,$L115)=0,"",INT(INDEX('Invullen groen'!$J:$J,$L115))),""),"")</f>
        <v/>
      </c>
      <c r="I115" s="236">
        <f>IFERROR(IF($L115&gt;0,IF(INDEX('Invullen groen'!$K:$K,$L115)=0,"",INT(INDEX('Invullen groen'!$K:$K,$L115))),""),"")</f>
        <v/>
      </c>
      <c r="J115">
        <f>IF($L115&gt;0,IFERROR($K$1&amp;" "&amp;TRIM(SUBSTITUTE(SUBSTITUTE(SUBSTITUTE(SUBSTITUTE(SUBSTITUTE(SUBSTITUTE(SUBSTITUTE(SUBSTITUTE(SUBSTITUTE(SUBSTITUTE(SUBSTITUTE(SUBSTITUTE(LOWER(IF(LEFT(TEXT(INDEX('Invullen groen'!$E:$E,$L115),"0"),1)="6",INDEX('Invullen groen'!$O:$O,$L115),IF(INDEX('Invullen groen'!$N:$N,$L115)&gt;0,INDEX('Invullen groen'!$G:$G,$L115),INDEX('Invullen groen'!$O:$O,$L115)))),"2024",""),"2025",""),"2026",""),"2027",""),"2028",""),"2029",""),"taakveld ",""),"installaties","inst"),"ruwbouw","ruwb"),"afbouw","afb"),"bijstelling","bijst"),"investeringen","invest")),""),")</f>
        <v/>
      </c>
      <c r="L115">
        <f>IFERROR(MATCH(ROW()-104,'Invullen groen'!$S$121:$S$272,0)+120,0)</f>
        <v/>
      </c>
    </row>
    <row r="116" hidden="1">
      <c r="A116" s="237">
        <f>IF($L116&gt;0,"+","")</f>
        <v/>
      </c>
      <c r="B116">
        <f>IFERROR(IF($L116&gt;0,IF(INDEX('Invullen groen'!$F:$F,$L116)&gt;0,INDEX('Invullen groen'!$F:$F,$L116),""),""),"")</f>
        <v/>
      </c>
      <c r="C116">
        <f>IFERROR(IF($L116&gt;0,IF(INDEX('Invullen groen'!$N:$N,$L116)&gt;0,INDEX('Invullen groen'!$N:$N,$L116),""),""),"")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IFERROR(IF($L116&gt;0,IF(INDEX('Invullen groen'!$H:$H,$L116)=0,"",INT(INDEX('Invullen groen'!$H:$H,$L116))),""),"")</f>
        <v/>
      </c>
      <c r="G116" s="236">
        <f>IFERROR(IF($L116&gt;0,IF(INDEX('Invullen groen'!$I:$I,$L116)=0,"",INT(INDEX('Invullen groen'!$I:$I,$L116))),""),"")</f>
        <v/>
      </c>
      <c r="H116" s="236">
        <f>IFERROR(IF($L116&gt;0,IF(INDEX('Invullen groen'!$J:$J,$L116)=0,"",INT(INDEX('Invullen groen'!$J:$J,$L116))),""),"")</f>
        <v/>
      </c>
      <c r="I116" s="236">
        <f>IFERROR(IF($L116&gt;0,IF(INDEX('Invullen groen'!$K:$K,$L116)=0,"",INT(INDEX('Invullen groen'!$K:$K,$L116))),""),"")</f>
        <v/>
      </c>
      <c r="J116">
        <f>IF($L116&gt;0,IFERROR($K$1&amp;" "&amp;TRIM(SUBSTITUTE(SUBSTITUTE(SUBSTITUTE(SUBSTITUTE(SUBSTITUTE(SUBSTITUTE(SUBSTITUTE(SUBSTITUTE(SUBSTITUTE(SUBSTITUTE(SUBSTITUTE(SUBSTITUTE(LOWER(IF(LEFT(TEXT(INDEX('Invullen groen'!$E:$E,$L116),"0"),1)="6",INDEX('Invullen groen'!$O:$O,$L116),IF(INDEX('Invullen groen'!$N:$N,$L116)&gt;0,INDEX('Invullen groen'!$G:$G,$L116),INDEX('Invullen groen'!$O:$O,$L116)))),"2024",""),"2025",""),"2026",""),"2027",""),"2028",""),"2029",""),"taakveld ",""),"installaties","inst"),"ruwbouw","ruwb"),"afbouw","afb"),"bijstelling","bijst"),"investeringen","invest")),""),")</f>
        <v/>
      </c>
      <c r="L116">
        <f>IFERROR(MATCH(ROW()-104,'Invullen groen'!$S$121:$S$272,0)+120,0)</f>
        <v/>
      </c>
    </row>
    <row r="117" hidden="1">
      <c r="A117" s="237">
        <f>IF($L117&gt;0,"+","")</f>
        <v/>
      </c>
      <c r="B117">
        <f>IFERROR(IF($L117&gt;0,IF(INDEX('Invullen groen'!$F:$F,$L117)&gt;0,INDEX('Invullen groen'!$F:$F,$L117),""),""),"")</f>
        <v/>
      </c>
      <c r="C117">
        <f>IFERROR(IF($L117&gt;0,IF(INDEX('Invullen groen'!$N:$N,$L117)&gt;0,INDEX('Invullen groen'!$N:$N,$L117),""),""),"")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IFERROR(IF($L117&gt;0,IF(INDEX('Invullen groen'!$H:$H,$L117)=0,"",INT(INDEX('Invullen groen'!$H:$H,$L117))),""),"")</f>
        <v/>
      </c>
      <c r="G117" s="236">
        <f>IFERROR(IF($L117&gt;0,IF(INDEX('Invullen groen'!$I:$I,$L117)=0,"",INT(INDEX('Invullen groen'!$I:$I,$L117))),""),"")</f>
        <v/>
      </c>
      <c r="H117" s="236">
        <f>IFERROR(IF($L117&gt;0,IF(INDEX('Invullen groen'!$J:$J,$L117)=0,"",INT(INDEX('Invullen groen'!$J:$J,$L117))),""),"")</f>
        <v/>
      </c>
      <c r="I117" s="236">
        <f>IFERROR(IF($L117&gt;0,IF(INDEX('Invullen groen'!$K:$K,$L117)=0,"",INT(INDEX('Invullen groen'!$K:$K,$L117))),""),"")</f>
        <v/>
      </c>
      <c r="J117">
        <f>IF($L117&gt;0,IFERROR($K$1&amp;" "&amp;TRIM(SUBSTITUTE(SUBSTITUTE(SUBSTITUTE(SUBSTITUTE(SUBSTITUTE(SUBSTITUTE(SUBSTITUTE(SUBSTITUTE(SUBSTITUTE(SUBSTITUTE(SUBSTITUTE(SUBSTITUTE(LOWER(IF(LEFT(TEXT(INDEX('Invullen groen'!$E:$E,$L117),"0"),1)="6",INDEX('Invullen groen'!$O:$O,$L117),IF(INDEX('Invullen groen'!$N:$N,$L117)&gt;0,INDEX('Invullen groen'!$G:$G,$L117),INDEX('Invullen groen'!$O:$O,$L117)))),"2024",""),"2025",""),"2026",""),"2027",""),"2028",""),"2029",""),"taakveld ",""),"installaties","inst"),"ruwbouw","ruwb"),"afbouw","afb"),"bijstelling","bijst"),"investeringen","invest")),""),")</f>
        <v/>
      </c>
      <c r="L117">
        <f>IFERROR(MATCH(ROW()-104,'Invullen groen'!$S$121:$S$272,0)+120,0)</f>
        <v/>
      </c>
    </row>
    <row r="118" hidden="1">
      <c r="A118" s="237">
        <f>IF($L118&gt;0,"+","")</f>
        <v/>
      </c>
      <c r="B118">
        <f>IFERROR(IF($L118&gt;0,IF(INDEX('Invullen groen'!$F:$F,$L118)&gt;0,INDEX('Invullen groen'!$F:$F,$L118),""),""),"")</f>
        <v/>
      </c>
      <c r="C118">
        <f>IFERROR(IF($L118&gt;0,IF(INDEX('Invullen groen'!$N:$N,$L118)&gt;0,INDEX('Invullen groen'!$N:$N,$L118),""),""),"")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IFERROR(IF($L118&gt;0,IF(INDEX('Invullen groen'!$H:$H,$L118)=0,"",INT(INDEX('Invullen groen'!$H:$H,$L118))),""),"")</f>
        <v/>
      </c>
      <c r="G118" s="236">
        <f>IFERROR(IF($L118&gt;0,IF(INDEX('Invullen groen'!$I:$I,$L118)=0,"",INT(INDEX('Invullen groen'!$I:$I,$L118))),""),"")</f>
        <v/>
      </c>
      <c r="H118" s="236">
        <f>IFERROR(IF($L118&gt;0,IF(INDEX('Invullen groen'!$J:$J,$L118)=0,"",INT(INDEX('Invullen groen'!$J:$J,$L118))),""),"")</f>
        <v/>
      </c>
      <c r="I118" s="236">
        <f>IFERROR(IF($L118&gt;0,IF(INDEX('Invullen groen'!$K:$K,$L118)=0,"",INT(INDEX('Invullen groen'!$K:$K,$L118))),""),"")</f>
        <v/>
      </c>
      <c r="J118">
        <f>IF($L118&gt;0,IFERROR($K$1&amp;" "&amp;TRIM(SUBSTITUTE(SUBSTITUTE(SUBSTITUTE(SUBSTITUTE(SUBSTITUTE(SUBSTITUTE(SUBSTITUTE(SUBSTITUTE(SUBSTITUTE(SUBSTITUTE(SUBSTITUTE(SUBSTITUTE(LOWER(IF(LEFT(TEXT(INDEX('Invullen groen'!$E:$E,$L118),"0"),1)="6",INDEX('Invullen groen'!$O:$O,$L118),IF(INDEX('Invullen groen'!$N:$N,$L118)&gt;0,INDEX('Invullen groen'!$G:$G,$L118),INDEX('Invullen groen'!$O:$O,$L118)))),"2024",""),"2025",""),"2026",""),"2027",""),"2028",""),"2029",""),"taakveld ",""),"installaties","inst"),"ruwbouw","ruwb"),"afbouw","afb"),"bijstelling","bijst"),"investeringen","invest")),""),")</f>
        <v/>
      </c>
      <c r="L118">
        <f>IFERROR(MATCH(ROW()-104,'Invullen groen'!$S$121:$S$272,0)+120,0)</f>
        <v/>
      </c>
    </row>
    <row r="119" hidden="1">
      <c r="A119" s="237">
        <f>IF($L119&gt;0,"+","")</f>
        <v/>
      </c>
      <c r="B119">
        <f>IFERROR(IF($L119&gt;0,IF(INDEX('Invullen groen'!$F:$F,$L119)&gt;0,INDEX('Invullen groen'!$F:$F,$L119),""),""),"")</f>
        <v/>
      </c>
      <c r="C119">
        <f>IFERROR(IF($L119&gt;0,IF(INDEX('Invullen groen'!$N:$N,$L119)&gt;0,INDEX('Invullen groen'!$N:$N,$L119),""),""),"")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IFERROR(IF($L119&gt;0,IF(INDEX('Invullen groen'!$H:$H,$L119)=0,"",INT(INDEX('Invullen groen'!$H:$H,$L119))),""),"")</f>
        <v/>
      </c>
      <c r="G119" s="236">
        <f>IFERROR(IF($L119&gt;0,IF(INDEX('Invullen groen'!$I:$I,$L119)=0,"",INT(INDEX('Invullen groen'!$I:$I,$L119))),""),"")</f>
        <v/>
      </c>
      <c r="H119" s="236">
        <f>IFERROR(IF($L119&gt;0,IF(INDEX('Invullen groen'!$J:$J,$L119)=0,"",INT(INDEX('Invullen groen'!$J:$J,$L119))),""),"")</f>
        <v/>
      </c>
      <c r="I119" s="236">
        <f>IFERROR(IF($L119&gt;0,IF(INDEX('Invullen groen'!$K:$K,$L119)=0,"",INT(INDEX('Invullen groen'!$K:$K,$L119))),""),"")</f>
        <v/>
      </c>
      <c r="J119">
        <f>IF($L119&gt;0,IFERROR($K$1&amp;" "&amp;TRIM(SUBSTITUTE(SUBSTITUTE(SUBSTITUTE(SUBSTITUTE(SUBSTITUTE(SUBSTITUTE(SUBSTITUTE(SUBSTITUTE(SUBSTITUTE(SUBSTITUTE(SUBSTITUTE(SUBSTITUTE(LOWER(IF(LEFT(TEXT(INDEX('Invullen groen'!$E:$E,$L119),"0"),1)="6",INDEX('Invullen groen'!$O:$O,$L119),IF(INDEX('Invullen groen'!$N:$N,$L119)&gt;0,INDEX('Invullen groen'!$G:$G,$L119),INDEX('Invullen groen'!$O:$O,$L119)))),"2024",""),"2025",""),"2026",""),"2027",""),"2028",""),"2029",""),"taakveld ",""),"installaties","inst"),"ruwbouw","ruwb"),"afbouw","afb"),"bijstelling","bijst"),"investeringen","invest")),""),")</f>
        <v/>
      </c>
      <c r="L119">
        <f>IFERROR(MATCH(ROW()-104,'Invullen groen'!$S$121:$S$272,0)+120,0)</f>
        <v/>
      </c>
    </row>
    <row r="120" hidden="1">
      <c r="A120" s="237">
        <f>IF($L120&gt;0,"+","")</f>
        <v/>
      </c>
      <c r="B120">
        <f>IFERROR(IF($L120&gt;0,IF(INDEX('Invullen groen'!$F:$F,$L120)&gt;0,INDEX('Invullen groen'!$F:$F,$L120),""),""),"")</f>
        <v/>
      </c>
      <c r="C120">
        <f>IFERROR(IF($L120&gt;0,IF(INDEX('Invullen groen'!$N:$N,$L120)&gt;0,INDEX('Invullen groen'!$N:$N,$L120),""),""),"")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IFERROR(IF($L120&gt;0,IF(INDEX('Invullen groen'!$H:$H,$L120)=0,"",INT(INDEX('Invullen groen'!$H:$H,$L120))),""),"")</f>
        <v/>
      </c>
      <c r="G120" s="236">
        <f>IFERROR(IF($L120&gt;0,IF(INDEX('Invullen groen'!$I:$I,$L120)=0,"",INT(INDEX('Invullen groen'!$I:$I,$L120))),""),"")</f>
        <v/>
      </c>
      <c r="H120" s="236">
        <f>IFERROR(IF($L120&gt;0,IF(INDEX('Invullen groen'!$J:$J,$L120)=0,"",INT(INDEX('Invullen groen'!$J:$J,$L120))),""),"")</f>
        <v/>
      </c>
      <c r="I120" s="236">
        <f>IFERROR(IF($L120&gt;0,IF(INDEX('Invullen groen'!$K:$K,$L120)=0,"",INT(INDEX('Invullen groen'!$K:$K,$L120))),""),"")</f>
        <v/>
      </c>
      <c r="J120">
        <f>IF($L120&gt;0,IFERROR($K$1&amp;" "&amp;TRIM(SUBSTITUTE(SUBSTITUTE(SUBSTITUTE(SUBSTITUTE(SUBSTITUTE(SUBSTITUTE(SUBSTITUTE(SUBSTITUTE(SUBSTITUTE(SUBSTITUTE(SUBSTITUTE(SUBSTITUTE(LOWER(IF(LEFT(TEXT(INDEX('Invullen groen'!$E:$E,$L120),"0"),1)="6",INDEX('Invullen groen'!$O:$O,$L120),IF(INDEX('Invullen groen'!$N:$N,$L120)&gt;0,INDEX('Invullen groen'!$G:$G,$L120),INDEX('Invullen groen'!$O:$O,$L120)))),"2024",""),"2025",""),"2026",""),"2027",""),"2028",""),"2029",""),"taakveld ",""),"installaties","inst"),"ruwbouw","ruwb"),"afbouw","afb"),"bijstelling","bijst"),"investeringen","invest")),""),")</f>
        <v/>
      </c>
      <c r="L120">
        <f>IFERROR(MATCH(ROW()-104,'Invullen groen'!$S$121:$S$272,0)+120,0)</f>
        <v/>
      </c>
    </row>
    <row r="121" hidden="1">
      <c r="A121" s="237">
        <f>IF($L121&gt;0,"+","")</f>
        <v/>
      </c>
      <c r="B121">
        <f>IFERROR(IF($L121&gt;0,IF(INDEX('Invullen groen'!$F:$F,$L121)&gt;0,INDEX('Invullen groen'!$F:$F,$L121),""),""),"")</f>
        <v/>
      </c>
      <c r="C121">
        <f>IFERROR(IF($L121&gt;0,IF(INDEX('Invullen groen'!$N:$N,$L121)&gt;0,INDEX('Invullen groen'!$N:$N,$L121),""),""),"")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IFERROR(IF($L121&gt;0,IF(INDEX('Invullen groen'!$H:$H,$L121)=0,"",INT(INDEX('Invullen groen'!$H:$H,$L121))),""),"")</f>
        <v/>
      </c>
      <c r="G121" s="236">
        <f>IFERROR(IF($L121&gt;0,IF(INDEX('Invullen groen'!$I:$I,$L121)=0,"",INT(INDEX('Invullen groen'!$I:$I,$L121))),""),"")</f>
        <v/>
      </c>
      <c r="H121" s="236">
        <f>IFERROR(IF($L121&gt;0,IF(INDEX('Invullen groen'!$J:$J,$L121)=0,"",INT(INDEX('Invullen groen'!$J:$J,$L121))),""),"")</f>
        <v/>
      </c>
      <c r="I121" s="236">
        <f>IFERROR(IF($L121&gt;0,IF(INDEX('Invullen groen'!$K:$K,$L121)=0,"",INT(INDEX('Invullen groen'!$K:$K,$L121))),""),"")</f>
        <v/>
      </c>
      <c r="J121">
        <f>IF($L121&gt;0,IFERROR($K$1&amp;" "&amp;TRIM(SUBSTITUTE(SUBSTITUTE(SUBSTITUTE(SUBSTITUTE(SUBSTITUTE(SUBSTITUTE(SUBSTITUTE(SUBSTITUTE(SUBSTITUTE(SUBSTITUTE(SUBSTITUTE(SUBSTITUTE(LOWER(IF(LEFT(TEXT(INDEX('Invullen groen'!$E:$E,$L121),"0"),1)="6",INDEX('Invullen groen'!$O:$O,$L121),IF(INDEX('Invullen groen'!$N:$N,$L121)&gt;0,INDEX('Invullen groen'!$G:$G,$L121),INDEX('Invullen groen'!$O:$O,$L121)))),"2024",""),"2025",""),"2026",""),"2027",""),"2028",""),"2029",""),"taakveld ",""),"installaties","inst"),"ruwbouw","ruwb"),"afbouw","afb"),"bijstelling","bijst"),"investeringen","invest")),""),")</f>
        <v/>
      </c>
      <c r="L121">
        <f>IFERROR(MATCH(ROW()-104,'Invullen groen'!$S$121:$S$272,0)+120,0)</f>
        <v/>
      </c>
    </row>
    <row r="122" hidden="1">
      <c r="A122" s="237">
        <f>IF($L122&gt;0,"+","")</f>
        <v/>
      </c>
      <c r="B122">
        <f>IFERROR(IF($L122&gt;0,IF(INDEX('Invullen groen'!$F:$F,$L122)&gt;0,INDEX('Invullen groen'!$F:$F,$L122),""),""),"")</f>
        <v/>
      </c>
      <c r="C122">
        <f>IFERROR(IF($L122&gt;0,IF(INDEX('Invullen groen'!$N:$N,$L122)&gt;0,INDEX('Invullen groen'!$N:$N,$L122),""),""),"")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IFERROR(IF($L122&gt;0,IF(INDEX('Invullen groen'!$H:$H,$L122)=0,"",INT(INDEX('Invullen groen'!$H:$H,$L122))),""),"")</f>
        <v/>
      </c>
      <c r="G122" s="236">
        <f>IFERROR(IF($L122&gt;0,IF(INDEX('Invullen groen'!$I:$I,$L122)=0,"",INT(INDEX('Invullen groen'!$I:$I,$L122))),""),"")</f>
        <v/>
      </c>
      <c r="H122" s="236">
        <f>IFERROR(IF($L122&gt;0,IF(INDEX('Invullen groen'!$J:$J,$L122)=0,"",INT(INDEX('Invullen groen'!$J:$J,$L122))),""),"")</f>
        <v/>
      </c>
      <c r="I122" s="236">
        <f>IFERROR(IF($L122&gt;0,IF(INDEX('Invullen groen'!$K:$K,$L122)=0,"",INT(INDEX('Invullen groen'!$K:$K,$L122))),""),"")</f>
        <v/>
      </c>
      <c r="J122">
        <f>IF($L122&gt;0,IFERROR($K$1&amp;" "&amp;TRIM(SUBSTITUTE(SUBSTITUTE(SUBSTITUTE(SUBSTITUTE(SUBSTITUTE(SUBSTITUTE(SUBSTITUTE(SUBSTITUTE(SUBSTITUTE(SUBSTITUTE(SUBSTITUTE(SUBSTITUTE(LOWER(IF(LEFT(TEXT(INDEX('Invullen groen'!$E:$E,$L122),"0"),1)="6",INDEX('Invullen groen'!$O:$O,$L122),IF(INDEX('Invullen groen'!$N:$N,$L122)&gt;0,INDEX('Invullen groen'!$G:$G,$L122),INDEX('Invullen groen'!$O:$O,$L122)))),"2024",""),"2025",""),"2026",""),"2027",""),"2028",""),"2029",""),"taakveld ",""),"installaties","inst"),"ruwbouw","ruwb"),"afbouw","afb"),"bijstelling","bijst"),"investeringen","invest")),""),")</f>
        <v/>
      </c>
      <c r="L122">
        <f>IFERROR(MATCH(ROW()-104,'Invullen groen'!$S$121:$S$272,0)+120,0)</f>
        <v/>
      </c>
    </row>
    <row r="123" hidden="1">
      <c r="A123" s="237">
        <f>IF($L123&gt;0,"+","")</f>
        <v/>
      </c>
      <c r="B123">
        <f>IFERROR(IF($L123&gt;0,IF(INDEX('Invullen groen'!$F:$F,$L123)&gt;0,INDEX('Invullen groen'!$F:$F,$L123),""),""),"")</f>
        <v/>
      </c>
      <c r="C123">
        <f>IFERROR(IF($L123&gt;0,IF(INDEX('Invullen groen'!$N:$N,$L123)&gt;0,INDEX('Invullen groen'!$N:$N,$L123),""),""),"")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IFERROR(IF($L123&gt;0,IF(INDEX('Invullen groen'!$H:$H,$L123)=0,"",INT(INDEX('Invullen groen'!$H:$H,$L123))),""),"")</f>
        <v/>
      </c>
      <c r="G123" s="236">
        <f>IFERROR(IF($L123&gt;0,IF(INDEX('Invullen groen'!$I:$I,$L123)=0,"",INT(INDEX('Invullen groen'!$I:$I,$L123))),""),"")</f>
        <v/>
      </c>
      <c r="H123" s="236">
        <f>IFERROR(IF($L123&gt;0,IF(INDEX('Invullen groen'!$J:$J,$L123)=0,"",INT(INDEX('Invullen groen'!$J:$J,$L123))),""),"")</f>
        <v/>
      </c>
      <c r="I123" s="236">
        <f>IFERROR(IF($L123&gt;0,IF(INDEX('Invullen groen'!$K:$K,$L123)=0,"",INT(INDEX('Invullen groen'!$K:$K,$L123))),""),"")</f>
        <v/>
      </c>
      <c r="J123">
        <f>IF($L123&gt;0,IFERROR($K$1&amp;" "&amp;TRIM(SUBSTITUTE(SUBSTITUTE(SUBSTITUTE(SUBSTITUTE(SUBSTITUTE(SUBSTITUTE(SUBSTITUTE(SUBSTITUTE(SUBSTITUTE(SUBSTITUTE(SUBSTITUTE(SUBSTITUTE(LOWER(IF(LEFT(TEXT(INDEX('Invullen groen'!$E:$E,$L123),"0"),1)="6",INDEX('Invullen groen'!$O:$O,$L123),IF(INDEX('Invullen groen'!$N:$N,$L123)&gt;0,INDEX('Invullen groen'!$G:$G,$L123),INDEX('Invullen groen'!$O:$O,$L123)))),"2024",""),"2025",""),"2026",""),"2027",""),"2028",""),"2029",""),"taakveld ",""),"installaties","inst"),"ruwbouw","ruwb"),"afbouw","afb"),"bijstelling","bijst"),"investeringen","invest")),""),")</f>
        <v/>
      </c>
      <c r="L123">
        <f>IFERROR(MATCH(ROW()-104,'Invullen groen'!$S$121:$S$272,0)+120,0)</f>
        <v/>
      </c>
    </row>
    <row r="124" hidden="1">
      <c r="A124" s="237">
        <f>IF($L124&gt;0,"+","")</f>
        <v/>
      </c>
      <c r="B124">
        <f>IFERROR(IF($L124&gt;0,IF(INDEX('Invullen groen'!$F:$F,$L124)&gt;0,INDEX('Invullen groen'!$F:$F,$L124),""),""),"")</f>
        <v/>
      </c>
      <c r="C124">
        <f>IFERROR(IF($L124&gt;0,IF(INDEX('Invullen groen'!$N:$N,$L124)&gt;0,INDEX('Invullen groen'!$N:$N,$L124),""),""),"")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IFERROR(IF($L124&gt;0,IF(INDEX('Invullen groen'!$H:$H,$L124)=0,"",INT(INDEX('Invullen groen'!$H:$H,$L124))),""),"")</f>
        <v/>
      </c>
      <c r="G124" s="236">
        <f>IFERROR(IF($L124&gt;0,IF(INDEX('Invullen groen'!$I:$I,$L124)=0,"",INT(INDEX('Invullen groen'!$I:$I,$L124))),""),"")</f>
        <v/>
      </c>
      <c r="H124" s="236">
        <f>IFERROR(IF($L124&gt;0,IF(INDEX('Invullen groen'!$J:$J,$L124)=0,"",INT(INDEX('Invullen groen'!$J:$J,$L124))),""),"")</f>
        <v/>
      </c>
      <c r="I124" s="236">
        <f>IFERROR(IF($L124&gt;0,IF(INDEX('Invullen groen'!$K:$K,$L124)=0,"",INT(INDEX('Invullen groen'!$K:$K,$L124))),""),"")</f>
        <v/>
      </c>
      <c r="J124">
        <f>IF($L124&gt;0,IFERROR($K$1&amp;" "&amp;TRIM(SUBSTITUTE(SUBSTITUTE(SUBSTITUTE(SUBSTITUTE(SUBSTITUTE(SUBSTITUTE(SUBSTITUTE(SUBSTITUTE(SUBSTITUTE(SUBSTITUTE(SUBSTITUTE(SUBSTITUTE(LOWER(IF(LEFT(TEXT(INDEX('Invullen groen'!$E:$E,$L124),"0"),1)="6",INDEX('Invullen groen'!$O:$O,$L124),IF(INDEX('Invullen groen'!$N:$N,$L124)&gt;0,INDEX('Invullen groen'!$G:$G,$L124),INDEX('Invullen groen'!$O:$O,$L124)))),"2024",""),"2025",""),"2026",""),"2027",""),"2028",""),"2029",""),"taakveld ",""),"installaties","inst"),"ruwbouw","ruwb"),"afbouw","afb"),"bijstelling","bijst"),"investeringen","invest")),""),")</f>
        <v/>
      </c>
      <c r="L124">
        <f>IFERROR(MATCH(ROW()-104,'Invullen groen'!$S$121:$S$272,0)+120,0)</f>
        <v/>
      </c>
    </row>
    <row r="125" hidden="1">
      <c r="A125" s="237">
        <f>IF($L125&gt;0,"+","")</f>
        <v/>
      </c>
      <c r="B125">
        <f>IFERROR(IF($L125&gt;0,IF(INDEX('Invullen groen'!$F:$F,$L125)&gt;0,INDEX('Invullen groen'!$F:$F,$L125),""),""),"")</f>
        <v/>
      </c>
      <c r="C125">
        <f>IFERROR(IF($L125&gt;0,IF(INDEX('Invullen groen'!$N:$N,$L125)&gt;0,INDEX('Invullen groen'!$N:$N,$L125),""),""),"")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IFERROR(IF($L125&gt;0,IF(INDEX('Invullen groen'!$H:$H,$L125)=0,"",INT(INDEX('Invullen groen'!$H:$H,$L125))),""),"")</f>
        <v/>
      </c>
      <c r="G125" s="236">
        <f>IFERROR(IF($L125&gt;0,IF(INDEX('Invullen groen'!$I:$I,$L125)=0,"",INT(INDEX('Invullen groen'!$I:$I,$L125))),""),"")</f>
        <v/>
      </c>
      <c r="H125" s="236">
        <f>IFERROR(IF($L125&gt;0,IF(INDEX('Invullen groen'!$J:$J,$L125)=0,"",INT(INDEX('Invullen groen'!$J:$J,$L125))),""),"")</f>
        <v/>
      </c>
      <c r="I125" s="236">
        <f>IFERROR(IF($L125&gt;0,IF(INDEX('Invullen groen'!$K:$K,$L125)=0,"",INT(INDEX('Invullen groen'!$K:$K,$L125))),""),"")</f>
        <v/>
      </c>
      <c r="J125">
        <f>IF($L125&gt;0,IFERROR($K$1&amp;" "&amp;TRIM(SUBSTITUTE(SUBSTITUTE(SUBSTITUTE(SUBSTITUTE(SUBSTITUTE(SUBSTITUTE(SUBSTITUTE(SUBSTITUTE(SUBSTITUTE(SUBSTITUTE(SUBSTITUTE(SUBSTITUTE(LOWER(IF(LEFT(TEXT(INDEX('Invullen groen'!$E:$E,$L125),"0"),1)="6",INDEX('Invullen groen'!$O:$O,$L125),IF(INDEX('Invullen groen'!$N:$N,$L125)&gt;0,INDEX('Invullen groen'!$G:$G,$L125),INDEX('Invullen groen'!$O:$O,$L125)))),"2024",""),"2025",""),"2026",""),"2027",""),"2028",""),"2029",""),"taakveld ",""),"installaties","inst"),"ruwbouw","ruwb"),"afbouw","afb"),"bijstelling","bijst"),"investeringen","invest")),""),")</f>
        <v/>
      </c>
      <c r="L125">
        <f>IFERROR(MATCH(ROW()-104,'Invullen groen'!$S$121:$S$272,0)+120,0)</f>
        <v/>
      </c>
    </row>
    <row r="126" hidden="1">
      <c r="A126" s="237">
        <f>IF($L126&gt;0,"+","")</f>
        <v/>
      </c>
      <c r="B126">
        <f>IFERROR(IF($L126&gt;0,IF(INDEX('Invullen groen'!$F:$F,$L126)&gt;0,INDEX('Invullen groen'!$F:$F,$L126),""),""),"")</f>
        <v/>
      </c>
      <c r="C126">
        <f>IFERROR(IF($L126&gt;0,IF(INDEX('Invullen groen'!$N:$N,$L126)&gt;0,INDEX('Invullen groen'!$N:$N,$L126),""),""),"")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IFERROR(IF($L126&gt;0,IF(INDEX('Invullen groen'!$H:$H,$L126)=0,"",INT(INDEX('Invullen groen'!$H:$H,$L126))),""),"")</f>
        <v/>
      </c>
      <c r="G126" s="236">
        <f>IFERROR(IF($L126&gt;0,IF(INDEX('Invullen groen'!$I:$I,$L126)=0,"",INT(INDEX('Invullen groen'!$I:$I,$L126))),""),"")</f>
        <v/>
      </c>
      <c r="H126" s="236">
        <f>IFERROR(IF($L126&gt;0,IF(INDEX('Invullen groen'!$J:$J,$L126)=0,"",INT(INDEX('Invullen groen'!$J:$J,$L126))),""),"")</f>
        <v/>
      </c>
      <c r="I126" s="236">
        <f>IFERROR(IF($L126&gt;0,IF(INDEX('Invullen groen'!$K:$K,$L126)=0,"",INT(INDEX('Invullen groen'!$K:$K,$L126))),""),"")</f>
        <v/>
      </c>
      <c r="J126">
        <f>IF($L126&gt;0,IFERROR($K$1&amp;" "&amp;TRIM(SUBSTITUTE(SUBSTITUTE(SUBSTITUTE(SUBSTITUTE(SUBSTITUTE(SUBSTITUTE(SUBSTITUTE(SUBSTITUTE(SUBSTITUTE(SUBSTITUTE(SUBSTITUTE(SUBSTITUTE(LOWER(IF(LEFT(TEXT(INDEX('Invullen groen'!$E:$E,$L126),"0"),1)="6",INDEX('Invullen groen'!$O:$O,$L126),IF(INDEX('Invullen groen'!$N:$N,$L126)&gt;0,INDEX('Invullen groen'!$G:$G,$L126),INDEX('Invullen groen'!$O:$O,$L126)))),"2024",""),"2025",""),"2026",""),"2027",""),"2028",""),"2029",""),"taakveld ",""),"installaties","inst"),"ruwbouw","ruwb"),"afbouw","afb"),"bijstelling","bijst"),"investeringen","invest")),""),")</f>
        <v/>
      </c>
      <c r="L126">
        <f>IFERROR(MATCH(ROW()-104,'Invullen groen'!$S$121:$S$272,0)+120,0)</f>
        <v/>
      </c>
    </row>
    <row r="127" hidden="1">
      <c r="A127" s="237">
        <f>IF($L127&gt;0,"+","")</f>
        <v/>
      </c>
      <c r="B127">
        <f>IFERROR(IF($L127&gt;0,IF(INDEX('Invullen groen'!$F:$F,$L127)&gt;0,INDEX('Invullen groen'!$F:$F,$L127),""),""),"")</f>
        <v/>
      </c>
      <c r="C127">
        <f>IFERROR(IF($L127&gt;0,IF(INDEX('Invullen groen'!$N:$N,$L127)&gt;0,INDEX('Invullen groen'!$N:$N,$L127),""),""),"")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IFERROR(IF($L127&gt;0,IF(INDEX('Invullen groen'!$H:$H,$L127)=0,"",INT(INDEX('Invullen groen'!$H:$H,$L127))),""),"")</f>
        <v/>
      </c>
      <c r="G127" s="236">
        <f>IFERROR(IF($L127&gt;0,IF(INDEX('Invullen groen'!$I:$I,$L127)=0,"",INT(INDEX('Invullen groen'!$I:$I,$L127))),""),"")</f>
        <v/>
      </c>
      <c r="H127" s="236">
        <f>IFERROR(IF($L127&gt;0,IF(INDEX('Invullen groen'!$J:$J,$L127)=0,"",INT(INDEX('Invullen groen'!$J:$J,$L127))),""),"")</f>
        <v/>
      </c>
      <c r="I127" s="236">
        <f>IFERROR(IF($L127&gt;0,IF(INDEX('Invullen groen'!$K:$K,$L127)=0,"",INT(INDEX('Invullen groen'!$K:$K,$L127))),""),"")</f>
        <v/>
      </c>
      <c r="J127">
        <f>IF($L127&gt;0,IFERROR($K$1&amp;" "&amp;TRIM(SUBSTITUTE(SUBSTITUTE(SUBSTITUTE(SUBSTITUTE(SUBSTITUTE(SUBSTITUTE(SUBSTITUTE(SUBSTITUTE(SUBSTITUTE(SUBSTITUTE(SUBSTITUTE(SUBSTITUTE(LOWER(IF(LEFT(TEXT(INDEX('Invullen groen'!$E:$E,$L127),"0"),1)="6",INDEX('Invullen groen'!$O:$O,$L127),IF(INDEX('Invullen groen'!$N:$N,$L127)&gt;0,INDEX('Invullen groen'!$G:$G,$L127),INDEX('Invullen groen'!$O:$O,$L127)))),"2024",""),"2025",""),"2026",""),"2027",""),"2028",""),"2029",""),"taakveld ",""),"installaties","inst"),"ruwbouw","ruwb"),"afbouw","afb"),"bijstelling","bijst"),"investeringen","invest")),""),")</f>
        <v/>
      </c>
      <c r="L127">
        <f>IFERROR(MATCH(ROW()-104,'Invullen groen'!$S$121:$S$272,0)+120,0)</f>
        <v/>
      </c>
    </row>
    <row r="128" hidden="1">
      <c r="A128" s="237">
        <f>IF($L128&gt;0,"+","")</f>
        <v/>
      </c>
      <c r="B128">
        <f>IFERROR(IF($L128&gt;0,IF(INDEX('Invullen groen'!$F:$F,$L128)&gt;0,INDEX('Invullen groen'!$F:$F,$L128),""),""),"")</f>
        <v/>
      </c>
      <c r="C128">
        <f>IFERROR(IF($L128&gt;0,IF(INDEX('Invullen groen'!$N:$N,$L128)&gt;0,INDEX('Invullen groen'!$N:$N,$L128),""),""),"")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IFERROR(IF($L128&gt;0,IF(INDEX('Invullen groen'!$H:$H,$L128)=0,"",INT(INDEX('Invullen groen'!$H:$H,$L128))),""),"")</f>
        <v/>
      </c>
      <c r="G128" s="236">
        <f>IFERROR(IF($L128&gt;0,IF(INDEX('Invullen groen'!$I:$I,$L128)=0,"",INT(INDEX('Invullen groen'!$I:$I,$L128))),""),"")</f>
        <v/>
      </c>
      <c r="H128" s="236">
        <f>IFERROR(IF($L128&gt;0,IF(INDEX('Invullen groen'!$J:$J,$L128)=0,"",INT(INDEX('Invullen groen'!$J:$J,$L128))),""),"")</f>
        <v/>
      </c>
      <c r="I128" s="236">
        <f>IFERROR(IF($L128&gt;0,IF(INDEX('Invullen groen'!$K:$K,$L128)=0,"",INT(INDEX('Invullen groen'!$K:$K,$L128))),""),"")</f>
        <v/>
      </c>
      <c r="J128">
        <f>IF($L128&gt;0,IFERROR($K$1&amp;" "&amp;TRIM(SUBSTITUTE(SUBSTITUTE(SUBSTITUTE(SUBSTITUTE(SUBSTITUTE(SUBSTITUTE(SUBSTITUTE(SUBSTITUTE(SUBSTITUTE(SUBSTITUTE(SUBSTITUTE(SUBSTITUTE(LOWER(IF(LEFT(TEXT(INDEX('Invullen groen'!$E:$E,$L128),"0"),1)="6",INDEX('Invullen groen'!$O:$O,$L128),IF(INDEX('Invullen groen'!$N:$N,$L128)&gt;0,INDEX('Invullen groen'!$G:$G,$L128),INDEX('Invullen groen'!$O:$O,$L128)))),"2024",""),"2025",""),"2026",""),"2027",""),"2028",""),"2029",""),"taakveld ",""),"installaties","inst"),"ruwbouw","ruwb"),"afbouw","afb"),"bijstelling","bijst"),"investeringen","invest")),""),")</f>
        <v/>
      </c>
      <c r="L128">
        <f>IFERROR(MATCH(ROW()-104,'Invullen groen'!$S$121:$S$272,0)+120,0)</f>
        <v/>
      </c>
    </row>
    <row r="129" hidden="1">
      <c r="A129" s="237">
        <f>IF($L129&gt;0,"+","")</f>
        <v/>
      </c>
      <c r="B129">
        <f>IFERROR(IF($L129&gt;0,IF(INDEX('Invullen groen'!$F:$F,$L129)&gt;0,INDEX('Invullen groen'!$F:$F,$L129),""),""),"")</f>
        <v/>
      </c>
      <c r="C129">
        <f>IFERROR(IF($L129&gt;0,IF(INDEX('Invullen groen'!$N:$N,$L129)&gt;0,INDEX('Invullen groen'!$N:$N,$L129),""),""),"")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IFERROR(IF($L129&gt;0,IF(INDEX('Invullen groen'!$H:$H,$L129)=0,"",INT(INDEX('Invullen groen'!$H:$H,$L129))),""),"")</f>
        <v/>
      </c>
      <c r="G129" s="236">
        <f>IFERROR(IF($L129&gt;0,IF(INDEX('Invullen groen'!$I:$I,$L129)=0,"",INT(INDEX('Invullen groen'!$I:$I,$L129))),""),"")</f>
        <v/>
      </c>
      <c r="H129" s="236">
        <f>IFERROR(IF($L129&gt;0,IF(INDEX('Invullen groen'!$J:$J,$L129)=0,"",INT(INDEX('Invullen groen'!$J:$J,$L129))),""),"")</f>
        <v/>
      </c>
      <c r="I129" s="236">
        <f>IFERROR(IF($L129&gt;0,IF(INDEX('Invullen groen'!$K:$K,$L129)=0,"",INT(INDEX('Invullen groen'!$K:$K,$L129))),""),"")</f>
        <v/>
      </c>
      <c r="J129">
        <f>IF($L129&gt;0,IFERROR($K$1&amp;" "&amp;TRIM(SUBSTITUTE(SUBSTITUTE(SUBSTITUTE(SUBSTITUTE(SUBSTITUTE(SUBSTITUTE(SUBSTITUTE(SUBSTITUTE(SUBSTITUTE(SUBSTITUTE(SUBSTITUTE(SUBSTITUTE(LOWER(IF(LEFT(TEXT(INDEX('Invullen groen'!$E:$E,$L129),"0"),1)="6",INDEX('Invullen groen'!$O:$O,$L129),IF(INDEX('Invullen groen'!$N:$N,$L129)&gt;0,INDEX('Invullen groen'!$G:$G,$L129),INDEX('Invullen groen'!$O:$O,$L129)))),"2024",""),"2025",""),"2026",""),"2027",""),"2028",""),"2029",""),"taakveld ",""),"installaties","inst"),"ruwbouw","ruwb"),"afbouw","afb"),"bijstelling","bijst"),"investeringen","invest")),""),")</f>
        <v/>
      </c>
      <c r="L129">
        <f>IFERROR(MATCH(ROW()-104,'Invullen groen'!$S$121:$S$272,0)+120,0)</f>
        <v/>
      </c>
    </row>
    <row r="130" hidden="1">
      <c r="A130" s="237">
        <f>IF($L130&gt;0,"+","")</f>
        <v/>
      </c>
      <c r="B130">
        <f>IFERROR(IF($L130&gt;0,IF(INDEX('Invullen groen'!$F:$F,$L130)&gt;0,INDEX('Invullen groen'!$F:$F,$L130),""),""),"")</f>
        <v/>
      </c>
      <c r="C130">
        <f>IFERROR(IF($L130&gt;0,IF(INDEX('Invullen groen'!$N:$N,$L130)&gt;0,INDEX('Invullen groen'!$N:$N,$L130),""),""),"")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IFERROR(IF($L130&gt;0,IF(INDEX('Invullen groen'!$H:$H,$L130)=0,"",INT(INDEX('Invullen groen'!$H:$H,$L130))),""),"")</f>
        <v/>
      </c>
      <c r="G130" s="236">
        <f>IFERROR(IF($L130&gt;0,IF(INDEX('Invullen groen'!$I:$I,$L130)=0,"",INT(INDEX('Invullen groen'!$I:$I,$L130))),""),"")</f>
        <v/>
      </c>
      <c r="H130" s="236">
        <f>IFERROR(IF($L130&gt;0,IF(INDEX('Invullen groen'!$J:$J,$L130)=0,"",INT(INDEX('Invullen groen'!$J:$J,$L130))),""),"")</f>
        <v/>
      </c>
      <c r="I130" s="236">
        <f>IFERROR(IF($L130&gt;0,IF(INDEX('Invullen groen'!$K:$K,$L130)=0,"",INT(INDEX('Invullen groen'!$K:$K,$L130))),""),"")</f>
        <v/>
      </c>
      <c r="J130">
        <f>IF($L130&gt;0,IFERROR($K$1&amp;" "&amp;TRIM(SUBSTITUTE(SUBSTITUTE(SUBSTITUTE(SUBSTITUTE(SUBSTITUTE(SUBSTITUTE(SUBSTITUTE(SUBSTITUTE(SUBSTITUTE(SUBSTITUTE(SUBSTITUTE(SUBSTITUTE(LOWER(IF(LEFT(TEXT(INDEX('Invullen groen'!$E:$E,$L130),"0"),1)="6",INDEX('Invullen groen'!$O:$O,$L130),IF(INDEX('Invullen groen'!$N:$N,$L130)&gt;0,INDEX('Invullen groen'!$G:$G,$L130),INDEX('Invullen groen'!$O:$O,$L130)))),"2024",""),"2025",""),"2026",""),"2027",""),"2028",""),"2029",""),"taakveld ",""),"installaties","inst"),"ruwbouw","ruwb"),"afbouw","afb"),"bijstelling","bijst"),"investeringen","invest")),""),")</f>
        <v/>
      </c>
      <c r="L130">
        <f>IFERROR(MATCH(ROW()-104,'Invullen groen'!$S$121:$S$272,0)+120,0)</f>
        <v/>
      </c>
    </row>
    <row r="131" hidden="1">
      <c r="A131" s="237">
        <f>IF($L131&gt;0,"+","")</f>
        <v/>
      </c>
      <c r="B131">
        <f>IFERROR(IF($L131&gt;0,IF(INDEX('Invullen groen'!$F:$F,$L131)&gt;0,INDEX('Invullen groen'!$F:$F,$L131),""),""),"")</f>
        <v/>
      </c>
      <c r="C131">
        <f>IFERROR(IF($L131&gt;0,IF(INDEX('Invullen groen'!$N:$N,$L131)&gt;0,INDEX('Invullen groen'!$N:$N,$L131),""),""),"")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IFERROR(IF($L131&gt;0,IF(INDEX('Invullen groen'!$H:$H,$L131)=0,"",INT(INDEX('Invullen groen'!$H:$H,$L131))),""),"")</f>
        <v/>
      </c>
      <c r="G131" s="236">
        <f>IFERROR(IF($L131&gt;0,IF(INDEX('Invullen groen'!$I:$I,$L131)=0,"",INT(INDEX('Invullen groen'!$I:$I,$L131))),""),"")</f>
        <v/>
      </c>
      <c r="H131" s="236">
        <f>IFERROR(IF($L131&gt;0,IF(INDEX('Invullen groen'!$J:$J,$L131)=0,"",INT(INDEX('Invullen groen'!$J:$J,$L131))),""),"")</f>
        <v/>
      </c>
      <c r="I131" s="236">
        <f>IFERROR(IF($L131&gt;0,IF(INDEX('Invullen groen'!$K:$K,$L131)=0,"",INT(INDEX('Invullen groen'!$K:$K,$L131))),""),"")</f>
        <v/>
      </c>
      <c r="J131">
        <f>IF($L131&gt;0,IFERROR($K$1&amp;" "&amp;TRIM(SUBSTITUTE(SUBSTITUTE(SUBSTITUTE(SUBSTITUTE(SUBSTITUTE(SUBSTITUTE(SUBSTITUTE(SUBSTITUTE(SUBSTITUTE(SUBSTITUTE(SUBSTITUTE(SUBSTITUTE(LOWER(IF(LEFT(TEXT(INDEX('Invullen groen'!$E:$E,$L131),"0"),1)="6",INDEX('Invullen groen'!$O:$O,$L131),IF(INDEX('Invullen groen'!$N:$N,$L131)&gt;0,INDEX('Invullen groen'!$G:$G,$L131),INDEX('Invullen groen'!$O:$O,$L131)))),"2024",""),"2025",""),"2026",""),"2027",""),"2028",""),"2029",""),"taakveld ",""),"installaties","inst"),"ruwbouw","ruwb"),"afbouw","afb"),"bijstelling","bijst"),"investeringen","invest")),""),")</f>
        <v/>
      </c>
      <c r="L131">
        <f>IFERROR(MATCH(ROW()-104,'Invullen groen'!$S$121:$S$272,0)+120,0)</f>
        <v/>
      </c>
    </row>
    <row r="132" hidden="1">
      <c r="A132" s="237">
        <f>IF($L132&gt;0,"+","")</f>
        <v/>
      </c>
      <c r="B132">
        <f>IFERROR(IF($L132&gt;0,IF(INDEX('Invullen groen'!$F:$F,$L132)&gt;0,INDEX('Invullen groen'!$F:$F,$L132),""),""),"")</f>
        <v/>
      </c>
      <c r="C132">
        <f>IFERROR(IF($L132&gt;0,IF(INDEX('Invullen groen'!$N:$N,$L132)&gt;0,INDEX('Invullen groen'!$N:$N,$L132),""),""),"")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IFERROR(IF($L132&gt;0,IF(INDEX('Invullen groen'!$H:$H,$L132)=0,"",INT(INDEX('Invullen groen'!$H:$H,$L132))),""),"")</f>
        <v/>
      </c>
      <c r="G132" s="236">
        <f>IFERROR(IF($L132&gt;0,IF(INDEX('Invullen groen'!$I:$I,$L132)=0,"",INT(INDEX('Invullen groen'!$I:$I,$L132))),""),"")</f>
        <v/>
      </c>
      <c r="H132" s="236">
        <f>IFERROR(IF($L132&gt;0,IF(INDEX('Invullen groen'!$J:$J,$L132)=0,"",INT(INDEX('Invullen groen'!$J:$J,$L132))),""),"")</f>
        <v/>
      </c>
      <c r="I132" s="236">
        <f>IFERROR(IF($L132&gt;0,IF(INDEX('Invullen groen'!$K:$K,$L132)=0,"",INT(INDEX('Invullen groen'!$K:$K,$L132))),""),"")</f>
        <v/>
      </c>
      <c r="J132">
        <f>IF($L132&gt;0,IFERROR($K$1&amp;" "&amp;TRIM(SUBSTITUTE(SUBSTITUTE(SUBSTITUTE(SUBSTITUTE(SUBSTITUTE(SUBSTITUTE(SUBSTITUTE(SUBSTITUTE(SUBSTITUTE(SUBSTITUTE(SUBSTITUTE(SUBSTITUTE(LOWER(IF(LEFT(TEXT(INDEX('Invullen groen'!$E:$E,$L132),"0"),1)="6",INDEX('Invullen groen'!$O:$O,$L132),IF(INDEX('Invullen groen'!$N:$N,$L132)&gt;0,INDEX('Invullen groen'!$G:$G,$L132),INDEX('Invullen groen'!$O:$O,$L132)))),"2024",""),"2025",""),"2026",""),"2027",""),"2028",""),"2029",""),"taakveld ",""),"installaties","inst"),"ruwbouw","ruwb"),"afbouw","afb"),"bijstelling","bijst"),"investeringen","invest")),""),")</f>
        <v/>
      </c>
      <c r="L132">
        <f>IFERROR(MATCH(ROW()-104,'Invullen groen'!$S$121:$S$272,0)+120,0)</f>
        <v/>
      </c>
    </row>
    <row r="133" hidden="1">
      <c r="A133" s="237">
        <f>IF($L133&gt;0,"+","")</f>
        <v/>
      </c>
      <c r="B133">
        <f>IFERROR(IF($L133&gt;0,IF(INDEX('Invullen groen'!$F:$F,$L133)&gt;0,INDEX('Invullen groen'!$F:$F,$L133),""),""),"")</f>
        <v/>
      </c>
      <c r="C133">
        <f>IFERROR(IF($L133&gt;0,IF(INDEX('Invullen groen'!$N:$N,$L133)&gt;0,INDEX('Invullen groen'!$N:$N,$L133),""),""),"")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IFERROR(IF($L133&gt;0,IF(INDEX('Invullen groen'!$H:$H,$L133)=0,"",INT(INDEX('Invullen groen'!$H:$H,$L133))),""),"")</f>
        <v/>
      </c>
      <c r="G133" s="236">
        <f>IFERROR(IF($L133&gt;0,IF(INDEX('Invullen groen'!$I:$I,$L133)=0,"",INT(INDEX('Invullen groen'!$I:$I,$L133))),""),"")</f>
        <v/>
      </c>
      <c r="H133" s="236">
        <f>IFERROR(IF($L133&gt;0,IF(INDEX('Invullen groen'!$J:$J,$L133)=0,"",INT(INDEX('Invullen groen'!$J:$J,$L133))),""),"")</f>
        <v/>
      </c>
      <c r="I133" s="236">
        <f>IFERROR(IF($L133&gt;0,IF(INDEX('Invullen groen'!$K:$K,$L133)=0,"",INT(INDEX('Invullen groen'!$K:$K,$L133))),""),"")</f>
        <v/>
      </c>
      <c r="J133">
        <f>IF($L133&gt;0,IFERROR($K$1&amp;" "&amp;TRIM(SUBSTITUTE(SUBSTITUTE(SUBSTITUTE(SUBSTITUTE(SUBSTITUTE(SUBSTITUTE(SUBSTITUTE(SUBSTITUTE(SUBSTITUTE(SUBSTITUTE(SUBSTITUTE(SUBSTITUTE(LOWER(IF(LEFT(TEXT(INDEX('Invullen groen'!$E:$E,$L133),"0"),1)="6",INDEX('Invullen groen'!$O:$O,$L133),IF(INDEX('Invullen groen'!$N:$N,$L133)&gt;0,INDEX('Invullen groen'!$G:$G,$L133),INDEX('Invullen groen'!$O:$O,$L133)))),"2024",""),"2025",""),"2026",""),"2027",""),"2028",""),"2029",""),"taakveld ",""),"installaties","inst"),"ruwbouw","ruwb"),"afbouw","afb"),"bijstelling","bijst"),"investeringen","invest")),""),")</f>
        <v/>
      </c>
      <c r="L133">
        <f>IFERROR(MATCH(ROW()-104,'Invullen groen'!$S$121:$S$272,0)+120,0)</f>
        <v/>
      </c>
    </row>
    <row r="134" hidden="1">
      <c r="A134" s="237">
        <f>IF($L134&gt;0,"+","")</f>
        <v/>
      </c>
      <c r="B134">
        <f>IFERROR(IF($L134&gt;0,IF(INDEX('Invullen groen'!$F:$F,$L134)&gt;0,INDEX('Invullen groen'!$F:$F,$L134),""),""),"")</f>
        <v/>
      </c>
      <c r="C134">
        <f>IFERROR(IF($L134&gt;0,IF(INDEX('Invullen groen'!$N:$N,$L134)&gt;0,INDEX('Invullen groen'!$N:$N,$L134),""),""),"")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IFERROR(IF($L134&gt;0,IF(INDEX('Invullen groen'!$H:$H,$L134)=0,"",INT(INDEX('Invullen groen'!$H:$H,$L134))),""),"")</f>
        <v/>
      </c>
      <c r="G134" s="236">
        <f>IFERROR(IF($L134&gt;0,IF(INDEX('Invullen groen'!$I:$I,$L134)=0,"",INT(INDEX('Invullen groen'!$I:$I,$L134))),""),"")</f>
        <v/>
      </c>
      <c r="H134" s="236">
        <f>IFERROR(IF($L134&gt;0,IF(INDEX('Invullen groen'!$J:$J,$L134)=0,"",INT(INDEX('Invullen groen'!$J:$J,$L134))),""),"")</f>
        <v/>
      </c>
      <c r="I134" s="236">
        <f>IFERROR(IF($L134&gt;0,IF(INDEX('Invullen groen'!$K:$K,$L134)=0,"",INT(INDEX('Invullen groen'!$K:$K,$L134))),""),"")</f>
        <v/>
      </c>
      <c r="J134">
        <f>IF($L134&gt;0,IFERROR($K$1&amp;" "&amp;TRIM(SUBSTITUTE(SUBSTITUTE(SUBSTITUTE(SUBSTITUTE(SUBSTITUTE(SUBSTITUTE(SUBSTITUTE(SUBSTITUTE(SUBSTITUTE(SUBSTITUTE(SUBSTITUTE(SUBSTITUTE(LOWER(IF(LEFT(TEXT(INDEX('Invullen groen'!$E:$E,$L134),"0"),1)="6",INDEX('Invullen groen'!$O:$O,$L134),IF(INDEX('Invullen groen'!$N:$N,$L134)&gt;0,INDEX('Invullen groen'!$G:$G,$L134),INDEX('Invullen groen'!$O:$O,$L134)))),"2024",""),"2025",""),"2026",""),"2027",""),"2028",""),"2029",""),"taakveld ",""),"installaties","inst"),"ruwbouw","ruwb"),"afbouw","afb"),"bijstelling","bijst"),"investeringen","invest")),""),")</f>
        <v/>
      </c>
      <c r="L134">
        <f>IFERROR(MATCH(ROW()-104,'Invullen groen'!$S$121:$S$272,0)+120,0)</f>
        <v/>
      </c>
    </row>
    <row r="135" hidden="1">
      <c r="A135" s="237">
        <f>IF($L135&gt;0,"+","")</f>
        <v/>
      </c>
      <c r="B135">
        <f>IFERROR(IF($L135&gt;0,IF(INDEX('Invullen groen'!$F:$F,$L135)&gt;0,INDEX('Invullen groen'!$F:$F,$L135),""),""),"")</f>
        <v/>
      </c>
      <c r="C135">
        <f>IFERROR(IF($L135&gt;0,IF(INDEX('Invullen groen'!$N:$N,$L135)&gt;0,INDEX('Invullen groen'!$N:$N,$L135),""),""),"")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IFERROR(IF($L135&gt;0,IF(INDEX('Invullen groen'!$H:$H,$L135)=0,"",INT(INDEX('Invullen groen'!$H:$H,$L135))),""),"")</f>
        <v/>
      </c>
      <c r="G135" s="236">
        <f>IFERROR(IF($L135&gt;0,IF(INDEX('Invullen groen'!$I:$I,$L135)=0,"",INT(INDEX('Invullen groen'!$I:$I,$L135))),""),"")</f>
        <v/>
      </c>
      <c r="H135" s="236">
        <f>IFERROR(IF($L135&gt;0,IF(INDEX('Invullen groen'!$J:$J,$L135)=0,"",INT(INDEX('Invullen groen'!$J:$J,$L135))),""),"")</f>
        <v/>
      </c>
      <c r="I135" s="236">
        <f>IFERROR(IF($L135&gt;0,IF(INDEX('Invullen groen'!$K:$K,$L135)=0,"",INT(INDEX('Invullen groen'!$K:$K,$L135))),""),"")</f>
        <v/>
      </c>
      <c r="J135">
        <f>IF($L135&gt;0,IFERROR($K$1&amp;" "&amp;TRIM(SUBSTITUTE(SUBSTITUTE(SUBSTITUTE(SUBSTITUTE(SUBSTITUTE(SUBSTITUTE(SUBSTITUTE(SUBSTITUTE(SUBSTITUTE(SUBSTITUTE(SUBSTITUTE(SUBSTITUTE(LOWER(IF(LEFT(TEXT(INDEX('Invullen groen'!$E:$E,$L135),"0"),1)="6",INDEX('Invullen groen'!$O:$O,$L135),IF(INDEX('Invullen groen'!$N:$N,$L135)&gt;0,INDEX('Invullen groen'!$G:$G,$L135),INDEX('Invullen groen'!$O:$O,$L135)))),"2024",""),"2025",""),"2026",""),"2027",""),"2028",""),"2029",""),"taakveld ",""),"installaties","inst"),"ruwbouw","ruwb"),"afbouw","afb"),"bijstelling","bijst"),"investeringen","invest")),""),")</f>
        <v/>
      </c>
      <c r="L135">
        <f>IFERROR(MATCH(ROW()-104,'Invullen groen'!$S$121:$S$272,0)+120,0)</f>
        <v/>
      </c>
    </row>
    <row r="136" hidden="1">
      <c r="A136" s="237">
        <f>IF($L136&gt;0,"+","")</f>
        <v/>
      </c>
      <c r="B136">
        <f>IFERROR(IF($L136&gt;0,IF(INDEX('Invullen groen'!$F:$F,$L136)&gt;0,INDEX('Invullen groen'!$F:$F,$L136),""),""),"")</f>
        <v/>
      </c>
      <c r="C136">
        <f>IFERROR(IF($L136&gt;0,IF(INDEX('Invullen groen'!$N:$N,$L136)&gt;0,INDEX('Invullen groen'!$N:$N,$L136),""),""),"")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IFERROR(IF($L136&gt;0,IF(INDEX('Invullen groen'!$H:$H,$L136)=0,"",INT(INDEX('Invullen groen'!$H:$H,$L136))),""),"")</f>
        <v/>
      </c>
      <c r="G136" s="236">
        <f>IFERROR(IF($L136&gt;0,IF(INDEX('Invullen groen'!$I:$I,$L136)=0,"",INT(INDEX('Invullen groen'!$I:$I,$L136))),""),"")</f>
        <v/>
      </c>
      <c r="H136" s="236">
        <f>IFERROR(IF($L136&gt;0,IF(INDEX('Invullen groen'!$J:$J,$L136)=0,"",INT(INDEX('Invullen groen'!$J:$J,$L136))),""),"")</f>
        <v/>
      </c>
      <c r="I136" s="236">
        <f>IFERROR(IF($L136&gt;0,IF(INDEX('Invullen groen'!$K:$K,$L136)=0,"",INT(INDEX('Invullen groen'!$K:$K,$L136))),""),"")</f>
        <v/>
      </c>
      <c r="J136">
        <f>IF($L136&gt;0,IFERROR($K$1&amp;" "&amp;TRIM(SUBSTITUTE(SUBSTITUTE(SUBSTITUTE(SUBSTITUTE(SUBSTITUTE(SUBSTITUTE(SUBSTITUTE(SUBSTITUTE(SUBSTITUTE(SUBSTITUTE(SUBSTITUTE(SUBSTITUTE(LOWER(IF(LEFT(TEXT(INDEX('Invullen groen'!$E:$E,$L136),"0"),1)="6",INDEX('Invullen groen'!$O:$O,$L136),IF(INDEX('Invullen groen'!$N:$N,$L136)&gt;0,INDEX('Invullen groen'!$G:$G,$L136),INDEX('Invullen groen'!$O:$O,$L136)))),"2024",""),"2025",""),"2026",""),"2027",""),"2028",""),"2029",""),"taakveld ",""),"installaties","inst"),"ruwbouw","ruwb"),"afbouw","afb"),"bijstelling","bijst"),"investeringen","invest")),""),")</f>
        <v/>
      </c>
      <c r="L136">
        <f>IFERROR(MATCH(ROW()-104,'Invullen groen'!$S$121:$S$272,0)+120,0)</f>
        <v/>
      </c>
    </row>
    <row r="137" hidden="1">
      <c r="A137" s="237">
        <f>IF($L137&gt;0,"+","")</f>
        <v/>
      </c>
      <c r="B137">
        <f>IFERROR(IF($L137&gt;0,IF(INDEX('Invullen groen'!$F:$F,$L137)&gt;0,INDEX('Invullen groen'!$F:$F,$L137),""),""),"")</f>
        <v/>
      </c>
      <c r="C137">
        <f>IFERROR(IF($L137&gt;0,IF(INDEX('Invullen groen'!$N:$N,$L137)&gt;0,INDEX('Invullen groen'!$N:$N,$L137),""),""),"")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IFERROR(IF($L137&gt;0,IF(INDEX('Invullen groen'!$H:$H,$L137)=0,"",INT(INDEX('Invullen groen'!$H:$H,$L137))),""),"")</f>
        <v/>
      </c>
      <c r="G137" s="236">
        <f>IFERROR(IF($L137&gt;0,IF(INDEX('Invullen groen'!$I:$I,$L137)=0,"",INT(INDEX('Invullen groen'!$I:$I,$L137))),""),"")</f>
        <v/>
      </c>
      <c r="H137" s="236">
        <f>IFERROR(IF($L137&gt;0,IF(INDEX('Invullen groen'!$J:$J,$L137)=0,"",INT(INDEX('Invullen groen'!$J:$J,$L137))),""),"")</f>
        <v/>
      </c>
      <c r="I137" s="236">
        <f>IFERROR(IF($L137&gt;0,IF(INDEX('Invullen groen'!$K:$K,$L137)=0,"",INT(INDEX('Invullen groen'!$K:$K,$L137))),""),"")</f>
        <v/>
      </c>
      <c r="J137">
        <f>IF($L137&gt;0,IFERROR($K$1&amp;" "&amp;TRIM(SUBSTITUTE(SUBSTITUTE(SUBSTITUTE(SUBSTITUTE(SUBSTITUTE(SUBSTITUTE(SUBSTITUTE(SUBSTITUTE(SUBSTITUTE(SUBSTITUTE(SUBSTITUTE(SUBSTITUTE(LOWER(IF(LEFT(TEXT(INDEX('Invullen groen'!$E:$E,$L137),"0"),1)="6",INDEX('Invullen groen'!$O:$O,$L137),IF(INDEX('Invullen groen'!$N:$N,$L137)&gt;0,INDEX('Invullen groen'!$G:$G,$L137),INDEX('Invullen groen'!$O:$O,$L137)))),"2024",""),"2025",""),"2026",""),"2027",""),"2028",""),"2029",""),"taakveld ",""),"installaties","inst"),"ruwbouw","ruwb"),"afbouw","afb"),"bijstelling","bijst"),"investeringen","invest")),""),")</f>
        <v/>
      </c>
      <c r="L137">
        <f>IFERROR(MATCH(ROW()-104,'Invullen groen'!$S$121:$S$272,0)+120,0)</f>
        <v/>
      </c>
    </row>
    <row r="138" hidden="1">
      <c r="A138" s="237">
        <f>IF($L138&gt;0,"+","")</f>
        <v/>
      </c>
      <c r="B138">
        <f>IFERROR(IF($L138&gt;0,IF(INDEX('Invullen groen'!$F:$F,$L138)&gt;0,INDEX('Invullen groen'!$F:$F,$L138),""),""),"")</f>
        <v/>
      </c>
      <c r="C138">
        <f>IFERROR(IF($L138&gt;0,IF(INDEX('Invullen groen'!$N:$N,$L138)&gt;0,INDEX('Invullen groen'!$N:$N,$L138),""),""),"")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IFERROR(IF($L138&gt;0,IF(INDEX('Invullen groen'!$H:$H,$L138)=0,"",INT(INDEX('Invullen groen'!$H:$H,$L138))),""),"")</f>
        <v/>
      </c>
      <c r="G138" s="236">
        <f>IFERROR(IF($L138&gt;0,IF(INDEX('Invullen groen'!$I:$I,$L138)=0,"",INT(INDEX('Invullen groen'!$I:$I,$L138))),""),"")</f>
        <v/>
      </c>
      <c r="H138" s="236">
        <f>IFERROR(IF($L138&gt;0,IF(INDEX('Invullen groen'!$J:$J,$L138)=0,"",INT(INDEX('Invullen groen'!$J:$J,$L138))),""),"")</f>
        <v/>
      </c>
      <c r="I138" s="236">
        <f>IFERROR(IF($L138&gt;0,IF(INDEX('Invullen groen'!$K:$K,$L138)=0,"",INT(INDEX('Invullen groen'!$K:$K,$L138))),""),"")</f>
        <v/>
      </c>
      <c r="J138">
        <f>IF($L138&gt;0,IFERROR($K$1&amp;" "&amp;TRIM(SUBSTITUTE(SUBSTITUTE(SUBSTITUTE(SUBSTITUTE(SUBSTITUTE(SUBSTITUTE(SUBSTITUTE(SUBSTITUTE(SUBSTITUTE(SUBSTITUTE(SUBSTITUTE(SUBSTITUTE(LOWER(IF(LEFT(TEXT(INDEX('Invullen groen'!$E:$E,$L138),"0"),1)="6",INDEX('Invullen groen'!$O:$O,$L138),IF(INDEX('Invullen groen'!$N:$N,$L138)&gt;0,INDEX('Invullen groen'!$G:$G,$L138),INDEX('Invullen groen'!$O:$O,$L138)))),"2024",""),"2025",""),"2026",""),"2027",""),"2028",""),"2029",""),"taakveld ",""),"installaties","inst"),"ruwbouw","ruwb"),"afbouw","afb"),"bijstelling","bijst"),"investeringen","invest")),""),")</f>
        <v/>
      </c>
      <c r="L138">
        <f>IFERROR(MATCH(ROW()-104,'Invullen groen'!$S$121:$S$272,0)+120,0)</f>
        <v/>
      </c>
    </row>
    <row r="139" hidden="1">
      <c r="A139" s="237">
        <f>IF($L139&gt;0,"+","")</f>
        <v/>
      </c>
      <c r="B139">
        <f>IFERROR(IF($L139&gt;0,IF(INDEX('Invullen groen'!$F:$F,$L139)&gt;0,INDEX('Invullen groen'!$F:$F,$L139),""),""),"")</f>
        <v/>
      </c>
      <c r="C139">
        <f>IFERROR(IF($L139&gt;0,IF(INDEX('Invullen groen'!$N:$N,$L139)&gt;0,INDEX('Invullen groen'!$N:$N,$L139),""),""),"")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IFERROR(IF($L139&gt;0,IF(INDEX('Invullen groen'!$H:$H,$L139)=0,"",INT(INDEX('Invullen groen'!$H:$H,$L139))),""),"")</f>
        <v/>
      </c>
      <c r="G139" s="236">
        <f>IFERROR(IF($L139&gt;0,IF(INDEX('Invullen groen'!$I:$I,$L139)=0,"",INT(INDEX('Invullen groen'!$I:$I,$L139))),""),"")</f>
        <v/>
      </c>
      <c r="H139" s="236">
        <f>IFERROR(IF($L139&gt;0,IF(INDEX('Invullen groen'!$J:$J,$L139)=0,"",INT(INDEX('Invullen groen'!$J:$J,$L139))),""),"")</f>
        <v/>
      </c>
      <c r="I139" s="236">
        <f>IFERROR(IF($L139&gt;0,IF(INDEX('Invullen groen'!$K:$K,$L139)=0,"",INT(INDEX('Invullen groen'!$K:$K,$L139))),""),"")</f>
        <v/>
      </c>
      <c r="J139">
        <f>IF($L139&gt;0,IFERROR($K$1&amp;" "&amp;TRIM(SUBSTITUTE(SUBSTITUTE(SUBSTITUTE(SUBSTITUTE(SUBSTITUTE(SUBSTITUTE(SUBSTITUTE(SUBSTITUTE(SUBSTITUTE(SUBSTITUTE(SUBSTITUTE(SUBSTITUTE(LOWER(IF(LEFT(TEXT(INDEX('Invullen groen'!$E:$E,$L139),"0"),1)="6",INDEX('Invullen groen'!$O:$O,$L139),IF(INDEX('Invullen groen'!$N:$N,$L139)&gt;0,INDEX('Invullen groen'!$G:$G,$L139),INDEX('Invullen groen'!$O:$O,$L139)))),"2024",""),"2025",""),"2026",""),"2027",""),"2028",""),"2029",""),"taakveld ",""),"installaties","inst"),"ruwbouw","ruwb"),"afbouw","afb"),"bijstelling","bijst"),"investeringen","invest")),""),")</f>
        <v/>
      </c>
      <c r="L139">
        <f>IFERROR(MATCH(ROW()-104,'Invullen groen'!$S$121:$S$272,0)+120,0)</f>
        <v/>
      </c>
    </row>
    <row r="140" hidden="1">
      <c r="A140" s="237">
        <f>IF($L140&gt;0,"+","")</f>
        <v/>
      </c>
      <c r="B140">
        <f>IFERROR(IF($L140&gt;0,IF(INDEX('Invullen groen'!$F:$F,$L140)&gt;0,INDEX('Invullen groen'!$F:$F,$L140),""),""),"")</f>
        <v/>
      </c>
      <c r="C140">
        <f>IFERROR(IF($L140&gt;0,IF(INDEX('Invullen groen'!$N:$N,$L140)&gt;0,INDEX('Invullen groen'!$N:$N,$L140),""),""),"")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IFERROR(IF($L140&gt;0,IF(INDEX('Invullen groen'!$H:$H,$L140)=0,"",INT(INDEX('Invullen groen'!$H:$H,$L140))),""),"")</f>
        <v/>
      </c>
      <c r="G140" s="236">
        <f>IFERROR(IF($L140&gt;0,IF(INDEX('Invullen groen'!$I:$I,$L140)=0,"",INT(INDEX('Invullen groen'!$I:$I,$L140))),""),"")</f>
        <v/>
      </c>
      <c r="H140" s="236">
        <f>IFERROR(IF($L140&gt;0,IF(INDEX('Invullen groen'!$J:$J,$L140)=0,"",INT(INDEX('Invullen groen'!$J:$J,$L140))),""),"")</f>
        <v/>
      </c>
      <c r="I140" s="236">
        <f>IFERROR(IF($L140&gt;0,IF(INDEX('Invullen groen'!$K:$K,$L140)=0,"",INT(INDEX('Invullen groen'!$K:$K,$L140))),""),"")</f>
        <v/>
      </c>
      <c r="J140">
        <f>IF($L140&gt;0,IFERROR($K$1&amp;" "&amp;TRIM(SUBSTITUTE(SUBSTITUTE(SUBSTITUTE(SUBSTITUTE(SUBSTITUTE(SUBSTITUTE(SUBSTITUTE(SUBSTITUTE(SUBSTITUTE(SUBSTITUTE(SUBSTITUTE(SUBSTITUTE(LOWER(IF(LEFT(TEXT(INDEX('Invullen groen'!$E:$E,$L140),"0"),1)="6",INDEX('Invullen groen'!$O:$O,$L140),IF(INDEX('Invullen groen'!$N:$N,$L140)&gt;0,INDEX('Invullen groen'!$G:$G,$L140),INDEX('Invullen groen'!$O:$O,$L140)))),"2024",""),"2025",""),"2026",""),"2027",""),"2028",""),"2029",""),"taakveld ",""),"installaties","inst"),"ruwbouw","ruwb"),"afbouw","afb"),"bijstelling","bijst"),"investeringen","invest")),""),")</f>
        <v/>
      </c>
      <c r="L140">
        <f>IFERROR(MATCH(ROW()-104,'Invullen groen'!$S$121:$S$272,0)+120,0)</f>
        <v/>
      </c>
    </row>
    <row r="141" hidden="1">
      <c r="A141" s="237">
        <f>IF($L141&gt;0,"+","")</f>
        <v/>
      </c>
      <c r="B141">
        <f>IFERROR(IF($L141&gt;0,IF(INDEX('Invullen groen'!$F:$F,$L141)&gt;0,INDEX('Invullen groen'!$F:$F,$L141),""),""),"")</f>
        <v/>
      </c>
      <c r="C141">
        <f>IFERROR(IF($L141&gt;0,IF(INDEX('Invullen groen'!$N:$N,$L141)&gt;0,INDEX('Invullen groen'!$N:$N,$L141),""),""),"")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IFERROR(IF($L141&gt;0,IF(INDEX('Invullen groen'!$H:$H,$L141)=0,"",INT(INDEX('Invullen groen'!$H:$H,$L141))),""),"")</f>
        <v/>
      </c>
      <c r="G141" s="236">
        <f>IFERROR(IF($L141&gt;0,IF(INDEX('Invullen groen'!$I:$I,$L141)=0,"",INT(INDEX('Invullen groen'!$I:$I,$L141))),""),"")</f>
        <v/>
      </c>
      <c r="H141" s="236">
        <f>IFERROR(IF($L141&gt;0,IF(INDEX('Invullen groen'!$J:$J,$L141)=0,"",INT(INDEX('Invullen groen'!$J:$J,$L141))),""),"")</f>
        <v/>
      </c>
      <c r="I141" s="236">
        <f>IFERROR(IF($L141&gt;0,IF(INDEX('Invullen groen'!$K:$K,$L141)=0,"",INT(INDEX('Invullen groen'!$K:$K,$L141))),""),"")</f>
        <v/>
      </c>
      <c r="J141">
        <f>IF($L141&gt;0,IFERROR($K$1&amp;" "&amp;TRIM(SUBSTITUTE(SUBSTITUTE(SUBSTITUTE(SUBSTITUTE(SUBSTITUTE(SUBSTITUTE(SUBSTITUTE(SUBSTITUTE(SUBSTITUTE(SUBSTITUTE(SUBSTITUTE(SUBSTITUTE(LOWER(IF(LEFT(TEXT(INDEX('Invullen groen'!$E:$E,$L141),"0"),1)="6",INDEX('Invullen groen'!$O:$O,$L141),IF(INDEX('Invullen groen'!$N:$N,$L141)&gt;0,INDEX('Invullen groen'!$G:$G,$L141),INDEX('Invullen groen'!$O:$O,$L141)))),"2024",""),"2025",""),"2026",""),"2027",""),"2028",""),"2029",""),"taakveld ",""),"installaties","inst"),"ruwbouw","ruwb"),"afbouw","afb"),"bijstelling","bijst"),"investeringen","invest")),""),")</f>
        <v/>
      </c>
      <c r="L141">
        <f>IFERROR(MATCH(ROW()-104,'Invullen groen'!$S$121:$S$272,0)+120,0)</f>
        <v/>
      </c>
    </row>
    <row r="142" hidden="1">
      <c r="A142" s="237">
        <f>IF($L142&gt;0,"+","")</f>
        <v/>
      </c>
      <c r="B142">
        <f>IFERROR(IF($L142&gt;0,IF(INDEX('Invullen groen'!$F:$F,$L142)&gt;0,INDEX('Invullen groen'!$F:$F,$L142),""),""),"")</f>
        <v/>
      </c>
      <c r="C142">
        <f>IFERROR(IF($L142&gt;0,IF(INDEX('Invullen groen'!$N:$N,$L142)&gt;0,INDEX('Invullen groen'!$N:$N,$L142),""),""),"")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IFERROR(IF($L142&gt;0,IF(INDEX('Invullen groen'!$H:$H,$L142)=0,"",INT(INDEX('Invullen groen'!$H:$H,$L142))),""),"")</f>
        <v/>
      </c>
      <c r="G142" s="236">
        <f>IFERROR(IF($L142&gt;0,IF(INDEX('Invullen groen'!$I:$I,$L142)=0,"",INT(INDEX('Invullen groen'!$I:$I,$L142))),""),"")</f>
        <v/>
      </c>
      <c r="H142" s="236">
        <f>IFERROR(IF($L142&gt;0,IF(INDEX('Invullen groen'!$J:$J,$L142)=0,"",INT(INDEX('Invullen groen'!$J:$J,$L142))),""),"")</f>
        <v/>
      </c>
      <c r="I142" s="236">
        <f>IFERROR(IF($L142&gt;0,IF(INDEX('Invullen groen'!$K:$K,$L142)=0,"",INT(INDEX('Invullen groen'!$K:$K,$L142))),""),"")</f>
        <v/>
      </c>
      <c r="J142">
        <f>IF($L142&gt;0,IFERROR($K$1&amp;" "&amp;TRIM(SUBSTITUTE(SUBSTITUTE(SUBSTITUTE(SUBSTITUTE(SUBSTITUTE(SUBSTITUTE(SUBSTITUTE(SUBSTITUTE(SUBSTITUTE(SUBSTITUTE(SUBSTITUTE(SUBSTITUTE(LOWER(IF(LEFT(TEXT(INDEX('Invullen groen'!$E:$E,$L142),"0"),1)="6",INDEX('Invullen groen'!$O:$O,$L142),IF(INDEX('Invullen groen'!$N:$N,$L142)&gt;0,INDEX('Invullen groen'!$G:$G,$L142),INDEX('Invullen groen'!$O:$O,$L142)))),"2024",""),"2025",""),"2026",""),"2027",""),"2028",""),"2029",""),"taakveld ",""),"installaties","inst"),"ruwbouw","ruwb"),"afbouw","afb"),"bijstelling","bijst"),"investeringen","invest")),""),")</f>
        <v/>
      </c>
      <c r="L142">
        <f>IFERROR(MATCH(ROW()-104,'Invullen groen'!$S$121:$S$272,0)+120,0)</f>
        <v/>
      </c>
    </row>
    <row r="143" hidden="1">
      <c r="A143" s="237">
        <f>IF($L143&gt;0,"+","")</f>
        <v/>
      </c>
      <c r="B143">
        <f>IFERROR(IF($L143&gt;0,IF(INDEX('Invullen groen'!$F:$F,$L143)&gt;0,INDEX('Invullen groen'!$F:$F,$L143),""),""),"")</f>
        <v/>
      </c>
      <c r="C143">
        <f>IFERROR(IF($L143&gt;0,IF(INDEX('Invullen groen'!$N:$N,$L143)&gt;0,INDEX('Invullen groen'!$N:$N,$L143),""),""),"")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IFERROR(IF($L143&gt;0,IF(INDEX('Invullen groen'!$H:$H,$L143)=0,"",INT(INDEX('Invullen groen'!$H:$H,$L143))),""),"")</f>
        <v/>
      </c>
      <c r="G143" s="236">
        <f>IFERROR(IF($L143&gt;0,IF(INDEX('Invullen groen'!$I:$I,$L143)=0,"",INT(INDEX('Invullen groen'!$I:$I,$L143))),""),"")</f>
        <v/>
      </c>
      <c r="H143" s="236">
        <f>IFERROR(IF($L143&gt;0,IF(INDEX('Invullen groen'!$J:$J,$L143)=0,"",INT(INDEX('Invullen groen'!$J:$J,$L143))),""),"")</f>
        <v/>
      </c>
      <c r="I143" s="236">
        <f>IFERROR(IF($L143&gt;0,IF(INDEX('Invullen groen'!$K:$K,$L143)=0,"",INT(INDEX('Invullen groen'!$K:$K,$L143))),""),"")</f>
        <v/>
      </c>
      <c r="J143">
        <f>IF($L143&gt;0,IFERROR($K$1&amp;" "&amp;TRIM(SUBSTITUTE(SUBSTITUTE(SUBSTITUTE(SUBSTITUTE(SUBSTITUTE(SUBSTITUTE(SUBSTITUTE(SUBSTITUTE(SUBSTITUTE(SUBSTITUTE(SUBSTITUTE(SUBSTITUTE(LOWER(IF(LEFT(TEXT(INDEX('Invullen groen'!$E:$E,$L143),"0"),1)="6",INDEX('Invullen groen'!$O:$O,$L143),IF(INDEX('Invullen groen'!$N:$N,$L143)&gt;0,INDEX('Invullen groen'!$G:$G,$L143),INDEX('Invullen groen'!$O:$O,$L143)))),"2024",""),"2025",""),"2026",""),"2027",""),"2028",""),"2029",""),"taakveld ",""),"installaties","inst"),"ruwbouw","ruwb"),"afbouw","afb"),"bijstelling","bijst"),"investeringen","invest")),""),")</f>
        <v/>
      </c>
      <c r="L143">
        <f>IFERROR(MATCH(ROW()-104,'Invullen groen'!$S$121:$S$272,0)+120,0)</f>
        <v/>
      </c>
    </row>
    <row r="144" hidden="1">
      <c r="A144" s="237">
        <f>IF($L144&gt;0,"+","")</f>
        <v/>
      </c>
      <c r="B144">
        <f>IFERROR(IF($L144&gt;0,IF(INDEX('Invullen groen'!$F:$F,$L144)&gt;0,INDEX('Invullen groen'!$F:$F,$L144),""),""),"")</f>
        <v/>
      </c>
      <c r="C144">
        <f>IFERROR(IF($L144&gt;0,IF(INDEX('Invullen groen'!$N:$N,$L144)&gt;0,INDEX('Invullen groen'!$N:$N,$L144),""),""),"")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IFERROR(IF($L144&gt;0,IF(INDEX('Invullen groen'!$H:$H,$L144)=0,"",INT(INDEX('Invullen groen'!$H:$H,$L144))),""),"")</f>
        <v/>
      </c>
      <c r="G144" s="236">
        <f>IFERROR(IF($L144&gt;0,IF(INDEX('Invullen groen'!$I:$I,$L144)=0,"",INT(INDEX('Invullen groen'!$I:$I,$L144))),""),"")</f>
        <v/>
      </c>
      <c r="H144" s="236">
        <f>IFERROR(IF($L144&gt;0,IF(INDEX('Invullen groen'!$J:$J,$L144)=0,"",INT(INDEX('Invullen groen'!$J:$J,$L144))),""),"")</f>
        <v/>
      </c>
      <c r="I144" s="236">
        <f>IFERROR(IF($L144&gt;0,IF(INDEX('Invullen groen'!$K:$K,$L144)=0,"",INT(INDEX('Invullen groen'!$K:$K,$L144))),""),"")</f>
        <v/>
      </c>
      <c r="J144">
        <f>IF($L144&gt;0,IFERROR($K$1&amp;" "&amp;TRIM(SUBSTITUTE(SUBSTITUTE(SUBSTITUTE(SUBSTITUTE(SUBSTITUTE(SUBSTITUTE(SUBSTITUTE(SUBSTITUTE(SUBSTITUTE(SUBSTITUTE(SUBSTITUTE(SUBSTITUTE(LOWER(IF(LEFT(TEXT(INDEX('Invullen groen'!$E:$E,$L144),"0"),1)="6",INDEX('Invullen groen'!$O:$O,$L144),IF(INDEX('Invullen groen'!$N:$N,$L144)&gt;0,INDEX('Invullen groen'!$G:$G,$L144),INDEX('Invullen groen'!$O:$O,$L144)))),"2024",""),"2025",""),"2026",""),"2027",""),"2028",""),"2029",""),"taakveld ",""),"installaties","inst"),"ruwbouw","ruwb"),"afbouw","afb"),"bijstelling","bijst"),"investeringen","invest")),""),")</f>
        <v/>
      </c>
      <c r="L144">
        <f>IFERROR(MATCH(ROW()-104,'Invullen groen'!$S$121:$S$272,0)+120,0)</f>
        <v/>
      </c>
    </row>
    <row r="145" hidden="1">
      <c r="A145" s="237">
        <f>IF($L145&gt;0,"+","")</f>
        <v/>
      </c>
      <c r="B145">
        <f>IFERROR(IF($L145&gt;0,IF(INDEX('Invullen groen'!$F:$F,$L145)&gt;0,INDEX('Invullen groen'!$F:$F,$L145),""),""),"")</f>
        <v/>
      </c>
      <c r="C145">
        <f>IFERROR(IF($L145&gt;0,IF(INDEX('Invullen groen'!$N:$N,$L145)&gt;0,INDEX('Invullen groen'!$N:$N,$L145),""),""),"")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IFERROR(IF($L145&gt;0,IF(INDEX('Invullen groen'!$H:$H,$L145)=0,"",INT(INDEX('Invullen groen'!$H:$H,$L145))),""),"")</f>
        <v/>
      </c>
      <c r="G145" s="236">
        <f>IFERROR(IF($L145&gt;0,IF(INDEX('Invullen groen'!$I:$I,$L145)=0,"",INT(INDEX('Invullen groen'!$I:$I,$L145))),""),"")</f>
        <v/>
      </c>
      <c r="H145" s="236">
        <f>IFERROR(IF($L145&gt;0,IF(INDEX('Invullen groen'!$J:$J,$L145)=0,"",INT(INDEX('Invullen groen'!$J:$J,$L145))),""),"")</f>
        <v/>
      </c>
      <c r="I145" s="236">
        <f>IFERROR(IF($L145&gt;0,IF(INDEX('Invullen groen'!$K:$K,$L145)=0,"",INT(INDEX('Invullen groen'!$K:$K,$L145))),""),"")</f>
        <v/>
      </c>
      <c r="J145">
        <f>IF($L145&gt;0,IFERROR($K$1&amp;" "&amp;TRIM(SUBSTITUTE(SUBSTITUTE(SUBSTITUTE(SUBSTITUTE(SUBSTITUTE(SUBSTITUTE(SUBSTITUTE(SUBSTITUTE(SUBSTITUTE(SUBSTITUTE(SUBSTITUTE(SUBSTITUTE(LOWER(IF(LEFT(TEXT(INDEX('Invullen groen'!$E:$E,$L145),"0"),1)="6",INDEX('Invullen groen'!$O:$O,$L145),IF(INDEX('Invullen groen'!$N:$N,$L145)&gt;0,INDEX('Invullen groen'!$G:$G,$L145),INDEX('Invullen groen'!$O:$O,$L145)))),"2024",""),"2025",""),"2026",""),"2027",""),"2028",""),"2029",""),"taakveld ",""),"installaties","inst"),"ruwbouw","ruwb"),"afbouw","afb"),"bijstelling","bijst"),"investeringen","invest")),""),")</f>
        <v/>
      </c>
      <c r="L145">
        <f>IFERROR(MATCH(ROW()-104,'Invullen groen'!$S$121:$S$272,0)+120,0)</f>
        <v/>
      </c>
    </row>
    <row r="146" hidden="1">
      <c r="A146" s="237">
        <f>IF($L146&gt;0,"+","")</f>
        <v/>
      </c>
      <c r="B146">
        <f>IFERROR(IF($L146&gt;0,IF(INDEX('Invullen groen'!$F:$F,$L146)&gt;0,INDEX('Invullen groen'!$F:$F,$L146),""),""),"")</f>
        <v/>
      </c>
      <c r="C146">
        <f>IFERROR(IF($L146&gt;0,IF(INDEX('Invullen groen'!$N:$N,$L146)&gt;0,INDEX('Invullen groen'!$N:$N,$L146),""),""),"")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IFERROR(IF($L146&gt;0,IF(INDEX('Invullen groen'!$H:$H,$L146)=0,"",INT(INDEX('Invullen groen'!$H:$H,$L146))),""),"")</f>
        <v/>
      </c>
      <c r="G146" s="236">
        <f>IFERROR(IF($L146&gt;0,IF(INDEX('Invullen groen'!$I:$I,$L146)=0,"",INT(INDEX('Invullen groen'!$I:$I,$L146))),""),"")</f>
        <v/>
      </c>
      <c r="H146" s="236">
        <f>IFERROR(IF($L146&gt;0,IF(INDEX('Invullen groen'!$J:$J,$L146)=0,"",INT(INDEX('Invullen groen'!$J:$J,$L146))),""),"")</f>
        <v/>
      </c>
      <c r="I146" s="236">
        <f>IFERROR(IF($L146&gt;0,IF(INDEX('Invullen groen'!$K:$K,$L146)=0,"",INT(INDEX('Invullen groen'!$K:$K,$L146))),""),"")</f>
        <v/>
      </c>
      <c r="J146">
        <f>IF($L146&gt;0,IFERROR($K$1&amp;" "&amp;TRIM(SUBSTITUTE(SUBSTITUTE(SUBSTITUTE(SUBSTITUTE(SUBSTITUTE(SUBSTITUTE(SUBSTITUTE(SUBSTITUTE(SUBSTITUTE(SUBSTITUTE(SUBSTITUTE(SUBSTITUTE(LOWER(IF(LEFT(TEXT(INDEX('Invullen groen'!$E:$E,$L146),"0"),1)="6",INDEX('Invullen groen'!$O:$O,$L146),IF(INDEX('Invullen groen'!$N:$N,$L146)&gt;0,INDEX('Invullen groen'!$G:$G,$L146),INDEX('Invullen groen'!$O:$O,$L146)))),"2024",""),"2025",""),"2026",""),"2027",""),"2028",""),"2029",""),"taakveld ",""),"installaties","inst"),"ruwbouw","ruwb"),"afbouw","afb"),"bijstelling","bijst"),"investeringen","invest")),""),")</f>
        <v/>
      </c>
      <c r="L146">
        <f>IFERROR(MATCH(ROW()-104,'Invullen groen'!$S$121:$S$272,0)+120,0)</f>
        <v/>
      </c>
    </row>
    <row r="147" hidden="1">
      <c r="A147" s="237">
        <f>IF($L147&gt;0,"+","")</f>
        <v/>
      </c>
      <c r="B147">
        <f>IFERROR(IF($L147&gt;0,IF(INDEX('Invullen groen'!$F:$F,$L147)&gt;0,INDEX('Invullen groen'!$F:$F,$L147),""),""),"")</f>
        <v/>
      </c>
      <c r="C147">
        <f>IFERROR(IF($L147&gt;0,IF(INDEX('Invullen groen'!$N:$N,$L147)&gt;0,INDEX('Invullen groen'!$N:$N,$L147),""),""),"")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IFERROR(IF($L147&gt;0,IF(INDEX('Invullen groen'!$H:$H,$L147)=0,"",INT(INDEX('Invullen groen'!$H:$H,$L147))),""),"")</f>
        <v/>
      </c>
      <c r="G147" s="236">
        <f>IFERROR(IF($L147&gt;0,IF(INDEX('Invullen groen'!$I:$I,$L147)=0,"",INT(INDEX('Invullen groen'!$I:$I,$L147))),""),"")</f>
        <v/>
      </c>
      <c r="H147" s="236">
        <f>IFERROR(IF($L147&gt;0,IF(INDEX('Invullen groen'!$J:$J,$L147)=0,"",INT(INDEX('Invullen groen'!$J:$J,$L147))),""),"")</f>
        <v/>
      </c>
      <c r="I147" s="236">
        <f>IFERROR(IF($L147&gt;0,IF(INDEX('Invullen groen'!$K:$K,$L147)=0,"",INT(INDEX('Invullen groen'!$K:$K,$L147))),""),"")</f>
        <v/>
      </c>
      <c r="J147">
        <f>IF($L147&gt;0,IFERROR($K$1&amp;" "&amp;TRIM(SUBSTITUTE(SUBSTITUTE(SUBSTITUTE(SUBSTITUTE(SUBSTITUTE(SUBSTITUTE(SUBSTITUTE(SUBSTITUTE(SUBSTITUTE(SUBSTITUTE(SUBSTITUTE(SUBSTITUTE(LOWER(IF(LEFT(TEXT(INDEX('Invullen groen'!$E:$E,$L147),"0"),1)="6",INDEX('Invullen groen'!$O:$O,$L147),IF(INDEX('Invullen groen'!$N:$N,$L147)&gt;0,INDEX('Invullen groen'!$G:$G,$L147),INDEX('Invullen groen'!$O:$O,$L147)))),"2024",""),"2025",""),"2026",""),"2027",""),"2028",""),"2029",""),"taakveld ",""),"installaties","inst"),"ruwbouw","ruwb"),"afbouw","afb"),"bijstelling","bijst"),"investeringen","invest")),""),")</f>
        <v/>
      </c>
      <c r="L147">
        <f>IFERROR(MATCH(ROW()-104,'Invullen groen'!$S$121:$S$272,0)+120,0)</f>
        <v/>
      </c>
    </row>
    <row r="148" hidden="1">
      <c r="A148" s="237">
        <f>IF($L148&gt;0,"+","")</f>
        <v/>
      </c>
      <c r="B148">
        <f>IFERROR(IF($L148&gt;0,IF(INDEX('Invullen groen'!$F:$F,$L148)&gt;0,INDEX('Invullen groen'!$F:$F,$L148),""),""),"")</f>
        <v/>
      </c>
      <c r="C148">
        <f>IFERROR(IF($L148&gt;0,IF(INDEX('Invullen groen'!$N:$N,$L148)&gt;0,INDEX('Invullen groen'!$N:$N,$L148),""),""),"")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IFERROR(IF($L148&gt;0,IF(INDEX('Invullen groen'!$H:$H,$L148)=0,"",INT(INDEX('Invullen groen'!$H:$H,$L148))),""),"")</f>
        <v/>
      </c>
      <c r="G148" s="236">
        <f>IFERROR(IF($L148&gt;0,IF(INDEX('Invullen groen'!$I:$I,$L148)=0,"",INT(INDEX('Invullen groen'!$I:$I,$L148))),""),"")</f>
        <v/>
      </c>
      <c r="H148" s="236">
        <f>IFERROR(IF($L148&gt;0,IF(INDEX('Invullen groen'!$J:$J,$L148)=0,"",INT(INDEX('Invullen groen'!$J:$J,$L148))),""),"")</f>
        <v/>
      </c>
      <c r="I148" s="236">
        <f>IFERROR(IF($L148&gt;0,IF(INDEX('Invullen groen'!$K:$K,$L148)=0,"",INT(INDEX('Invullen groen'!$K:$K,$L148))),""),"")</f>
        <v/>
      </c>
      <c r="J148">
        <f>IF($L148&gt;0,IFERROR($K$1&amp;" "&amp;TRIM(SUBSTITUTE(SUBSTITUTE(SUBSTITUTE(SUBSTITUTE(SUBSTITUTE(SUBSTITUTE(SUBSTITUTE(SUBSTITUTE(SUBSTITUTE(SUBSTITUTE(SUBSTITUTE(SUBSTITUTE(LOWER(IF(LEFT(TEXT(INDEX('Invullen groen'!$E:$E,$L148),"0"),1)="6",INDEX('Invullen groen'!$O:$O,$L148),IF(INDEX('Invullen groen'!$N:$N,$L148)&gt;0,INDEX('Invullen groen'!$G:$G,$L148),INDEX('Invullen groen'!$O:$O,$L148)))),"2024",""),"2025",""),"2026",""),"2027",""),"2028",""),"2029",""),"taakveld ",""),"installaties","inst"),"ruwbouw","ruwb"),"afbouw","afb"),"bijstelling","bijst"),"investeringen","invest")),""),")</f>
        <v/>
      </c>
      <c r="L148">
        <f>IFERROR(MATCH(ROW()-104,'Invullen groen'!$S$121:$S$272,0)+120,0)</f>
        <v/>
      </c>
    </row>
    <row r="149" hidden="1">
      <c r="A149" s="237">
        <f>IF($L149&gt;0,"+","")</f>
        <v/>
      </c>
      <c r="B149">
        <f>IFERROR(IF($L149&gt;0,IF(INDEX('Invullen groen'!$F:$F,$L149)&gt;0,INDEX('Invullen groen'!$F:$F,$L149),""),""),"")</f>
        <v/>
      </c>
      <c r="C149">
        <f>IFERROR(IF($L149&gt;0,IF(INDEX('Invullen groen'!$N:$N,$L149)&gt;0,INDEX('Invullen groen'!$N:$N,$L149),""),""),"")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IFERROR(IF($L149&gt;0,IF(INDEX('Invullen groen'!$H:$H,$L149)=0,"",INT(INDEX('Invullen groen'!$H:$H,$L149))),""),"")</f>
        <v/>
      </c>
      <c r="G149" s="236">
        <f>IFERROR(IF($L149&gt;0,IF(INDEX('Invullen groen'!$I:$I,$L149)=0,"",INT(INDEX('Invullen groen'!$I:$I,$L149))),""),"")</f>
        <v/>
      </c>
      <c r="H149" s="236">
        <f>IFERROR(IF($L149&gt;0,IF(INDEX('Invullen groen'!$J:$J,$L149)=0,"",INT(INDEX('Invullen groen'!$J:$J,$L149))),""),"")</f>
        <v/>
      </c>
      <c r="I149" s="236">
        <f>IFERROR(IF($L149&gt;0,IF(INDEX('Invullen groen'!$K:$K,$L149)=0,"",INT(INDEX('Invullen groen'!$K:$K,$L149))),""),"")</f>
        <v/>
      </c>
      <c r="J149">
        <f>IF($L149&gt;0,IFERROR($K$1&amp;" "&amp;TRIM(SUBSTITUTE(SUBSTITUTE(SUBSTITUTE(SUBSTITUTE(SUBSTITUTE(SUBSTITUTE(SUBSTITUTE(SUBSTITUTE(SUBSTITUTE(SUBSTITUTE(SUBSTITUTE(SUBSTITUTE(LOWER(IF(LEFT(TEXT(INDEX('Invullen groen'!$E:$E,$L149),"0"),1)="6",INDEX('Invullen groen'!$O:$O,$L149),IF(INDEX('Invullen groen'!$N:$N,$L149)&gt;0,INDEX('Invullen groen'!$G:$G,$L149),INDEX('Invullen groen'!$O:$O,$L149)))),"2024",""),"2025",""),"2026",""),"2027",""),"2028",""),"2029",""),"taakveld ",""),"installaties","inst"),"ruwbouw","ruwb"),"afbouw","afb"),"bijstelling","bijst"),"investeringen","invest")),""),")</f>
        <v/>
      </c>
      <c r="L149">
        <f>IFERROR(MATCH(ROW()-104,'Invullen groen'!$S$121:$S$272,0)+120,0)</f>
        <v/>
      </c>
    </row>
    <row r="150" hidden="1">
      <c r="A150" s="237">
        <f>IF($L150&gt;0,"+","")</f>
        <v/>
      </c>
      <c r="B150">
        <f>IFERROR(IF($L150&gt;0,IF(INDEX('Invullen groen'!$F:$F,$L150)&gt;0,INDEX('Invullen groen'!$F:$F,$L150),""),""),"")</f>
        <v/>
      </c>
      <c r="C150">
        <f>IFERROR(IF($L150&gt;0,IF(INDEX('Invullen groen'!$N:$N,$L150)&gt;0,INDEX('Invullen groen'!$N:$N,$L150),""),""),"")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IFERROR(IF($L150&gt;0,IF(INDEX('Invullen groen'!$H:$H,$L150)=0,"",INT(INDEX('Invullen groen'!$H:$H,$L150))),""),"")</f>
        <v/>
      </c>
      <c r="G150" s="236">
        <f>IFERROR(IF($L150&gt;0,IF(INDEX('Invullen groen'!$I:$I,$L150)=0,"",INT(INDEX('Invullen groen'!$I:$I,$L150))),""),"")</f>
        <v/>
      </c>
      <c r="H150" s="236">
        <f>IFERROR(IF($L150&gt;0,IF(INDEX('Invullen groen'!$J:$J,$L150)=0,"",INT(INDEX('Invullen groen'!$J:$J,$L150))),""),"")</f>
        <v/>
      </c>
      <c r="I150" s="236">
        <f>IFERROR(IF($L150&gt;0,IF(INDEX('Invullen groen'!$K:$K,$L150)=0,"",INT(INDEX('Invullen groen'!$K:$K,$L150))),""),"")</f>
        <v/>
      </c>
      <c r="J150">
        <f>IF($L150&gt;0,IFERROR($K$1&amp;" "&amp;TRIM(SUBSTITUTE(SUBSTITUTE(SUBSTITUTE(SUBSTITUTE(SUBSTITUTE(SUBSTITUTE(SUBSTITUTE(SUBSTITUTE(SUBSTITUTE(SUBSTITUTE(SUBSTITUTE(SUBSTITUTE(LOWER(IF(LEFT(TEXT(INDEX('Invullen groen'!$E:$E,$L150),"0"),1)="6",INDEX('Invullen groen'!$O:$O,$L150),IF(INDEX('Invullen groen'!$N:$N,$L150)&gt;0,INDEX('Invullen groen'!$G:$G,$L150),INDEX('Invullen groen'!$O:$O,$L150)))),"2024",""),"2025",""),"2026",""),"2027",""),"2028",""),"2029",""),"taakveld ",""),"installaties","inst"),"ruwbouw","ruwb"),"afbouw","afb"),"bijstelling","bijst"),"investeringen","invest")),""),")</f>
        <v/>
      </c>
      <c r="L150">
        <f>IFERROR(MATCH(ROW()-104,'Invullen groen'!$S$121:$S$272,0)+120,0)</f>
        <v/>
      </c>
    </row>
    <row r="151" hidden="1">
      <c r="A151" s="237">
        <f>IF($L151&gt;0,"+","")</f>
        <v/>
      </c>
      <c r="B151">
        <f>IFERROR(IF($L151&gt;0,IF(INDEX('Invullen groen'!$F:$F,$L151)&gt;0,INDEX('Invullen groen'!$F:$F,$L151),""),""),"")</f>
        <v/>
      </c>
      <c r="C151">
        <f>IFERROR(IF($L151&gt;0,IF(INDEX('Invullen groen'!$N:$N,$L151)&gt;0,INDEX('Invullen groen'!$N:$N,$L151),""),""),"")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IFERROR(IF($L151&gt;0,IF(INDEX('Invullen groen'!$H:$H,$L151)=0,"",INT(INDEX('Invullen groen'!$H:$H,$L151))),""),"")</f>
        <v/>
      </c>
      <c r="G151" s="236">
        <f>IFERROR(IF($L151&gt;0,IF(INDEX('Invullen groen'!$I:$I,$L151)=0,"",INT(INDEX('Invullen groen'!$I:$I,$L151))),""),"")</f>
        <v/>
      </c>
      <c r="H151" s="236">
        <f>IFERROR(IF($L151&gt;0,IF(INDEX('Invullen groen'!$J:$J,$L151)=0,"",INT(INDEX('Invullen groen'!$J:$J,$L151))),""),"")</f>
        <v/>
      </c>
      <c r="I151" s="236">
        <f>IFERROR(IF($L151&gt;0,IF(INDEX('Invullen groen'!$K:$K,$L151)=0,"",INT(INDEX('Invullen groen'!$K:$K,$L151))),""),"")</f>
        <v/>
      </c>
      <c r="J151">
        <f>IF($L151&gt;0,IFERROR($K$1&amp;" "&amp;TRIM(SUBSTITUTE(SUBSTITUTE(SUBSTITUTE(SUBSTITUTE(SUBSTITUTE(SUBSTITUTE(SUBSTITUTE(SUBSTITUTE(SUBSTITUTE(SUBSTITUTE(SUBSTITUTE(SUBSTITUTE(LOWER(IF(LEFT(TEXT(INDEX('Invullen groen'!$E:$E,$L151),"0"),1)="6",INDEX('Invullen groen'!$O:$O,$L151),IF(INDEX('Invullen groen'!$N:$N,$L151)&gt;0,INDEX('Invullen groen'!$G:$G,$L151),INDEX('Invullen groen'!$O:$O,$L151)))),"2024",""),"2025",""),"2026",""),"2027",""),"2028",""),"2029",""),"taakveld ",""),"installaties","inst"),"ruwbouw","ruwb"),"afbouw","afb"),"bijstelling","bijst"),"investeringen","invest")),""),")</f>
        <v/>
      </c>
      <c r="L151">
        <f>IFERROR(MATCH(ROW()-104,'Invullen groen'!$S$121:$S$272,0)+120,0)</f>
        <v/>
      </c>
    </row>
    <row r="152" hidden="1">
      <c r="A152" s="237">
        <f>IF($L152&gt;0,"+","")</f>
        <v/>
      </c>
      <c r="B152">
        <f>IFERROR(IF($L152&gt;0,IF(INDEX('Invullen groen'!$F:$F,$L152)&gt;0,INDEX('Invullen groen'!$F:$F,$L152),""),""),"")</f>
        <v/>
      </c>
      <c r="C152">
        <f>IFERROR(IF($L152&gt;0,IF(INDEX('Invullen groen'!$N:$N,$L152)&gt;0,INDEX('Invullen groen'!$N:$N,$L152),""),""),"")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IFERROR(IF($L152&gt;0,IF(INDEX('Invullen groen'!$H:$H,$L152)=0,"",INT(INDEX('Invullen groen'!$H:$H,$L152))),""),"")</f>
        <v/>
      </c>
      <c r="G152" s="236">
        <f>IFERROR(IF($L152&gt;0,IF(INDEX('Invullen groen'!$I:$I,$L152)=0,"",INT(INDEX('Invullen groen'!$I:$I,$L152))),""),"")</f>
        <v/>
      </c>
      <c r="H152" s="236">
        <f>IFERROR(IF($L152&gt;0,IF(INDEX('Invullen groen'!$J:$J,$L152)=0,"",INT(INDEX('Invullen groen'!$J:$J,$L152))),""),"")</f>
        <v/>
      </c>
      <c r="I152" s="236">
        <f>IFERROR(IF($L152&gt;0,IF(INDEX('Invullen groen'!$K:$K,$L152)=0,"",INT(INDEX('Invullen groen'!$K:$K,$L152))),""),"")</f>
        <v/>
      </c>
      <c r="J152">
        <f>IF($L152&gt;0,IFERROR($K$1&amp;" "&amp;TRIM(SUBSTITUTE(SUBSTITUTE(SUBSTITUTE(SUBSTITUTE(SUBSTITUTE(SUBSTITUTE(SUBSTITUTE(SUBSTITUTE(SUBSTITUTE(SUBSTITUTE(SUBSTITUTE(SUBSTITUTE(LOWER(IF(LEFT(TEXT(INDEX('Invullen groen'!$E:$E,$L152),"0"),1)="6",INDEX('Invullen groen'!$O:$O,$L152),IF(INDEX('Invullen groen'!$N:$N,$L152)&gt;0,INDEX('Invullen groen'!$G:$G,$L152),INDEX('Invullen groen'!$O:$O,$L152)))),"2024",""),"2025",""),"2026",""),"2027",""),"2028",""),"2029",""),"taakveld ",""),"installaties","inst"),"ruwbouw","ruwb"),"afbouw","afb"),"bijstelling","bijst"),"investeringen","invest")),""),")</f>
        <v/>
      </c>
      <c r="L152">
        <f>IFERROR(MATCH(ROW()-104,'Invullen groen'!$S$121:$S$272,0)+120,0)</f>
        <v/>
      </c>
    </row>
    <row r="153" hidden="1">
      <c r="A153" s="237">
        <f>IF($L153&gt;0,"+","")</f>
        <v/>
      </c>
      <c r="B153">
        <f>IFERROR(IF($L153&gt;0,IF(INDEX('Invullen groen'!$F:$F,$L153)&gt;0,INDEX('Invullen groen'!$F:$F,$L153),""),""),"")</f>
        <v/>
      </c>
      <c r="C153">
        <f>IFERROR(IF($L153&gt;0,IF(INDEX('Invullen groen'!$N:$N,$L153)&gt;0,INDEX('Invullen groen'!$N:$N,$L153),""),""),"")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IFERROR(IF($L153&gt;0,IF(INDEX('Invullen groen'!$H:$H,$L153)=0,"",INT(INDEX('Invullen groen'!$H:$H,$L153))),""),"")</f>
        <v/>
      </c>
      <c r="G153" s="236">
        <f>IFERROR(IF($L153&gt;0,IF(INDEX('Invullen groen'!$I:$I,$L153)=0,"",INT(INDEX('Invullen groen'!$I:$I,$L153))),""),"")</f>
        <v/>
      </c>
      <c r="H153" s="236">
        <f>IFERROR(IF($L153&gt;0,IF(INDEX('Invullen groen'!$J:$J,$L153)=0,"",INT(INDEX('Invullen groen'!$J:$J,$L153))),""),"")</f>
        <v/>
      </c>
      <c r="I153" s="236">
        <f>IFERROR(IF($L153&gt;0,IF(INDEX('Invullen groen'!$K:$K,$L153)=0,"",INT(INDEX('Invullen groen'!$K:$K,$L153))),""),"")</f>
        <v/>
      </c>
      <c r="J153">
        <f>IF($L153&gt;0,IFERROR($K$1&amp;" "&amp;TRIM(SUBSTITUTE(SUBSTITUTE(SUBSTITUTE(SUBSTITUTE(SUBSTITUTE(SUBSTITUTE(SUBSTITUTE(SUBSTITUTE(SUBSTITUTE(SUBSTITUTE(SUBSTITUTE(SUBSTITUTE(LOWER(IF(LEFT(TEXT(INDEX('Invullen groen'!$E:$E,$L153),"0"),1)="6",INDEX('Invullen groen'!$O:$O,$L153),IF(INDEX('Invullen groen'!$N:$N,$L153)&gt;0,INDEX('Invullen groen'!$G:$G,$L153),INDEX('Invullen groen'!$O:$O,$L153)))),"2024",""),"2025",""),"2026",""),"2027",""),"2028",""),"2029",""),"taakveld ",""),"installaties","inst"),"ruwbouw","ruwb"),"afbouw","afb"),"bijstelling","bijst"),"investeringen","invest")),""),")</f>
        <v/>
      </c>
      <c r="L153">
        <f>IFERROR(MATCH(ROW()-104,'Invullen groen'!$S$121:$S$272,0)+120,0)</f>
        <v/>
      </c>
    </row>
    <row r="154" hidden="1">
      <c r="A154" s="237">
        <f>IF($L154&gt;0,"+","")</f>
        <v/>
      </c>
      <c r="B154">
        <f>IFERROR(IF($L154&gt;0,IF(INDEX('Invullen groen'!$F:$F,$L154)&gt;0,INDEX('Invullen groen'!$F:$F,$L154),""),""),"")</f>
        <v/>
      </c>
      <c r="C154">
        <f>IFERROR(IF($L154&gt;0,IF(INDEX('Invullen groen'!$N:$N,$L154)&gt;0,INDEX('Invullen groen'!$N:$N,$L154),""),""),"")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IFERROR(IF($L154&gt;0,IF(INDEX('Invullen groen'!$H:$H,$L154)=0,"",INT(INDEX('Invullen groen'!$H:$H,$L154))),""),"")</f>
        <v/>
      </c>
      <c r="G154" s="236">
        <f>IFERROR(IF($L154&gt;0,IF(INDEX('Invullen groen'!$I:$I,$L154)=0,"",INT(INDEX('Invullen groen'!$I:$I,$L154))),""),"")</f>
        <v/>
      </c>
      <c r="H154" s="236">
        <f>IFERROR(IF($L154&gt;0,IF(INDEX('Invullen groen'!$J:$J,$L154)=0,"",INT(INDEX('Invullen groen'!$J:$J,$L154))),""),"")</f>
        <v/>
      </c>
      <c r="I154" s="236">
        <f>IFERROR(IF($L154&gt;0,IF(INDEX('Invullen groen'!$K:$K,$L154)=0,"",INT(INDEX('Invullen groen'!$K:$K,$L154))),""),"")</f>
        <v/>
      </c>
      <c r="J154">
        <f>IF($L154&gt;0,IFERROR($K$1&amp;" "&amp;TRIM(SUBSTITUTE(SUBSTITUTE(SUBSTITUTE(SUBSTITUTE(SUBSTITUTE(SUBSTITUTE(SUBSTITUTE(SUBSTITUTE(SUBSTITUTE(SUBSTITUTE(SUBSTITUTE(SUBSTITUTE(LOWER(IF(LEFT(TEXT(INDEX('Invullen groen'!$E:$E,$L154),"0"),1)="6",INDEX('Invullen groen'!$O:$O,$L154),IF(INDEX('Invullen groen'!$N:$N,$L154)&gt;0,INDEX('Invullen groen'!$G:$G,$L154),INDEX('Invullen groen'!$O:$O,$L154)))),"2024",""),"2025",""),"2026",""),"2027",""),"2028",""),"2029",""),"taakveld ",""),"installaties","inst"),"ruwbouw","ruwb"),"afbouw","afb"),"bijstelling","bijst"),"investeringen","invest")),""),")</f>
        <v/>
      </c>
      <c r="L154">
        <f>IFERROR(MATCH(ROW()-104,'Invullen groen'!$S$121:$S$272,0)+120,0)</f>
        <v/>
      </c>
    </row>
    <row r="155" hidden="1">
      <c r="A155" s="237">
        <f>IF($L155&gt;0,"+","")</f>
        <v/>
      </c>
      <c r="B155">
        <f>IFERROR(IF($L155&gt;0,IF(INDEX('Invullen groen'!$F:$F,$L155)&gt;0,INDEX('Invullen groen'!$F:$F,$L155),""),""),"")</f>
        <v/>
      </c>
      <c r="C155">
        <f>IFERROR(IF($L155&gt;0,IF(INDEX('Invullen groen'!$N:$N,$L155)&gt;0,INDEX('Invullen groen'!$N:$N,$L155),""),""),"")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IFERROR(IF($L155&gt;0,IF(INDEX('Invullen groen'!$H:$H,$L155)=0,"",INT(INDEX('Invullen groen'!$H:$H,$L155))),""),"")</f>
        <v/>
      </c>
      <c r="G155" s="236">
        <f>IFERROR(IF($L155&gt;0,IF(INDEX('Invullen groen'!$I:$I,$L155)=0,"",INT(INDEX('Invullen groen'!$I:$I,$L155))),""),"")</f>
        <v/>
      </c>
      <c r="H155" s="236">
        <f>IFERROR(IF($L155&gt;0,IF(INDEX('Invullen groen'!$J:$J,$L155)=0,"",INT(INDEX('Invullen groen'!$J:$J,$L155))),""),"")</f>
        <v/>
      </c>
      <c r="I155" s="236">
        <f>IFERROR(IF($L155&gt;0,IF(INDEX('Invullen groen'!$K:$K,$L155)=0,"",INT(INDEX('Invullen groen'!$K:$K,$L155))),""),"")</f>
        <v/>
      </c>
      <c r="J155">
        <f>IF($L155&gt;0,IFERROR($K$1&amp;" "&amp;TRIM(SUBSTITUTE(SUBSTITUTE(SUBSTITUTE(SUBSTITUTE(SUBSTITUTE(SUBSTITUTE(SUBSTITUTE(SUBSTITUTE(SUBSTITUTE(SUBSTITUTE(SUBSTITUTE(SUBSTITUTE(LOWER(IF(LEFT(TEXT(INDEX('Invullen groen'!$E:$E,$L155),"0"),1)="6",INDEX('Invullen groen'!$O:$O,$L155),IF(INDEX('Invullen groen'!$N:$N,$L155)&gt;0,INDEX('Invullen groen'!$G:$G,$L155),INDEX('Invullen groen'!$O:$O,$L155)))),"2024",""),"2025",""),"2026",""),"2027",""),"2028",""),"2029",""),"taakveld ",""),"installaties","inst"),"ruwbouw","ruwb"),"afbouw","afb"),"bijstelling","bijst"),"investeringen","invest")),""),")</f>
        <v/>
      </c>
      <c r="L155">
        <f>IFERROR(MATCH(ROW()-104,'Invullen groen'!$S$121:$S$272,0)+120,0)</f>
        <v/>
      </c>
    </row>
    <row r="156" hidden="1">
      <c r="A156" s="237">
        <f>IF($L156&gt;0,"+","")</f>
        <v/>
      </c>
      <c r="B156">
        <f>IFERROR(IF($L156&gt;0,IF(INDEX('Invullen groen'!$F:$F,$L156)&gt;0,INDEX('Invullen groen'!$F:$F,$L156),""),""),"")</f>
        <v/>
      </c>
      <c r="C156">
        <f>IFERROR(IF($L156&gt;0,IF(INDEX('Invullen groen'!$N:$N,$L156)&gt;0,INDEX('Invullen groen'!$N:$N,$L156),""),""),"")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IFERROR(IF($L156&gt;0,IF(INDEX('Invullen groen'!$H:$H,$L156)=0,"",INT(INDEX('Invullen groen'!$H:$H,$L156))),""),"")</f>
        <v/>
      </c>
      <c r="G156" s="236">
        <f>IFERROR(IF($L156&gt;0,IF(INDEX('Invullen groen'!$I:$I,$L156)=0,"",INT(INDEX('Invullen groen'!$I:$I,$L156))),""),"")</f>
        <v/>
      </c>
      <c r="H156" s="236">
        <f>IFERROR(IF($L156&gt;0,IF(INDEX('Invullen groen'!$J:$J,$L156)=0,"",INT(INDEX('Invullen groen'!$J:$J,$L156))),""),"")</f>
        <v/>
      </c>
      <c r="I156" s="236">
        <f>IFERROR(IF($L156&gt;0,IF(INDEX('Invullen groen'!$K:$K,$L156)=0,"",INT(INDEX('Invullen groen'!$K:$K,$L156))),""),"")</f>
        <v/>
      </c>
      <c r="J156">
        <f>IF($L156&gt;0,IFERROR($K$1&amp;" "&amp;TRIM(SUBSTITUTE(SUBSTITUTE(SUBSTITUTE(SUBSTITUTE(SUBSTITUTE(SUBSTITUTE(SUBSTITUTE(SUBSTITUTE(SUBSTITUTE(SUBSTITUTE(SUBSTITUTE(SUBSTITUTE(LOWER(IF(LEFT(TEXT(INDEX('Invullen groen'!$E:$E,$L156),"0"),1)="6",INDEX('Invullen groen'!$O:$O,$L156),IF(INDEX('Invullen groen'!$N:$N,$L156)&gt;0,INDEX('Invullen groen'!$G:$G,$L156),INDEX('Invullen groen'!$O:$O,$L156)))),"2024",""),"2025",""),"2026",""),"2027",""),"2028",""),"2029",""),"taakveld ",""),"installaties","inst"),"ruwbouw","ruwb"),"afbouw","afb"),"bijstelling","bijst"),"investeringen","invest")),""),")</f>
        <v/>
      </c>
      <c r="L156">
        <f>IFERROR(MATCH(ROW()-104,'Invullen groen'!$S$121:$S$272,0)+120,0)</f>
        <v/>
      </c>
    </row>
    <row r="157" hidden="1">
      <c r="A157" s="237">
        <f>IF($L157&gt;0,"+","")</f>
        <v/>
      </c>
      <c r="B157">
        <f>IFERROR(IF($L157&gt;0,IF(INDEX('Invullen groen'!$F:$F,$L157)&gt;0,INDEX('Invullen groen'!$F:$F,$L157),""),""),"")</f>
        <v/>
      </c>
      <c r="C157">
        <f>IFERROR(IF($L157&gt;0,IF(INDEX('Invullen groen'!$N:$N,$L157)&gt;0,INDEX('Invullen groen'!$N:$N,$L157),""),""),"")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IFERROR(IF($L157&gt;0,IF(INDEX('Invullen groen'!$H:$H,$L157)=0,"",INT(INDEX('Invullen groen'!$H:$H,$L157))),""),"")</f>
        <v/>
      </c>
      <c r="G157" s="236">
        <f>IFERROR(IF($L157&gt;0,IF(INDEX('Invullen groen'!$I:$I,$L157)=0,"",INT(INDEX('Invullen groen'!$I:$I,$L157))),""),"")</f>
        <v/>
      </c>
      <c r="H157" s="236">
        <f>IFERROR(IF($L157&gt;0,IF(INDEX('Invullen groen'!$J:$J,$L157)=0,"",INT(INDEX('Invullen groen'!$J:$J,$L157))),""),"")</f>
        <v/>
      </c>
      <c r="I157" s="236">
        <f>IFERROR(IF($L157&gt;0,IF(INDEX('Invullen groen'!$K:$K,$L157)=0,"",INT(INDEX('Invullen groen'!$K:$K,$L157))),""),"")</f>
        <v/>
      </c>
      <c r="J157">
        <f>IF($L157&gt;0,IFERROR($K$1&amp;" "&amp;TRIM(SUBSTITUTE(SUBSTITUTE(SUBSTITUTE(SUBSTITUTE(SUBSTITUTE(SUBSTITUTE(SUBSTITUTE(SUBSTITUTE(SUBSTITUTE(SUBSTITUTE(SUBSTITUTE(SUBSTITUTE(LOWER(IF(LEFT(TEXT(INDEX('Invullen groen'!$E:$E,$L157),"0"),1)="6",INDEX('Invullen groen'!$O:$O,$L157),IF(INDEX('Invullen groen'!$N:$N,$L157)&gt;0,INDEX('Invullen groen'!$G:$G,$L157),INDEX('Invullen groen'!$O:$O,$L157)))),"2024",""),"2025",""),"2026",""),"2027",""),"2028",""),"2029",""),"taakveld ",""),"installaties","inst"),"ruwbouw","ruwb"),"afbouw","afb"),"bijstelling","bijst"),"investeringen","invest")),""),")</f>
        <v/>
      </c>
      <c r="L157">
        <f>IFERROR(MATCH(ROW()-104,'Invullen groen'!$S$121:$S$272,0)+120,0)</f>
        <v/>
      </c>
    </row>
    <row r="158" hidden="1">
      <c r="A158" s="237">
        <f>IF($L158&gt;0,"+","")</f>
        <v/>
      </c>
      <c r="B158">
        <f>IFERROR(IF($L158&gt;0,IF(INDEX('Invullen groen'!$F:$F,$L158)&gt;0,INDEX('Invullen groen'!$F:$F,$L158),""),""),"")</f>
        <v/>
      </c>
      <c r="C158">
        <f>IFERROR(IF($L158&gt;0,IF(INDEX('Invullen groen'!$N:$N,$L158)&gt;0,INDEX('Invullen groen'!$N:$N,$L158),""),""),"")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IFERROR(IF($L158&gt;0,IF(INDEX('Invullen groen'!$H:$H,$L158)=0,"",INT(INDEX('Invullen groen'!$H:$H,$L158))),""),"")</f>
        <v/>
      </c>
      <c r="G158" s="236">
        <f>IFERROR(IF($L158&gt;0,IF(INDEX('Invullen groen'!$I:$I,$L158)=0,"",INT(INDEX('Invullen groen'!$I:$I,$L158))),""),"")</f>
        <v/>
      </c>
      <c r="H158" s="236">
        <f>IFERROR(IF($L158&gt;0,IF(INDEX('Invullen groen'!$J:$J,$L158)=0,"",INT(INDEX('Invullen groen'!$J:$J,$L158))),""),"")</f>
        <v/>
      </c>
      <c r="I158" s="236">
        <f>IFERROR(IF($L158&gt;0,IF(INDEX('Invullen groen'!$K:$K,$L158)=0,"",INT(INDEX('Invullen groen'!$K:$K,$L158))),""),"")</f>
        <v/>
      </c>
      <c r="J158">
        <f>IF($L158&gt;0,IFERROR($K$1&amp;" "&amp;TRIM(SUBSTITUTE(SUBSTITUTE(SUBSTITUTE(SUBSTITUTE(SUBSTITUTE(SUBSTITUTE(SUBSTITUTE(SUBSTITUTE(SUBSTITUTE(SUBSTITUTE(SUBSTITUTE(SUBSTITUTE(LOWER(IF(LEFT(TEXT(INDEX('Invullen groen'!$E:$E,$L158),"0"),1)="6",INDEX('Invullen groen'!$O:$O,$L158),IF(INDEX('Invullen groen'!$N:$N,$L158)&gt;0,INDEX('Invullen groen'!$G:$G,$L158),INDEX('Invullen groen'!$O:$O,$L158)))),"2024",""),"2025",""),"2026",""),"2027",""),"2028",""),"2029",""),"taakveld ",""),"installaties","inst"),"ruwbouw","ruwb"),"afbouw","afb"),"bijstelling","bijst"),"investeringen","invest")),""),")</f>
        <v/>
      </c>
      <c r="L158">
        <f>IFERROR(MATCH(ROW()-104,'Invullen groen'!$S$121:$S$272,0)+120,0)</f>
        <v/>
      </c>
    </row>
    <row r="159" hidden="1">
      <c r="A159" s="237">
        <f>IF($L159&gt;0,"+","")</f>
        <v/>
      </c>
      <c r="B159">
        <f>IFERROR(IF($L159&gt;0,IF(INDEX('Invullen groen'!$F:$F,$L159)&gt;0,INDEX('Invullen groen'!$F:$F,$L159),""),""),"")</f>
        <v/>
      </c>
      <c r="C159">
        <f>IFERROR(IF($L159&gt;0,IF(INDEX('Invullen groen'!$N:$N,$L159)&gt;0,INDEX('Invullen groen'!$N:$N,$L159),""),""),"")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IFERROR(IF($L159&gt;0,IF(INDEX('Invullen groen'!$H:$H,$L159)=0,"",INT(INDEX('Invullen groen'!$H:$H,$L159))),""),"")</f>
        <v/>
      </c>
      <c r="G159" s="236">
        <f>IFERROR(IF($L159&gt;0,IF(INDEX('Invullen groen'!$I:$I,$L159)=0,"",INT(INDEX('Invullen groen'!$I:$I,$L159))),""),"")</f>
        <v/>
      </c>
      <c r="H159" s="236">
        <f>IFERROR(IF($L159&gt;0,IF(INDEX('Invullen groen'!$J:$J,$L159)=0,"",INT(INDEX('Invullen groen'!$J:$J,$L159))),""),"")</f>
        <v/>
      </c>
      <c r="I159" s="236">
        <f>IFERROR(IF($L159&gt;0,IF(INDEX('Invullen groen'!$K:$K,$L159)=0,"",INT(INDEX('Invullen groen'!$K:$K,$L159))),""),"")</f>
        <v/>
      </c>
      <c r="J159">
        <f>IF($L159&gt;0,IFERROR($K$1&amp;" "&amp;TRIM(SUBSTITUTE(SUBSTITUTE(SUBSTITUTE(SUBSTITUTE(SUBSTITUTE(SUBSTITUTE(SUBSTITUTE(SUBSTITUTE(SUBSTITUTE(SUBSTITUTE(SUBSTITUTE(SUBSTITUTE(LOWER(IF(LEFT(TEXT(INDEX('Invullen groen'!$E:$E,$L159),"0"),1)="6",INDEX('Invullen groen'!$O:$O,$L159),IF(INDEX('Invullen groen'!$N:$N,$L159)&gt;0,INDEX('Invullen groen'!$G:$G,$L159),INDEX('Invullen groen'!$O:$O,$L159)))),"2024",""),"2025",""),"2026",""),"2027",""),"2028",""),"2029",""),"taakveld ",""),"installaties","inst"),"ruwbouw","ruwb"),"afbouw","afb"),"bijstelling","bijst"),"investeringen","invest")),""),")</f>
        <v/>
      </c>
      <c r="L159">
        <f>IFERROR(MATCH(ROW()-104,'Invullen groen'!$S$121:$S$272,0)+120,0)</f>
        <v/>
      </c>
    </row>
    <row r="160" hidden="1">
      <c r="A160" s="237">
        <f>IF($L160&gt;0,"+","")</f>
        <v/>
      </c>
      <c r="B160">
        <f>IFERROR(IF($L160&gt;0,IF(INDEX('Invullen groen'!$F:$F,$L160)&gt;0,INDEX('Invullen groen'!$F:$F,$L160),""),""),"")</f>
        <v/>
      </c>
      <c r="C160">
        <f>IFERROR(IF($L160&gt;0,IF(INDEX('Invullen groen'!$N:$N,$L160)&gt;0,INDEX('Invullen groen'!$N:$N,$L160),""),""),"")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IFERROR(IF($L160&gt;0,IF(INDEX('Invullen groen'!$H:$H,$L160)=0,"",INT(INDEX('Invullen groen'!$H:$H,$L160))),""),"")</f>
        <v/>
      </c>
      <c r="G160" s="236">
        <f>IFERROR(IF($L160&gt;0,IF(INDEX('Invullen groen'!$I:$I,$L160)=0,"",INT(INDEX('Invullen groen'!$I:$I,$L160))),""),"")</f>
        <v/>
      </c>
      <c r="H160" s="236">
        <f>IFERROR(IF($L160&gt;0,IF(INDEX('Invullen groen'!$J:$J,$L160)=0,"",INT(INDEX('Invullen groen'!$J:$J,$L160))),""),"")</f>
        <v/>
      </c>
      <c r="I160" s="236">
        <f>IFERROR(IF($L160&gt;0,IF(INDEX('Invullen groen'!$K:$K,$L160)=0,"",INT(INDEX('Invullen groen'!$K:$K,$L160))),""),"")</f>
        <v/>
      </c>
      <c r="J160">
        <f>IF($L160&gt;0,IFERROR($K$1&amp;" "&amp;TRIM(SUBSTITUTE(SUBSTITUTE(SUBSTITUTE(SUBSTITUTE(SUBSTITUTE(SUBSTITUTE(SUBSTITUTE(SUBSTITUTE(SUBSTITUTE(SUBSTITUTE(SUBSTITUTE(SUBSTITUTE(LOWER(IF(LEFT(TEXT(INDEX('Invullen groen'!$E:$E,$L160),"0"),1)="6",INDEX('Invullen groen'!$O:$O,$L160),IF(INDEX('Invullen groen'!$N:$N,$L160)&gt;0,INDEX('Invullen groen'!$G:$G,$L160),INDEX('Invullen groen'!$O:$O,$L160)))),"2024",""),"2025",""),"2026",""),"2027",""),"2028",""),"2029",""),"taakveld ",""),"installaties","inst"),"ruwbouw","ruwb"),"afbouw","afb"),"bijstelling","bijst"),"investeringen","invest")),""),")</f>
        <v/>
      </c>
      <c r="L160">
        <f>IFERROR(MATCH(ROW()-104,'Invullen groen'!$S$121:$S$272,0)+120,0)</f>
        <v/>
      </c>
    </row>
    <row r="161" hidden="1">
      <c r="A161" s="237">
        <f>IF($L161&gt;0,"+","")</f>
        <v/>
      </c>
      <c r="B161">
        <f>IFERROR(IF($L161&gt;0,IF(INDEX('Invullen groen'!$F:$F,$L161)&gt;0,INDEX('Invullen groen'!$F:$F,$L161),""),""),"")</f>
        <v/>
      </c>
      <c r="C161">
        <f>IFERROR(IF($L161&gt;0,IF(INDEX('Invullen groen'!$N:$N,$L161)&gt;0,INDEX('Invullen groen'!$N:$N,$L161),""),""),"")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IFERROR(IF($L161&gt;0,IF(INDEX('Invullen groen'!$H:$H,$L161)=0,"",INT(INDEX('Invullen groen'!$H:$H,$L161))),""),"")</f>
        <v/>
      </c>
      <c r="G161" s="236">
        <f>IFERROR(IF($L161&gt;0,IF(INDEX('Invullen groen'!$I:$I,$L161)=0,"",INT(INDEX('Invullen groen'!$I:$I,$L161))),""),"")</f>
        <v/>
      </c>
      <c r="H161" s="236">
        <f>IFERROR(IF($L161&gt;0,IF(INDEX('Invullen groen'!$J:$J,$L161)=0,"",INT(INDEX('Invullen groen'!$J:$J,$L161))),""),"")</f>
        <v/>
      </c>
      <c r="I161" s="236">
        <f>IFERROR(IF($L161&gt;0,IF(INDEX('Invullen groen'!$K:$K,$L161)=0,"",INT(INDEX('Invullen groen'!$K:$K,$L161))),""),"")</f>
        <v/>
      </c>
      <c r="J161">
        <f>IF($L161&gt;0,IFERROR($K$1&amp;" "&amp;TRIM(SUBSTITUTE(SUBSTITUTE(SUBSTITUTE(SUBSTITUTE(SUBSTITUTE(SUBSTITUTE(SUBSTITUTE(SUBSTITUTE(SUBSTITUTE(SUBSTITUTE(SUBSTITUTE(SUBSTITUTE(LOWER(IF(LEFT(TEXT(INDEX('Invullen groen'!$E:$E,$L161),"0"),1)="6",INDEX('Invullen groen'!$O:$O,$L161),IF(INDEX('Invullen groen'!$N:$N,$L161)&gt;0,INDEX('Invullen groen'!$G:$G,$L161),INDEX('Invullen groen'!$O:$O,$L161)))),"2024",""),"2025",""),"2026",""),"2027",""),"2028",""),"2029",""),"taakveld ",""),"installaties","inst"),"ruwbouw","ruwb"),"afbouw","afb"),"bijstelling","bijst"),"investeringen","invest")),""),")</f>
        <v/>
      </c>
      <c r="L161">
        <f>IFERROR(MATCH(ROW()-104,'Invullen groen'!$S$121:$S$272,0)+120,0)</f>
        <v/>
      </c>
    </row>
    <row r="162" hidden="1">
      <c r="A162" s="237">
        <f>IF($L162&gt;0,"+","")</f>
        <v/>
      </c>
      <c r="B162">
        <f>IFERROR(IF($L162&gt;0,IF(INDEX('Invullen groen'!$F:$F,$L162)&gt;0,INDEX('Invullen groen'!$F:$F,$L162),""),""),"")</f>
        <v/>
      </c>
      <c r="C162">
        <f>IFERROR(IF($L162&gt;0,IF(INDEX('Invullen groen'!$N:$N,$L162)&gt;0,INDEX('Invullen groen'!$N:$N,$L162),""),""),"")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IFERROR(IF($L162&gt;0,IF(INDEX('Invullen groen'!$H:$H,$L162)=0,"",INT(INDEX('Invullen groen'!$H:$H,$L162))),""),"")</f>
        <v/>
      </c>
      <c r="G162" s="236">
        <f>IFERROR(IF($L162&gt;0,IF(INDEX('Invullen groen'!$I:$I,$L162)=0,"",INT(INDEX('Invullen groen'!$I:$I,$L162))),""),"")</f>
        <v/>
      </c>
      <c r="H162" s="236">
        <f>IFERROR(IF($L162&gt;0,IF(INDEX('Invullen groen'!$J:$J,$L162)=0,"",INT(INDEX('Invullen groen'!$J:$J,$L162))),""),"")</f>
        <v/>
      </c>
      <c r="I162" s="236">
        <f>IFERROR(IF($L162&gt;0,IF(INDEX('Invullen groen'!$K:$K,$L162)=0,"",INT(INDEX('Invullen groen'!$K:$K,$L162))),""),"")</f>
        <v/>
      </c>
      <c r="J162">
        <f>IF($L162&gt;0,IFERROR($K$1&amp;" "&amp;TRIM(SUBSTITUTE(SUBSTITUTE(SUBSTITUTE(SUBSTITUTE(SUBSTITUTE(SUBSTITUTE(SUBSTITUTE(SUBSTITUTE(SUBSTITUTE(SUBSTITUTE(SUBSTITUTE(SUBSTITUTE(LOWER(IF(LEFT(TEXT(INDEX('Invullen groen'!$E:$E,$L162),"0"),1)="6",INDEX('Invullen groen'!$O:$O,$L162),IF(INDEX('Invullen groen'!$N:$N,$L162)&gt;0,INDEX('Invullen groen'!$G:$G,$L162),INDEX('Invullen groen'!$O:$O,$L162)))),"2024",""),"2025",""),"2026",""),"2027",""),"2028",""),"2029",""),"taakveld ",""),"installaties","inst"),"ruwbouw","ruwb"),"afbouw","afb"),"bijstelling","bijst"),"investeringen","invest")),""),")</f>
        <v/>
      </c>
      <c r="L162">
        <f>IFERROR(MATCH(ROW()-104,'Invullen groen'!$S$121:$S$272,0)+120,0)</f>
        <v/>
      </c>
    </row>
    <row r="163" hidden="1">
      <c r="A163" s="237">
        <f>IF($L163&gt;0,"+","")</f>
        <v/>
      </c>
      <c r="B163">
        <f>IFERROR(IF($L163&gt;0,IF(INDEX('Invullen groen'!$F:$F,$L163)&gt;0,INDEX('Invullen groen'!$F:$F,$L163),""),""),"")</f>
        <v/>
      </c>
      <c r="C163">
        <f>IFERROR(IF($L163&gt;0,IF(INDEX('Invullen groen'!$N:$N,$L163)&gt;0,INDEX('Invullen groen'!$N:$N,$L163),""),""),"")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IFERROR(IF($L163&gt;0,IF(INDEX('Invullen groen'!$H:$H,$L163)=0,"",INT(INDEX('Invullen groen'!$H:$H,$L163))),""),"")</f>
        <v/>
      </c>
      <c r="G163" s="236">
        <f>IFERROR(IF($L163&gt;0,IF(INDEX('Invullen groen'!$I:$I,$L163)=0,"",INT(INDEX('Invullen groen'!$I:$I,$L163))),""),"")</f>
        <v/>
      </c>
      <c r="H163" s="236">
        <f>IFERROR(IF($L163&gt;0,IF(INDEX('Invullen groen'!$J:$J,$L163)=0,"",INT(INDEX('Invullen groen'!$J:$J,$L163))),""),"")</f>
        <v/>
      </c>
      <c r="I163" s="236">
        <f>IFERROR(IF($L163&gt;0,IF(INDEX('Invullen groen'!$K:$K,$L163)=0,"",INT(INDEX('Invullen groen'!$K:$K,$L163))),""),"")</f>
        <v/>
      </c>
      <c r="J163">
        <f>IF($L163&gt;0,IFERROR($K$1&amp;" "&amp;TRIM(SUBSTITUTE(SUBSTITUTE(SUBSTITUTE(SUBSTITUTE(SUBSTITUTE(SUBSTITUTE(SUBSTITUTE(SUBSTITUTE(SUBSTITUTE(SUBSTITUTE(SUBSTITUTE(SUBSTITUTE(LOWER(IF(LEFT(TEXT(INDEX('Invullen groen'!$E:$E,$L163),"0"),1)="6",INDEX('Invullen groen'!$O:$O,$L163),IF(INDEX('Invullen groen'!$N:$N,$L163)&gt;0,INDEX('Invullen groen'!$G:$G,$L163),INDEX('Invullen groen'!$O:$O,$L163)))),"2024",""),"2025",""),"2026",""),"2027",""),"2028",""),"2029",""),"taakveld ",""),"installaties","inst"),"ruwbouw","ruwb"),"afbouw","afb"),"bijstelling","bijst"),"investeringen","invest")),""),")</f>
        <v/>
      </c>
      <c r="L163">
        <f>IFERROR(MATCH(ROW()-104,'Invullen groen'!$S$121:$S$272,0)+120,0)</f>
        <v/>
      </c>
    </row>
    <row r="164" hidden="1">
      <c r="A164" s="237">
        <f>IF($L164&gt;0,"+","")</f>
        <v/>
      </c>
      <c r="B164">
        <f>IFERROR(IF($L164&gt;0,IF(INDEX('Invullen groen'!$F:$F,$L164)&gt;0,INDEX('Invullen groen'!$F:$F,$L164),""),""),"")</f>
        <v/>
      </c>
      <c r="C164">
        <f>IFERROR(IF($L164&gt;0,IF(INDEX('Invullen groen'!$N:$N,$L164)&gt;0,INDEX('Invullen groen'!$N:$N,$L164),""),""),"")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IFERROR(IF($L164&gt;0,IF(INDEX('Invullen groen'!$H:$H,$L164)=0,"",INT(INDEX('Invullen groen'!$H:$H,$L164))),""),"")</f>
        <v/>
      </c>
      <c r="G164" s="236">
        <f>IFERROR(IF($L164&gt;0,IF(INDEX('Invullen groen'!$I:$I,$L164)=0,"",INT(INDEX('Invullen groen'!$I:$I,$L164))),""),"")</f>
        <v/>
      </c>
      <c r="H164" s="236">
        <f>IFERROR(IF($L164&gt;0,IF(INDEX('Invullen groen'!$J:$J,$L164)=0,"",INT(INDEX('Invullen groen'!$J:$J,$L164))),""),"")</f>
        <v/>
      </c>
      <c r="I164" s="236">
        <f>IFERROR(IF($L164&gt;0,IF(INDEX('Invullen groen'!$K:$K,$L164)=0,"",INT(INDEX('Invullen groen'!$K:$K,$L164))),""),"")</f>
        <v/>
      </c>
      <c r="J164">
        <f>IF($L164&gt;0,IFERROR($K$1&amp;" "&amp;TRIM(SUBSTITUTE(SUBSTITUTE(SUBSTITUTE(SUBSTITUTE(SUBSTITUTE(SUBSTITUTE(SUBSTITUTE(SUBSTITUTE(SUBSTITUTE(SUBSTITUTE(SUBSTITUTE(SUBSTITUTE(LOWER(IF(LEFT(TEXT(INDEX('Invullen groen'!$E:$E,$L164),"0"),1)="6",INDEX('Invullen groen'!$O:$O,$L164),IF(INDEX('Invullen groen'!$N:$N,$L164)&gt;0,INDEX('Invullen groen'!$G:$G,$L164),INDEX('Invullen groen'!$O:$O,$L164)))),"2024",""),"2025",""),"2026",""),"2027",""),"2028",""),"2029",""),"taakveld ",""),"installaties","inst"),"ruwbouw","ruwb"),"afbouw","afb"),"bijstelling","bijst"),"investeringen","invest")),""),")</f>
        <v/>
      </c>
      <c r="L164">
        <f>IFERROR(MATCH(ROW()-104,'Invullen groen'!$S$121:$S$272,0)+120,0)</f>
        <v/>
      </c>
    </row>
    <row r="165" hidden="1">
      <c r="A165" s="237">
        <f>IF($L165&gt;0,"+","")</f>
        <v/>
      </c>
      <c r="B165">
        <f>IFERROR(IF($L165&gt;0,IF(INDEX('Invullen groen'!$F:$F,$L165)&gt;0,INDEX('Invullen groen'!$F:$F,$L165),""),""),"")</f>
        <v/>
      </c>
      <c r="C165">
        <f>IFERROR(IF($L165&gt;0,IF(INDEX('Invullen groen'!$N:$N,$L165)&gt;0,INDEX('Invullen groen'!$N:$N,$L165),""),""),"")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IFERROR(IF($L165&gt;0,IF(INDEX('Invullen groen'!$H:$H,$L165)=0,"",INT(INDEX('Invullen groen'!$H:$H,$L165))),""),"")</f>
        <v/>
      </c>
      <c r="G165" s="236">
        <f>IFERROR(IF($L165&gt;0,IF(INDEX('Invullen groen'!$I:$I,$L165)=0,"",INT(INDEX('Invullen groen'!$I:$I,$L165))),""),"")</f>
        <v/>
      </c>
      <c r="H165" s="236">
        <f>IFERROR(IF($L165&gt;0,IF(INDEX('Invullen groen'!$J:$J,$L165)=0,"",INT(INDEX('Invullen groen'!$J:$J,$L165))),""),"")</f>
        <v/>
      </c>
      <c r="I165" s="236">
        <f>IFERROR(IF($L165&gt;0,IF(INDEX('Invullen groen'!$K:$K,$L165)=0,"",INT(INDEX('Invullen groen'!$K:$K,$L165))),""),"")</f>
        <v/>
      </c>
      <c r="J165">
        <f>IF($L165&gt;0,IFERROR($K$1&amp;" "&amp;TRIM(SUBSTITUTE(SUBSTITUTE(SUBSTITUTE(SUBSTITUTE(SUBSTITUTE(SUBSTITUTE(SUBSTITUTE(SUBSTITUTE(SUBSTITUTE(SUBSTITUTE(SUBSTITUTE(SUBSTITUTE(LOWER(IF(LEFT(TEXT(INDEX('Invullen groen'!$E:$E,$L165),"0"),1)="6",INDEX('Invullen groen'!$O:$O,$L165),IF(INDEX('Invullen groen'!$N:$N,$L165)&gt;0,INDEX('Invullen groen'!$G:$G,$L165),INDEX('Invullen groen'!$O:$O,$L165)))),"2024",""),"2025",""),"2026",""),"2027",""),"2028",""),"2029",""),"taakveld ",""),"installaties","inst"),"ruwbouw","ruwb"),"afbouw","afb"),"bijstelling","bijst"),"investeringen","invest")),""),")</f>
        <v/>
      </c>
      <c r="L165">
        <f>IFERROR(MATCH(ROW()-104,'Invullen groen'!$S$121:$S$272,0)+120,0)</f>
        <v/>
      </c>
    </row>
    <row r="166" hidden="1">
      <c r="A166" s="237">
        <f>IF($L166&gt;0,"+","")</f>
        <v/>
      </c>
      <c r="B166">
        <f>IFERROR(IF($L166&gt;0,IF(INDEX('Invullen groen'!$F:$F,$L166)&gt;0,INDEX('Invullen groen'!$F:$F,$L166),""),""),"")</f>
        <v/>
      </c>
      <c r="C166">
        <f>IFERROR(IF($L166&gt;0,IF(INDEX('Invullen groen'!$N:$N,$L166)&gt;0,INDEX('Invullen groen'!$N:$N,$L166),""),""),"")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IFERROR(IF($L166&gt;0,IF(INDEX('Invullen groen'!$H:$H,$L166)=0,"",INT(INDEX('Invullen groen'!$H:$H,$L166))),""),"")</f>
        <v/>
      </c>
      <c r="G166" s="236">
        <f>IFERROR(IF($L166&gt;0,IF(INDEX('Invullen groen'!$I:$I,$L166)=0,"",INT(INDEX('Invullen groen'!$I:$I,$L166))),""),"")</f>
        <v/>
      </c>
      <c r="H166" s="236">
        <f>IFERROR(IF($L166&gt;0,IF(INDEX('Invullen groen'!$J:$J,$L166)=0,"",INT(INDEX('Invullen groen'!$J:$J,$L166))),""),"")</f>
        <v/>
      </c>
      <c r="I166" s="236">
        <f>IFERROR(IF($L166&gt;0,IF(INDEX('Invullen groen'!$K:$K,$L166)=0,"",INT(INDEX('Invullen groen'!$K:$K,$L166))),""),"")</f>
        <v/>
      </c>
      <c r="J166">
        <f>IF($L166&gt;0,IFERROR($K$1&amp;" "&amp;TRIM(SUBSTITUTE(SUBSTITUTE(SUBSTITUTE(SUBSTITUTE(SUBSTITUTE(SUBSTITUTE(SUBSTITUTE(SUBSTITUTE(SUBSTITUTE(SUBSTITUTE(SUBSTITUTE(SUBSTITUTE(LOWER(IF(LEFT(TEXT(INDEX('Invullen groen'!$E:$E,$L166),"0"),1)="6",INDEX('Invullen groen'!$O:$O,$L166),IF(INDEX('Invullen groen'!$N:$N,$L166)&gt;0,INDEX('Invullen groen'!$G:$G,$L166),INDEX('Invullen groen'!$O:$O,$L166)))),"2024",""),"2025",""),"2026",""),"2027",""),"2028",""),"2029",""),"taakveld ",""),"installaties","inst"),"ruwbouw","ruwb"),"afbouw","afb"),"bijstelling","bijst"),"investeringen","invest")),""),")</f>
        <v/>
      </c>
      <c r="L166">
        <f>IFERROR(MATCH(ROW()-104,'Invullen groen'!$S$121:$S$272,0)+120,0)</f>
        <v/>
      </c>
    </row>
    <row r="167" hidden="1">
      <c r="A167" s="237">
        <f>IF($L167&gt;0,"+","")</f>
        <v/>
      </c>
      <c r="B167">
        <f>IFERROR(IF($L167&gt;0,IF(INDEX('Invullen groen'!$F:$F,$L167)&gt;0,INDEX('Invullen groen'!$F:$F,$L167),""),""),"")</f>
        <v/>
      </c>
      <c r="C167">
        <f>IFERROR(IF($L167&gt;0,IF(INDEX('Invullen groen'!$N:$N,$L167)&gt;0,INDEX('Invullen groen'!$N:$N,$L167),""),""),"")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IFERROR(IF($L167&gt;0,IF(INDEX('Invullen groen'!$H:$H,$L167)=0,"",INT(INDEX('Invullen groen'!$H:$H,$L167))),""),"")</f>
        <v/>
      </c>
      <c r="G167" s="236">
        <f>IFERROR(IF($L167&gt;0,IF(INDEX('Invullen groen'!$I:$I,$L167)=0,"",INT(INDEX('Invullen groen'!$I:$I,$L167))),""),"")</f>
        <v/>
      </c>
      <c r="H167" s="236">
        <f>IFERROR(IF($L167&gt;0,IF(INDEX('Invullen groen'!$J:$J,$L167)=0,"",INT(INDEX('Invullen groen'!$J:$J,$L167))),""),"")</f>
        <v/>
      </c>
      <c r="I167" s="236">
        <f>IFERROR(IF($L167&gt;0,IF(INDEX('Invullen groen'!$K:$K,$L167)=0,"",INT(INDEX('Invullen groen'!$K:$K,$L167))),""),"")</f>
        <v/>
      </c>
      <c r="J167">
        <f>IF($L167&gt;0,IFERROR($K$1&amp;" "&amp;TRIM(SUBSTITUTE(SUBSTITUTE(SUBSTITUTE(SUBSTITUTE(SUBSTITUTE(SUBSTITUTE(SUBSTITUTE(SUBSTITUTE(SUBSTITUTE(SUBSTITUTE(SUBSTITUTE(SUBSTITUTE(LOWER(IF(LEFT(TEXT(INDEX('Invullen groen'!$E:$E,$L167),"0"),1)="6",INDEX('Invullen groen'!$O:$O,$L167),IF(INDEX('Invullen groen'!$N:$N,$L167)&gt;0,INDEX('Invullen groen'!$G:$G,$L167),INDEX('Invullen groen'!$O:$O,$L167)))),"2024",""),"2025",""),"2026",""),"2027",""),"2028",""),"2029",""),"taakveld ",""),"installaties","inst"),"ruwbouw","ruwb"),"afbouw","afb"),"bijstelling","bijst"),"investeringen","invest")),""),")</f>
        <v/>
      </c>
      <c r="L167">
        <f>IFERROR(MATCH(ROW()-104,'Invullen groen'!$S$121:$S$272,0)+120,0)</f>
        <v/>
      </c>
    </row>
    <row r="168" hidden="1">
      <c r="A168" s="237">
        <f>IF($L168&gt;0,"+","")</f>
        <v/>
      </c>
      <c r="B168">
        <f>IFERROR(IF($L168&gt;0,IF(INDEX('Invullen groen'!$F:$F,$L168)&gt;0,INDEX('Invullen groen'!$F:$F,$L168),""),""),"")</f>
        <v/>
      </c>
      <c r="C168">
        <f>IFERROR(IF($L168&gt;0,IF(INDEX('Invullen groen'!$N:$N,$L168)&gt;0,INDEX('Invullen groen'!$N:$N,$L168),""),""),"")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IFERROR(IF($L168&gt;0,IF(INDEX('Invullen groen'!$H:$H,$L168)=0,"",INT(INDEX('Invullen groen'!$H:$H,$L168))),""),"")</f>
        <v/>
      </c>
      <c r="G168" s="236">
        <f>IFERROR(IF($L168&gt;0,IF(INDEX('Invullen groen'!$I:$I,$L168)=0,"",INT(INDEX('Invullen groen'!$I:$I,$L168))),""),"")</f>
        <v/>
      </c>
      <c r="H168" s="236">
        <f>IFERROR(IF($L168&gt;0,IF(INDEX('Invullen groen'!$J:$J,$L168)=0,"",INT(INDEX('Invullen groen'!$J:$J,$L168))),""),"")</f>
        <v/>
      </c>
      <c r="I168" s="236">
        <f>IFERROR(IF($L168&gt;0,IF(INDEX('Invullen groen'!$K:$K,$L168)=0,"",INT(INDEX('Invullen groen'!$K:$K,$L168))),""),"")</f>
        <v/>
      </c>
      <c r="J168">
        <f>IF($L168&gt;0,IFERROR($K$1&amp;" "&amp;TRIM(SUBSTITUTE(SUBSTITUTE(SUBSTITUTE(SUBSTITUTE(SUBSTITUTE(SUBSTITUTE(SUBSTITUTE(SUBSTITUTE(SUBSTITUTE(SUBSTITUTE(SUBSTITUTE(SUBSTITUTE(LOWER(IF(LEFT(TEXT(INDEX('Invullen groen'!$E:$E,$L168),"0"),1)="6",INDEX('Invullen groen'!$O:$O,$L168),IF(INDEX('Invullen groen'!$N:$N,$L168)&gt;0,INDEX('Invullen groen'!$G:$G,$L168),INDEX('Invullen groen'!$O:$O,$L168)))),"2024",""),"2025",""),"2026",""),"2027",""),"2028",""),"2029",""),"taakveld ",""),"installaties","inst"),"ruwbouw","ruwb"),"afbouw","afb"),"bijstelling","bijst"),"investeringen","invest")),""),")</f>
        <v/>
      </c>
      <c r="L168">
        <f>IFERROR(MATCH(ROW()-104,'Invullen groen'!$S$121:$S$272,0)+120,0)</f>
        <v/>
      </c>
    </row>
    <row r="169" hidden="1">
      <c r="A169" s="237">
        <f>IF($L169&gt;0,"+","")</f>
        <v/>
      </c>
      <c r="B169">
        <f>IFERROR(IF($L169&gt;0,IF(INDEX('Invullen groen'!$F:$F,$L169)&gt;0,INDEX('Invullen groen'!$F:$F,$L169),""),""),"")</f>
        <v/>
      </c>
      <c r="C169">
        <f>IFERROR(IF($L169&gt;0,IF(INDEX('Invullen groen'!$N:$N,$L169)&gt;0,INDEX('Invullen groen'!$N:$N,$L169),""),""),"")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IFERROR(IF($L169&gt;0,IF(INDEX('Invullen groen'!$H:$H,$L169)=0,"",INT(INDEX('Invullen groen'!$H:$H,$L169))),""),"")</f>
        <v/>
      </c>
      <c r="G169" s="236">
        <f>IFERROR(IF($L169&gt;0,IF(INDEX('Invullen groen'!$I:$I,$L169)=0,"",INT(INDEX('Invullen groen'!$I:$I,$L169))),""),"")</f>
        <v/>
      </c>
      <c r="H169" s="236">
        <f>IFERROR(IF($L169&gt;0,IF(INDEX('Invullen groen'!$J:$J,$L169)=0,"",INT(INDEX('Invullen groen'!$J:$J,$L169))),""),"")</f>
        <v/>
      </c>
      <c r="I169" s="236">
        <f>IFERROR(IF($L169&gt;0,IF(INDEX('Invullen groen'!$K:$K,$L169)=0,"",INT(INDEX('Invullen groen'!$K:$K,$L169))),""),"")</f>
        <v/>
      </c>
      <c r="J169">
        <f>IF($L169&gt;0,IFERROR($K$1&amp;" "&amp;TRIM(SUBSTITUTE(SUBSTITUTE(SUBSTITUTE(SUBSTITUTE(SUBSTITUTE(SUBSTITUTE(SUBSTITUTE(SUBSTITUTE(SUBSTITUTE(SUBSTITUTE(SUBSTITUTE(SUBSTITUTE(LOWER(IF(LEFT(TEXT(INDEX('Invullen groen'!$E:$E,$L169),"0"),1)="6",INDEX('Invullen groen'!$O:$O,$L169),IF(INDEX('Invullen groen'!$N:$N,$L169)&gt;0,INDEX('Invullen groen'!$G:$G,$L169),INDEX('Invullen groen'!$O:$O,$L169)))),"2024",""),"2025",""),"2026",""),"2027",""),"2028",""),"2029",""),"taakveld ",""),"installaties","inst"),"ruwbouw","ruwb"),"afbouw","afb"),"bijstelling","bijst"),"investeringen","invest")),""),")</f>
        <v/>
      </c>
      <c r="L169">
        <f>IFERROR(MATCH(ROW()-104,'Invullen groen'!$S$121:$S$272,0)+120,0)</f>
        <v/>
      </c>
    </row>
    <row r="170" hidden="1">
      <c r="A170" s="237">
        <f>IF($L170&gt;0,"+","")</f>
        <v/>
      </c>
      <c r="B170">
        <f>IFERROR(IF($L170&gt;0,IF(INDEX('Invullen groen'!$F:$F,$L170)&gt;0,INDEX('Invullen groen'!$F:$F,$L170),""),""),"")</f>
        <v/>
      </c>
      <c r="C170">
        <f>IFERROR(IF($L170&gt;0,IF(INDEX('Invullen groen'!$N:$N,$L170)&gt;0,INDEX('Invullen groen'!$N:$N,$L170),""),""),"")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IFERROR(IF($L170&gt;0,IF(INDEX('Invullen groen'!$H:$H,$L170)=0,"",INT(INDEX('Invullen groen'!$H:$H,$L170))),""),"")</f>
        <v/>
      </c>
      <c r="G170" s="236">
        <f>IFERROR(IF($L170&gt;0,IF(INDEX('Invullen groen'!$I:$I,$L170)=0,"",INT(INDEX('Invullen groen'!$I:$I,$L170))),""),"")</f>
        <v/>
      </c>
      <c r="H170" s="236">
        <f>IFERROR(IF($L170&gt;0,IF(INDEX('Invullen groen'!$J:$J,$L170)=0,"",INT(INDEX('Invullen groen'!$J:$J,$L170))),""),"")</f>
        <v/>
      </c>
      <c r="I170" s="236">
        <f>IFERROR(IF($L170&gt;0,IF(INDEX('Invullen groen'!$K:$K,$L170)=0,"",INT(INDEX('Invullen groen'!$K:$K,$L170))),""),"")</f>
        <v/>
      </c>
      <c r="J170">
        <f>IF($L170&gt;0,IFERROR($K$1&amp;" "&amp;TRIM(SUBSTITUTE(SUBSTITUTE(SUBSTITUTE(SUBSTITUTE(SUBSTITUTE(SUBSTITUTE(SUBSTITUTE(SUBSTITUTE(SUBSTITUTE(SUBSTITUTE(SUBSTITUTE(SUBSTITUTE(LOWER(IF(LEFT(TEXT(INDEX('Invullen groen'!$E:$E,$L170),"0"),1)="6",INDEX('Invullen groen'!$O:$O,$L170),IF(INDEX('Invullen groen'!$N:$N,$L170)&gt;0,INDEX('Invullen groen'!$G:$G,$L170),INDEX('Invullen groen'!$O:$O,$L170)))),"2024",""),"2025",""),"2026",""),"2027",""),"2028",""),"2029",""),"taakveld ",""),"installaties","inst"),"ruwbouw","ruwb"),"afbouw","afb"),"bijstelling","bijst"),"investeringen","invest")),""),")</f>
        <v/>
      </c>
      <c r="L170">
        <f>IFERROR(MATCH(ROW()-104,'Invullen groen'!$S$121:$S$272,0)+120,0)</f>
        <v/>
      </c>
    </row>
    <row r="171" hidden="1">
      <c r="A171" s="237">
        <f>IF($L171&gt;0,"+","")</f>
        <v/>
      </c>
      <c r="B171">
        <f>IFERROR(IF($L171&gt;0,IF(INDEX('Invullen groen'!$F:$F,$L171)&gt;0,INDEX('Invullen groen'!$F:$F,$L171),""),""),"")</f>
        <v/>
      </c>
      <c r="C171">
        <f>IFERROR(IF($L171&gt;0,IF(INDEX('Invullen groen'!$N:$N,$L171)&gt;0,INDEX('Invullen groen'!$N:$N,$L171),""),""),"")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IFERROR(IF($L171&gt;0,IF(INDEX('Invullen groen'!$H:$H,$L171)=0,"",INT(INDEX('Invullen groen'!$H:$H,$L171))),""),"")</f>
        <v/>
      </c>
      <c r="G171" s="236">
        <f>IFERROR(IF($L171&gt;0,IF(INDEX('Invullen groen'!$I:$I,$L171)=0,"",INT(INDEX('Invullen groen'!$I:$I,$L171))),""),"")</f>
        <v/>
      </c>
      <c r="H171" s="236">
        <f>IFERROR(IF($L171&gt;0,IF(INDEX('Invullen groen'!$J:$J,$L171)=0,"",INT(INDEX('Invullen groen'!$J:$J,$L171))),""),"")</f>
        <v/>
      </c>
      <c r="I171" s="236">
        <f>IFERROR(IF($L171&gt;0,IF(INDEX('Invullen groen'!$K:$K,$L171)=0,"",INT(INDEX('Invullen groen'!$K:$K,$L171))),""),"")</f>
        <v/>
      </c>
      <c r="J171">
        <f>IF($L171&gt;0,IFERROR($K$1&amp;" "&amp;TRIM(SUBSTITUTE(SUBSTITUTE(SUBSTITUTE(SUBSTITUTE(SUBSTITUTE(SUBSTITUTE(SUBSTITUTE(SUBSTITUTE(SUBSTITUTE(SUBSTITUTE(SUBSTITUTE(SUBSTITUTE(LOWER(IF(LEFT(TEXT(INDEX('Invullen groen'!$E:$E,$L171),"0"),1)="6",INDEX('Invullen groen'!$O:$O,$L171),IF(INDEX('Invullen groen'!$N:$N,$L171)&gt;0,INDEX('Invullen groen'!$G:$G,$L171),INDEX('Invullen groen'!$O:$O,$L171)))),"2024",""),"2025",""),"2026",""),"2027",""),"2028",""),"2029",""),"taakveld ",""),"installaties","inst"),"ruwbouw","ruwb"),"afbouw","afb"),"bijstelling","bijst"),"investeringen","invest")),""),")</f>
        <v/>
      </c>
      <c r="L171">
        <f>IFERROR(MATCH(ROW()-104,'Invullen groen'!$S$121:$S$272,0)+120,0)</f>
        <v/>
      </c>
    </row>
    <row r="172" hidden="1">
      <c r="A172" s="237">
        <f>IF($L172&gt;0,"+","")</f>
        <v/>
      </c>
      <c r="B172">
        <f>IFERROR(IF($L172&gt;0,IF(INDEX('Invullen groen'!$F:$F,$L172)&gt;0,INDEX('Invullen groen'!$F:$F,$L172),""),""),"")</f>
        <v/>
      </c>
      <c r="C172">
        <f>IFERROR(IF($L172&gt;0,IF(INDEX('Invullen groen'!$N:$N,$L172)&gt;0,INDEX('Invullen groen'!$N:$N,$L172),""),""),"")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IFERROR(IF($L172&gt;0,IF(INDEX('Invullen groen'!$H:$H,$L172)=0,"",INT(INDEX('Invullen groen'!$H:$H,$L172))),""),"")</f>
        <v/>
      </c>
      <c r="G172" s="236">
        <f>IFERROR(IF($L172&gt;0,IF(INDEX('Invullen groen'!$I:$I,$L172)=0,"",INT(INDEX('Invullen groen'!$I:$I,$L172))),""),"")</f>
        <v/>
      </c>
      <c r="H172" s="236">
        <f>IFERROR(IF($L172&gt;0,IF(INDEX('Invullen groen'!$J:$J,$L172)=0,"",INT(INDEX('Invullen groen'!$J:$J,$L172))),""),"")</f>
        <v/>
      </c>
      <c r="I172" s="236">
        <f>IFERROR(IF($L172&gt;0,IF(INDEX('Invullen groen'!$K:$K,$L172)=0,"",INT(INDEX('Invullen groen'!$K:$K,$L172))),""),"")</f>
        <v/>
      </c>
      <c r="J172">
        <f>IF($L172&gt;0,IFERROR($K$1&amp;" "&amp;TRIM(SUBSTITUTE(SUBSTITUTE(SUBSTITUTE(SUBSTITUTE(SUBSTITUTE(SUBSTITUTE(SUBSTITUTE(SUBSTITUTE(SUBSTITUTE(SUBSTITUTE(SUBSTITUTE(SUBSTITUTE(LOWER(IF(LEFT(TEXT(INDEX('Invullen groen'!$E:$E,$L172),"0"),1)="6",INDEX('Invullen groen'!$O:$O,$L172),IF(INDEX('Invullen groen'!$N:$N,$L172)&gt;0,INDEX('Invullen groen'!$G:$G,$L172),INDEX('Invullen groen'!$O:$O,$L172)))),"2024",""),"2025",""),"2026",""),"2027",""),"2028",""),"2029",""),"taakveld ",""),"installaties","inst"),"ruwbouw","ruwb"),"afbouw","afb"),"bijstelling","bijst"),"investeringen","invest")),""),")</f>
        <v/>
      </c>
      <c r="L172">
        <f>IFERROR(MATCH(ROW()-104,'Invullen groen'!$S$121:$S$272,0)+120,0)</f>
        <v/>
      </c>
    </row>
    <row r="173" hidden="1">
      <c r="A173" s="237">
        <f>IF($L173&gt;0,"+","")</f>
        <v/>
      </c>
      <c r="B173">
        <f>IFERROR(IF($L173&gt;0,IF(INDEX('Invullen groen'!$F:$F,$L173)&gt;0,INDEX('Invullen groen'!$F:$F,$L173),""),""),"")</f>
        <v/>
      </c>
      <c r="C173">
        <f>IFERROR(IF($L173&gt;0,IF(INDEX('Invullen groen'!$N:$N,$L173)&gt;0,INDEX('Invullen groen'!$N:$N,$L173),""),""),"")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IFERROR(IF($L173&gt;0,IF(INDEX('Invullen groen'!$H:$H,$L173)=0,"",INT(INDEX('Invullen groen'!$H:$H,$L173))),""),"")</f>
        <v/>
      </c>
      <c r="G173" s="236">
        <f>IFERROR(IF($L173&gt;0,IF(INDEX('Invullen groen'!$I:$I,$L173)=0,"",INT(INDEX('Invullen groen'!$I:$I,$L173))),""),"")</f>
        <v/>
      </c>
      <c r="H173" s="236">
        <f>IFERROR(IF($L173&gt;0,IF(INDEX('Invullen groen'!$J:$J,$L173)=0,"",INT(INDEX('Invullen groen'!$J:$J,$L173))),""),"")</f>
        <v/>
      </c>
      <c r="I173" s="236">
        <f>IFERROR(IF($L173&gt;0,IF(INDEX('Invullen groen'!$K:$K,$L173)=0,"",INT(INDEX('Invullen groen'!$K:$K,$L173))),""),"")</f>
        <v/>
      </c>
      <c r="J173">
        <f>IF($L173&gt;0,IFERROR($K$1&amp;" "&amp;TRIM(SUBSTITUTE(SUBSTITUTE(SUBSTITUTE(SUBSTITUTE(SUBSTITUTE(SUBSTITUTE(SUBSTITUTE(SUBSTITUTE(SUBSTITUTE(SUBSTITUTE(SUBSTITUTE(SUBSTITUTE(LOWER(IF(LEFT(TEXT(INDEX('Invullen groen'!$E:$E,$L173),"0"),1)="6",INDEX('Invullen groen'!$O:$O,$L173),IF(INDEX('Invullen groen'!$N:$N,$L173)&gt;0,INDEX('Invullen groen'!$G:$G,$L173),INDEX('Invullen groen'!$O:$O,$L173)))),"2024",""),"2025",""),"2026",""),"2027",""),"2028",""),"2029",""),"taakveld ",""),"installaties","inst"),"ruwbouw","ruwb"),"afbouw","afb"),"bijstelling","bijst"),"investeringen","invest")),""),")</f>
        <v/>
      </c>
      <c r="L173">
        <f>IFERROR(MATCH(ROW()-104,'Invullen groen'!$S$121:$S$272,0)+120,0)</f>
        <v/>
      </c>
    </row>
    <row r="174" hidden="1">
      <c r="A174" s="237">
        <f>IF($L174&gt;0,"+","")</f>
        <v/>
      </c>
      <c r="B174">
        <f>IFERROR(IF($L174&gt;0,IF(INDEX('Invullen groen'!$F:$F,$L174)&gt;0,INDEX('Invullen groen'!$F:$F,$L174),""),""),"")</f>
        <v/>
      </c>
      <c r="C174">
        <f>IFERROR(IF($L174&gt;0,IF(INDEX('Invullen groen'!$N:$N,$L174)&gt;0,INDEX('Invullen groen'!$N:$N,$L174),""),""),"")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IFERROR(IF($L174&gt;0,IF(INDEX('Invullen groen'!$H:$H,$L174)=0,"",INT(INDEX('Invullen groen'!$H:$H,$L174))),""),"")</f>
        <v/>
      </c>
      <c r="G174" s="236">
        <f>IFERROR(IF($L174&gt;0,IF(INDEX('Invullen groen'!$I:$I,$L174)=0,"",INT(INDEX('Invullen groen'!$I:$I,$L174))),""),"")</f>
        <v/>
      </c>
      <c r="H174" s="236">
        <f>IFERROR(IF($L174&gt;0,IF(INDEX('Invullen groen'!$J:$J,$L174)=0,"",INT(INDEX('Invullen groen'!$J:$J,$L174))),""),"")</f>
        <v/>
      </c>
      <c r="I174" s="236">
        <f>IFERROR(IF($L174&gt;0,IF(INDEX('Invullen groen'!$K:$K,$L174)=0,"",INT(INDEX('Invullen groen'!$K:$K,$L174))),""),"")</f>
        <v/>
      </c>
      <c r="J174">
        <f>IF($L174&gt;0,IFERROR($K$1&amp;" "&amp;TRIM(SUBSTITUTE(SUBSTITUTE(SUBSTITUTE(SUBSTITUTE(SUBSTITUTE(SUBSTITUTE(SUBSTITUTE(SUBSTITUTE(SUBSTITUTE(SUBSTITUTE(SUBSTITUTE(SUBSTITUTE(LOWER(IF(LEFT(TEXT(INDEX('Invullen groen'!$E:$E,$L174),"0"),1)="6",INDEX('Invullen groen'!$O:$O,$L174),IF(INDEX('Invullen groen'!$N:$N,$L174)&gt;0,INDEX('Invullen groen'!$G:$G,$L174),INDEX('Invullen groen'!$O:$O,$L174)))),"2024",""),"2025",""),"2026",""),"2027",""),"2028",""),"2029",""),"taakveld ",""),"installaties","inst"),"ruwbouw","ruwb"),"afbouw","afb"),"bijstelling","bijst"),"investeringen","invest")),""),")</f>
        <v/>
      </c>
      <c r="L174">
        <f>IFERROR(MATCH(ROW()-104,'Invullen groen'!$S$121:$S$272,0)+120,0)</f>
        <v/>
      </c>
    </row>
    <row r="175" hidden="1">
      <c r="A175" s="237">
        <f>IF($L175&gt;0,"+","")</f>
        <v/>
      </c>
      <c r="B175">
        <f>IFERROR(IF($L175&gt;0,IF(INDEX('Invullen groen'!$F:$F,$L175)&gt;0,INDEX('Invullen groen'!$F:$F,$L175),""),""),"")</f>
        <v/>
      </c>
      <c r="C175">
        <f>IFERROR(IF($L175&gt;0,IF(INDEX('Invullen groen'!$N:$N,$L175)&gt;0,INDEX('Invullen groen'!$N:$N,$L175),""),""),"")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IFERROR(IF($L175&gt;0,IF(INDEX('Invullen groen'!$H:$H,$L175)=0,"",INT(INDEX('Invullen groen'!$H:$H,$L175))),""),"")</f>
        <v/>
      </c>
      <c r="G175" s="236">
        <f>IFERROR(IF($L175&gt;0,IF(INDEX('Invullen groen'!$I:$I,$L175)=0,"",INT(INDEX('Invullen groen'!$I:$I,$L175))),""),"")</f>
        <v/>
      </c>
      <c r="H175" s="236">
        <f>IFERROR(IF($L175&gt;0,IF(INDEX('Invullen groen'!$J:$J,$L175)=0,"",INT(INDEX('Invullen groen'!$J:$J,$L175))),""),"")</f>
        <v/>
      </c>
      <c r="I175" s="236">
        <f>IFERROR(IF($L175&gt;0,IF(INDEX('Invullen groen'!$K:$K,$L175)=0,"",INT(INDEX('Invullen groen'!$K:$K,$L175))),""),"")</f>
        <v/>
      </c>
      <c r="J175">
        <f>IF($L175&gt;0,IFERROR($K$1&amp;" "&amp;TRIM(SUBSTITUTE(SUBSTITUTE(SUBSTITUTE(SUBSTITUTE(SUBSTITUTE(SUBSTITUTE(SUBSTITUTE(SUBSTITUTE(SUBSTITUTE(SUBSTITUTE(SUBSTITUTE(SUBSTITUTE(LOWER(IF(LEFT(TEXT(INDEX('Invullen groen'!$E:$E,$L175),"0"),1)="6",INDEX('Invullen groen'!$O:$O,$L175),IF(INDEX('Invullen groen'!$N:$N,$L175)&gt;0,INDEX('Invullen groen'!$G:$G,$L175),INDEX('Invullen groen'!$O:$O,$L175)))),"2024",""),"2025",""),"2026",""),"2027",""),"2028",""),"2029",""),"taakveld ",""),"installaties","inst"),"ruwbouw","ruwb"),"afbouw","afb"),"bijstelling","bijst"),"investeringen","invest")),""),")</f>
        <v/>
      </c>
      <c r="L175">
        <f>IFERROR(MATCH(ROW()-104,'Invullen groen'!$S$121:$S$272,0)+120,0)</f>
        <v/>
      </c>
    </row>
    <row r="176" hidden="1">
      <c r="A176" s="237">
        <f>IF($L176&gt;0,"+","")</f>
        <v/>
      </c>
      <c r="B176">
        <f>IFERROR(IF($L176&gt;0,IF(INDEX('Invullen groen'!$F:$F,$L176)&gt;0,INDEX('Invullen groen'!$F:$F,$L176),""),""),"")</f>
        <v/>
      </c>
      <c r="C176">
        <f>IFERROR(IF($L176&gt;0,IF(INDEX('Invullen groen'!$N:$N,$L176)&gt;0,INDEX('Invullen groen'!$N:$N,$L176),""),""),"")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IFERROR(IF($L176&gt;0,IF(INDEX('Invullen groen'!$H:$H,$L176)=0,"",INT(INDEX('Invullen groen'!$H:$H,$L176))),""),"")</f>
        <v/>
      </c>
      <c r="G176" s="236">
        <f>IFERROR(IF($L176&gt;0,IF(INDEX('Invullen groen'!$I:$I,$L176)=0,"",INT(INDEX('Invullen groen'!$I:$I,$L176))),""),"")</f>
        <v/>
      </c>
      <c r="H176" s="236">
        <f>IFERROR(IF($L176&gt;0,IF(INDEX('Invullen groen'!$J:$J,$L176)=0,"",INT(INDEX('Invullen groen'!$J:$J,$L176))),""),"")</f>
        <v/>
      </c>
      <c r="I176" s="236">
        <f>IFERROR(IF($L176&gt;0,IF(INDEX('Invullen groen'!$K:$K,$L176)=0,"",INT(INDEX('Invullen groen'!$K:$K,$L176))),""),"")</f>
        <v/>
      </c>
      <c r="J176">
        <f>IF($L176&gt;0,IFERROR($K$1&amp;" "&amp;TRIM(SUBSTITUTE(SUBSTITUTE(SUBSTITUTE(SUBSTITUTE(SUBSTITUTE(SUBSTITUTE(SUBSTITUTE(SUBSTITUTE(SUBSTITUTE(SUBSTITUTE(SUBSTITUTE(SUBSTITUTE(LOWER(IF(LEFT(TEXT(INDEX('Invullen groen'!$E:$E,$L176),"0"),1)="6",INDEX('Invullen groen'!$O:$O,$L176),IF(INDEX('Invullen groen'!$N:$N,$L176)&gt;0,INDEX('Invullen groen'!$G:$G,$L176),INDEX('Invullen groen'!$O:$O,$L176)))),"2024",""),"2025",""),"2026",""),"2027",""),"2028",""),"2029",""),"taakveld ",""),"installaties","inst"),"ruwbouw","ruwb"),"afbouw","afb"),"bijstelling","bijst"),"investeringen","invest")),""),")</f>
        <v/>
      </c>
      <c r="L176">
        <f>IFERROR(MATCH(ROW()-104,'Invullen groen'!$S$121:$S$272,0)+120,0)</f>
        <v/>
      </c>
    </row>
    <row r="177" hidden="1">
      <c r="A177" s="237">
        <f>IF($L177&gt;0,"+","")</f>
        <v/>
      </c>
      <c r="B177">
        <f>IFERROR(IF($L177&gt;0,IF(INDEX('Invullen groen'!$F:$F,$L177)&gt;0,INDEX('Invullen groen'!$F:$F,$L177),""),""),"")</f>
        <v/>
      </c>
      <c r="C177">
        <f>IFERROR(IF($L177&gt;0,IF(INDEX('Invullen groen'!$N:$N,$L177)&gt;0,INDEX('Invullen groen'!$N:$N,$L177),""),""),"")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IFERROR(IF($L177&gt;0,IF(INDEX('Invullen groen'!$H:$H,$L177)=0,"",INT(INDEX('Invullen groen'!$H:$H,$L177))),""),"")</f>
        <v/>
      </c>
      <c r="G177" s="236">
        <f>IFERROR(IF($L177&gt;0,IF(INDEX('Invullen groen'!$I:$I,$L177)=0,"",INT(INDEX('Invullen groen'!$I:$I,$L177))),""),"")</f>
        <v/>
      </c>
      <c r="H177" s="236">
        <f>IFERROR(IF($L177&gt;0,IF(INDEX('Invullen groen'!$J:$J,$L177)=0,"",INT(INDEX('Invullen groen'!$J:$J,$L177))),""),"")</f>
        <v/>
      </c>
      <c r="I177" s="236">
        <f>IFERROR(IF($L177&gt;0,IF(INDEX('Invullen groen'!$K:$K,$L177)=0,"",INT(INDEX('Invullen groen'!$K:$K,$L177))),""),"")</f>
        <v/>
      </c>
      <c r="J177">
        <f>IF($L177&gt;0,IFERROR($K$1&amp;" "&amp;TRIM(SUBSTITUTE(SUBSTITUTE(SUBSTITUTE(SUBSTITUTE(SUBSTITUTE(SUBSTITUTE(SUBSTITUTE(SUBSTITUTE(SUBSTITUTE(SUBSTITUTE(SUBSTITUTE(SUBSTITUTE(LOWER(IF(LEFT(TEXT(INDEX('Invullen groen'!$E:$E,$L177),"0"),1)="6",INDEX('Invullen groen'!$O:$O,$L177),IF(INDEX('Invullen groen'!$N:$N,$L177)&gt;0,INDEX('Invullen groen'!$G:$G,$L177),INDEX('Invullen groen'!$O:$O,$L177)))),"2024",""),"2025",""),"2026",""),"2027",""),"2028",""),"2029",""),"taakveld ",""),"installaties","inst"),"ruwbouw","ruwb"),"afbouw","afb"),"bijstelling","bijst"),"investeringen","invest")),""),")</f>
        <v/>
      </c>
      <c r="L177">
        <f>IFERROR(MATCH(ROW()-104,'Invullen groen'!$S$121:$S$272,0)+120,0)</f>
        <v/>
      </c>
    </row>
    <row r="178" hidden="1">
      <c r="A178" s="237">
        <f>IF($L178&gt;0,"+","")</f>
        <v/>
      </c>
      <c r="B178">
        <f>IFERROR(IF($L178&gt;0,IF(INDEX('Invullen groen'!$F:$F,$L178)&gt;0,INDEX('Invullen groen'!$F:$F,$L178),""),""),"")</f>
        <v/>
      </c>
      <c r="C178">
        <f>IFERROR(IF($L178&gt;0,IF(INDEX('Invullen groen'!$N:$N,$L178)&gt;0,INDEX('Invullen groen'!$N:$N,$L178),""),""),"")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IFERROR(IF($L178&gt;0,IF(INDEX('Invullen groen'!$H:$H,$L178)=0,"",INT(INDEX('Invullen groen'!$H:$H,$L178))),""),"")</f>
        <v/>
      </c>
      <c r="G178" s="236">
        <f>IFERROR(IF($L178&gt;0,IF(INDEX('Invullen groen'!$I:$I,$L178)=0,"",INT(INDEX('Invullen groen'!$I:$I,$L178))),""),"")</f>
        <v/>
      </c>
      <c r="H178" s="236">
        <f>IFERROR(IF($L178&gt;0,IF(INDEX('Invullen groen'!$J:$J,$L178)=0,"",INT(INDEX('Invullen groen'!$J:$J,$L178))),""),"")</f>
        <v/>
      </c>
      <c r="I178" s="236">
        <f>IFERROR(IF($L178&gt;0,IF(INDEX('Invullen groen'!$K:$K,$L178)=0,"",INT(INDEX('Invullen groen'!$K:$K,$L178))),""),"")</f>
        <v/>
      </c>
      <c r="J178">
        <f>IF($L178&gt;0,IFERROR($K$1&amp;" "&amp;TRIM(SUBSTITUTE(SUBSTITUTE(SUBSTITUTE(SUBSTITUTE(SUBSTITUTE(SUBSTITUTE(SUBSTITUTE(SUBSTITUTE(SUBSTITUTE(SUBSTITUTE(SUBSTITUTE(SUBSTITUTE(LOWER(IF(LEFT(TEXT(INDEX('Invullen groen'!$E:$E,$L178),"0"),1)="6",INDEX('Invullen groen'!$O:$O,$L178),IF(INDEX('Invullen groen'!$N:$N,$L178)&gt;0,INDEX('Invullen groen'!$G:$G,$L178),INDEX('Invullen groen'!$O:$O,$L178)))),"2024",""),"2025",""),"2026",""),"2027",""),"2028",""),"2029",""),"taakveld ",""),"installaties","inst"),"ruwbouw","ruwb"),"afbouw","afb"),"bijstelling","bijst"),"investeringen","invest")),""),")</f>
        <v/>
      </c>
      <c r="L178">
        <f>IFERROR(MATCH(ROW()-104,'Invullen groen'!$S$121:$S$272,0)+120,0)</f>
        <v/>
      </c>
    </row>
    <row r="179" hidden="1">
      <c r="A179" s="237">
        <f>IF($L179&gt;0,"+","")</f>
        <v/>
      </c>
      <c r="B179">
        <f>IFERROR(IF($L179&gt;0,IF(INDEX('Invullen groen'!$F:$F,$L179)&gt;0,INDEX('Invullen groen'!$F:$F,$L179),""),""),"")</f>
        <v/>
      </c>
      <c r="C179">
        <f>IFERROR(IF($L179&gt;0,IF(INDEX('Invullen groen'!$N:$N,$L179)&gt;0,INDEX('Invullen groen'!$N:$N,$L179),""),""),"")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IFERROR(IF($L179&gt;0,IF(INDEX('Invullen groen'!$H:$H,$L179)=0,"",INT(INDEX('Invullen groen'!$H:$H,$L179))),""),"")</f>
        <v/>
      </c>
      <c r="G179" s="236">
        <f>IFERROR(IF($L179&gt;0,IF(INDEX('Invullen groen'!$I:$I,$L179)=0,"",INT(INDEX('Invullen groen'!$I:$I,$L179))),""),"")</f>
        <v/>
      </c>
      <c r="H179" s="236">
        <f>IFERROR(IF($L179&gt;0,IF(INDEX('Invullen groen'!$J:$J,$L179)=0,"",INT(INDEX('Invullen groen'!$J:$J,$L179))),""),"")</f>
        <v/>
      </c>
      <c r="I179" s="236">
        <f>IFERROR(IF($L179&gt;0,IF(INDEX('Invullen groen'!$K:$K,$L179)=0,"",INT(INDEX('Invullen groen'!$K:$K,$L179))),""),"")</f>
        <v/>
      </c>
      <c r="J179">
        <f>IF($L179&gt;0,IFERROR($K$1&amp;" "&amp;TRIM(SUBSTITUTE(SUBSTITUTE(SUBSTITUTE(SUBSTITUTE(SUBSTITUTE(SUBSTITUTE(SUBSTITUTE(SUBSTITUTE(SUBSTITUTE(SUBSTITUTE(SUBSTITUTE(SUBSTITUTE(LOWER(IF(LEFT(TEXT(INDEX('Invullen groen'!$E:$E,$L179),"0"),1)="6",INDEX('Invullen groen'!$O:$O,$L179),IF(INDEX('Invullen groen'!$N:$N,$L179)&gt;0,INDEX('Invullen groen'!$G:$G,$L179),INDEX('Invullen groen'!$O:$O,$L179)))),"2024",""),"2025",""),"2026",""),"2027",""),"2028",""),"2029",""),"taakveld ",""),"installaties","inst"),"ruwbouw","ruwb"),"afbouw","afb"),"bijstelling","bijst"),"investeringen","invest")),""),")</f>
        <v/>
      </c>
      <c r="L179">
        <f>IFERROR(MATCH(ROW()-104,'Invullen groen'!$S$121:$S$272,0)+120,0)</f>
        <v/>
      </c>
    </row>
    <row r="180" hidden="1">
      <c r="A180" s="237">
        <f>IF($L180&gt;0,"+","")</f>
        <v/>
      </c>
      <c r="B180">
        <f>IFERROR(IF($L180&gt;0,IF(INDEX('Invullen groen'!$F:$F,$L180)&gt;0,INDEX('Invullen groen'!$F:$F,$L180),""),""),"")</f>
        <v/>
      </c>
      <c r="C180">
        <f>IFERROR(IF($L180&gt;0,IF(INDEX('Invullen groen'!$N:$N,$L180)&gt;0,INDEX('Invullen groen'!$N:$N,$L180),""),""),"")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IFERROR(IF($L180&gt;0,IF(INDEX('Invullen groen'!$H:$H,$L180)=0,"",INT(INDEX('Invullen groen'!$H:$H,$L180))),""),"")</f>
        <v/>
      </c>
      <c r="G180" s="236">
        <f>IFERROR(IF($L180&gt;0,IF(INDEX('Invullen groen'!$I:$I,$L180)=0,"",INT(INDEX('Invullen groen'!$I:$I,$L180))),""),"")</f>
        <v/>
      </c>
      <c r="H180" s="236">
        <f>IFERROR(IF($L180&gt;0,IF(INDEX('Invullen groen'!$J:$J,$L180)=0,"",INT(INDEX('Invullen groen'!$J:$J,$L180))),""),"")</f>
        <v/>
      </c>
      <c r="I180" s="236">
        <f>IFERROR(IF($L180&gt;0,IF(INDEX('Invullen groen'!$K:$K,$L180)=0,"",INT(INDEX('Invullen groen'!$K:$K,$L180))),""),"")</f>
        <v/>
      </c>
      <c r="J180">
        <f>IF($L180&gt;0,IFERROR($K$1&amp;" "&amp;TRIM(SUBSTITUTE(SUBSTITUTE(SUBSTITUTE(SUBSTITUTE(SUBSTITUTE(SUBSTITUTE(SUBSTITUTE(SUBSTITUTE(SUBSTITUTE(SUBSTITUTE(SUBSTITUTE(SUBSTITUTE(LOWER(IF(LEFT(TEXT(INDEX('Invullen groen'!$E:$E,$L180),"0"),1)="6",INDEX('Invullen groen'!$O:$O,$L180),IF(INDEX('Invullen groen'!$N:$N,$L180)&gt;0,INDEX('Invullen groen'!$G:$G,$L180),INDEX('Invullen groen'!$O:$O,$L180)))),"2024",""),"2025",""),"2026",""),"2027",""),"2028",""),"2029",""),"taakveld ",""),"installaties","inst"),"ruwbouw","ruwb"),"afbouw","afb"),"bijstelling","bijst"),"investeringen","invest")),""),")</f>
        <v/>
      </c>
      <c r="L180">
        <f>IFERROR(MATCH(ROW()-104,'Invullen groen'!$S$121:$S$272,0)+120,0)</f>
        <v/>
      </c>
    </row>
    <row r="181" hidden="1">
      <c r="A181" s="237">
        <f>IF($L181&gt;0,"+","")</f>
        <v/>
      </c>
      <c r="B181">
        <f>IFERROR(IF($L181&gt;0,IF(INDEX('Invullen groen'!$F:$F,$L181)&gt;0,INDEX('Invullen groen'!$F:$F,$L181),""),""),"")</f>
        <v/>
      </c>
      <c r="C181">
        <f>IFERROR(IF($L181&gt;0,IF(INDEX('Invullen groen'!$N:$N,$L181)&gt;0,INDEX('Invullen groen'!$N:$N,$L181),""),""),"")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IFERROR(IF($L181&gt;0,IF(INDEX('Invullen groen'!$H:$H,$L181)=0,"",INT(INDEX('Invullen groen'!$H:$H,$L181))),""),"")</f>
        <v/>
      </c>
      <c r="G181" s="236">
        <f>IFERROR(IF($L181&gt;0,IF(INDEX('Invullen groen'!$I:$I,$L181)=0,"",INT(INDEX('Invullen groen'!$I:$I,$L181))),""),"")</f>
        <v/>
      </c>
      <c r="H181" s="236">
        <f>IFERROR(IF($L181&gt;0,IF(INDEX('Invullen groen'!$J:$J,$L181)=0,"",INT(INDEX('Invullen groen'!$J:$J,$L181))),""),"")</f>
        <v/>
      </c>
      <c r="I181" s="236">
        <f>IFERROR(IF($L181&gt;0,IF(INDEX('Invullen groen'!$K:$K,$L181)=0,"",INT(INDEX('Invullen groen'!$K:$K,$L181))),""),"")</f>
        <v/>
      </c>
      <c r="J181">
        <f>IF($L181&gt;0,IFERROR($K$1&amp;" "&amp;TRIM(SUBSTITUTE(SUBSTITUTE(SUBSTITUTE(SUBSTITUTE(SUBSTITUTE(SUBSTITUTE(SUBSTITUTE(SUBSTITUTE(SUBSTITUTE(SUBSTITUTE(SUBSTITUTE(SUBSTITUTE(LOWER(IF(LEFT(TEXT(INDEX('Invullen groen'!$E:$E,$L181),"0"),1)="6",INDEX('Invullen groen'!$O:$O,$L181),IF(INDEX('Invullen groen'!$N:$N,$L181)&gt;0,INDEX('Invullen groen'!$G:$G,$L181),INDEX('Invullen groen'!$O:$O,$L181)))),"2024",""),"2025",""),"2026",""),"2027",""),"2028",""),"2029",""),"taakveld ",""),"installaties","inst"),"ruwbouw","ruwb"),"afbouw","afb"),"bijstelling","bijst"),"investeringen","invest")),""),")</f>
        <v/>
      </c>
      <c r="L181">
        <f>IFERROR(MATCH(ROW()-104,'Invullen groen'!$S$121:$S$272,0)+120,0)</f>
        <v/>
      </c>
    </row>
    <row r="182" hidden="1">
      <c r="A182" s="237">
        <f>IF($L182&gt;0,"+","")</f>
        <v/>
      </c>
      <c r="B182">
        <f>IFERROR(IF($L182&gt;0,IF(INDEX('Invullen groen'!$F:$F,$L182)&gt;0,INDEX('Invullen groen'!$F:$F,$L182),""),""),"")</f>
        <v/>
      </c>
      <c r="C182">
        <f>IFERROR(IF($L182&gt;0,IF(INDEX('Invullen groen'!$N:$N,$L182)&gt;0,INDEX('Invullen groen'!$N:$N,$L182),""),""),"")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IFERROR(IF($L182&gt;0,IF(INDEX('Invullen groen'!$H:$H,$L182)=0,"",INT(INDEX('Invullen groen'!$H:$H,$L182))),""),"")</f>
        <v/>
      </c>
      <c r="G182" s="236">
        <f>IFERROR(IF($L182&gt;0,IF(INDEX('Invullen groen'!$I:$I,$L182)=0,"",INT(INDEX('Invullen groen'!$I:$I,$L182))),""),"")</f>
        <v/>
      </c>
      <c r="H182" s="236">
        <f>IFERROR(IF($L182&gt;0,IF(INDEX('Invullen groen'!$J:$J,$L182)=0,"",INT(INDEX('Invullen groen'!$J:$J,$L182))),""),"")</f>
        <v/>
      </c>
      <c r="I182" s="236">
        <f>IFERROR(IF($L182&gt;0,IF(INDEX('Invullen groen'!$K:$K,$L182)=0,"",INT(INDEX('Invullen groen'!$K:$K,$L182))),""),"")</f>
        <v/>
      </c>
      <c r="J182">
        <f>IF($L182&gt;0,IFERROR($K$1&amp;" "&amp;TRIM(SUBSTITUTE(SUBSTITUTE(SUBSTITUTE(SUBSTITUTE(SUBSTITUTE(SUBSTITUTE(SUBSTITUTE(SUBSTITUTE(SUBSTITUTE(SUBSTITUTE(SUBSTITUTE(SUBSTITUTE(LOWER(IF(LEFT(TEXT(INDEX('Invullen groen'!$E:$E,$L182),"0"),1)="6",INDEX('Invullen groen'!$O:$O,$L182),IF(INDEX('Invullen groen'!$N:$N,$L182)&gt;0,INDEX('Invullen groen'!$G:$G,$L182),INDEX('Invullen groen'!$O:$O,$L182)))),"2024",""),"2025",""),"2026",""),"2027",""),"2028",""),"2029",""),"taakveld ",""),"installaties","inst"),"ruwbouw","ruwb"),"afbouw","afb"),"bijstelling","bijst"),"investeringen","invest")),""),")</f>
        <v/>
      </c>
      <c r="L182">
        <f>IFERROR(MATCH(ROW()-104,'Invullen groen'!$S$121:$S$272,0)+120,0)</f>
        <v/>
      </c>
    </row>
    <row r="183" hidden="1">
      <c r="A183" s="237">
        <f>IF($L183&gt;0,"+","")</f>
        <v/>
      </c>
      <c r="B183">
        <f>IFERROR(IF($L183&gt;0,IF(INDEX('Invullen groen'!$F:$F,$L183)&gt;0,INDEX('Invullen groen'!$F:$F,$L183),""),""),"")</f>
        <v/>
      </c>
      <c r="C183">
        <f>IFERROR(IF($L183&gt;0,IF(INDEX('Invullen groen'!$N:$N,$L183)&gt;0,INDEX('Invullen groen'!$N:$N,$L183),""),""),"")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IFERROR(IF($L183&gt;0,IF(INDEX('Invullen groen'!$H:$H,$L183)=0,"",INT(INDEX('Invullen groen'!$H:$H,$L183))),""),"")</f>
        <v/>
      </c>
      <c r="G183" s="236">
        <f>IFERROR(IF($L183&gt;0,IF(INDEX('Invullen groen'!$I:$I,$L183)=0,"",INT(INDEX('Invullen groen'!$I:$I,$L183))),""),"")</f>
        <v/>
      </c>
      <c r="H183" s="236">
        <f>IFERROR(IF($L183&gt;0,IF(INDEX('Invullen groen'!$J:$J,$L183)=0,"",INT(INDEX('Invullen groen'!$J:$J,$L183))),""),"")</f>
        <v/>
      </c>
      <c r="I183" s="236">
        <f>IFERROR(IF($L183&gt;0,IF(INDEX('Invullen groen'!$K:$K,$L183)=0,"",INT(INDEX('Invullen groen'!$K:$K,$L183))),""),"")</f>
        <v/>
      </c>
      <c r="J183">
        <f>IF($L183&gt;0,IFERROR($K$1&amp;" "&amp;TRIM(SUBSTITUTE(SUBSTITUTE(SUBSTITUTE(SUBSTITUTE(SUBSTITUTE(SUBSTITUTE(SUBSTITUTE(SUBSTITUTE(SUBSTITUTE(SUBSTITUTE(SUBSTITUTE(SUBSTITUTE(LOWER(IF(LEFT(TEXT(INDEX('Invullen groen'!$E:$E,$L183),"0"),1)="6",INDEX('Invullen groen'!$O:$O,$L183),IF(INDEX('Invullen groen'!$N:$N,$L183)&gt;0,INDEX('Invullen groen'!$G:$G,$L183),INDEX('Invullen groen'!$O:$O,$L183)))),"2024",""),"2025",""),"2026",""),"2027",""),"2028",""),"2029",""),"taakveld ",""),"installaties","inst"),"ruwbouw","ruwb"),"afbouw","afb"),"bijstelling","bijst"),"investeringen","invest")),""),")</f>
        <v/>
      </c>
      <c r="L183">
        <f>IFERROR(MATCH(ROW()-104,'Invullen groen'!$S$121:$S$272,0)+120,0)</f>
        <v/>
      </c>
    </row>
    <row r="184" hidden="1">
      <c r="A184" s="237">
        <f>IF($L184&gt;0,"+","")</f>
        <v/>
      </c>
      <c r="B184">
        <f>IFERROR(IF($L184&gt;0,IF(INDEX('Invullen groen'!$F:$F,$L184)&gt;0,INDEX('Invullen groen'!$F:$F,$L184),""),""),"")</f>
        <v/>
      </c>
      <c r="C184">
        <f>IFERROR(IF($L184&gt;0,IF(INDEX('Invullen groen'!$N:$N,$L184)&gt;0,INDEX('Invullen groen'!$N:$N,$L184),""),""),"")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IFERROR(IF($L184&gt;0,IF(INDEX('Invullen groen'!$H:$H,$L184)=0,"",INT(INDEX('Invullen groen'!$H:$H,$L184))),""),"")</f>
        <v/>
      </c>
      <c r="G184" s="236">
        <f>IFERROR(IF($L184&gt;0,IF(INDEX('Invullen groen'!$I:$I,$L184)=0,"",INT(INDEX('Invullen groen'!$I:$I,$L184))),""),"")</f>
        <v/>
      </c>
      <c r="H184" s="236">
        <f>IFERROR(IF($L184&gt;0,IF(INDEX('Invullen groen'!$J:$J,$L184)=0,"",INT(INDEX('Invullen groen'!$J:$J,$L184))),""),"")</f>
        <v/>
      </c>
      <c r="I184" s="236">
        <f>IFERROR(IF($L184&gt;0,IF(INDEX('Invullen groen'!$K:$K,$L184)=0,"",INT(INDEX('Invullen groen'!$K:$K,$L184))),""),"")</f>
        <v/>
      </c>
      <c r="J184">
        <f>IF($L184&gt;0,IFERROR($K$1&amp;" "&amp;TRIM(SUBSTITUTE(SUBSTITUTE(SUBSTITUTE(SUBSTITUTE(SUBSTITUTE(SUBSTITUTE(SUBSTITUTE(SUBSTITUTE(SUBSTITUTE(SUBSTITUTE(SUBSTITUTE(SUBSTITUTE(LOWER(IF(LEFT(TEXT(INDEX('Invullen groen'!$E:$E,$L184),"0"),1)="6",INDEX('Invullen groen'!$O:$O,$L184),IF(INDEX('Invullen groen'!$N:$N,$L184)&gt;0,INDEX('Invullen groen'!$G:$G,$L184),INDEX('Invullen groen'!$O:$O,$L184)))),"2024",""),"2025",""),"2026",""),"2027",""),"2028",""),"2029",""),"taakveld ",""),"installaties","inst"),"ruwbouw","ruwb"),"afbouw","afb"),"bijstelling","bijst"),"investeringen","invest")),""),")</f>
        <v/>
      </c>
      <c r="L184">
        <f>IFERROR(MATCH(ROW()-104,'Invullen groen'!$S$121:$S$272,0)+120,0)</f>
        <v/>
      </c>
    </row>
    <row r="185" hidden="1">
      <c r="A185" s="237">
        <f>IF($L185&gt;0,"+","")</f>
        <v/>
      </c>
      <c r="B185">
        <f>IFERROR(IF($L185&gt;0,IF(INDEX('Invullen groen'!$F:$F,$L185)&gt;0,INDEX('Invullen groen'!$F:$F,$L185),""),""),"")</f>
        <v/>
      </c>
      <c r="C185">
        <f>IFERROR(IF($L185&gt;0,IF(INDEX('Invullen groen'!$N:$N,$L185)&gt;0,INDEX('Invullen groen'!$N:$N,$L185),""),""),"")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IFERROR(IF($L185&gt;0,IF(INDEX('Invullen groen'!$H:$H,$L185)=0,"",INT(INDEX('Invullen groen'!$H:$H,$L185))),""),"")</f>
        <v/>
      </c>
      <c r="G185" s="236">
        <f>IFERROR(IF($L185&gt;0,IF(INDEX('Invullen groen'!$I:$I,$L185)=0,"",INT(INDEX('Invullen groen'!$I:$I,$L185))),""),"")</f>
        <v/>
      </c>
      <c r="H185" s="236">
        <f>IFERROR(IF($L185&gt;0,IF(INDEX('Invullen groen'!$J:$J,$L185)=0,"",INT(INDEX('Invullen groen'!$J:$J,$L185))),""),"")</f>
        <v/>
      </c>
      <c r="I185" s="236">
        <f>IFERROR(IF($L185&gt;0,IF(INDEX('Invullen groen'!$K:$K,$L185)=0,"",INT(INDEX('Invullen groen'!$K:$K,$L185))),""),"")</f>
        <v/>
      </c>
      <c r="J185">
        <f>IF($L185&gt;0,IFERROR($K$1&amp;" "&amp;TRIM(SUBSTITUTE(SUBSTITUTE(SUBSTITUTE(SUBSTITUTE(SUBSTITUTE(SUBSTITUTE(SUBSTITUTE(SUBSTITUTE(SUBSTITUTE(SUBSTITUTE(SUBSTITUTE(SUBSTITUTE(LOWER(IF(LEFT(TEXT(INDEX('Invullen groen'!$E:$E,$L185),"0"),1)="6",INDEX('Invullen groen'!$O:$O,$L185),IF(INDEX('Invullen groen'!$N:$N,$L185)&gt;0,INDEX('Invullen groen'!$G:$G,$L185),INDEX('Invullen groen'!$O:$O,$L185)))),"2024",""),"2025",""),"2026",""),"2027",""),"2028",""),"2029",""),"taakveld ",""),"installaties","inst"),"ruwbouw","ruwb"),"afbouw","afb"),"bijstelling","bijst"),"investeringen","invest")),""),")</f>
        <v/>
      </c>
      <c r="L185">
        <f>IFERROR(MATCH(ROW()-104,'Invullen groen'!$S$121:$S$272,0)+120,0)</f>
        <v/>
      </c>
    </row>
    <row r="186" hidden="1">
      <c r="A186" s="237">
        <f>IF($L186&gt;0,"+","")</f>
        <v/>
      </c>
      <c r="B186">
        <f>IFERROR(IF($L186&gt;0,IF(INDEX('Invullen groen'!$F:$F,$L186)&gt;0,INDEX('Invullen groen'!$F:$F,$L186),""),""),"")</f>
        <v/>
      </c>
      <c r="C186">
        <f>IFERROR(IF($L186&gt;0,IF(INDEX('Invullen groen'!$N:$N,$L186)&gt;0,INDEX('Invullen groen'!$N:$N,$L186),""),""),"")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IFERROR(IF($L186&gt;0,IF(INDEX('Invullen groen'!$H:$H,$L186)=0,"",INT(INDEX('Invullen groen'!$H:$H,$L186))),""),"")</f>
        <v/>
      </c>
      <c r="G186" s="236">
        <f>IFERROR(IF($L186&gt;0,IF(INDEX('Invullen groen'!$I:$I,$L186)=0,"",INT(INDEX('Invullen groen'!$I:$I,$L186))),""),"")</f>
        <v/>
      </c>
      <c r="H186" s="236">
        <f>IFERROR(IF($L186&gt;0,IF(INDEX('Invullen groen'!$J:$J,$L186)=0,"",INT(INDEX('Invullen groen'!$J:$J,$L186))),""),"")</f>
        <v/>
      </c>
      <c r="I186" s="236">
        <f>IFERROR(IF($L186&gt;0,IF(INDEX('Invullen groen'!$K:$K,$L186)=0,"",INT(INDEX('Invullen groen'!$K:$K,$L186))),""),"")</f>
        <v/>
      </c>
      <c r="J186">
        <f>IF($L186&gt;0,IFERROR($K$1&amp;" "&amp;TRIM(SUBSTITUTE(SUBSTITUTE(SUBSTITUTE(SUBSTITUTE(SUBSTITUTE(SUBSTITUTE(SUBSTITUTE(SUBSTITUTE(SUBSTITUTE(SUBSTITUTE(SUBSTITUTE(SUBSTITUTE(LOWER(IF(LEFT(TEXT(INDEX('Invullen groen'!$E:$E,$L186),"0"),1)="6",INDEX('Invullen groen'!$O:$O,$L186),IF(INDEX('Invullen groen'!$N:$N,$L186)&gt;0,INDEX('Invullen groen'!$G:$G,$L186),INDEX('Invullen groen'!$O:$O,$L186)))),"2024",""),"2025",""),"2026",""),"2027",""),"2028",""),"2029",""),"taakveld ",""),"installaties","inst"),"ruwbouw","ruwb"),"afbouw","afb"),"bijstelling","bijst"),"investeringen","invest")),""),")</f>
        <v/>
      </c>
      <c r="L186">
        <f>IFERROR(MATCH(ROW()-104,'Invullen groen'!$S$121:$S$272,0)+120,0)</f>
        <v/>
      </c>
    </row>
    <row r="187" hidden="1">
      <c r="A187" s="237">
        <f>IF($L187&gt;0,"+","")</f>
        <v/>
      </c>
      <c r="B187">
        <f>IFERROR(IF($L187&gt;0,IF(INDEX('Invullen groen'!$F:$F,$L187)&gt;0,INDEX('Invullen groen'!$F:$F,$L187),""),""),"")</f>
        <v/>
      </c>
      <c r="C187">
        <f>IFERROR(IF($L187&gt;0,IF(INDEX('Invullen groen'!$N:$N,$L187)&gt;0,INDEX('Invullen groen'!$N:$N,$L187),""),""),"")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IFERROR(IF($L187&gt;0,IF(INDEX('Invullen groen'!$H:$H,$L187)=0,"",INT(INDEX('Invullen groen'!$H:$H,$L187))),""),"")</f>
        <v/>
      </c>
      <c r="G187" s="236">
        <f>IFERROR(IF($L187&gt;0,IF(INDEX('Invullen groen'!$I:$I,$L187)=0,"",INT(INDEX('Invullen groen'!$I:$I,$L187))),""),"")</f>
        <v/>
      </c>
      <c r="H187" s="236">
        <f>IFERROR(IF($L187&gt;0,IF(INDEX('Invullen groen'!$J:$J,$L187)=0,"",INT(INDEX('Invullen groen'!$J:$J,$L187))),""),"")</f>
        <v/>
      </c>
      <c r="I187" s="236">
        <f>IFERROR(IF($L187&gt;0,IF(INDEX('Invullen groen'!$K:$K,$L187)=0,"",INT(INDEX('Invullen groen'!$K:$K,$L187))),""),"")</f>
        <v/>
      </c>
      <c r="J187">
        <f>IF($L187&gt;0,IFERROR($K$1&amp;" "&amp;TRIM(SUBSTITUTE(SUBSTITUTE(SUBSTITUTE(SUBSTITUTE(SUBSTITUTE(SUBSTITUTE(SUBSTITUTE(SUBSTITUTE(SUBSTITUTE(SUBSTITUTE(SUBSTITUTE(SUBSTITUTE(LOWER(IF(LEFT(TEXT(INDEX('Invullen groen'!$E:$E,$L187),"0"),1)="6",INDEX('Invullen groen'!$O:$O,$L187),IF(INDEX('Invullen groen'!$N:$N,$L187)&gt;0,INDEX('Invullen groen'!$G:$G,$L187),INDEX('Invullen groen'!$O:$O,$L187)))),"2024",""),"2025",""),"2026",""),"2027",""),"2028",""),"2029",""),"taakveld ",""),"installaties","inst"),"ruwbouw","ruwb"),"afbouw","afb"),"bijstelling","bijst"),"investeringen","invest")),""),")</f>
        <v/>
      </c>
      <c r="L187">
        <f>IFERROR(MATCH(ROW()-104,'Invullen groen'!$S$121:$S$272,0)+120,0)</f>
        <v/>
      </c>
    </row>
    <row r="188" hidden="1">
      <c r="A188" s="237">
        <f>IF($L188&gt;0,"+","")</f>
        <v/>
      </c>
      <c r="B188">
        <f>IFERROR(IF($L188&gt;0,IF(INDEX('Invullen groen'!$F:$F,$L188)&gt;0,INDEX('Invullen groen'!$F:$F,$L188),""),""),"")</f>
        <v/>
      </c>
      <c r="C188">
        <f>IFERROR(IF($L188&gt;0,IF(INDEX('Invullen groen'!$N:$N,$L188)&gt;0,INDEX('Invullen groen'!$N:$N,$L188),""),""),"")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IFERROR(IF($L188&gt;0,IF(INDEX('Invullen groen'!$H:$H,$L188)=0,"",INT(INDEX('Invullen groen'!$H:$H,$L188))),""),"")</f>
        <v/>
      </c>
      <c r="G188" s="236">
        <f>IFERROR(IF($L188&gt;0,IF(INDEX('Invullen groen'!$I:$I,$L188)=0,"",INT(INDEX('Invullen groen'!$I:$I,$L188))),""),"")</f>
        <v/>
      </c>
      <c r="H188" s="236">
        <f>IFERROR(IF($L188&gt;0,IF(INDEX('Invullen groen'!$J:$J,$L188)=0,"",INT(INDEX('Invullen groen'!$J:$J,$L188))),""),"")</f>
        <v/>
      </c>
      <c r="I188" s="236">
        <f>IFERROR(IF($L188&gt;0,IF(INDEX('Invullen groen'!$K:$K,$L188)=0,"",INT(INDEX('Invullen groen'!$K:$K,$L188))),""),"")</f>
        <v/>
      </c>
      <c r="J188">
        <f>IF($L188&gt;0,IFERROR($K$1&amp;" "&amp;TRIM(SUBSTITUTE(SUBSTITUTE(SUBSTITUTE(SUBSTITUTE(SUBSTITUTE(SUBSTITUTE(SUBSTITUTE(SUBSTITUTE(SUBSTITUTE(SUBSTITUTE(SUBSTITUTE(SUBSTITUTE(LOWER(IF(LEFT(TEXT(INDEX('Invullen groen'!$E:$E,$L188),"0"),1)="6",INDEX('Invullen groen'!$O:$O,$L188),IF(INDEX('Invullen groen'!$N:$N,$L188)&gt;0,INDEX('Invullen groen'!$G:$G,$L188),INDEX('Invullen groen'!$O:$O,$L188)))),"2024",""),"2025",""),"2026",""),"2027",""),"2028",""),"2029",""),"taakveld ",""),"installaties","inst"),"ruwbouw","ruwb"),"afbouw","afb"),"bijstelling","bijst"),"investeringen","invest")),""),")</f>
        <v/>
      </c>
      <c r="L188">
        <f>IFERROR(MATCH(ROW()-104,'Invullen groen'!$S$121:$S$272,0)+120,0)</f>
        <v/>
      </c>
    </row>
    <row r="189" hidden="1">
      <c r="A189" s="237">
        <f>IF($L189&gt;0,"+","")</f>
        <v/>
      </c>
      <c r="B189">
        <f>IFERROR(IF($L189&gt;0,IF(INDEX('Invullen groen'!$F:$F,$L189)&gt;0,INDEX('Invullen groen'!$F:$F,$L189),""),""),"")</f>
        <v/>
      </c>
      <c r="C189">
        <f>IFERROR(IF($L189&gt;0,IF(INDEX('Invullen groen'!$N:$N,$L189)&gt;0,INDEX('Invullen groen'!$N:$N,$L189),""),""),"")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IFERROR(IF($L189&gt;0,IF(INDEX('Invullen groen'!$H:$H,$L189)=0,"",INT(INDEX('Invullen groen'!$H:$H,$L189))),""),"")</f>
        <v/>
      </c>
      <c r="G189" s="236">
        <f>IFERROR(IF($L189&gt;0,IF(INDEX('Invullen groen'!$I:$I,$L189)=0,"",INT(INDEX('Invullen groen'!$I:$I,$L189))),""),"")</f>
        <v/>
      </c>
      <c r="H189" s="236">
        <f>IFERROR(IF($L189&gt;0,IF(INDEX('Invullen groen'!$J:$J,$L189)=0,"",INT(INDEX('Invullen groen'!$J:$J,$L189))),""),"")</f>
        <v/>
      </c>
      <c r="I189" s="236">
        <f>IFERROR(IF($L189&gt;0,IF(INDEX('Invullen groen'!$K:$K,$L189)=0,"",INT(INDEX('Invullen groen'!$K:$K,$L189))),""),"")</f>
        <v/>
      </c>
      <c r="J189">
        <f>IF($L189&gt;0,IFERROR($K$1&amp;" "&amp;TRIM(SUBSTITUTE(SUBSTITUTE(SUBSTITUTE(SUBSTITUTE(SUBSTITUTE(SUBSTITUTE(SUBSTITUTE(SUBSTITUTE(SUBSTITUTE(SUBSTITUTE(SUBSTITUTE(SUBSTITUTE(LOWER(IF(LEFT(TEXT(INDEX('Invullen groen'!$E:$E,$L189),"0"),1)="6",INDEX('Invullen groen'!$O:$O,$L189),IF(INDEX('Invullen groen'!$N:$N,$L189)&gt;0,INDEX('Invullen groen'!$G:$G,$L189),INDEX('Invullen groen'!$O:$O,$L189)))),"2024",""),"2025",""),"2026",""),"2027",""),"2028",""),"2029",""),"taakveld ",""),"installaties","inst"),"ruwbouw","ruwb"),"afbouw","afb"),"bijstelling","bijst"),"investeringen","invest")),""),")</f>
        <v/>
      </c>
      <c r="L189">
        <f>IFERROR(MATCH(ROW()-104,'Invullen groen'!$S$121:$S$272,0)+120,0)</f>
        <v/>
      </c>
    </row>
    <row r="190" hidden="1">
      <c r="A190" s="237">
        <f>IF($L190&gt;0,"+","")</f>
        <v/>
      </c>
      <c r="B190">
        <f>IFERROR(IF($L190&gt;0,IF(INDEX('Invullen groen'!$F:$F,$L190)&gt;0,INDEX('Invullen groen'!$F:$F,$L190),""),""),"")</f>
        <v/>
      </c>
      <c r="C190">
        <f>IFERROR(IF($L190&gt;0,IF(INDEX('Invullen groen'!$N:$N,$L190)&gt;0,INDEX('Invullen groen'!$N:$N,$L190),""),""),"")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IFERROR(IF($L190&gt;0,IF(INDEX('Invullen groen'!$H:$H,$L190)=0,"",INT(INDEX('Invullen groen'!$H:$H,$L190))),""),"")</f>
        <v/>
      </c>
      <c r="G190" s="236">
        <f>IFERROR(IF($L190&gt;0,IF(INDEX('Invullen groen'!$I:$I,$L190)=0,"",INT(INDEX('Invullen groen'!$I:$I,$L190))),""),"")</f>
        <v/>
      </c>
      <c r="H190" s="236">
        <f>IFERROR(IF($L190&gt;0,IF(INDEX('Invullen groen'!$J:$J,$L190)=0,"",INT(INDEX('Invullen groen'!$J:$J,$L190))),""),"")</f>
        <v/>
      </c>
      <c r="I190" s="236">
        <f>IFERROR(IF($L190&gt;0,IF(INDEX('Invullen groen'!$K:$K,$L190)=0,"",INT(INDEX('Invullen groen'!$K:$K,$L190))),""),"")</f>
        <v/>
      </c>
      <c r="J190">
        <f>IF($L190&gt;0,IFERROR($K$1&amp;" "&amp;TRIM(SUBSTITUTE(SUBSTITUTE(SUBSTITUTE(SUBSTITUTE(SUBSTITUTE(SUBSTITUTE(SUBSTITUTE(SUBSTITUTE(SUBSTITUTE(SUBSTITUTE(SUBSTITUTE(SUBSTITUTE(LOWER(IF(LEFT(TEXT(INDEX('Invullen groen'!$E:$E,$L190),"0"),1)="6",INDEX('Invullen groen'!$O:$O,$L190),IF(INDEX('Invullen groen'!$N:$N,$L190)&gt;0,INDEX('Invullen groen'!$G:$G,$L190),INDEX('Invullen groen'!$O:$O,$L190)))),"2024",""),"2025",""),"2026",""),"2027",""),"2028",""),"2029",""),"taakveld ",""),"installaties","inst"),"ruwbouw","ruwb"),"afbouw","afb"),"bijstelling","bijst"),"investeringen","invest")),""),")</f>
        <v/>
      </c>
      <c r="L190">
        <f>IFERROR(MATCH(ROW()-104,'Invullen groen'!$S$121:$S$272,0)+120,0)</f>
        <v/>
      </c>
    </row>
    <row r="191" hidden="1">
      <c r="A191" s="237">
        <f>IF($L191&gt;0,"+","")</f>
        <v/>
      </c>
      <c r="B191">
        <f>IFERROR(IF($L191&gt;0,IF(INDEX('Invullen groen'!$F:$F,$L191)&gt;0,INDEX('Invullen groen'!$F:$F,$L191),""),""),"")</f>
        <v/>
      </c>
      <c r="C191">
        <f>IFERROR(IF($L191&gt;0,IF(INDEX('Invullen groen'!$N:$N,$L191)&gt;0,INDEX('Invullen groen'!$N:$N,$L191),""),""),"")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IFERROR(IF($L191&gt;0,IF(INDEX('Invullen groen'!$H:$H,$L191)=0,"",INT(INDEX('Invullen groen'!$H:$H,$L191))),""),"")</f>
        <v/>
      </c>
      <c r="G191" s="236">
        <f>IFERROR(IF($L191&gt;0,IF(INDEX('Invullen groen'!$I:$I,$L191)=0,"",INT(INDEX('Invullen groen'!$I:$I,$L191))),""),"")</f>
        <v/>
      </c>
      <c r="H191" s="236">
        <f>IFERROR(IF($L191&gt;0,IF(INDEX('Invullen groen'!$J:$J,$L191)=0,"",INT(INDEX('Invullen groen'!$J:$J,$L191))),""),"")</f>
        <v/>
      </c>
      <c r="I191" s="236">
        <f>IFERROR(IF($L191&gt;0,IF(INDEX('Invullen groen'!$K:$K,$L191)=0,"",INT(INDEX('Invullen groen'!$K:$K,$L191))),""),"")</f>
        <v/>
      </c>
      <c r="J191">
        <f>IF($L191&gt;0,IFERROR($K$1&amp;" "&amp;TRIM(SUBSTITUTE(SUBSTITUTE(SUBSTITUTE(SUBSTITUTE(SUBSTITUTE(SUBSTITUTE(SUBSTITUTE(SUBSTITUTE(SUBSTITUTE(SUBSTITUTE(SUBSTITUTE(SUBSTITUTE(LOWER(IF(LEFT(TEXT(INDEX('Invullen groen'!$E:$E,$L191),"0"),1)="6",INDEX('Invullen groen'!$O:$O,$L191),IF(INDEX('Invullen groen'!$N:$N,$L191)&gt;0,INDEX('Invullen groen'!$G:$G,$L191),INDEX('Invullen groen'!$O:$O,$L191)))),"2024",""),"2025",""),"2026",""),"2027",""),"2028",""),"2029",""),"taakveld ",""),"installaties","inst"),"ruwbouw","ruwb"),"afbouw","afb"),"bijstelling","bijst"),"investeringen","invest")),""),")</f>
        <v/>
      </c>
      <c r="L191">
        <f>IFERROR(MATCH(ROW()-104,'Invullen groen'!$S$121:$S$272,0)+120,0)</f>
        <v/>
      </c>
    </row>
    <row r="192" hidden="1">
      <c r="A192" s="237">
        <f>IF($L192&gt;0,"+","")</f>
        <v/>
      </c>
      <c r="B192">
        <f>IFERROR(IF($L192&gt;0,IF(INDEX('Invullen groen'!$F:$F,$L192)&gt;0,INDEX('Invullen groen'!$F:$F,$L192),""),""),"")</f>
        <v/>
      </c>
      <c r="C192">
        <f>IFERROR(IF($L192&gt;0,IF(INDEX('Invullen groen'!$N:$N,$L192)&gt;0,INDEX('Invullen groen'!$N:$N,$L192),""),""),"")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IFERROR(IF($L192&gt;0,IF(INDEX('Invullen groen'!$H:$H,$L192)=0,"",INT(INDEX('Invullen groen'!$H:$H,$L192))),""),"")</f>
        <v/>
      </c>
      <c r="G192" s="236">
        <f>IFERROR(IF($L192&gt;0,IF(INDEX('Invullen groen'!$I:$I,$L192)=0,"",INT(INDEX('Invullen groen'!$I:$I,$L192))),""),"")</f>
        <v/>
      </c>
      <c r="H192" s="236">
        <f>IFERROR(IF($L192&gt;0,IF(INDEX('Invullen groen'!$J:$J,$L192)=0,"",INT(INDEX('Invullen groen'!$J:$J,$L192))),""),"")</f>
        <v/>
      </c>
      <c r="I192" s="236">
        <f>IFERROR(IF($L192&gt;0,IF(INDEX('Invullen groen'!$K:$K,$L192)=0,"",INT(INDEX('Invullen groen'!$K:$K,$L192))),""),"")</f>
        <v/>
      </c>
      <c r="J192">
        <f>IF($L192&gt;0,IFERROR($K$1&amp;" "&amp;TRIM(SUBSTITUTE(SUBSTITUTE(SUBSTITUTE(SUBSTITUTE(SUBSTITUTE(SUBSTITUTE(SUBSTITUTE(SUBSTITUTE(SUBSTITUTE(SUBSTITUTE(SUBSTITUTE(SUBSTITUTE(LOWER(IF(LEFT(TEXT(INDEX('Invullen groen'!$E:$E,$L192),"0"),1)="6",INDEX('Invullen groen'!$O:$O,$L192),IF(INDEX('Invullen groen'!$N:$N,$L192)&gt;0,INDEX('Invullen groen'!$G:$G,$L192),INDEX('Invullen groen'!$O:$O,$L192)))),"2024",""),"2025",""),"2026",""),"2027",""),"2028",""),"2029",""),"taakveld ",""),"installaties","inst"),"ruwbouw","ruwb"),"afbouw","afb"),"bijstelling","bijst"),"investeringen","invest")),""),")</f>
        <v/>
      </c>
      <c r="L192">
        <f>IFERROR(MATCH(ROW()-104,'Invullen groen'!$S$121:$S$272,0)+120,0)</f>
        <v/>
      </c>
    </row>
    <row r="193" hidden="1">
      <c r="A193" s="237">
        <f>IF($L193&gt;0,"+","")</f>
        <v/>
      </c>
      <c r="B193">
        <f>IFERROR(IF($L193&gt;0,IF(INDEX('Invullen groen'!$F:$F,$L193)&gt;0,INDEX('Invullen groen'!$F:$F,$L193),""),""),"")</f>
        <v/>
      </c>
      <c r="C193">
        <f>IFERROR(IF($L193&gt;0,IF(INDEX('Invullen groen'!$N:$N,$L193)&gt;0,INDEX('Invullen groen'!$N:$N,$L193),""),""),"")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IFERROR(IF($L193&gt;0,IF(INDEX('Invullen groen'!$H:$H,$L193)=0,"",INT(INDEX('Invullen groen'!$H:$H,$L193))),""),"")</f>
        <v/>
      </c>
      <c r="G193" s="236">
        <f>IFERROR(IF($L193&gt;0,IF(INDEX('Invullen groen'!$I:$I,$L193)=0,"",INT(INDEX('Invullen groen'!$I:$I,$L193))),""),"")</f>
        <v/>
      </c>
      <c r="H193" s="236">
        <f>IFERROR(IF($L193&gt;0,IF(INDEX('Invullen groen'!$J:$J,$L193)=0,"",INT(INDEX('Invullen groen'!$J:$J,$L193))),""),"")</f>
        <v/>
      </c>
      <c r="I193" s="236">
        <f>IFERROR(IF($L193&gt;0,IF(INDEX('Invullen groen'!$K:$K,$L193)=0,"",INT(INDEX('Invullen groen'!$K:$K,$L193))),""),"")</f>
        <v/>
      </c>
      <c r="J193">
        <f>IF($L193&gt;0,IFERROR($K$1&amp;" "&amp;TRIM(SUBSTITUTE(SUBSTITUTE(SUBSTITUTE(SUBSTITUTE(SUBSTITUTE(SUBSTITUTE(SUBSTITUTE(SUBSTITUTE(SUBSTITUTE(SUBSTITUTE(SUBSTITUTE(SUBSTITUTE(LOWER(IF(LEFT(TEXT(INDEX('Invullen groen'!$E:$E,$L193),"0"),1)="6",INDEX('Invullen groen'!$O:$O,$L193),IF(INDEX('Invullen groen'!$N:$N,$L193)&gt;0,INDEX('Invullen groen'!$G:$G,$L193),INDEX('Invullen groen'!$O:$O,$L193)))),"2024",""),"2025",""),"2026",""),"2027",""),"2028",""),"2029",""),"taakveld ",""),"installaties","inst"),"ruwbouw","ruwb"),"afbouw","afb"),"bijstelling","bijst"),"investeringen","invest")),""),")</f>
        <v/>
      </c>
      <c r="L193">
        <f>IFERROR(MATCH(ROW()-104,'Invullen groen'!$S$121:$S$272,0)+120,0)</f>
        <v/>
      </c>
    </row>
    <row r="194" hidden="1">
      <c r="A194" s="237">
        <f>IF($L194&gt;0,"+","")</f>
        <v/>
      </c>
      <c r="B194">
        <f>IFERROR(IF($L194&gt;0,IF(INDEX('Invullen groen'!$F:$F,$L194)&gt;0,INDEX('Invullen groen'!$F:$F,$L194),""),""),"")</f>
        <v/>
      </c>
      <c r="C194">
        <f>IFERROR(IF($L194&gt;0,IF(INDEX('Invullen groen'!$N:$N,$L194)&gt;0,INDEX('Invullen groen'!$N:$N,$L194),""),""),"")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IFERROR(IF($L194&gt;0,IF(INDEX('Invullen groen'!$H:$H,$L194)=0,"",INT(INDEX('Invullen groen'!$H:$H,$L194))),""),"")</f>
        <v/>
      </c>
      <c r="G194" s="236">
        <f>IFERROR(IF($L194&gt;0,IF(INDEX('Invullen groen'!$I:$I,$L194)=0,"",INT(INDEX('Invullen groen'!$I:$I,$L194))),""),"")</f>
        <v/>
      </c>
      <c r="H194" s="236">
        <f>IFERROR(IF($L194&gt;0,IF(INDEX('Invullen groen'!$J:$J,$L194)=0,"",INT(INDEX('Invullen groen'!$J:$J,$L194))),""),"")</f>
        <v/>
      </c>
      <c r="I194" s="236">
        <f>IFERROR(IF($L194&gt;0,IF(INDEX('Invullen groen'!$K:$K,$L194)=0,"",INT(INDEX('Invullen groen'!$K:$K,$L194))),""),"")</f>
        <v/>
      </c>
      <c r="J194">
        <f>IF($L194&gt;0,IFERROR($K$1&amp;" "&amp;TRIM(SUBSTITUTE(SUBSTITUTE(SUBSTITUTE(SUBSTITUTE(SUBSTITUTE(SUBSTITUTE(SUBSTITUTE(SUBSTITUTE(SUBSTITUTE(SUBSTITUTE(SUBSTITUTE(SUBSTITUTE(LOWER(IF(LEFT(TEXT(INDEX('Invullen groen'!$E:$E,$L194),"0"),1)="6",INDEX('Invullen groen'!$O:$O,$L194),IF(INDEX('Invullen groen'!$N:$N,$L194)&gt;0,INDEX('Invullen groen'!$G:$G,$L194),INDEX('Invullen groen'!$O:$O,$L194)))),"2024",""),"2025",""),"2026",""),"2027",""),"2028",""),"2029",""),"taakveld ",""),"installaties","inst"),"ruwbouw","ruwb"),"afbouw","afb"),"bijstelling","bijst"),"investeringen","invest")),""),")</f>
        <v/>
      </c>
      <c r="L194">
        <f>IFERROR(MATCH(ROW()-104,'Invullen groen'!$S$121:$S$272,0)+120,0)</f>
        <v/>
      </c>
    </row>
    <row r="195" hidden="1">
      <c r="A195" s="237">
        <f>IF($L195&gt;0,"+","")</f>
        <v/>
      </c>
      <c r="B195">
        <f>IFERROR(IF($L195&gt;0,IF(INDEX('Invullen groen'!$F:$F,$L195)&gt;0,INDEX('Invullen groen'!$F:$F,$L195),""),""),"")</f>
        <v/>
      </c>
      <c r="C195">
        <f>IFERROR(IF($L195&gt;0,IF(INDEX('Invullen groen'!$N:$N,$L195)&gt;0,INDEX('Invullen groen'!$N:$N,$L195),""),""),"")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IFERROR(IF($L195&gt;0,IF(INDEX('Invullen groen'!$H:$H,$L195)=0,"",INT(INDEX('Invullen groen'!$H:$H,$L195))),""),"")</f>
        <v/>
      </c>
      <c r="G195" s="236">
        <f>IFERROR(IF($L195&gt;0,IF(INDEX('Invullen groen'!$I:$I,$L195)=0,"",INT(INDEX('Invullen groen'!$I:$I,$L195))),""),"")</f>
        <v/>
      </c>
      <c r="H195" s="236">
        <f>IFERROR(IF($L195&gt;0,IF(INDEX('Invullen groen'!$J:$J,$L195)=0,"",INT(INDEX('Invullen groen'!$J:$J,$L195))),""),"")</f>
        <v/>
      </c>
      <c r="I195" s="236">
        <f>IFERROR(IF($L195&gt;0,IF(INDEX('Invullen groen'!$K:$K,$L195)=0,"",INT(INDEX('Invullen groen'!$K:$K,$L195))),""),"")</f>
        <v/>
      </c>
      <c r="J195">
        <f>IF($L195&gt;0,IFERROR($K$1&amp;" "&amp;TRIM(SUBSTITUTE(SUBSTITUTE(SUBSTITUTE(SUBSTITUTE(SUBSTITUTE(SUBSTITUTE(SUBSTITUTE(SUBSTITUTE(SUBSTITUTE(SUBSTITUTE(SUBSTITUTE(SUBSTITUTE(LOWER(IF(LEFT(TEXT(INDEX('Invullen groen'!$E:$E,$L195),"0"),1)="6",INDEX('Invullen groen'!$O:$O,$L195),IF(INDEX('Invullen groen'!$N:$N,$L195)&gt;0,INDEX('Invullen groen'!$G:$G,$L195),INDEX('Invullen groen'!$O:$O,$L195)))),"2024",""),"2025",""),"2026",""),"2027",""),"2028",""),"2029",""),"taakveld ",""),"installaties","inst"),"ruwbouw","ruwb"),"afbouw","afb"),"bijstelling","bijst"),"investeringen","invest")),""),")</f>
        <v/>
      </c>
      <c r="L195">
        <f>IFERROR(MATCH(ROW()-104,'Invullen groen'!$S$121:$S$272,0)+120,0)</f>
        <v/>
      </c>
    </row>
    <row r="196" hidden="1">
      <c r="A196" s="237">
        <f>IF($L196&gt;0,"+","")</f>
        <v/>
      </c>
      <c r="B196">
        <f>IFERROR(IF($L196&gt;0,IF(INDEX('Invullen groen'!$F:$F,$L196)&gt;0,INDEX('Invullen groen'!$F:$F,$L196),""),""),"")</f>
        <v/>
      </c>
      <c r="C196">
        <f>IFERROR(IF($L196&gt;0,IF(INDEX('Invullen groen'!$N:$N,$L196)&gt;0,INDEX('Invullen groen'!$N:$N,$L196),""),""),"")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IFERROR(IF($L196&gt;0,IF(INDEX('Invullen groen'!$H:$H,$L196)=0,"",INT(INDEX('Invullen groen'!$H:$H,$L196))),""),"")</f>
        <v/>
      </c>
      <c r="G196" s="236">
        <f>IFERROR(IF($L196&gt;0,IF(INDEX('Invullen groen'!$I:$I,$L196)=0,"",INT(INDEX('Invullen groen'!$I:$I,$L196))),""),"")</f>
        <v/>
      </c>
      <c r="H196" s="236">
        <f>IFERROR(IF($L196&gt;0,IF(INDEX('Invullen groen'!$J:$J,$L196)=0,"",INT(INDEX('Invullen groen'!$J:$J,$L196))),""),"")</f>
        <v/>
      </c>
      <c r="I196" s="236">
        <f>IFERROR(IF($L196&gt;0,IF(INDEX('Invullen groen'!$K:$K,$L196)=0,"",INT(INDEX('Invullen groen'!$K:$K,$L196))),""),"")</f>
        <v/>
      </c>
      <c r="J196">
        <f>IF($L196&gt;0,IFERROR($K$1&amp;" "&amp;TRIM(SUBSTITUTE(SUBSTITUTE(SUBSTITUTE(SUBSTITUTE(SUBSTITUTE(SUBSTITUTE(SUBSTITUTE(SUBSTITUTE(SUBSTITUTE(SUBSTITUTE(SUBSTITUTE(SUBSTITUTE(LOWER(IF(LEFT(TEXT(INDEX('Invullen groen'!$E:$E,$L196),"0"),1)="6",INDEX('Invullen groen'!$O:$O,$L196),IF(INDEX('Invullen groen'!$N:$N,$L196)&gt;0,INDEX('Invullen groen'!$G:$G,$L196),INDEX('Invullen groen'!$O:$O,$L196)))),"2024",""),"2025",""),"2026",""),"2027",""),"2028",""),"2029",""),"taakveld ",""),"installaties","inst"),"ruwbouw","ruwb"),"afbouw","afb"),"bijstelling","bijst"),"investeringen","invest")),""),")</f>
        <v/>
      </c>
      <c r="L196">
        <f>IFERROR(MATCH(ROW()-104,'Invullen groen'!$S$121:$S$272,0)+120,0)</f>
        <v/>
      </c>
    </row>
    <row r="197" hidden="1">
      <c r="A197" s="237">
        <f>IF($L197&gt;0,"+","")</f>
        <v/>
      </c>
      <c r="B197">
        <f>IFERROR(IF($L197&gt;0,IF(INDEX('Invullen groen'!$F:$F,$L197)&gt;0,INDEX('Invullen groen'!$F:$F,$L197),""),""),"")</f>
        <v/>
      </c>
      <c r="C197">
        <f>IFERROR(IF($L197&gt;0,IF(INDEX('Invullen groen'!$N:$N,$L197)&gt;0,INDEX('Invullen groen'!$N:$N,$L197),""),""),"")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IFERROR(IF($L197&gt;0,IF(INDEX('Invullen groen'!$H:$H,$L197)=0,"",INT(INDEX('Invullen groen'!$H:$H,$L197))),""),"")</f>
        <v/>
      </c>
      <c r="G197" s="236">
        <f>IFERROR(IF($L197&gt;0,IF(INDEX('Invullen groen'!$I:$I,$L197)=0,"",INT(INDEX('Invullen groen'!$I:$I,$L197))),""),"")</f>
        <v/>
      </c>
      <c r="H197" s="236">
        <f>IFERROR(IF($L197&gt;0,IF(INDEX('Invullen groen'!$J:$J,$L197)=0,"",INT(INDEX('Invullen groen'!$J:$J,$L197))),""),"")</f>
        <v/>
      </c>
      <c r="I197" s="236">
        <f>IFERROR(IF($L197&gt;0,IF(INDEX('Invullen groen'!$K:$K,$L197)=0,"",INT(INDEX('Invullen groen'!$K:$K,$L197))),""),"")</f>
        <v/>
      </c>
      <c r="J197">
        <f>IF($L197&gt;0,IFERROR($K$1&amp;" "&amp;TRIM(SUBSTITUTE(SUBSTITUTE(SUBSTITUTE(SUBSTITUTE(SUBSTITUTE(SUBSTITUTE(SUBSTITUTE(SUBSTITUTE(SUBSTITUTE(SUBSTITUTE(SUBSTITUTE(SUBSTITUTE(LOWER(IF(LEFT(TEXT(INDEX('Invullen groen'!$E:$E,$L197),"0"),1)="6",INDEX('Invullen groen'!$O:$O,$L197),IF(INDEX('Invullen groen'!$N:$N,$L197)&gt;0,INDEX('Invullen groen'!$G:$G,$L197),INDEX('Invullen groen'!$O:$O,$L197)))),"2024",""),"2025",""),"2026",""),"2027",""),"2028",""),"2029",""),"taakveld ",""),"installaties","inst"),"ruwbouw","ruwb"),"afbouw","afb"),"bijstelling","bijst"),"investeringen","invest")),""),")</f>
        <v/>
      </c>
      <c r="L197">
        <f>IFERROR(MATCH(ROW()-104,'Invullen groen'!$S$121:$S$272,0)+120,0)</f>
        <v/>
      </c>
    </row>
    <row r="198" hidden="1">
      <c r="A198" s="237">
        <f>IF($L198&gt;0,"+","")</f>
        <v/>
      </c>
      <c r="B198">
        <f>IFERROR(IF($L198&gt;0,IF(INDEX('Invullen groen'!$F:$F,$L198)&gt;0,INDEX('Invullen groen'!$F:$F,$L198),""),""),"")</f>
        <v/>
      </c>
      <c r="C198">
        <f>IFERROR(IF($L198&gt;0,IF(INDEX('Invullen groen'!$N:$N,$L198)&gt;0,INDEX('Invullen groen'!$N:$N,$L198),""),""),"")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IFERROR(IF($L198&gt;0,IF(INDEX('Invullen groen'!$H:$H,$L198)=0,"",INT(INDEX('Invullen groen'!$H:$H,$L198))),""),"")</f>
        <v/>
      </c>
      <c r="G198" s="236">
        <f>IFERROR(IF($L198&gt;0,IF(INDEX('Invullen groen'!$I:$I,$L198)=0,"",INT(INDEX('Invullen groen'!$I:$I,$L198))),""),"")</f>
        <v/>
      </c>
      <c r="H198" s="236">
        <f>IFERROR(IF($L198&gt;0,IF(INDEX('Invullen groen'!$J:$J,$L198)=0,"",INT(INDEX('Invullen groen'!$J:$J,$L198))),""),"")</f>
        <v/>
      </c>
      <c r="I198" s="236">
        <f>IFERROR(IF($L198&gt;0,IF(INDEX('Invullen groen'!$K:$K,$L198)=0,"",INT(INDEX('Invullen groen'!$K:$K,$L198))),""),"")</f>
        <v/>
      </c>
      <c r="J198">
        <f>IF($L198&gt;0,IFERROR($K$1&amp;" "&amp;TRIM(SUBSTITUTE(SUBSTITUTE(SUBSTITUTE(SUBSTITUTE(SUBSTITUTE(SUBSTITUTE(SUBSTITUTE(SUBSTITUTE(SUBSTITUTE(SUBSTITUTE(SUBSTITUTE(SUBSTITUTE(LOWER(IF(LEFT(TEXT(INDEX('Invullen groen'!$E:$E,$L198),"0"),1)="6",INDEX('Invullen groen'!$O:$O,$L198),IF(INDEX('Invullen groen'!$N:$N,$L198)&gt;0,INDEX('Invullen groen'!$G:$G,$L198),INDEX('Invullen groen'!$O:$O,$L198)))),"2024",""),"2025",""),"2026",""),"2027",""),"2028",""),"2029",""),"taakveld ",""),"installaties","inst"),"ruwbouw","ruwb"),"afbouw","afb"),"bijstelling","bijst"),"investeringen","invest")),""),")</f>
        <v/>
      </c>
      <c r="L198">
        <f>IFERROR(MATCH(ROW()-104,'Invullen groen'!$S$121:$S$272,0)+120,0)</f>
        <v/>
      </c>
    </row>
    <row r="199" hidden="1">
      <c r="A199" s="237">
        <f>IF($L199&gt;0,"+","")</f>
        <v/>
      </c>
      <c r="B199">
        <f>IFERROR(IF($L199&gt;0,IF(INDEX('Invullen groen'!$F:$F,$L199)&gt;0,INDEX('Invullen groen'!$F:$F,$L199),""),""),"")</f>
        <v/>
      </c>
      <c r="C199">
        <f>IFERROR(IF($L199&gt;0,IF(INDEX('Invullen groen'!$N:$N,$L199)&gt;0,INDEX('Invullen groen'!$N:$N,$L199),""),""),"")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IFERROR(IF($L199&gt;0,IF(INDEX('Invullen groen'!$H:$H,$L199)=0,"",INT(INDEX('Invullen groen'!$H:$H,$L199))),""),"")</f>
        <v/>
      </c>
      <c r="G199" s="236">
        <f>IFERROR(IF($L199&gt;0,IF(INDEX('Invullen groen'!$I:$I,$L199)=0,"",INT(INDEX('Invullen groen'!$I:$I,$L199))),""),"")</f>
        <v/>
      </c>
      <c r="H199" s="236">
        <f>IFERROR(IF($L199&gt;0,IF(INDEX('Invullen groen'!$J:$J,$L199)=0,"",INT(INDEX('Invullen groen'!$J:$J,$L199))),""),"")</f>
        <v/>
      </c>
      <c r="I199" s="236">
        <f>IFERROR(IF($L199&gt;0,IF(INDEX('Invullen groen'!$K:$K,$L199)=0,"",INT(INDEX('Invullen groen'!$K:$K,$L199))),""),"")</f>
        <v/>
      </c>
      <c r="J199">
        <f>IF($L199&gt;0,IFERROR($K$1&amp;" "&amp;TRIM(SUBSTITUTE(SUBSTITUTE(SUBSTITUTE(SUBSTITUTE(SUBSTITUTE(SUBSTITUTE(SUBSTITUTE(SUBSTITUTE(SUBSTITUTE(SUBSTITUTE(SUBSTITUTE(SUBSTITUTE(LOWER(IF(LEFT(TEXT(INDEX('Invullen groen'!$E:$E,$L199),"0"),1)="6",INDEX('Invullen groen'!$O:$O,$L199),IF(INDEX('Invullen groen'!$N:$N,$L199)&gt;0,INDEX('Invullen groen'!$G:$G,$L199),INDEX('Invullen groen'!$O:$O,$L199)))),"2024",""),"2025",""),"2026",""),"2027",""),"2028",""),"2029",""),"taakveld ",""),"installaties","inst"),"ruwbouw","ruwb"),"afbouw","afb"),"bijstelling","bijst"),"investeringen","invest")),""),")</f>
        <v/>
      </c>
      <c r="L199">
        <f>IFERROR(MATCH(ROW()-104,'Invullen groen'!$S$121:$S$272,0)+120,0)</f>
        <v/>
      </c>
    </row>
    <row r="200" hidden="1">
      <c r="A200" s="237">
        <f>IF($L200&gt;0,"+","")</f>
        <v/>
      </c>
      <c r="B200">
        <f>IFERROR(IF($L200&gt;0,IF(INDEX('Invullen groen'!$F:$F,$L200)&gt;0,INDEX('Invullen groen'!$F:$F,$L200),""),""),"")</f>
        <v/>
      </c>
      <c r="C200">
        <f>IFERROR(IF($L200&gt;0,IF(INDEX('Invullen groen'!$N:$N,$L200)&gt;0,INDEX('Invullen groen'!$N:$N,$L200),""),""),"")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IFERROR(IF($L200&gt;0,IF(INDEX('Invullen groen'!$H:$H,$L200)=0,"",INT(INDEX('Invullen groen'!$H:$H,$L200))),""),"")</f>
        <v/>
      </c>
      <c r="G200" s="236">
        <f>IFERROR(IF($L200&gt;0,IF(INDEX('Invullen groen'!$I:$I,$L200)=0,"",INT(INDEX('Invullen groen'!$I:$I,$L200))),""),"")</f>
        <v/>
      </c>
      <c r="H200" s="236">
        <f>IFERROR(IF($L200&gt;0,IF(INDEX('Invullen groen'!$J:$J,$L200)=0,"",INT(INDEX('Invullen groen'!$J:$J,$L200))),""),"")</f>
        <v/>
      </c>
      <c r="I200" s="236">
        <f>IFERROR(IF($L200&gt;0,IF(INDEX('Invullen groen'!$K:$K,$L200)=0,"",INT(INDEX('Invullen groen'!$K:$K,$L200))),""),"")</f>
        <v/>
      </c>
      <c r="J200">
        <f>IF($L200&gt;0,IFERROR($K$1&amp;" "&amp;TRIM(SUBSTITUTE(SUBSTITUTE(SUBSTITUTE(SUBSTITUTE(SUBSTITUTE(SUBSTITUTE(SUBSTITUTE(SUBSTITUTE(SUBSTITUTE(SUBSTITUTE(SUBSTITUTE(SUBSTITUTE(LOWER(IF(LEFT(TEXT(INDEX('Invullen groen'!$E:$E,$L200),"0"),1)="6",INDEX('Invullen groen'!$O:$O,$L200),IF(INDEX('Invullen groen'!$N:$N,$L200)&gt;0,INDEX('Invullen groen'!$G:$G,$L200),INDEX('Invullen groen'!$O:$O,$L200)))),"2024",""),"2025",""),"2026",""),"2027",""),"2028",""),"2029",""),"taakveld ",""),"installaties","inst"),"ruwbouw","ruwb"),"afbouw","afb"),"bijstelling","bijst"),"investeringen","invest")),""),")</f>
        <v/>
      </c>
      <c r="L200">
        <f>IFERROR(MATCH(ROW()-104,'Invullen groen'!$S$121:$S$272,0)+120,0)</f>
        <v/>
      </c>
    </row>
    <row r="201" hidden="1">
      <c r="A201" s="237">
        <f>IF($L201&gt;0,"+","")</f>
        <v/>
      </c>
      <c r="B201">
        <f>IFERROR(IF($L201&gt;0,IF(INDEX('Invullen groen'!$F:$F,$L201)&gt;0,INDEX('Invullen groen'!$F:$F,$L201),""),""),"")</f>
        <v/>
      </c>
      <c r="C201">
        <f>IFERROR(IF($L201&gt;0,IF(INDEX('Invullen groen'!$N:$N,$L201)&gt;0,INDEX('Invullen groen'!$N:$N,$L201),""),""),"")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IFERROR(IF($L201&gt;0,IF(INDEX('Invullen groen'!$H:$H,$L201)=0,"",INT(INDEX('Invullen groen'!$H:$H,$L201))),""),"")</f>
        <v/>
      </c>
      <c r="G201" s="236">
        <f>IFERROR(IF($L201&gt;0,IF(INDEX('Invullen groen'!$I:$I,$L201)=0,"",INT(INDEX('Invullen groen'!$I:$I,$L201))),""),"")</f>
        <v/>
      </c>
      <c r="H201" s="236">
        <f>IFERROR(IF($L201&gt;0,IF(INDEX('Invullen groen'!$J:$J,$L201)=0,"",INT(INDEX('Invullen groen'!$J:$J,$L201))),""),"")</f>
        <v/>
      </c>
      <c r="I201" s="236">
        <f>IFERROR(IF($L201&gt;0,IF(INDEX('Invullen groen'!$K:$K,$L201)=0,"",INT(INDEX('Invullen groen'!$K:$K,$L201))),""),"")</f>
        <v/>
      </c>
      <c r="J201">
        <f>IF($L201&gt;0,IFERROR($K$1&amp;" "&amp;TRIM(SUBSTITUTE(SUBSTITUTE(SUBSTITUTE(SUBSTITUTE(SUBSTITUTE(SUBSTITUTE(SUBSTITUTE(SUBSTITUTE(SUBSTITUTE(SUBSTITUTE(SUBSTITUTE(SUBSTITUTE(LOWER(IF(LEFT(TEXT(INDEX('Invullen groen'!$E:$E,$L201),"0"),1)="6",INDEX('Invullen groen'!$O:$O,$L201),IF(INDEX('Invullen groen'!$N:$N,$L201)&gt;0,INDEX('Invullen groen'!$G:$G,$L201),INDEX('Invullen groen'!$O:$O,$L201)))),"2024",""),"2025",""),"2026",""),"2027",""),"2028",""),"2029",""),"taakveld ",""),"installaties","inst"),"ruwbouw","ruwb"),"afbouw","afb"),"bijstelling","bijst"),"investeringen","invest")),""),")</f>
        <v/>
      </c>
      <c r="L201">
        <f>IFERROR(MATCH(ROW()-104,'Invullen groen'!$S$121:$S$272,0)+120,0)</f>
        <v/>
      </c>
    </row>
    <row r="202" hidden="1">
      <c r="A202" s="237">
        <f>IF($L202&gt;0,"+","")</f>
        <v/>
      </c>
      <c r="B202">
        <f>IFERROR(IF($L202&gt;0,IF(INDEX('Invullen groen'!$F:$F,$L202)&gt;0,INDEX('Invullen groen'!$F:$F,$L202),""),""),"")</f>
        <v/>
      </c>
      <c r="C202">
        <f>IFERROR(IF($L202&gt;0,IF(INDEX('Invullen groen'!$N:$N,$L202)&gt;0,INDEX('Invullen groen'!$N:$N,$L202),""),""),"")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IFERROR(IF($L202&gt;0,IF(INDEX('Invullen groen'!$H:$H,$L202)=0,"",INT(INDEX('Invullen groen'!$H:$H,$L202))),""),"")</f>
        <v/>
      </c>
      <c r="G202" s="236">
        <f>IFERROR(IF($L202&gt;0,IF(INDEX('Invullen groen'!$I:$I,$L202)=0,"",INT(INDEX('Invullen groen'!$I:$I,$L202))),""),"")</f>
        <v/>
      </c>
      <c r="H202" s="236">
        <f>IFERROR(IF($L202&gt;0,IF(INDEX('Invullen groen'!$J:$J,$L202)=0,"",INT(INDEX('Invullen groen'!$J:$J,$L202))),""),"")</f>
        <v/>
      </c>
      <c r="I202" s="236">
        <f>IFERROR(IF($L202&gt;0,IF(INDEX('Invullen groen'!$K:$K,$L202)=0,"",INT(INDEX('Invullen groen'!$K:$K,$L202))),""),"")</f>
        <v/>
      </c>
      <c r="J202">
        <f>IF($L202&gt;0,IFERROR($K$1&amp;" "&amp;TRIM(SUBSTITUTE(SUBSTITUTE(SUBSTITUTE(SUBSTITUTE(SUBSTITUTE(SUBSTITUTE(SUBSTITUTE(SUBSTITUTE(SUBSTITUTE(SUBSTITUTE(SUBSTITUTE(SUBSTITUTE(LOWER(IF(LEFT(TEXT(INDEX('Invullen groen'!$E:$E,$L202),"0"),1)="6",INDEX('Invullen groen'!$O:$O,$L202),IF(INDEX('Invullen groen'!$N:$N,$L202)&gt;0,INDEX('Invullen groen'!$G:$G,$L202),INDEX('Invullen groen'!$O:$O,$L202)))),"2024",""),"2025",""),"2026",""),"2027",""),"2028",""),"2029",""),"taakveld ",""),"installaties","inst"),"ruwbouw","ruwb"),"afbouw","afb"),"bijstelling","bijst"),"investeringen","invest")),""),")</f>
        <v/>
      </c>
      <c r="L202">
        <f>IFERROR(MATCH(ROW()-104,'Invullen groen'!$S$121:$S$272,0)+120,0)</f>
        <v/>
      </c>
    </row>
    <row r="203" hidden="1">
      <c r="A203" s="237">
        <f>IF($L203&gt;0,"+","")</f>
        <v/>
      </c>
      <c r="B203">
        <f>IFERROR(IF($L203&gt;0,IF(INDEX('Invullen groen'!$F:$F,$L203)&gt;0,INDEX('Invullen groen'!$F:$F,$L203),""),""),"")</f>
        <v/>
      </c>
      <c r="C203">
        <f>IFERROR(IF($L203&gt;0,IF(INDEX('Invullen groen'!$N:$N,$L203)&gt;0,INDEX('Invullen groen'!$N:$N,$L203),""),""),"")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IFERROR(IF($L203&gt;0,IF(INDEX('Invullen groen'!$H:$H,$L203)=0,"",INT(INDEX('Invullen groen'!$H:$H,$L203))),""),"")</f>
        <v/>
      </c>
      <c r="G203" s="236">
        <f>IFERROR(IF($L203&gt;0,IF(INDEX('Invullen groen'!$I:$I,$L203)=0,"",INT(INDEX('Invullen groen'!$I:$I,$L203))),""),"")</f>
        <v/>
      </c>
      <c r="H203" s="236">
        <f>IFERROR(IF($L203&gt;0,IF(INDEX('Invullen groen'!$J:$J,$L203)=0,"",INT(INDEX('Invullen groen'!$J:$J,$L203))),""),"")</f>
        <v/>
      </c>
      <c r="I203" s="236">
        <f>IFERROR(IF($L203&gt;0,IF(INDEX('Invullen groen'!$K:$K,$L203)=0,"",INT(INDEX('Invullen groen'!$K:$K,$L203))),""),"")</f>
        <v/>
      </c>
      <c r="J203">
        <f>IF($L203&gt;0,IFERROR($K$1&amp;" "&amp;TRIM(SUBSTITUTE(SUBSTITUTE(SUBSTITUTE(SUBSTITUTE(SUBSTITUTE(SUBSTITUTE(SUBSTITUTE(SUBSTITUTE(SUBSTITUTE(SUBSTITUTE(SUBSTITUTE(SUBSTITUTE(LOWER(IF(LEFT(TEXT(INDEX('Invullen groen'!$E:$E,$L203),"0"),1)="6",INDEX('Invullen groen'!$O:$O,$L203),IF(INDEX('Invullen groen'!$N:$N,$L203)&gt;0,INDEX('Invullen groen'!$G:$G,$L203),INDEX('Invullen groen'!$O:$O,$L203)))),"2024",""),"2025",""),"2026",""),"2027",""),"2028",""),"2029",""),"taakveld ",""),"installaties","inst"),"ruwbouw","ruwb"),"afbouw","afb"),"bijstelling","bijst"),"investeringen","invest")),""),")</f>
        <v/>
      </c>
      <c r="L203">
        <f>IFERROR(MATCH(ROW()-104,'Invullen groen'!$S$121:$S$272,0)+120,0)</f>
        <v/>
      </c>
    </row>
    <row r="204" hidden="1">
      <c r="A204" s="237">
        <f>IF($L204&gt;0,"+","")</f>
        <v/>
      </c>
      <c r="B204">
        <f>IFERROR(IF($L204&gt;0,IF(INDEX('Invullen groen'!$F:$F,$L204)&gt;0,INDEX('Invullen groen'!$F:$F,$L204),""),""),"")</f>
        <v/>
      </c>
      <c r="C204">
        <f>IFERROR(IF($L204&gt;0,IF(INDEX('Invullen groen'!$N:$N,$L204)&gt;0,INDEX('Invullen groen'!$N:$N,$L204),""),""),"")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IFERROR(IF($L204&gt;0,IF(INDEX('Invullen groen'!$H:$H,$L204)=0,"",INT(INDEX('Invullen groen'!$H:$H,$L204))),""),"")</f>
        <v/>
      </c>
      <c r="G204" s="236">
        <f>IFERROR(IF($L204&gt;0,IF(INDEX('Invullen groen'!$I:$I,$L204)=0,"",INT(INDEX('Invullen groen'!$I:$I,$L204))),""),"")</f>
        <v/>
      </c>
      <c r="H204" s="236">
        <f>IFERROR(IF($L204&gt;0,IF(INDEX('Invullen groen'!$J:$J,$L204)=0,"",INT(INDEX('Invullen groen'!$J:$J,$L204))),""),"")</f>
        <v/>
      </c>
      <c r="I204" s="236">
        <f>IFERROR(IF($L204&gt;0,IF(INDEX('Invullen groen'!$K:$K,$L204)=0,"",INT(INDEX('Invullen groen'!$K:$K,$L204))),""),"")</f>
        <v/>
      </c>
      <c r="J204">
        <f>IF($L204&gt;0,IFERROR($K$1&amp;" "&amp;TRIM(SUBSTITUTE(SUBSTITUTE(SUBSTITUTE(SUBSTITUTE(SUBSTITUTE(SUBSTITUTE(SUBSTITUTE(SUBSTITUTE(SUBSTITUTE(SUBSTITUTE(SUBSTITUTE(SUBSTITUTE(LOWER(IF(LEFT(TEXT(INDEX('Invullen groen'!$E:$E,$L204),"0"),1)="6",INDEX('Invullen groen'!$O:$O,$L204),IF(INDEX('Invullen groen'!$N:$N,$L204)&gt;0,INDEX('Invullen groen'!$G:$G,$L204),INDEX('Invullen groen'!$O:$O,$L204)))),"2024",""),"2025",""),"2026",""),"2027",""),"2028",""),"2029",""),"taakveld ",""),"installaties","inst"),"ruwbouw","ruwb"),"afbouw","afb"),"bijstelling","bijst"),"investeringen","invest")),""),")</f>
        <v/>
      </c>
      <c r="L204">
        <f>IFERROR(MATCH(ROW()-104,'Invullen groen'!$S$121:$S$272,0)+120,0)</f>
        <v/>
      </c>
    </row>
    <row r="205" hidden="1">
      <c r="A205" s="237">
        <f>IF($L205&gt;0,"+","")</f>
        <v/>
      </c>
      <c r="B205">
        <f>IFERROR(IF($L205&gt;0,IF(INDEX('Invullen groen'!$F:$F,$L205)&gt;0,INDEX('Invullen groen'!$F:$F,$L205),""),""),"")</f>
        <v/>
      </c>
      <c r="C205">
        <f>IFERROR(IF($L205&gt;0,IF(INDEX('Invullen groen'!$N:$N,$L205)&gt;0,INDEX('Invullen groen'!$N:$N,$L205),""),""),"")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IFERROR(IF($L205&gt;0,IF(INDEX('Invullen groen'!$H:$H,$L205)=0,"",INT(INDEX('Invullen groen'!$H:$H,$L205))),""),"")</f>
        <v/>
      </c>
      <c r="G205" s="236">
        <f>IFERROR(IF($L205&gt;0,IF(INDEX('Invullen groen'!$I:$I,$L205)=0,"",INT(INDEX('Invullen groen'!$I:$I,$L205))),""),"")</f>
        <v/>
      </c>
      <c r="H205" s="236">
        <f>IFERROR(IF($L205&gt;0,IF(INDEX('Invullen groen'!$J:$J,$L205)=0,"",INT(INDEX('Invullen groen'!$J:$J,$L205))),""),"")</f>
        <v/>
      </c>
      <c r="I205" s="236">
        <f>IFERROR(IF($L205&gt;0,IF(INDEX('Invullen groen'!$K:$K,$L205)=0,"",INT(INDEX('Invullen groen'!$K:$K,$L205))),""),"")</f>
        <v/>
      </c>
      <c r="J205">
        <f>IF($L205&gt;0,IFERROR($K$1&amp;" "&amp;TRIM(SUBSTITUTE(SUBSTITUTE(SUBSTITUTE(SUBSTITUTE(SUBSTITUTE(SUBSTITUTE(SUBSTITUTE(SUBSTITUTE(SUBSTITUTE(SUBSTITUTE(SUBSTITUTE(SUBSTITUTE(LOWER(IF(LEFT(TEXT(INDEX('Invullen groen'!$E:$E,$L205),"0"),1)="6",INDEX('Invullen groen'!$O:$O,$L205),IF(INDEX('Invullen groen'!$N:$N,$L205)&gt;0,INDEX('Invullen groen'!$G:$G,$L205),INDEX('Invullen groen'!$O:$O,$L205)))),"2024",""),"2025",""),"2026",""),"2027",""),"2028",""),"2029",""),"taakveld ",""),"installaties","inst"),"ruwbouw","ruwb"),"afbouw","afb"),"bijstelling","bijst"),"investeringen","invest")),""),")</f>
        <v/>
      </c>
      <c r="L205">
        <f>IFERROR(MATCH(ROW()-104,'Invullen groen'!$S$121:$S$272,0)+120,0)</f>
        <v/>
      </c>
    </row>
    <row r="206" hidden="1">
      <c r="A206" s="237">
        <f>IF($L206&gt;0,"+","")</f>
        <v/>
      </c>
      <c r="B206">
        <f>IFERROR(IF($L206&gt;0,IF(INDEX('Invullen groen'!$F:$F,$L206)&gt;0,INDEX('Invullen groen'!$F:$F,$L206),""),""),"")</f>
        <v/>
      </c>
      <c r="C206">
        <f>IFERROR(IF($L206&gt;0,IF(INDEX('Invullen groen'!$N:$N,$L206)&gt;0,INDEX('Invullen groen'!$N:$N,$L206),""),""),"")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IFERROR(IF($L206&gt;0,IF(INDEX('Invullen groen'!$H:$H,$L206)=0,"",INT(INDEX('Invullen groen'!$H:$H,$L206))),""),"")</f>
        <v/>
      </c>
      <c r="G206" s="236">
        <f>IFERROR(IF($L206&gt;0,IF(INDEX('Invullen groen'!$I:$I,$L206)=0,"",INT(INDEX('Invullen groen'!$I:$I,$L206))),""),"")</f>
        <v/>
      </c>
      <c r="H206" s="236">
        <f>IFERROR(IF($L206&gt;0,IF(INDEX('Invullen groen'!$J:$J,$L206)=0,"",INT(INDEX('Invullen groen'!$J:$J,$L206))),""),"")</f>
        <v/>
      </c>
      <c r="I206" s="236">
        <f>IFERROR(IF($L206&gt;0,IF(INDEX('Invullen groen'!$K:$K,$L206)=0,"",INT(INDEX('Invullen groen'!$K:$K,$L206))),""),"")</f>
        <v/>
      </c>
      <c r="J206">
        <f>IF($L206&gt;0,IFERROR($K$1&amp;" "&amp;TRIM(SUBSTITUTE(SUBSTITUTE(SUBSTITUTE(SUBSTITUTE(SUBSTITUTE(SUBSTITUTE(SUBSTITUTE(SUBSTITUTE(SUBSTITUTE(SUBSTITUTE(SUBSTITUTE(SUBSTITUTE(LOWER(IF(LEFT(TEXT(INDEX('Invullen groen'!$E:$E,$L206),"0"),1)="6",INDEX('Invullen groen'!$O:$O,$L206),IF(INDEX('Invullen groen'!$N:$N,$L206)&gt;0,INDEX('Invullen groen'!$G:$G,$L206),INDEX('Invullen groen'!$O:$O,$L206)))),"2024",""),"2025",""),"2026",""),"2027",""),"2028",""),"2029",""),"taakveld ",""),"installaties","inst"),"ruwbouw","ruwb"),"afbouw","afb"),"bijstelling","bijst"),"investeringen","invest")),""),")</f>
        <v/>
      </c>
      <c r="L206">
        <f>IFERROR(MATCH(ROW()-104,'Invullen groen'!$S$121:$S$272,0)+120,0)</f>
        <v/>
      </c>
    </row>
    <row r="207" hidden="1">
      <c r="A207" s="237">
        <f>IF($L207&gt;0,"+","")</f>
        <v/>
      </c>
      <c r="B207">
        <f>IFERROR(IF($L207&gt;0,IF(INDEX('Invullen groen'!$F:$F,$L207)&gt;0,INDEX('Invullen groen'!$F:$F,$L207),""),""),"")</f>
        <v/>
      </c>
      <c r="C207">
        <f>IFERROR(IF($L207&gt;0,IF(INDEX('Invullen groen'!$N:$N,$L207)&gt;0,INDEX('Invullen groen'!$N:$N,$L207),""),""),"")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IFERROR(IF($L207&gt;0,IF(INDEX('Invullen groen'!$H:$H,$L207)=0,"",INT(INDEX('Invullen groen'!$H:$H,$L207))),""),"")</f>
        <v/>
      </c>
      <c r="G207" s="236">
        <f>IFERROR(IF($L207&gt;0,IF(INDEX('Invullen groen'!$I:$I,$L207)=0,"",INT(INDEX('Invullen groen'!$I:$I,$L207))),""),"")</f>
        <v/>
      </c>
      <c r="H207" s="236">
        <f>IFERROR(IF($L207&gt;0,IF(INDEX('Invullen groen'!$J:$J,$L207)=0,"",INT(INDEX('Invullen groen'!$J:$J,$L207))),""),"")</f>
        <v/>
      </c>
      <c r="I207" s="236">
        <f>IFERROR(IF($L207&gt;0,IF(INDEX('Invullen groen'!$K:$K,$L207)=0,"",INT(INDEX('Invullen groen'!$K:$K,$L207))),""),"")</f>
        <v/>
      </c>
      <c r="J207">
        <f>IF($L207&gt;0,IFERROR($K$1&amp;" "&amp;TRIM(SUBSTITUTE(SUBSTITUTE(SUBSTITUTE(SUBSTITUTE(SUBSTITUTE(SUBSTITUTE(SUBSTITUTE(SUBSTITUTE(SUBSTITUTE(SUBSTITUTE(SUBSTITUTE(SUBSTITUTE(LOWER(IF(LEFT(TEXT(INDEX('Invullen groen'!$E:$E,$L207),"0"),1)="6",INDEX('Invullen groen'!$O:$O,$L207),IF(INDEX('Invullen groen'!$N:$N,$L207)&gt;0,INDEX('Invullen groen'!$G:$G,$L207),INDEX('Invullen groen'!$O:$O,$L207)))),"2024",""),"2025",""),"2026",""),"2027",""),"2028",""),"2029",""),"taakveld ",""),"installaties","inst"),"ruwbouw","ruwb"),"afbouw","afb"),"bijstelling","bijst"),"investeringen","invest")),""),")</f>
        <v/>
      </c>
      <c r="L207">
        <f>IFERROR(MATCH(ROW()-104,'Invullen groen'!$S$121:$S$272,0)+120,0)</f>
        <v/>
      </c>
    </row>
    <row r="208" hidden="1">
      <c r="A208" s="237">
        <f>IF($L208&gt;0,"+","")</f>
        <v/>
      </c>
      <c r="B208">
        <f>IFERROR(IF($L208&gt;0,IF(INDEX('Invullen groen'!$F:$F,$L208)&gt;0,INDEX('Invullen groen'!$F:$F,$L208),""),""),"")</f>
        <v/>
      </c>
      <c r="C208">
        <f>IFERROR(IF($L208&gt;0,IF(INDEX('Invullen groen'!$N:$N,$L208)&gt;0,INDEX('Invullen groen'!$N:$N,$L208),""),""),"")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IFERROR(IF($L208&gt;0,IF(INDEX('Invullen groen'!$H:$H,$L208)=0,"",INT(INDEX('Invullen groen'!$H:$H,$L208))),""),"")</f>
        <v/>
      </c>
      <c r="G208" s="236">
        <f>IFERROR(IF($L208&gt;0,IF(INDEX('Invullen groen'!$I:$I,$L208)=0,"",INT(INDEX('Invullen groen'!$I:$I,$L208))),""),"")</f>
        <v/>
      </c>
      <c r="H208" s="236">
        <f>IFERROR(IF($L208&gt;0,IF(INDEX('Invullen groen'!$J:$J,$L208)=0,"",INT(INDEX('Invullen groen'!$J:$J,$L208))),""),"")</f>
        <v/>
      </c>
      <c r="I208" s="236">
        <f>IFERROR(IF($L208&gt;0,IF(INDEX('Invullen groen'!$K:$K,$L208)=0,"",INT(INDEX('Invullen groen'!$K:$K,$L208))),""),"")</f>
        <v/>
      </c>
      <c r="J208">
        <f>IF($L208&gt;0,IFERROR($K$1&amp;" "&amp;TRIM(SUBSTITUTE(SUBSTITUTE(SUBSTITUTE(SUBSTITUTE(SUBSTITUTE(SUBSTITUTE(SUBSTITUTE(SUBSTITUTE(SUBSTITUTE(SUBSTITUTE(SUBSTITUTE(SUBSTITUTE(LOWER(IF(LEFT(TEXT(INDEX('Invullen groen'!$E:$E,$L208),"0"),1)="6",INDEX('Invullen groen'!$O:$O,$L208),IF(INDEX('Invullen groen'!$N:$N,$L208)&gt;0,INDEX('Invullen groen'!$G:$G,$L208),INDEX('Invullen groen'!$O:$O,$L208)))),"2024",""),"2025",""),"2026",""),"2027",""),"2028",""),"2029",""),"taakveld ",""),"installaties","inst"),"ruwbouw","ruwb"),"afbouw","afb"),"bijstelling","bijst"),"investeringen","invest")),""),")</f>
        <v/>
      </c>
      <c r="L208">
        <f>IFERROR(MATCH(ROW()-104,'Invullen groen'!$S$121:$S$272,0)+120,0)</f>
        <v/>
      </c>
    </row>
    <row r="209" hidden="1">
      <c r="A209" s="237">
        <f>IF($L209&gt;0,"+","")</f>
        <v/>
      </c>
      <c r="B209">
        <f>IFERROR(IF($L209&gt;0,IF(INDEX('Invullen groen'!$F:$F,$L209)&gt;0,INDEX('Invullen groen'!$F:$F,$L209),""),""),"")</f>
        <v/>
      </c>
      <c r="C209">
        <f>IFERROR(IF($L209&gt;0,IF(INDEX('Invullen groen'!$N:$N,$L209)&gt;0,INDEX('Invullen groen'!$N:$N,$L209),""),""),"")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IFERROR(IF($L209&gt;0,IF(INDEX('Invullen groen'!$H:$H,$L209)=0,"",INT(INDEX('Invullen groen'!$H:$H,$L209))),""),"")</f>
        <v/>
      </c>
      <c r="G209" s="236">
        <f>IFERROR(IF($L209&gt;0,IF(INDEX('Invullen groen'!$I:$I,$L209)=0,"",INT(INDEX('Invullen groen'!$I:$I,$L209))),""),"")</f>
        <v/>
      </c>
      <c r="H209" s="236">
        <f>IFERROR(IF($L209&gt;0,IF(INDEX('Invullen groen'!$J:$J,$L209)=0,"",INT(INDEX('Invullen groen'!$J:$J,$L209))),""),"")</f>
        <v/>
      </c>
      <c r="I209" s="236">
        <f>IFERROR(IF($L209&gt;0,IF(INDEX('Invullen groen'!$K:$K,$L209)=0,"",INT(INDEX('Invullen groen'!$K:$K,$L209))),""),"")</f>
        <v/>
      </c>
      <c r="J209">
        <f>IF($L209&gt;0,IFERROR($K$1&amp;" "&amp;TRIM(SUBSTITUTE(SUBSTITUTE(SUBSTITUTE(SUBSTITUTE(SUBSTITUTE(SUBSTITUTE(SUBSTITUTE(SUBSTITUTE(SUBSTITUTE(SUBSTITUTE(SUBSTITUTE(SUBSTITUTE(LOWER(IF(LEFT(TEXT(INDEX('Invullen groen'!$E:$E,$L209),"0"),1)="6",INDEX('Invullen groen'!$O:$O,$L209),IF(INDEX('Invullen groen'!$N:$N,$L209)&gt;0,INDEX('Invullen groen'!$G:$G,$L209),INDEX('Invullen groen'!$O:$O,$L209)))),"2024",""),"2025",""),"2026",""),"2027",""),"2028",""),"2029",""),"taakveld ",""),"installaties","inst"),"ruwbouw","ruwb"),"afbouw","afb"),"bijstelling","bijst"),"investeringen","invest")),""),")</f>
        <v/>
      </c>
      <c r="L209">
        <f>IFERROR(MATCH(ROW()-104,'Invullen groen'!$S$121:$S$272,0)+120,0)</f>
        <v/>
      </c>
    </row>
    <row r="210" hidden="1">
      <c r="A210" s="237">
        <f>IF($L210&gt;0,"+","")</f>
        <v/>
      </c>
      <c r="B210">
        <f>IFERROR(IF($L210&gt;0,IF(INDEX('Invullen groen'!$F:$F,$L210)&gt;0,INDEX('Invullen groen'!$F:$F,$L210),""),""),"")</f>
        <v/>
      </c>
      <c r="C210">
        <f>IFERROR(IF($L210&gt;0,IF(INDEX('Invullen groen'!$N:$N,$L210)&gt;0,INDEX('Invullen groen'!$N:$N,$L210),""),""),"")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IFERROR(IF($L210&gt;0,IF(INDEX('Invullen groen'!$H:$H,$L210)=0,"",INT(INDEX('Invullen groen'!$H:$H,$L210))),""),"")</f>
        <v/>
      </c>
      <c r="G210" s="236">
        <f>IFERROR(IF($L210&gt;0,IF(INDEX('Invullen groen'!$I:$I,$L210)=0,"",INT(INDEX('Invullen groen'!$I:$I,$L210))),""),"")</f>
        <v/>
      </c>
      <c r="H210" s="236">
        <f>IFERROR(IF($L210&gt;0,IF(INDEX('Invullen groen'!$J:$J,$L210)=0,"",INT(INDEX('Invullen groen'!$J:$J,$L210))),""),"")</f>
        <v/>
      </c>
      <c r="I210" s="236">
        <f>IFERROR(IF($L210&gt;0,IF(INDEX('Invullen groen'!$K:$K,$L210)=0,"",INT(INDEX('Invullen groen'!$K:$K,$L210))),""),"")</f>
        <v/>
      </c>
      <c r="J210">
        <f>IF($L210&gt;0,IFERROR($K$1&amp;" "&amp;TRIM(SUBSTITUTE(SUBSTITUTE(SUBSTITUTE(SUBSTITUTE(SUBSTITUTE(SUBSTITUTE(SUBSTITUTE(SUBSTITUTE(SUBSTITUTE(SUBSTITUTE(SUBSTITUTE(SUBSTITUTE(LOWER(IF(LEFT(TEXT(INDEX('Invullen groen'!$E:$E,$L210),"0"),1)="6",INDEX('Invullen groen'!$O:$O,$L210),IF(INDEX('Invullen groen'!$N:$N,$L210)&gt;0,INDEX('Invullen groen'!$G:$G,$L210),INDEX('Invullen groen'!$O:$O,$L210)))),"2024",""),"2025",""),"2026",""),"2027",""),"2028",""),"2029",""),"taakveld ",""),"installaties","inst"),"ruwbouw","ruwb"),"afbouw","afb"),"bijstelling","bijst"),"investeringen","invest")),""),")</f>
        <v/>
      </c>
      <c r="L210">
        <f>IFERROR(MATCH(ROW()-104,'Invullen groen'!$S$121:$S$272,0)+120,0)</f>
        <v/>
      </c>
    </row>
    <row r="211" hidden="1">
      <c r="A211" s="237">
        <f>IF($L211&gt;0,"+","")</f>
        <v/>
      </c>
      <c r="B211">
        <f>IFERROR(IF($L211&gt;0,IF(INDEX('Invullen groen'!$F:$F,$L211)&gt;0,INDEX('Invullen groen'!$F:$F,$L211),""),""),"")</f>
        <v/>
      </c>
      <c r="C211">
        <f>IFERROR(IF($L211&gt;0,IF(INDEX('Invullen groen'!$N:$N,$L211)&gt;0,INDEX('Invullen groen'!$N:$N,$L211),""),""),"")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IFERROR(IF($L211&gt;0,IF(INDEX('Invullen groen'!$H:$H,$L211)=0,"",INT(INDEX('Invullen groen'!$H:$H,$L211))),""),"")</f>
        <v/>
      </c>
      <c r="G211" s="236">
        <f>IFERROR(IF($L211&gt;0,IF(INDEX('Invullen groen'!$I:$I,$L211)=0,"",INT(INDEX('Invullen groen'!$I:$I,$L211))),""),"")</f>
        <v/>
      </c>
      <c r="H211" s="236">
        <f>IFERROR(IF($L211&gt;0,IF(INDEX('Invullen groen'!$J:$J,$L211)=0,"",INT(INDEX('Invullen groen'!$J:$J,$L211))),""),"")</f>
        <v/>
      </c>
      <c r="I211" s="236">
        <f>IFERROR(IF($L211&gt;0,IF(INDEX('Invullen groen'!$K:$K,$L211)=0,"",INT(INDEX('Invullen groen'!$K:$K,$L211))),""),"")</f>
        <v/>
      </c>
      <c r="J211">
        <f>IF($L211&gt;0,IFERROR($K$1&amp;" "&amp;TRIM(SUBSTITUTE(SUBSTITUTE(SUBSTITUTE(SUBSTITUTE(SUBSTITUTE(SUBSTITUTE(SUBSTITUTE(SUBSTITUTE(SUBSTITUTE(SUBSTITUTE(SUBSTITUTE(SUBSTITUTE(LOWER(IF(LEFT(TEXT(INDEX('Invullen groen'!$E:$E,$L211),"0"),1)="6",INDEX('Invullen groen'!$O:$O,$L211),IF(INDEX('Invullen groen'!$N:$N,$L211)&gt;0,INDEX('Invullen groen'!$G:$G,$L211),INDEX('Invullen groen'!$O:$O,$L211)))),"2024",""),"2025",""),"2026",""),"2027",""),"2028",""),"2029",""),"taakveld ",""),"installaties","inst"),"ruwbouw","ruwb"),"afbouw","afb"),"bijstelling","bijst"),"investeringen","invest")),""),")</f>
        <v/>
      </c>
      <c r="L211">
        <f>IFERROR(MATCH(ROW()-104,'Invullen groen'!$S$121:$S$272,0)+120,0)</f>
        <v/>
      </c>
    </row>
    <row r="212" hidden="1">
      <c r="A212" s="237">
        <f>IF($L212&gt;0,"+","")</f>
        <v/>
      </c>
      <c r="B212">
        <f>IFERROR(IF($L212&gt;0,IF(INDEX('Invullen groen'!$F:$F,$L212)&gt;0,INDEX('Invullen groen'!$F:$F,$L212),""),""),"")</f>
        <v/>
      </c>
      <c r="C212">
        <f>IFERROR(IF($L212&gt;0,IF(INDEX('Invullen groen'!$N:$N,$L212)&gt;0,INDEX('Invullen groen'!$N:$N,$L212),""),""),"")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IFERROR(IF($L212&gt;0,IF(INDEX('Invullen groen'!$H:$H,$L212)=0,"",INT(INDEX('Invullen groen'!$H:$H,$L212))),""),"")</f>
        <v/>
      </c>
      <c r="G212" s="236">
        <f>IFERROR(IF($L212&gt;0,IF(INDEX('Invullen groen'!$I:$I,$L212)=0,"",INT(INDEX('Invullen groen'!$I:$I,$L212))),""),"")</f>
        <v/>
      </c>
      <c r="H212" s="236">
        <f>IFERROR(IF($L212&gt;0,IF(INDEX('Invullen groen'!$J:$J,$L212)=0,"",INT(INDEX('Invullen groen'!$J:$J,$L212))),""),"")</f>
        <v/>
      </c>
      <c r="I212" s="236">
        <f>IFERROR(IF($L212&gt;0,IF(INDEX('Invullen groen'!$K:$K,$L212)=0,"",INT(INDEX('Invullen groen'!$K:$K,$L212))),""),"")</f>
        <v/>
      </c>
      <c r="J212">
        <f>IF($L212&gt;0,IFERROR($K$1&amp;" "&amp;TRIM(SUBSTITUTE(SUBSTITUTE(SUBSTITUTE(SUBSTITUTE(SUBSTITUTE(SUBSTITUTE(SUBSTITUTE(SUBSTITUTE(SUBSTITUTE(SUBSTITUTE(SUBSTITUTE(SUBSTITUTE(LOWER(IF(LEFT(TEXT(INDEX('Invullen groen'!$E:$E,$L212),"0"),1)="6",INDEX('Invullen groen'!$O:$O,$L212),IF(INDEX('Invullen groen'!$N:$N,$L212)&gt;0,INDEX('Invullen groen'!$G:$G,$L212),INDEX('Invullen groen'!$O:$O,$L212)))),"2024",""),"2025",""),"2026",""),"2027",""),"2028",""),"2029",""),"taakveld ",""),"installaties","inst"),"ruwbouw","ruwb"),"afbouw","afb"),"bijstelling","bijst"),"investeringen","invest")),""),")</f>
        <v/>
      </c>
      <c r="L212">
        <f>IFERROR(MATCH(ROW()-104,'Invullen groen'!$S$121:$S$272,0)+120,0)</f>
        <v/>
      </c>
    </row>
    <row r="213" hidden="1">
      <c r="A213" s="237">
        <f>IF($L213&gt;0,"+","")</f>
        <v/>
      </c>
      <c r="B213">
        <f>IFERROR(IF($L213&gt;0,IF(INDEX('Invullen groen'!$F:$F,$L213)&gt;0,INDEX('Invullen groen'!$F:$F,$L213),""),""),"")</f>
        <v/>
      </c>
      <c r="C213">
        <f>IFERROR(IF($L213&gt;0,IF(INDEX('Invullen groen'!$N:$N,$L213)&gt;0,INDEX('Invullen groen'!$N:$N,$L213),""),""),"")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IFERROR(IF($L213&gt;0,IF(INDEX('Invullen groen'!$H:$H,$L213)=0,"",INT(INDEX('Invullen groen'!$H:$H,$L213))),""),"")</f>
        <v/>
      </c>
      <c r="G213" s="236">
        <f>IFERROR(IF($L213&gt;0,IF(INDEX('Invullen groen'!$I:$I,$L213)=0,"",INT(INDEX('Invullen groen'!$I:$I,$L213))),""),"")</f>
        <v/>
      </c>
      <c r="H213" s="236">
        <f>IFERROR(IF($L213&gt;0,IF(INDEX('Invullen groen'!$J:$J,$L213)=0,"",INT(INDEX('Invullen groen'!$J:$J,$L213))),""),"")</f>
        <v/>
      </c>
      <c r="I213" s="236">
        <f>IFERROR(IF($L213&gt;0,IF(INDEX('Invullen groen'!$K:$K,$L213)=0,"",INT(INDEX('Invullen groen'!$K:$K,$L213))),""),"")</f>
        <v/>
      </c>
      <c r="J213">
        <f>IF($L213&gt;0,IFERROR($K$1&amp;" "&amp;TRIM(SUBSTITUTE(SUBSTITUTE(SUBSTITUTE(SUBSTITUTE(SUBSTITUTE(SUBSTITUTE(SUBSTITUTE(SUBSTITUTE(SUBSTITUTE(SUBSTITUTE(SUBSTITUTE(SUBSTITUTE(LOWER(IF(LEFT(TEXT(INDEX('Invullen groen'!$E:$E,$L213),"0"),1)="6",INDEX('Invullen groen'!$O:$O,$L213),IF(INDEX('Invullen groen'!$N:$N,$L213)&gt;0,INDEX('Invullen groen'!$G:$G,$L213),INDEX('Invullen groen'!$O:$O,$L213)))),"2024",""),"2025",""),"2026",""),"2027",""),"2028",""),"2029",""),"taakveld ",""),"installaties","inst"),"ruwbouw","ruwb"),"afbouw","afb"),"bijstelling","bijst"),"investeringen","invest")),""),")</f>
        <v/>
      </c>
      <c r="L213">
        <f>IFERROR(MATCH(ROW()-104,'Invullen groen'!$S$121:$S$272,0)+120,0)</f>
        <v/>
      </c>
    </row>
    <row r="214" hidden="1">
      <c r="A214" s="237">
        <f>IF($L214&gt;0,"+","")</f>
        <v/>
      </c>
      <c r="B214">
        <f>IFERROR(IF($L214&gt;0,IF(INDEX('Invullen groen'!$F:$F,$L214)&gt;0,INDEX('Invullen groen'!$F:$F,$L214),""),""),"")</f>
        <v/>
      </c>
      <c r="C214">
        <f>IFERROR(IF($L214&gt;0,IF(INDEX('Invullen groen'!$N:$N,$L214)&gt;0,INDEX('Invullen groen'!$N:$N,$L214),""),""),"")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IFERROR(IF($L214&gt;0,IF(INDEX('Invullen groen'!$H:$H,$L214)=0,"",INT(INDEX('Invullen groen'!$H:$H,$L214))),""),"")</f>
        <v/>
      </c>
      <c r="G214" s="236">
        <f>IFERROR(IF($L214&gt;0,IF(INDEX('Invullen groen'!$I:$I,$L214)=0,"",INT(INDEX('Invullen groen'!$I:$I,$L214))),""),"")</f>
        <v/>
      </c>
      <c r="H214" s="236">
        <f>IFERROR(IF($L214&gt;0,IF(INDEX('Invullen groen'!$J:$J,$L214)=0,"",INT(INDEX('Invullen groen'!$J:$J,$L214))),""),"")</f>
        <v/>
      </c>
      <c r="I214" s="236">
        <f>IFERROR(IF($L214&gt;0,IF(INDEX('Invullen groen'!$K:$K,$L214)=0,"",INT(INDEX('Invullen groen'!$K:$K,$L214))),""),"")</f>
        <v/>
      </c>
      <c r="J214">
        <f>IF($L214&gt;0,IFERROR($K$1&amp;" "&amp;TRIM(SUBSTITUTE(SUBSTITUTE(SUBSTITUTE(SUBSTITUTE(SUBSTITUTE(SUBSTITUTE(SUBSTITUTE(SUBSTITUTE(SUBSTITUTE(SUBSTITUTE(SUBSTITUTE(SUBSTITUTE(LOWER(IF(LEFT(TEXT(INDEX('Invullen groen'!$E:$E,$L214),"0"),1)="6",INDEX('Invullen groen'!$O:$O,$L214),IF(INDEX('Invullen groen'!$N:$N,$L214)&gt;0,INDEX('Invullen groen'!$G:$G,$L214),INDEX('Invullen groen'!$O:$O,$L214)))),"2024",""),"2025",""),"2026",""),"2027",""),"2028",""),"2029",""),"taakveld ",""),"installaties","inst"),"ruwbouw","ruwb"),"afbouw","afb"),"bijstelling","bijst"),"investeringen","invest")),""),")</f>
        <v/>
      </c>
      <c r="L214">
        <f>IFERROR(MATCH(ROW()-104,'Invullen groen'!$S$121:$S$272,0)+120,0)</f>
        <v/>
      </c>
    </row>
    <row r="215" hidden="1">
      <c r="A215" s="237">
        <f>IF($L215&gt;0,"+","")</f>
        <v/>
      </c>
      <c r="B215">
        <f>IFERROR(IF($L215&gt;0,IF(INDEX('Invullen groen'!$F:$F,$L215)&gt;0,INDEX('Invullen groen'!$F:$F,$L215),""),""),"")</f>
        <v/>
      </c>
      <c r="C215">
        <f>IFERROR(IF($L215&gt;0,IF(INDEX('Invullen groen'!$N:$N,$L215)&gt;0,INDEX('Invullen groen'!$N:$N,$L215),""),""),"")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IFERROR(IF($L215&gt;0,IF(INDEX('Invullen groen'!$H:$H,$L215)=0,"",INT(INDEX('Invullen groen'!$H:$H,$L215))),""),"")</f>
        <v/>
      </c>
      <c r="G215" s="236">
        <f>IFERROR(IF($L215&gt;0,IF(INDEX('Invullen groen'!$I:$I,$L215)=0,"",INT(INDEX('Invullen groen'!$I:$I,$L215))),""),"")</f>
        <v/>
      </c>
      <c r="H215" s="236">
        <f>IFERROR(IF($L215&gt;0,IF(INDEX('Invullen groen'!$J:$J,$L215)=0,"",INT(INDEX('Invullen groen'!$J:$J,$L215))),""),"")</f>
        <v/>
      </c>
      <c r="I215" s="236">
        <f>IFERROR(IF($L215&gt;0,IF(INDEX('Invullen groen'!$K:$K,$L215)=0,"",INT(INDEX('Invullen groen'!$K:$K,$L215))),""),"")</f>
        <v/>
      </c>
      <c r="J215">
        <f>IF($L215&gt;0,IFERROR($K$1&amp;" "&amp;TRIM(SUBSTITUTE(SUBSTITUTE(SUBSTITUTE(SUBSTITUTE(SUBSTITUTE(SUBSTITUTE(SUBSTITUTE(SUBSTITUTE(SUBSTITUTE(SUBSTITUTE(SUBSTITUTE(SUBSTITUTE(LOWER(IF(LEFT(TEXT(INDEX('Invullen groen'!$E:$E,$L215),"0"),1)="6",INDEX('Invullen groen'!$O:$O,$L215),IF(INDEX('Invullen groen'!$N:$N,$L215)&gt;0,INDEX('Invullen groen'!$G:$G,$L215),INDEX('Invullen groen'!$O:$O,$L215)))),"2024",""),"2025",""),"2026",""),"2027",""),"2028",""),"2029",""),"taakveld ",""),"installaties","inst"),"ruwbouw","ruwb"),"afbouw","afb"),"bijstelling","bijst"),"investeringen","invest")),""),")</f>
        <v/>
      </c>
      <c r="L215">
        <f>IFERROR(MATCH(ROW()-104,'Invullen groen'!$S$121:$S$272,0)+120,0)</f>
        <v/>
      </c>
    </row>
    <row r="216" hidden="1">
      <c r="A216" s="237">
        <f>IF($L216&gt;0,"+","")</f>
        <v/>
      </c>
      <c r="B216">
        <f>IFERROR(IF($L216&gt;0,IF(INDEX('Invullen groen'!$F:$F,$L216)&gt;0,INDEX('Invullen groen'!$F:$F,$L216),""),""),"")</f>
        <v/>
      </c>
      <c r="C216">
        <f>IFERROR(IF($L216&gt;0,IF(INDEX('Invullen groen'!$N:$N,$L216)&gt;0,INDEX('Invullen groen'!$N:$N,$L216),""),""),"")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IFERROR(IF($L216&gt;0,IF(INDEX('Invullen groen'!$H:$H,$L216)=0,"",INT(INDEX('Invullen groen'!$H:$H,$L216))),""),"")</f>
        <v/>
      </c>
      <c r="G216" s="236">
        <f>IFERROR(IF($L216&gt;0,IF(INDEX('Invullen groen'!$I:$I,$L216)=0,"",INT(INDEX('Invullen groen'!$I:$I,$L216))),""),"")</f>
        <v/>
      </c>
      <c r="H216" s="236">
        <f>IFERROR(IF($L216&gt;0,IF(INDEX('Invullen groen'!$J:$J,$L216)=0,"",INT(INDEX('Invullen groen'!$J:$J,$L216))),""),"")</f>
        <v/>
      </c>
      <c r="I216" s="236">
        <f>IFERROR(IF($L216&gt;0,IF(INDEX('Invullen groen'!$K:$K,$L216)=0,"",INT(INDEX('Invullen groen'!$K:$K,$L216))),""),"")</f>
        <v/>
      </c>
      <c r="J216">
        <f>IF($L216&gt;0,IFERROR($K$1&amp;" "&amp;TRIM(SUBSTITUTE(SUBSTITUTE(SUBSTITUTE(SUBSTITUTE(SUBSTITUTE(SUBSTITUTE(SUBSTITUTE(SUBSTITUTE(SUBSTITUTE(SUBSTITUTE(SUBSTITUTE(SUBSTITUTE(LOWER(IF(LEFT(TEXT(INDEX('Invullen groen'!$E:$E,$L216),"0"),1)="6",INDEX('Invullen groen'!$O:$O,$L216),IF(INDEX('Invullen groen'!$N:$N,$L216)&gt;0,INDEX('Invullen groen'!$G:$G,$L216),INDEX('Invullen groen'!$O:$O,$L216)))),"2024",""),"2025",""),"2026",""),"2027",""),"2028",""),"2029",""),"taakveld ",""),"installaties","inst"),"ruwbouw","ruwb"),"afbouw","afb"),"bijstelling","bijst"),"investeringen","invest")),""),")</f>
        <v/>
      </c>
      <c r="L216">
        <f>IFERROR(MATCH(ROW()-104,'Invullen groen'!$S$121:$S$272,0)+120,0)</f>
        <v/>
      </c>
    </row>
    <row r="217" hidden="1">
      <c r="A217" s="237">
        <f>IF($L217&gt;0,"+","")</f>
        <v/>
      </c>
      <c r="B217">
        <f>IFERROR(IF($L217&gt;0,IF(INDEX('Invullen groen'!$F:$F,$L217)&gt;0,INDEX('Invullen groen'!$F:$F,$L217),""),""),"")</f>
        <v/>
      </c>
      <c r="C217">
        <f>IFERROR(IF($L217&gt;0,IF(INDEX('Invullen groen'!$N:$N,$L217)&gt;0,INDEX('Invullen groen'!$N:$N,$L217),""),""),"")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IFERROR(IF($L217&gt;0,IF(INDEX('Invullen groen'!$H:$H,$L217)=0,"",INT(INDEX('Invullen groen'!$H:$H,$L217))),""),"")</f>
        <v/>
      </c>
      <c r="G217" s="236">
        <f>IFERROR(IF($L217&gt;0,IF(INDEX('Invullen groen'!$I:$I,$L217)=0,"",INT(INDEX('Invullen groen'!$I:$I,$L217))),""),"")</f>
        <v/>
      </c>
      <c r="H217" s="236">
        <f>IFERROR(IF($L217&gt;0,IF(INDEX('Invullen groen'!$J:$J,$L217)=0,"",INT(INDEX('Invullen groen'!$J:$J,$L217))),""),"")</f>
        <v/>
      </c>
      <c r="I217" s="236">
        <f>IFERROR(IF($L217&gt;0,IF(INDEX('Invullen groen'!$K:$K,$L217)=0,"",INT(INDEX('Invullen groen'!$K:$K,$L217))),""),"")</f>
        <v/>
      </c>
      <c r="J217">
        <f>IF($L217&gt;0,IFERROR($K$1&amp;" "&amp;TRIM(SUBSTITUTE(SUBSTITUTE(SUBSTITUTE(SUBSTITUTE(SUBSTITUTE(SUBSTITUTE(SUBSTITUTE(SUBSTITUTE(SUBSTITUTE(SUBSTITUTE(SUBSTITUTE(SUBSTITUTE(LOWER(IF(LEFT(TEXT(INDEX('Invullen groen'!$E:$E,$L217),"0"),1)="6",INDEX('Invullen groen'!$O:$O,$L217),IF(INDEX('Invullen groen'!$N:$N,$L217)&gt;0,INDEX('Invullen groen'!$G:$G,$L217),INDEX('Invullen groen'!$O:$O,$L217)))),"2024",""),"2025",""),"2026",""),"2027",""),"2028",""),"2029",""),"taakveld ",""),"installaties","inst"),"ruwbouw","ruwb"),"afbouw","afb"),"bijstelling","bijst"),"investeringen","invest")),""),")</f>
        <v/>
      </c>
      <c r="L217">
        <f>IFERROR(MATCH(ROW()-104,'Invullen groen'!$S$121:$S$272,0)+120,0)</f>
        <v/>
      </c>
    </row>
    <row r="218" hidden="1">
      <c r="A218" s="237">
        <f>IF($L218&gt;0,"+","")</f>
        <v/>
      </c>
      <c r="B218">
        <f>IFERROR(IF($L218&gt;0,IF(INDEX('Invullen groen'!$F:$F,$L218)&gt;0,INDEX('Invullen groen'!$F:$F,$L218),""),""),"")</f>
        <v/>
      </c>
      <c r="C218">
        <f>IFERROR(IF($L218&gt;0,IF(INDEX('Invullen groen'!$N:$N,$L218)&gt;0,INDEX('Invullen groen'!$N:$N,$L218),""),""),"")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IFERROR(IF($L218&gt;0,IF(INDEX('Invullen groen'!$H:$H,$L218)=0,"",INT(INDEX('Invullen groen'!$H:$H,$L218))),""),"")</f>
        <v/>
      </c>
      <c r="G218" s="236">
        <f>IFERROR(IF($L218&gt;0,IF(INDEX('Invullen groen'!$I:$I,$L218)=0,"",INT(INDEX('Invullen groen'!$I:$I,$L218))),""),"")</f>
        <v/>
      </c>
      <c r="H218" s="236">
        <f>IFERROR(IF($L218&gt;0,IF(INDEX('Invullen groen'!$J:$J,$L218)=0,"",INT(INDEX('Invullen groen'!$J:$J,$L218))),""),"")</f>
        <v/>
      </c>
      <c r="I218" s="236">
        <f>IFERROR(IF($L218&gt;0,IF(INDEX('Invullen groen'!$K:$K,$L218)=0,"",INT(INDEX('Invullen groen'!$K:$K,$L218))),""),"")</f>
        <v/>
      </c>
      <c r="J218">
        <f>IF($L218&gt;0,IFERROR($K$1&amp;" "&amp;TRIM(SUBSTITUTE(SUBSTITUTE(SUBSTITUTE(SUBSTITUTE(SUBSTITUTE(SUBSTITUTE(SUBSTITUTE(SUBSTITUTE(SUBSTITUTE(SUBSTITUTE(SUBSTITUTE(SUBSTITUTE(LOWER(IF(LEFT(TEXT(INDEX('Invullen groen'!$E:$E,$L218),"0"),1)="6",INDEX('Invullen groen'!$O:$O,$L218),IF(INDEX('Invullen groen'!$N:$N,$L218)&gt;0,INDEX('Invullen groen'!$G:$G,$L218),INDEX('Invullen groen'!$O:$O,$L218)))),"2024",""),"2025",""),"2026",""),"2027",""),"2028",""),"2029",""),"taakveld ",""),"installaties","inst"),"ruwbouw","ruwb"),"afbouw","afb"),"bijstelling","bijst"),"investeringen","invest")),""),")</f>
        <v/>
      </c>
      <c r="L218">
        <f>IFERROR(MATCH(ROW()-104,'Invullen groen'!$S$121:$S$272,0)+120,0)</f>
        <v/>
      </c>
    </row>
    <row r="219" hidden="1">
      <c r="A219" s="237">
        <f>IF($L219&gt;0,"+","")</f>
        <v/>
      </c>
      <c r="B219">
        <f>IFERROR(IF($L219&gt;0,IF(INDEX('Invullen groen'!$F:$F,$L219)&gt;0,INDEX('Invullen groen'!$F:$F,$L219),""),""),"")</f>
        <v/>
      </c>
      <c r="C219">
        <f>IFERROR(IF($L219&gt;0,IF(INDEX('Invullen groen'!$N:$N,$L219)&gt;0,INDEX('Invullen groen'!$N:$N,$L219),""),""),"")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IFERROR(IF($L219&gt;0,IF(INDEX('Invullen groen'!$H:$H,$L219)=0,"",INT(INDEX('Invullen groen'!$H:$H,$L219))),""),"")</f>
        <v/>
      </c>
      <c r="G219" s="236">
        <f>IFERROR(IF($L219&gt;0,IF(INDEX('Invullen groen'!$I:$I,$L219)=0,"",INT(INDEX('Invullen groen'!$I:$I,$L219))),""),"")</f>
        <v/>
      </c>
      <c r="H219" s="236">
        <f>IFERROR(IF($L219&gt;0,IF(INDEX('Invullen groen'!$J:$J,$L219)=0,"",INT(INDEX('Invullen groen'!$J:$J,$L219))),""),"")</f>
        <v/>
      </c>
      <c r="I219" s="236">
        <f>IFERROR(IF($L219&gt;0,IF(INDEX('Invullen groen'!$K:$K,$L219)=0,"",INT(INDEX('Invullen groen'!$K:$K,$L219))),""),"")</f>
        <v/>
      </c>
      <c r="J219">
        <f>IF($L219&gt;0,IFERROR($K$1&amp;" "&amp;TRIM(SUBSTITUTE(SUBSTITUTE(SUBSTITUTE(SUBSTITUTE(SUBSTITUTE(SUBSTITUTE(SUBSTITUTE(SUBSTITUTE(SUBSTITUTE(SUBSTITUTE(SUBSTITUTE(SUBSTITUTE(LOWER(IF(LEFT(TEXT(INDEX('Invullen groen'!$E:$E,$L219),"0"),1)="6",INDEX('Invullen groen'!$O:$O,$L219),IF(INDEX('Invullen groen'!$N:$N,$L219)&gt;0,INDEX('Invullen groen'!$G:$G,$L219),INDEX('Invullen groen'!$O:$O,$L219)))),"2024",""),"2025",""),"2026",""),"2027",""),"2028",""),"2029",""),"taakveld ",""),"installaties","inst"),"ruwbouw","ruwb"),"afbouw","afb"),"bijstelling","bijst"),"investeringen","invest")),""),")</f>
        <v/>
      </c>
      <c r="L219">
        <f>IFERROR(MATCH(ROW()-104,'Invullen groen'!$S$121:$S$272,0)+120,0)</f>
        <v/>
      </c>
    </row>
    <row r="220" hidden="1">
      <c r="A220" s="237">
        <f>IF($L220&gt;0,"+","")</f>
        <v/>
      </c>
      <c r="B220">
        <f>IFERROR(IF($L220&gt;0,IF(INDEX('Invullen groen'!$F:$F,$L220)&gt;0,INDEX('Invullen groen'!$F:$F,$L220),""),""),"")</f>
        <v/>
      </c>
      <c r="C220">
        <f>IFERROR(IF($L220&gt;0,IF(INDEX('Invullen groen'!$N:$N,$L220)&gt;0,INDEX('Invullen groen'!$N:$N,$L220),""),""),"")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IFERROR(IF($L220&gt;0,IF(INDEX('Invullen groen'!$H:$H,$L220)=0,"",INT(INDEX('Invullen groen'!$H:$H,$L220))),""),"")</f>
        <v/>
      </c>
      <c r="G220" s="236">
        <f>IFERROR(IF($L220&gt;0,IF(INDEX('Invullen groen'!$I:$I,$L220)=0,"",INT(INDEX('Invullen groen'!$I:$I,$L220))),""),"")</f>
        <v/>
      </c>
      <c r="H220" s="236">
        <f>IFERROR(IF($L220&gt;0,IF(INDEX('Invullen groen'!$J:$J,$L220)=0,"",INT(INDEX('Invullen groen'!$J:$J,$L220))),""),"")</f>
        <v/>
      </c>
      <c r="I220" s="236">
        <f>IFERROR(IF($L220&gt;0,IF(INDEX('Invullen groen'!$K:$K,$L220)=0,"",INT(INDEX('Invullen groen'!$K:$K,$L220))),""),"")</f>
        <v/>
      </c>
      <c r="J220">
        <f>IF($L220&gt;0,IFERROR($K$1&amp;" "&amp;TRIM(SUBSTITUTE(SUBSTITUTE(SUBSTITUTE(SUBSTITUTE(SUBSTITUTE(SUBSTITUTE(SUBSTITUTE(SUBSTITUTE(SUBSTITUTE(SUBSTITUTE(SUBSTITUTE(SUBSTITUTE(LOWER(IF(LEFT(TEXT(INDEX('Invullen groen'!$E:$E,$L220),"0"),1)="6",INDEX('Invullen groen'!$O:$O,$L220),IF(INDEX('Invullen groen'!$N:$N,$L220)&gt;0,INDEX('Invullen groen'!$G:$G,$L220),INDEX('Invullen groen'!$O:$O,$L220)))),"2024",""),"2025",""),"2026",""),"2027",""),"2028",""),"2029",""),"taakveld ",""),"installaties","inst"),"ruwbouw","ruwb"),"afbouw","afb"),"bijstelling","bijst"),"investeringen","invest")),""),")</f>
        <v/>
      </c>
      <c r="L220">
        <f>IFERROR(MATCH(ROW()-104,'Invullen groen'!$S$121:$S$272,0)+120,0)</f>
        <v/>
      </c>
    </row>
    <row r="221" hidden="1">
      <c r="A221" s="237">
        <f>IF($L221&gt;0,"+","")</f>
        <v/>
      </c>
      <c r="B221">
        <f>IFERROR(IF($L221&gt;0,IF(INDEX('Invullen groen'!$F:$F,$L221)&gt;0,INDEX('Invullen groen'!$F:$F,$L221),""),""),"")</f>
        <v/>
      </c>
      <c r="C221">
        <f>IFERROR(IF($L221&gt;0,IF(INDEX('Invullen groen'!$N:$N,$L221)&gt;0,INDEX('Invullen groen'!$N:$N,$L221),""),""),"")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IFERROR(IF($L221&gt;0,IF(INDEX('Invullen groen'!$H:$H,$L221)=0,"",INT(INDEX('Invullen groen'!$H:$H,$L221))),""),"")</f>
        <v/>
      </c>
      <c r="G221" s="236">
        <f>IFERROR(IF($L221&gt;0,IF(INDEX('Invullen groen'!$I:$I,$L221)=0,"",INT(INDEX('Invullen groen'!$I:$I,$L221))),""),"")</f>
        <v/>
      </c>
      <c r="H221" s="236">
        <f>IFERROR(IF($L221&gt;0,IF(INDEX('Invullen groen'!$J:$J,$L221)=0,"",INT(INDEX('Invullen groen'!$J:$J,$L221))),""),"")</f>
        <v/>
      </c>
      <c r="I221" s="236">
        <f>IFERROR(IF($L221&gt;0,IF(INDEX('Invullen groen'!$K:$K,$L221)=0,"",INT(INDEX('Invullen groen'!$K:$K,$L221))),""),"")</f>
        <v/>
      </c>
      <c r="J221">
        <f>IF($L221&gt;0,IFERROR($K$1&amp;" "&amp;TRIM(SUBSTITUTE(SUBSTITUTE(SUBSTITUTE(SUBSTITUTE(SUBSTITUTE(SUBSTITUTE(SUBSTITUTE(SUBSTITUTE(SUBSTITUTE(SUBSTITUTE(SUBSTITUTE(SUBSTITUTE(LOWER(IF(LEFT(TEXT(INDEX('Invullen groen'!$E:$E,$L221),"0"),1)="6",INDEX('Invullen groen'!$O:$O,$L221),IF(INDEX('Invullen groen'!$N:$N,$L221)&gt;0,INDEX('Invullen groen'!$G:$G,$L221),INDEX('Invullen groen'!$O:$O,$L221)))),"2024",""),"2025",""),"2026",""),"2027",""),"2028",""),"2029",""),"taakveld ",""),"installaties","inst"),"ruwbouw","ruwb"),"afbouw","afb"),"bijstelling","bijst"),"investeringen","invest")),""),")</f>
        <v/>
      </c>
      <c r="L221">
        <f>IFERROR(MATCH(ROW()-104,'Invullen groen'!$S$121:$S$272,0)+120,0)</f>
        <v/>
      </c>
    </row>
    <row r="222" hidden="1">
      <c r="A222" s="237">
        <f>IF($L222&gt;0,"+","")</f>
        <v/>
      </c>
      <c r="B222">
        <f>IFERROR(IF($L222&gt;0,IF(INDEX('Invullen groen'!$F:$F,$L222)&gt;0,INDEX('Invullen groen'!$F:$F,$L222),""),""),"")</f>
        <v/>
      </c>
      <c r="C222">
        <f>IFERROR(IF($L222&gt;0,IF(INDEX('Invullen groen'!$N:$N,$L222)&gt;0,INDEX('Invullen groen'!$N:$N,$L222),""),""),"")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IFERROR(IF($L222&gt;0,IF(INDEX('Invullen groen'!$H:$H,$L222)=0,"",INT(INDEX('Invullen groen'!$H:$H,$L222))),""),"")</f>
        <v/>
      </c>
      <c r="G222" s="236">
        <f>IFERROR(IF($L222&gt;0,IF(INDEX('Invullen groen'!$I:$I,$L222)=0,"",INT(INDEX('Invullen groen'!$I:$I,$L222))),""),"")</f>
        <v/>
      </c>
      <c r="H222" s="236">
        <f>IFERROR(IF($L222&gt;0,IF(INDEX('Invullen groen'!$J:$J,$L222)=0,"",INT(INDEX('Invullen groen'!$J:$J,$L222))),""),"")</f>
        <v/>
      </c>
      <c r="I222" s="236">
        <f>IFERROR(IF($L222&gt;0,IF(INDEX('Invullen groen'!$K:$K,$L222)=0,"",INT(INDEX('Invullen groen'!$K:$K,$L222))),""),"")</f>
        <v/>
      </c>
      <c r="J222">
        <f>IF($L222&gt;0,IFERROR($K$1&amp;" "&amp;TRIM(SUBSTITUTE(SUBSTITUTE(SUBSTITUTE(SUBSTITUTE(SUBSTITUTE(SUBSTITUTE(SUBSTITUTE(SUBSTITUTE(SUBSTITUTE(SUBSTITUTE(SUBSTITUTE(SUBSTITUTE(LOWER(IF(LEFT(TEXT(INDEX('Invullen groen'!$E:$E,$L222),"0"),1)="6",INDEX('Invullen groen'!$O:$O,$L222),IF(INDEX('Invullen groen'!$N:$N,$L222)&gt;0,INDEX('Invullen groen'!$G:$G,$L222),INDEX('Invullen groen'!$O:$O,$L222)))),"2024",""),"2025",""),"2026",""),"2027",""),"2028",""),"2029",""),"taakveld ",""),"installaties","inst"),"ruwbouw","ruwb"),"afbouw","afb"),"bijstelling","bijst"),"investeringen","invest")),""),")</f>
        <v/>
      </c>
      <c r="L222">
        <f>IFERROR(MATCH(ROW()-104,'Invullen groen'!$S$121:$S$272,0)+120,0)</f>
        <v/>
      </c>
    </row>
    <row r="223" hidden="1">
      <c r="A223" s="237">
        <f>IF($L223&gt;0,"+","")</f>
        <v/>
      </c>
      <c r="B223">
        <f>IFERROR(IF($L223&gt;0,IF(INDEX('Invullen groen'!$F:$F,$L223)&gt;0,INDEX('Invullen groen'!$F:$F,$L223),""),""),"")</f>
        <v/>
      </c>
      <c r="C223">
        <f>IFERROR(IF($L223&gt;0,IF(INDEX('Invullen groen'!$N:$N,$L223)&gt;0,INDEX('Invullen groen'!$N:$N,$L223),""),""),"")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IFERROR(IF($L223&gt;0,IF(INDEX('Invullen groen'!$H:$H,$L223)=0,"",INT(INDEX('Invullen groen'!$H:$H,$L223))),""),"")</f>
        <v/>
      </c>
      <c r="G223" s="236">
        <f>IFERROR(IF($L223&gt;0,IF(INDEX('Invullen groen'!$I:$I,$L223)=0,"",INT(INDEX('Invullen groen'!$I:$I,$L223))),""),"")</f>
        <v/>
      </c>
      <c r="H223" s="236">
        <f>IFERROR(IF($L223&gt;0,IF(INDEX('Invullen groen'!$J:$J,$L223)=0,"",INT(INDEX('Invullen groen'!$J:$J,$L223))),""),"")</f>
        <v/>
      </c>
      <c r="I223" s="236">
        <f>IFERROR(IF($L223&gt;0,IF(INDEX('Invullen groen'!$K:$K,$L223)=0,"",INT(INDEX('Invullen groen'!$K:$K,$L223))),""),"")</f>
        <v/>
      </c>
      <c r="J223">
        <f>IF($L223&gt;0,IFERROR($K$1&amp;" "&amp;TRIM(SUBSTITUTE(SUBSTITUTE(SUBSTITUTE(SUBSTITUTE(SUBSTITUTE(SUBSTITUTE(SUBSTITUTE(SUBSTITUTE(SUBSTITUTE(SUBSTITUTE(SUBSTITUTE(SUBSTITUTE(LOWER(IF(LEFT(TEXT(INDEX('Invullen groen'!$E:$E,$L223),"0"),1)="6",INDEX('Invullen groen'!$O:$O,$L223),IF(INDEX('Invullen groen'!$N:$N,$L223)&gt;0,INDEX('Invullen groen'!$G:$G,$L223),INDEX('Invullen groen'!$O:$O,$L223)))),"2024",""),"2025",""),"2026",""),"2027",""),"2028",""),"2029",""),"taakveld ",""),"installaties","inst"),"ruwbouw","ruwb"),"afbouw","afb"),"bijstelling","bijst"),"investeringen","invest")),""),")</f>
        <v/>
      </c>
      <c r="L223">
        <f>IFERROR(MATCH(ROW()-104,'Invullen groen'!$S$121:$S$272,0)+120,0)</f>
        <v/>
      </c>
    </row>
    <row r="224" hidden="1">
      <c r="A224" s="237">
        <f>IF($L224&gt;0,"+","")</f>
        <v/>
      </c>
      <c r="B224">
        <f>IFERROR(IF($L224&gt;0,IF(INDEX('Invullen groen'!$F:$F,$L224)&gt;0,INDEX('Invullen groen'!$F:$F,$L224),""),""),"")</f>
        <v/>
      </c>
      <c r="C224">
        <f>IFERROR(IF($L224&gt;0,IF(INDEX('Invullen groen'!$N:$N,$L224)&gt;0,INDEX('Invullen groen'!$N:$N,$L224),""),""),"")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IFERROR(IF($L224&gt;0,IF(INDEX('Invullen groen'!$H:$H,$L224)=0,"",INT(INDEX('Invullen groen'!$H:$H,$L224))),""),"")</f>
        <v/>
      </c>
      <c r="G224" s="236">
        <f>IFERROR(IF($L224&gt;0,IF(INDEX('Invullen groen'!$I:$I,$L224)=0,"",INT(INDEX('Invullen groen'!$I:$I,$L224))),""),"")</f>
        <v/>
      </c>
      <c r="H224" s="236">
        <f>IFERROR(IF($L224&gt;0,IF(INDEX('Invullen groen'!$J:$J,$L224)=0,"",INT(INDEX('Invullen groen'!$J:$J,$L224))),""),"")</f>
        <v/>
      </c>
      <c r="I224" s="236">
        <f>IFERROR(IF($L224&gt;0,IF(INDEX('Invullen groen'!$K:$K,$L224)=0,"",INT(INDEX('Invullen groen'!$K:$K,$L224))),""),"")</f>
        <v/>
      </c>
      <c r="J224">
        <f>IF($L224&gt;0,IFERROR($K$1&amp;" "&amp;TRIM(SUBSTITUTE(SUBSTITUTE(SUBSTITUTE(SUBSTITUTE(SUBSTITUTE(SUBSTITUTE(SUBSTITUTE(SUBSTITUTE(SUBSTITUTE(SUBSTITUTE(SUBSTITUTE(SUBSTITUTE(LOWER(IF(LEFT(TEXT(INDEX('Invullen groen'!$E:$E,$L224),"0"),1)="6",INDEX('Invullen groen'!$O:$O,$L224),IF(INDEX('Invullen groen'!$N:$N,$L224)&gt;0,INDEX('Invullen groen'!$G:$G,$L224),INDEX('Invullen groen'!$O:$O,$L224)))),"2024",""),"2025",""),"2026",""),"2027",""),"2028",""),"2029",""),"taakveld ",""),"installaties","inst"),"ruwbouw","ruwb"),"afbouw","afb"),"bijstelling","bijst"),"investeringen","invest")),""),")</f>
        <v/>
      </c>
      <c r="L224">
        <f>IFERROR(MATCH(ROW()-104,'Invullen groen'!$S$121:$S$272,0)+120,0)</f>
        <v/>
      </c>
    </row>
    <row r="225" hidden="1">
      <c r="A225" s="237">
        <f>IF($L225&gt;0,"+","")</f>
        <v/>
      </c>
      <c r="B225">
        <f>IFERROR(IF($L225&gt;0,IF(INDEX('Invullen groen'!$F:$F,$L225)&gt;0,INDEX('Invullen groen'!$F:$F,$L225),""),""),"")</f>
        <v/>
      </c>
      <c r="C225">
        <f>IFERROR(IF($L225&gt;0,IF(INDEX('Invullen groen'!$N:$N,$L225)&gt;0,INDEX('Invullen groen'!$N:$N,$L225),""),""),"")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IFERROR(IF($L225&gt;0,IF(INDEX('Invullen groen'!$H:$H,$L225)=0,"",INT(INDEX('Invullen groen'!$H:$H,$L225))),""),"")</f>
        <v/>
      </c>
      <c r="G225" s="236">
        <f>IFERROR(IF($L225&gt;0,IF(INDEX('Invullen groen'!$I:$I,$L225)=0,"",INT(INDEX('Invullen groen'!$I:$I,$L225))),""),"")</f>
        <v/>
      </c>
      <c r="H225" s="236">
        <f>IFERROR(IF($L225&gt;0,IF(INDEX('Invullen groen'!$J:$J,$L225)=0,"",INT(INDEX('Invullen groen'!$J:$J,$L225))),""),"")</f>
        <v/>
      </c>
      <c r="I225" s="236">
        <f>IFERROR(IF($L225&gt;0,IF(INDEX('Invullen groen'!$K:$K,$L225)=0,"",INT(INDEX('Invullen groen'!$K:$K,$L225))),""),"")</f>
        <v/>
      </c>
      <c r="J225">
        <f>IF($L225&gt;0,IFERROR($K$1&amp;" "&amp;TRIM(SUBSTITUTE(SUBSTITUTE(SUBSTITUTE(SUBSTITUTE(SUBSTITUTE(SUBSTITUTE(SUBSTITUTE(SUBSTITUTE(SUBSTITUTE(SUBSTITUTE(SUBSTITUTE(SUBSTITUTE(LOWER(IF(LEFT(TEXT(INDEX('Invullen groen'!$E:$E,$L225),"0"),1)="6",INDEX('Invullen groen'!$O:$O,$L225),IF(INDEX('Invullen groen'!$N:$N,$L225)&gt;0,INDEX('Invullen groen'!$G:$G,$L225),INDEX('Invullen groen'!$O:$O,$L225)))),"2024",""),"2025",""),"2026",""),"2027",""),"2028",""),"2029",""),"taakveld ",""),"installaties","inst"),"ruwbouw","ruwb"),"afbouw","afb"),"bijstelling","bijst"),"investeringen","invest")),""),")</f>
        <v/>
      </c>
      <c r="L225">
        <f>IFERROR(MATCH(ROW()-104,'Invullen groen'!$S$121:$S$272,0)+120,0)</f>
        <v/>
      </c>
    </row>
    <row r="226" hidden="1">
      <c r="A226" s="237">
        <f>IF($L226&gt;0,"+","")</f>
        <v/>
      </c>
      <c r="B226">
        <f>IFERROR(IF($L226&gt;0,IF(INDEX('Invullen groen'!$F:$F,$L226)&gt;0,INDEX('Invullen groen'!$F:$F,$L226),""),""),"")</f>
        <v/>
      </c>
      <c r="C226">
        <f>IFERROR(IF($L226&gt;0,IF(INDEX('Invullen groen'!$N:$N,$L226)&gt;0,INDEX('Invullen groen'!$N:$N,$L226),""),""),"")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IFERROR(IF($L226&gt;0,IF(INDEX('Invullen groen'!$H:$H,$L226)=0,"",INT(INDEX('Invullen groen'!$H:$H,$L226))),""),"")</f>
        <v/>
      </c>
      <c r="G226" s="236">
        <f>IFERROR(IF($L226&gt;0,IF(INDEX('Invullen groen'!$I:$I,$L226)=0,"",INT(INDEX('Invullen groen'!$I:$I,$L226))),""),"")</f>
        <v/>
      </c>
      <c r="H226" s="236">
        <f>IFERROR(IF($L226&gt;0,IF(INDEX('Invullen groen'!$J:$J,$L226)=0,"",INT(INDEX('Invullen groen'!$J:$J,$L226))),""),"")</f>
        <v/>
      </c>
      <c r="I226" s="236">
        <f>IFERROR(IF($L226&gt;0,IF(INDEX('Invullen groen'!$K:$K,$L226)=0,"",INT(INDEX('Invullen groen'!$K:$K,$L226))),""),"")</f>
        <v/>
      </c>
      <c r="J226">
        <f>IF($L226&gt;0,IFERROR($K$1&amp;" "&amp;TRIM(SUBSTITUTE(SUBSTITUTE(SUBSTITUTE(SUBSTITUTE(SUBSTITUTE(SUBSTITUTE(SUBSTITUTE(SUBSTITUTE(SUBSTITUTE(SUBSTITUTE(SUBSTITUTE(SUBSTITUTE(LOWER(IF(LEFT(TEXT(INDEX('Invullen groen'!$E:$E,$L226),"0"),1)="6",INDEX('Invullen groen'!$O:$O,$L226),IF(INDEX('Invullen groen'!$N:$N,$L226)&gt;0,INDEX('Invullen groen'!$G:$G,$L226),INDEX('Invullen groen'!$O:$O,$L226)))),"2024",""),"2025",""),"2026",""),"2027",""),"2028",""),"2029",""),"taakveld ",""),"installaties","inst"),"ruwbouw","ruwb"),"afbouw","afb"),"bijstelling","bijst"),"investeringen","invest")),""),")</f>
        <v/>
      </c>
      <c r="L226">
        <f>IFERROR(MATCH(ROW()-104,'Invullen groen'!$S$121:$S$272,0)+120,0)</f>
        <v/>
      </c>
    </row>
    <row r="227" hidden="1">
      <c r="A227" s="237">
        <f>IF($L227&gt;0,"+","")</f>
        <v/>
      </c>
      <c r="B227">
        <f>IFERROR(IF($L227&gt;0,IF(INDEX('Invullen groen'!$F:$F,$L227)&gt;0,INDEX('Invullen groen'!$F:$F,$L227),""),""),"")</f>
        <v/>
      </c>
      <c r="C227">
        <f>IFERROR(IF($L227&gt;0,IF(INDEX('Invullen groen'!$N:$N,$L227)&gt;0,INDEX('Invullen groen'!$N:$N,$L227),""),""),"")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IFERROR(IF($L227&gt;0,IF(INDEX('Invullen groen'!$H:$H,$L227)=0,"",INT(INDEX('Invullen groen'!$H:$H,$L227))),""),"")</f>
        <v/>
      </c>
      <c r="G227" s="236">
        <f>IFERROR(IF($L227&gt;0,IF(INDEX('Invullen groen'!$I:$I,$L227)=0,"",INT(INDEX('Invullen groen'!$I:$I,$L227))),""),"")</f>
        <v/>
      </c>
      <c r="H227" s="236">
        <f>IFERROR(IF($L227&gt;0,IF(INDEX('Invullen groen'!$J:$J,$L227)=0,"",INT(INDEX('Invullen groen'!$J:$J,$L227))),""),"")</f>
        <v/>
      </c>
      <c r="I227" s="236">
        <f>IFERROR(IF($L227&gt;0,IF(INDEX('Invullen groen'!$K:$K,$L227)=0,"",INT(INDEX('Invullen groen'!$K:$K,$L227))),""),"")</f>
        <v/>
      </c>
      <c r="J227">
        <f>IF($L227&gt;0,IFERROR($K$1&amp;" "&amp;TRIM(SUBSTITUTE(SUBSTITUTE(SUBSTITUTE(SUBSTITUTE(SUBSTITUTE(SUBSTITUTE(SUBSTITUTE(SUBSTITUTE(SUBSTITUTE(SUBSTITUTE(SUBSTITUTE(SUBSTITUTE(LOWER(IF(LEFT(TEXT(INDEX('Invullen groen'!$E:$E,$L227),"0"),1)="6",INDEX('Invullen groen'!$O:$O,$L227),IF(INDEX('Invullen groen'!$N:$N,$L227)&gt;0,INDEX('Invullen groen'!$G:$G,$L227),INDEX('Invullen groen'!$O:$O,$L227)))),"2024",""),"2025",""),"2026",""),"2027",""),"2028",""),"2029",""),"taakveld ",""),"installaties","inst"),"ruwbouw","ruwb"),"afbouw","afb"),"bijstelling","bijst"),"investeringen","invest")),""),")</f>
        <v/>
      </c>
      <c r="L227">
        <f>IFERROR(MATCH(ROW()-104,'Invullen groen'!$S$121:$S$272,0)+120,0)</f>
        <v/>
      </c>
    </row>
    <row r="228" hidden="1">
      <c r="A228" s="237">
        <f>IF($L228&gt;0,"+","")</f>
        <v/>
      </c>
      <c r="B228">
        <f>IFERROR(IF($L228&gt;0,IF(INDEX('Invullen groen'!$F:$F,$L228)&gt;0,INDEX('Invullen groen'!$F:$F,$L228),""),""),"")</f>
        <v/>
      </c>
      <c r="C228">
        <f>IFERROR(IF($L228&gt;0,IF(INDEX('Invullen groen'!$N:$N,$L228)&gt;0,INDEX('Invullen groen'!$N:$N,$L228),""),""),"")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IFERROR(IF($L228&gt;0,IF(INDEX('Invullen groen'!$H:$H,$L228)=0,"",INT(INDEX('Invullen groen'!$H:$H,$L228))),""),"")</f>
        <v/>
      </c>
      <c r="G228" s="236">
        <f>IFERROR(IF($L228&gt;0,IF(INDEX('Invullen groen'!$I:$I,$L228)=0,"",INT(INDEX('Invullen groen'!$I:$I,$L228))),""),"")</f>
        <v/>
      </c>
      <c r="H228" s="236">
        <f>IFERROR(IF($L228&gt;0,IF(INDEX('Invullen groen'!$J:$J,$L228)=0,"",INT(INDEX('Invullen groen'!$J:$J,$L228))),""),"")</f>
        <v/>
      </c>
      <c r="I228" s="236">
        <f>IFERROR(IF($L228&gt;0,IF(INDEX('Invullen groen'!$K:$K,$L228)=0,"",INT(INDEX('Invullen groen'!$K:$K,$L228))),""),"")</f>
        <v/>
      </c>
      <c r="J228">
        <f>IF($L228&gt;0,IFERROR($K$1&amp;" "&amp;TRIM(SUBSTITUTE(SUBSTITUTE(SUBSTITUTE(SUBSTITUTE(SUBSTITUTE(SUBSTITUTE(SUBSTITUTE(SUBSTITUTE(SUBSTITUTE(SUBSTITUTE(SUBSTITUTE(SUBSTITUTE(LOWER(IF(LEFT(TEXT(INDEX('Invullen groen'!$E:$E,$L228),"0"),1)="6",INDEX('Invullen groen'!$O:$O,$L228),IF(INDEX('Invullen groen'!$N:$N,$L228)&gt;0,INDEX('Invullen groen'!$G:$G,$L228),INDEX('Invullen groen'!$O:$O,$L228)))),"2024",""),"2025",""),"2026",""),"2027",""),"2028",""),"2029",""),"taakveld ",""),"installaties","inst"),"ruwbouw","ruwb"),"afbouw","afb"),"bijstelling","bijst"),"investeringen","invest")),""),")</f>
        <v/>
      </c>
      <c r="L228">
        <f>IFERROR(MATCH(ROW()-104,'Invullen groen'!$S$121:$S$272,0)+120,0)</f>
        <v/>
      </c>
    </row>
    <row r="229" hidden="1">
      <c r="A229" s="237">
        <f>IF($L229&gt;0,"+","")</f>
        <v/>
      </c>
      <c r="B229">
        <f>IFERROR(IF($L229&gt;0,IF(INDEX('Invullen groen'!$F:$F,$L229)&gt;0,INDEX('Invullen groen'!$F:$F,$L229),""),""),"")</f>
        <v/>
      </c>
      <c r="C229">
        <f>IFERROR(IF($L229&gt;0,IF(INDEX('Invullen groen'!$N:$N,$L229)&gt;0,INDEX('Invullen groen'!$N:$N,$L229),""),""),"")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IFERROR(IF($L229&gt;0,IF(INDEX('Invullen groen'!$H:$H,$L229)=0,"",INT(INDEX('Invullen groen'!$H:$H,$L229))),""),"")</f>
        <v/>
      </c>
      <c r="G229" s="236">
        <f>IFERROR(IF($L229&gt;0,IF(INDEX('Invullen groen'!$I:$I,$L229)=0,"",INT(INDEX('Invullen groen'!$I:$I,$L229))),""),"")</f>
        <v/>
      </c>
      <c r="H229" s="236">
        <f>IFERROR(IF($L229&gt;0,IF(INDEX('Invullen groen'!$J:$J,$L229)=0,"",INT(INDEX('Invullen groen'!$J:$J,$L229))),""),"")</f>
        <v/>
      </c>
      <c r="I229" s="236">
        <f>IFERROR(IF($L229&gt;0,IF(INDEX('Invullen groen'!$K:$K,$L229)=0,"",INT(INDEX('Invullen groen'!$K:$K,$L229))),""),"")</f>
        <v/>
      </c>
      <c r="J229">
        <f>IF($L229&gt;0,IFERROR($K$1&amp;" "&amp;TRIM(SUBSTITUTE(SUBSTITUTE(SUBSTITUTE(SUBSTITUTE(SUBSTITUTE(SUBSTITUTE(SUBSTITUTE(SUBSTITUTE(SUBSTITUTE(SUBSTITUTE(SUBSTITUTE(SUBSTITUTE(LOWER(IF(LEFT(TEXT(INDEX('Invullen groen'!$E:$E,$L229),"0"),1)="6",INDEX('Invullen groen'!$O:$O,$L229),IF(INDEX('Invullen groen'!$N:$N,$L229)&gt;0,INDEX('Invullen groen'!$G:$G,$L229),INDEX('Invullen groen'!$O:$O,$L229)))),"2024",""),"2025",""),"2026",""),"2027",""),"2028",""),"2029",""),"taakveld ",""),"installaties","inst"),"ruwbouw","ruwb"),"afbouw","afb"),"bijstelling","bijst"),"investeringen","invest")),""),")</f>
        <v/>
      </c>
      <c r="L229">
        <f>IFERROR(MATCH(ROW()-104,'Invullen groen'!$S$121:$S$272,0)+120,0)</f>
        <v/>
      </c>
    </row>
    <row r="230" hidden="1">
      <c r="A230" s="237">
        <f>IF($L230&gt;0,"+","")</f>
        <v/>
      </c>
      <c r="B230">
        <f>IFERROR(IF($L230&gt;0,IF(INDEX('Invullen groen'!$F:$F,$L230)&gt;0,INDEX('Invullen groen'!$F:$F,$L230),""),""),"")</f>
        <v/>
      </c>
      <c r="C230">
        <f>IFERROR(IF($L230&gt;0,IF(INDEX('Invullen groen'!$N:$N,$L230)&gt;0,INDEX('Invullen groen'!$N:$N,$L230),""),""),"")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IFERROR(IF($L230&gt;0,IF(INDEX('Invullen groen'!$H:$H,$L230)=0,"",INT(INDEX('Invullen groen'!$H:$H,$L230))),""),"")</f>
        <v/>
      </c>
      <c r="G230" s="236">
        <f>IFERROR(IF($L230&gt;0,IF(INDEX('Invullen groen'!$I:$I,$L230)=0,"",INT(INDEX('Invullen groen'!$I:$I,$L230))),""),"")</f>
        <v/>
      </c>
      <c r="H230" s="236">
        <f>IFERROR(IF($L230&gt;0,IF(INDEX('Invullen groen'!$J:$J,$L230)=0,"",INT(INDEX('Invullen groen'!$J:$J,$L230))),""),"")</f>
        <v/>
      </c>
      <c r="I230" s="236">
        <f>IFERROR(IF($L230&gt;0,IF(INDEX('Invullen groen'!$K:$K,$L230)=0,"",INT(INDEX('Invullen groen'!$K:$K,$L230))),""),"")</f>
        <v/>
      </c>
      <c r="J230">
        <f>IF($L230&gt;0,IFERROR($K$1&amp;" "&amp;TRIM(SUBSTITUTE(SUBSTITUTE(SUBSTITUTE(SUBSTITUTE(SUBSTITUTE(SUBSTITUTE(SUBSTITUTE(SUBSTITUTE(SUBSTITUTE(SUBSTITUTE(SUBSTITUTE(SUBSTITUTE(LOWER(IF(LEFT(TEXT(INDEX('Invullen groen'!$E:$E,$L230),"0"),1)="6",INDEX('Invullen groen'!$O:$O,$L230),IF(INDEX('Invullen groen'!$N:$N,$L230)&gt;0,INDEX('Invullen groen'!$G:$G,$L230),INDEX('Invullen groen'!$O:$O,$L230)))),"2024",""),"2025",""),"2026",""),"2027",""),"2028",""),"2029",""),"taakveld ",""),"installaties","inst"),"ruwbouw","ruwb"),"afbouw","afb"),"bijstelling","bijst"),"investeringen","invest")),""),")</f>
        <v/>
      </c>
      <c r="L230">
        <f>IFERROR(MATCH(ROW()-104,'Invullen groen'!$S$121:$S$272,0)+120,0)</f>
        <v/>
      </c>
    </row>
    <row r="231" hidden="1">
      <c r="A231" s="237">
        <f>IF($L231&gt;0,"+","")</f>
        <v/>
      </c>
      <c r="B231">
        <f>IFERROR(IF($L231&gt;0,IF(INDEX('Invullen groen'!$F:$F,$L231)&gt;0,INDEX('Invullen groen'!$F:$F,$L231),""),""),"")</f>
        <v/>
      </c>
      <c r="C231">
        <f>IFERROR(IF($L231&gt;0,IF(INDEX('Invullen groen'!$N:$N,$L231)&gt;0,INDEX('Invullen groen'!$N:$N,$L231),""),""),"")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IFERROR(IF($L231&gt;0,IF(INDEX('Invullen groen'!$H:$H,$L231)=0,"",INT(INDEX('Invullen groen'!$H:$H,$L231))),""),"")</f>
        <v/>
      </c>
      <c r="G231" s="236">
        <f>IFERROR(IF($L231&gt;0,IF(INDEX('Invullen groen'!$I:$I,$L231)=0,"",INT(INDEX('Invullen groen'!$I:$I,$L231))),""),"")</f>
        <v/>
      </c>
      <c r="H231" s="236">
        <f>IFERROR(IF($L231&gt;0,IF(INDEX('Invullen groen'!$J:$J,$L231)=0,"",INT(INDEX('Invullen groen'!$J:$J,$L231))),""),"")</f>
        <v/>
      </c>
      <c r="I231" s="236">
        <f>IFERROR(IF($L231&gt;0,IF(INDEX('Invullen groen'!$K:$K,$L231)=0,"",INT(INDEX('Invullen groen'!$K:$K,$L231))),""),"")</f>
        <v/>
      </c>
      <c r="J231">
        <f>IF($L231&gt;0,IFERROR($K$1&amp;" "&amp;TRIM(SUBSTITUTE(SUBSTITUTE(SUBSTITUTE(SUBSTITUTE(SUBSTITUTE(SUBSTITUTE(SUBSTITUTE(SUBSTITUTE(SUBSTITUTE(SUBSTITUTE(SUBSTITUTE(SUBSTITUTE(LOWER(IF(LEFT(TEXT(INDEX('Invullen groen'!$E:$E,$L231),"0"),1)="6",INDEX('Invullen groen'!$O:$O,$L231),IF(INDEX('Invullen groen'!$N:$N,$L231)&gt;0,INDEX('Invullen groen'!$G:$G,$L231),INDEX('Invullen groen'!$O:$O,$L231)))),"2024",""),"2025",""),"2026",""),"2027",""),"2028",""),"2029",""),"taakveld ",""),"installaties","inst"),"ruwbouw","ruwb"),"afbouw","afb"),"bijstelling","bijst"),"investeringen","invest")),""),")</f>
        <v/>
      </c>
      <c r="L231">
        <f>IFERROR(MATCH(ROW()-104,'Invullen groen'!$S$121:$S$272,0)+120,0)</f>
        <v/>
      </c>
    </row>
    <row r="232" hidden="1">
      <c r="A232" s="237">
        <f>IF($L232&gt;0,"+","")</f>
        <v/>
      </c>
      <c r="B232">
        <f>IFERROR(IF($L232&gt;0,IF(INDEX('Invullen groen'!$F:$F,$L232)&gt;0,INDEX('Invullen groen'!$F:$F,$L232),""),""),"")</f>
        <v/>
      </c>
      <c r="C232">
        <f>IFERROR(IF($L232&gt;0,IF(INDEX('Invullen groen'!$N:$N,$L232)&gt;0,INDEX('Invullen groen'!$N:$N,$L232),""),""),"")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IFERROR(IF($L232&gt;0,IF(INDEX('Invullen groen'!$H:$H,$L232)=0,"",INT(INDEX('Invullen groen'!$H:$H,$L232))),""),"")</f>
        <v/>
      </c>
      <c r="G232" s="236">
        <f>IFERROR(IF($L232&gt;0,IF(INDEX('Invullen groen'!$I:$I,$L232)=0,"",INT(INDEX('Invullen groen'!$I:$I,$L232))),""),"")</f>
        <v/>
      </c>
      <c r="H232" s="236">
        <f>IFERROR(IF($L232&gt;0,IF(INDEX('Invullen groen'!$J:$J,$L232)=0,"",INT(INDEX('Invullen groen'!$J:$J,$L232))),""),"")</f>
        <v/>
      </c>
      <c r="I232" s="236">
        <f>IFERROR(IF($L232&gt;0,IF(INDEX('Invullen groen'!$K:$K,$L232)=0,"",INT(INDEX('Invullen groen'!$K:$K,$L232))),""),"")</f>
        <v/>
      </c>
      <c r="J232">
        <f>IF($L232&gt;0,IFERROR($K$1&amp;" "&amp;TRIM(SUBSTITUTE(SUBSTITUTE(SUBSTITUTE(SUBSTITUTE(SUBSTITUTE(SUBSTITUTE(SUBSTITUTE(SUBSTITUTE(SUBSTITUTE(SUBSTITUTE(SUBSTITUTE(SUBSTITUTE(LOWER(IF(LEFT(TEXT(INDEX('Invullen groen'!$E:$E,$L232),"0"),1)="6",INDEX('Invullen groen'!$O:$O,$L232),IF(INDEX('Invullen groen'!$N:$N,$L232)&gt;0,INDEX('Invullen groen'!$G:$G,$L232),INDEX('Invullen groen'!$O:$O,$L232)))),"2024",""),"2025",""),"2026",""),"2027",""),"2028",""),"2029",""),"taakveld ",""),"installaties","inst"),"ruwbouw","ruwb"),"afbouw","afb"),"bijstelling","bijst"),"investeringen","invest")),""),")</f>
        <v/>
      </c>
      <c r="L232">
        <f>IFERROR(MATCH(ROW()-104,'Invullen groen'!$S$121:$S$272,0)+120,0)</f>
        <v/>
      </c>
    </row>
    <row r="233" hidden="1">
      <c r="A233" s="237">
        <f>IF($L233&gt;0,"+","")</f>
        <v/>
      </c>
      <c r="B233">
        <f>IFERROR(IF($L233&gt;0,IF(INDEX('Invullen groen'!$F:$F,$L233)&gt;0,INDEX('Invullen groen'!$F:$F,$L233),""),""),"")</f>
        <v/>
      </c>
      <c r="C233">
        <f>IFERROR(IF($L233&gt;0,IF(INDEX('Invullen groen'!$N:$N,$L233)&gt;0,INDEX('Invullen groen'!$N:$N,$L233),""),""),"")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IFERROR(IF($L233&gt;0,IF(INDEX('Invullen groen'!$H:$H,$L233)=0,"",INT(INDEX('Invullen groen'!$H:$H,$L233))),""),"")</f>
        <v/>
      </c>
      <c r="G233" s="236">
        <f>IFERROR(IF($L233&gt;0,IF(INDEX('Invullen groen'!$I:$I,$L233)=0,"",INT(INDEX('Invullen groen'!$I:$I,$L233))),""),"")</f>
        <v/>
      </c>
      <c r="H233" s="236">
        <f>IFERROR(IF($L233&gt;0,IF(INDEX('Invullen groen'!$J:$J,$L233)=0,"",INT(INDEX('Invullen groen'!$J:$J,$L233))),""),"")</f>
        <v/>
      </c>
      <c r="I233" s="236">
        <f>IFERROR(IF($L233&gt;0,IF(INDEX('Invullen groen'!$K:$K,$L233)=0,"",INT(INDEX('Invullen groen'!$K:$K,$L233))),""),"")</f>
        <v/>
      </c>
      <c r="J233">
        <f>IF($L233&gt;0,IFERROR($K$1&amp;" "&amp;TRIM(SUBSTITUTE(SUBSTITUTE(SUBSTITUTE(SUBSTITUTE(SUBSTITUTE(SUBSTITUTE(SUBSTITUTE(SUBSTITUTE(SUBSTITUTE(SUBSTITUTE(SUBSTITUTE(SUBSTITUTE(LOWER(IF(LEFT(TEXT(INDEX('Invullen groen'!$E:$E,$L233),"0"),1)="6",INDEX('Invullen groen'!$O:$O,$L233),IF(INDEX('Invullen groen'!$N:$N,$L233)&gt;0,INDEX('Invullen groen'!$G:$G,$L233),INDEX('Invullen groen'!$O:$O,$L233)))),"2024",""),"2025",""),"2026",""),"2027",""),"2028",""),"2029",""),"taakveld ",""),"installaties","inst"),"ruwbouw","ruwb"),"afbouw","afb"),"bijstelling","bijst"),"investeringen","invest")),""),")</f>
        <v/>
      </c>
      <c r="L233">
        <f>IFERROR(MATCH(ROW()-104,'Invullen groen'!$S$121:$S$272,0)+120,0)</f>
        <v/>
      </c>
    </row>
    <row r="234" hidden="1">
      <c r="A234" s="237">
        <f>IF($L234&gt;0,"+","")</f>
        <v/>
      </c>
      <c r="B234">
        <f>IFERROR(IF($L234&gt;0,IF(INDEX('Invullen groen'!$F:$F,$L234)&gt;0,INDEX('Invullen groen'!$F:$F,$L234),""),""),"")</f>
        <v/>
      </c>
      <c r="C234">
        <f>IFERROR(IF($L234&gt;0,IF(INDEX('Invullen groen'!$N:$N,$L234)&gt;0,INDEX('Invullen groen'!$N:$N,$L234),""),""),"")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IFERROR(IF($L234&gt;0,IF(INDEX('Invullen groen'!$H:$H,$L234)=0,"",INT(INDEX('Invullen groen'!$H:$H,$L234))),""),"")</f>
        <v/>
      </c>
      <c r="G234" s="236">
        <f>IFERROR(IF($L234&gt;0,IF(INDEX('Invullen groen'!$I:$I,$L234)=0,"",INT(INDEX('Invullen groen'!$I:$I,$L234))),""),"")</f>
        <v/>
      </c>
      <c r="H234" s="236">
        <f>IFERROR(IF($L234&gt;0,IF(INDEX('Invullen groen'!$J:$J,$L234)=0,"",INT(INDEX('Invullen groen'!$J:$J,$L234))),""),"")</f>
        <v/>
      </c>
      <c r="I234" s="236">
        <f>IFERROR(IF($L234&gt;0,IF(INDEX('Invullen groen'!$K:$K,$L234)=0,"",INT(INDEX('Invullen groen'!$K:$K,$L234))),""),"")</f>
        <v/>
      </c>
      <c r="J234">
        <f>IF($L234&gt;0,IFERROR($K$1&amp;" "&amp;TRIM(SUBSTITUTE(SUBSTITUTE(SUBSTITUTE(SUBSTITUTE(SUBSTITUTE(SUBSTITUTE(SUBSTITUTE(SUBSTITUTE(SUBSTITUTE(SUBSTITUTE(SUBSTITUTE(SUBSTITUTE(LOWER(IF(LEFT(TEXT(INDEX('Invullen groen'!$E:$E,$L234),"0"),1)="6",INDEX('Invullen groen'!$O:$O,$L234),IF(INDEX('Invullen groen'!$N:$N,$L234)&gt;0,INDEX('Invullen groen'!$G:$G,$L234),INDEX('Invullen groen'!$O:$O,$L234)))),"2024",""),"2025",""),"2026",""),"2027",""),"2028",""),"2029",""),"taakveld ",""),"installaties","inst"),"ruwbouw","ruwb"),"afbouw","afb"),"bijstelling","bijst"),"investeringen","invest")),""),")</f>
        <v/>
      </c>
      <c r="L234">
        <f>IFERROR(MATCH(ROW()-104,'Invullen groen'!$S$121:$S$272,0)+120,0)</f>
        <v/>
      </c>
    </row>
    <row r="235" hidden="1">
      <c r="A235" s="237">
        <f>IF($L235&gt;0,"+","")</f>
        <v/>
      </c>
      <c r="B235">
        <f>IFERROR(IF($L235&gt;0,IF(INDEX('Invullen groen'!$F:$F,$L235)&gt;0,INDEX('Invullen groen'!$F:$F,$L235),""),""),"")</f>
        <v/>
      </c>
      <c r="C235">
        <f>IFERROR(IF($L235&gt;0,IF(INDEX('Invullen groen'!$N:$N,$L235)&gt;0,INDEX('Invullen groen'!$N:$N,$L235),""),""),"")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IFERROR(IF($L235&gt;0,IF(INDEX('Invullen groen'!$H:$H,$L235)=0,"",INT(INDEX('Invullen groen'!$H:$H,$L235))),""),"")</f>
        <v/>
      </c>
      <c r="G235" s="236">
        <f>IFERROR(IF($L235&gt;0,IF(INDEX('Invullen groen'!$I:$I,$L235)=0,"",INT(INDEX('Invullen groen'!$I:$I,$L235))),""),"")</f>
        <v/>
      </c>
      <c r="H235" s="236">
        <f>IFERROR(IF($L235&gt;0,IF(INDEX('Invullen groen'!$J:$J,$L235)=0,"",INT(INDEX('Invullen groen'!$J:$J,$L235))),""),"")</f>
        <v/>
      </c>
      <c r="I235" s="236">
        <f>IFERROR(IF($L235&gt;0,IF(INDEX('Invullen groen'!$K:$K,$L235)=0,"",INT(INDEX('Invullen groen'!$K:$K,$L235))),""),"")</f>
        <v/>
      </c>
      <c r="J235">
        <f>IF($L235&gt;0,IFERROR($K$1&amp;" "&amp;TRIM(SUBSTITUTE(SUBSTITUTE(SUBSTITUTE(SUBSTITUTE(SUBSTITUTE(SUBSTITUTE(SUBSTITUTE(SUBSTITUTE(SUBSTITUTE(SUBSTITUTE(SUBSTITUTE(SUBSTITUTE(LOWER(IF(LEFT(TEXT(INDEX('Invullen groen'!$E:$E,$L235),"0"),1)="6",INDEX('Invullen groen'!$O:$O,$L235),IF(INDEX('Invullen groen'!$N:$N,$L235)&gt;0,INDEX('Invullen groen'!$G:$G,$L235),INDEX('Invullen groen'!$O:$O,$L235)))),"2024",""),"2025",""),"2026",""),"2027",""),"2028",""),"2029",""),"taakveld ",""),"installaties","inst"),"ruwbouw","ruwb"),"afbouw","afb"),"bijstelling","bijst"),"investeringen","invest")),""),")</f>
        <v/>
      </c>
      <c r="L235">
        <f>IFERROR(MATCH(ROW()-104,'Invullen groen'!$S$121:$S$272,0)+120,0)</f>
        <v/>
      </c>
    </row>
    <row r="236" hidden="1">
      <c r="A236" s="237">
        <f>IF($L236&gt;0,"+","")</f>
        <v/>
      </c>
      <c r="B236">
        <f>IFERROR(IF($L236&gt;0,IF(INDEX('Invullen groen'!$F:$F,$L236)&gt;0,INDEX('Invullen groen'!$F:$F,$L236),""),""),"")</f>
        <v/>
      </c>
      <c r="C236">
        <f>IFERROR(IF($L236&gt;0,IF(INDEX('Invullen groen'!$N:$N,$L236)&gt;0,INDEX('Invullen groen'!$N:$N,$L236),""),""),"")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IFERROR(IF($L236&gt;0,IF(INDEX('Invullen groen'!$H:$H,$L236)=0,"",INT(INDEX('Invullen groen'!$H:$H,$L236))),""),"")</f>
        <v/>
      </c>
      <c r="G236" s="236">
        <f>IFERROR(IF($L236&gt;0,IF(INDEX('Invullen groen'!$I:$I,$L236)=0,"",INT(INDEX('Invullen groen'!$I:$I,$L236))),""),"")</f>
        <v/>
      </c>
      <c r="H236" s="236">
        <f>IFERROR(IF($L236&gt;0,IF(INDEX('Invullen groen'!$J:$J,$L236)=0,"",INT(INDEX('Invullen groen'!$J:$J,$L236))),""),"")</f>
        <v/>
      </c>
      <c r="I236" s="236">
        <f>IFERROR(IF($L236&gt;0,IF(INDEX('Invullen groen'!$K:$K,$L236)=0,"",INT(INDEX('Invullen groen'!$K:$K,$L236))),""),"")</f>
        <v/>
      </c>
      <c r="J236">
        <f>IF($L236&gt;0,IFERROR($K$1&amp;" "&amp;TRIM(SUBSTITUTE(SUBSTITUTE(SUBSTITUTE(SUBSTITUTE(SUBSTITUTE(SUBSTITUTE(SUBSTITUTE(SUBSTITUTE(SUBSTITUTE(SUBSTITUTE(SUBSTITUTE(SUBSTITUTE(LOWER(IF(LEFT(TEXT(INDEX('Invullen groen'!$E:$E,$L236),"0"),1)="6",INDEX('Invullen groen'!$O:$O,$L236),IF(INDEX('Invullen groen'!$N:$N,$L236)&gt;0,INDEX('Invullen groen'!$G:$G,$L236),INDEX('Invullen groen'!$O:$O,$L236)))),"2024",""),"2025",""),"2026",""),"2027",""),"2028",""),"2029",""),"taakveld ",""),"installaties","inst"),"ruwbouw","ruwb"),"afbouw","afb"),"bijstelling","bijst"),"investeringen","invest")),""),")</f>
        <v/>
      </c>
      <c r="L236">
        <f>IFERROR(MATCH(ROW()-104,'Invullen groen'!$S$121:$S$272,0)+120,0)</f>
        <v/>
      </c>
    </row>
    <row r="237" hidden="1">
      <c r="A237" s="237">
        <f>IF($L237&gt;0,"+","")</f>
        <v/>
      </c>
      <c r="B237">
        <f>IFERROR(IF($L237&gt;0,IF(INDEX('Invullen groen'!$F:$F,$L237)&gt;0,INDEX('Invullen groen'!$F:$F,$L237),""),""),"")</f>
        <v/>
      </c>
      <c r="C237">
        <f>IFERROR(IF($L237&gt;0,IF(INDEX('Invullen groen'!$N:$N,$L237)&gt;0,INDEX('Invullen groen'!$N:$N,$L237),""),""),"")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IFERROR(IF($L237&gt;0,IF(INDEX('Invullen groen'!$H:$H,$L237)=0,"",INT(INDEX('Invullen groen'!$H:$H,$L237))),""),"")</f>
        <v/>
      </c>
      <c r="G237" s="236">
        <f>IFERROR(IF($L237&gt;0,IF(INDEX('Invullen groen'!$I:$I,$L237)=0,"",INT(INDEX('Invullen groen'!$I:$I,$L237))),""),"")</f>
        <v/>
      </c>
      <c r="H237" s="236">
        <f>IFERROR(IF($L237&gt;0,IF(INDEX('Invullen groen'!$J:$J,$L237)=0,"",INT(INDEX('Invullen groen'!$J:$J,$L237))),""),"")</f>
        <v/>
      </c>
      <c r="I237" s="236">
        <f>IFERROR(IF($L237&gt;0,IF(INDEX('Invullen groen'!$K:$K,$L237)=0,"",INT(INDEX('Invullen groen'!$K:$K,$L237))),""),"")</f>
        <v/>
      </c>
      <c r="J237">
        <f>IF($L237&gt;0,IFERROR($K$1&amp;" "&amp;TRIM(SUBSTITUTE(SUBSTITUTE(SUBSTITUTE(SUBSTITUTE(SUBSTITUTE(SUBSTITUTE(SUBSTITUTE(SUBSTITUTE(SUBSTITUTE(SUBSTITUTE(SUBSTITUTE(SUBSTITUTE(LOWER(IF(LEFT(TEXT(INDEX('Invullen groen'!$E:$E,$L237),"0"),1)="6",INDEX('Invullen groen'!$O:$O,$L237),IF(INDEX('Invullen groen'!$N:$N,$L237)&gt;0,INDEX('Invullen groen'!$G:$G,$L237),INDEX('Invullen groen'!$O:$O,$L237)))),"2024",""),"2025",""),"2026",""),"2027",""),"2028",""),"2029",""),"taakveld ",""),"installaties","inst"),"ruwbouw","ruwb"),"afbouw","afb"),"bijstelling","bijst"),"investeringen","invest")),""),")</f>
        <v/>
      </c>
      <c r="L237">
        <f>IFERROR(MATCH(ROW()-104,'Invullen groen'!$S$121:$S$272,0)+120,0)</f>
        <v/>
      </c>
    </row>
    <row r="238" hidden="1">
      <c r="A238" s="237">
        <f>IF($L238&gt;0,"+","")</f>
        <v/>
      </c>
      <c r="B238">
        <f>IFERROR(IF($L238&gt;0,IF(INDEX('Invullen groen'!$F:$F,$L238)&gt;0,INDEX('Invullen groen'!$F:$F,$L238),""),""),"")</f>
        <v/>
      </c>
      <c r="C238">
        <f>IFERROR(IF($L238&gt;0,IF(INDEX('Invullen groen'!$N:$N,$L238)&gt;0,INDEX('Invullen groen'!$N:$N,$L238),""),""),"")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IFERROR(IF($L238&gt;0,IF(INDEX('Invullen groen'!$H:$H,$L238)=0,"",INT(INDEX('Invullen groen'!$H:$H,$L238))),""),"")</f>
        <v/>
      </c>
      <c r="G238" s="236">
        <f>IFERROR(IF($L238&gt;0,IF(INDEX('Invullen groen'!$I:$I,$L238)=0,"",INT(INDEX('Invullen groen'!$I:$I,$L238))),""),"")</f>
        <v/>
      </c>
      <c r="H238" s="236">
        <f>IFERROR(IF($L238&gt;0,IF(INDEX('Invullen groen'!$J:$J,$L238)=0,"",INT(INDEX('Invullen groen'!$J:$J,$L238))),""),"")</f>
        <v/>
      </c>
      <c r="I238" s="236">
        <f>IFERROR(IF($L238&gt;0,IF(INDEX('Invullen groen'!$K:$K,$L238)=0,"",INT(INDEX('Invullen groen'!$K:$K,$L238))),""),"")</f>
        <v/>
      </c>
      <c r="J238">
        <f>IF($L238&gt;0,IFERROR($K$1&amp;" "&amp;TRIM(SUBSTITUTE(SUBSTITUTE(SUBSTITUTE(SUBSTITUTE(SUBSTITUTE(SUBSTITUTE(SUBSTITUTE(SUBSTITUTE(SUBSTITUTE(SUBSTITUTE(SUBSTITUTE(SUBSTITUTE(LOWER(IF(LEFT(TEXT(INDEX('Invullen groen'!$E:$E,$L238),"0"),1)="6",INDEX('Invullen groen'!$O:$O,$L238),IF(INDEX('Invullen groen'!$N:$N,$L238)&gt;0,INDEX('Invullen groen'!$G:$G,$L238),INDEX('Invullen groen'!$O:$O,$L238)))),"2024",""),"2025",""),"2026",""),"2027",""),"2028",""),"2029",""),"taakveld ",""),"installaties","inst"),"ruwbouw","ruwb"),"afbouw","afb"),"bijstelling","bijst"),"investeringen","invest")),""),")</f>
        <v/>
      </c>
      <c r="L238">
        <f>IFERROR(MATCH(ROW()-104,'Invullen groen'!$S$121:$S$272,0)+120,0)</f>
        <v/>
      </c>
    </row>
    <row r="239" hidden="1">
      <c r="A239" s="237">
        <f>IF($L239&gt;0,"+","")</f>
        <v/>
      </c>
      <c r="B239">
        <f>IFERROR(IF($L239&gt;0,IF(INDEX('Invullen groen'!$F:$F,$L239)&gt;0,INDEX('Invullen groen'!$F:$F,$L239),""),""),"")</f>
        <v/>
      </c>
      <c r="C239">
        <f>IFERROR(IF($L239&gt;0,IF(INDEX('Invullen groen'!$N:$N,$L239)&gt;0,INDEX('Invullen groen'!$N:$N,$L239),""),""),"")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IFERROR(IF($L239&gt;0,IF(INDEX('Invullen groen'!$H:$H,$L239)=0,"",INT(INDEX('Invullen groen'!$H:$H,$L239))),""),"")</f>
        <v/>
      </c>
      <c r="G239" s="236">
        <f>IFERROR(IF($L239&gt;0,IF(INDEX('Invullen groen'!$I:$I,$L239)=0,"",INT(INDEX('Invullen groen'!$I:$I,$L239))),""),"")</f>
        <v/>
      </c>
      <c r="H239" s="236">
        <f>IFERROR(IF($L239&gt;0,IF(INDEX('Invullen groen'!$J:$J,$L239)=0,"",INT(INDEX('Invullen groen'!$J:$J,$L239))),""),"")</f>
        <v/>
      </c>
      <c r="I239" s="236">
        <f>IFERROR(IF($L239&gt;0,IF(INDEX('Invullen groen'!$K:$K,$L239)=0,"",INT(INDEX('Invullen groen'!$K:$K,$L239))),""),"")</f>
        <v/>
      </c>
      <c r="J239">
        <f>IF($L239&gt;0,IFERROR($K$1&amp;" "&amp;TRIM(SUBSTITUTE(SUBSTITUTE(SUBSTITUTE(SUBSTITUTE(SUBSTITUTE(SUBSTITUTE(SUBSTITUTE(SUBSTITUTE(SUBSTITUTE(SUBSTITUTE(SUBSTITUTE(SUBSTITUTE(LOWER(IF(LEFT(TEXT(INDEX('Invullen groen'!$E:$E,$L239),"0"),1)="6",INDEX('Invullen groen'!$O:$O,$L239),IF(INDEX('Invullen groen'!$N:$N,$L239)&gt;0,INDEX('Invullen groen'!$G:$G,$L239),INDEX('Invullen groen'!$O:$O,$L239)))),"2024",""),"2025",""),"2026",""),"2027",""),"2028",""),"2029",""),"taakveld ",""),"installaties","inst"),"ruwbouw","ruwb"),"afbouw","afb"),"bijstelling","bijst"),"investeringen","invest")),""),")</f>
        <v/>
      </c>
      <c r="L239">
        <f>IFERROR(MATCH(ROW()-104,'Invullen groen'!$S$121:$S$272,0)+120,0)</f>
        <v/>
      </c>
    </row>
    <row r="240">
      <c r="A240" s="237">
        <f>IF($L240&gt;0,"+","")</f>
        <v/>
      </c>
      <c r="B240">
        <f>IFERROR(IF($L240&gt;0,IF(INDEX('Invullen groen'!$F:$F,$L240)&gt;0,INDEX('Invullen groen'!$F:$F,$L240),""),""),"")</f>
        <v/>
      </c>
      <c r="C240">
        <f>IFERROR(IF($L240&gt;0,IF(INDEX('Invullen groen'!$N:$N,$L240)&gt;0,INDEX('Invullen groen'!$N:$N,$L240),""),""),"")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IFERROR(IF($L240&gt;0,IF(INDEX('Invullen groen'!$H:$H,$L240)=0,"",INT(INDEX('Invullen groen'!$H:$H,$L240))),""),"")</f>
        <v/>
      </c>
      <c r="G240" s="236">
        <f>IFERROR(IF($L240&gt;0,IF(INDEX('Invullen groen'!$I:$I,$L240)=0,"",INT(INDEX('Invullen groen'!$I:$I,$L240))),""),"")</f>
        <v/>
      </c>
      <c r="H240" s="236">
        <f>IFERROR(IF($L240&gt;0,IF(INDEX('Invullen groen'!$J:$J,$L240)=0,"",INT(INDEX('Invullen groen'!$J:$J,$L240))),""),"")</f>
        <v/>
      </c>
      <c r="I240" s="236">
        <f>IFERROR(IF($L240&gt;0,IF(INDEX('Invullen groen'!$K:$K,$L240)=0,"",INT(INDEX('Invullen groen'!$K:$K,$L240))),""),"")</f>
        <v/>
      </c>
      <c r="J240">
        <f>IF($L240&gt;0,IFERROR($K$1&amp;" "&amp;TRIM(SUBSTITUTE(SUBSTITUTE(SUBSTITUTE(SUBSTITUTE(SUBSTITUTE(SUBSTITUTE(SUBSTITUTE(SUBSTITUTE(SUBSTITUTE(SUBSTITUTE(SUBSTITUTE(SUBSTITUTE(LOWER(IF(LEFT(TEXT(INDEX('Invullen groen'!$E:$E,$L240),"0"),1)="6",INDEX('Invullen groen'!$O:$O,$L240),IF(INDEX('Invullen groen'!$N:$N,$L240)&gt;0,INDEX('Invullen groen'!$G:$G,$L240),INDEX('Invullen groen'!$O:$O,$L240)))),"2024",""),"2025",""),"2026",""),"2027",""),"2028",""),"2029",""),"taakveld ",""),"installaties","inst"),"ruwbouw","ruwb"),"afbouw","afb"),"bijstelling","bijst"),"investeringen","invest")),""),")</f>
        <v/>
      </c>
      <c r="L240">
        <f>IFERROR(MATCH(ROW()-104,'Invullen groen'!$S$121:$S$272,0)+120,0)</f>
        <v/>
      </c>
    </row>
    <row r="241">
      <c r="A241" s="237">
        <f>IF($L241&gt;0,"+","")</f>
        <v/>
      </c>
      <c r="B241">
        <f>IFERROR(IF($L241&gt;0,IF(INDEX('Invullen groen'!$F:$F,$L241)&gt;0,INDEX('Invullen groen'!$F:$F,$L241),""),""),"")</f>
        <v/>
      </c>
      <c r="C241">
        <f>IFERROR(IF($L241&gt;0,IF(INDEX('Invullen groen'!$N:$N,$L241)&gt;0,INDEX('Invullen groen'!$N:$N,$L241),""),""),"")</f>
        <v/>
      </c>
      <c r="E241">
        <f>IFERROR(IF(LEN(J241)&lt;=36,J241,IFERROR(LEFT(J241,FIND(CHAR(1),SUBSTITUTE(LEFT(J241,36)," ",CHAR(1),LEN(LEFT(J241,36))-LEN(SUBSTITUTE(LEFT(J241,36)," ",""))))-1),LEFT(J241,36))),"")</f>
        <v/>
      </c>
      <c r="F241" s="236">
        <f>IFERROR(IF($L241&gt;0,IF(INDEX('Invullen groen'!$H:$H,$L241)=0,"",INT(INDEX('Invullen groen'!$H:$H,$L241))),""),"")</f>
        <v/>
      </c>
      <c r="G241" s="236">
        <f>IFERROR(IF($L241&gt;0,IF(INDEX('Invullen groen'!$I:$I,$L241)=0,"",INT(INDEX('Invullen groen'!$I:$I,$L241))),""),"")</f>
        <v/>
      </c>
      <c r="H241" s="236">
        <f>IFERROR(IF($L241&gt;0,IF(INDEX('Invullen groen'!$J:$J,$L241)=0,"",INT(INDEX('Invullen groen'!$J:$J,$L241))),""),"")</f>
        <v/>
      </c>
      <c r="I241" s="236">
        <f>IFERROR(IF($L241&gt;0,IF(INDEX('Invullen groen'!$K:$K,$L241)=0,"",INT(INDEX('Invullen groen'!$K:$K,$L241))),""),"")</f>
        <v/>
      </c>
      <c r="J241">
        <f>IF($L241&gt;0,IFERROR($K$1&amp;" "&amp;TRIM(SUBSTITUTE(SUBSTITUTE(SUBSTITUTE(SUBSTITUTE(SUBSTITUTE(SUBSTITUTE(SUBSTITUTE(SUBSTITUTE(SUBSTITUTE(SUBSTITUTE(SUBSTITUTE(SUBSTITUTE(LOWER(IF(LEFT(TEXT(INDEX('Invullen groen'!$E:$E,$L241),"0"),1)="6",INDEX('Invullen groen'!$O:$O,$L241),IF(INDEX('Invullen groen'!$N:$N,$L241)&gt;0,INDEX('Invullen groen'!$G:$G,$L241),INDEX('Invullen groen'!$O:$O,$L241)))),"2024",""),"2025",""),"2026",""),"2027",""),"2028",""),"2029",""),"taakveld ",""),"installaties","inst"),"ruwbouw","ruwb"),"afbouw","afb"),"bijstelling","bijst"),"investeringen","invest")),""),")</f>
        <v/>
      </c>
      <c r="L241">
        <f>IFERROR(MATCH(ROW()-104,'Invullen groen'!$S$121:$S$272,0)+120,0)</f>
        <v/>
      </c>
    </row>
    <row r="242">
      <c r="A242" s="237">
        <f>IF($L242&gt;0,"+","")</f>
        <v/>
      </c>
      <c r="B242">
        <f>IFERROR(IF($L242&gt;0,IF(INDEX('Invullen groen'!$F:$F,$L242)&gt;0,INDEX('Invullen groen'!$F:$F,$L242),""),""),"")</f>
        <v/>
      </c>
      <c r="C242">
        <f>IFERROR(IF($L242&gt;0,IF(INDEX('Invullen groen'!$N:$N,$L242)&gt;0,INDEX('Invullen groen'!$N:$N,$L242),""),""),"")</f>
        <v/>
      </c>
      <c r="E242">
        <f>IFERROR(IF(LEN(J242)&lt;=36,J242,IFERROR(LEFT(J242,FIND(CHAR(1),SUBSTITUTE(LEFT(J242,36)," ",CHAR(1),LEN(LEFT(J242,36))-LEN(SUBSTITUTE(LEFT(J242,36)," ",""))))-1),LEFT(J242,36))),"")</f>
        <v/>
      </c>
      <c r="F242">
        <f>IFERROR(IF($L242&gt;0,IF(INDEX('Invullen groen'!$H:$H,$L242)=0,"",INT(INDEX('Invullen groen'!$H:$H,$L242))),""),"")</f>
        <v/>
      </c>
      <c r="G242">
        <f>IFERROR(IF($L242&gt;0,IF(INDEX('Invullen groen'!$I:$I,$L242)=0,"",INT(INDEX('Invullen groen'!$I:$I,$L242))),""),"")</f>
        <v/>
      </c>
      <c r="H242">
        <f>IFERROR(IF($L242&gt;0,IF(INDEX('Invullen groen'!$J:$J,$L242)=0,"",INT(INDEX('Invullen groen'!$J:$J,$L242))),""),"")</f>
        <v/>
      </c>
      <c r="I242">
        <f>IFERROR(IF($L242&gt;0,IF(INDEX('Invullen groen'!$K:$K,$L242)=0,"",INT(INDEX('Invullen groen'!$K:$K,$L242))),""),"")</f>
        <v/>
      </c>
      <c r="J242">
        <f>IF($L242&gt;0,IFERROR($K$1&amp;" "&amp;TRIM(SUBSTITUTE(SUBSTITUTE(SUBSTITUTE(SUBSTITUTE(SUBSTITUTE(SUBSTITUTE(SUBSTITUTE(SUBSTITUTE(SUBSTITUTE(SUBSTITUTE(SUBSTITUTE(SUBSTITUTE(LOWER(IF(LEFT(TEXT(INDEX('Invullen groen'!$E:$E,$L242),"0"),1)="6",INDEX('Invullen groen'!$O:$O,$L242),IF(INDEX('Invullen groen'!$N:$N,$L242)&gt;0,INDEX('Invullen groen'!$G:$G,$L242),INDEX('Invullen groen'!$O:$O,$L242)))),"2024",""),"2025",""),"2026",""),"2027",""),"2028",""),"2029",""),"taakveld ",""),"installaties","inst"),"ruwbouw","ruwb"),"afbouw","afb"),"bijstelling","bijst"),"investeringen","invest")),""),")</f>
        <v/>
      </c>
      <c r="L242">
        <f>IFERROR(MATCH(ROW()-104,'Invullen groen'!$S$121:$S$272,0)+120,0)</f>
        <v/>
      </c>
    </row>
    <row r="243">
      <c r="A243" s="237">
        <f>IF($L243&gt;0,"+","")</f>
        <v/>
      </c>
      <c r="B243">
        <f>IFERROR(IF($L243&gt;0,IF(INDEX('Invullen groen'!$F:$F,$L243)&gt;0,INDEX('Invullen groen'!$F:$F,$L243),""),""),"")</f>
        <v/>
      </c>
      <c r="C243">
        <f>IFERROR(IF($L243&gt;0,IF(INDEX('Invullen groen'!$N:$N,$L243)&gt;0,INDEX('Invullen groen'!$N:$N,$L243),""),""),"")</f>
        <v/>
      </c>
      <c r="E243">
        <f>IFERROR(IF(LEN(J243)&lt;=36,J243,IFERROR(LEFT(J243,FIND(CHAR(1),SUBSTITUTE(LEFT(J243,36)," ",CHAR(1),LEN(LEFT(J243,36))-LEN(SUBSTITUTE(LEFT(J243,36)," ",""))))-1),LEFT(J243,36))),"")</f>
        <v/>
      </c>
      <c r="F243">
        <f>IFERROR(IF($L243&gt;0,IF(INDEX('Invullen groen'!$H:$H,$L243)=0,"",INT(INDEX('Invullen groen'!$H:$H,$L243))),""),"")</f>
        <v/>
      </c>
      <c r="G243">
        <f>IFERROR(IF($L243&gt;0,IF(INDEX('Invullen groen'!$I:$I,$L243)=0,"",INT(INDEX('Invullen groen'!$I:$I,$L243))),""),"")</f>
        <v/>
      </c>
      <c r="H243">
        <f>IFERROR(IF($L243&gt;0,IF(INDEX('Invullen groen'!$J:$J,$L243)=0,"",INT(INDEX('Invullen groen'!$J:$J,$L243))),""),"")</f>
        <v/>
      </c>
      <c r="I243">
        <f>IFERROR(IF($L243&gt;0,IF(INDEX('Invullen groen'!$K:$K,$L243)=0,"",INT(INDEX('Invullen groen'!$K:$K,$L243))),""),"")</f>
        <v/>
      </c>
      <c r="J243">
        <f>IF($L243&gt;0,IFERROR($K$1&amp;" "&amp;TRIM(SUBSTITUTE(SUBSTITUTE(SUBSTITUTE(SUBSTITUTE(SUBSTITUTE(SUBSTITUTE(SUBSTITUTE(SUBSTITUTE(SUBSTITUTE(SUBSTITUTE(SUBSTITUTE(SUBSTITUTE(LOWER(IF(LEFT(TEXT(INDEX('Invullen groen'!$E:$E,$L243),"0"),1)="6",INDEX('Invullen groen'!$O:$O,$L243),IF(INDEX('Invullen groen'!$N:$N,$L243)&gt;0,INDEX('Invullen groen'!$G:$G,$L243),INDEX('Invullen groen'!$O:$O,$L243)))),"2024",""),"2025",""),"2026",""),"2027",""),"2028",""),"2029",""),"taakveld ",""),"installaties","inst"),"ruwbouw","ruwb"),"afbouw","afb"),"bijstelling","bijst"),"investeringen","invest")),""),")</f>
        <v/>
      </c>
      <c r="L243">
        <f>IFERROR(MATCH(ROW()-104,'Invullen groen'!$S$121:$S$272,0)+120,0)</f>
        <v/>
      </c>
    </row>
    <row r="244">
      <c r="A244" s="237">
        <f>IF($L244&gt;0,"+","")</f>
        <v/>
      </c>
      <c r="B244">
        <f>IFERROR(IF($L244&gt;0,IF(INDEX('Invullen groen'!$F:$F,$L244)&gt;0,INDEX('Invullen groen'!$F:$F,$L244),""),""),"")</f>
        <v/>
      </c>
      <c r="C244">
        <f>IFERROR(IF($L244&gt;0,IF(INDEX('Invullen groen'!$N:$N,$L244)&gt;0,INDEX('Invullen groen'!$N:$N,$L244),""),""),"")</f>
        <v/>
      </c>
      <c r="E244">
        <f>IFERROR(IF(LEN(J244)&lt;=36,J244,IFERROR(LEFT(J244,FIND(CHAR(1),SUBSTITUTE(LEFT(J244,36)," ",CHAR(1),LEN(LEFT(J244,36))-LEN(SUBSTITUTE(LEFT(J244,36)," ",""))))-1),LEFT(J244,36))),"")</f>
        <v/>
      </c>
      <c r="F244">
        <f>IFERROR(IF($L244&gt;0,IF(INDEX('Invullen groen'!$H:$H,$L244)=0,"",INT(INDEX('Invullen groen'!$H:$H,$L244))),""),"")</f>
        <v/>
      </c>
      <c r="G244">
        <f>IFERROR(IF($L244&gt;0,IF(INDEX('Invullen groen'!$I:$I,$L244)=0,"",INT(INDEX('Invullen groen'!$I:$I,$L244))),""),"")</f>
        <v/>
      </c>
      <c r="H244">
        <f>IFERROR(IF($L244&gt;0,IF(INDEX('Invullen groen'!$J:$J,$L244)=0,"",INT(INDEX('Invullen groen'!$J:$J,$L244))),""),"")</f>
        <v/>
      </c>
      <c r="I244">
        <f>IFERROR(IF($L244&gt;0,IF(INDEX('Invullen groen'!$K:$K,$L244)=0,"",INT(INDEX('Invullen groen'!$K:$K,$L244))),""),"")</f>
        <v/>
      </c>
      <c r="J244">
        <f>IF($L244&gt;0,IFERROR($K$1&amp;" "&amp;TRIM(SUBSTITUTE(SUBSTITUTE(SUBSTITUTE(SUBSTITUTE(SUBSTITUTE(SUBSTITUTE(SUBSTITUTE(SUBSTITUTE(SUBSTITUTE(SUBSTITUTE(SUBSTITUTE(SUBSTITUTE(LOWER(IF(LEFT(TEXT(INDEX('Invullen groen'!$E:$E,$L244),"0"),1)="6",INDEX('Invullen groen'!$O:$O,$L244),IF(INDEX('Invullen groen'!$N:$N,$L244)&gt;0,INDEX('Invullen groen'!$G:$G,$L244),INDEX('Invullen groen'!$O:$O,$L244)))),"2024",""),"2025",""),"2026",""),"2027",""),"2028",""),"2029",""),"taakveld ",""),"installaties","inst"),"ruwbouw","ruwb"),"afbouw","afb"),"bijstelling","bijst"),"investeringen","invest")),""),")</f>
        <v/>
      </c>
      <c r="L244">
        <f>IFERROR(MATCH(ROW()-104,'Invullen groen'!$S$121:$S$272,0)+120,0)</f>
        <v/>
      </c>
    </row>
    <row r="245">
      <c r="A245" s="237">
        <f>IF($L245&gt;0,"+","")</f>
        <v/>
      </c>
      <c r="B245">
        <f>IFERROR(IF($L245&gt;0,IF(INDEX('Invullen groen'!$F:$F,$L245)&gt;0,INDEX('Invullen groen'!$F:$F,$L245),""),""),"")</f>
        <v/>
      </c>
      <c r="C245">
        <f>IFERROR(IF($L245&gt;0,IF(INDEX('Invullen groen'!$N:$N,$L245)&gt;0,INDEX('Invullen groen'!$N:$N,$L245),""),""),"")</f>
        <v/>
      </c>
      <c r="E245">
        <f>IFERROR(IF(LEN(J245)&lt;=36,J245,IFERROR(LEFT(J245,FIND(CHAR(1),SUBSTITUTE(LEFT(J245,36)," ",CHAR(1),LEN(LEFT(J245,36))-LEN(SUBSTITUTE(LEFT(J245,36)," ",""))))-1),LEFT(J245,36))),"")</f>
        <v/>
      </c>
      <c r="F245">
        <f>IFERROR(IF($L245&gt;0,IF(INDEX('Invullen groen'!$H:$H,$L245)=0,"",INT(INDEX('Invullen groen'!$H:$H,$L245))),""),"")</f>
        <v/>
      </c>
      <c r="G245">
        <f>IFERROR(IF($L245&gt;0,IF(INDEX('Invullen groen'!$I:$I,$L245)=0,"",INT(INDEX('Invullen groen'!$I:$I,$L245))),""),"")</f>
        <v/>
      </c>
      <c r="H245">
        <f>IFERROR(IF($L245&gt;0,IF(INDEX('Invullen groen'!$J:$J,$L245)=0,"",INT(INDEX('Invullen groen'!$J:$J,$L245))),""),"")</f>
        <v/>
      </c>
      <c r="I245">
        <f>IFERROR(IF($L245&gt;0,IF(INDEX('Invullen groen'!$K:$K,$L245)=0,"",INT(INDEX('Invullen groen'!$K:$K,$L245))),""),"")</f>
        <v/>
      </c>
      <c r="J245">
        <f>IF($L245&gt;0,IFERROR($K$1&amp;" "&amp;TRIM(SUBSTITUTE(SUBSTITUTE(SUBSTITUTE(SUBSTITUTE(SUBSTITUTE(SUBSTITUTE(SUBSTITUTE(SUBSTITUTE(SUBSTITUTE(SUBSTITUTE(SUBSTITUTE(SUBSTITUTE(LOWER(IF(LEFT(TEXT(INDEX('Invullen groen'!$E:$E,$L245),"0"),1)="6",INDEX('Invullen groen'!$O:$O,$L245),IF(INDEX('Invullen groen'!$N:$N,$L245)&gt;0,INDEX('Invullen groen'!$G:$G,$L245),INDEX('Invullen groen'!$O:$O,$L245)))),"2024",""),"2025",""),"2026",""),"2027",""),"2028",""),"2029",""),"taakveld ",""),"installaties","inst"),"ruwbouw","ruwb"),"afbouw","afb"),"bijstelling","bijst"),"investeringen","invest")),""),")</f>
        <v/>
      </c>
      <c r="L245">
        <f>IFERROR(MATCH(ROW()-104,'Invullen groen'!$S$121:$S$272,0)+120,0)</f>
        <v/>
      </c>
    </row>
    <row r="246">
      <c r="A246" s="237">
        <f>IF($L246&gt;0,"+","")</f>
        <v/>
      </c>
      <c r="B246">
        <f>IFERROR(IF($L246&gt;0,IF(INDEX('Invullen groen'!$F:$F,$L246)&gt;0,INDEX('Invullen groen'!$F:$F,$L246),""),""),"")</f>
        <v/>
      </c>
      <c r="C246">
        <f>IFERROR(IF($L246&gt;0,IF(INDEX('Invullen groen'!$N:$N,$L246)&gt;0,INDEX('Invullen groen'!$N:$N,$L246),""),""),"")</f>
        <v/>
      </c>
      <c r="E246">
        <f>IFERROR(IF(LEN(J246)&lt;=36,J246,IFERROR(LEFT(J246,FIND(CHAR(1),SUBSTITUTE(LEFT(J246,36)," ",CHAR(1),LEN(LEFT(J246,36))-LEN(SUBSTITUTE(LEFT(J246,36)," ",""))))-1),LEFT(J246,36))),"")</f>
        <v/>
      </c>
      <c r="F246">
        <f>IFERROR(IF($L246&gt;0,IF(INDEX('Invullen groen'!$H:$H,$L246)=0,"",INT(INDEX('Invullen groen'!$H:$H,$L246))),""),"")</f>
        <v/>
      </c>
      <c r="G246">
        <f>IFERROR(IF($L246&gt;0,IF(INDEX('Invullen groen'!$I:$I,$L246)=0,"",INT(INDEX('Invullen groen'!$I:$I,$L246))),""),"")</f>
        <v/>
      </c>
      <c r="H246">
        <f>IFERROR(IF($L246&gt;0,IF(INDEX('Invullen groen'!$J:$J,$L246)=0,"",INT(INDEX('Invullen groen'!$J:$J,$L246))),""),"")</f>
        <v/>
      </c>
      <c r="I246">
        <f>IFERROR(IF($L246&gt;0,IF(INDEX('Invullen groen'!$K:$K,$L246)=0,"",INT(INDEX('Invullen groen'!$K:$K,$L246))),""),"")</f>
        <v/>
      </c>
      <c r="J246">
        <f>IF($L246&gt;0,IFERROR($K$1&amp;" "&amp;TRIM(SUBSTITUTE(SUBSTITUTE(SUBSTITUTE(SUBSTITUTE(SUBSTITUTE(SUBSTITUTE(SUBSTITUTE(SUBSTITUTE(SUBSTITUTE(SUBSTITUTE(SUBSTITUTE(SUBSTITUTE(LOWER(IF(LEFT(TEXT(INDEX('Invullen groen'!$E:$E,$L246),"0"),1)="6",INDEX('Invullen groen'!$O:$O,$L246),IF(INDEX('Invullen groen'!$N:$N,$L246)&gt;0,INDEX('Invullen groen'!$G:$G,$L246),INDEX('Invullen groen'!$O:$O,$L246)))),"2024",""),"2025",""),"2026",""),"2027",""),"2028",""),"2029",""),"taakveld ",""),"installaties","inst"),"ruwbouw","ruwb"),"afbouw","afb"),"bijstelling","bijst"),"investeringen","invest")),""),")</f>
        <v/>
      </c>
      <c r="L246">
        <f>IFERROR(MATCH(ROW()-104,'Invullen groen'!$S$121:$S$272,0)+120,0)</f>
        <v/>
      </c>
    </row>
    <row r="247">
      <c r="A247" s="237">
        <f>IF($L247&gt;0,"+","")</f>
        <v/>
      </c>
      <c r="B247">
        <f>IFERROR(IF($L247&gt;0,IF(INDEX('Invullen groen'!$F:$F,$L247)&gt;0,INDEX('Invullen groen'!$F:$F,$L247),""),""),"")</f>
        <v/>
      </c>
      <c r="C247">
        <f>IFERROR(IF($L247&gt;0,IF(INDEX('Invullen groen'!$N:$N,$L247)&gt;0,INDEX('Invullen groen'!$N:$N,$L247),""),""),"")</f>
        <v/>
      </c>
      <c r="E247">
        <f>IFERROR(IF(LEN(J247)&lt;=36,J247,IFERROR(LEFT(J247,FIND(CHAR(1),SUBSTITUTE(LEFT(J247,36)," ",CHAR(1),LEN(LEFT(J247,36))-LEN(SUBSTITUTE(LEFT(J247,36)," ",""))))-1),LEFT(J247,36))),"")</f>
        <v/>
      </c>
      <c r="F247">
        <f>IFERROR(IF($L247&gt;0,IF(INDEX('Invullen groen'!$H:$H,$L247)=0,"",INT(INDEX('Invullen groen'!$H:$H,$L247))),""),"")</f>
        <v/>
      </c>
      <c r="G247">
        <f>IFERROR(IF($L247&gt;0,IF(INDEX('Invullen groen'!$I:$I,$L247)=0,"",INT(INDEX('Invullen groen'!$I:$I,$L247))),""),"")</f>
        <v/>
      </c>
      <c r="H247">
        <f>IFERROR(IF($L247&gt;0,IF(INDEX('Invullen groen'!$J:$J,$L247)=0,"",INT(INDEX('Invullen groen'!$J:$J,$L247))),""),"")</f>
        <v/>
      </c>
      <c r="I247">
        <f>IFERROR(IF($L247&gt;0,IF(INDEX('Invullen groen'!$K:$K,$L247)=0,"",INT(INDEX('Invullen groen'!$K:$K,$L247))),""),"")</f>
        <v/>
      </c>
      <c r="J247">
        <f>IF($L247&gt;0,IFERROR($K$1&amp;" "&amp;TRIM(SUBSTITUTE(SUBSTITUTE(SUBSTITUTE(SUBSTITUTE(SUBSTITUTE(SUBSTITUTE(SUBSTITUTE(SUBSTITUTE(SUBSTITUTE(SUBSTITUTE(SUBSTITUTE(SUBSTITUTE(LOWER(IF(LEFT(TEXT(INDEX('Invullen groen'!$E:$E,$L247),"0"),1)="6",INDEX('Invullen groen'!$O:$O,$L247),IF(INDEX('Invullen groen'!$N:$N,$L247)&gt;0,INDEX('Invullen groen'!$G:$G,$L247),INDEX('Invullen groen'!$O:$O,$L247)))),"2024",""),"2025",""),"2026",""),"2027",""),"2028",""),"2029",""),"taakveld ",""),"installaties","inst"),"ruwbouw","ruwb"),"afbouw","afb"),"bijstelling","bijst"),"investeringen","invest")),""),")</f>
        <v/>
      </c>
      <c r="L247">
        <f>IFERROR(MATCH(ROW()-104,'Invullen groen'!$S$121:$S$272,0)+120,0)</f>
        <v/>
      </c>
    </row>
    <row r="248">
      <c r="A248" s="237">
        <f>IF($L248&gt;0,"+","")</f>
        <v/>
      </c>
      <c r="B248">
        <f>IFERROR(IF($L248&gt;0,IF(INDEX('Invullen groen'!$F:$F,$L248)&gt;0,INDEX('Invullen groen'!$F:$F,$L248),""),""),"")</f>
        <v/>
      </c>
      <c r="C248">
        <f>IFERROR(IF($L248&gt;0,IF(INDEX('Invullen groen'!$N:$N,$L248)&gt;0,INDEX('Invullen groen'!$N:$N,$L248),""),""),"")</f>
        <v/>
      </c>
      <c r="E248">
        <f>IFERROR(IF(LEN(J248)&lt;=36,J248,IFERROR(LEFT(J248,FIND(CHAR(1),SUBSTITUTE(LEFT(J248,36)," ",CHAR(1),LEN(LEFT(J248,36))-LEN(SUBSTITUTE(LEFT(J248,36)," ",""))))-1),LEFT(J248,36))),"")</f>
        <v/>
      </c>
      <c r="F248">
        <f>IFERROR(IF($L248&gt;0,IF(INDEX('Invullen groen'!$H:$H,$L248)=0,"",INT(INDEX('Invullen groen'!$H:$H,$L248))),""),"")</f>
        <v/>
      </c>
      <c r="G248">
        <f>IFERROR(IF($L248&gt;0,IF(INDEX('Invullen groen'!$I:$I,$L248)=0,"",INT(INDEX('Invullen groen'!$I:$I,$L248))),""),"")</f>
        <v/>
      </c>
      <c r="H248">
        <f>IFERROR(IF($L248&gt;0,IF(INDEX('Invullen groen'!$J:$J,$L248)=0,"",INT(INDEX('Invullen groen'!$J:$J,$L248))),""),"")</f>
        <v/>
      </c>
      <c r="I248">
        <f>IFERROR(IF($L248&gt;0,IF(INDEX('Invullen groen'!$K:$K,$L248)=0,"",INT(INDEX('Invullen groen'!$K:$K,$L248))),""),"")</f>
        <v/>
      </c>
      <c r="J248">
        <f>IF($L248&gt;0,IFERROR($K$1&amp;" "&amp;TRIM(SUBSTITUTE(SUBSTITUTE(SUBSTITUTE(SUBSTITUTE(SUBSTITUTE(SUBSTITUTE(SUBSTITUTE(SUBSTITUTE(SUBSTITUTE(SUBSTITUTE(SUBSTITUTE(SUBSTITUTE(LOWER(IF(LEFT(TEXT(INDEX('Invullen groen'!$E:$E,$L248),"0"),1)="6",INDEX('Invullen groen'!$O:$O,$L248),IF(INDEX('Invullen groen'!$N:$N,$L248)&gt;0,INDEX('Invullen groen'!$G:$G,$L248),INDEX('Invullen groen'!$O:$O,$L248)))),"2024",""),"2025",""),"2026",""),"2027",""),"2028",""),"2029",""),"taakveld ",""),"installaties","inst"),"ruwbouw","ruwb"),"afbouw","afb"),"bijstelling","bijst"),"investeringen","invest")),""),")</f>
        <v/>
      </c>
      <c r="L248">
        <f>IFERROR(MATCH(ROW()-104,'Invullen groen'!$S$121:$S$272,0)+120,0)</f>
        <v/>
      </c>
    </row>
    <row r="249">
      <c r="A249" s="237">
        <f>IF($L249&gt;0,"+","")</f>
        <v/>
      </c>
      <c r="B249">
        <f>IFERROR(IF($L249&gt;0,IF(INDEX('Invullen groen'!$F:$F,$L249)&gt;0,INDEX('Invullen groen'!$F:$F,$L249),""),""),"")</f>
        <v/>
      </c>
      <c r="C249">
        <f>IFERROR(IF($L249&gt;0,IF(INDEX('Invullen groen'!$N:$N,$L249)&gt;0,INDEX('Invullen groen'!$N:$N,$L249),""),""),"")</f>
        <v/>
      </c>
      <c r="E249">
        <f>IFERROR(IF(LEN(J249)&lt;=36,J249,IFERROR(LEFT(J249,FIND(CHAR(1),SUBSTITUTE(LEFT(J249,36)," ",CHAR(1),LEN(LEFT(J249,36))-LEN(SUBSTITUTE(LEFT(J249,36)," ",""))))-1),LEFT(J249,36))),"")</f>
        <v/>
      </c>
      <c r="F249">
        <f>IFERROR(IF($L249&gt;0,IF(INDEX('Invullen groen'!$H:$H,$L249)=0,"",INT(INDEX('Invullen groen'!$H:$H,$L249))),""),"")</f>
        <v/>
      </c>
      <c r="G249">
        <f>IFERROR(IF($L249&gt;0,IF(INDEX('Invullen groen'!$I:$I,$L249)=0,"",INT(INDEX('Invullen groen'!$I:$I,$L249))),""),"")</f>
        <v/>
      </c>
      <c r="H249">
        <f>IFERROR(IF($L249&gt;0,IF(INDEX('Invullen groen'!$J:$J,$L249)=0,"",INT(INDEX('Invullen groen'!$J:$J,$L249))),""),"")</f>
        <v/>
      </c>
      <c r="I249">
        <f>IFERROR(IF($L249&gt;0,IF(INDEX('Invullen groen'!$K:$K,$L249)=0,"",INT(INDEX('Invullen groen'!$K:$K,$L249))),""),"")</f>
        <v/>
      </c>
      <c r="J249">
        <f>IF($L249&gt;0,IFERROR($K$1&amp;" "&amp;TRIM(SUBSTITUTE(SUBSTITUTE(SUBSTITUTE(SUBSTITUTE(SUBSTITUTE(SUBSTITUTE(SUBSTITUTE(SUBSTITUTE(SUBSTITUTE(SUBSTITUTE(SUBSTITUTE(SUBSTITUTE(LOWER(IF(LEFT(TEXT(INDEX('Invullen groen'!$E:$E,$L249),"0"),1)="6",INDEX('Invullen groen'!$O:$O,$L249),IF(INDEX('Invullen groen'!$N:$N,$L249)&gt;0,INDEX('Invullen groen'!$G:$G,$L249),INDEX('Invullen groen'!$O:$O,$L249)))),"2024",""),"2025",""),"2026",""),"2027",""),"2028",""),"2029",""),"taakveld ",""),"installaties","inst"),"ruwbouw","ruwb"),"afbouw","afb"),"bijstelling","bijst"),"investeringen","invest")),""),")</f>
        <v/>
      </c>
      <c r="L249">
        <f>IFERROR(MATCH(ROW()-104,'Invullen groen'!$S$121:$S$272,0)+120,0)</f>
        <v/>
      </c>
    </row>
    <row r="250">
      <c r="A250" s="237">
        <f>IF($L250&gt;0,"+","")</f>
        <v/>
      </c>
      <c r="B250">
        <f>IFERROR(IF($L250&gt;0,IF(INDEX('Invullen groen'!$F:$F,$L250)&gt;0,INDEX('Invullen groen'!$F:$F,$L250),""),""),"")</f>
        <v/>
      </c>
      <c r="C250">
        <f>IFERROR(IF($L250&gt;0,IF(INDEX('Invullen groen'!$N:$N,$L250)&gt;0,INDEX('Invullen groen'!$N:$N,$L250),""),""),"")</f>
        <v/>
      </c>
      <c r="E250">
        <f>IFERROR(IF(LEN(J250)&lt;=36,J250,IFERROR(LEFT(J250,FIND(CHAR(1),SUBSTITUTE(LEFT(J250,36)," ",CHAR(1),LEN(LEFT(J250,36))-LEN(SUBSTITUTE(LEFT(J250,36)," ",""))))-1),LEFT(J250,36))),"")</f>
        <v/>
      </c>
      <c r="F250">
        <f>IFERROR(IF($L250&gt;0,IF(INDEX('Invullen groen'!$H:$H,$L250)=0,"",INT(INDEX('Invullen groen'!$H:$H,$L250))),""),"")</f>
        <v/>
      </c>
      <c r="G250">
        <f>IFERROR(IF($L250&gt;0,IF(INDEX('Invullen groen'!$I:$I,$L250)=0,"",INT(INDEX('Invullen groen'!$I:$I,$L250))),""),"")</f>
        <v/>
      </c>
      <c r="H250">
        <f>IFERROR(IF($L250&gt;0,IF(INDEX('Invullen groen'!$J:$J,$L250)=0,"",INT(INDEX('Invullen groen'!$J:$J,$L250))),""),"")</f>
        <v/>
      </c>
      <c r="I250">
        <f>IFERROR(IF($L250&gt;0,IF(INDEX('Invullen groen'!$K:$K,$L250)=0,"",INT(INDEX('Invullen groen'!$K:$K,$L250))),""),"")</f>
        <v/>
      </c>
      <c r="J250">
        <f>IF($L250&gt;0,IFERROR($K$1&amp;" "&amp;TRIM(SUBSTITUTE(SUBSTITUTE(SUBSTITUTE(SUBSTITUTE(SUBSTITUTE(SUBSTITUTE(SUBSTITUTE(SUBSTITUTE(SUBSTITUTE(SUBSTITUTE(SUBSTITUTE(SUBSTITUTE(LOWER(IF(LEFT(TEXT(INDEX('Invullen groen'!$E:$E,$L250),"0"),1)="6",INDEX('Invullen groen'!$O:$O,$L250),IF(INDEX('Invullen groen'!$N:$N,$L250)&gt;0,INDEX('Invullen groen'!$G:$G,$L250),INDEX('Invullen groen'!$O:$O,$L250)))),"2024",""),"2025",""),"2026",""),"2027",""),"2028",""),"2029",""),"taakveld ",""),"installaties","inst"),"ruwbouw","ruwb"),"afbouw","afb"),"bijstelling","bijst"),"investeringen","invest")),""),")</f>
        <v/>
      </c>
      <c r="L250">
        <f>IFERROR(MATCH(ROW()-104,'Invullen groen'!$S$121:$S$272,0)+120,0)</f>
        <v/>
      </c>
    </row>
    <row r="251">
      <c r="A251" t="n">
        <v>2999999</v>
      </c>
      <c r="B251" t="n">
        <v>86100</v>
      </c>
      <c r="E251">
        <f>$K$1&amp;" sluitrekening balans"</f>
        <v/>
      </c>
      <c r="F251">
        <f>IFERROR(-SUM(F105:F250),0)</f>
        <v/>
      </c>
      <c r="G251">
        <f>IFERROR(-SUM(G105:G250),0)</f>
        <v/>
      </c>
      <c r="H251">
        <f>IFERROR(-SUM(H105:H250),0)</f>
        <v/>
      </c>
      <c r="I251">
        <f>IFERROR(-SUM(I105:I250),0)</f>
        <v/>
      </c>
    </row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hidden="1" width="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>
        <f>IF(E17&gt;0,$H$4,0)</f>
        <v/>
      </c>
      <c r="M17" s="656">
        <f>IFERROR(VLOOKUP(F17,Tabellen!H:I,2),0)</f>
        <v/>
      </c>
      <c r="N17" s="694" t="n"/>
      <c r="O17" s="694" t="n"/>
      <c r="P17" s="526">
        <f>IF(E17&gt;0,COUNTIF($E$17:E17,"&gt;0"),0)</f>
        <v/>
      </c>
      <c r="Q17" s="119">
        <f>IF(OR(F17=47201,F17=47100,F17=47200,F17=47500),H17,0)</f>
        <v/>
      </c>
      <c r="R17" s="119">
        <f>IF(OR(F17=87201,F17=87100,F17=87200,F17=87500),H17,0)</f>
        <v/>
      </c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>
        <f>IF(E18&gt;0,COUNTIF($E$17:E18,"&gt;0"),0)</f>
        <v/>
      </c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>
        <f>IF(E19&gt;0,COUNTIF($E$17:E19,"&gt;0"),0)</f>
        <v/>
      </c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>
        <f>IF(E20&gt;0,COUNTIF($E$17:E20,"&gt;0"),0)</f>
        <v/>
      </c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>
        <f>IF(E21&gt;0,COUNTIF($E$17:E21,"&gt;0"),0)</f>
        <v/>
      </c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>
        <f>IF(E22&gt;0,COUNTIF($E$17:E22,"&gt;0"),0)</f>
        <v/>
      </c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>
        <f>IF(E23&gt;0,COUNTIF($E$17:E23,"&gt;0"),0)</f>
        <v/>
      </c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>
        <f>IF(E24&gt;0,COUNTIF($E$17:E24,"&gt;0"),0)</f>
        <v/>
      </c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>
        <f>IF(E25&gt;0,COUNTIF($E$17:E25,"&gt;0"),0)</f>
        <v/>
      </c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>
        <f>IF(E26&gt;0,COUNTIF($E$17:E26,"&gt;0"),0)</f>
        <v/>
      </c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>
        <f>IF(E27&gt;0,COUNTIF($E$17:E27,"&gt;0"),0)</f>
        <v/>
      </c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>
        <f>IF(E28&gt;0,COUNTIF($E$17:E28,"&gt;0"),0)</f>
        <v/>
      </c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>
        <f>IF(E29&gt;0,COUNTIF($E$17:E29,"&gt;0"),0)</f>
        <v/>
      </c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>
        <f>IF(E30&gt;0,COUNTIF($E$17:E30,"&gt;0"),0)</f>
        <v/>
      </c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>
        <f>IF(E31&gt;0,COUNTIF($E$17:E31,"&gt;0"),0)</f>
        <v/>
      </c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>
        <f>IF(E32&gt;0,COUNTIF($E$17:E32,"&gt;0"),0)</f>
        <v/>
      </c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>
        <f>IF(E33&gt;0,COUNTIF($E$17:E33,"&gt;0"),0)</f>
        <v/>
      </c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>
        <f>IF(E34&gt;0,COUNTIF($E$17:E34,"&gt;0"),0)</f>
        <v/>
      </c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>
        <f>IF(E35&gt;0,COUNTIF($E$17:E35,"&gt;0"),0)</f>
        <v/>
      </c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>
        <f>IF(E36&gt;0,COUNTIF($E$17:E36,"&gt;0"),0)</f>
        <v/>
      </c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>
        <f>IF(E37&gt;0,COUNTIF($E$17:E37,"&gt;0"),0)</f>
        <v/>
      </c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>
        <f>IF(E38&gt;0,COUNTIF($E$17:E38,"&gt;0"),0)</f>
        <v/>
      </c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>
        <f>IF(E39&gt;0,COUNTIF($E$17:E39,"&gt;0"),0)</f>
        <v/>
      </c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>
        <f>IF(E40&gt;0,COUNTIF($E$17:E40,"&gt;0"),0)</f>
        <v/>
      </c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>
        <f>IF(E41&gt;0,COUNTIF($E$17:E41,"&gt;0"),0)</f>
        <v/>
      </c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>
        <f>IF(E42&gt;0,COUNTIF($E$17:E42,"&gt;0"),0)</f>
        <v/>
      </c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>
        <f>IF(E43&gt;0,COUNTIF($E$17:E43,"&gt;0"),0)</f>
        <v/>
      </c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>
        <f>IF(E44&gt;0,COUNTIF($E$17:E44,"&gt;0"),0)</f>
        <v/>
      </c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>
        <f>IF(E45&gt;0,COUNTIF($E$17:E45,"&gt;0"),0)</f>
        <v/>
      </c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>
        <f>IF(E46&gt;0,COUNTIF($E$17:E46,"&gt;0"),0)</f>
        <v/>
      </c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>
        <f>IF(E47&gt;0,COUNTIF($E$17:E47,"&gt;0"),0)</f>
        <v/>
      </c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>
        <f>IF(E48&gt;0,COUNTIF($E$17:E48,"&gt;0"),0)</f>
        <v/>
      </c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>
        <f>IF(E49&gt;0,COUNTIF($E$17:E49,"&gt;0"),0)</f>
        <v/>
      </c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>
        <f>IF(E50&gt;0,COUNTIF($E$17:E50,"&gt;0"),0)</f>
        <v/>
      </c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>
        <f>IF(E51&gt;0,COUNTIF($E$17:E51,"&gt;0"),0)</f>
        <v/>
      </c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>
        <f>IF(E52&gt;0,COUNTIF($E$17:E52,"&gt;0"),0)</f>
        <v/>
      </c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>
        <f>IF(E53&gt;0,COUNTIF($E$17:E53,"&gt;0"),0)</f>
        <v/>
      </c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>
        <f>IF(E54&gt;0,COUNTIF($E$17:E54,"&gt;0"),0)</f>
        <v/>
      </c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>
        <f>IF(E55&gt;0,COUNTIF($E$17:E55,"&gt;0"),0)</f>
        <v/>
      </c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>
        <f>IF(E56&gt;0,COUNTIF($E$17:E56,"&gt;0"),0)</f>
        <v/>
      </c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>
        <f>IF(E57&gt;0,COUNTIF($E$17:E57,"&gt;0"),0)</f>
        <v/>
      </c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>
        <f>IF(E58&gt;0,COUNTIF($E$17:E58,"&gt;0"),0)</f>
        <v/>
      </c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>
        <f>IF(E59&gt;0,COUNTIF($E$17:E59,"&gt;0"),0)</f>
        <v/>
      </c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>
        <f>IF(E60&gt;0,COUNTIF($E$17:E60,"&gt;0"),0)</f>
        <v/>
      </c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>
        <f>IF(E61&gt;0,COUNTIF($E$17:E61,"&gt;0"),0)</f>
        <v/>
      </c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>
        <f>IF(E62&gt;0,COUNTIF($E$17:E62,"&gt;0"),0)</f>
        <v/>
      </c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>
        <f>IF(E63&gt;0,COUNTIF($E$17:E63,"&gt;0"),0)</f>
        <v/>
      </c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>
        <f>IF(E64&gt;0,COUNTIF($E$17:E64,"&gt;0"),0)</f>
        <v/>
      </c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>
        <f>IF(E65&gt;0,COUNTIF($E$17:E65,"&gt;0"),0)</f>
        <v/>
      </c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>
        <f>IF(E66&gt;0,COUNTIF($E$17:E66,"&gt;0"),0)</f>
        <v/>
      </c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>
        <f>IF(E67&gt;0,COUNTIF($E$17:E67,"&gt;0"),0)</f>
        <v/>
      </c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>
        <f>IF(E68&gt;0,COUNTIF($E$17:E68,"&gt;0"),0)</f>
        <v/>
      </c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>
        <f>IF(E69&gt;0,COUNTIF($E$17:E69,"&gt;0"),0)</f>
        <v/>
      </c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>
        <f>IF(E70&gt;0,COUNTIF($E$17:E70,"&gt;0"),0)</f>
        <v/>
      </c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>
        <f>IF(E71&gt;0,COUNTIF($E$17:E71,"&gt;0"),0)</f>
        <v/>
      </c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>
        <f>IF(E72&gt;0,COUNTIF($E$17:E72,"&gt;0"),0)</f>
        <v/>
      </c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>
        <f>IF(E73&gt;0,COUNTIF($E$17:E73,"&gt;0"),0)</f>
        <v/>
      </c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>
        <f>IF(E74&gt;0,COUNTIF($E$17:E74,"&gt;0"),0)</f>
        <v/>
      </c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SUM(H17:H74)</f>
        <v/>
      </c>
      <c r="I75" s="612">
        <f>SUM(I17:I74)</f>
        <v/>
      </c>
      <c r="J75" s="612">
        <f>SUM(J17:J74)</f>
        <v/>
      </c>
      <c r="K75" s="612">
        <f>SUM(K17:K74)</f>
        <v/>
      </c>
      <c r="L75" s="695" t="n"/>
      <c r="M75" s="611" t="n"/>
      <c r="N75" s="696" t="n"/>
      <c r="O75" s="696" t="n"/>
      <c r="P75" s="461">
        <f>IF(E75&gt;0,COUNTIF($E$17:E75,"&gt;0"),0)</f>
        <v/>
      </c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P76">
        <f>IF(E76&gt;0,COUNTIF($E$17:E76,"&gt;0"),0)</f>
        <v/>
      </c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>
        <f>IF(E77&gt;0,COUNTIF($E$17:E77,"&gt;0"),0)</f>
        <v/>
      </c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>
        <f>IF(E78&gt;0,COUNTIF($E$17:E78,"&gt;0"),0)</f>
        <v/>
      </c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>
        <f>IF(E79&gt;0,COUNTIF($E$17:E79,"&gt;0"),0)</f>
        <v/>
      </c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>
        <f>IF(E80&gt;0,COUNTIF($E$17:E80,"&gt;0"),0)</f>
        <v/>
      </c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>
        <f>IF(E81&gt;0,COUNTIF($E$17:E81,"&gt;0"),0)</f>
        <v/>
      </c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>
        <f>IF(E82&gt;0,COUNTIF($E$17:E82,"&gt;0"),0)</f>
        <v/>
      </c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>
        <f>IF(E83&gt;0,COUNTIF($E$17:E83,"&gt;0"),0)</f>
        <v/>
      </c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>
        <f>IF(E84&gt;0,COUNTIF($E$17:E84,"&gt;0"),0)</f>
        <v/>
      </c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>
        <f>IF(E85&gt;0,COUNTIF($E$17:E85,"&gt;0"),0)</f>
        <v/>
      </c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>
        <f>IF(E86&gt;0,COUNTIF($E$17:E86,"&gt;0"),0)</f>
        <v/>
      </c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>
        <f>IF(E87&gt;0,COUNTIF($E$17:E87,"&gt;0"),0)</f>
        <v/>
      </c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>
        <f>IF(E88&gt;0,COUNTIF($E$17:E88,"&gt;0"),0)</f>
        <v/>
      </c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>
        <f>IF(E89&gt;0,COUNTIF($E$17:E89,"&gt;0"),0)</f>
        <v/>
      </c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>
        <f>IF(E90&gt;0,COUNTIF($E$17:E90,"&gt;0"),0)</f>
        <v/>
      </c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>
        <f>IF(E91&gt;0,COUNTIF($E$17:E91,"&gt;0"),0)</f>
        <v/>
      </c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>
        <f>IF(E92&gt;0,COUNTIF($E$17:E92,"&gt;0"),0)</f>
        <v/>
      </c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>
        <f>IF(E93&gt;0,COUNTIF($E$17:E93,"&gt;0"),0)</f>
        <v/>
      </c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>
        <f>IF(E94&gt;0,COUNTIF($E$17:E94,"&gt;0"),0)</f>
        <v/>
      </c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>
        <f>IF(E95&gt;0,COUNTIF($E$17:E95,"&gt;0"),0)</f>
        <v/>
      </c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>
        <f>IF(E96&gt;0,COUNTIF($E$17:E96,"&gt;0"),0)</f>
        <v/>
      </c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>
        <f>IF(E97&gt;0,COUNTIF($E$17:E97,"&gt;0"),0)</f>
        <v/>
      </c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>
        <f>IF(E98&gt;0,COUNTIF($E$17:E98,"&gt;0"),0)</f>
        <v/>
      </c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>
        <f>IF(E99&gt;0,COUNTIF($E$17:E99,"&gt;0"),0)</f>
        <v/>
      </c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>
        <f>IF(E100&gt;0,COUNTIF($E$17:E100,"&gt;0"),0)</f>
        <v/>
      </c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>
        <f>IF(E101&gt;0,COUNTIF($E$17:E101,"&gt;0"),0)</f>
        <v/>
      </c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>
        <f>IF(E102&gt;0,COUNTIF($E$17:E102,"&gt;0"),0)</f>
        <v/>
      </c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>
        <f>IF(E103&gt;0,COUNTIF($E$17:E103,"&gt;0"),0)</f>
        <v/>
      </c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>
        <f>IF(E104&gt;0,COUNTIF($E$17:E104,"&gt;0"),0)</f>
        <v/>
      </c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>
        <f>IF(E105&gt;0,COUNTIF($E$17:E105,"&gt;0"),0)</f>
        <v/>
      </c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>
        <f>IF(E106&gt;0,COUNTIF($E$17:E106,"&gt;0"),0)</f>
        <v/>
      </c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>
        <f>IF(E107&gt;0,COUNTIF($E$17:E107,"&gt;0"),0)</f>
        <v/>
      </c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>
        <f>IF(E108&gt;0,COUNTIF($E$17:E108,"&gt;0"),0)</f>
        <v/>
      </c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>
        <f>IF(E109&gt;0,COUNTIF($E$17:E109,"&gt;0"),0)</f>
        <v/>
      </c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>
        <f>IF(E110&gt;0,COUNTIF($E$17:E110,"&gt;0"),0)</f>
        <v/>
      </c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P111">
        <f>IF(E111&gt;0,COUNTIF($E$17:E111,"&gt;0"),0)</f>
        <v/>
      </c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>
        <f>IF(E112&gt;0,COUNTIF($E$17:E112,"&gt;0"),0)</f>
        <v/>
      </c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P113">
        <f>IF(E113&gt;0,COUNTIF($E$17:E113,"&gt;0"),0)</f>
        <v/>
      </c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P114">
        <f>IF(E114&gt;0,COUNTIF($E$17:E114,"&gt;0"),0)</f>
        <v/>
      </c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P115">
        <f>IF(E115&gt;0,COUNTIF($E$17:E115,"&gt;0"),0)</f>
        <v/>
      </c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P116">
        <f>IF(E116&gt;0,COUNTIF($E$17:E116,"&gt;0"),0)</f>
        <v/>
      </c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P117">
        <f>IF(E117&gt;0,COUNTIF($E$17:E117,"&gt;0"),0)</f>
        <v/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P118">
        <f>IF(E118&gt;0,COUNTIF($E$17:E118,"&gt;0"),0)</f>
        <v/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P119">
        <f>IF(E119&gt;0,COUNTIF($E$17:E119,"&gt;0"),0)</f>
        <v/>
      </c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>
        <f>IF(E120&gt;0,COUNTIF($E$17:E120,"&gt;0"),0)</f>
        <v/>
      </c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P121">
        <f>IF(E121&gt;0,COUNTIF($E$17:E121,"&gt;0"),0)</f>
        <v/>
      </c>
      <c r="Q121" s="119">
        <f>IF(OR(F121=47201,F121=47100,F121=47200,F121=47500),H121,0)</f>
        <v/>
      </c>
      <c r="R121" s="119">
        <f>IF(OR(F121=87201,F121=87100,F121=87200,F121=87500),H121,0)</f>
        <v/>
      </c>
      <c r="S121">
        <f>IF(E121&gt;0,COUNTIF($E$121:E121,"&gt;0"),0)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 t="n"/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P122">
        <f>IF(E122&gt;0,COUNTIF($E$17:E122,"&gt;0"),0)</f>
        <v/>
      </c>
      <c r="Q122" s="119">
        <f>IF(OR(F122=47201,F122=47100,F122=47200,F122=47500),H122,0)</f>
        <v/>
      </c>
      <c r="R122" s="119">
        <f>IF(OR(F122=87201,F122=87100,F122=87200,F122=87500),H122,0)</f>
        <v/>
      </c>
      <c r="S122">
        <f>IF(E122&gt;0,COUNTIF($E$121:E122,"&gt;0"),0)</f>
        <v/>
      </c>
    </row>
    <row r="123" ht="15" customHeight="1">
      <c r="A123" s="651" t="n"/>
      <c r="B123" s="662" t="n"/>
      <c r="C123" s="662" t="n"/>
      <c r="D123" s="662" t="n"/>
      <c r="E123" s="681" t="n"/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P123">
        <f>IF(E123&gt;0,COUNTIF($E$17:E123,"&gt;0"),0)</f>
        <v/>
      </c>
      <c r="Q123" s="119">
        <f>IF(OR(F123=47201,F123=47100,F123=47200,F123=47500),H123,0)</f>
        <v/>
      </c>
      <c r="R123" s="119">
        <f>IF(OR(F123=87201,F123=87100,F123=87200,F123=87500),H123,0)</f>
        <v/>
      </c>
      <c r="S123">
        <f>IF(E123&gt;0,COUNTIF($E$121:E123,"&gt;0"),0)</f>
        <v/>
      </c>
    </row>
    <row r="124" ht="15" customHeight="1">
      <c r="A124" s="669" t="n"/>
      <c r="B124" s="657" t="n"/>
      <c r="C124" s="657" t="n"/>
      <c r="D124" s="657" t="n"/>
      <c r="E124" s="681" t="n"/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P124">
        <f>IF(E124&gt;0,COUNTIF($E$17:E124,"&gt;0"),0)</f>
        <v/>
      </c>
      <c r="Q124" s="119">
        <f>IF(OR(F124=47201,F124=47100,F124=47200,F124=47500),H124,0)</f>
        <v/>
      </c>
      <c r="R124" s="119">
        <f>IF(OR(F124=87201,F124=87100,F124=87200,F124=87500),H124,0)</f>
        <v/>
      </c>
      <c r="S124">
        <f>IF(E124&gt;0,COUNTIF($E$121:E124,"&gt;0"),0)</f>
        <v/>
      </c>
    </row>
    <row r="125" ht="15" customHeight="1">
      <c r="A125" s="651" t="n"/>
      <c r="B125" s="662" t="n"/>
      <c r="C125" s="662" t="n"/>
      <c r="D125" s="662" t="n"/>
      <c r="E125" s="681" t="n"/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P125">
        <f>IF(E125&gt;0,COUNTIF($E$17:E125,"&gt;0"),0)</f>
        <v/>
      </c>
      <c r="Q125" s="119">
        <f>IF(OR(F125=47201,F125=47100,F125=47200,F125=47500),H125,0)</f>
        <v/>
      </c>
      <c r="R125" s="119">
        <f>IF(OR(F125=87201,F125=87100,F125=87200,F125=87500),H125,0)</f>
        <v/>
      </c>
      <c r="S125">
        <f>IF(E125&gt;0,COUNTIF($E$121:E125,"&gt;0"),0)</f>
        <v/>
      </c>
    </row>
    <row r="126" ht="15" customHeight="1">
      <c r="A126" s="669" t="n"/>
      <c r="B126" s="657" t="n"/>
      <c r="C126" s="657" t="n"/>
      <c r="D126" s="657" t="n"/>
      <c r="E126" s="681" t="n"/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P126">
        <f>IF(E126&gt;0,COUNTIF($E$17:E126,"&gt;0"),0)</f>
        <v/>
      </c>
      <c r="Q126" s="119">
        <f>IF(OR(F126=47201,F126=47100,F126=47200,F126=47500),H126,0)</f>
        <v/>
      </c>
      <c r="R126" s="119">
        <f>IF(OR(F126=87201,F126=87100,F126=87200,F126=87500),H126,0)</f>
        <v/>
      </c>
      <c r="S126">
        <f>IF(E126&gt;0,COUNTIF($E$121:E126,"&gt;0"),0)</f>
        <v/>
      </c>
    </row>
    <row r="127" ht="15" customHeight="1">
      <c r="A127" s="651" t="n"/>
      <c r="B127" s="662" t="n"/>
      <c r="C127" s="662" t="n"/>
      <c r="D127" s="662" t="n"/>
      <c r="E127" s="681" t="n"/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P127">
        <f>IF(E127&gt;0,COUNTIF($E$17:E127,"&gt;0"),0)</f>
        <v/>
      </c>
      <c r="Q127" s="119">
        <f>IF(OR(F127=47201,F127=47100,F127=47200,F127=47500),H127,0)</f>
        <v/>
      </c>
      <c r="R127" s="119">
        <f>IF(OR(F127=87201,F127=87100,F127=87200,F127=87500),H127,0)</f>
        <v/>
      </c>
      <c r="S127">
        <f>IF(E127&gt;0,COUNTIF($E$121:E127,"&gt;0"),0)</f>
        <v/>
      </c>
    </row>
    <row r="128" ht="15" customHeight="1">
      <c r="A128" s="669" t="n"/>
      <c r="B128" s="657" t="n"/>
      <c r="C128" s="657" t="n"/>
      <c r="D128" s="657" t="n"/>
      <c r="E128" s="681" t="n"/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P128">
        <f>IF(E128&gt;0,COUNTIF($E$17:E128,"&gt;0"),0)</f>
        <v/>
      </c>
      <c r="Q128" s="119">
        <f>IF(OR(F128=47201,F128=47100,F128=47200,F128=47500),H128,0)</f>
        <v/>
      </c>
      <c r="R128" s="119">
        <f>IF(OR(F128=87201,F128=87100,F128=87200,F128=87500),H128,0)</f>
        <v/>
      </c>
      <c r="S128">
        <f>IF(E128&gt;0,COUNTIF($E$121:E128,"&gt;0"),0)</f>
        <v/>
      </c>
    </row>
    <row r="129" ht="15" customHeight="1">
      <c r="A129" s="651" t="n"/>
      <c r="B129" s="662" t="n"/>
      <c r="C129" s="662" t="n"/>
      <c r="D129" s="662" t="n"/>
      <c r="E129" s="681" t="n"/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P129">
        <f>IF(E129&gt;0,COUNTIF($E$17:E129,"&gt;0"),0)</f>
        <v/>
      </c>
      <c r="Q129" s="119">
        <f>IF(OR(F129=47201,F129=47100,F129=47200,F129=47500),H129,0)</f>
        <v/>
      </c>
      <c r="R129" s="119">
        <f>IF(OR(F129=87201,F129=87100,F129=87200,F129=87500),H129,0)</f>
        <v/>
      </c>
      <c r="S129">
        <f>IF(E129&gt;0,COUNTIF($E$121:E129,"&gt;0"),0)</f>
        <v/>
      </c>
    </row>
    <row r="130" ht="15" customHeight="1">
      <c r="A130" s="669" t="n"/>
      <c r="B130" s="657" t="n"/>
      <c r="C130" s="657" t="n"/>
      <c r="D130" s="657" t="n"/>
      <c r="E130" s="681" t="n"/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P130">
        <f>IF(E130&gt;0,COUNTIF($E$17:E130,"&gt;0"),0)</f>
        <v/>
      </c>
      <c r="Q130" s="119">
        <f>IF(OR(F130=47201,F130=47100,F130=47200,F130=47500),H130,0)</f>
        <v/>
      </c>
      <c r="R130" s="119">
        <f>IF(OR(F130=87201,F130=87100,F130=87200,F130=87500),H130,0)</f>
        <v/>
      </c>
      <c r="S130">
        <f>IF(E130&gt;0,COUNTIF($E$121:E130,"&gt;0"),0)</f>
        <v/>
      </c>
    </row>
    <row r="131" ht="15" customHeight="1">
      <c r="A131" s="651" t="n"/>
      <c r="B131" s="662" t="n"/>
      <c r="C131" s="662" t="n"/>
      <c r="D131" s="662" t="n"/>
      <c r="E131" s="681" t="n"/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P131">
        <f>IF(E131&gt;0,COUNTIF($E$17:E131,"&gt;0"),0)</f>
        <v/>
      </c>
      <c r="Q131" s="119">
        <f>IF(OR(F131=47201,F131=47100,F131=47200,F131=47500),H131,0)</f>
        <v/>
      </c>
      <c r="R131" s="119">
        <f>IF(OR(F131=87201,F131=87100,F131=87200,F131=87500),H131,0)</f>
        <v/>
      </c>
      <c r="S131">
        <f>IF(E131&gt;0,COUNTIF($E$121:E131,"&gt;0"),0)</f>
        <v/>
      </c>
    </row>
    <row r="132" ht="15" customHeight="1">
      <c r="A132" s="669" t="n"/>
      <c r="B132" s="657" t="n"/>
      <c r="C132" s="657" t="n"/>
      <c r="D132" s="657" t="n"/>
      <c r="E132" s="681" t="n"/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P132">
        <f>IF(E132&gt;0,COUNTIF($E$17:E132,"&gt;0"),0)</f>
        <v/>
      </c>
      <c r="Q132" s="119">
        <f>IF(OR(F132=47201,F132=47100,F132=47200,F132=47500),H132,0)</f>
        <v/>
      </c>
      <c r="R132" s="119">
        <f>IF(OR(F132=87201,F132=87100,F132=87200,F132=87500),H132,0)</f>
        <v/>
      </c>
      <c r="S132">
        <f>IF(E132&gt;0,COUNTIF($E$121:E132,"&gt;0"),0)</f>
        <v/>
      </c>
    </row>
    <row r="133" ht="15" customHeight="1">
      <c r="A133" s="651" t="n"/>
      <c r="B133" s="662" t="n"/>
      <c r="C133" s="662" t="n"/>
      <c r="D133" s="662" t="n"/>
      <c r="E133" s="681" t="n"/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P133">
        <f>IF(E133&gt;0,COUNTIF($E$17:E133,"&gt;0"),0)</f>
        <v/>
      </c>
      <c r="Q133" s="119">
        <f>IF(OR(F133=47201,F133=47100,F133=47200,F133=47500),H133,0)</f>
        <v/>
      </c>
      <c r="R133" s="119">
        <f>IF(OR(F133=87201,F133=87100,F133=87200,F133=87500),H133,0)</f>
        <v/>
      </c>
      <c r="S133">
        <f>IF(E133&gt;0,COUNTIF($E$121:E133,"&gt;0"),0)</f>
        <v/>
      </c>
    </row>
    <row r="134" ht="15" customHeight="1">
      <c r="A134" s="669" t="n"/>
      <c r="B134" s="657" t="n"/>
      <c r="C134" s="657" t="n"/>
      <c r="D134" s="657" t="n"/>
      <c r="E134" s="681" t="n"/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P134">
        <f>IF(E134&gt;0,COUNTIF($E$17:E134,"&gt;0"),0)</f>
        <v/>
      </c>
      <c r="Q134" s="119">
        <f>IF(OR(F134=47201,F134=47100,F134=47200,F134=47500),H134,0)</f>
        <v/>
      </c>
      <c r="R134" s="119">
        <f>IF(OR(F134=87201,F134=87100,F134=87200,F134=87500),H134,0)</f>
        <v/>
      </c>
      <c r="S134">
        <f>IF(E134&gt;0,COUNTIF($E$121:E134,"&gt;0"),0)</f>
        <v/>
      </c>
    </row>
    <row r="135" ht="15" customHeight="1">
      <c r="A135" s="651" t="n"/>
      <c r="B135" s="662" t="n"/>
      <c r="C135" s="662" t="n"/>
      <c r="D135" s="662" t="n"/>
      <c r="E135" s="681" t="n"/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P135">
        <f>IF(E135&gt;0,COUNTIF($E$17:E135,"&gt;0"),0)</f>
        <v/>
      </c>
      <c r="Q135" s="119">
        <f>IF(OR(F135=47201,F135=47100,F135=47200,F135=47500),H135,0)</f>
        <v/>
      </c>
      <c r="R135" s="119">
        <f>IF(OR(F135=87201,F135=87100,F135=87200,F135=87500),H135,0)</f>
        <v/>
      </c>
      <c r="S135">
        <f>IF(E135&gt;0,COUNTIF($E$121:E135,"&gt;0"),0)</f>
        <v/>
      </c>
    </row>
    <row r="136" ht="15" customHeight="1">
      <c r="A136" s="669" t="n"/>
      <c r="B136" s="657" t="n"/>
      <c r="C136" s="657" t="n"/>
      <c r="D136" s="657" t="n"/>
      <c r="E136" s="681" t="n"/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P136">
        <f>IF(E136&gt;0,COUNTIF($E$17:E136,"&gt;0"),0)</f>
        <v/>
      </c>
      <c r="Q136" s="119">
        <f>IF(OR(F136=47201,F136=47100,F136=47200,F136=47500),H136,0)</f>
        <v/>
      </c>
      <c r="R136" s="119">
        <f>IF(OR(F136=87201,F136=87100,F136=87200,F136=87500),H136,0)</f>
        <v/>
      </c>
      <c r="S136">
        <f>IF(E136&gt;0,COUNTIF($E$121:E136,"&gt;0"),0)</f>
        <v/>
      </c>
    </row>
    <row r="137" ht="15" customHeight="1">
      <c r="A137" s="651" t="n"/>
      <c r="B137" s="662" t="n"/>
      <c r="C137" s="662" t="n"/>
      <c r="D137" s="662" t="n"/>
      <c r="E137" s="681" t="n"/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P137">
        <f>IF(E137&gt;0,COUNTIF($E$17:E137,"&gt;0"),0)</f>
        <v/>
      </c>
      <c r="Q137" s="119">
        <f>IF(OR(F137=47201,F137=47100,F137=47200,F137=47500),H137,0)</f>
        <v/>
      </c>
      <c r="R137" s="119">
        <f>IF(OR(F137=87201,F137=87100,F137=87200,F137=87500),H137,0)</f>
        <v/>
      </c>
      <c r="S137">
        <f>IF(E137&gt;0,COUNTIF($E$121:E137,"&gt;0"),0)</f>
        <v/>
      </c>
    </row>
    <row r="138" ht="15" customHeight="1">
      <c r="A138" s="669" t="n"/>
      <c r="B138" s="657" t="n"/>
      <c r="C138" s="657" t="n"/>
      <c r="D138" s="657" t="n"/>
      <c r="E138" s="681" t="n"/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P138">
        <f>IF(E138&gt;0,COUNTIF($E$17:E138,"&gt;0"),0)</f>
        <v/>
      </c>
      <c r="Q138" s="119">
        <f>IF(OR(F138=47201,F138=47100,F138=47200,F138=47500),H138,0)</f>
        <v/>
      </c>
      <c r="R138" s="119">
        <f>IF(OR(F138=87201,F138=87100,F138=87200,F138=87500),H138,0)</f>
        <v/>
      </c>
      <c r="S138">
        <f>IF(E138&gt;0,COUNTIF($E$121:E138,"&gt;0"),0)</f>
        <v/>
      </c>
    </row>
    <row r="139" ht="15" customHeight="1">
      <c r="A139" s="651" t="n"/>
      <c r="B139" s="662" t="n"/>
      <c r="C139" s="662" t="n"/>
      <c r="D139" s="662" t="n"/>
      <c r="E139" s="681" t="n"/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P139">
        <f>IF(E139&gt;0,COUNTIF($E$17:E139,"&gt;0"),0)</f>
        <v/>
      </c>
      <c r="Q139" s="119">
        <f>IF(OR(F139=47201,F139=47100,F139=47200,F139=47500),H139,0)</f>
        <v/>
      </c>
      <c r="R139" s="119">
        <f>IF(OR(F139=87201,F139=87100,F139=87200,F139=87500),H139,0)</f>
        <v/>
      </c>
      <c r="S139">
        <f>IF(E139&gt;0,COUNTIF($E$121:E139,"&gt;0"),0)</f>
        <v/>
      </c>
    </row>
    <row r="140" ht="15" customHeight="1">
      <c r="A140" s="669" t="n"/>
      <c r="B140" s="657" t="n"/>
      <c r="C140" s="657" t="n"/>
      <c r="D140" s="657" t="n"/>
      <c r="E140" s="681" t="n"/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P140">
        <f>IF(E140&gt;0,COUNTIF($E$17:E140,"&gt;0"),0)</f>
        <v/>
      </c>
      <c r="Q140" s="119">
        <f>IF(OR(F140=47201,F140=47100,F140=47200,F140=47500),H140,0)</f>
        <v/>
      </c>
      <c r="R140" s="119">
        <f>IF(OR(F140=87201,F140=87100,F140=87200,F140=87500),H140,0)</f>
        <v/>
      </c>
      <c r="S140">
        <f>IF(E140&gt;0,COUNTIF($E$121:E140,"&gt;0"),0)</f>
        <v/>
      </c>
    </row>
    <row r="141" ht="15" customHeight="1">
      <c r="A141" s="651" t="n"/>
      <c r="B141" s="662" t="n"/>
      <c r="C141" s="662" t="n"/>
      <c r="D141" s="662" t="n"/>
      <c r="E141" s="681" t="n"/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P141">
        <f>IF(E141&gt;0,COUNTIF($E$17:E141,"&gt;0"),0)</f>
        <v/>
      </c>
      <c r="Q141" s="119">
        <f>IF(OR(F141=47201,F141=47100,F141=47200,F141=47500),H141,0)</f>
        <v/>
      </c>
      <c r="R141" s="119">
        <f>IF(OR(F141=87201,F141=87100,F141=87200,F141=87500),H141,0)</f>
        <v/>
      </c>
      <c r="S141">
        <f>IF(E141&gt;0,COUNTIF($E$121:E141,"&gt;0"),0)</f>
        <v/>
      </c>
    </row>
    <row r="142" ht="15" customHeight="1">
      <c r="A142" s="669" t="n"/>
      <c r="B142" s="657" t="n"/>
      <c r="C142" s="657" t="n"/>
      <c r="D142" s="657" t="n"/>
      <c r="E142" s="681" t="n"/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P142">
        <f>IF(E142&gt;0,COUNTIF($E$17:E142,"&gt;0"),0)</f>
        <v/>
      </c>
      <c r="Q142" s="119">
        <f>IF(OR(F142=47201,F142=47100,F142=47200,F142=47500),H142,0)</f>
        <v/>
      </c>
      <c r="R142" s="119">
        <f>IF(OR(F142=87201,F142=87100,F142=87200,F142=87500),H142,0)</f>
        <v/>
      </c>
      <c r="S142">
        <f>IF(E142&gt;0,COUNTIF($E$121:E142,"&gt;0"),0)</f>
        <v/>
      </c>
    </row>
    <row r="143" ht="15" customHeight="1">
      <c r="A143" s="651" t="n"/>
      <c r="B143" s="662" t="n"/>
      <c r="C143" s="662" t="n"/>
      <c r="D143" s="662" t="n"/>
      <c r="E143" s="681" t="n"/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P143">
        <f>IF(E143&gt;0,COUNTIF($E$17:E143,"&gt;0"),0)</f>
        <v/>
      </c>
      <c r="Q143" s="119">
        <f>IF(OR(F143=47201,F143=47100,F143=47200,F143=47500),H143,0)</f>
        <v/>
      </c>
      <c r="R143" s="119">
        <f>IF(OR(F143=87201,F143=87100,F143=87200,F143=87500),H143,0)</f>
        <v/>
      </c>
      <c r="S143">
        <f>IF(E143&gt;0,COUNTIF($E$121:E143,"&gt;0"),0)</f>
        <v/>
      </c>
    </row>
    <row r="144" ht="15" customHeight="1">
      <c r="A144" s="669" t="n"/>
      <c r="B144" s="657" t="n"/>
      <c r="C144" s="657" t="n"/>
      <c r="D144" s="657" t="n"/>
      <c r="E144" s="681" t="n"/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P144">
        <f>IF(E144&gt;0,COUNTIF($E$17:E144,"&gt;0"),0)</f>
        <v/>
      </c>
      <c r="Q144" s="119">
        <f>IF(OR(F144=47201,F144=47100,F144=47200,F144=47500),H144,0)</f>
        <v/>
      </c>
      <c r="R144" s="119">
        <f>IF(OR(F144=87201,F144=87100,F144=87200,F144=87500),H144,0)</f>
        <v/>
      </c>
      <c r="S144">
        <f>IF(E144&gt;0,COUNTIF($E$121:E144,"&gt;0"),0)</f>
        <v/>
      </c>
    </row>
    <row r="145" ht="15" customHeight="1">
      <c r="A145" s="651" t="n"/>
      <c r="B145" s="662" t="n"/>
      <c r="C145" s="662" t="n"/>
      <c r="D145" s="662" t="n"/>
      <c r="E145" s="681" t="n"/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P145">
        <f>IF(E145&gt;0,COUNTIF($E$17:E145,"&gt;0"),0)</f>
        <v/>
      </c>
      <c r="Q145" s="119">
        <f>IF(OR(F145=47201,F145=47100,F145=47200,F145=47500),H145,0)</f>
        <v/>
      </c>
      <c r="R145" s="119">
        <f>IF(OR(F145=87201,F145=87100,F145=87200,F145=87500),H145,0)</f>
        <v/>
      </c>
      <c r="S145">
        <f>IF(E145&gt;0,COUNTIF($E$121:E145,"&gt;0"),0)</f>
        <v/>
      </c>
    </row>
    <row r="146" ht="15" customHeight="1">
      <c r="A146" s="669" t="n"/>
      <c r="B146" s="657" t="n"/>
      <c r="C146" s="657" t="n"/>
      <c r="D146" s="657" t="n"/>
      <c r="E146" s="681" t="n"/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P146">
        <f>IF(E146&gt;0,COUNTIF($E$17:E146,"&gt;0"),0)</f>
        <v/>
      </c>
      <c r="Q146" s="119">
        <f>IF(OR(F146=47201,F146=47100,F146=47200,F146=47500),H146,0)</f>
        <v/>
      </c>
      <c r="R146" s="119">
        <f>IF(OR(F146=87201,F146=87100,F146=87200,F146=87500),H146,0)</f>
        <v/>
      </c>
      <c r="S146">
        <f>IF(E146&gt;0,COUNTIF($E$121:E146,"&gt;0"),0)</f>
        <v/>
      </c>
    </row>
    <row r="147" ht="15" customHeight="1">
      <c r="A147" s="651" t="n"/>
      <c r="B147" s="662" t="n"/>
      <c r="C147" s="662" t="n"/>
      <c r="D147" s="662" t="n"/>
      <c r="E147" s="681" t="n"/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P147">
        <f>IF(E147&gt;0,COUNTIF($E$17:E147,"&gt;0"),0)</f>
        <v/>
      </c>
      <c r="Q147" s="119">
        <f>IF(OR(F147=47201,F147=47100,F147=47200,F147=47500),H147,0)</f>
        <v/>
      </c>
      <c r="R147" s="119">
        <f>IF(OR(F147=87201,F147=87100,F147=87200,F147=87500),H147,0)</f>
        <v/>
      </c>
      <c r="S147">
        <f>IF(E147&gt;0,COUNTIF($E$121:E147,"&gt;0"),0)</f>
        <v/>
      </c>
    </row>
    <row r="148" ht="15" customHeight="1">
      <c r="A148" s="669" t="n"/>
      <c r="B148" s="657" t="n"/>
      <c r="C148" s="657" t="n"/>
      <c r="D148" s="657" t="n"/>
      <c r="E148" s="681" t="n"/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P148">
        <f>IF(E148&gt;0,COUNTIF($E$17:E148,"&gt;0"),0)</f>
        <v/>
      </c>
      <c r="Q148" s="119">
        <f>IF(OR(F148=47201,F148=47100,F148=47200,F148=47500),H148,0)</f>
        <v/>
      </c>
      <c r="R148" s="119">
        <f>IF(OR(F148=87201,F148=87100,F148=87200,F148=87500),H148,0)</f>
        <v/>
      </c>
      <c r="S148">
        <f>IF(E148&gt;0,COUNTIF($E$121:E148,"&gt;0"),0)</f>
        <v/>
      </c>
    </row>
    <row r="149" ht="15" customHeight="1">
      <c r="A149" s="651" t="n"/>
      <c r="B149" s="662" t="n"/>
      <c r="C149" s="662" t="n"/>
      <c r="D149" s="662" t="n"/>
      <c r="E149" s="681" t="n"/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P149">
        <f>IF(E149&gt;0,COUNTIF($E$17:E149,"&gt;0"),0)</f>
        <v/>
      </c>
      <c r="Q149" s="119">
        <f>IF(OR(F149=47201,F149=47100,F149=47200,F149=47500),H149,0)</f>
        <v/>
      </c>
      <c r="R149" s="119">
        <f>IF(OR(F149=87201,F149=87100,F149=87200,F149=87500),H149,0)</f>
        <v/>
      </c>
      <c r="S149">
        <f>IF(E149&gt;0,COUNTIF($E$121:E149,"&gt;0"),0)</f>
        <v/>
      </c>
    </row>
    <row r="150" ht="15" customHeight="1">
      <c r="A150" s="669" t="n"/>
      <c r="B150" s="657" t="n"/>
      <c r="C150" s="657" t="n"/>
      <c r="D150" s="657" t="n"/>
      <c r="E150" s="681" t="n"/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P150">
        <f>IF(E150&gt;0,COUNTIF($E$17:E150,"&gt;0"),0)</f>
        <v/>
      </c>
      <c r="Q150" s="119">
        <f>IF(OR(F150=47201,F150=47100,F150=47200,F150=47500),H150,0)</f>
        <v/>
      </c>
      <c r="R150" s="119">
        <f>IF(OR(F150=87201,F150=87100,F150=87200,F150=87500),H150,0)</f>
        <v/>
      </c>
      <c r="S150">
        <f>IF(E150&gt;0,COUNTIF($E$121:E150,"&gt;0"),0)</f>
        <v/>
      </c>
    </row>
    <row r="151" ht="15" customHeight="1">
      <c r="A151" s="651" t="n"/>
      <c r="B151" s="662" t="n"/>
      <c r="C151" s="662" t="n"/>
      <c r="D151" s="662" t="n"/>
      <c r="E151" s="681" t="n"/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P151">
        <f>IF(E151&gt;0,COUNTIF($E$17:E151,"&gt;0"),0)</f>
        <v/>
      </c>
      <c r="Q151" s="119">
        <f>IF(OR(F151=47201,F151=47100,F151=47200,F151=47500),H151,0)</f>
        <v/>
      </c>
      <c r="R151" s="119">
        <f>IF(OR(F151=87201,F151=87100,F151=87200,F151=87500),H151,0)</f>
        <v/>
      </c>
      <c r="S151">
        <f>IF(E151&gt;0,COUNTIF($E$121:E151,"&gt;0"),0)</f>
        <v/>
      </c>
    </row>
    <row r="152" ht="15" customHeight="1">
      <c r="A152" s="669" t="n"/>
      <c r="B152" s="657" t="n"/>
      <c r="C152" s="657" t="n"/>
      <c r="D152" s="657" t="n"/>
      <c r="E152" s="681" t="n"/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P152">
        <f>IF(E152&gt;0,COUNTIF($E$17:E152,"&gt;0"),0)</f>
        <v/>
      </c>
      <c r="Q152" s="119">
        <f>IF(OR(F152=47201,F152=47100,F152=47200,F152=47500),H152,0)</f>
        <v/>
      </c>
      <c r="R152" s="119">
        <f>IF(OR(F152=87201,F152=87100,F152=87200,F152=87500),H152,0)</f>
        <v/>
      </c>
      <c r="S152">
        <f>IF(E152&gt;0,COUNTIF($E$121:E152,"&gt;0"),0)</f>
        <v/>
      </c>
    </row>
    <row r="153" ht="15" customHeight="1">
      <c r="A153" s="651" t="n"/>
      <c r="B153" s="662" t="n"/>
      <c r="C153" s="662" t="n"/>
      <c r="D153" s="662" t="n"/>
      <c r="E153" s="681" t="n"/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P153">
        <f>IF(E153&gt;0,COUNTIF($E$17:E153,"&gt;0"),0)</f>
        <v/>
      </c>
      <c r="Q153" s="119">
        <f>IF(OR(F153=47201,F153=47100,F153=47200,F153=47500),H153,0)</f>
        <v/>
      </c>
      <c r="R153" s="119">
        <f>IF(OR(F153=87201,F153=87100,F153=87200,F153=87500),H153,0)</f>
        <v/>
      </c>
      <c r="S153">
        <f>IF(E153&gt;0,COUNTIF($E$121:E153,"&gt;0"),0)</f>
        <v/>
      </c>
    </row>
    <row r="154" ht="15" customHeight="1">
      <c r="A154" s="669" t="n"/>
      <c r="B154" s="657" t="n"/>
      <c r="C154" s="657" t="n"/>
      <c r="D154" s="657" t="n"/>
      <c r="E154" s="681" t="n"/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P154">
        <f>IF(E154&gt;0,COUNTIF($E$17:E154,"&gt;0"),0)</f>
        <v/>
      </c>
      <c r="Q154" s="119">
        <f>IF(OR(F154=47201,F154=47100,F154=47200,F154=47500),H154,0)</f>
        <v/>
      </c>
      <c r="R154" s="119">
        <f>IF(OR(F154=87201,F154=87100,F154=87200,F154=87500),H154,0)</f>
        <v/>
      </c>
      <c r="S154">
        <f>IF(E154&gt;0,COUNTIF($E$121:E154,"&gt;0"),0)</f>
        <v/>
      </c>
    </row>
    <row r="155" ht="15" customHeight="1">
      <c r="A155" s="651" t="n"/>
      <c r="B155" s="662" t="n"/>
      <c r="C155" s="662" t="n"/>
      <c r="D155" s="662" t="n"/>
      <c r="E155" s="681" t="n"/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P155">
        <f>IF(E155&gt;0,COUNTIF($E$17:E155,"&gt;0"),0)</f>
        <v/>
      </c>
      <c r="Q155" s="119">
        <f>IF(OR(F155=47201,F155=47100,F155=47200,F155=47500),H155,0)</f>
        <v/>
      </c>
      <c r="R155" s="119">
        <f>IF(OR(F155=87201,F155=87100,F155=87200,F155=87500),H155,0)</f>
        <v/>
      </c>
      <c r="S155">
        <f>IF(E155&gt;0,COUNTIF($E$121:E155,"&gt;0"),0)</f>
        <v/>
      </c>
    </row>
    <row r="156" ht="15" customHeight="1">
      <c r="A156" s="669" t="n"/>
      <c r="B156" s="657" t="n"/>
      <c r="C156" s="657" t="n"/>
      <c r="D156" s="657" t="n"/>
      <c r="E156" s="681" t="n"/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P156">
        <f>IF(E156&gt;0,COUNTIF($E$17:E156,"&gt;0"),0)</f>
        <v/>
      </c>
      <c r="Q156" s="119">
        <f>IF(OR(F156=47201,F156=47100,F156=47200,F156=47500),H156,0)</f>
        <v/>
      </c>
      <c r="R156" s="119">
        <f>IF(OR(F156=87201,F156=87100,F156=87200,F156=87500),H156,0)</f>
        <v/>
      </c>
      <c r="S156">
        <f>IF(E156&gt;0,COUNTIF($E$121:E156,"&gt;0"),0)</f>
        <v/>
      </c>
    </row>
    <row r="157" ht="15" customHeight="1">
      <c r="A157" s="651" t="n"/>
      <c r="B157" s="662" t="n"/>
      <c r="C157" s="662" t="n"/>
      <c r="D157" s="662" t="n"/>
      <c r="E157" s="681" t="n"/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P157">
        <f>IF(E157&gt;0,COUNTIF($E$17:E157,"&gt;0"),0)</f>
        <v/>
      </c>
      <c r="Q157" s="119">
        <f>IF(OR(F157=47201,F157=47100,F157=47200,F157=47500),H157,0)</f>
        <v/>
      </c>
      <c r="R157" s="119">
        <f>IF(OR(F157=87201,F157=87100,F157=87200,F157=87500),H157,0)</f>
        <v/>
      </c>
      <c r="S157">
        <f>IF(E157&gt;0,COUNTIF($E$121:E157,"&gt;0"),0)</f>
        <v/>
      </c>
    </row>
    <row r="158" ht="15" customHeight="1">
      <c r="A158" s="669" t="n"/>
      <c r="B158" s="657" t="n"/>
      <c r="C158" s="657" t="n"/>
      <c r="D158" s="657" t="n"/>
      <c r="E158" s="681" t="n"/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P158">
        <f>IF(E158&gt;0,COUNTIF($E$17:E158,"&gt;0"),0)</f>
        <v/>
      </c>
      <c r="Q158" s="119">
        <f>IF(OR(F158=47201,F158=47100,F158=47200,F158=47500),H158,0)</f>
        <v/>
      </c>
      <c r="R158" s="119">
        <f>IF(OR(F158=87201,F158=87100,F158=87200,F158=87500),H158,0)</f>
        <v/>
      </c>
      <c r="S158">
        <f>IF(E158&gt;0,COUNTIF($E$121:E158,"&gt;0"),0)</f>
        <v/>
      </c>
    </row>
    <row r="159" ht="15" customHeight="1">
      <c r="A159" s="651" t="n"/>
      <c r="B159" s="662" t="n"/>
      <c r="C159" s="662" t="n"/>
      <c r="D159" s="662" t="n"/>
      <c r="E159" s="681" t="n"/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P159">
        <f>IF(E159&gt;0,COUNTIF($E$17:E159,"&gt;0"),0)</f>
        <v/>
      </c>
      <c r="Q159" s="119">
        <f>IF(OR(F159=47201,F159=47100,F159=47200,F159=47500),H159,0)</f>
        <v/>
      </c>
      <c r="R159" s="119">
        <f>IF(OR(F159=87201,F159=87100,F159=87200,F159=87500),H159,0)</f>
        <v/>
      </c>
      <c r="S159">
        <f>IF(E159&gt;0,COUNTIF($E$121:E159,"&gt;0"),0)</f>
        <v/>
      </c>
    </row>
    <row r="160" ht="15" customHeight="1">
      <c r="A160" s="669" t="n"/>
      <c r="B160" s="657" t="n"/>
      <c r="C160" s="657" t="n"/>
      <c r="D160" s="657" t="n"/>
      <c r="E160" s="681" t="n"/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P160">
        <f>IF(E160&gt;0,COUNTIF($E$17:E160,"&gt;0"),0)</f>
        <v/>
      </c>
      <c r="Q160" s="119">
        <f>IF(OR(F160=47201,F160=47100,F160=47200,F160=47500),H160,0)</f>
        <v/>
      </c>
      <c r="R160" s="119">
        <f>IF(OR(F160=87201,F160=87100,F160=87200,F160=87500),H160,0)</f>
        <v/>
      </c>
      <c r="S160">
        <f>IF(E160&gt;0,COUNTIF($E$121:E160,"&gt;0"),0)</f>
        <v/>
      </c>
    </row>
    <row r="161" ht="15" customHeight="1">
      <c r="A161" s="651" t="n"/>
      <c r="B161" s="662" t="n"/>
      <c r="C161" s="662" t="n"/>
      <c r="D161" s="662" t="n"/>
      <c r="E161" s="681" t="n"/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P161">
        <f>IF(E161&gt;0,COUNTIF($E$17:E161,"&gt;0"),0)</f>
        <v/>
      </c>
      <c r="Q161" s="119">
        <f>IF(OR(F161=47201,F161=47100,F161=47200,F161=47500),H161,0)</f>
        <v/>
      </c>
      <c r="R161" s="119">
        <f>IF(OR(F161=87201,F161=87100,F161=87200,F161=87500),H161,0)</f>
        <v/>
      </c>
      <c r="S161">
        <f>IF(E161&gt;0,COUNTIF($E$121:E161,"&gt;0"),0)</f>
        <v/>
      </c>
    </row>
    <row r="162" ht="15" customHeight="1">
      <c r="A162" s="669" t="n"/>
      <c r="B162" s="657" t="n"/>
      <c r="C162" s="657" t="n"/>
      <c r="D162" s="657" t="n"/>
      <c r="E162" s="681" t="n"/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P162">
        <f>IF(E162&gt;0,COUNTIF($E$17:E162,"&gt;0"),0)</f>
        <v/>
      </c>
      <c r="Q162" s="119">
        <f>IF(OR(F162=47201,F162=47100,F162=47200,F162=47500),H162,0)</f>
        <v/>
      </c>
      <c r="R162" s="119">
        <f>IF(OR(F162=87201,F162=87100,F162=87200,F162=87500),H162,0)</f>
        <v/>
      </c>
      <c r="S162">
        <f>IF(E162&gt;0,COUNTIF($E$121:E162,"&gt;0"),0)</f>
        <v/>
      </c>
    </row>
    <row r="163" ht="15" customHeight="1">
      <c r="A163" s="651" t="n"/>
      <c r="B163" s="662" t="n"/>
      <c r="C163" s="662" t="n"/>
      <c r="D163" s="662" t="n"/>
      <c r="E163" s="681" t="n"/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P163">
        <f>IF(E163&gt;0,COUNTIF($E$17:E163,"&gt;0"),0)</f>
        <v/>
      </c>
      <c r="Q163" s="119">
        <f>IF(OR(F163=47201,F163=47100,F163=47200,F163=47500),H163,0)</f>
        <v/>
      </c>
      <c r="R163" s="119">
        <f>IF(OR(F163=87201,F163=87100,F163=87200,F163=87500),H163,0)</f>
        <v/>
      </c>
      <c r="S163">
        <f>IF(E163&gt;0,COUNTIF($E$121:E163,"&gt;0"),0)</f>
        <v/>
      </c>
    </row>
    <row r="164" ht="15" customHeight="1">
      <c r="A164" s="669" t="n"/>
      <c r="B164" s="657" t="n"/>
      <c r="C164" s="657" t="n"/>
      <c r="D164" s="657" t="n"/>
      <c r="E164" s="681" t="n"/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P164">
        <f>IF(E164&gt;0,COUNTIF($E$17:E164,"&gt;0"),0)</f>
        <v/>
      </c>
      <c r="Q164" s="119">
        <f>IF(OR(F164=47201,F164=47100,F164=47200,F164=47500),H164,0)</f>
        <v/>
      </c>
      <c r="R164" s="119">
        <f>IF(OR(F164=87201,F164=87100,F164=87200,F164=87500),H164,0)</f>
        <v/>
      </c>
      <c r="S164">
        <f>IF(E164&gt;0,COUNTIF($E$121:E164,"&gt;0"),0)</f>
        <v/>
      </c>
    </row>
    <row r="165" ht="15" customHeight="1">
      <c r="A165" s="651" t="n"/>
      <c r="B165" s="662" t="n"/>
      <c r="C165" s="662" t="n"/>
      <c r="D165" s="662" t="n"/>
      <c r="E165" s="681" t="n"/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P165">
        <f>IF(E165&gt;0,COUNTIF($E$17:E165,"&gt;0"),0)</f>
        <v/>
      </c>
      <c r="Q165" s="119">
        <f>IF(OR(F165=47201,F165=47100,F165=47200,F165=47500),H165,0)</f>
        <v/>
      </c>
      <c r="R165" s="119">
        <f>IF(OR(F165=87201,F165=87100,F165=87200,F165=87500),H165,0)</f>
        <v/>
      </c>
      <c r="S165">
        <f>IF(E165&gt;0,COUNTIF($E$121:E165,"&gt;0"),0)</f>
        <v/>
      </c>
    </row>
    <row r="166" ht="15" customHeight="1">
      <c r="A166" s="669" t="n"/>
      <c r="B166" s="657" t="n"/>
      <c r="C166" s="657" t="n"/>
      <c r="D166" s="657" t="n"/>
      <c r="E166" s="681" t="n"/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P166">
        <f>IF(E166&gt;0,COUNTIF($E$17:E166,"&gt;0"),0)</f>
        <v/>
      </c>
      <c r="Q166" s="119">
        <f>IF(OR(F166=47201,F166=47100,F166=47200,F166=47500),H166,0)</f>
        <v/>
      </c>
      <c r="R166" s="119">
        <f>IF(OR(F166=87201,F166=87100,F166=87200,F166=87500),H166,0)</f>
        <v/>
      </c>
      <c r="S166">
        <f>IF(E166&gt;0,COUNTIF($E$121:E166,"&gt;0"),0)</f>
        <v/>
      </c>
    </row>
    <row r="167" ht="15" customHeight="1">
      <c r="A167" s="651" t="n"/>
      <c r="B167" s="662" t="n"/>
      <c r="C167" s="662" t="n"/>
      <c r="D167" s="662" t="n"/>
      <c r="E167" s="681" t="n"/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P167">
        <f>IF(E167&gt;0,COUNTIF($E$17:E167,"&gt;0"),0)</f>
        <v/>
      </c>
      <c r="Q167" s="119">
        <f>IF(OR(F167=47201,F167=47100,F167=47200,F167=47500),H167,0)</f>
        <v/>
      </c>
      <c r="R167" s="119">
        <f>IF(OR(F167=87201,F167=87100,F167=87200,F167=87500),H167,0)</f>
        <v/>
      </c>
      <c r="S167">
        <f>IF(E167&gt;0,COUNTIF($E$121:E167,"&gt;0"),0)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 t="n"/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P168">
        <f>IF(E168&gt;0,COUNTIF($E$17:E168,"&gt;0"),0)</f>
        <v/>
      </c>
      <c r="Q168" s="119">
        <f>IF(OR(F168=47201,F168=47100,F168=47200,F168=47500),H168,0)</f>
        <v/>
      </c>
      <c r="R168" s="119">
        <f>IF(OR(F168=87201,F168=87100,F168=87200,F168=87500),H168,0)</f>
        <v/>
      </c>
      <c r="S168">
        <f>IF(E168&gt;0,COUNTIF($E$121:E168,"&gt;0"),0)</f>
        <v/>
      </c>
    </row>
    <row r="169" ht="15" customHeight="1">
      <c r="A169" s="244" t="n"/>
      <c r="B169" s="71" t="n"/>
      <c r="C169" s="71" t="n"/>
      <c r="D169" s="244" t="n"/>
      <c r="E169" s="71" t="n"/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P169">
        <f>IF(E169&gt;0,COUNTIF($E$17:E169,"&gt;0"),0)</f>
        <v/>
      </c>
      <c r="Q169" s="119">
        <f>IF(OR(L169=47201,L169=47100,L169=47200,L169=47500),H169,0)</f>
        <v/>
      </c>
      <c r="R169" s="119">
        <f>IF(OR(L169=87201,L169=87100,L169=87200,L169=87500),H169,0)</f>
        <v/>
      </c>
      <c r="S169">
        <f>IF(E169&gt;0,COUNTIF($E$121:E169,"&gt;0"),0)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 t="n"/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>
        <f>IF(E170&gt;0,COUNTIF($E$17:E170,"&gt;0"),0)</f>
        <v/>
      </c>
      <c r="Q170" s="427">
        <f>IF(OR(L170=47201,L170=47100,L170=47200,L170=47500),H170,0)</f>
        <v/>
      </c>
      <c r="R170" s="427">
        <f>IF(OR(L170=87201,L170=87100,L170=87200,L170=87500),H170,0)</f>
        <v/>
      </c>
      <c r="S170">
        <f>IF(E170&gt;0,COUNTIF($E$121:E170,"&gt;0"),0)</f>
        <v/>
      </c>
    </row>
    <row r="171" ht="15" customHeight="1">
      <c r="A171" s="244" t="n"/>
      <c r="B171" s="71" t="n"/>
      <c r="C171" s="71" t="n"/>
      <c r="D171" s="244" t="n"/>
      <c r="E171" s="71" t="n"/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P171">
        <f>IF(E171&gt;0,COUNTIF($E$17:E171,"&gt;0"),0)</f>
        <v/>
      </c>
      <c r="Q171" s="119">
        <f>IF(OR(L171=47201,L171=47100,L171=47200,L171=47500),H171,0)</f>
        <v/>
      </c>
      <c r="R171" s="119">
        <f>IF(OR(L171=87201,L171=87100,L171=87200,L171=87500),H171,0)</f>
        <v/>
      </c>
      <c r="S171">
        <f>IF(E171&gt;0,COUNTIF($E$121:E171,"&gt;0"),0)</f>
        <v/>
      </c>
    </row>
    <row r="172" ht="15" customHeight="1">
      <c r="A172" s="669" t="n"/>
      <c r="B172" s="657" t="n"/>
      <c r="C172" s="657" t="n"/>
      <c r="D172" s="657" t="n"/>
      <c r="E172" s="681" t="n"/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P172">
        <f>IF(E172&gt;0,COUNTIF($E$17:E172,"&gt;0"),0)</f>
        <v/>
      </c>
      <c r="Q172" s="119">
        <f>IF(OR(F172=47201,F172=47100,F172=47200,F172=47500),H172,0)</f>
        <v/>
      </c>
      <c r="R172" s="119">
        <f>IF(OR(F172=87201,F172=87100,F172=87200,F172=87500),H172,0)</f>
        <v/>
      </c>
      <c r="S172">
        <f>IF(E172&gt;0,COUNTIF($E$121:E172,"&gt;0"),0)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P173">
        <f>IF(E173&gt;0,COUNTIF($E$17:E173,"&gt;0"),0)</f>
        <v/>
      </c>
      <c r="Q173" s="119">
        <f>IF(OR(F173=47201,F173=47100,F173=47200,F173=47500),H173,0)</f>
        <v/>
      </c>
      <c r="R173" s="119">
        <f>IF(OR(F173=87201,F173=87100,F173=87200,F173=87500),H173,0)</f>
        <v/>
      </c>
      <c r="S173">
        <f>IF(E173&gt;0,COUNTIF($E$121:E173,"&gt;0"),0)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P174">
        <f>IF(E174&gt;0,COUNTIF($E$17:E174,"&gt;0"),0)</f>
        <v/>
      </c>
      <c r="Q174" s="119">
        <f>IF(OR(F174=47201,F174=47100,F174=47200,F174=47500),H174,0)</f>
        <v/>
      </c>
      <c r="R174" s="119">
        <f>IF(OR(F174=87201,F174=87100,F174=87200,F174=87500),H174,0)</f>
        <v/>
      </c>
      <c r="S174">
        <f>IF(E174&gt;0,COUNTIF($E$121:E174,"&gt;0"),0)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P175">
        <f>IF(E175&gt;0,COUNTIF($E$17:E175,"&gt;0"),0)</f>
        <v/>
      </c>
      <c r="Q175" s="119">
        <f>IF(OR(F175=47201,F175=47100,F175=47200,F175=47500),H175,0)</f>
        <v/>
      </c>
      <c r="R175" s="119">
        <f>IF(OR(F175=87201,F175=87100,F175=87200,F175=87500),H175,0)</f>
        <v/>
      </c>
      <c r="S175">
        <f>IF(E175&gt;0,COUNTIF($E$121:E175,"&gt;0"),0)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P176">
        <f>IF(E176&gt;0,COUNTIF($E$17:E176,"&gt;0"),0)</f>
        <v/>
      </c>
      <c r="Q176" s="119">
        <f>IF(OR(F176=47201,F176=47100,F176=47200,F176=47500),H176,0)</f>
        <v/>
      </c>
      <c r="R176" s="119">
        <f>IF(OR(F176=87201,F176=87100,F176=87200,F176=87500),H176,0)</f>
        <v/>
      </c>
      <c r="S176">
        <f>IF(E176&gt;0,COUNTIF($E$121:E176,"&gt;0"),0)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P177">
        <f>IF(E177&gt;0,COUNTIF($E$17:E177,"&gt;0"),0)</f>
        <v/>
      </c>
      <c r="Q177" s="119">
        <f>IF(OR(F177=47201,F177=47100,F177=47200,F177=47500),H177,0)</f>
        <v/>
      </c>
      <c r="R177" s="119">
        <f>IF(OR(F177=87201,F177=87100,F177=87200,F177=87500),H177,0)</f>
        <v/>
      </c>
      <c r="S177">
        <f>IF(E177&gt;0,COUNTIF($E$121:E177,"&gt;0"),0)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P178">
        <f>IF(E178&gt;0,COUNTIF($E$17:E178,"&gt;0"),0)</f>
        <v/>
      </c>
      <c r="Q178" s="119">
        <f>IF(OR(F178=47201,F178=47100,F178=47200,F178=47500),H178,0)</f>
        <v/>
      </c>
      <c r="R178" s="119">
        <f>IF(OR(F178=87201,F178=87100,F178=87200,F178=87500),H178,0)</f>
        <v/>
      </c>
      <c r="S178">
        <f>IF(E178&gt;0,COUNTIF($E$121:E178,"&gt;0"),0)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P179">
        <f>IF(E179&gt;0,COUNTIF($E$17:E179,"&gt;0"),0)</f>
        <v/>
      </c>
      <c r="Q179" s="119">
        <f>IF(OR(F179=47201,F179=47100,F179=47200,F179=47500),H179,0)</f>
        <v/>
      </c>
      <c r="R179" s="119">
        <f>IF(OR(F179=87201,F179=87100,F179=87200,F179=87500),H179,0)</f>
        <v/>
      </c>
      <c r="S179">
        <f>IF(E179&gt;0,COUNTIF($E$121:E179,"&gt;0"),0)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P180">
        <f>IF(E180&gt;0,COUNTIF($E$17:E180,"&gt;0"),0)</f>
        <v/>
      </c>
      <c r="Q180" s="119">
        <f>IF(OR(F180=47201,F180=47100,F180=47200,F180=47500),H180,0)</f>
        <v/>
      </c>
      <c r="R180" s="119">
        <f>IF(OR(F180=87201,F180=87100,F180=87200,F180=87500),H180,0)</f>
        <v/>
      </c>
      <c r="S180">
        <f>IF(E180&gt;0,COUNTIF($E$121:E180,"&gt;0"),0)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P181">
        <f>IF(E181&gt;0,COUNTIF($E$17:E181,"&gt;0"),0)</f>
        <v/>
      </c>
      <c r="Q181" s="119">
        <f>IF(OR(F181=47201,F181=47100,F181=47200,F181=47500),H181,0)</f>
        <v/>
      </c>
      <c r="R181" s="119">
        <f>IF(OR(F181=87201,F181=87100,F181=87200,F181=87500),H181,0)</f>
        <v/>
      </c>
      <c r="S181">
        <f>IF(E181&gt;0,COUNTIF($E$121:E181,"&gt;0"),0)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P182">
        <f>IF(E182&gt;0,COUNTIF($E$17:E182,"&gt;0"),0)</f>
        <v/>
      </c>
      <c r="Q182" s="119">
        <f>IF(OR(F182=47201,F182=47100,F182=47200,F182=47500),H182,0)</f>
        <v/>
      </c>
      <c r="R182" s="119">
        <f>IF(OR(F182=87201,F182=87100,F182=87200,F182=87500),H182,0)</f>
        <v/>
      </c>
      <c r="S182">
        <f>IF(E182&gt;0,COUNTIF($E$121:E182,"&gt;0"),0)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P183">
        <f>IF(E183&gt;0,COUNTIF($E$17:E183,"&gt;0"),0)</f>
        <v/>
      </c>
      <c r="Q183" s="119">
        <f>IF(OR(F183=47201,F183=47100,F183=47200,F183=47500),H183,0)</f>
        <v/>
      </c>
      <c r="R183" s="119">
        <f>IF(OR(F183=87201,F183=87100,F183=87200,F183=87500),H183,0)</f>
        <v/>
      </c>
      <c r="S183">
        <f>IF(E183&gt;0,COUNTIF($E$121:E183,"&gt;0"),0)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P184">
        <f>IF(E184&gt;0,COUNTIF($E$17:E184,"&gt;0"),0)</f>
        <v/>
      </c>
      <c r="Q184" s="119">
        <f>IF(OR(F184=47201,F184=47100,F184=47200,F184=47500),H184,0)</f>
        <v/>
      </c>
      <c r="R184" s="119">
        <f>IF(OR(F184=87201,F184=87100,F184=87200,F184=87500),H184,0)</f>
        <v/>
      </c>
      <c r="S184">
        <f>IF(E184&gt;0,COUNTIF($E$121:E184,"&gt;0"),0)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P185">
        <f>IF(E185&gt;0,COUNTIF($E$17:E185,"&gt;0"),0)</f>
        <v/>
      </c>
      <c r="Q185" s="119">
        <f>IF(OR(F185=47201,F185=47100,F185=47200,F185=47500),H185,0)</f>
        <v/>
      </c>
      <c r="R185" s="119">
        <f>IF(OR(F185=87201,F185=87100,F185=87200,F185=87500),H185,0)</f>
        <v/>
      </c>
      <c r="S185">
        <f>IF(E185&gt;0,COUNTIF($E$121:E185,"&gt;0"),0)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P186">
        <f>IF(E186&gt;0,COUNTIF($E$17:E186,"&gt;0"),0)</f>
        <v/>
      </c>
      <c r="Q186" s="119">
        <f>IF(OR(F186=47201,F186=47100,F186=47200,F186=47500),H186,0)</f>
        <v/>
      </c>
      <c r="R186" s="119">
        <f>IF(OR(F186=87201,F186=87100,F186=87200,F186=87500),H186,0)</f>
        <v/>
      </c>
      <c r="S186">
        <f>IF(E186&gt;0,COUNTIF($E$121:E186,"&gt;0"),0)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P187">
        <f>IF(E187&gt;0,COUNTIF($E$17:E187,"&gt;0"),0)</f>
        <v/>
      </c>
      <c r="Q187" s="119">
        <f>IF(OR(F187=47201,F187=47100,F187=47200,F187=47500),H187,0)</f>
        <v/>
      </c>
      <c r="R187" s="119">
        <f>IF(OR(F187=87201,F187=87100,F187=87200,F187=87500),H187,0)</f>
        <v/>
      </c>
      <c r="S187">
        <f>IF(E187&gt;0,COUNTIF($E$121:E187,"&gt;0"),0)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P188">
        <f>IF(E188&gt;0,COUNTIF($E$17:E188,"&gt;0"),0)</f>
        <v/>
      </c>
      <c r="Q188" s="119">
        <f>IF(OR(F188=47201,F188=47100,F188=47200,F188=47500),H188,0)</f>
        <v/>
      </c>
      <c r="R188" s="119">
        <f>IF(OR(F188=87201,F188=87100,F188=87200,F188=87500),H188,0)</f>
        <v/>
      </c>
      <c r="S188">
        <f>IF(E188&gt;0,COUNTIF($E$121:E188,"&gt;0"),0)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P189">
        <f>IF(E189&gt;0,COUNTIF($E$17:E189,"&gt;0"),0)</f>
        <v/>
      </c>
      <c r="Q189" s="119">
        <f>IF(OR(F189=47201,F189=47100,F189=47200,F189=47500),H189,0)</f>
        <v/>
      </c>
      <c r="R189" s="119">
        <f>IF(OR(F189=87201,F189=87100,F189=87200,F189=87500),H189,0)</f>
        <v/>
      </c>
      <c r="S189">
        <f>IF(E189&gt;0,COUNTIF($E$121:E189,"&gt;0"),0)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P190">
        <f>IF(E190&gt;0,COUNTIF($E$17:E190,"&gt;0"),0)</f>
        <v/>
      </c>
      <c r="Q190" s="119">
        <f>IF(OR(F190=47201,F190=47100,F190=47200,F190=47500),H190,0)</f>
        <v/>
      </c>
      <c r="R190" s="119">
        <f>IF(OR(F190=87201,F190=87100,F190=87200,F190=87500),H190,0)</f>
        <v/>
      </c>
      <c r="S190">
        <f>IF(E190&gt;0,COUNTIF($E$121:E190,"&gt;0"),0)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P191">
        <f>IF(E191&gt;0,COUNTIF($E$17:E191,"&gt;0"),0)</f>
        <v/>
      </c>
      <c r="Q191" s="119">
        <f>IF(OR(F191=47201,F191=47100,F191=47200,F191=47500),H191,0)</f>
        <v/>
      </c>
      <c r="R191" s="119">
        <f>IF(OR(F191=87201,F191=87100,F191=87200,F191=87500),H191,0)</f>
        <v/>
      </c>
      <c r="S191">
        <f>IF(E191&gt;0,COUNTIF($E$121:E191,"&gt;0"),0)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P192">
        <f>IF(E192&gt;0,COUNTIF($E$17:E192,"&gt;0"),0)</f>
        <v/>
      </c>
      <c r="Q192" s="119">
        <f>IF(OR(F192=47201,F192=47100,F192=47200,F192=47500),H192,0)</f>
        <v/>
      </c>
      <c r="R192" s="119">
        <f>IF(OR(F192=87201,F192=87100,F192=87200,F192=87500),H192,0)</f>
        <v/>
      </c>
      <c r="S192">
        <f>IF(E192&gt;0,COUNTIF($E$121:E192,"&gt;0"),0)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P193">
        <f>IF(E193&gt;0,COUNTIF($E$17:E193,"&gt;0"),0)</f>
        <v/>
      </c>
      <c r="Q193" s="119">
        <f>IF(OR(F193=47201,F193=47100,F193=47200,F193=47500),H193,0)</f>
        <v/>
      </c>
      <c r="R193" s="119">
        <f>IF(OR(F193=87201,F193=87100,F193=87200,F193=87500),H193,0)</f>
        <v/>
      </c>
      <c r="S193">
        <f>IF(E193&gt;0,COUNTIF($E$121:E193,"&gt;0"),0)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P194">
        <f>IF(E194&gt;0,COUNTIF($E$17:E194,"&gt;0"),0)</f>
        <v/>
      </c>
      <c r="Q194" s="119">
        <f>IF(OR(F194=47201,F194=47100,F194=47200,F194=47500),H194,0)</f>
        <v/>
      </c>
      <c r="R194" s="119">
        <f>IF(OR(F194=87201,F194=87100,F194=87200,F194=87500),H194,0)</f>
        <v/>
      </c>
      <c r="S194">
        <f>IF(E194&gt;0,COUNTIF($E$121:E194,"&gt;0"),0)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P195">
        <f>IF(E195&gt;0,COUNTIF($E$17:E195,"&gt;0"),0)</f>
        <v/>
      </c>
      <c r="Q195" s="119">
        <f>IF(OR(F195=47201,F195=47100,F195=47200,F195=47500),H195,0)</f>
        <v/>
      </c>
      <c r="R195" s="119">
        <f>IF(OR(F195=87201,F195=87100,F195=87200,F195=87500),H195,0)</f>
        <v/>
      </c>
      <c r="S195">
        <f>IF(E195&gt;0,COUNTIF($E$121:E195,"&gt;0"),0)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P196">
        <f>IF(E196&gt;0,COUNTIF($E$17:E196,"&gt;0"),0)</f>
        <v/>
      </c>
      <c r="Q196" s="119">
        <f>IF(OR(F196=47201,F196=47100,F196=47200,F196=47500),H196,0)</f>
        <v/>
      </c>
      <c r="R196" s="119">
        <f>IF(OR(F196=87201,F196=87100,F196=87200,F196=87500),H196,0)</f>
        <v/>
      </c>
      <c r="S196">
        <f>IF(E196&gt;0,COUNTIF($E$121:E196,"&gt;0"),0)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P197">
        <f>IF(E197&gt;0,COUNTIF($E$17:E197,"&gt;0"),0)</f>
        <v/>
      </c>
      <c r="Q197" s="119">
        <f>IF(OR(F197=47201,F197=47100,F197=47200,F197=47500),H197,0)</f>
        <v/>
      </c>
      <c r="R197" s="119">
        <f>IF(OR(F197=87201,F197=87100,F197=87200,F197=87500),H197,0)</f>
        <v/>
      </c>
      <c r="S197">
        <f>IF(E197&gt;0,COUNTIF($E$121:E197,"&gt;0"),0)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P198">
        <f>IF(E198&gt;0,COUNTIF($E$17:E198,"&gt;0"),0)</f>
        <v/>
      </c>
      <c r="Q198" s="119">
        <f>IF(OR(F198=47201,F198=47100,F198=47200,F198=47500),H198,0)</f>
        <v/>
      </c>
      <c r="R198" s="119">
        <f>IF(OR(F198=87201,F198=87100,F198=87200,F198=87500),H198,0)</f>
        <v/>
      </c>
      <c r="S198">
        <f>IF(E198&gt;0,COUNTIF($E$121:E198,"&gt;0"),0)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P199">
        <f>IF(E199&gt;0,COUNTIF($E$17:E199,"&gt;0"),0)</f>
        <v/>
      </c>
      <c r="Q199" s="119">
        <f>IF(OR(F199=47201,F199=47100,F199=47200,F199=47500),H199,0)</f>
        <v/>
      </c>
      <c r="R199" s="119">
        <f>IF(OR(F199=87201,F199=87100,F199=87200,F199=87500),H199,0)</f>
        <v/>
      </c>
      <c r="S199">
        <f>IF(E199&gt;0,COUNTIF($E$121:E199,"&gt;0"),0)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P200">
        <f>IF(E200&gt;0,COUNTIF($E$17:E200,"&gt;0"),0)</f>
        <v/>
      </c>
      <c r="Q200" s="119">
        <f>IF(OR(F200=47201,F200=47100,F200=47200,F200=47500),H200,0)</f>
        <v/>
      </c>
      <c r="R200" s="119">
        <f>IF(OR(F200=87201,F200=87100,F200=87200,F200=87500),H200,0)</f>
        <v/>
      </c>
      <c r="S200">
        <f>IF(E200&gt;0,COUNTIF($E$121:E200,"&gt;0"),0)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P201">
        <f>IF(E201&gt;0,COUNTIF($E$17:E201,"&gt;0"),0)</f>
        <v/>
      </c>
      <c r="Q201" s="119">
        <f>IF(OR(F201=47201,F201=47100,F201=47200,F201=47500),H201,0)</f>
        <v/>
      </c>
      <c r="R201" s="119">
        <f>IF(OR(F201=87201,F201=87100,F201=87200,F201=87500),H201,0)</f>
        <v/>
      </c>
      <c r="S201">
        <f>IF(E201&gt;0,COUNTIF($E$121:E201,"&gt;0"),0)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P202">
        <f>IF(E202&gt;0,COUNTIF($E$17:E202,"&gt;0"),0)</f>
        <v/>
      </c>
      <c r="Q202" s="119">
        <f>IF(OR(F202=47201,F202=47100,F202=47200,F202=47500),H202,0)</f>
        <v/>
      </c>
      <c r="R202" s="119">
        <f>IF(OR(F202=87201,F202=87100,F202=87200,F202=87500),H202,0)</f>
        <v/>
      </c>
      <c r="S202">
        <f>IF(E202&gt;0,COUNTIF($E$121:E202,"&gt;0"),0)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P203">
        <f>IF(E203&gt;0,COUNTIF($E$17:E203,"&gt;0"),0)</f>
        <v/>
      </c>
      <c r="Q203" s="119">
        <f>IF(OR(F203=47201,F203=47100,F203=47200,F203=47500),H203,0)</f>
        <v/>
      </c>
      <c r="R203" s="119">
        <f>IF(OR(F203=87201,F203=87100,F203=87200,F203=87500),H203,0)</f>
        <v/>
      </c>
      <c r="S203">
        <f>IF(E203&gt;0,COUNTIF($E$121:E203,"&gt;0"),0)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P204">
        <f>IF(E204&gt;0,COUNTIF($E$17:E204,"&gt;0"),0)</f>
        <v/>
      </c>
      <c r="Q204" s="119">
        <f>IF(OR(F204=47201,F204=47100,F204=47200,F204=47500),H204,0)</f>
        <v/>
      </c>
      <c r="R204" s="119">
        <f>IF(OR(F204=87201,F204=87100,F204=87200,F204=87500),H204,0)</f>
        <v/>
      </c>
      <c r="S204">
        <f>IF(E204&gt;0,COUNTIF($E$121:E204,"&gt;0"),0)</f>
        <v/>
      </c>
    </row>
    <row r="205" ht="15" customHeight="1">
      <c r="A205" s="651" t="n"/>
      <c r="B205" s="662" t="n"/>
      <c r="C205" s="662" t="n"/>
      <c r="D205" s="662" t="n"/>
      <c r="E205" s="681" t="n"/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P205">
        <f>IF(E205&gt;0,COUNTIF($E$17:E205,"&gt;0"),0)</f>
        <v/>
      </c>
      <c r="Q205" s="119">
        <f>IF(OR(F205=47201,F205=47100,F205=47200,F205=47500),H205,0)</f>
        <v/>
      </c>
      <c r="R205" s="119">
        <f>IF(OR(F205=87201,F205=87100,F205=87200,F205=87500),H205,0)</f>
        <v/>
      </c>
      <c r="S205">
        <f>IF(E205&gt;0,COUNTIF($E$121:E205,"&gt;0"),0)</f>
        <v/>
      </c>
    </row>
    <row r="206" ht="15" customHeight="1">
      <c r="A206" s="669" t="n"/>
      <c r="B206" s="657" t="n"/>
      <c r="C206" s="657" t="n"/>
      <c r="D206" s="657" t="n"/>
      <c r="E206" s="681" t="n"/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P206">
        <f>IF(E206&gt;0,COUNTIF($E$17:E206,"&gt;0"),0)</f>
        <v/>
      </c>
      <c r="Q206" s="119">
        <f>IF(OR(F206=47201,F206=47100,F206=47200,F206=47500),H206,0)</f>
        <v/>
      </c>
      <c r="R206" s="119">
        <f>IF(OR(F206=87201,F206=87100,F206=87200,F206=87500),H206,0)</f>
        <v/>
      </c>
      <c r="S206">
        <f>IF(E206&gt;0,COUNTIF($E$121:E206,"&gt;0"),0)</f>
        <v/>
      </c>
    </row>
    <row r="207" ht="15" customHeight="1">
      <c r="A207" s="651" t="n"/>
      <c r="B207" s="662" t="n"/>
      <c r="C207" s="662" t="n"/>
      <c r="D207" s="662" t="n"/>
      <c r="E207" s="681" t="n"/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P207">
        <f>IF(E207&gt;0,COUNTIF($E$17:E207,"&gt;0"),0)</f>
        <v/>
      </c>
      <c r="Q207" s="119">
        <f>IF(OR(F207=47201,F207=47100,F207=47200,F207=47500),H207,0)</f>
        <v/>
      </c>
      <c r="R207" s="119">
        <f>IF(OR(F207=87201,F207=87100,F207=87200,F207=87500),H207,0)</f>
        <v/>
      </c>
      <c r="S207">
        <f>IF(E207&gt;0,COUNTIF($E$121:E207,"&gt;0"),0)</f>
        <v/>
      </c>
    </row>
    <row r="208" ht="15" customHeight="1">
      <c r="A208" s="669" t="n"/>
      <c r="B208" s="657" t="n"/>
      <c r="C208" s="657" t="n"/>
      <c r="D208" s="657" t="n"/>
      <c r="E208" s="681" t="n"/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P208">
        <f>IF(E208&gt;0,COUNTIF($E$17:E208,"&gt;0"),0)</f>
        <v/>
      </c>
      <c r="Q208" s="119">
        <f>IF(OR(F208=47201,F208=47100,F208=47200,F208=47500),H208,0)</f>
        <v/>
      </c>
      <c r="R208" s="119">
        <f>IF(OR(F208=87201,F208=87100,F208=87200,F208=87500),H208,0)</f>
        <v/>
      </c>
      <c r="S208">
        <f>IF(E208&gt;0,COUNTIF($E$121:E208,"&gt;0"),0)</f>
        <v/>
      </c>
    </row>
    <row r="209" ht="15" customHeight="1">
      <c r="A209" s="651" t="n"/>
      <c r="B209" s="662" t="n"/>
      <c r="C209" s="662" t="n"/>
      <c r="D209" s="662" t="n"/>
      <c r="E209" s="681" t="n"/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P209">
        <f>IF(E209&gt;0,COUNTIF($E$17:E209,"&gt;0"),0)</f>
        <v/>
      </c>
      <c r="Q209" s="119">
        <f>IF(OR(F209=47201,F209=47100,F209=47200,F209=47500),H209,0)</f>
        <v/>
      </c>
      <c r="R209" s="119">
        <f>IF(OR(F209=87201,F209=87100,F209=87200,F209=87500),H209,0)</f>
        <v/>
      </c>
      <c r="S209">
        <f>IF(E209&gt;0,COUNTIF($E$121:E209,"&gt;0"),0)</f>
        <v/>
      </c>
    </row>
    <row r="210" ht="15" customHeight="1">
      <c r="A210" s="669" t="n"/>
      <c r="B210" s="657" t="n"/>
      <c r="C210" s="657" t="n"/>
      <c r="D210" s="657" t="n"/>
      <c r="E210" s="681" t="n"/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P210">
        <f>IF(E210&gt;0,COUNTIF($E$17:E210,"&gt;0"),0)</f>
        <v/>
      </c>
      <c r="Q210" s="119">
        <f>IF(OR(F210=47201,F210=47100,F210=47200,F210=47500),H210,0)</f>
        <v/>
      </c>
      <c r="R210" s="119">
        <f>IF(OR(F210=87201,F210=87100,F210=87200,F210=87500),H210,0)</f>
        <v/>
      </c>
      <c r="S210">
        <f>IF(E210&gt;0,COUNTIF($E$121:E210,"&gt;0"),0)</f>
        <v/>
      </c>
    </row>
    <row r="211" ht="15" customHeight="1">
      <c r="A211" s="651" t="n"/>
      <c r="B211" s="662" t="n"/>
      <c r="C211" s="662" t="n"/>
      <c r="D211" s="662" t="n"/>
      <c r="E211" s="681" t="n"/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P211">
        <f>IF(E211&gt;0,COUNTIF($E$17:E211,"&gt;0"),0)</f>
        <v/>
      </c>
      <c r="Q211" s="119">
        <f>IF(OR(F211=47201,F211=47100,F211=47200,F211=47500),H211,0)</f>
        <v/>
      </c>
      <c r="R211" s="119">
        <f>IF(OR(F211=87201,F211=87100,F211=87200,F211=87500),H211,0)</f>
        <v/>
      </c>
      <c r="S211">
        <f>IF(E211&gt;0,COUNTIF($E$121:E211,"&gt;0"),0)</f>
        <v/>
      </c>
    </row>
    <row r="212" ht="15" customHeight="1">
      <c r="A212" s="669" t="n"/>
      <c r="B212" s="657" t="n"/>
      <c r="C212" s="657" t="n"/>
      <c r="D212" s="657" t="n"/>
      <c r="E212" s="681" t="n"/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P212">
        <f>IF(E212&gt;0,COUNTIF($E$17:E212,"&gt;0"),0)</f>
        <v/>
      </c>
      <c r="Q212" s="119">
        <f>IF(OR(F212=47201,F212=47100,F212=47200,F212=47500),H212,0)</f>
        <v/>
      </c>
      <c r="R212" s="119">
        <f>IF(OR(F212=87201,F212=87100,F212=87200,F212=87500),H212,0)</f>
        <v/>
      </c>
      <c r="S212">
        <f>IF(E212&gt;0,COUNTIF($E$121:E212,"&gt;0"),0)</f>
        <v/>
      </c>
    </row>
    <row r="213" ht="15" customHeight="1">
      <c r="A213" s="651" t="n"/>
      <c r="B213" s="662" t="n"/>
      <c r="C213" s="662" t="n"/>
      <c r="D213" s="662" t="n"/>
      <c r="E213" s="681" t="n"/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P213">
        <f>IF(E213&gt;0,COUNTIF($E$17:E213,"&gt;0"),0)</f>
        <v/>
      </c>
      <c r="Q213" s="119">
        <f>IF(OR(F213=47201,F213=47100,F213=47200,F213=47500),H213,0)</f>
        <v/>
      </c>
      <c r="R213" s="119">
        <f>IF(OR(F213=87201,F213=87100,F213=87200,F213=87500),H213,0)</f>
        <v/>
      </c>
      <c r="S213">
        <f>IF(E213&gt;0,COUNTIF($E$121:E213,"&gt;0"),0)</f>
        <v/>
      </c>
    </row>
    <row r="214" ht="15" customHeight="1">
      <c r="A214" s="669" t="n"/>
      <c r="B214" s="657" t="n"/>
      <c r="C214" s="657" t="n"/>
      <c r="D214" s="657" t="n"/>
      <c r="E214" s="681" t="n"/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P214">
        <f>IF(E214&gt;0,COUNTIF($E$17:E214,"&gt;0"),0)</f>
        <v/>
      </c>
      <c r="Q214" s="119">
        <f>IF(OR(F214=47201,F214=47100,F214=47200,F214=47500),H214,0)</f>
        <v/>
      </c>
      <c r="R214" s="119">
        <f>IF(OR(F214=87201,F214=87100,F214=87200,F214=87500),H214,0)</f>
        <v/>
      </c>
      <c r="S214">
        <f>IF(E214&gt;0,COUNTIF($E$121:E214,"&gt;0"),0)</f>
        <v/>
      </c>
    </row>
    <row r="215" ht="15" customHeight="1">
      <c r="A215" s="651" t="n"/>
      <c r="B215" s="662" t="n"/>
      <c r="C215" s="662" t="n"/>
      <c r="D215" s="662" t="n"/>
      <c r="E215" s="681" t="n"/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P215">
        <f>IF(E215&gt;0,COUNTIF($E$17:E215,"&gt;0"),0)</f>
        <v/>
      </c>
      <c r="Q215" s="119">
        <f>IF(OR(F215=47201,F215=47100,F215=47200,F215=47500),H215,0)</f>
        <v/>
      </c>
      <c r="R215" s="119">
        <f>IF(OR(F215=87201,F215=87100,F215=87200,F215=87500),H215,0)</f>
        <v/>
      </c>
      <c r="S215">
        <f>IF(E215&gt;0,COUNTIF($E$121:E215,"&gt;0"),0)</f>
        <v/>
      </c>
    </row>
    <row r="216" ht="15" customHeight="1">
      <c r="A216" s="669" t="n"/>
      <c r="B216" s="657" t="n"/>
      <c r="C216" s="657" t="n"/>
      <c r="D216" s="657" t="n"/>
      <c r="E216" s="681" t="n"/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P216">
        <f>IF(E216&gt;0,COUNTIF($E$17:E216,"&gt;0"),0)</f>
        <v/>
      </c>
      <c r="Q216" s="119">
        <f>IF(OR(F216=47201,F216=47100,F216=47200,F216=47500),H216,0)</f>
        <v/>
      </c>
      <c r="R216" s="119">
        <f>IF(OR(F216=87201,F216=87100,F216=87200,F216=87500),H216,0)</f>
        <v/>
      </c>
      <c r="S216">
        <f>IF(E216&gt;0,COUNTIF($E$121:E216,"&gt;0"),0)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 t="n"/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P217">
        <f>IF(E217&gt;0,COUNTIF($E$17:E217,"&gt;0"),0)</f>
        <v/>
      </c>
      <c r="Q217" s="119">
        <f>IF(OR(F217=47201,F217=47100,F217=47200,F217=47500),H217,0)</f>
        <v/>
      </c>
      <c r="R217" s="119">
        <f>IF(OR(F217=87201,F217=87100,F217=87200,F217=87500),H217,0)</f>
        <v/>
      </c>
      <c r="S217">
        <f>IF(E217&gt;0,COUNTIF($E$121:E217,"&gt;0"),0)</f>
        <v/>
      </c>
    </row>
    <row r="218" ht="15" customHeight="1">
      <c r="A218" s="244" t="n"/>
      <c r="B218" s="71" t="n"/>
      <c r="C218" s="71" t="n"/>
      <c r="D218" s="244" t="n"/>
      <c r="E218" s="71" t="n"/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P218">
        <f>IF(E218&gt;0,COUNTIF($E$17:E218,"&gt;0"),0)</f>
        <v/>
      </c>
      <c r="Q218" s="119">
        <f>IF(OR(L218=47201,L218=47100,L218=47200,L218=47500),H218,0)</f>
        <v/>
      </c>
      <c r="R218" s="119">
        <f>IF(OR(L218=87201,L218=87100,L218=87200,L218=87500),H218,0)</f>
        <v/>
      </c>
      <c r="S218">
        <f>IF(E218&gt;0,COUNTIF($E$121:E218,"&gt;0"),0)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 t="n"/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P219">
        <f>IF(E219&gt;0,COUNTIF($E$17:E219,"&gt;0"),0)</f>
        <v/>
      </c>
      <c r="Q219" s="119">
        <f>IF(OR(L219=47201,L219=47100,L219=47200,L219=47500),H219,0)</f>
        <v/>
      </c>
      <c r="R219" s="119">
        <f>IF(OR(L219=87201,L219=87100,L219=87200,L219=87500),H219,0)</f>
        <v/>
      </c>
      <c r="S219">
        <f>IF(E219&gt;0,COUNTIF($E$121:E219,"&gt;0"),0)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>
        <f>IF(E220&gt;0,COUNTIF($E$17:E220,"&gt;0"),0)</f>
        <v/>
      </c>
      <c r="Q220" s="715">
        <f>IF(OR(F220=47201,F220=47100,F220=47200,F220=47500),H220,0)</f>
        <v/>
      </c>
      <c r="R220" s="715">
        <f>IF(OR(F220=87201,F220=87100,F220=87200,F220=87500),H220,0)</f>
        <v/>
      </c>
      <c r="S220" s="714">
        <f>IF(E220&gt;0,COUNTIF($E$121:E220,"&gt;0"),0)</f>
        <v/>
      </c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P221">
        <f>IF(E221&gt;0,COUNTIF($E$17:E221,"&gt;0"),0)</f>
        <v/>
      </c>
      <c r="Q221" s="60">
        <f>IF(OR(F221=47201,F221=47100,F221=47200,F221=47500),H221,0)</f>
        <v/>
      </c>
      <c r="R221" s="60">
        <f>IF(OR(F221=87201,F221=87100,F221=87200,F221=87500),H221,0)</f>
        <v/>
      </c>
      <c r="S221">
        <f>IF(E221&gt;0,COUNTIF($E$121:E221,"&gt;0"),0)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P222">
        <f>IF(E222&gt;0,COUNTIF($E$17:E222,"&gt;0"),0)</f>
        <v/>
      </c>
      <c r="Q222" s="60">
        <f>IF(OR(F222=47201,F222=47100,F222=47200,F222=47500),H222,0)</f>
        <v/>
      </c>
      <c r="R222" s="60">
        <f>IF(OR(F222=87201,F222=87100,F222=87200,F222=87500),H222,0)</f>
        <v/>
      </c>
      <c r="S222">
        <f>IF(E222&gt;0,COUNTIF($E$121:E222,"&gt;0"),0)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P223">
        <f>IF(E223&gt;0,COUNTIF($E$17:E223,"&gt;0"),0)</f>
        <v/>
      </c>
      <c r="Q223" s="60">
        <f>IF(OR(F223=47201,F223=47100,F223=47200,F223=47500),H223,0)</f>
        <v/>
      </c>
      <c r="R223" s="60">
        <f>IF(OR(F223=87201,F223=87100,F223=87200,F223=87500),H223,0)</f>
        <v/>
      </c>
      <c r="S223">
        <f>IF(E223&gt;0,COUNTIF($E$121:E223,"&gt;0"),0)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P224">
        <f>IF(E224&gt;0,COUNTIF($E$17:E224,"&gt;0"),0)</f>
        <v/>
      </c>
      <c r="Q224" s="60">
        <f>IF(OR(F224=47201,F224=47100,F224=47200,F224=47500),H224,0)</f>
        <v/>
      </c>
      <c r="R224" s="60">
        <f>IF(OR(F224=87201,F224=87100,F224=87200,F224=87500),H224,0)</f>
        <v/>
      </c>
      <c r="S224">
        <f>IF(E224&gt;0,COUNTIF($E$121:E224,"&gt;0"),0)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P225">
        <f>IF(E225&gt;0,COUNTIF($E$17:E225,"&gt;0"),0)</f>
        <v/>
      </c>
      <c r="Q225" s="60">
        <f>IF(OR(F225=47201,F225=47100,F225=47200,F225=47500),H225,0)</f>
        <v/>
      </c>
      <c r="R225" s="60">
        <f>IF(OR(F225=87201,F225=87100,F225=87200,F225=87500),H225,0)</f>
        <v/>
      </c>
      <c r="S225">
        <f>IF(E225&gt;0,COUNTIF($E$121:E225,"&gt;0"),0)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P226">
        <f>IF(E226&gt;0,COUNTIF($E$17:E226,"&gt;0"),0)</f>
        <v/>
      </c>
      <c r="Q226" s="60">
        <f>IF(OR(F226=47201,F226=47100,F226=47200,F226=47500),H226,0)</f>
        <v/>
      </c>
      <c r="R226" s="60">
        <f>IF(OR(F226=87201,F226=87100,F226=87200,F226=87500),H226,0)</f>
        <v/>
      </c>
      <c r="S226">
        <f>IF(E226&gt;0,COUNTIF($E$121:E226,"&gt;0"),0)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P227">
        <f>IF(E227&gt;0,COUNTIF($E$17:E227,"&gt;0"),0)</f>
        <v/>
      </c>
      <c r="Q227" s="60">
        <f>IF(OR(F227=47201,F227=47100,F227=47200,F227=47500),H227,0)</f>
        <v/>
      </c>
      <c r="R227" s="60">
        <f>IF(OR(F227=87201,F227=87100,F227=87200,F227=87500),H227,0)</f>
        <v/>
      </c>
      <c r="S227">
        <f>IF(E227&gt;0,COUNTIF($E$121:E227,"&gt;0"),0)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P228">
        <f>IF(E228&gt;0,COUNTIF($E$17:E228,"&gt;0"),0)</f>
        <v/>
      </c>
      <c r="Q228" s="60">
        <f>IF(OR(F228=47201,F228=47100,F228=47200,F228=47500),H228,0)</f>
        <v/>
      </c>
      <c r="R228" s="60">
        <f>IF(OR(F228=87201,F228=87100,F228=87200,F228=87500),H228,0)</f>
        <v/>
      </c>
      <c r="S228">
        <f>IF(E228&gt;0,COUNTIF($E$121:E228,"&gt;0"),0)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P229">
        <f>IF(E229&gt;0,COUNTIF($E$17:E229,"&gt;0"),0)</f>
        <v/>
      </c>
      <c r="Q229" s="60">
        <f>IF(OR(F229=47201,F229=47100,F229=47200,F229=47500),H229,0)</f>
        <v/>
      </c>
      <c r="R229" s="60">
        <f>IF(OR(F229=87201,F229=87100,F229=87200,F229=87500),H229,0)</f>
        <v/>
      </c>
      <c r="S229">
        <f>IF(E229&gt;0,COUNTIF($E$121:E229,"&gt;0"),0)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P230">
        <f>IF(E230&gt;0,COUNTIF($E$17:E230,"&gt;0"),0)</f>
        <v/>
      </c>
      <c r="Q230" s="60">
        <f>IF(OR(F230=47201,F230=47100,F230=47200,F230=47500),H230,0)</f>
        <v/>
      </c>
      <c r="R230" s="60">
        <f>IF(OR(F230=87201,F230=87100,F230=87200,F230=87500),H230,0)</f>
        <v/>
      </c>
      <c r="S230">
        <f>IF(E230&gt;0,COUNTIF($E$121:E230,"&gt;0"),0)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P231">
        <f>IF(E231&gt;0,COUNTIF($E$17:E231,"&gt;0"),0)</f>
        <v/>
      </c>
      <c r="Q231" s="60">
        <f>IF(OR(F231=47201,F231=47100,F231=47200,F231=47500),H231,0)</f>
        <v/>
      </c>
      <c r="R231" s="60">
        <f>IF(OR(F231=87201,F231=87100,F231=87200,F231=87500),H231,0)</f>
        <v/>
      </c>
      <c r="S231">
        <f>IF(E231&gt;0,COUNTIF($E$121:E231,"&gt;0"),0)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P232">
        <f>IF(E232&gt;0,COUNTIF($E$17:E232,"&gt;0"),0)</f>
        <v/>
      </c>
      <c r="Q232" s="60">
        <f>IF(OR(F232=47201,F232=47100,F232=47200,F232=47500),H232,0)</f>
        <v/>
      </c>
      <c r="R232" s="60">
        <f>IF(OR(F232=87201,F232=87100,F232=87200,F232=87500),H232,0)</f>
        <v/>
      </c>
      <c r="S232">
        <f>IF(E232&gt;0,COUNTIF($E$121:E232,"&gt;0"),0)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P233">
        <f>IF(E233&gt;0,COUNTIF($E$17:E233,"&gt;0"),0)</f>
        <v/>
      </c>
      <c r="Q233" s="60">
        <f>IF(OR(F233=47201,F233=47100,F233=47200,F233=47500),H233,0)</f>
        <v/>
      </c>
      <c r="R233" s="60">
        <f>IF(OR(F233=87201,F233=87100,F233=87200,F233=87500),H233,0)</f>
        <v/>
      </c>
      <c r="S233">
        <f>IF(E233&gt;0,COUNTIF($E$121:E233,"&gt;0"),0)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P234">
        <f>IF(E234&gt;0,COUNTIF($E$17:E234,"&gt;0"),0)</f>
        <v/>
      </c>
      <c r="Q234" s="60">
        <f>IF(OR(F234=47201,F234=47100,F234=47200,F234=47500),H234,0)</f>
        <v/>
      </c>
      <c r="R234" s="60">
        <f>IF(OR(F234=87201,F234=87100,F234=87200,F234=87500),H234,0)</f>
        <v/>
      </c>
      <c r="S234">
        <f>IF(E234&gt;0,COUNTIF($E$121:E234,"&gt;0"),0)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P235">
        <f>IF(E235&gt;0,COUNTIF($E$17:E235,"&gt;0"),0)</f>
        <v/>
      </c>
      <c r="Q235" s="60">
        <f>IF(OR(F235=47201,F235=47100,F235=47200,F235=47500),H235,0)</f>
        <v/>
      </c>
      <c r="R235" s="60">
        <f>IF(OR(F235=87201,F235=87100,F235=87200,F235=87500),H235,0)</f>
        <v/>
      </c>
      <c r="S235">
        <f>IF(E235&gt;0,COUNTIF($E$121:E235,"&gt;0"),0)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P236">
        <f>IF(E236&gt;0,COUNTIF($E$17:E236,"&gt;0"),0)</f>
        <v/>
      </c>
      <c r="Q236" s="60">
        <f>IF(OR(F236=47201,F236=47100,F236=47200,F236=47500),H236,0)</f>
        <v/>
      </c>
      <c r="R236" s="60">
        <f>IF(OR(F236=87201,F236=87100,F236=87200,F236=87500),H236,0)</f>
        <v/>
      </c>
      <c r="S236">
        <f>IF(E236&gt;0,COUNTIF($E$121:E236,"&gt;0"),0)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P237">
        <f>IF(E237&gt;0,COUNTIF($E$17:E237,"&gt;0"),0)</f>
        <v/>
      </c>
      <c r="Q237" s="60">
        <f>IF(OR(F237=47201,F237=47100,F237=47200,F237=47500),H237,0)</f>
        <v/>
      </c>
      <c r="R237" s="60">
        <f>IF(OR(F237=87201,F237=87100,F237=87200,F237=87500),H237,0)</f>
        <v/>
      </c>
      <c r="S237">
        <f>IF(E237&gt;0,COUNTIF($E$121:E237,"&gt;0"),0)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P238">
        <f>IF(E238&gt;0,COUNTIF($E$17:E238,"&gt;0"),0)</f>
        <v/>
      </c>
      <c r="Q238" s="60">
        <f>IF(OR(F238=47201,F238=47100,F238=47200,F238=47500),H238,0)</f>
        <v/>
      </c>
      <c r="R238" s="60">
        <f>IF(OR(F238=87201,F238=87100,F238=87200,F238=87500),H238,0)</f>
        <v/>
      </c>
      <c r="S238">
        <f>IF(E238&gt;0,COUNTIF($E$121:E238,"&gt;0"),0)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P239">
        <f>IF(E239&gt;0,COUNTIF($E$17:E239,"&gt;0"),0)</f>
        <v/>
      </c>
      <c r="Q239" s="60">
        <f>IF(OR(F239=47201,F239=47100,F239=47200,F239=47500),H239,0)</f>
        <v/>
      </c>
      <c r="R239" s="60">
        <f>IF(OR(F239=87201,F239=87100,F239=87200,F239=87500),H239,0)</f>
        <v/>
      </c>
      <c r="S239">
        <f>IF(E239&gt;0,COUNTIF($E$121:E239,"&gt;0"),0)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P240">
        <f>IF(E240&gt;0,COUNTIF($E$17:E240,"&gt;0"),0)</f>
        <v/>
      </c>
      <c r="Q240" s="60">
        <f>IF(OR(F240=47201,F240=47100,F240=47200,F240=47500),H240,0)</f>
        <v/>
      </c>
      <c r="R240" s="60">
        <f>IF(OR(F240=87201,F240=87100,F240=87200,F240=87500),H240,0)</f>
        <v/>
      </c>
      <c r="S240">
        <f>IF(E240&gt;0,COUNTIF($E$121:E240,"&gt;0"),0)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P241">
        <f>IF(E241&gt;0,COUNTIF($E$17:E241,"&gt;0"),0)</f>
        <v/>
      </c>
      <c r="Q241" s="60">
        <f>IF(OR(F241=47201,F241=47100,F241=47200,F241=47500),H241,0)</f>
        <v/>
      </c>
      <c r="R241" s="60">
        <f>IF(OR(F241=87201,F241=87100,F241=87200,F241=87500),H241,0)</f>
        <v/>
      </c>
      <c r="S241">
        <f>IF(E241&gt;0,COUNTIF($E$121:E241,"&gt;0"),0)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P242">
        <f>IF(E242&gt;0,COUNTIF($E$17:E242,"&gt;0"),0)</f>
        <v/>
      </c>
      <c r="Q242" s="60">
        <f>IF(OR(F242=47201,F242=47100,F242=47200,F242=47500),H242,0)</f>
        <v/>
      </c>
      <c r="R242" s="60">
        <f>IF(OR(F242=87201,F242=87100,F242=87200,F242=87500),H242,0)</f>
        <v/>
      </c>
      <c r="S242">
        <f>IF(E242&gt;0,COUNTIF($E$121:E242,"&gt;0"),0)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P243">
        <f>IF(E243&gt;0,COUNTIF($E$17:E243,"&gt;0"),0)</f>
        <v/>
      </c>
      <c r="Q243" s="60">
        <f>IF(OR(F243=47201,F243=47100,F243=47200,F243=47500),H243,0)</f>
        <v/>
      </c>
      <c r="R243" s="60">
        <f>IF(OR(F243=87201,F243=87100,F243=87200,F243=87500),H243,0)</f>
        <v/>
      </c>
      <c r="S243">
        <f>IF(E243&gt;0,COUNTIF($E$121:E243,"&gt;0"),0)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P244">
        <f>IF(E244&gt;0,COUNTIF($E$17:E244,"&gt;0"),0)</f>
        <v/>
      </c>
      <c r="Q244" s="60">
        <f>IF(OR(F244=47201,F244=47100,F244=47200,F244=47500),H244,0)</f>
        <v/>
      </c>
      <c r="R244" s="60">
        <f>IF(OR(F244=87201,F244=87100,F244=87200,F244=87500),H244,0)</f>
        <v/>
      </c>
      <c r="S244">
        <f>IF(E244&gt;0,COUNTIF($E$121:E244,"&gt;0"),0)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P245">
        <f>IF(E245&gt;0,COUNTIF($E$17:E245,"&gt;0"),0)</f>
        <v/>
      </c>
      <c r="Q245" s="60">
        <f>IF(OR(F245=47201,F245=47100,F245=47200,F245=47500),H245,0)</f>
        <v/>
      </c>
      <c r="R245" s="60">
        <f>IF(OR(F245=87201,F245=87100,F245=87200,F245=87500),H245,0)</f>
        <v/>
      </c>
      <c r="S245">
        <f>IF(E245&gt;0,COUNTIF($E$121:E245,"&gt;0"),0)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P246">
        <f>IF(E246&gt;0,COUNTIF($E$17:E246,"&gt;0"),0)</f>
        <v/>
      </c>
      <c r="Q246" s="60">
        <f>IF(OR(F246=47201,F246=47100,F246=47200,F246=47500),H246,0)</f>
        <v/>
      </c>
      <c r="R246" s="60">
        <f>IF(OR(F246=87201,F246=87100,F246=87200,F246=87500),H246,0)</f>
        <v/>
      </c>
      <c r="S246">
        <f>IF(E246&gt;0,COUNTIF($E$121:E246,"&gt;0"),0)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P247">
        <f>IF(E247&gt;0,COUNTIF($E$17:E247,"&gt;0"),0)</f>
        <v/>
      </c>
      <c r="Q247" s="60">
        <f>IF(OR(F247=47201,F247=47100,F247=47200,F247=47500),H247,0)</f>
        <v/>
      </c>
      <c r="R247" s="60">
        <f>IF(OR(F247=87201,F247=87100,F247=87200,F247=87500),H247,0)</f>
        <v/>
      </c>
      <c r="S247">
        <f>IF(E247&gt;0,COUNTIF($E$121:E247,"&gt;0"),0)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P248">
        <f>IF(E248&gt;0,COUNTIF($E$17:E248,"&gt;0"),0)</f>
        <v/>
      </c>
      <c r="Q248" s="60">
        <f>IF(OR(F248=47201,F248=47100,F248=47200,F248=47500),H248,0)</f>
        <v/>
      </c>
      <c r="R248" s="60">
        <f>IF(OR(F248=87201,F248=87100,F248=87200,F248=87500),H248,0)</f>
        <v/>
      </c>
      <c r="S248">
        <f>IF(E248&gt;0,COUNTIF($E$121:E248,"&gt;0"),0)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P249">
        <f>IF(E249&gt;0,COUNTIF($E$17:E249,"&gt;0"),0)</f>
        <v/>
      </c>
      <c r="Q249" s="60">
        <f>IF(OR(F249=47201,F249=47100,F249=47200,F249=47500),H249,0)</f>
        <v/>
      </c>
      <c r="R249" s="60">
        <f>IF(OR(F249=87201,F249=87100,F249=87200,F249=87500),H249,0)</f>
        <v/>
      </c>
      <c r="S249">
        <f>IF(E249&gt;0,COUNTIF($E$121:E249,"&gt;0"),0)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P250">
        <f>IF(E250&gt;0,COUNTIF($E$17:E250,"&gt;0"),0)</f>
        <v/>
      </c>
      <c r="Q250" s="60">
        <f>IF(OR(F250=47201,F250=47100,F250=47200,F250=47500),H250,0)</f>
        <v/>
      </c>
      <c r="R250" s="60">
        <f>IF(OR(F250=87201,F250=87100,F250=87200,F250=87500),H250,0)</f>
        <v/>
      </c>
      <c r="S250">
        <f>IF(E250&gt;0,COUNTIF($E$121:E250,"&gt;0"),0)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P251">
        <f>IF(E251&gt;0,COUNTIF($E$17:E251,"&gt;0"),0)</f>
        <v/>
      </c>
      <c r="Q251" s="60">
        <f>IF(OR(F251=47201,F251=47100,F251=47200,F251=47500),H251,0)</f>
        <v/>
      </c>
      <c r="R251" s="60">
        <f>IF(OR(F251=87201,F251=87100,F251=87200,F251=87500),H251,0)</f>
        <v/>
      </c>
      <c r="S251">
        <f>IF(E251&gt;0,COUNTIF($E$121:E251,"&gt;0"),0)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P252">
        <f>IF(E252&gt;0,COUNTIF($E$17:E252,"&gt;0"),0)</f>
        <v/>
      </c>
      <c r="Q252" s="60">
        <f>IF(OR(F252=47201,F252=47100,F252=47200,F252=47500),H252,0)</f>
        <v/>
      </c>
      <c r="R252" s="60">
        <f>IF(OR(F252=87201,F252=87100,F252=87200,F252=87500),H252,0)</f>
        <v/>
      </c>
      <c r="S252">
        <f>IF(E252&gt;0,COUNTIF($E$121:E252,"&gt;0"),0)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P253">
        <f>IF(E253&gt;0,COUNTIF($E$17:E253,"&gt;0"),0)</f>
        <v/>
      </c>
      <c r="Q253" s="60">
        <f>IF(OR(F253=47201,F253=47100,F253=47200,F253=47500),H253,0)</f>
        <v/>
      </c>
      <c r="R253" s="60">
        <f>IF(OR(F253=87201,F253=87100,F253=87200,F253=87500),H253,0)</f>
        <v/>
      </c>
      <c r="S253">
        <f>IF(E253&gt;0,COUNTIF($E$121:E253,"&gt;0"),0)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P254">
        <f>IF(E254&gt;0,COUNTIF($E$17:E254,"&gt;0"),0)</f>
        <v/>
      </c>
      <c r="Q254" s="60">
        <f>IF(OR(F254=47201,F254=47100,F254=47200,F254=47500),H254,0)</f>
        <v/>
      </c>
      <c r="R254" s="60">
        <f>IF(OR(F254=87201,F254=87100,F254=87200,F254=87500),H254,0)</f>
        <v/>
      </c>
      <c r="S254">
        <f>IF(E254&gt;0,COUNTIF($E$121:E254,"&gt;0"),0)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P255">
        <f>IF(E255&gt;0,COUNTIF($E$17:E255,"&gt;0"),0)</f>
        <v/>
      </c>
      <c r="Q255" s="60">
        <f>IF(OR(F255=47201,F255=47100,F255=47200,F255=47500),H255,0)</f>
        <v/>
      </c>
      <c r="R255" s="60">
        <f>IF(OR(F255=87201,F255=87100,F255=87200,F255=87500),H255,0)</f>
        <v/>
      </c>
      <c r="S255">
        <f>IF(E255&gt;0,COUNTIF($E$121:E255,"&gt;0"),0)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P256">
        <f>IF(E256&gt;0,COUNTIF($E$17:E256,"&gt;0"),0)</f>
        <v/>
      </c>
      <c r="Q256" s="60">
        <f>IF(OR(F256=47201,F256=47100,F256=47200,F256=47500),H256,0)</f>
        <v/>
      </c>
      <c r="R256" s="60">
        <f>IF(OR(F256=87201,F256=87100,F256=87200,F256=87500),H256,0)</f>
        <v/>
      </c>
      <c r="S256">
        <f>IF(E256&gt;0,COUNTIF($E$121:E256,"&gt;0"),0)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P257">
        <f>IF(E257&gt;0,COUNTIF($E$17:E257,"&gt;0"),0)</f>
        <v/>
      </c>
      <c r="Q257" s="60">
        <f>IF(OR(F257=47201,F257=47100,F257=47200,F257=47500),H257,0)</f>
        <v/>
      </c>
      <c r="R257" s="60">
        <f>IF(OR(F257=87201,F257=87100,F257=87200,F257=87500),H257,0)</f>
        <v/>
      </c>
      <c r="S257">
        <f>IF(E257&gt;0,COUNTIF($E$121:E257,"&gt;0"),0)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P258">
        <f>IF(E258&gt;0,COUNTIF($E$17:E258,"&gt;0"),0)</f>
        <v/>
      </c>
      <c r="Q258" s="60">
        <f>IF(OR(F258=47201,F258=47100,F258=47200,F258=47500),H258,0)</f>
        <v/>
      </c>
      <c r="R258" s="60">
        <f>IF(OR(F258=87201,F258=87100,F258=87200,F258=87500),H258,0)</f>
        <v/>
      </c>
      <c r="S258">
        <f>IF(E258&gt;0,COUNTIF($E$121:E258,"&gt;0"),0)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P259">
        <f>IF(E259&gt;0,COUNTIF($E$17:E259,"&gt;0"),0)</f>
        <v/>
      </c>
      <c r="Q259" s="60">
        <f>IF(OR(F259=47201,F259=47100,F259=47200,F259=47500),H259,0)</f>
        <v/>
      </c>
      <c r="R259" s="60">
        <f>IF(OR(F259=87201,F259=87100,F259=87200,F259=87500),H259,0)</f>
        <v/>
      </c>
      <c r="S259">
        <f>IF(E259&gt;0,COUNTIF($E$121:E259,"&gt;0"),0)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P260">
        <f>IF(E260&gt;0,COUNTIF($E$17:E260,"&gt;0"),0)</f>
        <v/>
      </c>
      <c r="Q260" s="60">
        <f>IF(OR(F260=47201,F260=47100,F260=47200,F260=47500),H260,0)</f>
        <v/>
      </c>
      <c r="R260" s="60">
        <f>IF(OR(F260=87201,F260=87100,F260=87200,F260=87500),H260,0)</f>
        <v/>
      </c>
      <c r="S260">
        <f>IF(E260&gt;0,COUNTIF($E$121:E260,"&gt;0"),0)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P261">
        <f>IF(E261&gt;0,COUNTIF($E$17:E261,"&gt;0"),0)</f>
        <v/>
      </c>
      <c r="Q261" s="60">
        <f>IF(OR(F261=47201,F261=47100,F261=47200,F261=47500),H261,0)</f>
        <v/>
      </c>
      <c r="R261" s="60">
        <f>IF(OR(F261=87201,F261=87100,F261=87200,F261=87500),H261,0)</f>
        <v/>
      </c>
      <c r="S261">
        <f>IF(E261&gt;0,COUNTIF($E$121:E261,"&gt;0"),0)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P262">
        <f>IF(E262&gt;0,COUNTIF($E$17:E262,"&gt;0"),0)</f>
        <v/>
      </c>
      <c r="Q262" s="60">
        <f>IF(OR(F262=47201,F262=47100,F262=47200,F262=47500),H262,0)</f>
        <v/>
      </c>
      <c r="R262" s="60">
        <f>IF(OR(F262=87201,F262=87100,F262=87200,F262=87500),H262,0)</f>
        <v/>
      </c>
      <c r="S262">
        <f>IF(E262&gt;0,COUNTIF($E$121:E262,"&gt;0"),0)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P263">
        <f>IF(E263&gt;0,COUNTIF($E$17:E263,"&gt;0"),0)</f>
        <v/>
      </c>
      <c r="Q263" s="60">
        <f>IF(OR(F263=47201,F263=47100,F263=47200,F263=47500),H263,0)</f>
        <v/>
      </c>
      <c r="R263" s="60">
        <f>IF(OR(F263=87201,F263=87100,F263=87200,F263=87500),H263,0)</f>
        <v/>
      </c>
      <c r="S263">
        <f>IF(E263&gt;0,COUNTIF($E$121:E263,"&gt;0"),0)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P264">
        <f>IF(E264&gt;0,COUNTIF($E$17:E264,"&gt;0"),0)</f>
        <v/>
      </c>
      <c r="Q264" s="60">
        <f>IF(OR(F264=47201,F264=47100,F264=47200,F264=47500),H264,0)</f>
        <v/>
      </c>
      <c r="R264" s="60">
        <f>IF(OR(F264=87201,F264=87100,F264=87200,F264=87500),H264,0)</f>
        <v/>
      </c>
      <c r="S264">
        <f>IF(E264&gt;0,COUNTIF($E$121:E264,"&gt;0"),0)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P265">
        <f>IF(E265&gt;0,COUNTIF($E$17:E265,"&gt;0"),0)</f>
        <v/>
      </c>
      <c r="Q265" s="60">
        <f>IF(OR(F265=47201,F265=47100,F265=47200,F265=47500),H265,0)</f>
        <v/>
      </c>
      <c r="R265" s="60">
        <f>IF(OR(F265=87201,F265=87100,F265=87200,F265=87500),H265,0)</f>
        <v/>
      </c>
      <c r="S265">
        <f>IF(E265&gt;0,COUNTIF($E$121:E265,"&gt;0"),0)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P266">
        <f>IF(E266&gt;0,COUNTIF($E$17:E266,"&gt;0"),0)</f>
        <v/>
      </c>
      <c r="Q266" s="60">
        <f>IF(OR(F266=47201,F266=47100,F266=47200,F266=47500),H266,0)</f>
        <v/>
      </c>
      <c r="R266" s="60">
        <f>IF(OR(F266=87201,F266=87100,F266=87200,F266=87500),H266,0)</f>
        <v/>
      </c>
      <c r="S266">
        <f>IF(E266&gt;0,COUNTIF($E$121:E266,"&gt;0"),0)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P267">
        <f>IF(E267&gt;0,COUNTIF($E$17:E267,"&gt;0"),0)</f>
        <v/>
      </c>
      <c r="Q267" s="60">
        <f>IF(OR(F267=47201,F267=47100,F267=47200,F267=47500),H267,0)</f>
        <v/>
      </c>
      <c r="R267" s="60">
        <f>IF(OR(F267=87201,F267=87100,F267=87200,F267=87500),H267,0)</f>
        <v/>
      </c>
      <c r="S267">
        <f>IF(E267&gt;0,COUNTIF($E$121:E267,"&gt;0"),0)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P268">
        <f>IF(E268&gt;0,COUNTIF($E$17:E268,"&gt;0"),0)</f>
        <v/>
      </c>
      <c r="Q268" s="60">
        <f>IF(OR(F268=47201,F268=47100,F268=47200,F268=47500),H268,0)</f>
        <v/>
      </c>
      <c r="R268" s="60">
        <f>IF(OR(F268=87201,F268=87100,F268=87200,F268=87500),H268,0)</f>
        <v/>
      </c>
      <c r="S268">
        <f>IF(E268&gt;0,COUNTIF($E$121:E268,"&gt;0"),0)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P269">
        <f>IF(E269&gt;0,COUNTIF($E$17:E269,"&gt;0"),0)</f>
        <v/>
      </c>
      <c r="Q269" s="60">
        <f>IF(OR(F269=47201,F269=47100,F269=47200,F269=47500),H269,0)</f>
        <v/>
      </c>
      <c r="R269" s="60">
        <f>IF(OR(F269=87201,F269=87100,F269=87200,F269=87500),H269,0)</f>
        <v/>
      </c>
      <c r="S269">
        <f>IF(E269&gt;0,COUNTIF($E$121:E269,"&gt;0"),0)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P270">
        <f>IF(E270&gt;0,COUNTIF($E$17:E270,"&gt;0"),0)</f>
        <v/>
      </c>
      <c r="Q270" s="60">
        <f>IF(OR(F270=47201,F270=47100,F270=47200,F270=47500),H270,0)</f>
        <v/>
      </c>
      <c r="R270" s="60">
        <f>IF(OR(F270=87201,F270=87100,F270=87200,F270=87500),H270,0)</f>
        <v/>
      </c>
      <c r="S270">
        <f>IF(E270&gt;0,COUNTIF($E$121:E270,"&gt;0"),0)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P271">
        <f>IF(E271&gt;0,COUNTIF($E$17:E271,"&gt;0"),0)</f>
        <v/>
      </c>
      <c r="Q271" s="60">
        <f>IF(OR(F271=47201,F271=47100,F271=47200,F271=47500),H271,0)</f>
        <v/>
      </c>
      <c r="R271" s="60">
        <f>IF(OR(F271=87201,F271=87100,F271=87200,F271=87500),H271,0)</f>
        <v/>
      </c>
      <c r="S271">
        <f>IF(E271&gt;0,COUNTIF($E$121:E271,"&gt;0"),0)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P272">
        <f>IF(E272&gt;0,COUNTIF($E$17:E272,"&gt;0"),0)</f>
        <v/>
      </c>
      <c r="Q272" s="60">
        <f>IF(OR(F272=47201,F272=47100,F272=47200,F272=47500),H272,0)</f>
        <v/>
      </c>
      <c r="R272" s="60">
        <f>IF(OR(F272=87201,F272=87100,F272=87200,F272=87500),H272,0)</f>
        <v/>
      </c>
      <c r="S272">
        <f>IF(E272&gt;0,COUNTIF($E$121:E272,"&gt;0"),0)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 t="n"/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 t="n"/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 t="n"/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 t="n"/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0",H168+H217+H273+H276+H112)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SUM(Q17:R276)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  <col hidden="1" width="5" customWidth="1" min="10" max="10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IFERROR(IF($J5&gt;0,ROW()-4,""),"")</f>
        <v/>
      </c>
      <c r="B5" s="534">
        <f>IFERROR(IF($J5&gt;0,INDEX('Invullen groen'!$A:$A,$J5),""),"")</f>
        <v/>
      </c>
      <c r="C5" s="534">
        <f>IFERROR(IF($J5&gt;0,INDEX('Invullen groen'!$C:$C,$J5),""),"")</f>
        <v/>
      </c>
      <c r="D5" s="534">
        <f>IFERROR(IF($J5&gt;0,INDEX('Invullen groen'!$D:$D,$J5),""),"")</f>
        <v/>
      </c>
      <c r="E5" s="534">
        <f>IFERROR(IF($J5&gt;0,INDEX('Invullen groen'!$G:$G,$J5),""),"")</f>
        <v/>
      </c>
      <c r="F5" s="535">
        <f>IFERROR(IF($J5&gt;0,IF(INDEX('Invullen groen'!$H:$H,$J5)&lt;&gt;0,INDEX('Invullen groen'!$H:$H,$J5),""),""),"")</f>
        <v/>
      </c>
      <c r="G5" s="535">
        <f>IFERROR(IF($J5&gt;0,IF(INDEX('Invullen groen'!$I:$I,$J5)&lt;&gt;0,INDEX('Invullen groen'!$I:$I,$J5),""),""),"")</f>
        <v/>
      </c>
      <c r="H5" s="535">
        <f>IFERROR(IF($J5&gt;0,IF(INDEX('Invullen groen'!$J:$J,$J5)&lt;&gt;0,INDEX('Invullen groen'!$J:$J,$J5),""),""),"")</f>
        <v/>
      </c>
      <c r="I5" s="535">
        <f>IFERROR(IF($J5&gt;0,IF(INDEX('Invullen groen'!$K:$K,$J5)&lt;&gt;0,INDEX('Invullen groen'!$K:$K,$J5),""),""),"")</f>
        <v/>
      </c>
      <c r="J5">
        <f>IFERROR(MATCH(ROW()-4,'Invullen groen'!$P$17:$P$272,0)+16,0)</f>
        <v/>
      </c>
    </row>
    <row r="6" ht="15" customHeight="1">
      <c r="A6" s="536">
        <f>IFERROR(IF($J6&gt;0,ROW()-4,""),"")</f>
        <v/>
      </c>
      <c r="B6" s="536">
        <f>IFERROR(IF($J6&gt;0,INDEX('Invullen groen'!$A:$A,$J6),""),"")</f>
        <v/>
      </c>
      <c r="C6" s="536">
        <f>IFERROR(IF($J6&gt;0,INDEX('Invullen groen'!$C:$C,$J6),""),"")</f>
        <v/>
      </c>
      <c r="D6" s="536">
        <f>IFERROR(IF($J6&gt;0,INDEX('Invullen groen'!$D:$D,$J6),""),"")</f>
        <v/>
      </c>
      <c r="E6" s="536">
        <f>IFERROR(IF($J6&gt;0,INDEX('Invullen groen'!$G:$G,$J6),""),"")</f>
        <v/>
      </c>
      <c r="F6" s="537">
        <f>IFERROR(IF($J6&gt;0,IF(INDEX('Invullen groen'!$H:$H,$J6)&lt;&gt;0,INDEX('Invullen groen'!$H:$H,$J6),""),""),"")</f>
        <v/>
      </c>
      <c r="G6" s="537">
        <f>IFERROR(IF($J6&gt;0,IF(INDEX('Invullen groen'!$I:$I,$J6)&lt;&gt;0,INDEX('Invullen groen'!$I:$I,$J6),""),""),"")</f>
        <v/>
      </c>
      <c r="H6" s="537">
        <f>IFERROR(IF($J6&gt;0,IF(INDEX('Invullen groen'!$J:$J,$J6)&lt;&gt;0,INDEX('Invullen groen'!$J:$J,$J6),""),""),"")</f>
        <v/>
      </c>
      <c r="I6" s="537">
        <f>IFERROR(IF($J6&gt;0,IF(INDEX('Invullen groen'!$K:$K,$J6)&lt;&gt;0,INDEX('Invullen groen'!$K:$K,$J6),""),""),"")</f>
        <v/>
      </c>
      <c r="J6">
        <f>IFERROR(MATCH(ROW()-4,'Invullen groen'!$P$17:$P$272,0)+16,0)</f>
        <v/>
      </c>
    </row>
    <row r="7" ht="15" customHeight="1">
      <c r="A7" s="534">
        <f>IFERROR(IF($J7&gt;0,ROW()-4,""),"")</f>
        <v/>
      </c>
      <c r="B7" s="534">
        <f>IFERROR(IF($J7&gt;0,INDEX('Invullen groen'!$A:$A,$J7),""),"")</f>
        <v/>
      </c>
      <c r="C7" s="534">
        <f>IFERROR(IF($J7&gt;0,INDEX('Invullen groen'!$C:$C,$J7),""),"")</f>
        <v/>
      </c>
      <c r="D7" s="534">
        <f>IFERROR(IF($J7&gt;0,INDEX('Invullen groen'!$D:$D,$J7),""),"")</f>
        <v/>
      </c>
      <c r="E7" s="534">
        <f>IFERROR(IF($J7&gt;0,INDEX('Invullen groen'!$G:$G,$J7),""),"")</f>
        <v/>
      </c>
      <c r="F7" s="535">
        <f>IFERROR(IF($J7&gt;0,IF(INDEX('Invullen groen'!$H:$H,$J7)&lt;&gt;0,INDEX('Invullen groen'!$H:$H,$J7),""),""),"")</f>
        <v/>
      </c>
      <c r="G7" s="535">
        <f>IFERROR(IF($J7&gt;0,IF(INDEX('Invullen groen'!$I:$I,$J7)&lt;&gt;0,INDEX('Invullen groen'!$I:$I,$J7),""),""),"")</f>
        <v/>
      </c>
      <c r="H7" s="535">
        <f>IFERROR(IF($J7&gt;0,IF(INDEX('Invullen groen'!$J:$J,$J7)&lt;&gt;0,INDEX('Invullen groen'!$J:$J,$J7),""),""),"")</f>
        <v/>
      </c>
      <c r="I7" s="535">
        <f>IFERROR(IF($J7&gt;0,IF(INDEX('Invullen groen'!$K:$K,$J7)&lt;&gt;0,INDEX('Invullen groen'!$K:$K,$J7),""),""),"")</f>
        <v/>
      </c>
      <c r="J7">
        <f>IFERROR(MATCH(ROW()-4,'Invullen groen'!$P$17:$P$272,0)+16,0)</f>
        <v/>
      </c>
    </row>
    <row r="8" ht="15" customHeight="1">
      <c r="A8" s="536">
        <f>IFERROR(IF($J8&gt;0,ROW()-4,""),"")</f>
        <v/>
      </c>
      <c r="B8" s="536">
        <f>IFERROR(IF($J8&gt;0,INDEX('Invullen groen'!$A:$A,$J8),""),"")</f>
        <v/>
      </c>
      <c r="C8" s="536">
        <f>IFERROR(IF($J8&gt;0,INDEX('Invullen groen'!$C:$C,$J8),""),"")</f>
        <v/>
      </c>
      <c r="D8" s="536">
        <f>IFERROR(IF($J8&gt;0,INDEX('Invullen groen'!$D:$D,$J8),""),"")</f>
        <v/>
      </c>
      <c r="E8" s="536">
        <f>IFERROR(IF($J8&gt;0,INDEX('Invullen groen'!$G:$G,$J8),""),"")</f>
        <v/>
      </c>
      <c r="F8" s="537">
        <f>IFERROR(IF($J8&gt;0,IF(INDEX('Invullen groen'!$H:$H,$J8)&lt;&gt;0,INDEX('Invullen groen'!$H:$H,$J8),""),""),"")</f>
        <v/>
      </c>
      <c r="G8" s="537">
        <f>IFERROR(IF($J8&gt;0,IF(INDEX('Invullen groen'!$I:$I,$J8)&lt;&gt;0,INDEX('Invullen groen'!$I:$I,$J8),""),""),"")</f>
        <v/>
      </c>
      <c r="H8" s="537">
        <f>IFERROR(IF($J8&gt;0,IF(INDEX('Invullen groen'!$J:$J,$J8)&lt;&gt;0,INDEX('Invullen groen'!$J:$J,$J8),""),""),"")</f>
        <v/>
      </c>
      <c r="I8" s="537">
        <f>IFERROR(IF($J8&gt;0,IF(INDEX('Invullen groen'!$K:$K,$J8)&lt;&gt;0,INDEX('Invullen groen'!$K:$K,$J8),""),""),"")</f>
        <v/>
      </c>
      <c r="J8">
        <f>IFERROR(MATCH(ROW()-4,'Invullen groen'!$P$17:$P$272,0)+16,0)</f>
        <v/>
      </c>
    </row>
    <row r="9" ht="15" customHeight="1">
      <c r="A9" s="534">
        <f>IFERROR(IF($J9&gt;0,ROW()-4,""),"")</f>
        <v/>
      </c>
      <c r="B9" s="534">
        <f>IFERROR(IF($J9&gt;0,INDEX('Invullen groen'!$A:$A,$J9),""),"")</f>
        <v/>
      </c>
      <c r="C9" s="534">
        <f>IFERROR(IF($J9&gt;0,INDEX('Invullen groen'!$C:$C,$J9),""),"")</f>
        <v/>
      </c>
      <c r="D9" s="534">
        <f>IFERROR(IF($J9&gt;0,INDEX('Invullen groen'!$D:$D,$J9),""),"")</f>
        <v/>
      </c>
      <c r="E9" s="534">
        <f>IFERROR(IF($J9&gt;0,INDEX('Invullen groen'!$G:$G,$J9),""),"")</f>
        <v/>
      </c>
      <c r="F9" s="535">
        <f>IFERROR(IF($J9&gt;0,IF(INDEX('Invullen groen'!$H:$H,$J9)&lt;&gt;0,INDEX('Invullen groen'!$H:$H,$J9),""),""),"")</f>
        <v/>
      </c>
      <c r="G9" s="535">
        <f>IFERROR(IF($J9&gt;0,IF(INDEX('Invullen groen'!$I:$I,$J9)&lt;&gt;0,INDEX('Invullen groen'!$I:$I,$J9),""),""),"")</f>
        <v/>
      </c>
      <c r="H9" s="535">
        <f>IFERROR(IF($J9&gt;0,IF(INDEX('Invullen groen'!$J:$J,$J9)&lt;&gt;0,INDEX('Invullen groen'!$J:$J,$J9),""),""),"")</f>
        <v/>
      </c>
      <c r="I9" s="535">
        <f>IFERROR(IF($J9&gt;0,IF(INDEX('Invullen groen'!$K:$K,$J9)&lt;&gt;0,INDEX('Invullen groen'!$K:$K,$J9),""),""),"")</f>
        <v/>
      </c>
      <c r="J9">
        <f>IFERROR(MATCH(ROW()-4,'Invullen groen'!$P$17:$P$272,0)+16,0)</f>
        <v/>
      </c>
    </row>
    <row r="10" ht="15" customHeight="1">
      <c r="A10" s="536">
        <f>IFERROR(IF($J10&gt;0,ROW()-4,""),"")</f>
        <v/>
      </c>
      <c r="B10" s="536">
        <f>IFERROR(IF($J10&gt;0,INDEX('Invullen groen'!$A:$A,$J10),""),"")</f>
        <v/>
      </c>
      <c r="C10" s="536">
        <f>IFERROR(IF($J10&gt;0,INDEX('Invullen groen'!$C:$C,$J10),""),"")</f>
        <v/>
      </c>
      <c r="D10" s="536">
        <f>IFERROR(IF($J10&gt;0,INDEX('Invullen groen'!$D:$D,$J10),""),"")</f>
        <v/>
      </c>
      <c r="E10" s="536">
        <f>IFERROR(IF($J10&gt;0,INDEX('Invullen groen'!$G:$G,$J10),""),"")</f>
        <v/>
      </c>
      <c r="F10" s="537">
        <f>IFERROR(IF($J10&gt;0,IF(INDEX('Invullen groen'!$H:$H,$J10)&lt;&gt;0,INDEX('Invullen groen'!$H:$H,$J10),""),""),"")</f>
        <v/>
      </c>
      <c r="G10" s="537">
        <f>IFERROR(IF($J10&gt;0,IF(INDEX('Invullen groen'!$I:$I,$J10)&lt;&gt;0,INDEX('Invullen groen'!$I:$I,$J10),""),""),"")</f>
        <v/>
      </c>
      <c r="H10" s="537">
        <f>IFERROR(IF($J10&gt;0,IF(INDEX('Invullen groen'!$J:$J,$J10)&lt;&gt;0,INDEX('Invullen groen'!$J:$J,$J10),""),""),"")</f>
        <v/>
      </c>
      <c r="I10" s="537">
        <f>IFERROR(IF($J10&gt;0,IF(INDEX('Invullen groen'!$K:$K,$J10)&lt;&gt;0,INDEX('Invullen groen'!$K:$K,$J10),""),""),"")</f>
        <v/>
      </c>
      <c r="J10">
        <f>IFERROR(MATCH(ROW()-4,'Invullen groen'!$P$17:$P$272,0)+16,0)</f>
        <v/>
      </c>
    </row>
    <row r="11" ht="15" customHeight="1">
      <c r="A11" s="534">
        <f>IFERROR(IF($J11&gt;0,ROW()-4,""),"")</f>
        <v/>
      </c>
      <c r="B11" s="534">
        <f>IFERROR(IF($J11&gt;0,INDEX('Invullen groen'!$A:$A,$J11),""),"")</f>
        <v/>
      </c>
      <c r="C11" s="534">
        <f>IFERROR(IF($J11&gt;0,INDEX('Invullen groen'!$C:$C,$J11),""),"")</f>
        <v/>
      </c>
      <c r="D11" s="534">
        <f>IFERROR(IF($J11&gt;0,INDEX('Invullen groen'!$D:$D,$J11),""),"")</f>
        <v/>
      </c>
      <c r="E11" s="534">
        <f>IFERROR(IF($J11&gt;0,INDEX('Invullen groen'!$G:$G,$J11),""),"")</f>
        <v/>
      </c>
      <c r="F11" s="535">
        <f>IFERROR(IF($J11&gt;0,IF(INDEX('Invullen groen'!$H:$H,$J11)&lt;&gt;0,INDEX('Invullen groen'!$H:$H,$J11),""),""),"")</f>
        <v/>
      </c>
      <c r="G11" s="535">
        <f>IFERROR(IF($J11&gt;0,IF(INDEX('Invullen groen'!$I:$I,$J11)&lt;&gt;0,INDEX('Invullen groen'!$I:$I,$J11),""),""),"")</f>
        <v/>
      </c>
      <c r="H11" s="535">
        <f>IFERROR(IF($J11&gt;0,IF(INDEX('Invullen groen'!$J:$J,$J11)&lt;&gt;0,INDEX('Invullen groen'!$J:$J,$J11),""),""),"")</f>
        <v/>
      </c>
      <c r="I11" s="535">
        <f>IFERROR(IF($J11&gt;0,IF(INDEX('Invullen groen'!$K:$K,$J11)&lt;&gt;0,INDEX('Invullen groen'!$K:$K,$J11),""),""),"")</f>
        <v/>
      </c>
      <c r="J11">
        <f>IFERROR(MATCH(ROW()-4,'Invullen groen'!$P$17:$P$272,0)+16,0)</f>
        <v/>
      </c>
    </row>
    <row r="12" ht="15" customHeight="1">
      <c r="A12" s="536">
        <f>IFERROR(IF($J12&gt;0,ROW()-4,""),"")</f>
        <v/>
      </c>
      <c r="B12" s="536">
        <f>IFERROR(IF($J12&gt;0,INDEX('Invullen groen'!$A:$A,$J12),""),"")</f>
        <v/>
      </c>
      <c r="C12" s="536">
        <f>IFERROR(IF($J12&gt;0,INDEX('Invullen groen'!$C:$C,$J12),""),"")</f>
        <v/>
      </c>
      <c r="D12" s="536">
        <f>IFERROR(IF($J12&gt;0,INDEX('Invullen groen'!$D:$D,$J12),""),"")</f>
        <v/>
      </c>
      <c r="E12" s="536">
        <f>IFERROR(IF($J12&gt;0,INDEX('Invullen groen'!$G:$G,$J12),""),"")</f>
        <v/>
      </c>
      <c r="F12" s="537">
        <f>IFERROR(IF($J12&gt;0,IF(INDEX('Invullen groen'!$H:$H,$J12)&lt;&gt;0,INDEX('Invullen groen'!$H:$H,$J12),""),""),"")</f>
        <v/>
      </c>
      <c r="G12" s="537">
        <f>IFERROR(IF($J12&gt;0,IF(INDEX('Invullen groen'!$I:$I,$J12)&lt;&gt;0,INDEX('Invullen groen'!$I:$I,$J12),""),""),"")</f>
        <v/>
      </c>
      <c r="H12" s="537">
        <f>IFERROR(IF($J12&gt;0,IF(INDEX('Invullen groen'!$J:$J,$J12)&lt;&gt;0,INDEX('Invullen groen'!$J:$J,$J12),""),""),"")</f>
        <v/>
      </c>
      <c r="I12" s="537">
        <f>IFERROR(IF($J12&gt;0,IF(INDEX('Invullen groen'!$K:$K,$J12)&lt;&gt;0,INDEX('Invullen groen'!$K:$K,$J12),""),""),"")</f>
        <v/>
      </c>
      <c r="J12">
        <f>IFERROR(MATCH(ROW()-4,'Invullen groen'!$P$17:$P$272,0)+16,0)</f>
        <v/>
      </c>
    </row>
    <row r="13" ht="15" customHeight="1">
      <c r="A13" s="534">
        <f>IFERROR(IF($J13&gt;0,ROW()-4,""),"")</f>
        <v/>
      </c>
      <c r="B13" s="534">
        <f>IFERROR(IF($J13&gt;0,INDEX('Invullen groen'!$A:$A,$J13),""),"")</f>
        <v/>
      </c>
      <c r="C13" s="534">
        <f>IFERROR(IF($J13&gt;0,INDEX('Invullen groen'!$C:$C,$J13),""),"")</f>
        <v/>
      </c>
      <c r="D13" s="534">
        <f>IFERROR(IF($J13&gt;0,INDEX('Invullen groen'!$D:$D,$J13),""),"")</f>
        <v/>
      </c>
      <c r="E13" s="534">
        <f>IFERROR(IF($J13&gt;0,INDEX('Invullen groen'!$G:$G,$J13),""),"")</f>
        <v/>
      </c>
      <c r="F13" s="535">
        <f>IFERROR(IF($J13&gt;0,IF(INDEX('Invullen groen'!$H:$H,$J13)&lt;&gt;0,INDEX('Invullen groen'!$H:$H,$J13),""),""),"")</f>
        <v/>
      </c>
      <c r="G13" s="535">
        <f>IFERROR(IF($J13&gt;0,IF(INDEX('Invullen groen'!$I:$I,$J13)&lt;&gt;0,INDEX('Invullen groen'!$I:$I,$J13),""),""),"")</f>
        <v/>
      </c>
      <c r="H13" s="535">
        <f>IFERROR(IF($J13&gt;0,IF(INDEX('Invullen groen'!$J:$J,$J13)&lt;&gt;0,INDEX('Invullen groen'!$J:$J,$J13),""),""),"")</f>
        <v/>
      </c>
      <c r="I13" s="535">
        <f>IFERROR(IF($J13&gt;0,IF(INDEX('Invullen groen'!$K:$K,$J13)&lt;&gt;0,INDEX('Invullen groen'!$K:$K,$J13),""),""),"")</f>
        <v/>
      </c>
      <c r="J13">
        <f>IFERROR(MATCH(ROW()-4,'Invullen groen'!$P$17:$P$272,0)+16,0)</f>
        <v/>
      </c>
    </row>
    <row r="14" ht="15" customHeight="1">
      <c r="A14" s="536">
        <f>IFERROR(IF($J14&gt;0,ROW()-4,""),"")</f>
        <v/>
      </c>
      <c r="B14" s="536">
        <f>IFERROR(IF($J14&gt;0,INDEX('Invullen groen'!$A:$A,$J14),""),"")</f>
        <v/>
      </c>
      <c r="C14" s="536">
        <f>IFERROR(IF($J14&gt;0,INDEX('Invullen groen'!$C:$C,$J14),""),"")</f>
        <v/>
      </c>
      <c r="D14" s="536">
        <f>IFERROR(IF($J14&gt;0,INDEX('Invullen groen'!$D:$D,$J14),""),"")</f>
        <v/>
      </c>
      <c r="E14" s="536">
        <f>IFERROR(IF($J14&gt;0,INDEX('Invullen groen'!$G:$G,$J14),""),"")</f>
        <v/>
      </c>
      <c r="F14" s="537">
        <f>IFERROR(IF($J14&gt;0,IF(INDEX('Invullen groen'!$H:$H,$J14)&lt;&gt;0,INDEX('Invullen groen'!$H:$H,$J14),""),""),"")</f>
        <v/>
      </c>
      <c r="G14" s="537">
        <f>IFERROR(IF($J14&gt;0,IF(INDEX('Invullen groen'!$I:$I,$J14)&lt;&gt;0,INDEX('Invullen groen'!$I:$I,$J14),""),""),"")</f>
        <v/>
      </c>
      <c r="H14" s="537">
        <f>IFERROR(IF($J14&gt;0,IF(INDEX('Invullen groen'!$J:$J,$J14)&lt;&gt;0,INDEX('Invullen groen'!$J:$J,$J14),""),""),"")</f>
        <v/>
      </c>
      <c r="I14" s="537">
        <f>IFERROR(IF($J14&gt;0,IF(INDEX('Invullen groen'!$K:$K,$J14)&lt;&gt;0,INDEX('Invullen groen'!$K:$K,$J14),""),""),"")</f>
        <v/>
      </c>
      <c r="J14">
        <f>IFERROR(MATCH(ROW()-4,'Invullen groen'!$P$17:$P$272,0)+16,0)</f>
        <v/>
      </c>
    </row>
    <row r="15" ht="15" customHeight="1">
      <c r="A15" s="534">
        <f>IFERROR(IF($J15&gt;0,ROW()-4,""),"")</f>
        <v/>
      </c>
      <c r="B15" s="534">
        <f>IFERROR(IF($J15&gt;0,INDEX('Invullen groen'!$A:$A,$J15),""),"")</f>
        <v/>
      </c>
      <c r="C15" s="534">
        <f>IFERROR(IF($J15&gt;0,INDEX('Invullen groen'!$C:$C,$J15),""),"")</f>
        <v/>
      </c>
      <c r="D15" s="534">
        <f>IFERROR(IF($J15&gt;0,INDEX('Invullen groen'!$D:$D,$J15),""),"")</f>
        <v/>
      </c>
      <c r="E15" s="534">
        <f>IFERROR(IF($J15&gt;0,INDEX('Invullen groen'!$G:$G,$J15),""),"")</f>
        <v/>
      </c>
      <c r="F15" s="535">
        <f>IFERROR(IF($J15&gt;0,IF(INDEX('Invullen groen'!$H:$H,$J15)&lt;&gt;0,INDEX('Invullen groen'!$H:$H,$J15),""),""),"")</f>
        <v/>
      </c>
      <c r="G15" s="535">
        <f>IFERROR(IF($J15&gt;0,IF(INDEX('Invullen groen'!$I:$I,$J15)&lt;&gt;0,INDEX('Invullen groen'!$I:$I,$J15),""),""),"")</f>
        <v/>
      </c>
      <c r="H15" s="535">
        <f>IFERROR(IF($J15&gt;0,IF(INDEX('Invullen groen'!$J:$J,$J15)&lt;&gt;0,INDEX('Invullen groen'!$J:$J,$J15),""),""),"")</f>
        <v/>
      </c>
      <c r="I15" s="535">
        <f>IFERROR(IF($J15&gt;0,IF(INDEX('Invullen groen'!$K:$K,$J15)&lt;&gt;0,INDEX('Invullen groen'!$K:$K,$J15),""),""),"")</f>
        <v/>
      </c>
      <c r="J15">
        <f>IFERROR(MATCH(ROW()-4,'Invullen groen'!$P$17:$P$272,0)+16,0)</f>
        <v/>
      </c>
    </row>
    <row r="16" ht="15" customHeight="1">
      <c r="A16" s="536">
        <f>IFERROR(IF($J16&gt;0,ROW()-4,""),"")</f>
        <v/>
      </c>
      <c r="B16" s="536">
        <f>IFERROR(IF($J16&gt;0,INDEX('Invullen groen'!$A:$A,$J16),""),"")</f>
        <v/>
      </c>
      <c r="C16" s="536">
        <f>IFERROR(IF($J16&gt;0,INDEX('Invullen groen'!$C:$C,$J16),""),"")</f>
        <v/>
      </c>
      <c r="D16" s="536">
        <f>IFERROR(IF($J16&gt;0,INDEX('Invullen groen'!$D:$D,$J16),""),"")</f>
        <v/>
      </c>
      <c r="E16" s="536">
        <f>IFERROR(IF($J16&gt;0,INDEX('Invullen groen'!$G:$G,$J16),""),"")</f>
        <v/>
      </c>
      <c r="F16" s="537">
        <f>IFERROR(IF($J16&gt;0,IF(INDEX('Invullen groen'!$H:$H,$J16)&lt;&gt;0,INDEX('Invullen groen'!$H:$H,$J16),""),""),"")</f>
        <v/>
      </c>
      <c r="G16" s="537">
        <f>IFERROR(IF($J16&gt;0,IF(INDEX('Invullen groen'!$I:$I,$J16)&lt;&gt;0,INDEX('Invullen groen'!$I:$I,$J16),""),""),"")</f>
        <v/>
      </c>
      <c r="H16" s="537">
        <f>IFERROR(IF($J16&gt;0,IF(INDEX('Invullen groen'!$J:$J,$J16)&lt;&gt;0,INDEX('Invullen groen'!$J:$J,$J16),""),""),"")</f>
        <v/>
      </c>
      <c r="I16" s="537">
        <f>IFERROR(IF($J16&gt;0,IF(INDEX('Invullen groen'!$K:$K,$J16)&lt;&gt;0,INDEX('Invullen groen'!$K:$K,$J16),""),""),"")</f>
        <v/>
      </c>
      <c r="J16">
        <f>IFERROR(MATCH(ROW()-4,'Invullen groen'!$P$17:$P$272,0)+16,0)</f>
        <v/>
      </c>
    </row>
    <row r="17" ht="15" customHeight="1">
      <c r="A17" s="534">
        <f>IFERROR(IF($J17&gt;0,ROW()-4,""),"")</f>
        <v/>
      </c>
      <c r="B17" s="534">
        <f>IFERROR(IF($J17&gt;0,INDEX('Invullen groen'!$A:$A,$J17),""),"")</f>
        <v/>
      </c>
      <c r="C17" s="534">
        <f>IFERROR(IF($J17&gt;0,INDEX('Invullen groen'!$C:$C,$J17),""),"")</f>
        <v/>
      </c>
      <c r="D17" s="534">
        <f>IFERROR(IF($J17&gt;0,INDEX('Invullen groen'!$D:$D,$J17),""),"")</f>
        <v/>
      </c>
      <c r="E17" s="534">
        <f>IFERROR(IF($J17&gt;0,INDEX('Invullen groen'!$G:$G,$J17),""),"")</f>
        <v/>
      </c>
      <c r="F17" s="535">
        <f>IFERROR(IF($J17&gt;0,IF(INDEX('Invullen groen'!$H:$H,$J17)&lt;&gt;0,INDEX('Invullen groen'!$H:$H,$J17),""),""),"")</f>
        <v/>
      </c>
      <c r="G17" s="535">
        <f>IFERROR(IF($J17&gt;0,IF(INDEX('Invullen groen'!$I:$I,$J17)&lt;&gt;0,INDEX('Invullen groen'!$I:$I,$J17),""),""),"")</f>
        <v/>
      </c>
      <c r="H17" s="535">
        <f>IFERROR(IF($J17&gt;0,IF(INDEX('Invullen groen'!$J:$J,$J17)&lt;&gt;0,INDEX('Invullen groen'!$J:$J,$J17),""),""),"")</f>
        <v/>
      </c>
      <c r="I17" s="535">
        <f>IFERROR(IF($J17&gt;0,IF(INDEX('Invullen groen'!$K:$K,$J17)&lt;&gt;0,INDEX('Invullen groen'!$K:$K,$J17),""),""),"")</f>
        <v/>
      </c>
      <c r="J17">
        <f>IFERROR(MATCH(ROW()-4,'Invullen groen'!$P$17:$P$272,0)+16,0)</f>
        <v/>
      </c>
    </row>
    <row r="18" ht="15" customHeight="1">
      <c r="A18" s="536">
        <f>IFERROR(IF($J18&gt;0,ROW()-4,""),"")</f>
        <v/>
      </c>
      <c r="B18" s="536">
        <f>IFERROR(IF($J18&gt;0,INDEX('Invullen groen'!$A:$A,$J18),""),"")</f>
        <v/>
      </c>
      <c r="C18" s="536">
        <f>IFERROR(IF($J18&gt;0,INDEX('Invullen groen'!$C:$C,$J18),""),"")</f>
        <v/>
      </c>
      <c r="D18" s="536">
        <f>IFERROR(IF($J18&gt;0,INDEX('Invullen groen'!$D:$D,$J18),""),"")</f>
        <v/>
      </c>
      <c r="E18" s="536">
        <f>IFERROR(IF($J18&gt;0,INDEX('Invullen groen'!$G:$G,$J18),""),"")</f>
        <v/>
      </c>
      <c r="F18" s="537">
        <f>IFERROR(IF($J18&gt;0,IF(INDEX('Invullen groen'!$H:$H,$J18)&lt;&gt;0,INDEX('Invullen groen'!$H:$H,$J18),""),""),"")</f>
        <v/>
      </c>
      <c r="G18" s="537">
        <f>IFERROR(IF($J18&gt;0,IF(INDEX('Invullen groen'!$I:$I,$J18)&lt;&gt;0,INDEX('Invullen groen'!$I:$I,$J18),""),""),"")</f>
        <v/>
      </c>
      <c r="H18" s="537">
        <f>IFERROR(IF($J18&gt;0,IF(INDEX('Invullen groen'!$J:$J,$J18)&lt;&gt;0,INDEX('Invullen groen'!$J:$J,$J18),""),""),"")</f>
        <v/>
      </c>
      <c r="I18" s="537">
        <f>IFERROR(IF($J18&gt;0,IF(INDEX('Invullen groen'!$K:$K,$J18)&lt;&gt;0,INDEX('Invullen groen'!$K:$K,$J18),""),""),"")</f>
        <v/>
      </c>
      <c r="J18">
        <f>IFERROR(MATCH(ROW()-4,'Invullen groen'!$P$17:$P$272,0)+16,0)</f>
        <v/>
      </c>
    </row>
    <row r="19" ht="15" customHeight="1">
      <c r="A19" s="534">
        <f>IFERROR(IF($J19&gt;0,ROW()-4,""),"")</f>
        <v/>
      </c>
      <c r="B19" s="534">
        <f>IFERROR(IF($J19&gt;0,INDEX('Invullen groen'!$A:$A,$J19),""),"")</f>
        <v/>
      </c>
      <c r="C19" s="534">
        <f>IFERROR(IF($J19&gt;0,INDEX('Invullen groen'!$C:$C,$J19),""),"")</f>
        <v/>
      </c>
      <c r="D19" s="534">
        <f>IFERROR(IF($J19&gt;0,INDEX('Invullen groen'!$D:$D,$J19),""),"")</f>
        <v/>
      </c>
      <c r="E19" s="534">
        <f>IFERROR(IF($J19&gt;0,INDEX('Invullen groen'!$G:$G,$J19),""),"")</f>
        <v/>
      </c>
      <c r="F19" s="535">
        <f>IFERROR(IF($J19&gt;0,IF(INDEX('Invullen groen'!$H:$H,$J19)&lt;&gt;0,INDEX('Invullen groen'!$H:$H,$J19),""),""),"")</f>
        <v/>
      </c>
      <c r="G19" s="535">
        <f>IFERROR(IF($J19&gt;0,IF(INDEX('Invullen groen'!$I:$I,$J19)&lt;&gt;0,INDEX('Invullen groen'!$I:$I,$J19),""),""),"")</f>
        <v/>
      </c>
      <c r="H19" s="535">
        <f>IFERROR(IF($J19&gt;0,IF(INDEX('Invullen groen'!$J:$J,$J19)&lt;&gt;0,INDEX('Invullen groen'!$J:$J,$J19),""),""),"")</f>
        <v/>
      </c>
      <c r="I19" s="535">
        <f>IFERROR(IF($J19&gt;0,IF(INDEX('Invullen groen'!$K:$K,$J19)&lt;&gt;0,INDEX('Invullen groen'!$K:$K,$J19),""),""),"")</f>
        <v/>
      </c>
      <c r="J19">
        <f>IFERROR(MATCH(ROW()-4,'Invullen groen'!$P$17:$P$272,0)+16,0)</f>
        <v/>
      </c>
    </row>
    <row r="20" ht="15" customHeight="1">
      <c r="A20" s="536">
        <f>IFERROR(IF($J20&gt;0,ROW()-4,""),"")</f>
        <v/>
      </c>
      <c r="B20" s="536">
        <f>IFERROR(IF($J20&gt;0,INDEX('Invullen groen'!$A:$A,$J20),""),"")</f>
        <v/>
      </c>
      <c r="C20" s="536">
        <f>IFERROR(IF($J20&gt;0,INDEX('Invullen groen'!$C:$C,$J20),""),"")</f>
        <v/>
      </c>
      <c r="D20" s="536">
        <f>IFERROR(IF($J20&gt;0,INDEX('Invullen groen'!$D:$D,$J20),""),"")</f>
        <v/>
      </c>
      <c r="E20" s="536">
        <f>IFERROR(IF($J20&gt;0,INDEX('Invullen groen'!$G:$G,$J20),""),"")</f>
        <v/>
      </c>
      <c r="F20" s="537">
        <f>IFERROR(IF($J20&gt;0,IF(INDEX('Invullen groen'!$H:$H,$J20)&lt;&gt;0,INDEX('Invullen groen'!$H:$H,$J20),""),""),"")</f>
        <v/>
      </c>
      <c r="G20" s="537">
        <f>IFERROR(IF($J20&gt;0,IF(INDEX('Invullen groen'!$I:$I,$J20)&lt;&gt;0,INDEX('Invullen groen'!$I:$I,$J20),""),""),"")</f>
        <v/>
      </c>
      <c r="H20" s="537">
        <f>IFERROR(IF($J20&gt;0,IF(INDEX('Invullen groen'!$J:$J,$J20)&lt;&gt;0,INDEX('Invullen groen'!$J:$J,$J20),""),""),"")</f>
        <v/>
      </c>
      <c r="I20" s="537">
        <f>IFERROR(IF($J20&gt;0,IF(INDEX('Invullen groen'!$K:$K,$J20)&lt;&gt;0,INDEX('Invullen groen'!$K:$K,$J20),""),""),"")</f>
        <v/>
      </c>
      <c r="J20">
        <f>IFERROR(MATCH(ROW()-4,'Invullen groen'!$P$17:$P$272,0)+16,0)</f>
        <v/>
      </c>
    </row>
    <row r="21" ht="15" customHeight="1">
      <c r="A21" s="534">
        <f>IFERROR(IF($J21&gt;0,ROW()-4,""),"")</f>
        <v/>
      </c>
      <c r="B21" s="534">
        <f>IFERROR(IF($J21&gt;0,INDEX('Invullen groen'!$A:$A,$J21),""),"")</f>
        <v/>
      </c>
      <c r="C21" s="534">
        <f>IFERROR(IF($J21&gt;0,INDEX('Invullen groen'!$C:$C,$J21),""),"")</f>
        <v/>
      </c>
      <c r="D21" s="534">
        <f>IFERROR(IF($J21&gt;0,INDEX('Invullen groen'!$D:$D,$J21),""),"")</f>
        <v/>
      </c>
      <c r="E21" s="534">
        <f>IFERROR(IF($J21&gt;0,INDEX('Invullen groen'!$G:$G,$J21),""),"")</f>
        <v/>
      </c>
      <c r="F21" s="535">
        <f>IFERROR(IF($J21&gt;0,IF(INDEX('Invullen groen'!$H:$H,$J21)&lt;&gt;0,INDEX('Invullen groen'!$H:$H,$J21),""),""),"")</f>
        <v/>
      </c>
      <c r="G21" s="535">
        <f>IFERROR(IF($J21&gt;0,IF(INDEX('Invullen groen'!$I:$I,$J21)&lt;&gt;0,INDEX('Invullen groen'!$I:$I,$J21),""),""),"")</f>
        <v/>
      </c>
      <c r="H21" s="535">
        <f>IFERROR(IF($J21&gt;0,IF(INDEX('Invullen groen'!$J:$J,$J21)&lt;&gt;0,INDEX('Invullen groen'!$J:$J,$J21),""),""),"")</f>
        <v/>
      </c>
      <c r="I21" s="535">
        <f>IFERROR(IF($J21&gt;0,IF(INDEX('Invullen groen'!$K:$K,$J21)&lt;&gt;0,INDEX('Invullen groen'!$K:$K,$J21),""),""),"")</f>
        <v/>
      </c>
      <c r="J21">
        <f>IFERROR(MATCH(ROW()-4,'Invullen groen'!$P$17:$P$272,0)+16,0)</f>
        <v/>
      </c>
    </row>
    <row r="22" ht="15" customHeight="1">
      <c r="A22" s="536">
        <f>IFERROR(IF($J22&gt;0,ROW()-4,""),"")</f>
        <v/>
      </c>
      <c r="B22" s="536">
        <f>IFERROR(IF($J22&gt;0,INDEX('Invullen groen'!$A:$A,$J22),""),"")</f>
        <v/>
      </c>
      <c r="C22" s="536">
        <f>IFERROR(IF($J22&gt;0,INDEX('Invullen groen'!$C:$C,$J22),""),"")</f>
        <v/>
      </c>
      <c r="D22" s="536">
        <f>IFERROR(IF($J22&gt;0,INDEX('Invullen groen'!$D:$D,$J22),""),"")</f>
        <v/>
      </c>
      <c r="E22" s="536">
        <f>IFERROR(IF($J22&gt;0,INDEX('Invullen groen'!$G:$G,$J22),""),"")</f>
        <v/>
      </c>
      <c r="F22" s="537">
        <f>IFERROR(IF($J22&gt;0,IF(INDEX('Invullen groen'!$H:$H,$J22)&lt;&gt;0,INDEX('Invullen groen'!$H:$H,$J22),""),""),"")</f>
        <v/>
      </c>
      <c r="G22" s="537">
        <f>IFERROR(IF($J22&gt;0,IF(INDEX('Invullen groen'!$I:$I,$J22)&lt;&gt;0,INDEX('Invullen groen'!$I:$I,$J22),""),""),"")</f>
        <v/>
      </c>
      <c r="H22" s="537">
        <f>IFERROR(IF($J22&gt;0,IF(INDEX('Invullen groen'!$J:$J,$J22)&lt;&gt;0,INDEX('Invullen groen'!$J:$J,$J22),""),""),"")</f>
        <v/>
      </c>
      <c r="I22" s="537">
        <f>IFERROR(IF($J22&gt;0,IF(INDEX('Invullen groen'!$K:$K,$J22)&lt;&gt;0,INDEX('Invullen groen'!$K:$K,$J22),""),""),"")</f>
        <v/>
      </c>
      <c r="J22">
        <f>IFERROR(MATCH(ROW()-4,'Invullen groen'!$P$17:$P$272,0)+16,0)</f>
        <v/>
      </c>
    </row>
    <row r="23" ht="15" customHeight="1">
      <c r="A23" s="534">
        <f>IFERROR(IF($J23&gt;0,ROW()-4,""),"")</f>
        <v/>
      </c>
      <c r="B23" s="534">
        <f>IFERROR(IF($J23&gt;0,INDEX('Invullen groen'!$A:$A,$J23),""),"")</f>
        <v/>
      </c>
      <c r="C23" s="534">
        <f>IFERROR(IF($J23&gt;0,INDEX('Invullen groen'!$C:$C,$J23),""),"")</f>
        <v/>
      </c>
      <c r="D23" s="534">
        <f>IFERROR(IF($J23&gt;0,INDEX('Invullen groen'!$D:$D,$J23),""),"")</f>
        <v/>
      </c>
      <c r="E23" s="534">
        <f>IFERROR(IF($J23&gt;0,INDEX('Invullen groen'!$G:$G,$J23),""),"")</f>
        <v/>
      </c>
      <c r="F23" s="535">
        <f>IFERROR(IF($J23&gt;0,IF(INDEX('Invullen groen'!$H:$H,$J23)&lt;&gt;0,INDEX('Invullen groen'!$H:$H,$J23),""),""),"")</f>
        <v/>
      </c>
      <c r="G23" s="535">
        <f>IFERROR(IF($J23&gt;0,IF(INDEX('Invullen groen'!$I:$I,$J23)&lt;&gt;0,INDEX('Invullen groen'!$I:$I,$J23),""),""),"")</f>
        <v/>
      </c>
      <c r="H23" s="535">
        <f>IFERROR(IF($J23&gt;0,IF(INDEX('Invullen groen'!$J:$J,$J23)&lt;&gt;0,INDEX('Invullen groen'!$J:$J,$J23),""),""),"")</f>
        <v/>
      </c>
      <c r="I23" s="535">
        <f>IFERROR(IF($J23&gt;0,IF(INDEX('Invullen groen'!$K:$K,$J23)&lt;&gt;0,INDEX('Invullen groen'!$K:$K,$J23),""),""),"")</f>
        <v/>
      </c>
      <c r="J23">
        <f>IFERROR(MATCH(ROW()-4,'Invullen groen'!$P$17:$P$272,0)+16,0)</f>
        <v/>
      </c>
    </row>
    <row r="24" ht="15" customHeight="1">
      <c r="A24" s="536">
        <f>IFERROR(IF($J24&gt;0,ROW()-4,""),"")</f>
        <v/>
      </c>
      <c r="B24" s="536">
        <f>IFERROR(IF($J24&gt;0,INDEX('Invullen groen'!$A:$A,$J24),""),"")</f>
        <v/>
      </c>
      <c r="C24" s="536">
        <f>IFERROR(IF($J24&gt;0,INDEX('Invullen groen'!$C:$C,$J24),""),"")</f>
        <v/>
      </c>
      <c r="D24" s="536">
        <f>IFERROR(IF($J24&gt;0,INDEX('Invullen groen'!$D:$D,$J24),""),"")</f>
        <v/>
      </c>
      <c r="E24" s="536">
        <f>IFERROR(IF($J24&gt;0,INDEX('Invullen groen'!$G:$G,$J24),""),"")</f>
        <v/>
      </c>
      <c r="F24" s="537">
        <f>IFERROR(IF($J24&gt;0,IF(INDEX('Invullen groen'!$H:$H,$J24)&lt;&gt;0,INDEX('Invullen groen'!$H:$H,$J24),""),""),"")</f>
        <v/>
      </c>
      <c r="G24" s="537">
        <f>IFERROR(IF($J24&gt;0,IF(INDEX('Invullen groen'!$I:$I,$J24)&lt;&gt;0,INDEX('Invullen groen'!$I:$I,$J24),""),""),"")</f>
        <v/>
      </c>
      <c r="H24" s="537">
        <f>IFERROR(IF($J24&gt;0,IF(INDEX('Invullen groen'!$J:$J,$J24)&lt;&gt;0,INDEX('Invullen groen'!$J:$J,$J24),""),""),"")</f>
        <v/>
      </c>
      <c r="I24" s="537">
        <f>IFERROR(IF($J24&gt;0,IF(INDEX('Invullen groen'!$K:$K,$J24)&lt;&gt;0,INDEX('Invullen groen'!$K:$K,$J24),""),""),"")</f>
        <v/>
      </c>
      <c r="J24">
        <f>IFERROR(MATCH(ROW()-4,'Invullen groen'!$P$17:$P$272,0)+16,0)</f>
        <v/>
      </c>
    </row>
    <row r="25" ht="15" customHeight="1">
      <c r="A25" s="534">
        <f>IFERROR(IF($J25&gt;0,ROW()-4,""),"")</f>
        <v/>
      </c>
      <c r="B25" s="534">
        <f>IFERROR(IF($J25&gt;0,INDEX('Invullen groen'!$A:$A,$J25),""),"")</f>
        <v/>
      </c>
      <c r="C25" s="534">
        <f>IFERROR(IF($J25&gt;0,INDEX('Invullen groen'!$C:$C,$J25),""),"")</f>
        <v/>
      </c>
      <c r="D25" s="534">
        <f>IFERROR(IF($J25&gt;0,INDEX('Invullen groen'!$D:$D,$J25),""),"")</f>
        <v/>
      </c>
      <c r="E25" s="534">
        <f>IFERROR(IF($J25&gt;0,INDEX('Invullen groen'!$G:$G,$J25),""),"")</f>
        <v/>
      </c>
      <c r="F25" s="535">
        <f>IFERROR(IF($J25&gt;0,IF(INDEX('Invullen groen'!$H:$H,$J25)&lt;&gt;0,INDEX('Invullen groen'!$H:$H,$J25),""),""),"")</f>
        <v/>
      </c>
      <c r="G25" s="535">
        <f>IFERROR(IF($J25&gt;0,IF(INDEX('Invullen groen'!$I:$I,$J25)&lt;&gt;0,INDEX('Invullen groen'!$I:$I,$J25),""),""),"")</f>
        <v/>
      </c>
      <c r="H25" s="535">
        <f>IFERROR(IF($J25&gt;0,IF(INDEX('Invullen groen'!$J:$J,$J25)&lt;&gt;0,INDEX('Invullen groen'!$J:$J,$J25),""),""),"")</f>
        <v/>
      </c>
      <c r="I25" s="535">
        <f>IFERROR(IF($J25&gt;0,IF(INDEX('Invullen groen'!$K:$K,$J25)&lt;&gt;0,INDEX('Invullen groen'!$K:$K,$J25),""),""),"")</f>
        <v/>
      </c>
      <c r="J25">
        <f>IFERROR(MATCH(ROW()-4,'Invullen groen'!$P$17:$P$272,0)+16,0)</f>
        <v/>
      </c>
    </row>
    <row r="26" ht="15" customHeight="1">
      <c r="A26" s="536">
        <f>IFERROR(IF($J26&gt;0,ROW()-4,""),"")</f>
        <v/>
      </c>
      <c r="B26" s="536">
        <f>IFERROR(IF($J26&gt;0,INDEX('Invullen groen'!$A:$A,$J26),""),"")</f>
        <v/>
      </c>
      <c r="C26" s="536">
        <f>IFERROR(IF($J26&gt;0,INDEX('Invullen groen'!$C:$C,$J26),""),"")</f>
        <v/>
      </c>
      <c r="D26" s="536">
        <f>IFERROR(IF($J26&gt;0,INDEX('Invullen groen'!$D:$D,$J26),""),"")</f>
        <v/>
      </c>
      <c r="E26" s="536">
        <f>IFERROR(IF($J26&gt;0,INDEX('Invullen groen'!$G:$G,$J26),""),"")</f>
        <v/>
      </c>
      <c r="F26" s="537">
        <f>IFERROR(IF($J26&gt;0,IF(INDEX('Invullen groen'!$H:$H,$J26)&lt;&gt;0,INDEX('Invullen groen'!$H:$H,$J26),""),""),"")</f>
        <v/>
      </c>
      <c r="G26" s="537">
        <f>IFERROR(IF($J26&gt;0,IF(INDEX('Invullen groen'!$I:$I,$J26)&lt;&gt;0,INDEX('Invullen groen'!$I:$I,$J26),""),""),"")</f>
        <v/>
      </c>
      <c r="H26" s="537">
        <f>IFERROR(IF($J26&gt;0,IF(INDEX('Invullen groen'!$J:$J,$J26)&lt;&gt;0,INDEX('Invullen groen'!$J:$J,$J26),""),""),"")</f>
        <v/>
      </c>
      <c r="I26" s="537">
        <f>IFERROR(IF($J26&gt;0,IF(INDEX('Invullen groen'!$K:$K,$J26)&lt;&gt;0,INDEX('Invullen groen'!$K:$K,$J26),""),""),"")</f>
        <v/>
      </c>
      <c r="J26">
        <f>IFERROR(MATCH(ROW()-4,'Invullen groen'!$P$17:$P$272,0)+16,0)</f>
        <v/>
      </c>
    </row>
    <row r="27" ht="15" customHeight="1">
      <c r="A27" s="534">
        <f>IFERROR(IF($J27&gt;0,ROW()-4,""),"")</f>
        <v/>
      </c>
      <c r="B27" s="534">
        <f>IFERROR(IF($J27&gt;0,INDEX('Invullen groen'!$A:$A,$J27),""),"")</f>
        <v/>
      </c>
      <c r="C27" s="534">
        <f>IFERROR(IF($J27&gt;0,INDEX('Invullen groen'!$C:$C,$J27),""),"")</f>
        <v/>
      </c>
      <c r="D27" s="534">
        <f>IFERROR(IF($J27&gt;0,INDEX('Invullen groen'!$D:$D,$J27),""),"")</f>
        <v/>
      </c>
      <c r="E27" s="534">
        <f>IFERROR(IF($J27&gt;0,INDEX('Invullen groen'!$G:$G,$J27),""),"")</f>
        <v/>
      </c>
      <c r="F27" s="535">
        <f>IFERROR(IF($J27&gt;0,IF(INDEX('Invullen groen'!$H:$H,$J27)&lt;&gt;0,INDEX('Invullen groen'!$H:$H,$J27),""),""),"")</f>
        <v/>
      </c>
      <c r="G27" s="535">
        <f>IFERROR(IF($J27&gt;0,IF(INDEX('Invullen groen'!$I:$I,$J27)&lt;&gt;0,INDEX('Invullen groen'!$I:$I,$J27),""),""),"")</f>
        <v/>
      </c>
      <c r="H27" s="535">
        <f>IFERROR(IF($J27&gt;0,IF(INDEX('Invullen groen'!$J:$J,$J27)&lt;&gt;0,INDEX('Invullen groen'!$J:$J,$J27),""),""),"")</f>
        <v/>
      </c>
      <c r="I27" s="535">
        <f>IFERROR(IF($J27&gt;0,IF(INDEX('Invullen groen'!$K:$K,$J27)&lt;&gt;0,INDEX('Invullen groen'!$K:$K,$J27),""),""),"")</f>
        <v/>
      </c>
      <c r="J27">
        <f>IFERROR(MATCH(ROW()-4,'Invullen groen'!$P$17:$P$272,0)+16,0)</f>
        <v/>
      </c>
    </row>
    <row r="28" ht="15" customHeight="1">
      <c r="A28" s="536">
        <f>IFERROR(IF($J28&gt;0,ROW()-4,""),"")</f>
        <v/>
      </c>
      <c r="B28" s="536">
        <f>IFERROR(IF($J28&gt;0,INDEX('Invullen groen'!$A:$A,$J28),""),"")</f>
        <v/>
      </c>
      <c r="C28" s="536">
        <f>IFERROR(IF($J28&gt;0,INDEX('Invullen groen'!$C:$C,$J28),""),"")</f>
        <v/>
      </c>
      <c r="D28" s="536">
        <f>IFERROR(IF($J28&gt;0,INDEX('Invullen groen'!$D:$D,$J28),""),"")</f>
        <v/>
      </c>
      <c r="E28" s="536">
        <f>IFERROR(IF($J28&gt;0,INDEX('Invullen groen'!$G:$G,$J28),""),"")</f>
        <v/>
      </c>
      <c r="F28" s="537">
        <f>IFERROR(IF($J28&gt;0,IF(INDEX('Invullen groen'!$H:$H,$J28)&lt;&gt;0,INDEX('Invullen groen'!$H:$H,$J28),""),""),"")</f>
        <v/>
      </c>
      <c r="G28" s="537">
        <f>IFERROR(IF($J28&gt;0,IF(INDEX('Invullen groen'!$I:$I,$J28)&lt;&gt;0,INDEX('Invullen groen'!$I:$I,$J28),""),""),"")</f>
        <v/>
      </c>
      <c r="H28" s="537">
        <f>IFERROR(IF($J28&gt;0,IF(INDEX('Invullen groen'!$J:$J,$J28)&lt;&gt;0,INDEX('Invullen groen'!$J:$J,$J28),""),""),"")</f>
        <v/>
      </c>
      <c r="I28" s="537">
        <f>IFERROR(IF($J28&gt;0,IF(INDEX('Invullen groen'!$K:$K,$J28)&lt;&gt;0,INDEX('Invullen groen'!$K:$K,$J28),""),""),"")</f>
        <v/>
      </c>
      <c r="J28">
        <f>IFERROR(MATCH(ROW()-4,'Invullen groen'!$P$17:$P$272,0)+16,0)</f>
        <v/>
      </c>
    </row>
    <row r="29" ht="15" customHeight="1">
      <c r="A29" s="534">
        <f>IFERROR(IF($J29&gt;0,ROW()-4,""),"")</f>
        <v/>
      </c>
      <c r="B29" s="534">
        <f>IFERROR(IF($J29&gt;0,INDEX('Invullen groen'!$A:$A,$J29),""),"")</f>
        <v/>
      </c>
      <c r="C29" s="534">
        <f>IFERROR(IF($J29&gt;0,INDEX('Invullen groen'!$C:$C,$J29),""),"")</f>
        <v/>
      </c>
      <c r="D29" s="534">
        <f>IFERROR(IF($J29&gt;0,INDEX('Invullen groen'!$D:$D,$J29),""),"")</f>
        <v/>
      </c>
      <c r="E29" s="534">
        <f>IFERROR(IF($J29&gt;0,INDEX('Invullen groen'!$G:$G,$J29),""),"")</f>
        <v/>
      </c>
      <c r="F29" s="535">
        <f>IFERROR(IF($J29&gt;0,IF(INDEX('Invullen groen'!$H:$H,$J29)&lt;&gt;0,INDEX('Invullen groen'!$H:$H,$J29),""),""),"")</f>
        <v/>
      </c>
      <c r="G29" s="535">
        <f>IFERROR(IF($J29&gt;0,IF(INDEX('Invullen groen'!$I:$I,$J29)&lt;&gt;0,INDEX('Invullen groen'!$I:$I,$J29),""),""),"")</f>
        <v/>
      </c>
      <c r="H29" s="535">
        <f>IFERROR(IF($J29&gt;0,IF(INDEX('Invullen groen'!$J:$J,$J29)&lt;&gt;0,INDEX('Invullen groen'!$J:$J,$J29),""),""),"")</f>
        <v/>
      </c>
      <c r="I29" s="535">
        <f>IFERROR(IF($J29&gt;0,IF(INDEX('Invullen groen'!$K:$K,$J29)&lt;&gt;0,INDEX('Invullen groen'!$K:$K,$J29),""),""),"")</f>
        <v/>
      </c>
      <c r="J29">
        <f>IFERROR(MATCH(ROW()-4,'Invullen groen'!$P$17:$P$272,0)+16,0)</f>
        <v/>
      </c>
    </row>
    <row r="30" ht="15" customHeight="1">
      <c r="A30" s="536">
        <f>IFERROR(IF($J30&gt;0,ROW()-4,""),"")</f>
        <v/>
      </c>
      <c r="B30" s="536">
        <f>IFERROR(IF($J30&gt;0,INDEX('Invullen groen'!$A:$A,$J30),""),"")</f>
        <v/>
      </c>
      <c r="C30" s="536">
        <f>IFERROR(IF($J30&gt;0,INDEX('Invullen groen'!$C:$C,$J30),""),"")</f>
        <v/>
      </c>
      <c r="D30" s="536">
        <f>IFERROR(IF($J30&gt;0,INDEX('Invullen groen'!$D:$D,$J30),""),"")</f>
        <v/>
      </c>
      <c r="E30" s="536">
        <f>IFERROR(IF($J30&gt;0,INDEX('Invullen groen'!$G:$G,$J30),""),"")</f>
        <v/>
      </c>
      <c r="F30" s="537">
        <f>IFERROR(IF($J30&gt;0,IF(INDEX('Invullen groen'!$H:$H,$J30)&lt;&gt;0,INDEX('Invullen groen'!$H:$H,$J30),""),""),"")</f>
        <v/>
      </c>
      <c r="G30" s="537">
        <f>IFERROR(IF($J30&gt;0,IF(INDEX('Invullen groen'!$I:$I,$J30)&lt;&gt;0,INDEX('Invullen groen'!$I:$I,$J30),""),""),"")</f>
        <v/>
      </c>
      <c r="H30" s="537">
        <f>IFERROR(IF($J30&gt;0,IF(INDEX('Invullen groen'!$J:$J,$J30)&lt;&gt;0,INDEX('Invullen groen'!$J:$J,$J30),""),""),"")</f>
        <v/>
      </c>
      <c r="I30" s="537">
        <f>IFERROR(IF($J30&gt;0,IF(INDEX('Invullen groen'!$K:$K,$J30)&lt;&gt;0,INDEX('Invullen groen'!$K:$K,$J30),""),""),"")</f>
        <v/>
      </c>
      <c r="J30">
        <f>IFERROR(MATCH(ROW()-4,'Invullen groen'!$P$17:$P$272,0)+16,0)</f>
        <v/>
      </c>
    </row>
    <row r="31" ht="15" customHeight="1">
      <c r="A31" s="534">
        <f>IFERROR(IF($J31&gt;0,ROW()-4,""),"")</f>
        <v/>
      </c>
      <c r="B31" s="534">
        <f>IFERROR(IF($J31&gt;0,INDEX('Invullen groen'!$A:$A,$J31),""),"")</f>
        <v/>
      </c>
      <c r="C31" s="534">
        <f>IFERROR(IF($J31&gt;0,INDEX('Invullen groen'!$C:$C,$J31),""),"")</f>
        <v/>
      </c>
      <c r="D31" s="534">
        <f>IFERROR(IF($J31&gt;0,INDEX('Invullen groen'!$D:$D,$J31),""),"")</f>
        <v/>
      </c>
      <c r="E31" s="534">
        <f>IFERROR(IF($J31&gt;0,INDEX('Invullen groen'!$G:$G,$J31),""),"")</f>
        <v/>
      </c>
      <c r="F31" s="535">
        <f>IFERROR(IF($J31&gt;0,IF(INDEX('Invullen groen'!$H:$H,$J31)&lt;&gt;0,INDEX('Invullen groen'!$H:$H,$J31),""),""),"")</f>
        <v/>
      </c>
      <c r="G31" s="535">
        <f>IFERROR(IF($J31&gt;0,IF(INDEX('Invullen groen'!$I:$I,$J31)&lt;&gt;0,INDEX('Invullen groen'!$I:$I,$J31),""),""),"")</f>
        <v/>
      </c>
      <c r="H31" s="535">
        <f>IFERROR(IF($J31&gt;0,IF(INDEX('Invullen groen'!$J:$J,$J31)&lt;&gt;0,INDEX('Invullen groen'!$J:$J,$J31),""),""),"")</f>
        <v/>
      </c>
      <c r="I31" s="535">
        <f>IFERROR(IF($J31&gt;0,IF(INDEX('Invullen groen'!$K:$K,$J31)&lt;&gt;0,INDEX('Invullen groen'!$K:$K,$J31),""),""),"")</f>
        <v/>
      </c>
      <c r="J31">
        <f>IFERROR(MATCH(ROW()-4,'Invullen groen'!$P$17:$P$272,0)+16,0)</f>
        <v/>
      </c>
    </row>
    <row r="32" ht="15" customHeight="1">
      <c r="A32" s="536">
        <f>IFERROR(IF($J32&gt;0,ROW()-4,""),"")</f>
        <v/>
      </c>
      <c r="B32" s="536">
        <f>IFERROR(IF($J32&gt;0,INDEX('Invullen groen'!$A:$A,$J32),""),"")</f>
        <v/>
      </c>
      <c r="C32" s="536">
        <f>IFERROR(IF($J32&gt;0,INDEX('Invullen groen'!$C:$C,$J32),""),"")</f>
        <v/>
      </c>
      <c r="D32" s="536">
        <f>IFERROR(IF($J32&gt;0,INDEX('Invullen groen'!$D:$D,$J32),""),"")</f>
        <v/>
      </c>
      <c r="E32" s="536">
        <f>IFERROR(IF($J32&gt;0,INDEX('Invullen groen'!$G:$G,$J32),""),"")</f>
        <v/>
      </c>
      <c r="F32" s="537">
        <f>IFERROR(IF($J32&gt;0,IF(INDEX('Invullen groen'!$H:$H,$J32)&lt;&gt;0,INDEX('Invullen groen'!$H:$H,$J32),""),""),"")</f>
        <v/>
      </c>
      <c r="G32" s="537">
        <f>IFERROR(IF($J32&gt;0,IF(INDEX('Invullen groen'!$I:$I,$J32)&lt;&gt;0,INDEX('Invullen groen'!$I:$I,$J32),""),""),"")</f>
        <v/>
      </c>
      <c r="H32" s="537">
        <f>IFERROR(IF($J32&gt;0,IF(INDEX('Invullen groen'!$J:$J,$J32)&lt;&gt;0,INDEX('Invullen groen'!$J:$J,$J32),""),""),"")</f>
        <v/>
      </c>
      <c r="I32" s="537">
        <f>IFERROR(IF($J32&gt;0,IF(INDEX('Invullen groen'!$K:$K,$J32)&lt;&gt;0,INDEX('Invullen groen'!$K:$K,$J32),""),""),"")</f>
        <v/>
      </c>
      <c r="J32">
        <f>IFERROR(MATCH(ROW()-4,'Invullen groen'!$P$17:$P$272,0)+16,0)</f>
        <v/>
      </c>
    </row>
    <row r="33" ht="15" customHeight="1">
      <c r="A33" s="534">
        <f>IFERROR(IF($J33&gt;0,ROW()-4,""),"")</f>
        <v/>
      </c>
      <c r="B33" s="534">
        <f>IFERROR(IF($J33&gt;0,INDEX('Invullen groen'!$A:$A,$J33),""),"")</f>
        <v/>
      </c>
      <c r="C33" s="534">
        <f>IFERROR(IF($J33&gt;0,INDEX('Invullen groen'!$C:$C,$J33),""),"")</f>
        <v/>
      </c>
      <c r="D33" s="534">
        <f>IFERROR(IF($J33&gt;0,INDEX('Invullen groen'!$D:$D,$J33),""),"")</f>
        <v/>
      </c>
      <c r="E33" s="534">
        <f>IFERROR(IF($J33&gt;0,INDEX('Invullen groen'!$G:$G,$J33),""),"")</f>
        <v/>
      </c>
      <c r="F33" s="535">
        <f>IFERROR(IF($J33&gt;0,IF(INDEX('Invullen groen'!$H:$H,$J33)&lt;&gt;0,INDEX('Invullen groen'!$H:$H,$J33),""),""),"")</f>
        <v/>
      </c>
      <c r="G33" s="535">
        <f>IFERROR(IF($J33&gt;0,IF(INDEX('Invullen groen'!$I:$I,$J33)&lt;&gt;0,INDEX('Invullen groen'!$I:$I,$J33),""),""),"")</f>
        <v/>
      </c>
      <c r="H33" s="535">
        <f>IFERROR(IF($J33&gt;0,IF(INDEX('Invullen groen'!$J:$J,$J33)&lt;&gt;0,INDEX('Invullen groen'!$J:$J,$J33),""),""),"")</f>
        <v/>
      </c>
      <c r="I33" s="535">
        <f>IFERROR(IF($J33&gt;0,IF(INDEX('Invullen groen'!$K:$K,$J33)&lt;&gt;0,INDEX('Invullen groen'!$K:$K,$J33),""),""),"")</f>
        <v/>
      </c>
      <c r="J33">
        <f>IFERROR(MATCH(ROW()-4,'Invullen groen'!$P$17:$P$272,0)+16,0)</f>
        <v/>
      </c>
    </row>
    <row r="34" ht="15" customHeight="1">
      <c r="A34" s="536">
        <f>IFERROR(IF($J34&gt;0,ROW()-4,""),"")</f>
        <v/>
      </c>
      <c r="B34" s="536">
        <f>IFERROR(IF($J34&gt;0,INDEX('Invullen groen'!$A:$A,$J34),""),"")</f>
        <v/>
      </c>
      <c r="C34" s="536">
        <f>IFERROR(IF($J34&gt;0,INDEX('Invullen groen'!$C:$C,$J34),""),"")</f>
        <v/>
      </c>
      <c r="D34" s="536">
        <f>IFERROR(IF($J34&gt;0,INDEX('Invullen groen'!$D:$D,$J34),""),"")</f>
        <v/>
      </c>
      <c r="E34" s="536">
        <f>IFERROR(IF($J34&gt;0,INDEX('Invullen groen'!$G:$G,$J34),""),"")</f>
        <v/>
      </c>
      <c r="F34" s="537">
        <f>IFERROR(IF($J34&gt;0,IF(INDEX('Invullen groen'!$H:$H,$J34)&lt;&gt;0,INDEX('Invullen groen'!$H:$H,$J34),""),""),"")</f>
        <v/>
      </c>
      <c r="G34" s="537">
        <f>IFERROR(IF($J34&gt;0,IF(INDEX('Invullen groen'!$I:$I,$J34)&lt;&gt;0,INDEX('Invullen groen'!$I:$I,$J34),""),""),"")</f>
        <v/>
      </c>
      <c r="H34" s="537">
        <f>IFERROR(IF($J34&gt;0,IF(INDEX('Invullen groen'!$J:$J,$J34)&lt;&gt;0,INDEX('Invullen groen'!$J:$J,$J34),""),""),"")</f>
        <v/>
      </c>
      <c r="I34" s="537">
        <f>IFERROR(IF($J34&gt;0,IF(INDEX('Invullen groen'!$K:$K,$J34)&lt;&gt;0,INDEX('Invullen groen'!$K:$K,$J34),""),""),"")</f>
        <v/>
      </c>
      <c r="J34">
        <f>IFERROR(MATCH(ROW()-4,'Invullen groen'!$P$17:$P$272,0)+16,0)</f>
        <v/>
      </c>
    </row>
    <row r="35" hidden="1" ht="15" customHeight="1">
      <c r="A35" s="534">
        <f>IFERROR(IF($J35&gt;0,ROW()-4,""),"")</f>
        <v/>
      </c>
      <c r="B35" s="534">
        <f>IFERROR(IF($J35&gt;0,INDEX('Invullen groen'!$A:$A,$J35),""),"")</f>
        <v/>
      </c>
      <c r="C35" s="534">
        <f>IFERROR(IF($J35&gt;0,INDEX('Invullen groen'!$C:$C,$J35),""),"")</f>
        <v/>
      </c>
      <c r="D35" s="534">
        <f>IFERROR(IF($J35&gt;0,INDEX('Invullen groen'!$D:$D,$J35),""),"")</f>
        <v/>
      </c>
      <c r="E35" s="534">
        <f>IFERROR(IF($J35&gt;0,INDEX('Invullen groen'!$G:$G,$J35),""),"")</f>
        <v/>
      </c>
      <c r="F35" s="535">
        <f>IFERROR(IF($J35&gt;0,IF(INDEX('Invullen groen'!$H:$H,$J35)&lt;&gt;0,INDEX('Invullen groen'!$H:$H,$J35),""),""),"")</f>
        <v/>
      </c>
      <c r="G35" s="535">
        <f>IFERROR(IF($J35&gt;0,IF(INDEX('Invullen groen'!$I:$I,$J35)&lt;&gt;0,INDEX('Invullen groen'!$I:$I,$J35),""),""),"")</f>
        <v/>
      </c>
      <c r="H35" s="535">
        <f>IFERROR(IF($J35&gt;0,IF(INDEX('Invullen groen'!$J:$J,$J35)&lt;&gt;0,INDEX('Invullen groen'!$J:$J,$J35),""),""),"")</f>
        <v/>
      </c>
      <c r="I35" s="535">
        <f>IFERROR(IF($J35&gt;0,IF(INDEX('Invullen groen'!$K:$K,$J35)&lt;&gt;0,INDEX('Invullen groen'!$K:$K,$J35),""),""),"")</f>
        <v/>
      </c>
      <c r="J35">
        <f>IFERROR(MATCH(ROW()-4,'Invullen groen'!$P$17:$P$272,0)+16,0)</f>
        <v/>
      </c>
    </row>
    <row r="36" hidden="1" ht="15" customHeight="1">
      <c r="A36" s="536">
        <f>IFERROR(IF($J36&gt;0,ROW()-4,""),"")</f>
        <v/>
      </c>
      <c r="B36" s="536">
        <f>IFERROR(IF($J36&gt;0,INDEX('Invullen groen'!$A:$A,$J36),""),"")</f>
        <v/>
      </c>
      <c r="C36" s="536">
        <f>IFERROR(IF($J36&gt;0,INDEX('Invullen groen'!$C:$C,$J36),""),"")</f>
        <v/>
      </c>
      <c r="D36" s="536">
        <f>IFERROR(IF($J36&gt;0,INDEX('Invullen groen'!$D:$D,$J36),""),"")</f>
        <v/>
      </c>
      <c r="E36" s="536">
        <f>IFERROR(IF($J36&gt;0,INDEX('Invullen groen'!$G:$G,$J36),""),"")</f>
        <v/>
      </c>
      <c r="F36" s="537">
        <f>IFERROR(IF($J36&gt;0,IF(INDEX('Invullen groen'!$H:$H,$J36)&lt;&gt;0,INDEX('Invullen groen'!$H:$H,$J36),""),""),"")</f>
        <v/>
      </c>
      <c r="G36" s="537">
        <f>IFERROR(IF($J36&gt;0,IF(INDEX('Invullen groen'!$I:$I,$J36)&lt;&gt;0,INDEX('Invullen groen'!$I:$I,$J36),""),""),"")</f>
        <v/>
      </c>
      <c r="H36" s="537">
        <f>IFERROR(IF($J36&gt;0,IF(INDEX('Invullen groen'!$J:$J,$J36)&lt;&gt;0,INDEX('Invullen groen'!$J:$J,$J36),""),""),"")</f>
        <v/>
      </c>
      <c r="I36" s="537">
        <f>IFERROR(IF($J36&gt;0,IF(INDEX('Invullen groen'!$K:$K,$J36)&lt;&gt;0,INDEX('Invullen groen'!$K:$K,$J36),""),""),"")</f>
        <v/>
      </c>
      <c r="J36">
        <f>IFERROR(MATCH(ROW()-4,'Invullen groen'!$P$17:$P$272,0)+16,0)</f>
        <v/>
      </c>
    </row>
    <row r="37" hidden="1" ht="15" customHeight="1">
      <c r="A37" s="534">
        <f>IFERROR(IF($J37&gt;0,ROW()-4,""),"")</f>
        <v/>
      </c>
      <c r="B37" s="534">
        <f>IFERROR(IF($J37&gt;0,INDEX('Invullen groen'!$A:$A,$J37),""),"")</f>
        <v/>
      </c>
      <c r="C37" s="534">
        <f>IFERROR(IF($J37&gt;0,INDEX('Invullen groen'!$C:$C,$J37),""),"")</f>
        <v/>
      </c>
      <c r="D37" s="534">
        <f>IFERROR(IF($J37&gt;0,INDEX('Invullen groen'!$D:$D,$J37),""),"")</f>
        <v/>
      </c>
      <c r="E37" s="534">
        <f>IFERROR(IF($J37&gt;0,INDEX('Invullen groen'!$G:$G,$J37),""),"")</f>
        <v/>
      </c>
      <c r="F37" s="535">
        <f>IFERROR(IF($J37&gt;0,IF(INDEX('Invullen groen'!$H:$H,$J37)&lt;&gt;0,INDEX('Invullen groen'!$H:$H,$J37),""),""),"")</f>
        <v/>
      </c>
      <c r="G37" s="535">
        <f>IFERROR(IF($J37&gt;0,IF(INDEX('Invullen groen'!$I:$I,$J37)&lt;&gt;0,INDEX('Invullen groen'!$I:$I,$J37),""),""),"")</f>
        <v/>
      </c>
      <c r="H37" s="535">
        <f>IFERROR(IF($J37&gt;0,IF(INDEX('Invullen groen'!$J:$J,$J37)&lt;&gt;0,INDEX('Invullen groen'!$J:$J,$J37),""),""),"")</f>
        <v/>
      </c>
      <c r="I37" s="535">
        <f>IFERROR(IF($J37&gt;0,IF(INDEX('Invullen groen'!$K:$K,$J37)&lt;&gt;0,INDEX('Invullen groen'!$K:$K,$J37),""),""),"")</f>
        <v/>
      </c>
      <c r="J37">
        <f>IFERROR(MATCH(ROW()-4,'Invullen groen'!$P$17:$P$272,0)+16,0)</f>
        <v/>
      </c>
    </row>
    <row r="38" hidden="1" ht="15" customHeight="1">
      <c r="A38" s="536">
        <f>IFERROR(IF($J38&gt;0,ROW()-4,""),"")</f>
        <v/>
      </c>
      <c r="B38" s="536">
        <f>IFERROR(IF($J38&gt;0,INDEX('Invullen groen'!$A:$A,$J38),""),"")</f>
        <v/>
      </c>
      <c r="C38" s="536">
        <f>IFERROR(IF($J38&gt;0,INDEX('Invullen groen'!$C:$C,$J38),""),"")</f>
        <v/>
      </c>
      <c r="D38" s="536">
        <f>IFERROR(IF($J38&gt;0,INDEX('Invullen groen'!$D:$D,$J38),""),"")</f>
        <v/>
      </c>
      <c r="E38" s="536">
        <f>IFERROR(IF($J38&gt;0,INDEX('Invullen groen'!$G:$G,$J38),""),"")</f>
        <v/>
      </c>
      <c r="F38" s="537">
        <f>IFERROR(IF($J38&gt;0,IF(INDEX('Invullen groen'!$H:$H,$J38)&lt;&gt;0,INDEX('Invullen groen'!$H:$H,$J38),""),""),"")</f>
        <v/>
      </c>
      <c r="G38" s="537">
        <f>IFERROR(IF($J38&gt;0,IF(INDEX('Invullen groen'!$I:$I,$J38)&lt;&gt;0,INDEX('Invullen groen'!$I:$I,$J38),""),""),"")</f>
        <v/>
      </c>
      <c r="H38" s="537">
        <f>IFERROR(IF($J38&gt;0,IF(INDEX('Invullen groen'!$J:$J,$J38)&lt;&gt;0,INDEX('Invullen groen'!$J:$J,$J38),""),""),"")</f>
        <v/>
      </c>
      <c r="I38" s="537">
        <f>IFERROR(IF($J38&gt;0,IF(INDEX('Invullen groen'!$K:$K,$J38)&lt;&gt;0,INDEX('Invullen groen'!$K:$K,$J38),""),""),"")</f>
        <v/>
      </c>
      <c r="J38">
        <f>IFERROR(MATCH(ROW()-4,'Invullen groen'!$P$17:$P$272,0)+16,0)</f>
        <v/>
      </c>
    </row>
    <row r="39" hidden="1" ht="15" customHeight="1">
      <c r="A39" s="534">
        <f>IFERROR(IF($J39&gt;0,ROW()-4,""),"")</f>
        <v/>
      </c>
      <c r="B39" s="534">
        <f>IFERROR(IF($J39&gt;0,INDEX('Invullen groen'!$A:$A,$J39),""),"")</f>
        <v/>
      </c>
      <c r="C39" s="534">
        <f>IFERROR(IF($J39&gt;0,INDEX('Invullen groen'!$C:$C,$J39),""),"")</f>
        <v/>
      </c>
      <c r="D39" s="534">
        <f>IFERROR(IF($J39&gt;0,INDEX('Invullen groen'!$D:$D,$J39),""),"")</f>
        <v/>
      </c>
      <c r="E39" s="534">
        <f>IFERROR(IF($J39&gt;0,INDEX('Invullen groen'!$G:$G,$J39),""),"")</f>
        <v/>
      </c>
      <c r="F39" s="535">
        <f>IFERROR(IF($J39&gt;0,IF(INDEX('Invullen groen'!$H:$H,$J39)&lt;&gt;0,INDEX('Invullen groen'!$H:$H,$J39),""),""),"")</f>
        <v/>
      </c>
      <c r="G39" s="535">
        <f>IFERROR(IF($J39&gt;0,IF(INDEX('Invullen groen'!$I:$I,$J39)&lt;&gt;0,INDEX('Invullen groen'!$I:$I,$J39),""),""),"")</f>
        <v/>
      </c>
      <c r="H39" s="535">
        <f>IFERROR(IF($J39&gt;0,IF(INDEX('Invullen groen'!$J:$J,$J39)&lt;&gt;0,INDEX('Invullen groen'!$J:$J,$J39),""),""),"")</f>
        <v/>
      </c>
      <c r="I39" s="535">
        <f>IFERROR(IF($J39&gt;0,IF(INDEX('Invullen groen'!$K:$K,$J39)&lt;&gt;0,INDEX('Invullen groen'!$K:$K,$J39),""),""),"")</f>
        <v/>
      </c>
      <c r="J39">
        <f>IFERROR(MATCH(ROW()-4,'Invullen groen'!$P$17:$P$272,0)+16,0)</f>
        <v/>
      </c>
    </row>
    <row r="40" hidden="1" ht="15" customHeight="1">
      <c r="A40" s="536">
        <f>IFERROR(IF($J40&gt;0,ROW()-4,""),"")</f>
        <v/>
      </c>
      <c r="B40" s="536">
        <f>IFERROR(IF($J40&gt;0,INDEX('Invullen groen'!$A:$A,$J40),""),"")</f>
        <v/>
      </c>
      <c r="C40" s="536">
        <f>IFERROR(IF($J40&gt;0,INDEX('Invullen groen'!$C:$C,$J40),""),"")</f>
        <v/>
      </c>
      <c r="D40" s="536">
        <f>IFERROR(IF($J40&gt;0,INDEX('Invullen groen'!$D:$D,$J40),""),"")</f>
        <v/>
      </c>
      <c r="E40" s="536">
        <f>IFERROR(IF($J40&gt;0,INDEX('Invullen groen'!$G:$G,$J40),""),"")</f>
        <v/>
      </c>
      <c r="F40" s="537">
        <f>IFERROR(IF($J40&gt;0,IF(INDEX('Invullen groen'!$H:$H,$J40)&lt;&gt;0,INDEX('Invullen groen'!$H:$H,$J40),""),""),"")</f>
        <v/>
      </c>
      <c r="G40" s="537">
        <f>IFERROR(IF($J40&gt;0,IF(INDEX('Invullen groen'!$I:$I,$J40)&lt;&gt;0,INDEX('Invullen groen'!$I:$I,$J40),""),""),"")</f>
        <v/>
      </c>
      <c r="H40" s="537">
        <f>IFERROR(IF($J40&gt;0,IF(INDEX('Invullen groen'!$J:$J,$J40)&lt;&gt;0,INDEX('Invullen groen'!$J:$J,$J40),""),""),"")</f>
        <v/>
      </c>
      <c r="I40" s="537">
        <f>IFERROR(IF($J40&gt;0,IF(INDEX('Invullen groen'!$K:$K,$J40)&lt;&gt;0,INDEX('Invullen groen'!$K:$K,$J40),""),""),"")</f>
        <v/>
      </c>
      <c r="J40">
        <f>IFERROR(MATCH(ROW()-4,'Invullen groen'!$P$17:$P$272,0)+16,0)</f>
        <v/>
      </c>
    </row>
    <row r="41" hidden="1" ht="15" customHeight="1">
      <c r="A41" s="534">
        <f>IFERROR(IF($J41&gt;0,ROW()-4,""),"")</f>
        <v/>
      </c>
      <c r="B41" s="534">
        <f>IFERROR(IF($J41&gt;0,INDEX('Invullen groen'!$A:$A,$J41),""),"")</f>
        <v/>
      </c>
      <c r="C41" s="534">
        <f>IFERROR(IF($J41&gt;0,INDEX('Invullen groen'!$C:$C,$J41),""),"")</f>
        <v/>
      </c>
      <c r="D41" s="534">
        <f>IFERROR(IF($J41&gt;0,INDEX('Invullen groen'!$D:$D,$J41),""),"")</f>
        <v/>
      </c>
      <c r="E41" s="534">
        <f>IFERROR(IF($J41&gt;0,INDEX('Invullen groen'!$G:$G,$J41),""),"")</f>
        <v/>
      </c>
      <c r="F41" s="535">
        <f>IFERROR(IF($J41&gt;0,IF(INDEX('Invullen groen'!$H:$H,$J41)&lt;&gt;0,INDEX('Invullen groen'!$H:$H,$J41),""),""),"")</f>
        <v/>
      </c>
      <c r="G41" s="535">
        <f>IFERROR(IF($J41&gt;0,IF(INDEX('Invullen groen'!$I:$I,$J41)&lt;&gt;0,INDEX('Invullen groen'!$I:$I,$J41),""),""),"")</f>
        <v/>
      </c>
      <c r="H41" s="535">
        <f>IFERROR(IF($J41&gt;0,IF(INDEX('Invullen groen'!$J:$J,$J41)&lt;&gt;0,INDEX('Invullen groen'!$J:$J,$J41),""),""),"")</f>
        <v/>
      </c>
      <c r="I41" s="535">
        <f>IFERROR(IF($J41&gt;0,IF(INDEX('Invullen groen'!$K:$K,$J41)&lt;&gt;0,INDEX('Invullen groen'!$K:$K,$J41),""),""),"")</f>
        <v/>
      </c>
      <c r="J41">
        <f>IFERROR(MATCH(ROW()-4,'Invullen groen'!$P$17:$P$272,0)+16,0)</f>
        <v/>
      </c>
    </row>
    <row r="42" hidden="1" ht="15" customHeight="1">
      <c r="A42" s="536">
        <f>IFERROR(IF($J42&gt;0,ROW()-4,""),"")</f>
        <v/>
      </c>
      <c r="B42" s="536">
        <f>IFERROR(IF($J42&gt;0,INDEX('Invullen groen'!$A:$A,$J42),""),"")</f>
        <v/>
      </c>
      <c r="C42" s="536">
        <f>IFERROR(IF($J42&gt;0,INDEX('Invullen groen'!$C:$C,$J42),""),"")</f>
        <v/>
      </c>
      <c r="D42" s="536">
        <f>IFERROR(IF($J42&gt;0,INDEX('Invullen groen'!$D:$D,$J42),""),"")</f>
        <v/>
      </c>
      <c r="E42" s="536">
        <f>IFERROR(IF($J42&gt;0,INDEX('Invullen groen'!$G:$G,$J42),""),"")</f>
        <v/>
      </c>
      <c r="F42" s="537">
        <f>IFERROR(IF($J42&gt;0,IF(INDEX('Invullen groen'!$H:$H,$J42)&lt;&gt;0,INDEX('Invullen groen'!$H:$H,$J42),""),""),"")</f>
        <v/>
      </c>
      <c r="G42" s="537">
        <f>IFERROR(IF($J42&gt;0,IF(INDEX('Invullen groen'!$I:$I,$J42)&lt;&gt;0,INDEX('Invullen groen'!$I:$I,$J42),""),""),"")</f>
        <v/>
      </c>
      <c r="H42" s="537">
        <f>IFERROR(IF($J42&gt;0,IF(INDEX('Invullen groen'!$J:$J,$J42)&lt;&gt;0,INDEX('Invullen groen'!$J:$J,$J42),""),""),"")</f>
        <v/>
      </c>
      <c r="I42" s="537">
        <f>IFERROR(IF($J42&gt;0,IF(INDEX('Invullen groen'!$K:$K,$J42)&lt;&gt;0,INDEX('Invullen groen'!$K:$K,$J42),""),""),"")</f>
        <v/>
      </c>
      <c r="J42">
        <f>IFERROR(MATCH(ROW()-4,'Invullen groen'!$P$17:$P$272,0)+16,0)</f>
        <v/>
      </c>
    </row>
    <row r="43" hidden="1" ht="15" customHeight="1">
      <c r="A43" s="534">
        <f>IFERROR(IF($J43&gt;0,ROW()-4,""),"")</f>
        <v/>
      </c>
      <c r="B43" s="534">
        <f>IFERROR(IF($J43&gt;0,INDEX('Invullen groen'!$A:$A,$J43),""),"")</f>
        <v/>
      </c>
      <c r="C43" s="534">
        <f>IFERROR(IF($J43&gt;0,INDEX('Invullen groen'!$C:$C,$J43),""),"")</f>
        <v/>
      </c>
      <c r="D43" s="534">
        <f>IFERROR(IF($J43&gt;0,INDEX('Invullen groen'!$D:$D,$J43),""),"")</f>
        <v/>
      </c>
      <c r="E43" s="534">
        <f>IFERROR(IF($J43&gt;0,INDEX('Invullen groen'!$G:$G,$J43),""),"")</f>
        <v/>
      </c>
      <c r="F43" s="535">
        <f>IFERROR(IF($J43&gt;0,IF(INDEX('Invullen groen'!$H:$H,$J43)&lt;&gt;0,INDEX('Invullen groen'!$H:$H,$J43),""),""),"")</f>
        <v/>
      </c>
      <c r="G43" s="535">
        <f>IFERROR(IF($J43&gt;0,IF(INDEX('Invullen groen'!$I:$I,$J43)&lt;&gt;0,INDEX('Invullen groen'!$I:$I,$J43),""),""),"")</f>
        <v/>
      </c>
      <c r="H43" s="535">
        <f>IFERROR(IF($J43&gt;0,IF(INDEX('Invullen groen'!$J:$J,$J43)&lt;&gt;0,INDEX('Invullen groen'!$J:$J,$J43),""),""),"")</f>
        <v/>
      </c>
      <c r="I43" s="535">
        <f>IFERROR(IF($J43&gt;0,IF(INDEX('Invullen groen'!$K:$K,$J43)&lt;&gt;0,INDEX('Invullen groen'!$K:$K,$J43),""),""),"")</f>
        <v/>
      </c>
      <c r="J43">
        <f>IFERROR(MATCH(ROW()-4,'Invullen groen'!$P$17:$P$272,0)+16,0)</f>
        <v/>
      </c>
    </row>
    <row r="44" hidden="1" ht="15" customHeight="1">
      <c r="A44" s="536">
        <f>IFERROR(IF($J44&gt;0,ROW()-4,""),"")</f>
        <v/>
      </c>
      <c r="B44" s="536">
        <f>IFERROR(IF($J44&gt;0,INDEX('Invullen groen'!$A:$A,$J44),""),"")</f>
        <v/>
      </c>
      <c r="C44" s="536">
        <f>IFERROR(IF($J44&gt;0,INDEX('Invullen groen'!$C:$C,$J44),""),"")</f>
        <v/>
      </c>
      <c r="D44" s="536">
        <f>IFERROR(IF($J44&gt;0,INDEX('Invullen groen'!$D:$D,$J44),""),"")</f>
        <v/>
      </c>
      <c r="E44" s="536">
        <f>IFERROR(IF($J44&gt;0,INDEX('Invullen groen'!$G:$G,$J44),""),"")</f>
        <v/>
      </c>
      <c r="F44" s="537">
        <f>IFERROR(IF($J44&gt;0,IF(INDEX('Invullen groen'!$H:$H,$J44)&lt;&gt;0,INDEX('Invullen groen'!$H:$H,$J44),""),""),"")</f>
        <v/>
      </c>
      <c r="G44" s="537">
        <f>IFERROR(IF($J44&gt;0,IF(INDEX('Invullen groen'!$I:$I,$J44)&lt;&gt;0,INDEX('Invullen groen'!$I:$I,$J44),""),""),"")</f>
        <v/>
      </c>
      <c r="H44" s="537">
        <f>IFERROR(IF($J44&gt;0,IF(INDEX('Invullen groen'!$J:$J,$J44)&lt;&gt;0,INDEX('Invullen groen'!$J:$J,$J44),""),""),"")</f>
        <v/>
      </c>
      <c r="I44" s="537">
        <f>IFERROR(IF($J44&gt;0,IF(INDEX('Invullen groen'!$K:$K,$J44)&lt;&gt;0,INDEX('Invullen groen'!$K:$K,$J44),""),""),"")</f>
        <v/>
      </c>
      <c r="J44">
        <f>IFERROR(MATCH(ROW()-4,'Invullen groen'!$P$17:$P$272,0)+16,0)</f>
        <v/>
      </c>
    </row>
    <row r="45" hidden="1" ht="15" customHeight="1">
      <c r="A45" s="534">
        <f>IFERROR(IF($J45&gt;0,ROW()-4,""),"")</f>
        <v/>
      </c>
      <c r="B45" s="534">
        <f>IFERROR(IF($J45&gt;0,INDEX('Invullen groen'!$A:$A,$J45),""),"")</f>
        <v/>
      </c>
      <c r="C45" s="534">
        <f>IFERROR(IF($J45&gt;0,INDEX('Invullen groen'!$C:$C,$J45),""),"")</f>
        <v/>
      </c>
      <c r="D45" s="534">
        <f>IFERROR(IF($J45&gt;0,INDEX('Invullen groen'!$D:$D,$J45),""),"")</f>
        <v/>
      </c>
      <c r="E45" s="534">
        <f>IFERROR(IF($J45&gt;0,INDEX('Invullen groen'!$G:$G,$J45),""),"")</f>
        <v/>
      </c>
      <c r="F45" s="535">
        <f>IFERROR(IF($J45&gt;0,IF(INDEX('Invullen groen'!$H:$H,$J45)&lt;&gt;0,INDEX('Invullen groen'!$H:$H,$J45),""),""),"")</f>
        <v/>
      </c>
      <c r="G45" s="535">
        <f>IFERROR(IF($J45&gt;0,IF(INDEX('Invullen groen'!$I:$I,$J45)&lt;&gt;0,INDEX('Invullen groen'!$I:$I,$J45),""),""),"")</f>
        <v/>
      </c>
      <c r="H45" s="535">
        <f>IFERROR(IF($J45&gt;0,IF(INDEX('Invullen groen'!$J:$J,$J45)&lt;&gt;0,INDEX('Invullen groen'!$J:$J,$J45),""),""),"")</f>
        <v/>
      </c>
      <c r="I45" s="535">
        <f>IFERROR(IF($J45&gt;0,IF(INDEX('Invullen groen'!$K:$K,$J45)&lt;&gt;0,INDEX('Invullen groen'!$K:$K,$J45),""),""),"")</f>
        <v/>
      </c>
      <c r="J45">
        <f>IFERROR(MATCH(ROW()-4,'Invullen groen'!$P$17:$P$272,0)+16,0)</f>
        <v/>
      </c>
    </row>
    <row r="46" hidden="1" ht="15" customHeight="1">
      <c r="A46" s="536">
        <f>IFERROR(IF($J46&gt;0,ROW()-4,""),"")</f>
        <v/>
      </c>
      <c r="B46" s="536">
        <f>IFERROR(IF($J46&gt;0,INDEX('Invullen groen'!$A:$A,$J46),""),"")</f>
        <v/>
      </c>
      <c r="C46" s="536">
        <f>IFERROR(IF($J46&gt;0,INDEX('Invullen groen'!$C:$C,$J46),""),"")</f>
        <v/>
      </c>
      <c r="D46" s="536">
        <f>IFERROR(IF($J46&gt;0,INDEX('Invullen groen'!$D:$D,$J46),""),"")</f>
        <v/>
      </c>
      <c r="E46" s="536">
        <f>IFERROR(IF($J46&gt;0,INDEX('Invullen groen'!$G:$G,$J46),""),"")</f>
        <v/>
      </c>
      <c r="F46" s="537">
        <f>IFERROR(IF($J46&gt;0,IF(INDEX('Invullen groen'!$H:$H,$J46)&lt;&gt;0,INDEX('Invullen groen'!$H:$H,$J46),""),""),"")</f>
        <v/>
      </c>
      <c r="G46" s="537">
        <f>IFERROR(IF($J46&gt;0,IF(INDEX('Invullen groen'!$I:$I,$J46)&lt;&gt;0,INDEX('Invullen groen'!$I:$I,$J46),""),""),"")</f>
        <v/>
      </c>
      <c r="H46" s="537">
        <f>IFERROR(IF($J46&gt;0,IF(INDEX('Invullen groen'!$J:$J,$J46)&lt;&gt;0,INDEX('Invullen groen'!$J:$J,$J46),""),""),"")</f>
        <v/>
      </c>
      <c r="I46" s="537">
        <f>IFERROR(IF($J46&gt;0,IF(INDEX('Invullen groen'!$K:$K,$J46)&lt;&gt;0,INDEX('Invullen groen'!$K:$K,$J46),""),""),"")</f>
        <v/>
      </c>
      <c r="J46">
        <f>IFERROR(MATCH(ROW()-4,'Invullen groen'!$P$17:$P$272,0)+16,0)</f>
        <v/>
      </c>
    </row>
    <row r="47" hidden="1" ht="15" customHeight="1">
      <c r="A47" s="534">
        <f>IFERROR(IF($J47&gt;0,ROW()-4,""),"")</f>
        <v/>
      </c>
      <c r="B47" s="534">
        <f>IFERROR(IF($J47&gt;0,INDEX('Invullen groen'!$A:$A,$J47),""),"")</f>
        <v/>
      </c>
      <c r="C47" s="534">
        <f>IFERROR(IF($J47&gt;0,INDEX('Invullen groen'!$C:$C,$J47),""),"")</f>
        <v/>
      </c>
      <c r="D47" s="534">
        <f>IFERROR(IF($J47&gt;0,INDEX('Invullen groen'!$D:$D,$J47),""),"")</f>
        <v/>
      </c>
      <c r="E47" s="534">
        <f>IFERROR(IF($J47&gt;0,INDEX('Invullen groen'!$G:$G,$J47),""),"")</f>
        <v/>
      </c>
      <c r="F47" s="535">
        <f>IFERROR(IF($J47&gt;0,IF(INDEX('Invullen groen'!$H:$H,$J47)&lt;&gt;0,INDEX('Invullen groen'!$H:$H,$J47),""),""),"")</f>
        <v/>
      </c>
      <c r="G47" s="535">
        <f>IFERROR(IF($J47&gt;0,IF(INDEX('Invullen groen'!$I:$I,$J47)&lt;&gt;0,INDEX('Invullen groen'!$I:$I,$J47),""),""),"")</f>
        <v/>
      </c>
      <c r="H47" s="535">
        <f>IFERROR(IF($J47&gt;0,IF(INDEX('Invullen groen'!$J:$J,$J47)&lt;&gt;0,INDEX('Invullen groen'!$J:$J,$J47),""),""),"")</f>
        <v/>
      </c>
      <c r="I47" s="535">
        <f>IFERROR(IF($J47&gt;0,IF(INDEX('Invullen groen'!$K:$K,$J47)&lt;&gt;0,INDEX('Invullen groen'!$K:$K,$J47),""),""),"")</f>
        <v/>
      </c>
      <c r="J47">
        <f>IFERROR(MATCH(ROW()-4,'Invullen groen'!$P$17:$P$272,0)+16,0)</f>
        <v/>
      </c>
    </row>
    <row r="48" hidden="1" ht="15" customHeight="1">
      <c r="A48" s="536">
        <f>IFERROR(IF($J48&gt;0,ROW()-4,""),"")</f>
        <v/>
      </c>
      <c r="B48" s="536">
        <f>IFERROR(IF($J48&gt;0,INDEX('Invullen groen'!$A:$A,$J48),""),"")</f>
        <v/>
      </c>
      <c r="C48" s="536">
        <f>IFERROR(IF($J48&gt;0,INDEX('Invullen groen'!$C:$C,$J48),""),"")</f>
        <v/>
      </c>
      <c r="D48" s="536">
        <f>IFERROR(IF($J48&gt;0,INDEX('Invullen groen'!$D:$D,$J48),""),"")</f>
        <v/>
      </c>
      <c r="E48" s="536">
        <f>IFERROR(IF($J48&gt;0,INDEX('Invullen groen'!$G:$G,$J48),""),"")</f>
        <v/>
      </c>
      <c r="F48" s="537">
        <f>IFERROR(IF($J48&gt;0,IF(INDEX('Invullen groen'!$H:$H,$J48)&lt;&gt;0,INDEX('Invullen groen'!$H:$H,$J48),""),""),"")</f>
        <v/>
      </c>
      <c r="G48" s="537">
        <f>IFERROR(IF($J48&gt;0,IF(INDEX('Invullen groen'!$I:$I,$J48)&lt;&gt;0,INDEX('Invullen groen'!$I:$I,$J48),""),""),"")</f>
        <v/>
      </c>
      <c r="H48" s="537">
        <f>IFERROR(IF($J48&gt;0,IF(INDEX('Invullen groen'!$J:$J,$J48)&lt;&gt;0,INDEX('Invullen groen'!$J:$J,$J48),""),""),"")</f>
        <v/>
      </c>
      <c r="I48" s="537">
        <f>IFERROR(IF($J48&gt;0,IF(INDEX('Invullen groen'!$K:$K,$J48)&lt;&gt;0,INDEX('Invullen groen'!$K:$K,$J48),""),""),"")</f>
        <v/>
      </c>
      <c r="J48">
        <f>IFERROR(MATCH(ROW()-4,'Invullen groen'!$P$17:$P$272,0)+16,0)</f>
        <v/>
      </c>
    </row>
    <row r="49" hidden="1" ht="15" customHeight="1">
      <c r="A49" s="534">
        <f>IFERROR(IF($J49&gt;0,ROW()-4,""),"")</f>
        <v/>
      </c>
      <c r="B49" s="534">
        <f>IFERROR(IF($J49&gt;0,INDEX('Invullen groen'!$A:$A,$J49),""),"")</f>
        <v/>
      </c>
      <c r="C49" s="534">
        <f>IFERROR(IF($J49&gt;0,INDEX('Invullen groen'!$C:$C,$J49),""),"")</f>
        <v/>
      </c>
      <c r="D49" s="534">
        <f>IFERROR(IF($J49&gt;0,INDEX('Invullen groen'!$D:$D,$J49),""),"")</f>
        <v/>
      </c>
      <c r="E49" s="534">
        <f>IFERROR(IF($J49&gt;0,INDEX('Invullen groen'!$G:$G,$J49),""),"")</f>
        <v/>
      </c>
      <c r="F49" s="535">
        <f>IFERROR(IF($J49&gt;0,IF(INDEX('Invullen groen'!$H:$H,$J49)&lt;&gt;0,INDEX('Invullen groen'!$H:$H,$J49),""),""),"")</f>
        <v/>
      </c>
      <c r="G49" s="535">
        <f>IFERROR(IF($J49&gt;0,IF(INDEX('Invullen groen'!$I:$I,$J49)&lt;&gt;0,INDEX('Invullen groen'!$I:$I,$J49),""),""),"")</f>
        <v/>
      </c>
      <c r="H49" s="535">
        <f>IFERROR(IF($J49&gt;0,IF(INDEX('Invullen groen'!$J:$J,$J49)&lt;&gt;0,INDEX('Invullen groen'!$J:$J,$J49),""),""),"")</f>
        <v/>
      </c>
      <c r="I49" s="535">
        <f>IFERROR(IF($J49&gt;0,IF(INDEX('Invullen groen'!$K:$K,$J49)&lt;&gt;0,INDEX('Invullen groen'!$K:$K,$J49),""),""),"")</f>
        <v/>
      </c>
      <c r="J49">
        <f>IFERROR(MATCH(ROW()-4,'Invullen groen'!$P$17:$P$272,0)+16,0)</f>
        <v/>
      </c>
    </row>
    <row r="50" hidden="1" ht="15" customHeight="1">
      <c r="A50" s="536">
        <f>IFERROR(IF($J50&gt;0,ROW()-4,""),"")</f>
        <v/>
      </c>
      <c r="B50" s="536">
        <f>IFERROR(IF($J50&gt;0,INDEX('Invullen groen'!$A:$A,$J50),""),"")</f>
        <v/>
      </c>
      <c r="C50" s="536">
        <f>IFERROR(IF($J50&gt;0,INDEX('Invullen groen'!$C:$C,$J50),""),"")</f>
        <v/>
      </c>
      <c r="D50" s="536">
        <f>IFERROR(IF($J50&gt;0,INDEX('Invullen groen'!$D:$D,$J50),""),"")</f>
        <v/>
      </c>
      <c r="E50" s="536">
        <f>IFERROR(IF($J50&gt;0,INDEX('Invullen groen'!$G:$G,$J50),""),"")</f>
        <v/>
      </c>
      <c r="F50" s="537">
        <f>IFERROR(IF($J50&gt;0,IF(INDEX('Invullen groen'!$H:$H,$J50)&lt;&gt;0,INDEX('Invullen groen'!$H:$H,$J50),""),""),"")</f>
        <v/>
      </c>
      <c r="G50" s="537">
        <f>IFERROR(IF($J50&gt;0,IF(INDEX('Invullen groen'!$I:$I,$J50)&lt;&gt;0,INDEX('Invullen groen'!$I:$I,$J50),""),""),"")</f>
        <v/>
      </c>
      <c r="H50" s="537">
        <f>IFERROR(IF($J50&gt;0,IF(INDEX('Invullen groen'!$J:$J,$J50)&lt;&gt;0,INDEX('Invullen groen'!$J:$J,$J50),""),""),"")</f>
        <v/>
      </c>
      <c r="I50" s="537">
        <f>IFERROR(IF($J50&gt;0,IF(INDEX('Invullen groen'!$K:$K,$J50)&lt;&gt;0,INDEX('Invullen groen'!$K:$K,$J50),""),""),"")</f>
        <v/>
      </c>
      <c r="J50">
        <f>IFERROR(MATCH(ROW()-4,'Invullen groen'!$P$17:$P$272,0)+16,0)</f>
        <v/>
      </c>
    </row>
    <row r="51" hidden="1" ht="15" customHeight="1">
      <c r="A51" s="534">
        <f>IFERROR(IF($J51&gt;0,ROW()-4,""),"")</f>
        <v/>
      </c>
      <c r="B51" s="534">
        <f>IFERROR(IF($J51&gt;0,INDEX('Invullen groen'!$A:$A,$J51),""),"")</f>
        <v/>
      </c>
      <c r="C51" s="534">
        <f>IFERROR(IF($J51&gt;0,INDEX('Invullen groen'!$C:$C,$J51),""),"")</f>
        <v/>
      </c>
      <c r="D51" s="534">
        <f>IFERROR(IF($J51&gt;0,INDEX('Invullen groen'!$D:$D,$J51),""),"")</f>
        <v/>
      </c>
      <c r="E51" s="534">
        <f>IFERROR(IF($J51&gt;0,INDEX('Invullen groen'!$G:$G,$J51),""),"")</f>
        <v/>
      </c>
      <c r="F51" s="535">
        <f>IFERROR(IF($J51&gt;0,IF(INDEX('Invullen groen'!$H:$H,$J51)&lt;&gt;0,INDEX('Invullen groen'!$H:$H,$J51),""),""),"")</f>
        <v/>
      </c>
      <c r="G51" s="535">
        <f>IFERROR(IF($J51&gt;0,IF(INDEX('Invullen groen'!$I:$I,$J51)&lt;&gt;0,INDEX('Invullen groen'!$I:$I,$J51),""),""),"")</f>
        <v/>
      </c>
      <c r="H51" s="535">
        <f>IFERROR(IF($J51&gt;0,IF(INDEX('Invullen groen'!$J:$J,$J51)&lt;&gt;0,INDEX('Invullen groen'!$J:$J,$J51),""),""),"")</f>
        <v/>
      </c>
      <c r="I51" s="535">
        <f>IFERROR(IF($J51&gt;0,IF(INDEX('Invullen groen'!$K:$K,$J51)&lt;&gt;0,INDEX('Invullen groen'!$K:$K,$J51),""),""),"")</f>
        <v/>
      </c>
      <c r="J51">
        <f>IFERROR(MATCH(ROW()-4,'Invullen groen'!$P$17:$P$272,0)+16,0)</f>
        <v/>
      </c>
    </row>
    <row r="52" hidden="1" ht="15" customHeight="1">
      <c r="A52" s="536">
        <f>IFERROR(IF($J52&gt;0,ROW()-4,""),"")</f>
        <v/>
      </c>
      <c r="B52" s="536">
        <f>IFERROR(IF($J52&gt;0,INDEX('Invullen groen'!$A:$A,$J52),""),"")</f>
        <v/>
      </c>
      <c r="C52" s="536">
        <f>IFERROR(IF($J52&gt;0,INDEX('Invullen groen'!$C:$C,$J52),""),"")</f>
        <v/>
      </c>
      <c r="D52" s="536">
        <f>IFERROR(IF($J52&gt;0,INDEX('Invullen groen'!$D:$D,$J52),""),"")</f>
        <v/>
      </c>
      <c r="E52" s="536">
        <f>IFERROR(IF($J52&gt;0,INDEX('Invullen groen'!$G:$G,$J52),""),"")</f>
        <v/>
      </c>
      <c r="F52" s="537">
        <f>IFERROR(IF($J52&gt;0,IF(INDEX('Invullen groen'!$H:$H,$J52)&lt;&gt;0,INDEX('Invullen groen'!$H:$H,$J52),""),""),"")</f>
        <v/>
      </c>
      <c r="G52" s="537">
        <f>IFERROR(IF($J52&gt;0,IF(INDEX('Invullen groen'!$I:$I,$J52)&lt;&gt;0,INDEX('Invullen groen'!$I:$I,$J52),""),""),"")</f>
        <v/>
      </c>
      <c r="H52" s="537">
        <f>IFERROR(IF($J52&gt;0,IF(INDEX('Invullen groen'!$J:$J,$J52)&lt;&gt;0,INDEX('Invullen groen'!$J:$J,$J52),""),""),"")</f>
        <v/>
      </c>
      <c r="I52" s="537">
        <f>IFERROR(IF($J52&gt;0,IF(INDEX('Invullen groen'!$K:$K,$J52)&lt;&gt;0,INDEX('Invullen groen'!$K:$K,$J52),""),""),"")</f>
        <v/>
      </c>
      <c r="J52">
        <f>IFERROR(MATCH(ROW()-4,'Invullen groen'!$P$17:$P$272,0)+16,0)</f>
        <v/>
      </c>
    </row>
    <row r="53" hidden="1" ht="15" customHeight="1">
      <c r="A53" s="534">
        <f>IFERROR(IF($J53&gt;0,ROW()-4,""),"")</f>
        <v/>
      </c>
      <c r="B53" s="534">
        <f>IFERROR(IF($J53&gt;0,INDEX('Invullen groen'!$A:$A,$J53),""),"")</f>
        <v/>
      </c>
      <c r="C53" s="534">
        <f>IFERROR(IF($J53&gt;0,INDEX('Invullen groen'!$C:$C,$J53),""),"")</f>
        <v/>
      </c>
      <c r="D53" s="534">
        <f>IFERROR(IF($J53&gt;0,INDEX('Invullen groen'!$D:$D,$J53),""),"")</f>
        <v/>
      </c>
      <c r="E53" s="534">
        <f>IFERROR(IF($J53&gt;0,INDEX('Invullen groen'!$G:$G,$J53),""),"")</f>
        <v/>
      </c>
      <c r="F53" s="535">
        <f>IFERROR(IF($J53&gt;0,IF(INDEX('Invullen groen'!$H:$H,$J53)&lt;&gt;0,INDEX('Invullen groen'!$H:$H,$J53),""),""),"")</f>
        <v/>
      </c>
      <c r="G53" s="535">
        <f>IFERROR(IF($J53&gt;0,IF(INDEX('Invullen groen'!$I:$I,$J53)&lt;&gt;0,INDEX('Invullen groen'!$I:$I,$J53),""),""),"")</f>
        <v/>
      </c>
      <c r="H53" s="535">
        <f>IFERROR(IF($J53&gt;0,IF(INDEX('Invullen groen'!$J:$J,$J53)&lt;&gt;0,INDEX('Invullen groen'!$J:$J,$J53),""),""),"")</f>
        <v/>
      </c>
      <c r="I53" s="535">
        <f>IFERROR(IF($J53&gt;0,IF(INDEX('Invullen groen'!$K:$K,$J53)&lt;&gt;0,INDEX('Invullen groen'!$K:$K,$J53),""),""),"")</f>
        <v/>
      </c>
      <c r="J53">
        <f>IFERROR(MATCH(ROW()-4,'Invullen groen'!$P$17:$P$272,0)+16,0)</f>
        <v/>
      </c>
    </row>
    <row r="54" hidden="1" ht="15" customHeight="1">
      <c r="A54" s="536">
        <f>IFERROR(IF($J54&gt;0,ROW()-4,""),"")</f>
        <v/>
      </c>
      <c r="B54" s="536">
        <f>IFERROR(IF($J54&gt;0,INDEX('Invullen groen'!$A:$A,$J54),""),"")</f>
        <v/>
      </c>
      <c r="C54" s="536">
        <f>IFERROR(IF($J54&gt;0,INDEX('Invullen groen'!$C:$C,$J54),""),"")</f>
        <v/>
      </c>
      <c r="D54" s="536">
        <f>IFERROR(IF($J54&gt;0,INDEX('Invullen groen'!$D:$D,$J54),""),"")</f>
        <v/>
      </c>
      <c r="E54" s="536">
        <f>IFERROR(IF($J54&gt;0,INDEX('Invullen groen'!$G:$G,$J54),""),"")</f>
        <v/>
      </c>
      <c r="F54" s="537">
        <f>IFERROR(IF($J54&gt;0,IF(INDEX('Invullen groen'!$H:$H,$J54)&lt;&gt;0,INDEX('Invullen groen'!$H:$H,$J54),""),""),"")</f>
        <v/>
      </c>
      <c r="G54" s="537">
        <f>IFERROR(IF($J54&gt;0,IF(INDEX('Invullen groen'!$I:$I,$J54)&lt;&gt;0,INDEX('Invullen groen'!$I:$I,$J54),""),""),"")</f>
        <v/>
      </c>
      <c r="H54" s="537">
        <f>IFERROR(IF($J54&gt;0,IF(INDEX('Invullen groen'!$J:$J,$J54)&lt;&gt;0,INDEX('Invullen groen'!$J:$J,$J54),""),""),"")</f>
        <v/>
      </c>
      <c r="I54" s="537">
        <f>IFERROR(IF($J54&gt;0,IF(INDEX('Invullen groen'!$K:$K,$J54)&lt;&gt;0,INDEX('Invullen groen'!$K:$K,$J54),""),""),"")</f>
        <v/>
      </c>
      <c r="J54">
        <f>IFERROR(MATCH(ROW()-4,'Invullen groen'!$P$17:$P$272,0)+16,0)</f>
        <v/>
      </c>
    </row>
    <row r="55" hidden="1" ht="15" customHeight="1">
      <c r="A55" s="534">
        <f>IFERROR(IF($J55&gt;0,ROW()-4,""),"")</f>
        <v/>
      </c>
      <c r="B55" s="534">
        <f>IFERROR(IF($J55&gt;0,INDEX('Invullen groen'!$A:$A,$J55),""),"")</f>
        <v/>
      </c>
      <c r="C55" s="534">
        <f>IFERROR(IF($J55&gt;0,INDEX('Invullen groen'!$C:$C,$J55),""),"")</f>
        <v/>
      </c>
      <c r="D55" s="534">
        <f>IFERROR(IF($J55&gt;0,INDEX('Invullen groen'!$D:$D,$J55),""),"")</f>
        <v/>
      </c>
      <c r="E55" s="534">
        <f>IFERROR(IF($J55&gt;0,INDEX('Invullen groen'!$G:$G,$J55),""),"")</f>
        <v/>
      </c>
      <c r="F55" s="535">
        <f>IFERROR(IF($J55&gt;0,IF(INDEX('Invullen groen'!$H:$H,$J55)&lt;&gt;0,INDEX('Invullen groen'!$H:$H,$J55),""),""),"")</f>
        <v/>
      </c>
      <c r="G55" s="535">
        <f>IFERROR(IF($J55&gt;0,IF(INDEX('Invullen groen'!$I:$I,$J55)&lt;&gt;0,INDEX('Invullen groen'!$I:$I,$J55),""),""),"")</f>
        <v/>
      </c>
      <c r="H55" s="535">
        <f>IFERROR(IF($J55&gt;0,IF(INDEX('Invullen groen'!$J:$J,$J55)&lt;&gt;0,INDEX('Invullen groen'!$J:$J,$J55),""),""),"")</f>
        <v/>
      </c>
      <c r="I55" s="535">
        <f>IFERROR(IF($J55&gt;0,IF(INDEX('Invullen groen'!$K:$K,$J55)&lt;&gt;0,INDEX('Invullen groen'!$K:$K,$J55),""),""),"")</f>
        <v/>
      </c>
      <c r="J55">
        <f>IFERROR(MATCH(ROW()-4,'Invullen groen'!$P$17:$P$272,0)+16,0)</f>
        <v/>
      </c>
    </row>
    <row r="56" hidden="1" ht="15" customHeight="1">
      <c r="A56" s="536">
        <f>IFERROR(IF($J56&gt;0,ROW()-4,""),"")</f>
        <v/>
      </c>
      <c r="B56" s="536">
        <f>IFERROR(IF($J56&gt;0,INDEX('Invullen groen'!$A:$A,$J56),""),"")</f>
        <v/>
      </c>
      <c r="C56" s="536">
        <f>IFERROR(IF($J56&gt;0,INDEX('Invullen groen'!$C:$C,$J56),""),"")</f>
        <v/>
      </c>
      <c r="D56" s="536">
        <f>IFERROR(IF($J56&gt;0,INDEX('Invullen groen'!$D:$D,$J56),""),"")</f>
        <v/>
      </c>
      <c r="E56" s="536">
        <f>IFERROR(IF($J56&gt;0,INDEX('Invullen groen'!$G:$G,$J56),""),"")</f>
        <v/>
      </c>
      <c r="F56" s="537">
        <f>IFERROR(IF($J56&gt;0,IF(INDEX('Invullen groen'!$H:$H,$J56)&lt;&gt;0,INDEX('Invullen groen'!$H:$H,$J56),""),""),"")</f>
        <v/>
      </c>
      <c r="G56" s="537">
        <f>IFERROR(IF($J56&gt;0,IF(INDEX('Invullen groen'!$I:$I,$J56)&lt;&gt;0,INDEX('Invullen groen'!$I:$I,$J56),""),""),"")</f>
        <v/>
      </c>
      <c r="H56" s="537">
        <f>IFERROR(IF($J56&gt;0,IF(INDEX('Invullen groen'!$J:$J,$J56)&lt;&gt;0,INDEX('Invullen groen'!$J:$J,$J56),""),""),"")</f>
        <v/>
      </c>
      <c r="I56" s="537">
        <f>IFERROR(IF($J56&gt;0,IF(INDEX('Invullen groen'!$K:$K,$J56)&lt;&gt;0,INDEX('Invullen groen'!$K:$K,$J56),""),""),"")</f>
        <v/>
      </c>
      <c r="J56">
        <f>IFERROR(MATCH(ROW()-4,'Invullen groen'!$P$17:$P$272,0)+16,0)</f>
        <v/>
      </c>
    </row>
    <row r="57" hidden="1" ht="15" customHeight="1">
      <c r="A57" s="534">
        <f>IFERROR(IF($J57&gt;0,ROW()-4,""),"")</f>
        <v/>
      </c>
      <c r="B57" s="534">
        <f>IFERROR(IF($J57&gt;0,INDEX('Invullen groen'!$A:$A,$J57),""),"")</f>
        <v/>
      </c>
      <c r="C57" s="534">
        <f>IFERROR(IF($J57&gt;0,INDEX('Invullen groen'!$C:$C,$J57),""),"")</f>
        <v/>
      </c>
      <c r="D57" s="534">
        <f>IFERROR(IF($J57&gt;0,INDEX('Invullen groen'!$D:$D,$J57),""),"")</f>
        <v/>
      </c>
      <c r="E57" s="534">
        <f>IFERROR(IF($J57&gt;0,INDEX('Invullen groen'!$G:$G,$J57),""),"")</f>
        <v/>
      </c>
      <c r="F57" s="535">
        <f>IFERROR(IF($J57&gt;0,IF(INDEX('Invullen groen'!$H:$H,$J57)&lt;&gt;0,INDEX('Invullen groen'!$H:$H,$J57),""),""),"")</f>
        <v/>
      </c>
      <c r="G57" s="535">
        <f>IFERROR(IF($J57&gt;0,IF(INDEX('Invullen groen'!$I:$I,$J57)&lt;&gt;0,INDEX('Invullen groen'!$I:$I,$J57),""),""),"")</f>
        <v/>
      </c>
      <c r="H57" s="535">
        <f>IFERROR(IF($J57&gt;0,IF(INDEX('Invullen groen'!$J:$J,$J57)&lt;&gt;0,INDEX('Invullen groen'!$J:$J,$J57),""),""),"")</f>
        <v/>
      </c>
      <c r="I57" s="535">
        <f>IFERROR(IF($J57&gt;0,IF(INDEX('Invullen groen'!$K:$K,$J57)&lt;&gt;0,INDEX('Invullen groen'!$K:$K,$J57),""),""),"")</f>
        <v/>
      </c>
      <c r="J57">
        <f>IFERROR(MATCH(ROW()-4,'Invullen groen'!$P$17:$P$272,0)+16,0)</f>
        <v/>
      </c>
    </row>
    <row r="58" hidden="1" ht="15" customHeight="1">
      <c r="A58" s="536">
        <f>IFERROR(IF($J58&gt;0,ROW()-4,""),"")</f>
        <v/>
      </c>
      <c r="B58" s="536">
        <f>IFERROR(IF($J58&gt;0,INDEX('Invullen groen'!$A:$A,$J58),""),"")</f>
        <v/>
      </c>
      <c r="C58" s="536">
        <f>IFERROR(IF($J58&gt;0,INDEX('Invullen groen'!$C:$C,$J58),""),"")</f>
        <v/>
      </c>
      <c r="D58" s="536">
        <f>IFERROR(IF($J58&gt;0,INDEX('Invullen groen'!$D:$D,$J58),""),"")</f>
        <v/>
      </c>
      <c r="E58" s="536">
        <f>IFERROR(IF($J58&gt;0,INDEX('Invullen groen'!$G:$G,$J58),""),"")</f>
        <v/>
      </c>
      <c r="F58" s="537">
        <f>IFERROR(IF($J58&gt;0,IF(INDEX('Invullen groen'!$H:$H,$J58)&lt;&gt;0,INDEX('Invullen groen'!$H:$H,$J58),""),""),"")</f>
        <v/>
      </c>
      <c r="G58" s="537">
        <f>IFERROR(IF($J58&gt;0,IF(INDEX('Invullen groen'!$I:$I,$J58)&lt;&gt;0,INDEX('Invullen groen'!$I:$I,$J58),""),""),"")</f>
        <v/>
      </c>
      <c r="H58" s="537">
        <f>IFERROR(IF($J58&gt;0,IF(INDEX('Invullen groen'!$J:$J,$J58)&lt;&gt;0,INDEX('Invullen groen'!$J:$J,$J58),""),""),"")</f>
        <v/>
      </c>
      <c r="I58" s="537">
        <f>IFERROR(IF($J58&gt;0,IF(INDEX('Invullen groen'!$K:$K,$J58)&lt;&gt;0,INDEX('Invullen groen'!$K:$K,$J58),""),""),"")</f>
        <v/>
      </c>
      <c r="J58">
        <f>IFERROR(MATCH(ROW()-4,'Invullen groen'!$P$17:$P$272,0)+16,0)</f>
        <v/>
      </c>
    </row>
    <row r="59" hidden="1" ht="15" customHeight="1">
      <c r="A59" s="534">
        <f>IFERROR(IF($J59&gt;0,ROW()-4,""),"")</f>
        <v/>
      </c>
      <c r="B59" s="534">
        <f>IFERROR(IF($J59&gt;0,INDEX('Invullen groen'!$A:$A,$J59),""),"")</f>
        <v/>
      </c>
      <c r="C59" s="534">
        <f>IFERROR(IF($J59&gt;0,INDEX('Invullen groen'!$C:$C,$J59),""),"")</f>
        <v/>
      </c>
      <c r="D59" s="534">
        <f>IFERROR(IF($J59&gt;0,INDEX('Invullen groen'!$D:$D,$J59),""),"")</f>
        <v/>
      </c>
      <c r="E59" s="534">
        <f>IFERROR(IF($J59&gt;0,INDEX('Invullen groen'!$G:$G,$J59),""),"")</f>
        <v/>
      </c>
      <c r="F59" s="535">
        <f>IFERROR(IF($J59&gt;0,IF(INDEX('Invullen groen'!$H:$H,$J59)&lt;&gt;0,INDEX('Invullen groen'!$H:$H,$J59),""),""),"")</f>
        <v/>
      </c>
      <c r="G59" s="535">
        <f>IFERROR(IF($J59&gt;0,IF(INDEX('Invullen groen'!$I:$I,$J59)&lt;&gt;0,INDEX('Invullen groen'!$I:$I,$J59),""),""),"")</f>
        <v/>
      </c>
      <c r="H59" s="535">
        <f>IFERROR(IF($J59&gt;0,IF(INDEX('Invullen groen'!$J:$J,$J59)&lt;&gt;0,INDEX('Invullen groen'!$J:$J,$J59),""),""),"")</f>
        <v/>
      </c>
      <c r="I59" s="535">
        <f>IFERROR(IF($J59&gt;0,IF(INDEX('Invullen groen'!$K:$K,$J59)&lt;&gt;0,INDEX('Invullen groen'!$K:$K,$J59),""),""),"")</f>
        <v/>
      </c>
      <c r="J59">
        <f>IFERROR(MATCH(ROW()-4,'Invullen groen'!$P$17:$P$272,0)+16,0)</f>
        <v/>
      </c>
    </row>
    <row r="60" hidden="1" ht="15" customHeight="1">
      <c r="A60" s="536">
        <f>IFERROR(IF($J60&gt;0,ROW()-4,""),"")</f>
        <v/>
      </c>
      <c r="B60" s="536">
        <f>IFERROR(IF($J60&gt;0,INDEX('Invullen groen'!$A:$A,$J60),""),"")</f>
        <v/>
      </c>
      <c r="C60" s="536">
        <f>IFERROR(IF($J60&gt;0,INDEX('Invullen groen'!$C:$C,$J60),""),"")</f>
        <v/>
      </c>
      <c r="D60" s="536">
        <f>IFERROR(IF($J60&gt;0,INDEX('Invullen groen'!$D:$D,$J60),""),"")</f>
        <v/>
      </c>
      <c r="E60" s="536">
        <f>IFERROR(IF($J60&gt;0,INDEX('Invullen groen'!$G:$G,$J60),""),"")</f>
        <v/>
      </c>
      <c r="F60" s="537">
        <f>IFERROR(IF($J60&gt;0,IF(INDEX('Invullen groen'!$H:$H,$J60)&lt;&gt;0,INDEX('Invullen groen'!$H:$H,$J60),""),""),"")</f>
        <v/>
      </c>
      <c r="G60" s="537">
        <f>IFERROR(IF($J60&gt;0,IF(INDEX('Invullen groen'!$I:$I,$J60)&lt;&gt;0,INDEX('Invullen groen'!$I:$I,$J60),""),""),"")</f>
        <v/>
      </c>
      <c r="H60" s="537">
        <f>IFERROR(IF($J60&gt;0,IF(INDEX('Invullen groen'!$J:$J,$J60)&lt;&gt;0,INDEX('Invullen groen'!$J:$J,$J60),""),""),"")</f>
        <v/>
      </c>
      <c r="I60" s="537">
        <f>IFERROR(IF($J60&gt;0,IF(INDEX('Invullen groen'!$K:$K,$J60)&lt;&gt;0,INDEX('Invullen groen'!$K:$K,$J60),""),""),"")</f>
        <v/>
      </c>
      <c r="J60">
        <f>IFERROR(MATCH(ROW()-4,'Invullen groen'!$P$17:$P$272,0)+16,0)</f>
        <v/>
      </c>
    </row>
    <row r="61" hidden="1" ht="15" customHeight="1">
      <c r="A61" s="534">
        <f>IFERROR(IF($J61&gt;0,ROW()-4,""),"")</f>
        <v/>
      </c>
      <c r="B61" s="534">
        <f>IFERROR(IF($J61&gt;0,INDEX('Invullen groen'!$A:$A,$J61),""),"")</f>
        <v/>
      </c>
      <c r="C61" s="534">
        <f>IFERROR(IF($J61&gt;0,INDEX('Invullen groen'!$C:$C,$J61),""),"")</f>
        <v/>
      </c>
      <c r="D61" s="534">
        <f>IFERROR(IF($J61&gt;0,INDEX('Invullen groen'!$D:$D,$J61),""),"")</f>
        <v/>
      </c>
      <c r="E61" s="534">
        <f>IFERROR(IF($J61&gt;0,INDEX('Invullen groen'!$G:$G,$J61),""),"")</f>
        <v/>
      </c>
      <c r="F61" s="535">
        <f>IFERROR(IF($J61&gt;0,IF(INDEX('Invullen groen'!$H:$H,$J61)&lt;&gt;0,INDEX('Invullen groen'!$H:$H,$J61),""),""),"")</f>
        <v/>
      </c>
      <c r="G61" s="535">
        <f>IFERROR(IF($J61&gt;0,IF(INDEX('Invullen groen'!$I:$I,$J61)&lt;&gt;0,INDEX('Invullen groen'!$I:$I,$J61),""),""),"")</f>
        <v/>
      </c>
      <c r="H61" s="535">
        <f>IFERROR(IF($J61&gt;0,IF(INDEX('Invullen groen'!$J:$J,$J61)&lt;&gt;0,INDEX('Invullen groen'!$J:$J,$J61),""),""),"")</f>
        <v/>
      </c>
      <c r="I61" s="535">
        <f>IFERROR(IF($J61&gt;0,IF(INDEX('Invullen groen'!$K:$K,$J61)&lt;&gt;0,INDEX('Invullen groen'!$K:$K,$J61),""),""),"")</f>
        <v/>
      </c>
      <c r="J61">
        <f>IFERROR(MATCH(ROW()-4,'Invullen groen'!$P$17:$P$272,0)+16,0)</f>
        <v/>
      </c>
    </row>
    <row r="62" hidden="1" ht="15" customHeight="1">
      <c r="A62" s="536">
        <f>IFERROR(IF($J62&gt;0,ROW()-4,""),"")</f>
        <v/>
      </c>
      <c r="B62" s="536">
        <f>IFERROR(IF($J62&gt;0,INDEX('Invullen groen'!$A:$A,$J62),""),"")</f>
        <v/>
      </c>
      <c r="C62" s="536">
        <f>IFERROR(IF($J62&gt;0,INDEX('Invullen groen'!$C:$C,$J62),""),"")</f>
        <v/>
      </c>
      <c r="D62" s="536">
        <f>IFERROR(IF($J62&gt;0,INDEX('Invullen groen'!$D:$D,$J62),""),"")</f>
        <v/>
      </c>
      <c r="E62" s="536">
        <f>IFERROR(IF($J62&gt;0,INDEX('Invullen groen'!$G:$G,$J62),""),"")</f>
        <v/>
      </c>
      <c r="F62" s="537">
        <f>IFERROR(IF($J62&gt;0,IF(INDEX('Invullen groen'!$H:$H,$J62)&lt;&gt;0,INDEX('Invullen groen'!$H:$H,$J62),""),""),"")</f>
        <v/>
      </c>
      <c r="G62" s="537">
        <f>IFERROR(IF($J62&gt;0,IF(INDEX('Invullen groen'!$I:$I,$J62)&lt;&gt;0,INDEX('Invullen groen'!$I:$I,$J62),""),""),"")</f>
        <v/>
      </c>
      <c r="H62" s="537">
        <f>IFERROR(IF($J62&gt;0,IF(INDEX('Invullen groen'!$J:$J,$J62)&lt;&gt;0,INDEX('Invullen groen'!$J:$J,$J62),""),""),"")</f>
        <v/>
      </c>
      <c r="I62" s="537">
        <f>IFERROR(IF($J62&gt;0,IF(INDEX('Invullen groen'!$K:$K,$J62)&lt;&gt;0,INDEX('Invullen groen'!$K:$K,$J62),""),""),"")</f>
        <v/>
      </c>
      <c r="J62">
        <f>IFERROR(MATCH(ROW()-4,'Invullen groen'!$P$17:$P$272,0)+16,0)</f>
        <v/>
      </c>
    </row>
    <row r="63" hidden="1" ht="15" customHeight="1">
      <c r="A63" s="534">
        <f>IFERROR(IF($J63&gt;0,ROW()-4,""),"")</f>
        <v/>
      </c>
      <c r="B63" s="534">
        <f>IFERROR(IF($J63&gt;0,INDEX('Invullen groen'!$A:$A,$J63),""),"")</f>
        <v/>
      </c>
      <c r="C63" s="534">
        <f>IFERROR(IF($J63&gt;0,INDEX('Invullen groen'!$C:$C,$J63),""),"")</f>
        <v/>
      </c>
      <c r="D63" s="534">
        <f>IFERROR(IF($J63&gt;0,INDEX('Invullen groen'!$D:$D,$J63),""),"")</f>
        <v/>
      </c>
      <c r="E63" s="534">
        <f>IFERROR(IF($J63&gt;0,INDEX('Invullen groen'!$G:$G,$J63),""),"")</f>
        <v/>
      </c>
      <c r="F63" s="535">
        <f>IFERROR(IF($J63&gt;0,IF(INDEX('Invullen groen'!$H:$H,$J63)&lt;&gt;0,INDEX('Invullen groen'!$H:$H,$J63),""),""),"")</f>
        <v/>
      </c>
      <c r="G63" s="535">
        <f>IFERROR(IF($J63&gt;0,IF(INDEX('Invullen groen'!$I:$I,$J63)&lt;&gt;0,INDEX('Invullen groen'!$I:$I,$J63),""),""),"")</f>
        <v/>
      </c>
      <c r="H63" s="535">
        <f>IFERROR(IF($J63&gt;0,IF(INDEX('Invullen groen'!$J:$J,$J63)&lt;&gt;0,INDEX('Invullen groen'!$J:$J,$J63),""),""),"")</f>
        <v/>
      </c>
      <c r="I63" s="535">
        <f>IFERROR(IF($J63&gt;0,IF(INDEX('Invullen groen'!$K:$K,$J63)&lt;&gt;0,INDEX('Invullen groen'!$K:$K,$J63),""),""),"")</f>
        <v/>
      </c>
      <c r="J63">
        <f>IFERROR(MATCH(ROW()-4,'Invullen groen'!$P$17:$P$272,0)+16,0)</f>
        <v/>
      </c>
    </row>
    <row r="64" hidden="1" ht="15" customHeight="1">
      <c r="A64" s="536">
        <f>IFERROR(IF($J64&gt;0,ROW()-4,""),"")</f>
        <v/>
      </c>
      <c r="B64" s="536">
        <f>IFERROR(IF($J64&gt;0,INDEX('Invullen groen'!$A:$A,$J64),""),"")</f>
        <v/>
      </c>
      <c r="C64" s="536">
        <f>IFERROR(IF($J64&gt;0,INDEX('Invullen groen'!$C:$C,$J64),""),"")</f>
        <v/>
      </c>
      <c r="D64" s="536">
        <f>IFERROR(IF($J64&gt;0,INDEX('Invullen groen'!$D:$D,$J64),""),"")</f>
        <v/>
      </c>
      <c r="E64" s="536">
        <f>IFERROR(IF($J64&gt;0,INDEX('Invullen groen'!$G:$G,$J64),""),"")</f>
        <v/>
      </c>
      <c r="F64" s="537">
        <f>IFERROR(IF($J64&gt;0,IF(INDEX('Invullen groen'!$H:$H,$J64)&lt;&gt;0,INDEX('Invullen groen'!$H:$H,$J64),""),""),"")</f>
        <v/>
      </c>
      <c r="G64" s="537">
        <f>IFERROR(IF($J64&gt;0,IF(INDEX('Invullen groen'!$I:$I,$J64)&lt;&gt;0,INDEX('Invullen groen'!$I:$I,$J64),""),""),"")</f>
        <v/>
      </c>
      <c r="H64" s="537">
        <f>IFERROR(IF($J64&gt;0,IF(INDEX('Invullen groen'!$J:$J,$J64)&lt;&gt;0,INDEX('Invullen groen'!$J:$J,$J64),""),""),"")</f>
        <v/>
      </c>
      <c r="I64" s="537">
        <f>IFERROR(IF($J64&gt;0,IF(INDEX('Invullen groen'!$K:$K,$J64)&lt;&gt;0,INDEX('Invullen groen'!$K:$K,$J64),""),""),"")</f>
        <v/>
      </c>
      <c r="J64">
        <f>IFERROR(MATCH(ROW()-4,'Invullen groen'!$P$17:$P$272,0)+16,0)</f>
        <v/>
      </c>
    </row>
    <row r="65" hidden="1" ht="15" customHeight="1">
      <c r="A65" s="534">
        <f>IFERROR(IF($J65&gt;0,ROW()-4,""),"")</f>
        <v/>
      </c>
      <c r="B65" s="534">
        <f>IFERROR(IF($J65&gt;0,INDEX('Invullen groen'!$A:$A,$J65),""),"")</f>
        <v/>
      </c>
      <c r="C65" s="534">
        <f>IFERROR(IF($J65&gt;0,INDEX('Invullen groen'!$C:$C,$J65),""),"")</f>
        <v/>
      </c>
      <c r="D65" s="534">
        <f>IFERROR(IF($J65&gt;0,INDEX('Invullen groen'!$D:$D,$J65),""),"")</f>
        <v/>
      </c>
      <c r="E65" s="534">
        <f>IFERROR(IF($J65&gt;0,INDEX('Invullen groen'!$G:$G,$J65),""),"")</f>
        <v/>
      </c>
      <c r="F65" s="535">
        <f>IFERROR(IF($J65&gt;0,IF(INDEX('Invullen groen'!$H:$H,$J65)&lt;&gt;0,INDEX('Invullen groen'!$H:$H,$J65),""),""),"")</f>
        <v/>
      </c>
      <c r="G65" s="535">
        <f>IFERROR(IF($J65&gt;0,IF(INDEX('Invullen groen'!$I:$I,$J65)&lt;&gt;0,INDEX('Invullen groen'!$I:$I,$J65),""),""),"")</f>
        <v/>
      </c>
      <c r="H65" s="535">
        <f>IFERROR(IF($J65&gt;0,IF(INDEX('Invullen groen'!$J:$J,$J65)&lt;&gt;0,INDEX('Invullen groen'!$J:$J,$J65),""),""),"")</f>
        <v/>
      </c>
      <c r="I65" s="535">
        <f>IFERROR(IF($J65&gt;0,IF(INDEX('Invullen groen'!$K:$K,$J65)&lt;&gt;0,INDEX('Invullen groen'!$K:$K,$J65),""),""),"")</f>
        <v/>
      </c>
      <c r="J65">
        <f>IFERROR(MATCH(ROW()-4,'Invullen groen'!$P$17:$P$272,0)+16,0)</f>
        <v/>
      </c>
    </row>
    <row r="66" hidden="1" ht="15" customHeight="1">
      <c r="A66" s="536">
        <f>IFERROR(IF($J66&gt;0,ROW()-4,""),"")</f>
        <v/>
      </c>
      <c r="B66" s="536">
        <f>IFERROR(IF($J66&gt;0,INDEX('Invullen groen'!$A:$A,$J66),""),"")</f>
        <v/>
      </c>
      <c r="C66" s="536">
        <f>IFERROR(IF($J66&gt;0,INDEX('Invullen groen'!$C:$C,$J66),""),"")</f>
        <v/>
      </c>
      <c r="D66" s="536">
        <f>IFERROR(IF($J66&gt;0,INDEX('Invullen groen'!$D:$D,$J66),""),"")</f>
        <v/>
      </c>
      <c r="E66" s="536">
        <f>IFERROR(IF($J66&gt;0,INDEX('Invullen groen'!$G:$G,$J66),""),"")</f>
        <v/>
      </c>
      <c r="F66" s="537">
        <f>IFERROR(IF($J66&gt;0,IF(INDEX('Invullen groen'!$H:$H,$J66)&lt;&gt;0,INDEX('Invullen groen'!$H:$H,$J66),""),""),"")</f>
        <v/>
      </c>
      <c r="G66" s="537">
        <f>IFERROR(IF($J66&gt;0,IF(INDEX('Invullen groen'!$I:$I,$J66)&lt;&gt;0,INDEX('Invullen groen'!$I:$I,$J66),""),""),"")</f>
        <v/>
      </c>
      <c r="H66" s="537">
        <f>IFERROR(IF($J66&gt;0,IF(INDEX('Invullen groen'!$J:$J,$J66)&lt;&gt;0,INDEX('Invullen groen'!$J:$J,$J66),""),""),"")</f>
        <v/>
      </c>
      <c r="I66" s="537">
        <f>IFERROR(IF($J66&gt;0,IF(INDEX('Invullen groen'!$K:$K,$J66)&lt;&gt;0,INDEX('Invullen groen'!$K:$K,$J66),""),""),"")</f>
        <v/>
      </c>
      <c r="J66">
        <f>IFERROR(MATCH(ROW()-4,'Invullen groen'!$P$17:$P$272,0)+16,0)</f>
        <v/>
      </c>
    </row>
    <row r="67" hidden="1" ht="15" customHeight="1">
      <c r="A67" s="534">
        <f>IFERROR(IF($J67&gt;0,ROW()-4,""),"")</f>
        <v/>
      </c>
      <c r="B67" s="534">
        <f>IFERROR(IF($J67&gt;0,INDEX('Invullen groen'!$A:$A,$J67),""),"")</f>
        <v/>
      </c>
      <c r="C67" s="534">
        <f>IFERROR(IF($J67&gt;0,INDEX('Invullen groen'!$C:$C,$J67),""),"")</f>
        <v/>
      </c>
      <c r="D67" s="534">
        <f>IFERROR(IF($J67&gt;0,INDEX('Invullen groen'!$D:$D,$J67),""),"")</f>
        <v/>
      </c>
      <c r="E67" s="534">
        <f>IFERROR(IF($J67&gt;0,INDEX('Invullen groen'!$G:$G,$J67),""),"")</f>
        <v/>
      </c>
      <c r="F67" s="535">
        <f>IFERROR(IF($J67&gt;0,IF(INDEX('Invullen groen'!$H:$H,$J67)&lt;&gt;0,INDEX('Invullen groen'!$H:$H,$J67),""),""),"")</f>
        <v/>
      </c>
      <c r="G67" s="535">
        <f>IFERROR(IF($J67&gt;0,IF(INDEX('Invullen groen'!$I:$I,$J67)&lt;&gt;0,INDEX('Invullen groen'!$I:$I,$J67),""),""),"")</f>
        <v/>
      </c>
      <c r="H67" s="535">
        <f>IFERROR(IF($J67&gt;0,IF(INDEX('Invullen groen'!$J:$J,$J67)&lt;&gt;0,INDEX('Invullen groen'!$J:$J,$J67),""),""),"")</f>
        <v/>
      </c>
      <c r="I67" s="535">
        <f>IFERROR(IF($J67&gt;0,IF(INDEX('Invullen groen'!$K:$K,$J67)&lt;&gt;0,INDEX('Invullen groen'!$K:$K,$J67),""),""),"")</f>
        <v/>
      </c>
      <c r="J67">
        <f>IFERROR(MATCH(ROW()-4,'Invullen groen'!$P$17:$P$272,0)+16,0)</f>
        <v/>
      </c>
    </row>
    <row r="68" hidden="1" ht="15" customHeight="1">
      <c r="A68" s="536">
        <f>IFERROR(IF($J68&gt;0,ROW()-4,""),"")</f>
        <v/>
      </c>
      <c r="B68" s="536">
        <f>IFERROR(IF($J68&gt;0,INDEX('Invullen groen'!$A:$A,$J68),""),"")</f>
        <v/>
      </c>
      <c r="C68" s="536">
        <f>IFERROR(IF($J68&gt;0,INDEX('Invullen groen'!$C:$C,$J68),""),"")</f>
        <v/>
      </c>
      <c r="D68" s="536">
        <f>IFERROR(IF($J68&gt;0,INDEX('Invullen groen'!$D:$D,$J68),""),"")</f>
        <v/>
      </c>
      <c r="E68" s="536">
        <f>IFERROR(IF($J68&gt;0,INDEX('Invullen groen'!$G:$G,$J68),""),"")</f>
        <v/>
      </c>
      <c r="F68" s="537">
        <f>IFERROR(IF($J68&gt;0,IF(INDEX('Invullen groen'!$H:$H,$J68)&lt;&gt;0,INDEX('Invullen groen'!$H:$H,$J68),""),""),"")</f>
        <v/>
      </c>
      <c r="G68" s="537">
        <f>IFERROR(IF($J68&gt;0,IF(INDEX('Invullen groen'!$I:$I,$J68)&lt;&gt;0,INDEX('Invullen groen'!$I:$I,$J68),""),""),"")</f>
        <v/>
      </c>
      <c r="H68" s="537">
        <f>IFERROR(IF($J68&gt;0,IF(INDEX('Invullen groen'!$J:$J,$J68)&lt;&gt;0,INDEX('Invullen groen'!$J:$J,$J68),""),""),"")</f>
        <v/>
      </c>
      <c r="I68" s="537">
        <f>IFERROR(IF($J68&gt;0,IF(INDEX('Invullen groen'!$K:$K,$J68)&lt;&gt;0,INDEX('Invullen groen'!$K:$K,$J68),""),""),"")</f>
        <v/>
      </c>
      <c r="J68">
        <f>IFERROR(MATCH(ROW()-4,'Invullen groen'!$P$17:$P$272,0)+16,0)</f>
        <v/>
      </c>
    </row>
    <row r="69" hidden="1" ht="15" customHeight="1">
      <c r="A69" s="534">
        <f>IFERROR(IF($J69&gt;0,ROW()-4,""),"")</f>
        <v/>
      </c>
      <c r="B69" s="534">
        <f>IFERROR(IF($J69&gt;0,INDEX('Invullen groen'!$A:$A,$J69),""),"")</f>
        <v/>
      </c>
      <c r="C69" s="534">
        <f>IFERROR(IF($J69&gt;0,INDEX('Invullen groen'!$C:$C,$J69),""),"")</f>
        <v/>
      </c>
      <c r="D69" s="534">
        <f>IFERROR(IF($J69&gt;0,INDEX('Invullen groen'!$D:$D,$J69),""),"")</f>
        <v/>
      </c>
      <c r="E69" s="534">
        <f>IFERROR(IF($J69&gt;0,INDEX('Invullen groen'!$G:$G,$J69),""),"")</f>
        <v/>
      </c>
      <c r="F69" s="535">
        <f>IFERROR(IF($J69&gt;0,IF(INDEX('Invullen groen'!$H:$H,$J69)&lt;&gt;0,INDEX('Invullen groen'!$H:$H,$J69),""),""),"")</f>
        <v/>
      </c>
      <c r="G69" s="535">
        <f>IFERROR(IF($J69&gt;0,IF(INDEX('Invullen groen'!$I:$I,$J69)&lt;&gt;0,INDEX('Invullen groen'!$I:$I,$J69),""),""),"")</f>
        <v/>
      </c>
      <c r="H69" s="535">
        <f>IFERROR(IF($J69&gt;0,IF(INDEX('Invullen groen'!$J:$J,$J69)&lt;&gt;0,INDEX('Invullen groen'!$J:$J,$J69),""),""),"")</f>
        <v/>
      </c>
      <c r="I69" s="535">
        <f>IFERROR(IF($J69&gt;0,IF(INDEX('Invullen groen'!$K:$K,$J69)&lt;&gt;0,INDEX('Invullen groen'!$K:$K,$J69),""),""),"")</f>
        <v/>
      </c>
      <c r="J69">
        <f>IFERROR(MATCH(ROW()-4,'Invullen groen'!$P$17:$P$272,0)+16,0)</f>
        <v/>
      </c>
    </row>
    <row r="70" hidden="1" ht="15" customHeight="1">
      <c r="A70" s="536">
        <f>IFERROR(IF($J70&gt;0,ROW()-4,""),"")</f>
        <v/>
      </c>
      <c r="B70" s="536">
        <f>IFERROR(IF($J70&gt;0,INDEX('Invullen groen'!$A:$A,$J70),""),"")</f>
        <v/>
      </c>
      <c r="C70" s="536">
        <f>IFERROR(IF($J70&gt;0,INDEX('Invullen groen'!$C:$C,$J70),""),"")</f>
        <v/>
      </c>
      <c r="D70" s="536">
        <f>IFERROR(IF($J70&gt;0,INDEX('Invullen groen'!$D:$D,$J70),""),"")</f>
        <v/>
      </c>
      <c r="E70" s="536">
        <f>IFERROR(IF($J70&gt;0,INDEX('Invullen groen'!$G:$G,$J70),""),"")</f>
        <v/>
      </c>
      <c r="F70" s="537">
        <f>IFERROR(IF($J70&gt;0,IF(INDEX('Invullen groen'!$H:$H,$J70)&lt;&gt;0,INDEX('Invullen groen'!$H:$H,$J70),""),""),"")</f>
        <v/>
      </c>
      <c r="G70" s="537">
        <f>IFERROR(IF($J70&gt;0,IF(INDEX('Invullen groen'!$I:$I,$J70)&lt;&gt;0,INDEX('Invullen groen'!$I:$I,$J70),""),""),"")</f>
        <v/>
      </c>
      <c r="H70" s="537">
        <f>IFERROR(IF($J70&gt;0,IF(INDEX('Invullen groen'!$J:$J,$J70)&lt;&gt;0,INDEX('Invullen groen'!$J:$J,$J70),""),""),"")</f>
        <v/>
      </c>
      <c r="I70" s="537">
        <f>IFERROR(IF($J70&gt;0,IF(INDEX('Invullen groen'!$K:$K,$J70)&lt;&gt;0,INDEX('Invullen groen'!$K:$K,$J70),""),""),"")</f>
        <v/>
      </c>
      <c r="J70">
        <f>IFERROR(MATCH(ROW()-4,'Invullen groen'!$P$17:$P$272,0)+16,0)</f>
        <v/>
      </c>
    </row>
    <row r="71" hidden="1" ht="15" customHeight="1">
      <c r="A71" s="534">
        <f>IFERROR(IF($J71&gt;0,ROW()-4,""),"")</f>
        <v/>
      </c>
      <c r="B71" s="534">
        <f>IFERROR(IF($J71&gt;0,INDEX('Invullen groen'!$A:$A,$J71),""),"")</f>
        <v/>
      </c>
      <c r="C71" s="534">
        <f>IFERROR(IF($J71&gt;0,INDEX('Invullen groen'!$C:$C,$J71),""),"")</f>
        <v/>
      </c>
      <c r="D71" s="534">
        <f>IFERROR(IF($J71&gt;0,INDEX('Invullen groen'!$D:$D,$J71),""),"")</f>
        <v/>
      </c>
      <c r="E71" s="534">
        <f>IFERROR(IF($J71&gt;0,INDEX('Invullen groen'!$G:$G,$J71),""),"")</f>
        <v/>
      </c>
      <c r="F71" s="535">
        <f>IFERROR(IF($J71&gt;0,IF(INDEX('Invullen groen'!$H:$H,$J71)&lt;&gt;0,INDEX('Invullen groen'!$H:$H,$J71),""),""),"")</f>
        <v/>
      </c>
      <c r="G71" s="535">
        <f>IFERROR(IF($J71&gt;0,IF(INDEX('Invullen groen'!$I:$I,$J71)&lt;&gt;0,INDEX('Invullen groen'!$I:$I,$J71),""),""),"")</f>
        <v/>
      </c>
      <c r="H71" s="535">
        <f>IFERROR(IF($J71&gt;0,IF(INDEX('Invullen groen'!$J:$J,$J71)&lt;&gt;0,INDEX('Invullen groen'!$J:$J,$J71),""),""),"")</f>
        <v/>
      </c>
      <c r="I71" s="535">
        <f>IFERROR(IF($J71&gt;0,IF(INDEX('Invullen groen'!$K:$K,$J71)&lt;&gt;0,INDEX('Invullen groen'!$K:$K,$J71),""),""),"")</f>
        <v/>
      </c>
      <c r="J71">
        <f>IFERROR(MATCH(ROW()-4,'Invullen groen'!$P$17:$P$272,0)+16,0)</f>
        <v/>
      </c>
    </row>
    <row r="72" hidden="1" ht="15" customHeight="1">
      <c r="A72" s="536">
        <f>IFERROR(IF($J72&gt;0,ROW()-4,""),"")</f>
        <v/>
      </c>
      <c r="B72" s="536">
        <f>IFERROR(IF($J72&gt;0,INDEX('Invullen groen'!$A:$A,$J72),""),"")</f>
        <v/>
      </c>
      <c r="C72" s="536">
        <f>IFERROR(IF($J72&gt;0,INDEX('Invullen groen'!$C:$C,$J72),""),"")</f>
        <v/>
      </c>
      <c r="D72" s="536">
        <f>IFERROR(IF($J72&gt;0,INDEX('Invullen groen'!$D:$D,$J72),""),"")</f>
        <v/>
      </c>
      <c r="E72" s="536">
        <f>IFERROR(IF($J72&gt;0,INDEX('Invullen groen'!$G:$G,$J72),""),"")</f>
        <v/>
      </c>
      <c r="F72" s="537">
        <f>IFERROR(IF($J72&gt;0,IF(INDEX('Invullen groen'!$H:$H,$J72)&lt;&gt;0,INDEX('Invullen groen'!$H:$H,$J72),""),""),"")</f>
        <v/>
      </c>
      <c r="G72" s="537">
        <f>IFERROR(IF($J72&gt;0,IF(INDEX('Invullen groen'!$I:$I,$J72)&lt;&gt;0,INDEX('Invullen groen'!$I:$I,$J72),""),""),"")</f>
        <v/>
      </c>
      <c r="H72" s="537">
        <f>IFERROR(IF($J72&gt;0,IF(INDEX('Invullen groen'!$J:$J,$J72)&lt;&gt;0,INDEX('Invullen groen'!$J:$J,$J72),""),""),"")</f>
        <v/>
      </c>
      <c r="I72" s="537">
        <f>IFERROR(IF($J72&gt;0,IF(INDEX('Invullen groen'!$K:$K,$J72)&lt;&gt;0,INDEX('Invullen groen'!$K:$K,$J72),""),""),"")</f>
        <v/>
      </c>
      <c r="J72">
        <f>IFERROR(MATCH(ROW()-4,'Invullen groen'!$P$17:$P$272,0)+16,0)</f>
        <v/>
      </c>
    </row>
    <row r="73" hidden="1" ht="15" customHeight="1">
      <c r="A73" s="534">
        <f>IFERROR(IF($J73&gt;0,ROW()-4,""),"")</f>
        <v/>
      </c>
      <c r="B73" s="534">
        <f>IFERROR(IF($J73&gt;0,INDEX('Invullen groen'!$A:$A,$J73),""),"")</f>
        <v/>
      </c>
      <c r="C73" s="534">
        <f>IFERROR(IF($J73&gt;0,INDEX('Invullen groen'!$C:$C,$J73),""),"")</f>
        <v/>
      </c>
      <c r="D73" s="534">
        <f>IFERROR(IF($J73&gt;0,INDEX('Invullen groen'!$D:$D,$J73),""),"")</f>
        <v/>
      </c>
      <c r="E73" s="534">
        <f>IFERROR(IF($J73&gt;0,INDEX('Invullen groen'!$G:$G,$J73),""),"")</f>
        <v/>
      </c>
      <c r="F73" s="535">
        <f>IFERROR(IF($J73&gt;0,IF(INDEX('Invullen groen'!$H:$H,$J73)&lt;&gt;0,INDEX('Invullen groen'!$H:$H,$J73),""),""),"")</f>
        <v/>
      </c>
      <c r="G73" s="535">
        <f>IFERROR(IF($J73&gt;0,IF(INDEX('Invullen groen'!$I:$I,$J73)&lt;&gt;0,INDEX('Invullen groen'!$I:$I,$J73),""),""),"")</f>
        <v/>
      </c>
      <c r="H73" s="535">
        <f>IFERROR(IF($J73&gt;0,IF(INDEX('Invullen groen'!$J:$J,$J73)&lt;&gt;0,INDEX('Invullen groen'!$J:$J,$J73),""),""),"")</f>
        <v/>
      </c>
      <c r="I73" s="535">
        <f>IFERROR(IF($J73&gt;0,IF(INDEX('Invullen groen'!$K:$K,$J73)&lt;&gt;0,INDEX('Invullen groen'!$K:$K,$J73),""),""),"")</f>
        <v/>
      </c>
      <c r="J73">
        <f>IFERROR(MATCH(ROW()-4,'Invullen groen'!$P$17:$P$272,0)+16,0)</f>
        <v/>
      </c>
    </row>
    <row r="74" hidden="1" ht="15" customHeight="1">
      <c r="A74" s="536">
        <f>IFERROR(IF($J74&gt;0,ROW()-4,""),"")</f>
        <v/>
      </c>
      <c r="B74" s="536">
        <f>IFERROR(IF($J74&gt;0,INDEX('Invullen groen'!$A:$A,$J74),""),"")</f>
        <v/>
      </c>
      <c r="C74" s="536">
        <f>IFERROR(IF($J74&gt;0,INDEX('Invullen groen'!$C:$C,$J74),""),"")</f>
        <v/>
      </c>
      <c r="D74" s="536">
        <f>IFERROR(IF($J74&gt;0,INDEX('Invullen groen'!$D:$D,$J74),""),"")</f>
        <v/>
      </c>
      <c r="E74" s="536">
        <f>IFERROR(IF($J74&gt;0,INDEX('Invullen groen'!$G:$G,$J74),""),"")</f>
        <v/>
      </c>
      <c r="F74" s="537">
        <f>IFERROR(IF($J74&gt;0,IF(INDEX('Invullen groen'!$H:$H,$J74)&lt;&gt;0,INDEX('Invullen groen'!$H:$H,$J74),""),""),"")</f>
        <v/>
      </c>
      <c r="G74" s="537">
        <f>IFERROR(IF($J74&gt;0,IF(INDEX('Invullen groen'!$I:$I,$J74)&lt;&gt;0,INDEX('Invullen groen'!$I:$I,$J74),""),""),"")</f>
        <v/>
      </c>
      <c r="H74" s="537">
        <f>IFERROR(IF($J74&gt;0,IF(INDEX('Invullen groen'!$J:$J,$J74)&lt;&gt;0,INDEX('Invullen groen'!$J:$J,$J74),""),""),"")</f>
        <v/>
      </c>
      <c r="I74" s="537">
        <f>IFERROR(IF($J74&gt;0,IF(INDEX('Invullen groen'!$K:$K,$J74)&lt;&gt;0,INDEX('Invullen groen'!$K:$K,$J74),""),""),"")</f>
        <v/>
      </c>
      <c r="J74">
        <f>IFERROR(MATCH(ROW()-4,'Invullen groen'!$P$17:$P$272,0)+16,0)</f>
        <v/>
      </c>
    </row>
    <row r="75" hidden="1" ht="15" customHeight="1">
      <c r="A75" s="534">
        <f>IFERROR(IF($J75&gt;0,ROW()-4,""),"")</f>
        <v/>
      </c>
      <c r="B75" s="534">
        <f>IFERROR(IF($J75&gt;0,INDEX('Invullen groen'!$A:$A,$J75),""),"")</f>
        <v/>
      </c>
      <c r="C75" s="534">
        <f>IFERROR(IF($J75&gt;0,INDEX('Invullen groen'!$C:$C,$J75),""),"")</f>
        <v/>
      </c>
      <c r="D75" s="534">
        <f>IFERROR(IF($J75&gt;0,INDEX('Invullen groen'!$D:$D,$J75),""),"")</f>
        <v/>
      </c>
      <c r="E75" s="534">
        <f>IFERROR(IF($J75&gt;0,INDEX('Invullen groen'!$G:$G,$J75),""),"")</f>
        <v/>
      </c>
      <c r="F75" s="535">
        <f>IFERROR(IF($J75&gt;0,IF(INDEX('Invullen groen'!$H:$H,$J75)&lt;&gt;0,INDEX('Invullen groen'!$H:$H,$J75),""),""),"")</f>
        <v/>
      </c>
      <c r="G75" s="535">
        <f>IFERROR(IF($J75&gt;0,IF(INDEX('Invullen groen'!$I:$I,$J75)&lt;&gt;0,INDEX('Invullen groen'!$I:$I,$J75),""),""),"")</f>
        <v/>
      </c>
      <c r="H75" s="535">
        <f>IFERROR(IF($J75&gt;0,IF(INDEX('Invullen groen'!$J:$J,$J75)&lt;&gt;0,INDEX('Invullen groen'!$J:$J,$J75),""),""),"")</f>
        <v/>
      </c>
      <c r="I75" s="535">
        <f>IFERROR(IF($J75&gt;0,IF(INDEX('Invullen groen'!$K:$K,$J75)&lt;&gt;0,INDEX('Invullen groen'!$K:$K,$J75),""),""),"")</f>
        <v/>
      </c>
      <c r="J75">
        <f>IFERROR(MATCH(ROW()-4,'Invullen groen'!$P$17:$P$272,0)+16,0)</f>
        <v/>
      </c>
    </row>
    <row r="76" hidden="1" ht="15" customHeight="1">
      <c r="A76" s="536">
        <f>IFERROR(IF($J76&gt;0,ROW()-4,""),"")</f>
        <v/>
      </c>
      <c r="B76" s="536">
        <f>IFERROR(IF($J76&gt;0,INDEX('Invullen groen'!$A:$A,$J76),""),"")</f>
        <v/>
      </c>
      <c r="C76" s="536">
        <f>IFERROR(IF($J76&gt;0,INDEX('Invullen groen'!$C:$C,$J76),""),"")</f>
        <v/>
      </c>
      <c r="D76" s="536">
        <f>IFERROR(IF($J76&gt;0,INDEX('Invullen groen'!$D:$D,$J76),""),"")</f>
        <v/>
      </c>
      <c r="E76" s="536">
        <f>IFERROR(IF($J76&gt;0,INDEX('Invullen groen'!$G:$G,$J76),""),"")</f>
        <v/>
      </c>
      <c r="F76" s="537">
        <f>IFERROR(IF($J76&gt;0,IF(INDEX('Invullen groen'!$H:$H,$J76)&lt;&gt;0,INDEX('Invullen groen'!$H:$H,$J76),""),""),"")</f>
        <v/>
      </c>
      <c r="G76" s="537">
        <f>IFERROR(IF($J76&gt;0,IF(INDEX('Invullen groen'!$I:$I,$J76)&lt;&gt;0,INDEX('Invullen groen'!$I:$I,$J76),""),""),"")</f>
        <v/>
      </c>
      <c r="H76" s="537">
        <f>IFERROR(IF($J76&gt;0,IF(INDEX('Invullen groen'!$J:$J,$J76)&lt;&gt;0,INDEX('Invullen groen'!$J:$J,$J76),""),""),"")</f>
        <v/>
      </c>
      <c r="I76" s="537">
        <f>IFERROR(IF($J76&gt;0,IF(INDEX('Invullen groen'!$K:$K,$J76)&lt;&gt;0,INDEX('Invullen groen'!$K:$K,$J76),""),""),"")</f>
        <v/>
      </c>
      <c r="J76">
        <f>IFERROR(MATCH(ROW()-4,'Invullen groen'!$P$17:$P$272,0)+16,0)</f>
        <v/>
      </c>
    </row>
    <row r="77" hidden="1" ht="15" customHeight="1">
      <c r="A77" s="534">
        <f>IFERROR(IF($J77&gt;0,ROW()-4,""),"")</f>
        <v/>
      </c>
      <c r="B77" s="534">
        <f>IFERROR(IF($J77&gt;0,INDEX('Invullen groen'!$A:$A,$J77),""),"")</f>
        <v/>
      </c>
      <c r="C77" s="534">
        <f>IFERROR(IF($J77&gt;0,INDEX('Invullen groen'!$C:$C,$J77),""),"")</f>
        <v/>
      </c>
      <c r="D77" s="534">
        <f>IFERROR(IF($J77&gt;0,INDEX('Invullen groen'!$D:$D,$J77),""),"")</f>
        <v/>
      </c>
      <c r="E77" s="534">
        <f>IFERROR(IF($J77&gt;0,INDEX('Invullen groen'!$G:$G,$J77),""),"")</f>
        <v/>
      </c>
      <c r="F77" s="535">
        <f>IFERROR(IF($J77&gt;0,IF(INDEX('Invullen groen'!$H:$H,$J77)&lt;&gt;0,INDEX('Invullen groen'!$H:$H,$J77),""),""),"")</f>
        <v/>
      </c>
      <c r="G77" s="535">
        <f>IFERROR(IF($J77&gt;0,IF(INDEX('Invullen groen'!$I:$I,$J77)&lt;&gt;0,INDEX('Invullen groen'!$I:$I,$J77),""),""),"")</f>
        <v/>
      </c>
      <c r="H77" s="535">
        <f>IFERROR(IF($J77&gt;0,IF(INDEX('Invullen groen'!$J:$J,$J77)&lt;&gt;0,INDEX('Invullen groen'!$J:$J,$J77),""),""),"")</f>
        <v/>
      </c>
      <c r="I77" s="535">
        <f>IFERROR(IF($J77&gt;0,IF(INDEX('Invullen groen'!$K:$K,$J77)&lt;&gt;0,INDEX('Invullen groen'!$K:$K,$J77),""),""),"")</f>
        <v/>
      </c>
      <c r="J77">
        <f>IFERROR(MATCH(ROW()-4,'Invullen groen'!$P$17:$P$272,0)+16,0)</f>
        <v/>
      </c>
    </row>
    <row r="78" hidden="1" ht="15" customHeight="1">
      <c r="A78" s="536">
        <f>IFERROR(IF($J78&gt;0,ROW()-4,""),"")</f>
        <v/>
      </c>
      <c r="B78" s="536">
        <f>IFERROR(IF($J78&gt;0,INDEX('Invullen groen'!$A:$A,$J78),""),"")</f>
        <v/>
      </c>
      <c r="C78" s="536">
        <f>IFERROR(IF($J78&gt;0,INDEX('Invullen groen'!$C:$C,$J78),""),"")</f>
        <v/>
      </c>
      <c r="D78" s="536">
        <f>IFERROR(IF($J78&gt;0,INDEX('Invullen groen'!$D:$D,$J78),""),"")</f>
        <v/>
      </c>
      <c r="E78" s="536">
        <f>IFERROR(IF($J78&gt;0,INDEX('Invullen groen'!$G:$G,$J78),""),"")</f>
        <v/>
      </c>
      <c r="F78" s="537">
        <f>IFERROR(IF($J78&gt;0,IF(INDEX('Invullen groen'!$H:$H,$J78)&lt;&gt;0,INDEX('Invullen groen'!$H:$H,$J78),""),""),"")</f>
        <v/>
      </c>
      <c r="G78" s="537">
        <f>IFERROR(IF($J78&gt;0,IF(INDEX('Invullen groen'!$I:$I,$J78)&lt;&gt;0,INDEX('Invullen groen'!$I:$I,$J78),""),""),"")</f>
        <v/>
      </c>
      <c r="H78" s="537">
        <f>IFERROR(IF($J78&gt;0,IF(INDEX('Invullen groen'!$J:$J,$J78)&lt;&gt;0,INDEX('Invullen groen'!$J:$J,$J78),""),""),"")</f>
        <v/>
      </c>
      <c r="I78" s="537">
        <f>IFERROR(IF($J78&gt;0,IF(INDEX('Invullen groen'!$K:$K,$J78)&lt;&gt;0,INDEX('Invullen groen'!$K:$K,$J78),""),""),"")</f>
        <v/>
      </c>
      <c r="J78">
        <f>IFERROR(MATCH(ROW()-4,'Invullen groen'!$P$17:$P$272,0)+16,0)</f>
        <v/>
      </c>
    </row>
    <row r="79" hidden="1" ht="15" customHeight="1">
      <c r="A79" s="534">
        <f>IFERROR(IF($J79&gt;0,ROW()-4,""),"")</f>
        <v/>
      </c>
      <c r="B79" s="534">
        <f>IFERROR(IF($J79&gt;0,INDEX('Invullen groen'!$A:$A,$J79),""),"")</f>
        <v/>
      </c>
      <c r="C79" s="534">
        <f>IFERROR(IF($J79&gt;0,INDEX('Invullen groen'!$C:$C,$J79),""),"")</f>
        <v/>
      </c>
      <c r="D79" s="534">
        <f>IFERROR(IF($J79&gt;0,INDEX('Invullen groen'!$D:$D,$J79),""),"")</f>
        <v/>
      </c>
      <c r="E79" s="534">
        <f>IFERROR(IF($J79&gt;0,INDEX('Invullen groen'!$G:$G,$J79),""),"")</f>
        <v/>
      </c>
      <c r="F79" s="535">
        <f>IFERROR(IF($J79&gt;0,IF(INDEX('Invullen groen'!$H:$H,$J79)&lt;&gt;0,INDEX('Invullen groen'!$H:$H,$J79),""),""),"")</f>
        <v/>
      </c>
      <c r="G79" s="535">
        <f>IFERROR(IF($J79&gt;0,IF(INDEX('Invullen groen'!$I:$I,$J79)&lt;&gt;0,INDEX('Invullen groen'!$I:$I,$J79),""),""),"")</f>
        <v/>
      </c>
      <c r="H79" s="535">
        <f>IFERROR(IF($J79&gt;0,IF(INDEX('Invullen groen'!$J:$J,$J79)&lt;&gt;0,INDEX('Invullen groen'!$J:$J,$J79),""),""),"")</f>
        <v/>
      </c>
      <c r="I79" s="535">
        <f>IFERROR(IF($J79&gt;0,IF(INDEX('Invullen groen'!$K:$K,$J79)&lt;&gt;0,INDEX('Invullen groen'!$K:$K,$J79),""),""),"")</f>
        <v/>
      </c>
      <c r="J79">
        <f>IFERROR(MATCH(ROW()-4,'Invullen groen'!$P$17:$P$272,0)+16,0)</f>
        <v/>
      </c>
    </row>
    <row r="80" hidden="1" ht="15" customHeight="1">
      <c r="A80" s="536">
        <f>IFERROR(IF($J80&gt;0,ROW()-4,""),"")</f>
        <v/>
      </c>
      <c r="B80" s="536">
        <f>IFERROR(IF($J80&gt;0,INDEX('Invullen groen'!$A:$A,$J80),""),"")</f>
        <v/>
      </c>
      <c r="C80" s="536">
        <f>IFERROR(IF($J80&gt;0,INDEX('Invullen groen'!$C:$C,$J80),""),"")</f>
        <v/>
      </c>
      <c r="D80" s="536">
        <f>IFERROR(IF($J80&gt;0,INDEX('Invullen groen'!$D:$D,$J80),""),"")</f>
        <v/>
      </c>
      <c r="E80" s="536">
        <f>IFERROR(IF($J80&gt;0,INDEX('Invullen groen'!$G:$G,$J80),""),"")</f>
        <v/>
      </c>
      <c r="F80" s="537">
        <f>IFERROR(IF($J80&gt;0,IF(INDEX('Invullen groen'!$H:$H,$J80)&lt;&gt;0,INDEX('Invullen groen'!$H:$H,$J80),""),""),"")</f>
        <v/>
      </c>
      <c r="G80" s="537">
        <f>IFERROR(IF($J80&gt;0,IF(INDEX('Invullen groen'!$I:$I,$J80)&lt;&gt;0,INDEX('Invullen groen'!$I:$I,$J80),""),""),"")</f>
        <v/>
      </c>
      <c r="H80" s="537">
        <f>IFERROR(IF($J80&gt;0,IF(INDEX('Invullen groen'!$J:$J,$J80)&lt;&gt;0,INDEX('Invullen groen'!$J:$J,$J80),""),""),"")</f>
        <v/>
      </c>
      <c r="I80" s="537">
        <f>IFERROR(IF($J80&gt;0,IF(INDEX('Invullen groen'!$K:$K,$J80)&lt;&gt;0,INDEX('Invullen groen'!$K:$K,$J80),""),""),"")</f>
        <v/>
      </c>
      <c r="J80">
        <f>IFERROR(MATCH(ROW()-4,'Invullen groen'!$P$17:$P$272,0)+16,0)</f>
        <v/>
      </c>
    </row>
    <row r="81" hidden="1" ht="15" customHeight="1">
      <c r="A81" s="534">
        <f>IFERROR(IF($J81&gt;0,ROW()-4,""),"")</f>
        <v/>
      </c>
      <c r="B81" s="534">
        <f>IFERROR(IF($J81&gt;0,INDEX('Invullen groen'!$A:$A,$J81),""),"")</f>
        <v/>
      </c>
      <c r="C81" s="534">
        <f>IFERROR(IF($J81&gt;0,INDEX('Invullen groen'!$C:$C,$J81),""),"")</f>
        <v/>
      </c>
      <c r="D81" s="534">
        <f>IFERROR(IF($J81&gt;0,INDEX('Invullen groen'!$D:$D,$J81),""),"")</f>
        <v/>
      </c>
      <c r="E81" s="534">
        <f>IFERROR(IF($J81&gt;0,INDEX('Invullen groen'!$G:$G,$J81),""),"")</f>
        <v/>
      </c>
      <c r="F81" s="535">
        <f>IFERROR(IF($J81&gt;0,IF(INDEX('Invullen groen'!$H:$H,$J81)&lt;&gt;0,INDEX('Invullen groen'!$H:$H,$J81),""),""),"")</f>
        <v/>
      </c>
      <c r="G81" s="535">
        <f>IFERROR(IF($J81&gt;0,IF(INDEX('Invullen groen'!$I:$I,$J81)&lt;&gt;0,INDEX('Invullen groen'!$I:$I,$J81),""),""),"")</f>
        <v/>
      </c>
      <c r="H81" s="535">
        <f>IFERROR(IF($J81&gt;0,IF(INDEX('Invullen groen'!$J:$J,$J81)&lt;&gt;0,INDEX('Invullen groen'!$J:$J,$J81),""),""),"")</f>
        <v/>
      </c>
      <c r="I81" s="535">
        <f>IFERROR(IF($J81&gt;0,IF(INDEX('Invullen groen'!$K:$K,$J81)&lt;&gt;0,INDEX('Invullen groen'!$K:$K,$J81),""),""),"")</f>
        <v/>
      </c>
      <c r="J81">
        <f>IFERROR(MATCH(ROW()-4,'Invullen groen'!$P$17:$P$272,0)+16,0)</f>
        <v/>
      </c>
    </row>
    <row r="82" hidden="1" ht="15" customHeight="1">
      <c r="A82" s="536">
        <f>IFERROR(IF($J82&gt;0,ROW()-4,""),"")</f>
        <v/>
      </c>
      <c r="B82" s="536">
        <f>IFERROR(IF($J82&gt;0,INDEX('Invullen groen'!$A:$A,$J82),""),"")</f>
        <v/>
      </c>
      <c r="C82" s="536">
        <f>IFERROR(IF($J82&gt;0,INDEX('Invullen groen'!$C:$C,$J82),""),"")</f>
        <v/>
      </c>
      <c r="D82" s="536">
        <f>IFERROR(IF($J82&gt;0,INDEX('Invullen groen'!$D:$D,$J82),""),"")</f>
        <v/>
      </c>
      <c r="E82" s="536">
        <f>IFERROR(IF($J82&gt;0,INDEX('Invullen groen'!$G:$G,$J82),""),"")</f>
        <v/>
      </c>
      <c r="F82" s="537">
        <f>IFERROR(IF($J82&gt;0,IF(INDEX('Invullen groen'!$H:$H,$J82)&lt;&gt;0,INDEX('Invullen groen'!$H:$H,$J82),""),""),"")</f>
        <v/>
      </c>
      <c r="G82" s="537">
        <f>IFERROR(IF($J82&gt;0,IF(INDEX('Invullen groen'!$I:$I,$J82)&lt;&gt;0,INDEX('Invullen groen'!$I:$I,$J82),""),""),"")</f>
        <v/>
      </c>
      <c r="H82" s="537">
        <f>IFERROR(IF($J82&gt;0,IF(INDEX('Invullen groen'!$J:$J,$J82)&lt;&gt;0,INDEX('Invullen groen'!$J:$J,$J82),""),""),"")</f>
        <v/>
      </c>
      <c r="I82" s="537">
        <f>IFERROR(IF($J82&gt;0,IF(INDEX('Invullen groen'!$K:$K,$J82)&lt;&gt;0,INDEX('Invullen groen'!$K:$K,$J82),""),""),"")</f>
        <v/>
      </c>
      <c r="J82">
        <f>IFERROR(MATCH(ROW()-4,'Invullen groen'!$P$17:$P$272,0)+16,0)</f>
        <v/>
      </c>
    </row>
    <row r="83" hidden="1" ht="15" customHeight="1">
      <c r="A83" s="534">
        <f>IFERROR(IF($J83&gt;0,ROW()-4,""),"")</f>
        <v/>
      </c>
      <c r="B83" s="534">
        <f>IFERROR(IF($J83&gt;0,INDEX('Invullen groen'!$A:$A,$J83),""),"")</f>
        <v/>
      </c>
      <c r="C83" s="534">
        <f>IFERROR(IF($J83&gt;0,INDEX('Invullen groen'!$C:$C,$J83),""),"")</f>
        <v/>
      </c>
      <c r="D83" s="534">
        <f>IFERROR(IF($J83&gt;0,INDEX('Invullen groen'!$D:$D,$J83),""),"")</f>
        <v/>
      </c>
      <c r="E83" s="534">
        <f>IFERROR(IF($J83&gt;0,INDEX('Invullen groen'!$G:$G,$J83),""),"")</f>
        <v/>
      </c>
      <c r="F83" s="535">
        <f>IFERROR(IF($J83&gt;0,IF(INDEX('Invullen groen'!$H:$H,$J83)&lt;&gt;0,INDEX('Invullen groen'!$H:$H,$J83),""),""),"")</f>
        <v/>
      </c>
      <c r="G83" s="535">
        <f>IFERROR(IF($J83&gt;0,IF(INDEX('Invullen groen'!$I:$I,$J83)&lt;&gt;0,INDEX('Invullen groen'!$I:$I,$J83),""),""),"")</f>
        <v/>
      </c>
      <c r="H83" s="535">
        <f>IFERROR(IF($J83&gt;0,IF(INDEX('Invullen groen'!$J:$J,$J83)&lt;&gt;0,INDEX('Invullen groen'!$J:$J,$J83),""),""),"")</f>
        <v/>
      </c>
      <c r="I83" s="535">
        <f>IFERROR(IF($J83&gt;0,IF(INDEX('Invullen groen'!$K:$K,$J83)&lt;&gt;0,INDEX('Invullen groen'!$K:$K,$J83),""),""),"")</f>
        <v/>
      </c>
      <c r="J83">
        <f>IFERROR(MATCH(ROW()-4,'Invullen groen'!$P$17:$P$272,0)+16,0)</f>
        <v/>
      </c>
    </row>
    <row r="84" hidden="1" ht="15" customHeight="1">
      <c r="A84" s="536">
        <f>IFERROR(IF($J84&gt;0,ROW()-4,""),"")</f>
        <v/>
      </c>
      <c r="B84" s="536">
        <f>IFERROR(IF($J84&gt;0,INDEX('Invullen groen'!$A:$A,$J84),""),"")</f>
        <v/>
      </c>
      <c r="C84" s="536">
        <f>IFERROR(IF($J84&gt;0,INDEX('Invullen groen'!$C:$C,$J84),""),"")</f>
        <v/>
      </c>
      <c r="D84" s="536">
        <f>IFERROR(IF($J84&gt;0,INDEX('Invullen groen'!$D:$D,$J84),""),"")</f>
        <v/>
      </c>
      <c r="E84" s="536">
        <f>IFERROR(IF($J84&gt;0,INDEX('Invullen groen'!$G:$G,$J84),""),"")</f>
        <v/>
      </c>
      <c r="F84" s="537">
        <f>IFERROR(IF($J84&gt;0,IF(INDEX('Invullen groen'!$H:$H,$J84)&lt;&gt;0,INDEX('Invullen groen'!$H:$H,$J84),""),""),"")</f>
        <v/>
      </c>
      <c r="G84" s="537">
        <f>IFERROR(IF($J84&gt;0,IF(INDEX('Invullen groen'!$I:$I,$J84)&lt;&gt;0,INDEX('Invullen groen'!$I:$I,$J84),""),""),"")</f>
        <v/>
      </c>
      <c r="H84" s="537">
        <f>IFERROR(IF($J84&gt;0,IF(INDEX('Invullen groen'!$J:$J,$J84)&lt;&gt;0,INDEX('Invullen groen'!$J:$J,$J84),""),""),"")</f>
        <v/>
      </c>
      <c r="I84" s="537">
        <f>IFERROR(IF($J84&gt;0,IF(INDEX('Invullen groen'!$K:$K,$J84)&lt;&gt;0,INDEX('Invullen groen'!$K:$K,$J84),""),""),"")</f>
        <v/>
      </c>
      <c r="J84">
        <f>IFERROR(MATCH(ROW()-4,'Invullen groen'!$P$17:$P$272,0)+16,0)</f>
        <v/>
      </c>
    </row>
    <row r="85" hidden="1" ht="15" customHeight="1">
      <c r="A85" s="534">
        <f>IFERROR(IF($J85&gt;0,ROW()-4,""),"")</f>
        <v/>
      </c>
      <c r="B85" s="534">
        <f>IFERROR(IF($J85&gt;0,INDEX('Invullen groen'!$A:$A,$J85),""),"")</f>
        <v/>
      </c>
      <c r="C85" s="534">
        <f>IFERROR(IF($J85&gt;0,INDEX('Invullen groen'!$C:$C,$J85),""),"")</f>
        <v/>
      </c>
      <c r="D85" s="534">
        <f>IFERROR(IF($J85&gt;0,INDEX('Invullen groen'!$D:$D,$J85),""),"")</f>
        <v/>
      </c>
      <c r="E85" s="534">
        <f>IFERROR(IF($J85&gt;0,INDEX('Invullen groen'!$G:$G,$J85),""),"")</f>
        <v/>
      </c>
      <c r="F85" s="535">
        <f>IFERROR(IF($J85&gt;0,IF(INDEX('Invullen groen'!$H:$H,$J85)&lt;&gt;0,INDEX('Invullen groen'!$H:$H,$J85),""),""),"")</f>
        <v/>
      </c>
      <c r="G85" s="535">
        <f>IFERROR(IF($J85&gt;0,IF(INDEX('Invullen groen'!$I:$I,$J85)&lt;&gt;0,INDEX('Invullen groen'!$I:$I,$J85),""),""),"")</f>
        <v/>
      </c>
      <c r="H85" s="535">
        <f>IFERROR(IF($J85&gt;0,IF(INDEX('Invullen groen'!$J:$J,$J85)&lt;&gt;0,INDEX('Invullen groen'!$J:$J,$J85),""),""),"")</f>
        <v/>
      </c>
      <c r="I85" s="535">
        <f>IFERROR(IF($J85&gt;0,IF(INDEX('Invullen groen'!$K:$K,$J85)&lt;&gt;0,INDEX('Invullen groen'!$K:$K,$J85),""),""),"")</f>
        <v/>
      </c>
      <c r="J85">
        <f>IFERROR(MATCH(ROW()-4,'Invullen groen'!$P$17:$P$272,0)+16,0)</f>
        <v/>
      </c>
    </row>
    <row r="86" hidden="1" ht="15" customHeight="1">
      <c r="A86" s="536">
        <f>IFERROR(IF($J86&gt;0,ROW()-4,""),"")</f>
        <v/>
      </c>
      <c r="B86" s="536">
        <f>IFERROR(IF($J86&gt;0,INDEX('Invullen groen'!$A:$A,$J86),""),"")</f>
        <v/>
      </c>
      <c r="C86" s="536">
        <f>IFERROR(IF($J86&gt;0,INDEX('Invullen groen'!$C:$C,$J86),""),"")</f>
        <v/>
      </c>
      <c r="D86" s="536">
        <f>IFERROR(IF($J86&gt;0,INDEX('Invullen groen'!$D:$D,$J86),""),"")</f>
        <v/>
      </c>
      <c r="E86" s="536">
        <f>IFERROR(IF($J86&gt;0,INDEX('Invullen groen'!$G:$G,$J86),""),"")</f>
        <v/>
      </c>
      <c r="F86" s="537">
        <f>IFERROR(IF($J86&gt;0,IF(INDEX('Invullen groen'!$H:$H,$J86)&lt;&gt;0,INDEX('Invullen groen'!$H:$H,$J86),""),""),"")</f>
        <v/>
      </c>
      <c r="G86" s="537">
        <f>IFERROR(IF($J86&gt;0,IF(INDEX('Invullen groen'!$I:$I,$J86)&lt;&gt;0,INDEX('Invullen groen'!$I:$I,$J86),""),""),"")</f>
        <v/>
      </c>
      <c r="H86" s="537">
        <f>IFERROR(IF($J86&gt;0,IF(INDEX('Invullen groen'!$J:$J,$J86)&lt;&gt;0,INDEX('Invullen groen'!$J:$J,$J86),""),""),"")</f>
        <v/>
      </c>
      <c r="I86" s="537">
        <f>IFERROR(IF($J86&gt;0,IF(INDEX('Invullen groen'!$K:$K,$J86)&lt;&gt;0,INDEX('Invullen groen'!$K:$K,$J86),""),""),"")</f>
        <v/>
      </c>
      <c r="J86">
        <f>IFERROR(MATCH(ROW()-4,'Invullen groen'!$P$17:$P$272,0)+16,0)</f>
        <v/>
      </c>
    </row>
    <row r="87" hidden="1" ht="15" customHeight="1">
      <c r="A87" s="534">
        <f>IFERROR(IF($J87&gt;0,ROW()-4,""),"")</f>
        <v/>
      </c>
      <c r="B87" s="534">
        <f>IFERROR(IF($J87&gt;0,INDEX('Invullen groen'!$A:$A,$J87),""),"")</f>
        <v/>
      </c>
      <c r="C87" s="534">
        <f>IFERROR(IF($J87&gt;0,INDEX('Invullen groen'!$C:$C,$J87),""),"")</f>
        <v/>
      </c>
      <c r="D87" s="534">
        <f>IFERROR(IF($J87&gt;0,INDEX('Invullen groen'!$D:$D,$J87),""),"")</f>
        <v/>
      </c>
      <c r="E87" s="534">
        <f>IFERROR(IF($J87&gt;0,INDEX('Invullen groen'!$G:$G,$J87),""),"")</f>
        <v/>
      </c>
      <c r="F87" s="535">
        <f>IFERROR(IF($J87&gt;0,IF(INDEX('Invullen groen'!$H:$H,$J87)&lt;&gt;0,INDEX('Invullen groen'!$H:$H,$J87),""),""),"")</f>
        <v/>
      </c>
      <c r="G87" s="535">
        <f>IFERROR(IF($J87&gt;0,IF(INDEX('Invullen groen'!$I:$I,$J87)&lt;&gt;0,INDEX('Invullen groen'!$I:$I,$J87),""),""),"")</f>
        <v/>
      </c>
      <c r="H87" s="535">
        <f>IFERROR(IF($J87&gt;0,IF(INDEX('Invullen groen'!$J:$J,$J87)&lt;&gt;0,INDEX('Invullen groen'!$J:$J,$J87),""),""),"")</f>
        <v/>
      </c>
      <c r="I87" s="535">
        <f>IFERROR(IF($J87&gt;0,IF(INDEX('Invullen groen'!$K:$K,$J87)&lt;&gt;0,INDEX('Invullen groen'!$K:$K,$J87),""),""),"")</f>
        <v/>
      </c>
      <c r="J87">
        <f>IFERROR(MATCH(ROW()-4,'Invullen groen'!$P$17:$P$272,0)+16,0)</f>
        <v/>
      </c>
    </row>
    <row r="88" hidden="1" ht="15" customHeight="1">
      <c r="A88" s="536">
        <f>IFERROR(IF($J88&gt;0,ROW()-4,""),"")</f>
        <v/>
      </c>
      <c r="B88" s="536">
        <f>IFERROR(IF($J88&gt;0,INDEX('Invullen groen'!$A:$A,$J88),""),"")</f>
        <v/>
      </c>
      <c r="C88" s="536">
        <f>IFERROR(IF($J88&gt;0,INDEX('Invullen groen'!$C:$C,$J88),""),"")</f>
        <v/>
      </c>
      <c r="D88" s="536">
        <f>IFERROR(IF($J88&gt;0,INDEX('Invullen groen'!$D:$D,$J88),""),"")</f>
        <v/>
      </c>
      <c r="E88" s="536">
        <f>IFERROR(IF($J88&gt;0,INDEX('Invullen groen'!$G:$G,$J88),""),"")</f>
        <v/>
      </c>
      <c r="F88" s="537">
        <f>IFERROR(IF($J88&gt;0,IF(INDEX('Invullen groen'!$H:$H,$J88)&lt;&gt;0,INDEX('Invullen groen'!$H:$H,$J88),""),""),"")</f>
        <v/>
      </c>
      <c r="G88" s="537">
        <f>IFERROR(IF($J88&gt;0,IF(INDEX('Invullen groen'!$I:$I,$J88)&lt;&gt;0,INDEX('Invullen groen'!$I:$I,$J88),""),""),"")</f>
        <v/>
      </c>
      <c r="H88" s="537">
        <f>IFERROR(IF($J88&gt;0,IF(INDEX('Invullen groen'!$J:$J,$J88)&lt;&gt;0,INDEX('Invullen groen'!$J:$J,$J88),""),""),"")</f>
        <v/>
      </c>
      <c r="I88" s="537">
        <f>IFERROR(IF($J88&gt;0,IF(INDEX('Invullen groen'!$K:$K,$J88)&lt;&gt;0,INDEX('Invullen groen'!$K:$K,$J88),""),""),"")</f>
        <v/>
      </c>
      <c r="J88">
        <f>IFERROR(MATCH(ROW()-4,'Invullen groen'!$P$17:$P$272,0)+16,0)</f>
        <v/>
      </c>
    </row>
    <row r="89" hidden="1" ht="15" customHeight="1">
      <c r="A89" s="534">
        <f>IFERROR(IF($J89&gt;0,ROW()-4,""),"")</f>
        <v/>
      </c>
      <c r="B89" s="534">
        <f>IFERROR(IF($J89&gt;0,INDEX('Invullen groen'!$A:$A,$J89),""),"")</f>
        <v/>
      </c>
      <c r="C89" s="534">
        <f>IFERROR(IF($J89&gt;0,INDEX('Invullen groen'!$C:$C,$J89),""),"")</f>
        <v/>
      </c>
      <c r="D89" s="534">
        <f>IFERROR(IF($J89&gt;0,INDEX('Invullen groen'!$D:$D,$J89),""),"")</f>
        <v/>
      </c>
      <c r="E89" s="534">
        <f>IFERROR(IF($J89&gt;0,INDEX('Invullen groen'!$G:$G,$J89),""),"")</f>
        <v/>
      </c>
      <c r="F89" s="535">
        <f>IFERROR(IF($J89&gt;0,IF(INDEX('Invullen groen'!$H:$H,$J89)&lt;&gt;0,INDEX('Invullen groen'!$H:$H,$J89),""),""),"")</f>
        <v/>
      </c>
      <c r="G89" s="535">
        <f>IFERROR(IF($J89&gt;0,IF(INDEX('Invullen groen'!$I:$I,$J89)&lt;&gt;0,INDEX('Invullen groen'!$I:$I,$J89),""),""),"")</f>
        <v/>
      </c>
      <c r="H89" s="535">
        <f>IFERROR(IF($J89&gt;0,IF(INDEX('Invullen groen'!$J:$J,$J89)&lt;&gt;0,INDEX('Invullen groen'!$J:$J,$J89),""),""),"")</f>
        <v/>
      </c>
      <c r="I89" s="535">
        <f>IFERROR(IF($J89&gt;0,IF(INDEX('Invullen groen'!$K:$K,$J89)&lt;&gt;0,INDEX('Invullen groen'!$K:$K,$J89),""),""),"")</f>
        <v/>
      </c>
      <c r="J89">
        <f>IFERROR(MATCH(ROW()-4,'Invullen groen'!$P$17:$P$272,0)+16,0)</f>
        <v/>
      </c>
    </row>
    <row r="90" hidden="1" ht="15" customHeight="1">
      <c r="A90" s="536">
        <f>IFERROR(IF($J90&gt;0,ROW()-4,""),"")</f>
        <v/>
      </c>
      <c r="B90" s="536">
        <f>IFERROR(IF($J90&gt;0,INDEX('Invullen groen'!$A:$A,$J90),""),"")</f>
        <v/>
      </c>
      <c r="C90" s="536">
        <f>IFERROR(IF($J90&gt;0,INDEX('Invullen groen'!$C:$C,$J90),""),"")</f>
        <v/>
      </c>
      <c r="D90" s="536">
        <f>IFERROR(IF($J90&gt;0,INDEX('Invullen groen'!$D:$D,$J90),""),"")</f>
        <v/>
      </c>
      <c r="E90" s="536">
        <f>IFERROR(IF($J90&gt;0,INDEX('Invullen groen'!$G:$G,$J90),""),"")</f>
        <v/>
      </c>
      <c r="F90" s="537">
        <f>IFERROR(IF($J90&gt;0,IF(INDEX('Invullen groen'!$H:$H,$J90)&lt;&gt;0,INDEX('Invullen groen'!$H:$H,$J90),""),""),"")</f>
        <v/>
      </c>
      <c r="G90" s="537">
        <f>IFERROR(IF($J90&gt;0,IF(INDEX('Invullen groen'!$I:$I,$J90)&lt;&gt;0,INDEX('Invullen groen'!$I:$I,$J90),""),""),"")</f>
        <v/>
      </c>
      <c r="H90" s="537">
        <f>IFERROR(IF($J90&gt;0,IF(INDEX('Invullen groen'!$J:$J,$J90)&lt;&gt;0,INDEX('Invullen groen'!$J:$J,$J90),""),""),"")</f>
        <v/>
      </c>
      <c r="I90" s="537">
        <f>IFERROR(IF($J90&gt;0,IF(INDEX('Invullen groen'!$K:$K,$J90)&lt;&gt;0,INDEX('Invullen groen'!$K:$K,$J90),""),""),"")</f>
        <v/>
      </c>
      <c r="J90">
        <f>IFERROR(MATCH(ROW()-4,'Invullen groen'!$P$17:$P$272,0)+16,0)</f>
        <v/>
      </c>
    </row>
    <row r="91" hidden="1" ht="15" customHeight="1">
      <c r="A91" s="534">
        <f>IFERROR(IF($J91&gt;0,ROW()-4,""),"")</f>
        <v/>
      </c>
      <c r="B91" s="534">
        <f>IFERROR(IF($J91&gt;0,INDEX('Invullen groen'!$A:$A,$J91),""),"")</f>
        <v/>
      </c>
      <c r="C91" s="534">
        <f>IFERROR(IF($J91&gt;0,INDEX('Invullen groen'!$C:$C,$J91),""),"")</f>
        <v/>
      </c>
      <c r="D91" s="534">
        <f>IFERROR(IF($J91&gt;0,INDEX('Invullen groen'!$D:$D,$J91),""),"")</f>
        <v/>
      </c>
      <c r="E91" s="534">
        <f>IFERROR(IF($J91&gt;0,INDEX('Invullen groen'!$G:$G,$J91),""),"")</f>
        <v/>
      </c>
      <c r="F91" s="535">
        <f>IFERROR(IF($J91&gt;0,IF(INDEX('Invullen groen'!$H:$H,$J91)&lt;&gt;0,INDEX('Invullen groen'!$H:$H,$J91),""),""),"")</f>
        <v/>
      </c>
      <c r="G91" s="535">
        <f>IFERROR(IF($J91&gt;0,IF(INDEX('Invullen groen'!$I:$I,$J91)&lt;&gt;0,INDEX('Invullen groen'!$I:$I,$J91),""),""),"")</f>
        <v/>
      </c>
      <c r="H91" s="535">
        <f>IFERROR(IF($J91&gt;0,IF(INDEX('Invullen groen'!$J:$J,$J91)&lt;&gt;0,INDEX('Invullen groen'!$J:$J,$J91),""),""),"")</f>
        <v/>
      </c>
      <c r="I91" s="535">
        <f>IFERROR(IF($J91&gt;0,IF(INDEX('Invullen groen'!$K:$K,$J91)&lt;&gt;0,INDEX('Invullen groen'!$K:$K,$J91),""),""),"")</f>
        <v/>
      </c>
      <c r="J91">
        <f>IFERROR(MATCH(ROW()-4,'Invullen groen'!$P$17:$P$272,0)+16,0)</f>
        <v/>
      </c>
    </row>
    <row r="92" hidden="1" ht="15" customHeight="1">
      <c r="A92" s="536">
        <f>IFERROR(IF($J92&gt;0,ROW()-4,""),"")</f>
        <v/>
      </c>
      <c r="B92" s="536">
        <f>IFERROR(IF($J92&gt;0,INDEX('Invullen groen'!$A:$A,$J92),""),"")</f>
        <v/>
      </c>
      <c r="C92" s="536">
        <f>IFERROR(IF($J92&gt;0,INDEX('Invullen groen'!$C:$C,$J92),""),"")</f>
        <v/>
      </c>
      <c r="D92" s="536">
        <f>IFERROR(IF($J92&gt;0,INDEX('Invullen groen'!$D:$D,$J92),""),"")</f>
        <v/>
      </c>
      <c r="E92" s="536">
        <f>IFERROR(IF($J92&gt;0,INDEX('Invullen groen'!$G:$G,$J92),""),"")</f>
        <v/>
      </c>
      <c r="F92" s="537">
        <f>IFERROR(IF($J92&gt;0,IF(INDEX('Invullen groen'!$H:$H,$J92)&lt;&gt;0,INDEX('Invullen groen'!$H:$H,$J92),""),""),"")</f>
        <v/>
      </c>
      <c r="G92" s="537">
        <f>IFERROR(IF($J92&gt;0,IF(INDEX('Invullen groen'!$I:$I,$J92)&lt;&gt;0,INDEX('Invullen groen'!$I:$I,$J92),""),""),"")</f>
        <v/>
      </c>
      <c r="H92" s="537">
        <f>IFERROR(IF($J92&gt;0,IF(INDEX('Invullen groen'!$J:$J,$J92)&lt;&gt;0,INDEX('Invullen groen'!$J:$J,$J92),""),""),"")</f>
        <v/>
      </c>
      <c r="I92" s="537">
        <f>IFERROR(IF($J92&gt;0,IF(INDEX('Invullen groen'!$K:$K,$J92)&lt;&gt;0,INDEX('Invullen groen'!$K:$K,$J92),""),""),"")</f>
        <v/>
      </c>
      <c r="J92">
        <f>IFERROR(MATCH(ROW()-4,'Invullen groen'!$P$17:$P$272,0)+16,0)</f>
        <v/>
      </c>
    </row>
    <row r="93" hidden="1" ht="15" customHeight="1">
      <c r="A93" s="534">
        <f>IFERROR(IF($J93&gt;0,ROW()-4,""),"")</f>
        <v/>
      </c>
      <c r="B93" s="534">
        <f>IFERROR(IF($J93&gt;0,INDEX('Invullen groen'!$A:$A,$J93),""),"")</f>
        <v/>
      </c>
      <c r="C93" s="534">
        <f>IFERROR(IF($J93&gt;0,INDEX('Invullen groen'!$C:$C,$J93),""),"")</f>
        <v/>
      </c>
      <c r="D93" s="534">
        <f>IFERROR(IF($J93&gt;0,INDEX('Invullen groen'!$D:$D,$J93),""),"")</f>
        <v/>
      </c>
      <c r="E93" s="534">
        <f>IFERROR(IF($J93&gt;0,INDEX('Invullen groen'!$G:$G,$J93),""),"")</f>
        <v/>
      </c>
      <c r="F93" s="535">
        <f>IFERROR(IF($J93&gt;0,IF(INDEX('Invullen groen'!$H:$H,$J93)&lt;&gt;0,INDEX('Invullen groen'!$H:$H,$J93),""),""),"")</f>
        <v/>
      </c>
      <c r="G93" s="535">
        <f>IFERROR(IF($J93&gt;0,IF(INDEX('Invullen groen'!$I:$I,$J93)&lt;&gt;0,INDEX('Invullen groen'!$I:$I,$J93),""),""),"")</f>
        <v/>
      </c>
      <c r="H93" s="535">
        <f>IFERROR(IF($J93&gt;0,IF(INDEX('Invullen groen'!$J:$J,$J93)&lt;&gt;0,INDEX('Invullen groen'!$J:$J,$J93),""),""),"")</f>
        <v/>
      </c>
      <c r="I93" s="535">
        <f>IFERROR(IF($J93&gt;0,IF(INDEX('Invullen groen'!$K:$K,$J93)&lt;&gt;0,INDEX('Invullen groen'!$K:$K,$J93),""),""),"")</f>
        <v/>
      </c>
      <c r="J93">
        <f>IFERROR(MATCH(ROW()-4,'Invullen groen'!$P$17:$P$272,0)+16,0)</f>
        <v/>
      </c>
    </row>
    <row r="94" hidden="1" ht="15" customHeight="1">
      <c r="A94" s="536">
        <f>IFERROR(IF($J94&gt;0,ROW()-4,""),"")</f>
        <v/>
      </c>
      <c r="B94" s="536">
        <f>IFERROR(IF($J94&gt;0,INDEX('Invullen groen'!$A:$A,$J94),""),"")</f>
        <v/>
      </c>
      <c r="C94" s="536">
        <f>IFERROR(IF($J94&gt;0,INDEX('Invullen groen'!$C:$C,$J94),""),"")</f>
        <v/>
      </c>
      <c r="D94" s="536">
        <f>IFERROR(IF($J94&gt;0,INDEX('Invullen groen'!$D:$D,$J94),""),"")</f>
        <v/>
      </c>
      <c r="E94" s="536">
        <f>IFERROR(IF($J94&gt;0,INDEX('Invullen groen'!$G:$G,$J94),""),"")</f>
        <v/>
      </c>
      <c r="F94" s="537">
        <f>IFERROR(IF($J94&gt;0,IF(INDEX('Invullen groen'!$H:$H,$J94)&lt;&gt;0,INDEX('Invullen groen'!$H:$H,$J94),""),""),"")</f>
        <v/>
      </c>
      <c r="G94" s="537">
        <f>IFERROR(IF($J94&gt;0,IF(INDEX('Invullen groen'!$I:$I,$J94)&lt;&gt;0,INDEX('Invullen groen'!$I:$I,$J94),""),""),"")</f>
        <v/>
      </c>
      <c r="H94" s="537">
        <f>IFERROR(IF($J94&gt;0,IF(INDEX('Invullen groen'!$J:$J,$J94)&lt;&gt;0,INDEX('Invullen groen'!$J:$J,$J94),""),""),"")</f>
        <v/>
      </c>
      <c r="I94" s="537">
        <f>IFERROR(IF($J94&gt;0,IF(INDEX('Invullen groen'!$K:$K,$J94)&lt;&gt;0,INDEX('Invullen groen'!$K:$K,$J94),""),""),"")</f>
        <v/>
      </c>
      <c r="J94">
        <f>IFERROR(MATCH(ROW()-4,'Invullen groen'!$P$17:$P$272,0)+16,0)</f>
        <v/>
      </c>
    </row>
    <row r="95" hidden="1" ht="15" customHeight="1">
      <c r="A95" s="534">
        <f>IFERROR(IF($J95&gt;0,ROW()-4,""),"")</f>
        <v/>
      </c>
      <c r="B95" s="534">
        <f>IFERROR(IF($J95&gt;0,INDEX('Invullen groen'!$A:$A,$J95),""),"")</f>
        <v/>
      </c>
      <c r="C95" s="534">
        <f>IFERROR(IF($J95&gt;0,INDEX('Invullen groen'!$C:$C,$J95),""),"")</f>
        <v/>
      </c>
      <c r="D95" s="534">
        <f>IFERROR(IF($J95&gt;0,INDEX('Invullen groen'!$D:$D,$J95),""),"")</f>
        <v/>
      </c>
      <c r="E95" s="534">
        <f>IFERROR(IF($J95&gt;0,INDEX('Invullen groen'!$G:$G,$J95),""),"")</f>
        <v/>
      </c>
      <c r="F95" s="535">
        <f>IFERROR(IF($J95&gt;0,IF(INDEX('Invullen groen'!$H:$H,$J95)&lt;&gt;0,INDEX('Invullen groen'!$H:$H,$J95),""),""),"")</f>
        <v/>
      </c>
      <c r="G95" s="535">
        <f>IFERROR(IF($J95&gt;0,IF(INDEX('Invullen groen'!$I:$I,$J95)&lt;&gt;0,INDEX('Invullen groen'!$I:$I,$J95),""),""),"")</f>
        <v/>
      </c>
      <c r="H95" s="535">
        <f>IFERROR(IF($J95&gt;0,IF(INDEX('Invullen groen'!$J:$J,$J95)&lt;&gt;0,INDEX('Invullen groen'!$J:$J,$J95),""),""),"")</f>
        <v/>
      </c>
      <c r="I95" s="535">
        <f>IFERROR(IF($J95&gt;0,IF(INDEX('Invullen groen'!$K:$K,$J95)&lt;&gt;0,INDEX('Invullen groen'!$K:$K,$J95),""),""),"")</f>
        <v/>
      </c>
      <c r="J95">
        <f>IFERROR(MATCH(ROW()-4,'Invullen groen'!$P$17:$P$272,0)+16,0)</f>
        <v/>
      </c>
    </row>
    <row r="96" hidden="1" ht="15" customHeight="1">
      <c r="A96" s="536">
        <f>IFERROR(IF($J96&gt;0,ROW()-4,""),"")</f>
        <v/>
      </c>
      <c r="B96" s="536">
        <f>IFERROR(IF($J96&gt;0,INDEX('Invullen groen'!$A:$A,$J96),""),"")</f>
        <v/>
      </c>
      <c r="C96" s="536">
        <f>IFERROR(IF($J96&gt;0,INDEX('Invullen groen'!$C:$C,$J96),""),"")</f>
        <v/>
      </c>
      <c r="D96" s="536">
        <f>IFERROR(IF($J96&gt;0,INDEX('Invullen groen'!$D:$D,$J96),""),"")</f>
        <v/>
      </c>
      <c r="E96" s="536">
        <f>IFERROR(IF($J96&gt;0,INDEX('Invullen groen'!$G:$G,$J96),""),"")</f>
        <v/>
      </c>
      <c r="F96" s="537">
        <f>IFERROR(IF($J96&gt;0,IF(INDEX('Invullen groen'!$H:$H,$J96)&lt;&gt;0,INDEX('Invullen groen'!$H:$H,$J96),""),""),"")</f>
        <v/>
      </c>
      <c r="G96" s="537">
        <f>IFERROR(IF($J96&gt;0,IF(INDEX('Invullen groen'!$I:$I,$J96)&lt;&gt;0,INDEX('Invullen groen'!$I:$I,$J96),""),""),"")</f>
        <v/>
      </c>
      <c r="H96" s="537">
        <f>IFERROR(IF($J96&gt;0,IF(INDEX('Invullen groen'!$J:$J,$J96)&lt;&gt;0,INDEX('Invullen groen'!$J:$J,$J96),""),""),"")</f>
        <v/>
      </c>
      <c r="I96" s="537">
        <f>IFERROR(IF($J96&gt;0,IF(INDEX('Invullen groen'!$K:$K,$J96)&lt;&gt;0,INDEX('Invullen groen'!$K:$K,$J96),""),""),"")</f>
        <v/>
      </c>
      <c r="J96">
        <f>IFERROR(MATCH(ROW()-4,'Invullen groen'!$P$17:$P$272,0)+16,0)</f>
        <v/>
      </c>
    </row>
    <row r="97" hidden="1" ht="15" customHeight="1">
      <c r="A97" s="534">
        <f>IFERROR(IF($J97&gt;0,ROW()-4,""),"")</f>
        <v/>
      </c>
      <c r="B97" s="534">
        <f>IFERROR(IF($J97&gt;0,INDEX('Invullen groen'!$A:$A,$J97),""),"")</f>
        <v/>
      </c>
      <c r="C97" s="534">
        <f>IFERROR(IF($J97&gt;0,INDEX('Invullen groen'!$C:$C,$J97),""),"")</f>
        <v/>
      </c>
      <c r="D97" s="534">
        <f>IFERROR(IF($J97&gt;0,INDEX('Invullen groen'!$D:$D,$J97),""),"")</f>
        <v/>
      </c>
      <c r="E97" s="534">
        <f>IFERROR(IF($J97&gt;0,INDEX('Invullen groen'!$G:$G,$J97),""),"")</f>
        <v/>
      </c>
      <c r="F97" s="535">
        <f>IFERROR(IF($J97&gt;0,IF(INDEX('Invullen groen'!$H:$H,$J97)&lt;&gt;0,INDEX('Invullen groen'!$H:$H,$J97),""),""),"")</f>
        <v/>
      </c>
      <c r="G97" s="535">
        <f>IFERROR(IF($J97&gt;0,IF(INDEX('Invullen groen'!$I:$I,$J97)&lt;&gt;0,INDEX('Invullen groen'!$I:$I,$J97),""),""),"")</f>
        <v/>
      </c>
      <c r="H97" s="535">
        <f>IFERROR(IF($J97&gt;0,IF(INDEX('Invullen groen'!$J:$J,$J97)&lt;&gt;0,INDEX('Invullen groen'!$J:$J,$J97),""),""),"")</f>
        <v/>
      </c>
      <c r="I97" s="535">
        <f>IFERROR(IF($J97&gt;0,IF(INDEX('Invullen groen'!$K:$K,$J97)&lt;&gt;0,INDEX('Invullen groen'!$K:$K,$J97),""),""),"")</f>
        <v/>
      </c>
      <c r="J97">
        <f>IFERROR(MATCH(ROW()-4,'Invullen groen'!$P$17:$P$272,0)+16,0)</f>
        <v/>
      </c>
    </row>
    <row r="98" hidden="1" ht="15" customHeight="1">
      <c r="A98" s="536">
        <f>IFERROR(IF($J98&gt;0,ROW()-4,""),"")</f>
        <v/>
      </c>
      <c r="B98" s="536">
        <f>IFERROR(IF($J98&gt;0,INDEX('Invullen groen'!$A:$A,$J98),""),"")</f>
        <v/>
      </c>
      <c r="C98" s="536">
        <f>IFERROR(IF($J98&gt;0,INDEX('Invullen groen'!$C:$C,$J98),""),"")</f>
        <v/>
      </c>
      <c r="D98" s="536">
        <f>IFERROR(IF($J98&gt;0,INDEX('Invullen groen'!$D:$D,$J98),""),"")</f>
        <v/>
      </c>
      <c r="E98" s="536">
        <f>IFERROR(IF($J98&gt;0,INDEX('Invullen groen'!$G:$G,$J98),""),"")</f>
        <v/>
      </c>
      <c r="F98" s="537">
        <f>IFERROR(IF($J98&gt;0,IF(INDEX('Invullen groen'!$H:$H,$J98)&lt;&gt;0,INDEX('Invullen groen'!$H:$H,$J98),""),""),"")</f>
        <v/>
      </c>
      <c r="G98" s="537">
        <f>IFERROR(IF($J98&gt;0,IF(INDEX('Invullen groen'!$I:$I,$J98)&lt;&gt;0,INDEX('Invullen groen'!$I:$I,$J98),""),""),"")</f>
        <v/>
      </c>
      <c r="H98" s="537">
        <f>IFERROR(IF($J98&gt;0,IF(INDEX('Invullen groen'!$J:$J,$J98)&lt;&gt;0,INDEX('Invullen groen'!$J:$J,$J98),""),""),"")</f>
        <v/>
      </c>
      <c r="I98" s="537">
        <f>IFERROR(IF($J98&gt;0,IF(INDEX('Invullen groen'!$K:$K,$J98)&lt;&gt;0,INDEX('Invullen groen'!$K:$K,$J98),""),""),"")</f>
        <v/>
      </c>
      <c r="J98">
        <f>IFERROR(MATCH(ROW()-4,'Invullen groen'!$P$17:$P$272,0)+16,0)</f>
        <v/>
      </c>
    </row>
    <row r="99" hidden="1" ht="15" customHeight="1">
      <c r="A99" s="534">
        <f>IFERROR(IF($J99&gt;0,ROW()-4,""),"")</f>
        <v/>
      </c>
      <c r="B99" s="534">
        <f>IFERROR(IF($J99&gt;0,INDEX('Invullen groen'!$A:$A,$J99),""),"")</f>
        <v/>
      </c>
      <c r="C99" s="534">
        <f>IFERROR(IF($J99&gt;0,INDEX('Invullen groen'!$C:$C,$J99),""),"")</f>
        <v/>
      </c>
      <c r="D99" s="534">
        <f>IFERROR(IF($J99&gt;0,INDEX('Invullen groen'!$D:$D,$J99),""),"")</f>
        <v/>
      </c>
      <c r="E99" s="534">
        <f>IFERROR(IF($J99&gt;0,INDEX('Invullen groen'!$G:$G,$J99),""),"")</f>
        <v/>
      </c>
      <c r="F99" s="535">
        <f>IFERROR(IF($J99&gt;0,IF(INDEX('Invullen groen'!$H:$H,$J99)&lt;&gt;0,INDEX('Invullen groen'!$H:$H,$J99),""),""),"")</f>
        <v/>
      </c>
      <c r="G99" s="535">
        <f>IFERROR(IF($J99&gt;0,IF(INDEX('Invullen groen'!$I:$I,$J99)&lt;&gt;0,INDEX('Invullen groen'!$I:$I,$J99),""),""),"")</f>
        <v/>
      </c>
      <c r="H99" s="535">
        <f>IFERROR(IF($J99&gt;0,IF(INDEX('Invullen groen'!$J:$J,$J99)&lt;&gt;0,INDEX('Invullen groen'!$J:$J,$J99),""),""),"")</f>
        <v/>
      </c>
      <c r="I99" s="535">
        <f>IFERROR(IF($J99&gt;0,IF(INDEX('Invullen groen'!$K:$K,$J99)&lt;&gt;0,INDEX('Invullen groen'!$K:$K,$J99),""),""),"")</f>
        <v/>
      </c>
      <c r="J99">
        <f>IFERROR(MATCH(ROW()-4,'Invullen groen'!$P$17:$P$272,0)+16,0)</f>
        <v/>
      </c>
    </row>
    <row r="100" hidden="1" ht="15" customHeight="1">
      <c r="A100" s="536">
        <f>IFERROR(IF($J100&gt;0,ROW()-4,""),"")</f>
        <v/>
      </c>
      <c r="B100" s="536">
        <f>IFERROR(IF($J100&gt;0,INDEX('Invullen groen'!$A:$A,$J100),""),"")</f>
        <v/>
      </c>
      <c r="C100" s="536">
        <f>IFERROR(IF($J100&gt;0,INDEX('Invullen groen'!$C:$C,$J100),""),"")</f>
        <v/>
      </c>
      <c r="D100" s="536">
        <f>IFERROR(IF($J100&gt;0,INDEX('Invullen groen'!$D:$D,$J100),""),"")</f>
        <v/>
      </c>
      <c r="E100" s="536">
        <f>IFERROR(IF($J100&gt;0,INDEX('Invullen groen'!$G:$G,$J100),""),"")</f>
        <v/>
      </c>
      <c r="F100" s="537">
        <f>IFERROR(IF($J100&gt;0,IF(INDEX('Invullen groen'!$H:$H,$J100)&lt;&gt;0,INDEX('Invullen groen'!$H:$H,$J100),""),""),"")</f>
        <v/>
      </c>
      <c r="G100" s="537">
        <f>IFERROR(IF($J100&gt;0,IF(INDEX('Invullen groen'!$I:$I,$J100)&lt;&gt;0,INDEX('Invullen groen'!$I:$I,$J100),""),""),"")</f>
        <v/>
      </c>
      <c r="H100" s="537">
        <f>IFERROR(IF($J100&gt;0,IF(INDEX('Invullen groen'!$J:$J,$J100)&lt;&gt;0,INDEX('Invullen groen'!$J:$J,$J100),""),""),"")</f>
        <v/>
      </c>
      <c r="I100" s="537">
        <f>IFERROR(IF($J100&gt;0,IF(INDEX('Invullen groen'!$K:$K,$J100)&lt;&gt;0,INDEX('Invullen groen'!$K:$K,$J100),""),""),"")</f>
        <v/>
      </c>
      <c r="J100">
        <f>IFERROR(MATCH(ROW()-4,'Invullen groen'!$P$17:$P$272,0)+16,0)</f>
        <v/>
      </c>
    </row>
    <row r="101" hidden="1" ht="15" customHeight="1">
      <c r="A101" s="534">
        <f>IFERROR(IF($J101&gt;0,ROW()-4,""),"")</f>
        <v/>
      </c>
      <c r="B101" s="534">
        <f>IFERROR(IF($J101&gt;0,INDEX('Invullen groen'!$A:$A,$J101),""),"")</f>
        <v/>
      </c>
      <c r="C101" s="534">
        <f>IFERROR(IF($J101&gt;0,INDEX('Invullen groen'!$C:$C,$J101),""),"")</f>
        <v/>
      </c>
      <c r="D101" s="534">
        <f>IFERROR(IF($J101&gt;0,INDEX('Invullen groen'!$D:$D,$J101),""),"")</f>
        <v/>
      </c>
      <c r="E101" s="534">
        <f>IFERROR(IF($J101&gt;0,INDEX('Invullen groen'!$G:$G,$J101),""),"")</f>
        <v/>
      </c>
      <c r="F101" s="535">
        <f>IFERROR(IF($J101&gt;0,IF(INDEX('Invullen groen'!$H:$H,$J101)&lt;&gt;0,INDEX('Invullen groen'!$H:$H,$J101),""),""),"")</f>
        <v/>
      </c>
      <c r="G101" s="535">
        <f>IFERROR(IF($J101&gt;0,IF(INDEX('Invullen groen'!$I:$I,$J101)&lt;&gt;0,INDEX('Invullen groen'!$I:$I,$J101),""),""),"")</f>
        <v/>
      </c>
      <c r="H101" s="535">
        <f>IFERROR(IF($J101&gt;0,IF(INDEX('Invullen groen'!$J:$J,$J101)&lt;&gt;0,INDEX('Invullen groen'!$J:$J,$J101),""),""),"")</f>
        <v/>
      </c>
      <c r="I101" s="535">
        <f>IFERROR(IF($J101&gt;0,IF(INDEX('Invullen groen'!$K:$K,$J101)&lt;&gt;0,INDEX('Invullen groen'!$K:$K,$J101),""),""),"")</f>
        <v/>
      </c>
      <c r="J101">
        <f>IFERROR(MATCH(ROW()-4,'Invullen groen'!$P$17:$P$272,0)+16,0)</f>
        <v/>
      </c>
    </row>
    <row r="102" hidden="1" ht="15" customHeight="1">
      <c r="A102" s="536">
        <f>IFERROR(IF($J102&gt;0,ROW()-4,""),"")</f>
        <v/>
      </c>
      <c r="B102" s="536">
        <f>IFERROR(IF($J102&gt;0,INDEX('Invullen groen'!$A:$A,$J102),""),"")</f>
        <v/>
      </c>
      <c r="C102" s="536">
        <f>IFERROR(IF($J102&gt;0,INDEX('Invullen groen'!$C:$C,$J102),""),"")</f>
        <v/>
      </c>
      <c r="D102" s="536">
        <f>IFERROR(IF($J102&gt;0,INDEX('Invullen groen'!$D:$D,$J102),""),"")</f>
        <v/>
      </c>
      <c r="E102" s="536">
        <f>IFERROR(IF($J102&gt;0,INDEX('Invullen groen'!$G:$G,$J102),""),"")</f>
        <v/>
      </c>
      <c r="F102" s="537">
        <f>IFERROR(IF($J102&gt;0,IF(INDEX('Invullen groen'!$H:$H,$J102)&lt;&gt;0,INDEX('Invullen groen'!$H:$H,$J102),""),""),"")</f>
        <v/>
      </c>
      <c r="G102" s="537">
        <f>IFERROR(IF($J102&gt;0,IF(INDEX('Invullen groen'!$I:$I,$J102)&lt;&gt;0,INDEX('Invullen groen'!$I:$I,$J102),""),""),"")</f>
        <v/>
      </c>
      <c r="H102" s="537">
        <f>IFERROR(IF($J102&gt;0,IF(INDEX('Invullen groen'!$J:$J,$J102)&lt;&gt;0,INDEX('Invullen groen'!$J:$J,$J102),""),""),"")</f>
        <v/>
      </c>
      <c r="I102" s="537">
        <f>IFERROR(IF($J102&gt;0,IF(INDEX('Invullen groen'!$K:$K,$J102)&lt;&gt;0,INDEX('Invullen groen'!$K:$K,$J102),""),""),"")</f>
        <v/>
      </c>
      <c r="J102">
        <f>IFERROR(MATCH(ROW()-4,'Invullen groen'!$P$17:$P$272,0)+16,0)</f>
        <v/>
      </c>
    </row>
    <row r="103" hidden="1" ht="15" customHeight="1">
      <c r="A103" s="534">
        <f>IFERROR(IF($J103&gt;0,ROW()-4,""),"")</f>
        <v/>
      </c>
      <c r="B103" s="534">
        <f>IFERROR(IF($J103&gt;0,INDEX('Invullen groen'!$A:$A,$J103),""),"")</f>
        <v/>
      </c>
      <c r="C103" s="534">
        <f>IFERROR(IF($J103&gt;0,INDEX('Invullen groen'!$C:$C,$J103),""),"")</f>
        <v/>
      </c>
      <c r="D103" s="534">
        <f>IFERROR(IF($J103&gt;0,INDEX('Invullen groen'!$D:$D,$J103),""),"")</f>
        <v/>
      </c>
      <c r="E103" s="534">
        <f>IFERROR(IF($J103&gt;0,INDEX('Invullen groen'!$G:$G,$J103),""),"")</f>
        <v/>
      </c>
      <c r="F103" s="535">
        <f>IFERROR(IF($J103&gt;0,IF(INDEX('Invullen groen'!$H:$H,$J103)&lt;&gt;0,INDEX('Invullen groen'!$H:$H,$J103),""),""),"")</f>
        <v/>
      </c>
      <c r="G103" s="535">
        <f>IFERROR(IF($J103&gt;0,IF(INDEX('Invullen groen'!$I:$I,$J103)&lt;&gt;0,INDEX('Invullen groen'!$I:$I,$J103),""),""),"")</f>
        <v/>
      </c>
      <c r="H103" s="535">
        <f>IFERROR(IF($J103&gt;0,IF(INDEX('Invullen groen'!$J:$J,$J103)&lt;&gt;0,INDEX('Invullen groen'!$J:$J,$J103),""),""),"")</f>
        <v/>
      </c>
      <c r="I103" s="535">
        <f>IFERROR(IF($J103&gt;0,IF(INDEX('Invullen groen'!$K:$K,$J103)&lt;&gt;0,INDEX('Invullen groen'!$K:$K,$J103),""),""),"")</f>
        <v/>
      </c>
      <c r="J103">
        <f>IFERROR(MATCH(ROW()-4,'Invullen groen'!$P$17:$P$272,0)+16,0)</f>
        <v/>
      </c>
    </row>
    <row r="104" hidden="1" ht="15" customHeight="1">
      <c r="A104" s="536">
        <f>IFERROR(IF($J104&gt;0,ROW()-4,""),"")</f>
        <v/>
      </c>
      <c r="B104" s="536">
        <f>IFERROR(IF($J104&gt;0,INDEX('Invullen groen'!$A:$A,$J104),""),"")</f>
        <v/>
      </c>
      <c r="C104" s="536">
        <f>IFERROR(IF($J104&gt;0,INDEX('Invullen groen'!$C:$C,$J104),""),"")</f>
        <v/>
      </c>
      <c r="D104" s="536">
        <f>IFERROR(IF($J104&gt;0,INDEX('Invullen groen'!$D:$D,$J104),""),"")</f>
        <v/>
      </c>
      <c r="E104" s="536">
        <f>IFERROR(IF($J104&gt;0,INDEX('Invullen groen'!$G:$G,$J104),""),"")</f>
        <v/>
      </c>
      <c r="F104" s="537">
        <f>IFERROR(IF($J104&gt;0,IF(INDEX('Invullen groen'!$H:$H,$J104)&lt;&gt;0,INDEX('Invullen groen'!$H:$H,$J104),""),""),"")</f>
        <v/>
      </c>
      <c r="G104" s="537">
        <f>IFERROR(IF($J104&gt;0,IF(INDEX('Invullen groen'!$I:$I,$J104)&lt;&gt;0,INDEX('Invullen groen'!$I:$I,$J104),""),""),"")</f>
        <v/>
      </c>
      <c r="H104" s="537">
        <f>IFERROR(IF($J104&gt;0,IF(INDEX('Invullen groen'!$J:$J,$J104)&lt;&gt;0,INDEX('Invullen groen'!$J:$J,$J104),""),""),"")</f>
        <v/>
      </c>
      <c r="I104" s="537">
        <f>IFERROR(IF($J104&gt;0,IF(INDEX('Invullen groen'!$K:$K,$J104)&lt;&gt;0,INDEX('Invullen groen'!$K:$K,$J104),""),""),"")</f>
        <v/>
      </c>
      <c r="J104">
        <f>IFERROR(MATCH(ROW()-4,'Invullen groen'!$P$17:$P$272,0)+16,0)</f>
        <v/>
      </c>
    </row>
    <row r="105" hidden="1" ht="15" customHeight="1">
      <c r="A105" s="534">
        <f>IFERROR(IF($J105&gt;0,ROW()-4,""),"")</f>
        <v/>
      </c>
      <c r="B105" s="534">
        <f>IFERROR(IF($J105&gt;0,INDEX('Invullen groen'!$A:$A,$J105),""),"")</f>
        <v/>
      </c>
      <c r="C105" s="534">
        <f>IFERROR(IF($J105&gt;0,INDEX('Invullen groen'!$C:$C,$J105),""),"")</f>
        <v/>
      </c>
      <c r="D105" s="534">
        <f>IFERROR(IF($J105&gt;0,INDEX('Invullen groen'!$D:$D,$J105),""),"")</f>
        <v/>
      </c>
      <c r="E105" s="534">
        <f>IFERROR(IF($J105&gt;0,INDEX('Invullen groen'!$G:$G,$J105),""),"")</f>
        <v/>
      </c>
      <c r="F105" s="535">
        <f>IFERROR(IF($J105&gt;0,IF(INDEX('Invullen groen'!$H:$H,$J105)&lt;&gt;0,INDEX('Invullen groen'!$H:$H,$J105),""),""),"")</f>
        <v/>
      </c>
      <c r="G105" s="535">
        <f>IFERROR(IF($J105&gt;0,IF(INDEX('Invullen groen'!$I:$I,$J105)&lt;&gt;0,INDEX('Invullen groen'!$I:$I,$J105),""),""),"")</f>
        <v/>
      </c>
      <c r="H105" s="535">
        <f>IFERROR(IF($J105&gt;0,IF(INDEX('Invullen groen'!$J:$J,$J105)&lt;&gt;0,INDEX('Invullen groen'!$J:$J,$J105),""),""),"")</f>
        <v/>
      </c>
      <c r="I105" s="535">
        <f>IFERROR(IF($J105&gt;0,IF(INDEX('Invullen groen'!$K:$K,$J105)&lt;&gt;0,INDEX('Invullen groen'!$K:$K,$J105),""),""),"")</f>
        <v/>
      </c>
      <c r="J105">
        <f>IFERROR(MATCH(ROW()-4,'Invullen groen'!$P$17:$P$272,0)+16,0)</f>
        <v/>
      </c>
    </row>
    <row r="106" hidden="1" ht="15" customHeight="1">
      <c r="A106" s="536">
        <f>IFERROR(IF($J106&gt;0,ROW()-4,""),"")</f>
        <v/>
      </c>
      <c r="B106" s="536">
        <f>IFERROR(IF($J106&gt;0,INDEX('Invullen groen'!$A:$A,$J106),""),"")</f>
        <v/>
      </c>
      <c r="C106" s="536">
        <f>IFERROR(IF($J106&gt;0,INDEX('Invullen groen'!$C:$C,$J106),""),"")</f>
        <v/>
      </c>
      <c r="D106" s="536">
        <f>IFERROR(IF($J106&gt;0,INDEX('Invullen groen'!$D:$D,$J106),""),"")</f>
        <v/>
      </c>
      <c r="E106" s="536">
        <f>IFERROR(IF($J106&gt;0,INDEX('Invullen groen'!$G:$G,$J106),""),"")</f>
        <v/>
      </c>
      <c r="F106" s="537">
        <f>IFERROR(IF($J106&gt;0,IF(INDEX('Invullen groen'!$H:$H,$J106)&lt;&gt;0,INDEX('Invullen groen'!$H:$H,$J106),""),""),"")</f>
        <v/>
      </c>
      <c r="G106" s="537">
        <f>IFERROR(IF($J106&gt;0,IF(INDEX('Invullen groen'!$I:$I,$J106)&lt;&gt;0,INDEX('Invullen groen'!$I:$I,$J106),""),""),"")</f>
        <v/>
      </c>
      <c r="H106" s="537">
        <f>IFERROR(IF($J106&gt;0,IF(INDEX('Invullen groen'!$J:$J,$J106)&lt;&gt;0,INDEX('Invullen groen'!$J:$J,$J106),""),""),"")</f>
        <v/>
      </c>
      <c r="I106" s="537">
        <f>IFERROR(IF($J106&gt;0,IF(INDEX('Invullen groen'!$K:$K,$J106)&lt;&gt;0,INDEX('Invullen groen'!$K:$K,$J106),""),""),"")</f>
        <v/>
      </c>
      <c r="J106">
        <f>IFERROR(MATCH(ROW()-4,'Invullen groen'!$P$17:$P$272,0)+16,0)</f>
        <v/>
      </c>
    </row>
    <row r="107" hidden="1" ht="15" customHeight="1">
      <c r="A107" s="534">
        <f>IFERROR(IF($J107&gt;0,ROW()-4,""),"")</f>
        <v/>
      </c>
      <c r="B107" s="534">
        <f>IFERROR(IF($J107&gt;0,INDEX('Invullen groen'!$A:$A,$J107),""),"")</f>
        <v/>
      </c>
      <c r="C107" s="534">
        <f>IFERROR(IF($J107&gt;0,INDEX('Invullen groen'!$C:$C,$J107),""),"")</f>
        <v/>
      </c>
      <c r="D107" s="534">
        <f>IFERROR(IF($J107&gt;0,INDEX('Invullen groen'!$D:$D,$J107),""),"")</f>
        <v/>
      </c>
      <c r="E107" s="534">
        <f>IFERROR(IF($J107&gt;0,INDEX('Invullen groen'!$G:$G,$J107),""),"")</f>
        <v/>
      </c>
      <c r="F107" s="535">
        <f>IFERROR(IF($J107&gt;0,IF(INDEX('Invullen groen'!$H:$H,$J107)&lt;&gt;0,INDEX('Invullen groen'!$H:$H,$J107),""),""),"")</f>
        <v/>
      </c>
      <c r="G107" s="535">
        <f>IFERROR(IF($J107&gt;0,IF(INDEX('Invullen groen'!$I:$I,$J107)&lt;&gt;0,INDEX('Invullen groen'!$I:$I,$J107),""),""),"")</f>
        <v/>
      </c>
      <c r="H107" s="535">
        <f>IFERROR(IF($J107&gt;0,IF(INDEX('Invullen groen'!$J:$J,$J107)&lt;&gt;0,INDEX('Invullen groen'!$J:$J,$J107),""),""),"")</f>
        <v/>
      </c>
      <c r="I107" s="535">
        <f>IFERROR(IF($J107&gt;0,IF(INDEX('Invullen groen'!$K:$K,$J107)&lt;&gt;0,INDEX('Invullen groen'!$K:$K,$J107),""),""),"")</f>
        <v/>
      </c>
      <c r="J107">
        <f>IFERROR(MATCH(ROW()-4,'Invullen groen'!$P$17:$P$272,0)+16,0)</f>
        <v/>
      </c>
    </row>
    <row r="108" hidden="1" ht="15" customHeight="1">
      <c r="A108" s="536">
        <f>IFERROR(IF($J108&gt;0,ROW()-4,""),"")</f>
        <v/>
      </c>
      <c r="B108" s="536">
        <f>IFERROR(IF($J108&gt;0,INDEX('Invullen groen'!$A:$A,$J108),""),"")</f>
        <v/>
      </c>
      <c r="C108" s="536">
        <f>IFERROR(IF($J108&gt;0,INDEX('Invullen groen'!$C:$C,$J108),""),"")</f>
        <v/>
      </c>
      <c r="D108" s="536">
        <f>IFERROR(IF($J108&gt;0,INDEX('Invullen groen'!$D:$D,$J108),""),"")</f>
        <v/>
      </c>
      <c r="E108" s="536">
        <f>IFERROR(IF($J108&gt;0,INDEX('Invullen groen'!$G:$G,$J108),""),"")</f>
        <v/>
      </c>
      <c r="F108" s="537">
        <f>IFERROR(IF($J108&gt;0,IF(INDEX('Invullen groen'!$H:$H,$J108)&lt;&gt;0,INDEX('Invullen groen'!$H:$H,$J108),""),""),"")</f>
        <v/>
      </c>
      <c r="G108" s="537">
        <f>IFERROR(IF($J108&gt;0,IF(INDEX('Invullen groen'!$I:$I,$J108)&lt;&gt;0,INDEX('Invullen groen'!$I:$I,$J108),""),""),"")</f>
        <v/>
      </c>
      <c r="H108" s="537">
        <f>IFERROR(IF($J108&gt;0,IF(INDEX('Invullen groen'!$J:$J,$J108)&lt;&gt;0,INDEX('Invullen groen'!$J:$J,$J108),""),""),"")</f>
        <v/>
      </c>
      <c r="I108" s="537">
        <f>IFERROR(IF($J108&gt;0,IF(INDEX('Invullen groen'!$K:$K,$J108)&lt;&gt;0,INDEX('Invullen groen'!$K:$K,$J108),""),""),"")</f>
        <v/>
      </c>
      <c r="J108">
        <f>IFERROR(MATCH(ROW()-4,'Invullen groen'!$P$17:$P$272,0)+16,0)</f>
        <v/>
      </c>
    </row>
    <row r="109" hidden="1" ht="15" customHeight="1">
      <c r="A109" s="534">
        <f>IFERROR(IF($J109&gt;0,ROW()-4,""),"")</f>
        <v/>
      </c>
      <c r="B109" s="534">
        <f>IFERROR(IF($J109&gt;0,INDEX('Invullen groen'!$A:$A,$J109),""),"")</f>
        <v/>
      </c>
      <c r="C109" s="534">
        <f>IFERROR(IF($J109&gt;0,INDEX('Invullen groen'!$C:$C,$J109),""),"")</f>
        <v/>
      </c>
      <c r="D109" s="534">
        <f>IFERROR(IF($J109&gt;0,INDEX('Invullen groen'!$D:$D,$J109),""),"")</f>
        <v/>
      </c>
      <c r="E109" s="534">
        <f>IFERROR(IF($J109&gt;0,INDEX('Invullen groen'!$G:$G,$J109),""),"")</f>
        <v/>
      </c>
      <c r="F109" s="535">
        <f>IFERROR(IF($J109&gt;0,IF(INDEX('Invullen groen'!$H:$H,$J109)&lt;&gt;0,INDEX('Invullen groen'!$H:$H,$J109),""),""),"")</f>
        <v/>
      </c>
      <c r="G109" s="535">
        <f>IFERROR(IF($J109&gt;0,IF(INDEX('Invullen groen'!$I:$I,$J109)&lt;&gt;0,INDEX('Invullen groen'!$I:$I,$J109),""),""),"")</f>
        <v/>
      </c>
      <c r="H109" s="535">
        <f>IFERROR(IF($J109&gt;0,IF(INDEX('Invullen groen'!$J:$J,$J109)&lt;&gt;0,INDEX('Invullen groen'!$J:$J,$J109),""),""),"")</f>
        <v/>
      </c>
      <c r="I109" s="535">
        <f>IFERROR(IF($J109&gt;0,IF(INDEX('Invullen groen'!$K:$K,$J109)&lt;&gt;0,INDEX('Invullen groen'!$K:$K,$J109),""),""),"")</f>
        <v/>
      </c>
      <c r="J109">
        <f>IFERROR(MATCH(ROW()-4,'Invullen groen'!$P$17:$P$272,0)+16,0)</f>
        <v/>
      </c>
    </row>
    <row r="110" hidden="1" ht="15" customHeight="1">
      <c r="A110" s="536">
        <f>IFERROR(IF($J110&gt;0,ROW()-4,""),"")</f>
        <v/>
      </c>
      <c r="B110" s="536">
        <f>IFERROR(IF($J110&gt;0,INDEX('Invullen groen'!$A:$A,$J110),""),"")</f>
        <v/>
      </c>
      <c r="C110" s="536">
        <f>IFERROR(IF($J110&gt;0,INDEX('Invullen groen'!$C:$C,$J110),""),"")</f>
        <v/>
      </c>
      <c r="D110" s="536">
        <f>IFERROR(IF($J110&gt;0,INDEX('Invullen groen'!$D:$D,$J110),""),"")</f>
        <v/>
      </c>
      <c r="E110" s="536">
        <f>IFERROR(IF($J110&gt;0,INDEX('Invullen groen'!$G:$G,$J110),""),"")</f>
        <v/>
      </c>
      <c r="F110" s="537">
        <f>IFERROR(IF($J110&gt;0,IF(INDEX('Invullen groen'!$H:$H,$J110)&lt;&gt;0,INDEX('Invullen groen'!$H:$H,$J110),""),""),"")</f>
        <v/>
      </c>
      <c r="G110" s="537">
        <f>IFERROR(IF($J110&gt;0,IF(INDEX('Invullen groen'!$I:$I,$J110)&lt;&gt;0,INDEX('Invullen groen'!$I:$I,$J110),""),""),"")</f>
        <v/>
      </c>
      <c r="H110" s="537">
        <f>IFERROR(IF($J110&gt;0,IF(INDEX('Invullen groen'!$J:$J,$J110)&lt;&gt;0,INDEX('Invullen groen'!$J:$J,$J110),""),""),"")</f>
        <v/>
      </c>
      <c r="I110" s="537">
        <f>IFERROR(IF($J110&gt;0,IF(INDEX('Invullen groen'!$K:$K,$J110)&lt;&gt;0,INDEX('Invullen groen'!$K:$K,$J110),""),""),"")</f>
        <v/>
      </c>
      <c r="J110">
        <f>IFERROR(MATCH(ROW()-4,'Invullen groen'!$P$17:$P$272,0)+16,0)</f>
        <v/>
      </c>
    </row>
    <row r="111" hidden="1" ht="15" customHeight="1">
      <c r="A111" s="534">
        <f>IFERROR(IF($J111&gt;0,ROW()-4,""),"")</f>
        <v/>
      </c>
      <c r="B111" s="534">
        <f>IFERROR(IF($J111&gt;0,INDEX('Invullen groen'!$A:$A,$J111),""),"")</f>
        <v/>
      </c>
      <c r="C111" s="534">
        <f>IFERROR(IF($J111&gt;0,INDEX('Invullen groen'!$C:$C,$J111),""),"")</f>
        <v/>
      </c>
      <c r="D111" s="534">
        <f>IFERROR(IF($J111&gt;0,INDEX('Invullen groen'!$D:$D,$J111),""),"")</f>
        <v/>
      </c>
      <c r="E111" s="534">
        <f>IFERROR(IF($J111&gt;0,INDEX('Invullen groen'!$G:$G,$J111),""),"")</f>
        <v/>
      </c>
      <c r="F111" s="535">
        <f>IFERROR(IF($J111&gt;0,IF(INDEX('Invullen groen'!$H:$H,$J111)&lt;&gt;0,INDEX('Invullen groen'!$H:$H,$J111),""),""),"")</f>
        <v/>
      </c>
      <c r="G111" s="535">
        <f>IFERROR(IF($J111&gt;0,IF(INDEX('Invullen groen'!$I:$I,$J111)&lt;&gt;0,INDEX('Invullen groen'!$I:$I,$J111),""),""),"")</f>
        <v/>
      </c>
      <c r="H111" s="535">
        <f>IFERROR(IF($J111&gt;0,IF(INDEX('Invullen groen'!$J:$J,$J111)&lt;&gt;0,INDEX('Invullen groen'!$J:$J,$J111),""),""),"")</f>
        <v/>
      </c>
      <c r="I111" s="535">
        <f>IFERROR(IF($J111&gt;0,IF(INDEX('Invullen groen'!$K:$K,$J111)&lt;&gt;0,INDEX('Invullen groen'!$K:$K,$J111),""),""),"")</f>
        <v/>
      </c>
      <c r="J111">
        <f>IFERROR(MATCH(ROW()-4,'Invullen groen'!$P$17:$P$272,0)+16,0)</f>
        <v/>
      </c>
    </row>
    <row r="112" hidden="1" ht="15" customHeight="1">
      <c r="A112" s="536">
        <f>IFERROR(IF($J112&gt;0,ROW()-4,""),"")</f>
        <v/>
      </c>
      <c r="B112" s="536">
        <f>IFERROR(IF($J112&gt;0,INDEX('Invullen groen'!$A:$A,$J112),""),"")</f>
        <v/>
      </c>
      <c r="C112" s="536">
        <f>IFERROR(IF($J112&gt;0,INDEX('Invullen groen'!$C:$C,$J112),""),"")</f>
        <v/>
      </c>
      <c r="D112" s="536">
        <f>IFERROR(IF($J112&gt;0,INDEX('Invullen groen'!$D:$D,$J112),""),"")</f>
        <v/>
      </c>
      <c r="E112" s="536">
        <f>IFERROR(IF($J112&gt;0,INDEX('Invullen groen'!$G:$G,$J112),""),"")</f>
        <v/>
      </c>
      <c r="F112" s="537">
        <f>IFERROR(IF($J112&gt;0,IF(INDEX('Invullen groen'!$H:$H,$J112)&lt;&gt;0,INDEX('Invullen groen'!$H:$H,$J112),""),""),"")</f>
        <v/>
      </c>
      <c r="G112" s="537">
        <f>IFERROR(IF($J112&gt;0,IF(INDEX('Invullen groen'!$I:$I,$J112)&lt;&gt;0,INDEX('Invullen groen'!$I:$I,$J112),""),""),"")</f>
        <v/>
      </c>
      <c r="H112" s="537">
        <f>IFERROR(IF($J112&gt;0,IF(INDEX('Invullen groen'!$J:$J,$J112)&lt;&gt;0,INDEX('Invullen groen'!$J:$J,$J112),""),""),"")</f>
        <v/>
      </c>
      <c r="I112" s="537">
        <f>IFERROR(IF($J112&gt;0,IF(INDEX('Invullen groen'!$K:$K,$J112)&lt;&gt;0,INDEX('Invullen groen'!$K:$K,$J112),""),""),"")</f>
        <v/>
      </c>
      <c r="J112">
        <f>IFERROR(MATCH(ROW()-4,'Invullen groen'!$P$17:$P$272,0)+16,0)</f>
        <v/>
      </c>
    </row>
    <row r="113" hidden="1" ht="15" customHeight="1">
      <c r="A113" s="534">
        <f>IFERROR(IF($J113&gt;0,ROW()-4,""),"")</f>
        <v/>
      </c>
      <c r="B113" s="534">
        <f>IFERROR(IF($J113&gt;0,INDEX('Invullen groen'!$A:$A,$J113),""),"")</f>
        <v/>
      </c>
      <c r="C113" s="534">
        <f>IFERROR(IF($J113&gt;0,INDEX('Invullen groen'!$C:$C,$J113),""),"")</f>
        <v/>
      </c>
      <c r="D113" s="534">
        <f>IFERROR(IF($J113&gt;0,INDEX('Invullen groen'!$D:$D,$J113),""),"")</f>
        <v/>
      </c>
      <c r="E113" s="534">
        <f>IFERROR(IF($J113&gt;0,INDEX('Invullen groen'!$G:$G,$J113),""),"")</f>
        <v/>
      </c>
      <c r="F113" s="535">
        <f>IFERROR(IF($J113&gt;0,IF(INDEX('Invullen groen'!$H:$H,$J113)&lt;&gt;0,INDEX('Invullen groen'!$H:$H,$J113),""),""),"")</f>
        <v/>
      </c>
      <c r="G113" s="535">
        <f>IFERROR(IF($J113&gt;0,IF(INDEX('Invullen groen'!$I:$I,$J113)&lt;&gt;0,INDEX('Invullen groen'!$I:$I,$J113),""),""),"")</f>
        <v/>
      </c>
      <c r="H113" s="535">
        <f>IFERROR(IF($J113&gt;0,IF(INDEX('Invullen groen'!$J:$J,$J113)&lt;&gt;0,INDEX('Invullen groen'!$J:$J,$J113),""),""),"")</f>
        <v/>
      </c>
      <c r="I113" s="535">
        <f>IFERROR(IF($J113&gt;0,IF(INDEX('Invullen groen'!$K:$K,$J113)&lt;&gt;0,INDEX('Invullen groen'!$K:$K,$J113),""),""),"")</f>
        <v/>
      </c>
      <c r="J113">
        <f>IFERROR(MATCH(ROW()-4,'Invullen groen'!$P$17:$P$272,0)+16,0)</f>
        <v/>
      </c>
    </row>
    <row r="114" hidden="1" ht="15" customHeight="1">
      <c r="A114" s="536">
        <f>IFERROR(IF($J114&gt;0,ROW()-4,""),"")</f>
        <v/>
      </c>
      <c r="B114" s="536">
        <f>IFERROR(IF($J114&gt;0,INDEX('Invullen groen'!$A:$A,$J114),""),"")</f>
        <v/>
      </c>
      <c r="C114" s="536">
        <f>IFERROR(IF($J114&gt;0,INDEX('Invullen groen'!$C:$C,$J114),""),"")</f>
        <v/>
      </c>
      <c r="D114" s="536">
        <f>IFERROR(IF($J114&gt;0,INDEX('Invullen groen'!$D:$D,$J114),""),"")</f>
        <v/>
      </c>
      <c r="E114" s="536">
        <f>IFERROR(IF($J114&gt;0,INDEX('Invullen groen'!$G:$G,$J114),""),"")</f>
        <v/>
      </c>
      <c r="F114" s="537">
        <f>IFERROR(IF($J114&gt;0,IF(INDEX('Invullen groen'!$H:$H,$J114)&lt;&gt;0,INDEX('Invullen groen'!$H:$H,$J114),""),""),"")</f>
        <v/>
      </c>
      <c r="G114" s="537">
        <f>IFERROR(IF($J114&gt;0,IF(INDEX('Invullen groen'!$I:$I,$J114)&lt;&gt;0,INDEX('Invullen groen'!$I:$I,$J114),""),""),"")</f>
        <v/>
      </c>
      <c r="H114" s="537">
        <f>IFERROR(IF($J114&gt;0,IF(INDEX('Invullen groen'!$J:$J,$J114)&lt;&gt;0,INDEX('Invullen groen'!$J:$J,$J114),""),""),"")</f>
        <v/>
      </c>
      <c r="I114" s="537">
        <f>IFERROR(IF($J114&gt;0,IF(INDEX('Invullen groen'!$K:$K,$J114)&lt;&gt;0,INDEX('Invullen groen'!$K:$K,$J114),""),""),"")</f>
        <v/>
      </c>
      <c r="J114">
        <f>IFERROR(MATCH(ROW()-4,'Invullen groen'!$P$17:$P$272,0)+16,0)</f>
        <v/>
      </c>
    </row>
    <row r="115" hidden="1" ht="15" customHeight="1">
      <c r="A115" s="534">
        <f>IFERROR(IF($J115&gt;0,ROW()-4,""),"")</f>
        <v/>
      </c>
      <c r="B115" s="534">
        <f>IFERROR(IF($J115&gt;0,INDEX('Invullen groen'!$A:$A,$J115),""),"")</f>
        <v/>
      </c>
      <c r="C115" s="534">
        <f>IFERROR(IF($J115&gt;0,INDEX('Invullen groen'!$C:$C,$J115),""),"")</f>
        <v/>
      </c>
      <c r="D115" s="534">
        <f>IFERROR(IF($J115&gt;0,INDEX('Invullen groen'!$D:$D,$J115),""),"")</f>
        <v/>
      </c>
      <c r="E115" s="534">
        <f>IFERROR(IF($J115&gt;0,INDEX('Invullen groen'!$G:$G,$J115),""),"")</f>
        <v/>
      </c>
      <c r="F115" s="535">
        <f>IFERROR(IF($J115&gt;0,IF(INDEX('Invullen groen'!$H:$H,$J115)&lt;&gt;0,INDEX('Invullen groen'!$H:$H,$J115),""),""),"")</f>
        <v/>
      </c>
      <c r="G115" s="535">
        <f>IFERROR(IF($J115&gt;0,IF(INDEX('Invullen groen'!$I:$I,$J115)&lt;&gt;0,INDEX('Invullen groen'!$I:$I,$J115),""),""),"")</f>
        <v/>
      </c>
      <c r="H115" s="535">
        <f>IFERROR(IF($J115&gt;0,IF(INDEX('Invullen groen'!$J:$J,$J115)&lt;&gt;0,INDEX('Invullen groen'!$J:$J,$J115),""),""),"")</f>
        <v/>
      </c>
      <c r="I115" s="535">
        <f>IFERROR(IF($J115&gt;0,IF(INDEX('Invullen groen'!$K:$K,$J115)&lt;&gt;0,INDEX('Invullen groen'!$K:$K,$J115),""),""),"")</f>
        <v/>
      </c>
      <c r="J115">
        <f>IFERROR(MATCH(ROW()-4,'Invullen groen'!$P$17:$P$272,0)+16,0)</f>
        <v/>
      </c>
    </row>
    <row r="116" hidden="1" ht="15" customHeight="1">
      <c r="A116" s="536">
        <f>IFERROR(IF($J116&gt;0,ROW()-4,""),"")</f>
        <v/>
      </c>
      <c r="B116" s="536">
        <f>IFERROR(IF($J116&gt;0,INDEX('Invullen groen'!$A:$A,$J116),""),"")</f>
        <v/>
      </c>
      <c r="C116" s="536">
        <f>IFERROR(IF($J116&gt;0,INDEX('Invullen groen'!$C:$C,$J116),""),"")</f>
        <v/>
      </c>
      <c r="D116" s="536">
        <f>IFERROR(IF($J116&gt;0,INDEX('Invullen groen'!$D:$D,$J116),""),"")</f>
        <v/>
      </c>
      <c r="E116" s="536">
        <f>IFERROR(IF($J116&gt;0,INDEX('Invullen groen'!$G:$G,$J116),""),"")</f>
        <v/>
      </c>
      <c r="F116" s="537">
        <f>IFERROR(IF($J116&gt;0,IF(INDEX('Invullen groen'!$H:$H,$J116)&lt;&gt;0,INDEX('Invullen groen'!$H:$H,$J116),""),""),"")</f>
        <v/>
      </c>
      <c r="G116" s="537">
        <f>IFERROR(IF($J116&gt;0,IF(INDEX('Invullen groen'!$I:$I,$J116)&lt;&gt;0,INDEX('Invullen groen'!$I:$I,$J116),""),""),"")</f>
        <v/>
      </c>
      <c r="H116" s="537">
        <f>IFERROR(IF($J116&gt;0,IF(INDEX('Invullen groen'!$J:$J,$J116)&lt;&gt;0,INDEX('Invullen groen'!$J:$J,$J116),""),""),"")</f>
        <v/>
      </c>
      <c r="I116" s="537">
        <f>IFERROR(IF($J116&gt;0,IF(INDEX('Invullen groen'!$K:$K,$J116)&lt;&gt;0,INDEX('Invullen groen'!$K:$K,$J116),""),""),"")</f>
        <v/>
      </c>
      <c r="J116">
        <f>IFERROR(MATCH(ROW()-4,'Invullen groen'!$P$17:$P$272,0)+16,0)</f>
        <v/>
      </c>
    </row>
    <row r="117" hidden="1" ht="15" customHeight="1">
      <c r="A117" s="534">
        <f>IFERROR(IF($J117&gt;0,ROW()-4,""),"")</f>
        <v/>
      </c>
      <c r="B117" s="534">
        <f>IFERROR(IF($J117&gt;0,INDEX('Invullen groen'!$A:$A,$J117),""),"")</f>
        <v/>
      </c>
      <c r="C117" s="534">
        <f>IFERROR(IF($J117&gt;0,INDEX('Invullen groen'!$C:$C,$J117),""),"")</f>
        <v/>
      </c>
      <c r="D117" s="534">
        <f>IFERROR(IF($J117&gt;0,INDEX('Invullen groen'!$D:$D,$J117),""),"")</f>
        <v/>
      </c>
      <c r="E117" s="534">
        <f>IFERROR(IF($J117&gt;0,INDEX('Invullen groen'!$G:$G,$J117),""),"")</f>
        <v/>
      </c>
      <c r="F117" s="535">
        <f>IFERROR(IF($J117&gt;0,IF(INDEX('Invullen groen'!$H:$H,$J117)&lt;&gt;0,INDEX('Invullen groen'!$H:$H,$J117),""),""),"")</f>
        <v/>
      </c>
      <c r="G117" s="535">
        <f>IFERROR(IF($J117&gt;0,IF(INDEX('Invullen groen'!$I:$I,$J117)&lt;&gt;0,INDEX('Invullen groen'!$I:$I,$J117),""),""),"")</f>
        <v/>
      </c>
      <c r="H117" s="535">
        <f>IFERROR(IF($J117&gt;0,IF(INDEX('Invullen groen'!$J:$J,$J117)&lt;&gt;0,INDEX('Invullen groen'!$J:$J,$J117),""),""),"")</f>
        <v/>
      </c>
      <c r="I117" s="535">
        <f>IFERROR(IF($J117&gt;0,IF(INDEX('Invullen groen'!$K:$K,$J117)&lt;&gt;0,INDEX('Invullen groen'!$K:$K,$J117),""),""),"")</f>
        <v/>
      </c>
      <c r="J117">
        <f>IFERROR(MATCH(ROW()-4,'Invullen groen'!$P$17:$P$272,0)+16,0)</f>
        <v/>
      </c>
    </row>
    <row r="118" hidden="1" ht="15" customHeight="1">
      <c r="A118" s="536">
        <f>IFERROR(IF($J118&gt;0,ROW()-4,""),"")</f>
        <v/>
      </c>
      <c r="B118" s="536">
        <f>IFERROR(IF($J118&gt;0,INDEX('Invullen groen'!$A:$A,$J118),""),"")</f>
        <v/>
      </c>
      <c r="C118" s="536">
        <f>IFERROR(IF($J118&gt;0,INDEX('Invullen groen'!$C:$C,$J118),""),"")</f>
        <v/>
      </c>
      <c r="D118" s="536">
        <f>IFERROR(IF($J118&gt;0,INDEX('Invullen groen'!$D:$D,$J118),""),"")</f>
        <v/>
      </c>
      <c r="E118" s="536">
        <f>IFERROR(IF($J118&gt;0,INDEX('Invullen groen'!$G:$G,$J118),""),"")</f>
        <v/>
      </c>
      <c r="F118" s="537">
        <f>IFERROR(IF($J118&gt;0,IF(INDEX('Invullen groen'!$H:$H,$J118)&lt;&gt;0,INDEX('Invullen groen'!$H:$H,$J118),""),""),"")</f>
        <v/>
      </c>
      <c r="G118" s="537">
        <f>IFERROR(IF($J118&gt;0,IF(INDEX('Invullen groen'!$I:$I,$J118)&lt;&gt;0,INDEX('Invullen groen'!$I:$I,$J118),""),""),"")</f>
        <v/>
      </c>
      <c r="H118" s="537">
        <f>IFERROR(IF($J118&gt;0,IF(INDEX('Invullen groen'!$J:$J,$J118)&lt;&gt;0,INDEX('Invullen groen'!$J:$J,$J118),""),""),"")</f>
        <v/>
      </c>
      <c r="I118" s="537">
        <f>IFERROR(IF($J118&gt;0,IF(INDEX('Invullen groen'!$K:$K,$J118)&lt;&gt;0,INDEX('Invullen groen'!$K:$K,$J118),""),""),"")</f>
        <v/>
      </c>
      <c r="J118">
        <f>IFERROR(MATCH(ROW()-4,'Invullen groen'!$P$17:$P$272,0)+16,0)</f>
        <v/>
      </c>
    </row>
    <row r="119" hidden="1" ht="15" customHeight="1">
      <c r="A119" s="534">
        <f>IFERROR(IF($J119&gt;0,ROW()-4,""),"")</f>
        <v/>
      </c>
      <c r="B119" s="534">
        <f>IFERROR(IF($J119&gt;0,INDEX('Invullen groen'!$A:$A,$J119),""),"")</f>
        <v/>
      </c>
      <c r="C119" s="534">
        <f>IFERROR(IF($J119&gt;0,INDEX('Invullen groen'!$C:$C,$J119),""),"")</f>
        <v/>
      </c>
      <c r="D119" s="534">
        <f>IFERROR(IF($J119&gt;0,INDEX('Invullen groen'!$D:$D,$J119),""),"")</f>
        <v/>
      </c>
      <c r="E119" s="534">
        <f>IFERROR(IF($J119&gt;0,INDEX('Invullen groen'!$G:$G,$J119),""),"")</f>
        <v/>
      </c>
      <c r="F119" s="535">
        <f>IFERROR(IF($J119&gt;0,IF(INDEX('Invullen groen'!$H:$H,$J119)&lt;&gt;0,INDEX('Invullen groen'!$H:$H,$J119),""),""),"")</f>
        <v/>
      </c>
      <c r="G119" s="535">
        <f>IFERROR(IF($J119&gt;0,IF(INDEX('Invullen groen'!$I:$I,$J119)&lt;&gt;0,INDEX('Invullen groen'!$I:$I,$J119),""),""),"")</f>
        <v/>
      </c>
      <c r="H119" s="535">
        <f>IFERROR(IF($J119&gt;0,IF(INDEX('Invullen groen'!$J:$J,$J119)&lt;&gt;0,INDEX('Invullen groen'!$J:$J,$J119),""),""),"")</f>
        <v/>
      </c>
      <c r="I119" s="535">
        <f>IFERROR(IF($J119&gt;0,IF(INDEX('Invullen groen'!$K:$K,$J119)&lt;&gt;0,INDEX('Invullen groen'!$K:$K,$J119),""),""),"")</f>
        <v/>
      </c>
      <c r="J119">
        <f>IFERROR(MATCH(ROW()-4,'Invullen groen'!$P$17:$P$272,0)+16,0)</f>
        <v/>
      </c>
    </row>
    <row r="120" hidden="1" ht="15" customHeight="1">
      <c r="A120" s="536">
        <f>IFERROR(IF($J120&gt;0,ROW()-4,""),"")</f>
        <v/>
      </c>
      <c r="B120" s="536">
        <f>IFERROR(IF($J120&gt;0,INDEX('Invullen groen'!$A:$A,$J120),""),"")</f>
        <v/>
      </c>
      <c r="C120" s="536">
        <f>IFERROR(IF($J120&gt;0,INDEX('Invullen groen'!$C:$C,$J120),""),"")</f>
        <v/>
      </c>
      <c r="D120" s="536">
        <f>IFERROR(IF($J120&gt;0,INDEX('Invullen groen'!$D:$D,$J120),""),"")</f>
        <v/>
      </c>
      <c r="E120" s="536">
        <f>IFERROR(IF($J120&gt;0,INDEX('Invullen groen'!$G:$G,$J120),""),"")</f>
        <v/>
      </c>
      <c r="F120" s="537">
        <f>IFERROR(IF($J120&gt;0,IF(INDEX('Invullen groen'!$H:$H,$J120)&lt;&gt;0,INDEX('Invullen groen'!$H:$H,$J120),""),""),"")</f>
        <v/>
      </c>
      <c r="G120" s="537">
        <f>IFERROR(IF($J120&gt;0,IF(INDEX('Invullen groen'!$I:$I,$J120)&lt;&gt;0,INDEX('Invullen groen'!$I:$I,$J120),""),""),"")</f>
        <v/>
      </c>
      <c r="H120" s="537">
        <f>IFERROR(IF($J120&gt;0,IF(INDEX('Invullen groen'!$J:$J,$J120)&lt;&gt;0,INDEX('Invullen groen'!$J:$J,$J120),""),""),"")</f>
        <v/>
      </c>
      <c r="I120" s="537">
        <f>IFERROR(IF($J120&gt;0,IF(INDEX('Invullen groen'!$K:$K,$J120)&lt;&gt;0,INDEX('Invullen groen'!$K:$K,$J120),""),""),"")</f>
        <v/>
      </c>
      <c r="J120">
        <f>IFERROR(MATCH(ROW()-4,'Invullen groen'!$P$17:$P$272,0)+16,0)</f>
        <v/>
      </c>
    </row>
    <row r="121" hidden="1" ht="15" customHeight="1">
      <c r="A121" s="534">
        <f>IFERROR(IF($J121&gt;0,ROW()-4,""),"")</f>
        <v/>
      </c>
      <c r="B121" s="534">
        <f>IFERROR(IF($J121&gt;0,INDEX('Invullen groen'!$A:$A,$J121),""),"")</f>
        <v/>
      </c>
      <c r="C121" s="534">
        <f>IFERROR(IF($J121&gt;0,INDEX('Invullen groen'!$C:$C,$J121),""),"")</f>
        <v/>
      </c>
      <c r="D121" s="534">
        <f>IFERROR(IF($J121&gt;0,INDEX('Invullen groen'!$D:$D,$J121),""),"")</f>
        <v/>
      </c>
      <c r="E121" s="534">
        <f>IFERROR(IF($J121&gt;0,INDEX('Invullen groen'!$G:$G,$J121),""),"")</f>
        <v/>
      </c>
      <c r="F121" s="535">
        <f>IFERROR(IF($J121&gt;0,IF(INDEX('Invullen groen'!$H:$H,$J121)&lt;&gt;0,INDEX('Invullen groen'!$H:$H,$J121),""),""),"")</f>
        <v/>
      </c>
      <c r="G121" s="535">
        <f>IFERROR(IF($J121&gt;0,IF(INDEX('Invullen groen'!$I:$I,$J121)&lt;&gt;0,INDEX('Invullen groen'!$I:$I,$J121),""),""),"")</f>
        <v/>
      </c>
      <c r="H121" s="535">
        <f>IFERROR(IF($J121&gt;0,IF(INDEX('Invullen groen'!$J:$J,$J121)&lt;&gt;0,INDEX('Invullen groen'!$J:$J,$J121),""),""),"")</f>
        <v/>
      </c>
      <c r="I121" s="535">
        <f>IFERROR(IF($J121&gt;0,IF(INDEX('Invullen groen'!$K:$K,$J121)&lt;&gt;0,INDEX('Invullen groen'!$K:$K,$J121),""),""),"")</f>
        <v/>
      </c>
      <c r="J121">
        <f>IFERROR(MATCH(ROW()-4,'Invullen groen'!$P$17:$P$272,0)+16,0)</f>
        <v/>
      </c>
    </row>
    <row r="122" hidden="1" ht="15" customHeight="1">
      <c r="A122" s="536">
        <f>IFERROR(IF($J122&gt;0,ROW()-4,""),"")</f>
        <v/>
      </c>
      <c r="B122" s="536">
        <f>IFERROR(IF($J122&gt;0,INDEX('Invullen groen'!$A:$A,$J122),""),"")</f>
        <v/>
      </c>
      <c r="C122" s="536">
        <f>IFERROR(IF($J122&gt;0,INDEX('Invullen groen'!$C:$C,$J122),""),"")</f>
        <v/>
      </c>
      <c r="D122" s="536">
        <f>IFERROR(IF($J122&gt;0,INDEX('Invullen groen'!$D:$D,$J122),""),"")</f>
        <v/>
      </c>
      <c r="E122" s="536">
        <f>IFERROR(IF($J122&gt;0,INDEX('Invullen groen'!$G:$G,$J122),""),"")</f>
        <v/>
      </c>
      <c r="F122" s="537">
        <f>IFERROR(IF($J122&gt;0,IF(INDEX('Invullen groen'!$H:$H,$J122)&lt;&gt;0,INDEX('Invullen groen'!$H:$H,$J122),""),""),"")</f>
        <v/>
      </c>
      <c r="G122" s="537">
        <f>IFERROR(IF($J122&gt;0,IF(INDEX('Invullen groen'!$I:$I,$J122)&lt;&gt;0,INDEX('Invullen groen'!$I:$I,$J122),""),""),"")</f>
        <v/>
      </c>
      <c r="H122" s="537">
        <f>IFERROR(IF($J122&gt;0,IF(INDEX('Invullen groen'!$J:$J,$J122)&lt;&gt;0,INDEX('Invullen groen'!$J:$J,$J122),""),""),"")</f>
        <v/>
      </c>
      <c r="I122" s="537">
        <f>IFERROR(IF($J122&gt;0,IF(INDEX('Invullen groen'!$K:$K,$J122)&lt;&gt;0,INDEX('Invullen groen'!$K:$K,$J122),""),""),"")</f>
        <v/>
      </c>
      <c r="J122">
        <f>IFERROR(MATCH(ROW()-4,'Invullen groen'!$P$17:$P$272,0)+16,0)</f>
        <v/>
      </c>
    </row>
    <row r="123" hidden="1" ht="15" customHeight="1">
      <c r="A123" s="534">
        <f>IFERROR(IF($J123&gt;0,ROW()-4,""),"")</f>
        <v/>
      </c>
      <c r="B123" s="534">
        <f>IFERROR(IF($J123&gt;0,INDEX('Invullen groen'!$A:$A,$J123),""),"")</f>
        <v/>
      </c>
      <c r="C123" s="534">
        <f>IFERROR(IF($J123&gt;0,INDEX('Invullen groen'!$C:$C,$J123),""),"")</f>
        <v/>
      </c>
      <c r="D123" s="534">
        <f>IFERROR(IF($J123&gt;0,INDEX('Invullen groen'!$D:$D,$J123),""),"")</f>
        <v/>
      </c>
      <c r="E123" s="534">
        <f>IFERROR(IF($J123&gt;0,INDEX('Invullen groen'!$G:$G,$J123),""),"")</f>
        <v/>
      </c>
      <c r="F123" s="535">
        <f>IFERROR(IF($J123&gt;0,IF(INDEX('Invullen groen'!$H:$H,$J123)&lt;&gt;0,INDEX('Invullen groen'!$H:$H,$J123),""),""),"")</f>
        <v/>
      </c>
      <c r="G123" s="535">
        <f>IFERROR(IF($J123&gt;0,IF(INDEX('Invullen groen'!$I:$I,$J123)&lt;&gt;0,INDEX('Invullen groen'!$I:$I,$J123),""),""),"")</f>
        <v/>
      </c>
      <c r="H123" s="535">
        <f>IFERROR(IF($J123&gt;0,IF(INDEX('Invullen groen'!$J:$J,$J123)&lt;&gt;0,INDEX('Invullen groen'!$J:$J,$J123),""),""),"")</f>
        <v/>
      </c>
      <c r="I123" s="535">
        <f>IFERROR(IF($J123&gt;0,IF(INDEX('Invullen groen'!$K:$K,$J123)&lt;&gt;0,INDEX('Invullen groen'!$K:$K,$J123),""),""),"")</f>
        <v/>
      </c>
      <c r="J123">
        <f>IFERROR(MATCH(ROW()-4,'Invullen groen'!$P$17:$P$272,0)+16,0)</f>
        <v/>
      </c>
    </row>
    <row r="124" hidden="1" ht="15" customHeight="1">
      <c r="A124" s="536">
        <f>IFERROR(IF($J124&gt;0,ROW()-4,""),"")</f>
        <v/>
      </c>
      <c r="B124" s="536">
        <f>IFERROR(IF($J124&gt;0,INDEX('Invullen groen'!$A:$A,$J124),""),"")</f>
        <v/>
      </c>
      <c r="C124" s="536">
        <f>IFERROR(IF($J124&gt;0,INDEX('Invullen groen'!$C:$C,$J124),""),"")</f>
        <v/>
      </c>
      <c r="D124" s="536">
        <f>IFERROR(IF($J124&gt;0,INDEX('Invullen groen'!$D:$D,$J124),""),"")</f>
        <v/>
      </c>
      <c r="E124" s="536">
        <f>IFERROR(IF($J124&gt;0,INDEX('Invullen groen'!$G:$G,$J124),""),"")</f>
        <v/>
      </c>
      <c r="F124" s="537">
        <f>IFERROR(IF($J124&gt;0,IF(INDEX('Invullen groen'!$H:$H,$J124)&lt;&gt;0,INDEX('Invullen groen'!$H:$H,$J124),""),""),"")</f>
        <v/>
      </c>
      <c r="G124" s="537">
        <f>IFERROR(IF($J124&gt;0,IF(INDEX('Invullen groen'!$I:$I,$J124)&lt;&gt;0,INDEX('Invullen groen'!$I:$I,$J124),""),""),"")</f>
        <v/>
      </c>
      <c r="H124" s="537">
        <f>IFERROR(IF($J124&gt;0,IF(INDEX('Invullen groen'!$J:$J,$J124)&lt;&gt;0,INDEX('Invullen groen'!$J:$J,$J124),""),""),"")</f>
        <v/>
      </c>
      <c r="I124" s="537">
        <f>IFERROR(IF($J124&gt;0,IF(INDEX('Invullen groen'!$K:$K,$J124)&lt;&gt;0,INDEX('Invullen groen'!$K:$K,$J124),""),""),"")</f>
        <v/>
      </c>
      <c r="J124">
        <f>IFERROR(MATCH(ROW()-4,'Invullen groen'!$P$17:$P$272,0)+16,0)</f>
        <v/>
      </c>
    </row>
    <row r="125" hidden="1" ht="15" customHeight="1">
      <c r="A125" s="534">
        <f>IFERROR(IF($J125&gt;0,ROW()-4,""),"")</f>
        <v/>
      </c>
      <c r="B125" s="534">
        <f>IFERROR(IF($J125&gt;0,INDEX('Invullen groen'!$A:$A,$J125),""),"")</f>
        <v/>
      </c>
      <c r="C125" s="534">
        <f>IFERROR(IF($J125&gt;0,INDEX('Invullen groen'!$C:$C,$J125),""),"")</f>
        <v/>
      </c>
      <c r="D125" s="534">
        <f>IFERROR(IF($J125&gt;0,INDEX('Invullen groen'!$D:$D,$J125),""),"")</f>
        <v/>
      </c>
      <c r="E125" s="534">
        <f>IFERROR(IF($J125&gt;0,INDEX('Invullen groen'!$G:$G,$J125),""),"")</f>
        <v/>
      </c>
      <c r="F125" s="535">
        <f>IFERROR(IF($J125&gt;0,IF(INDEX('Invullen groen'!$H:$H,$J125)&lt;&gt;0,INDEX('Invullen groen'!$H:$H,$J125),""),""),"")</f>
        <v/>
      </c>
      <c r="G125" s="535">
        <f>IFERROR(IF($J125&gt;0,IF(INDEX('Invullen groen'!$I:$I,$J125)&lt;&gt;0,INDEX('Invullen groen'!$I:$I,$J125),""),""),"")</f>
        <v/>
      </c>
      <c r="H125" s="535">
        <f>IFERROR(IF($J125&gt;0,IF(INDEX('Invullen groen'!$J:$J,$J125)&lt;&gt;0,INDEX('Invullen groen'!$J:$J,$J125),""),""),"")</f>
        <v/>
      </c>
      <c r="I125" s="535">
        <f>IFERROR(IF($J125&gt;0,IF(INDEX('Invullen groen'!$K:$K,$J125)&lt;&gt;0,INDEX('Invullen groen'!$K:$K,$J125),""),""),"")</f>
        <v/>
      </c>
      <c r="J125">
        <f>IFERROR(MATCH(ROW()-4,'Invullen groen'!$P$17:$P$272,0)+16,0)</f>
        <v/>
      </c>
    </row>
    <row r="126" hidden="1" ht="15" customHeight="1">
      <c r="A126" s="536">
        <f>IFERROR(IF($J126&gt;0,ROW()-4,""),"")</f>
        <v/>
      </c>
      <c r="B126" s="536">
        <f>IFERROR(IF($J126&gt;0,INDEX('Invullen groen'!$A:$A,$J126),""),"")</f>
        <v/>
      </c>
      <c r="C126" s="536">
        <f>IFERROR(IF($J126&gt;0,INDEX('Invullen groen'!$C:$C,$J126),""),"")</f>
        <v/>
      </c>
      <c r="D126" s="536">
        <f>IFERROR(IF($J126&gt;0,INDEX('Invullen groen'!$D:$D,$J126),""),"")</f>
        <v/>
      </c>
      <c r="E126" s="536">
        <f>IFERROR(IF($J126&gt;0,INDEX('Invullen groen'!$G:$G,$J126),""),"")</f>
        <v/>
      </c>
      <c r="F126" s="537">
        <f>IFERROR(IF($J126&gt;0,IF(INDEX('Invullen groen'!$H:$H,$J126)&lt;&gt;0,INDEX('Invullen groen'!$H:$H,$J126),""),""),"")</f>
        <v/>
      </c>
      <c r="G126" s="537">
        <f>IFERROR(IF($J126&gt;0,IF(INDEX('Invullen groen'!$I:$I,$J126)&lt;&gt;0,INDEX('Invullen groen'!$I:$I,$J126),""),""),"")</f>
        <v/>
      </c>
      <c r="H126" s="537">
        <f>IFERROR(IF($J126&gt;0,IF(INDEX('Invullen groen'!$J:$J,$J126)&lt;&gt;0,INDEX('Invullen groen'!$J:$J,$J126),""),""),"")</f>
        <v/>
      </c>
      <c r="I126" s="537">
        <f>IFERROR(IF($J126&gt;0,IF(INDEX('Invullen groen'!$K:$K,$J126)&lt;&gt;0,INDEX('Invullen groen'!$K:$K,$J126),""),""),"")</f>
        <v/>
      </c>
      <c r="J126">
        <f>IFERROR(MATCH(ROW()-4,'Invullen groen'!$P$17:$P$272,0)+16,0)</f>
        <v/>
      </c>
    </row>
    <row r="127" hidden="1" ht="15" customHeight="1">
      <c r="A127" s="534">
        <f>IFERROR(IF($J127&gt;0,ROW()-4,""),"")</f>
        <v/>
      </c>
      <c r="B127" s="534">
        <f>IFERROR(IF($J127&gt;0,INDEX('Invullen groen'!$A:$A,$J127),""),"")</f>
        <v/>
      </c>
      <c r="C127" s="534">
        <f>IFERROR(IF($J127&gt;0,INDEX('Invullen groen'!$C:$C,$J127),""),"")</f>
        <v/>
      </c>
      <c r="D127" s="534">
        <f>IFERROR(IF($J127&gt;0,INDEX('Invullen groen'!$D:$D,$J127),""),"")</f>
        <v/>
      </c>
      <c r="E127" s="534">
        <f>IFERROR(IF($J127&gt;0,INDEX('Invullen groen'!$G:$G,$J127),""),"")</f>
        <v/>
      </c>
      <c r="F127" s="535">
        <f>IFERROR(IF($J127&gt;0,IF(INDEX('Invullen groen'!$H:$H,$J127)&lt;&gt;0,INDEX('Invullen groen'!$H:$H,$J127),""),""),"")</f>
        <v/>
      </c>
      <c r="G127" s="535">
        <f>IFERROR(IF($J127&gt;0,IF(INDEX('Invullen groen'!$I:$I,$J127)&lt;&gt;0,INDEX('Invullen groen'!$I:$I,$J127),""),""),"")</f>
        <v/>
      </c>
      <c r="H127" s="535">
        <f>IFERROR(IF($J127&gt;0,IF(INDEX('Invullen groen'!$J:$J,$J127)&lt;&gt;0,INDEX('Invullen groen'!$J:$J,$J127),""),""),"")</f>
        <v/>
      </c>
      <c r="I127" s="535">
        <f>IFERROR(IF($J127&gt;0,IF(INDEX('Invullen groen'!$K:$K,$J127)&lt;&gt;0,INDEX('Invullen groen'!$K:$K,$J127),""),""),"")</f>
        <v/>
      </c>
      <c r="J127">
        <f>IFERROR(MATCH(ROW()-4,'Invullen groen'!$P$17:$P$272,0)+16,0)</f>
        <v/>
      </c>
    </row>
    <row r="128" hidden="1" ht="15" customHeight="1">
      <c r="A128" s="536">
        <f>IFERROR(IF($J128&gt;0,ROW()-4,""),"")</f>
        <v/>
      </c>
      <c r="B128" s="536">
        <f>IFERROR(IF($J128&gt;0,INDEX('Invullen groen'!$A:$A,$J128),""),"")</f>
        <v/>
      </c>
      <c r="C128" s="536">
        <f>IFERROR(IF($J128&gt;0,INDEX('Invullen groen'!$C:$C,$J128),""),"")</f>
        <v/>
      </c>
      <c r="D128" s="536">
        <f>IFERROR(IF($J128&gt;0,INDEX('Invullen groen'!$D:$D,$J128),""),"")</f>
        <v/>
      </c>
      <c r="E128" s="536">
        <f>IFERROR(IF($J128&gt;0,INDEX('Invullen groen'!$G:$G,$J128),""),"")</f>
        <v/>
      </c>
      <c r="F128" s="537">
        <f>IFERROR(IF($J128&gt;0,IF(INDEX('Invullen groen'!$H:$H,$J128)&lt;&gt;0,INDEX('Invullen groen'!$H:$H,$J128),""),""),"")</f>
        <v/>
      </c>
      <c r="G128" s="537">
        <f>IFERROR(IF($J128&gt;0,IF(INDEX('Invullen groen'!$I:$I,$J128)&lt;&gt;0,INDEX('Invullen groen'!$I:$I,$J128),""),""),"")</f>
        <v/>
      </c>
      <c r="H128" s="537">
        <f>IFERROR(IF($J128&gt;0,IF(INDEX('Invullen groen'!$J:$J,$J128)&lt;&gt;0,INDEX('Invullen groen'!$J:$J,$J128),""),""),"")</f>
        <v/>
      </c>
      <c r="I128" s="537">
        <f>IFERROR(IF($J128&gt;0,IF(INDEX('Invullen groen'!$K:$K,$J128)&lt;&gt;0,INDEX('Invullen groen'!$K:$K,$J128),""),""),"")</f>
        <v/>
      </c>
      <c r="J128">
        <f>IFERROR(MATCH(ROW()-4,'Invullen groen'!$P$17:$P$272,0)+16,0)</f>
        <v/>
      </c>
    </row>
    <row r="129" hidden="1" ht="15" customHeight="1">
      <c r="A129" s="534">
        <f>IFERROR(IF($J129&gt;0,ROW()-4,""),"")</f>
        <v/>
      </c>
      <c r="B129" s="534">
        <f>IFERROR(IF($J129&gt;0,INDEX('Invullen groen'!$A:$A,$J129),""),"")</f>
        <v/>
      </c>
      <c r="C129" s="534">
        <f>IFERROR(IF($J129&gt;0,INDEX('Invullen groen'!$C:$C,$J129),""),"")</f>
        <v/>
      </c>
      <c r="D129" s="534">
        <f>IFERROR(IF($J129&gt;0,INDEX('Invullen groen'!$D:$D,$J129),""),"")</f>
        <v/>
      </c>
      <c r="E129" s="534">
        <f>IFERROR(IF($J129&gt;0,INDEX('Invullen groen'!$G:$G,$J129),""),"")</f>
        <v/>
      </c>
      <c r="F129" s="535">
        <f>IFERROR(IF($J129&gt;0,IF(INDEX('Invullen groen'!$H:$H,$J129)&lt;&gt;0,INDEX('Invullen groen'!$H:$H,$J129),""),""),"")</f>
        <v/>
      </c>
      <c r="G129" s="535">
        <f>IFERROR(IF($J129&gt;0,IF(INDEX('Invullen groen'!$I:$I,$J129)&lt;&gt;0,INDEX('Invullen groen'!$I:$I,$J129),""),""),"")</f>
        <v/>
      </c>
      <c r="H129" s="535">
        <f>IFERROR(IF($J129&gt;0,IF(INDEX('Invullen groen'!$J:$J,$J129)&lt;&gt;0,INDEX('Invullen groen'!$J:$J,$J129),""),""),"")</f>
        <v/>
      </c>
      <c r="I129" s="535">
        <f>IFERROR(IF($J129&gt;0,IF(INDEX('Invullen groen'!$K:$K,$J129)&lt;&gt;0,INDEX('Invullen groen'!$K:$K,$J129),""),""),"")</f>
        <v/>
      </c>
      <c r="J129">
        <f>IFERROR(MATCH(ROW()-4,'Invullen groen'!$P$17:$P$272,0)+16,0)</f>
        <v/>
      </c>
    </row>
    <row r="130" hidden="1" ht="15" customHeight="1">
      <c r="A130" s="536">
        <f>IFERROR(IF($J130&gt;0,ROW()-4,""),"")</f>
        <v/>
      </c>
      <c r="B130" s="536">
        <f>IFERROR(IF($J130&gt;0,INDEX('Invullen groen'!$A:$A,$J130),""),"")</f>
        <v/>
      </c>
      <c r="C130" s="536">
        <f>IFERROR(IF($J130&gt;0,INDEX('Invullen groen'!$C:$C,$J130),""),"")</f>
        <v/>
      </c>
      <c r="D130" s="536">
        <f>IFERROR(IF($J130&gt;0,INDEX('Invullen groen'!$D:$D,$J130),""),"")</f>
        <v/>
      </c>
      <c r="E130" s="536">
        <f>IFERROR(IF($J130&gt;0,INDEX('Invullen groen'!$G:$G,$J130),""),"")</f>
        <v/>
      </c>
      <c r="F130" s="537">
        <f>IFERROR(IF($J130&gt;0,IF(INDEX('Invullen groen'!$H:$H,$J130)&lt;&gt;0,INDEX('Invullen groen'!$H:$H,$J130),""),""),"")</f>
        <v/>
      </c>
      <c r="G130" s="537">
        <f>IFERROR(IF($J130&gt;0,IF(INDEX('Invullen groen'!$I:$I,$J130)&lt;&gt;0,INDEX('Invullen groen'!$I:$I,$J130),""),""),"")</f>
        <v/>
      </c>
      <c r="H130" s="537">
        <f>IFERROR(IF($J130&gt;0,IF(INDEX('Invullen groen'!$J:$J,$J130)&lt;&gt;0,INDEX('Invullen groen'!$J:$J,$J130),""),""),"")</f>
        <v/>
      </c>
      <c r="I130" s="537">
        <f>IFERROR(IF($J130&gt;0,IF(INDEX('Invullen groen'!$K:$K,$J130)&lt;&gt;0,INDEX('Invullen groen'!$K:$K,$J130),""),""),"")</f>
        <v/>
      </c>
      <c r="J130">
        <f>IFERROR(MATCH(ROW()-4,'Invullen groen'!$P$17:$P$272,0)+16,0)</f>
        <v/>
      </c>
    </row>
    <row r="131" hidden="1" ht="15" customHeight="1">
      <c r="A131" s="534">
        <f>IFERROR(IF($J131&gt;0,ROW()-4,""),"")</f>
        <v/>
      </c>
      <c r="B131" s="534">
        <f>IFERROR(IF($J131&gt;0,INDEX('Invullen groen'!$A:$A,$J131),""),"")</f>
        <v/>
      </c>
      <c r="C131" s="534">
        <f>IFERROR(IF($J131&gt;0,INDEX('Invullen groen'!$C:$C,$J131),""),"")</f>
        <v/>
      </c>
      <c r="D131" s="534">
        <f>IFERROR(IF($J131&gt;0,INDEX('Invullen groen'!$D:$D,$J131),""),"")</f>
        <v/>
      </c>
      <c r="E131" s="534">
        <f>IFERROR(IF($J131&gt;0,INDEX('Invullen groen'!$G:$G,$J131),""),"")</f>
        <v/>
      </c>
      <c r="F131" s="535">
        <f>IFERROR(IF($J131&gt;0,IF(INDEX('Invullen groen'!$H:$H,$J131)&lt;&gt;0,INDEX('Invullen groen'!$H:$H,$J131),""),""),"")</f>
        <v/>
      </c>
      <c r="G131" s="535">
        <f>IFERROR(IF($J131&gt;0,IF(INDEX('Invullen groen'!$I:$I,$J131)&lt;&gt;0,INDEX('Invullen groen'!$I:$I,$J131),""),""),"")</f>
        <v/>
      </c>
      <c r="H131" s="535">
        <f>IFERROR(IF($J131&gt;0,IF(INDEX('Invullen groen'!$J:$J,$J131)&lt;&gt;0,INDEX('Invullen groen'!$J:$J,$J131),""),""),"")</f>
        <v/>
      </c>
      <c r="I131" s="535">
        <f>IFERROR(IF($J131&gt;0,IF(INDEX('Invullen groen'!$K:$K,$J131)&lt;&gt;0,INDEX('Invullen groen'!$K:$K,$J131),""),""),"")</f>
        <v/>
      </c>
      <c r="J131">
        <f>IFERROR(MATCH(ROW()-4,'Invullen groen'!$P$17:$P$272,0)+16,0)</f>
        <v/>
      </c>
    </row>
    <row r="132" hidden="1" ht="15" customHeight="1">
      <c r="A132" s="536">
        <f>IFERROR(IF($J132&gt;0,ROW()-4,""),"")</f>
        <v/>
      </c>
      <c r="B132" s="536">
        <f>IFERROR(IF($J132&gt;0,INDEX('Invullen groen'!$A:$A,$J132),""),"")</f>
        <v/>
      </c>
      <c r="C132" s="536">
        <f>IFERROR(IF($J132&gt;0,INDEX('Invullen groen'!$C:$C,$J132),""),"")</f>
        <v/>
      </c>
      <c r="D132" s="536">
        <f>IFERROR(IF($J132&gt;0,INDEX('Invullen groen'!$D:$D,$J132),""),"")</f>
        <v/>
      </c>
      <c r="E132" s="536">
        <f>IFERROR(IF($J132&gt;0,INDEX('Invullen groen'!$G:$G,$J132),""),"")</f>
        <v/>
      </c>
      <c r="F132" s="537">
        <f>IFERROR(IF($J132&gt;0,IF(INDEX('Invullen groen'!$H:$H,$J132)&lt;&gt;0,INDEX('Invullen groen'!$H:$H,$J132),""),""),"")</f>
        <v/>
      </c>
      <c r="G132" s="537">
        <f>IFERROR(IF($J132&gt;0,IF(INDEX('Invullen groen'!$I:$I,$J132)&lt;&gt;0,INDEX('Invullen groen'!$I:$I,$J132),""),""),"")</f>
        <v/>
      </c>
      <c r="H132" s="537">
        <f>IFERROR(IF($J132&gt;0,IF(INDEX('Invullen groen'!$J:$J,$J132)&lt;&gt;0,INDEX('Invullen groen'!$J:$J,$J132),""),""),"")</f>
        <v/>
      </c>
      <c r="I132" s="537">
        <f>IFERROR(IF($J132&gt;0,IF(INDEX('Invullen groen'!$K:$K,$J132)&lt;&gt;0,INDEX('Invullen groen'!$K:$K,$J132),""),""),"")</f>
        <v/>
      </c>
      <c r="J132">
        <f>IFERROR(MATCH(ROW()-4,'Invullen groen'!$P$17:$P$272,0)+16,0)</f>
        <v/>
      </c>
    </row>
    <row r="133" hidden="1" ht="15" customHeight="1">
      <c r="A133" s="534">
        <f>IFERROR(IF($J133&gt;0,ROW()-4,""),"")</f>
        <v/>
      </c>
      <c r="B133" s="534">
        <f>IFERROR(IF($J133&gt;0,INDEX('Invullen groen'!$A:$A,$J133),""),"")</f>
        <v/>
      </c>
      <c r="C133" s="534">
        <f>IFERROR(IF($J133&gt;0,INDEX('Invullen groen'!$C:$C,$J133),""),"")</f>
        <v/>
      </c>
      <c r="D133" s="534">
        <f>IFERROR(IF($J133&gt;0,INDEX('Invullen groen'!$D:$D,$J133),""),"")</f>
        <v/>
      </c>
      <c r="E133" s="534">
        <f>IFERROR(IF($J133&gt;0,INDEX('Invullen groen'!$G:$G,$J133),""),"")</f>
        <v/>
      </c>
      <c r="F133" s="535">
        <f>IFERROR(IF($J133&gt;0,IF(INDEX('Invullen groen'!$H:$H,$J133)&lt;&gt;0,INDEX('Invullen groen'!$H:$H,$J133),""),""),"")</f>
        <v/>
      </c>
      <c r="G133" s="535">
        <f>IFERROR(IF($J133&gt;0,IF(INDEX('Invullen groen'!$I:$I,$J133)&lt;&gt;0,INDEX('Invullen groen'!$I:$I,$J133),""),""),"")</f>
        <v/>
      </c>
      <c r="H133" s="535">
        <f>IFERROR(IF($J133&gt;0,IF(INDEX('Invullen groen'!$J:$J,$J133)&lt;&gt;0,INDEX('Invullen groen'!$J:$J,$J133),""),""),"")</f>
        <v/>
      </c>
      <c r="I133" s="535">
        <f>IFERROR(IF($J133&gt;0,IF(INDEX('Invullen groen'!$K:$K,$J133)&lt;&gt;0,INDEX('Invullen groen'!$K:$K,$J133),""),""),"")</f>
        <v/>
      </c>
      <c r="J133">
        <f>IFERROR(MATCH(ROW()-4,'Invullen groen'!$P$17:$P$272,0)+16,0)</f>
        <v/>
      </c>
    </row>
    <row r="134" hidden="1" ht="15" customHeight="1">
      <c r="A134" s="536">
        <f>IFERROR(IF($J134&gt;0,ROW()-4,""),"")</f>
        <v/>
      </c>
      <c r="B134" s="536">
        <f>IFERROR(IF($J134&gt;0,INDEX('Invullen groen'!$A:$A,$J134),""),"")</f>
        <v/>
      </c>
      <c r="C134" s="536">
        <f>IFERROR(IF($J134&gt;0,INDEX('Invullen groen'!$C:$C,$J134),""),"")</f>
        <v/>
      </c>
      <c r="D134" s="536">
        <f>IFERROR(IF($J134&gt;0,INDEX('Invullen groen'!$D:$D,$J134),""),"")</f>
        <v/>
      </c>
      <c r="E134" s="536">
        <f>IFERROR(IF($J134&gt;0,INDEX('Invullen groen'!$G:$G,$J134),""),"")</f>
        <v/>
      </c>
      <c r="F134" s="537">
        <f>IFERROR(IF($J134&gt;0,IF(INDEX('Invullen groen'!$H:$H,$J134)&lt;&gt;0,INDEX('Invullen groen'!$H:$H,$J134),""),""),"")</f>
        <v/>
      </c>
      <c r="G134" s="537">
        <f>IFERROR(IF($J134&gt;0,IF(INDEX('Invullen groen'!$I:$I,$J134)&lt;&gt;0,INDEX('Invullen groen'!$I:$I,$J134),""),""),"")</f>
        <v/>
      </c>
      <c r="H134" s="537">
        <f>IFERROR(IF($J134&gt;0,IF(INDEX('Invullen groen'!$J:$J,$J134)&lt;&gt;0,INDEX('Invullen groen'!$J:$J,$J134),""),""),"")</f>
        <v/>
      </c>
      <c r="I134" s="537">
        <f>IFERROR(IF($J134&gt;0,IF(INDEX('Invullen groen'!$K:$K,$J134)&lt;&gt;0,INDEX('Invullen groen'!$K:$K,$J134),""),""),"")</f>
        <v/>
      </c>
      <c r="J134">
        <f>IFERROR(MATCH(ROW()-4,'Invullen groen'!$P$17:$P$272,0)+16,0)</f>
        <v/>
      </c>
    </row>
    <row r="135" hidden="1" ht="15" customHeight="1">
      <c r="A135" s="534">
        <f>IFERROR(IF($J135&gt;0,ROW()-4,""),"")</f>
        <v/>
      </c>
      <c r="B135" s="534">
        <f>IFERROR(IF($J135&gt;0,INDEX('Invullen groen'!$A:$A,$J135),""),"")</f>
        <v/>
      </c>
      <c r="C135" s="534">
        <f>IFERROR(IF($J135&gt;0,INDEX('Invullen groen'!$C:$C,$J135),""),"")</f>
        <v/>
      </c>
      <c r="D135" s="534">
        <f>IFERROR(IF($J135&gt;0,INDEX('Invullen groen'!$D:$D,$J135),""),"")</f>
        <v/>
      </c>
      <c r="E135" s="534">
        <f>IFERROR(IF($J135&gt;0,INDEX('Invullen groen'!$G:$G,$J135),""),"")</f>
        <v/>
      </c>
      <c r="F135" s="535">
        <f>IFERROR(IF($J135&gt;0,IF(INDEX('Invullen groen'!$H:$H,$J135)&lt;&gt;0,INDEX('Invullen groen'!$H:$H,$J135),""),""),"")</f>
        <v/>
      </c>
      <c r="G135" s="535">
        <f>IFERROR(IF($J135&gt;0,IF(INDEX('Invullen groen'!$I:$I,$J135)&lt;&gt;0,INDEX('Invullen groen'!$I:$I,$J135),""),""),"")</f>
        <v/>
      </c>
      <c r="H135" s="535">
        <f>IFERROR(IF($J135&gt;0,IF(INDEX('Invullen groen'!$J:$J,$J135)&lt;&gt;0,INDEX('Invullen groen'!$J:$J,$J135),""),""),"")</f>
        <v/>
      </c>
      <c r="I135" s="535">
        <f>IFERROR(IF($J135&gt;0,IF(INDEX('Invullen groen'!$K:$K,$J135)&lt;&gt;0,INDEX('Invullen groen'!$K:$K,$J135),""),""),"")</f>
        <v/>
      </c>
      <c r="J135">
        <f>IFERROR(MATCH(ROW()-4,'Invullen groen'!$P$17:$P$272,0)+16,0)</f>
        <v/>
      </c>
    </row>
    <row r="136" hidden="1" ht="15" customHeight="1">
      <c r="A136" s="536">
        <f>IFERROR(IF($J136&gt;0,ROW()-4,""),"")</f>
        <v/>
      </c>
      <c r="B136" s="536">
        <f>IFERROR(IF($J136&gt;0,INDEX('Invullen groen'!$A:$A,$J136),""),"")</f>
        <v/>
      </c>
      <c r="C136" s="536">
        <f>IFERROR(IF($J136&gt;0,INDEX('Invullen groen'!$C:$C,$J136),""),"")</f>
        <v/>
      </c>
      <c r="D136" s="536">
        <f>IFERROR(IF($J136&gt;0,INDEX('Invullen groen'!$D:$D,$J136),""),"")</f>
        <v/>
      </c>
      <c r="E136" s="536">
        <f>IFERROR(IF($J136&gt;0,INDEX('Invullen groen'!$G:$G,$J136),""),"")</f>
        <v/>
      </c>
      <c r="F136" s="537">
        <f>IFERROR(IF($J136&gt;0,IF(INDEX('Invullen groen'!$H:$H,$J136)&lt;&gt;0,INDEX('Invullen groen'!$H:$H,$J136),""),""),"")</f>
        <v/>
      </c>
      <c r="G136" s="537">
        <f>IFERROR(IF($J136&gt;0,IF(INDEX('Invullen groen'!$I:$I,$J136)&lt;&gt;0,INDEX('Invullen groen'!$I:$I,$J136),""),""),"")</f>
        <v/>
      </c>
      <c r="H136" s="537">
        <f>IFERROR(IF($J136&gt;0,IF(INDEX('Invullen groen'!$J:$J,$J136)&lt;&gt;0,INDEX('Invullen groen'!$J:$J,$J136),""),""),"")</f>
        <v/>
      </c>
      <c r="I136" s="537">
        <f>IFERROR(IF($J136&gt;0,IF(INDEX('Invullen groen'!$K:$K,$J136)&lt;&gt;0,INDEX('Invullen groen'!$K:$K,$J136),""),""),"")</f>
        <v/>
      </c>
      <c r="J136">
        <f>IFERROR(MATCH(ROW()-4,'Invullen groen'!$P$17:$P$272,0)+16,0)</f>
        <v/>
      </c>
    </row>
    <row r="137" hidden="1" ht="15" customHeight="1">
      <c r="A137" s="534">
        <f>IFERROR(IF($J137&gt;0,ROW()-4,""),"")</f>
        <v/>
      </c>
      <c r="B137" s="534">
        <f>IFERROR(IF($J137&gt;0,INDEX('Invullen groen'!$A:$A,$J137),""),"")</f>
        <v/>
      </c>
      <c r="C137" s="534">
        <f>IFERROR(IF($J137&gt;0,INDEX('Invullen groen'!$C:$C,$J137),""),"")</f>
        <v/>
      </c>
      <c r="D137" s="534">
        <f>IFERROR(IF($J137&gt;0,INDEX('Invullen groen'!$D:$D,$J137),""),"")</f>
        <v/>
      </c>
      <c r="E137" s="534">
        <f>IFERROR(IF($J137&gt;0,INDEX('Invullen groen'!$G:$G,$J137),""),"")</f>
        <v/>
      </c>
      <c r="F137" s="535">
        <f>IFERROR(IF($J137&gt;0,IF(INDEX('Invullen groen'!$H:$H,$J137)&lt;&gt;0,INDEX('Invullen groen'!$H:$H,$J137),""),""),"")</f>
        <v/>
      </c>
      <c r="G137" s="535">
        <f>IFERROR(IF($J137&gt;0,IF(INDEX('Invullen groen'!$I:$I,$J137)&lt;&gt;0,INDEX('Invullen groen'!$I:$I,$J137),""),""),"")</f>
        <v/>
      </c>
      <c r="H137" s="535">
        <f>IFERROR(IF($J137&gt;0,IF(INDEX('Invullen groen'!$J:$J,$J137)&lt;&gt;0,INDEX('Invullen groen'!$J:$J,$J137),""),""),"")</f>
        <v/>
      </c>
      <c r="I137" s="535">
        <f>IFERROR(IF($J137&gt;0,IF(INDEX('Invullen groen'!$K:$K,$J137)&lt;&gt;0,INDEX('Invullen groen'!$K:$K,$J137),""),""),"")</f>
        <v/>
      </c>
      <c r="J137">
        <f>IFERROR(MATCH(ROW()-4,'Invullen groen'!$P$17:$P$272,0)+16,0)</f>
        <v/>
      </c>
    </row>
    <row r="138" hidden="1" ht="15" customHeight="1">
      <c r="A138" s="536">
        <f>IFERROR(IF($J138&gt;0,ROW()-4,""),"")</f>
        <v/>
      </c>
      <c r="B138" s="536">
        <f>IFERROR(IF($J138&gt;0,INDEX('Invullen groen'!$A:$A,$J138),""),"")</f>
        <v/>
      </c>
      <c r="C138" s="536">
        <f>IFERROR(IF($J138&gt;0,INDEX('Invullen groen'!$C:$C,$J138),""),"")</f>
        <v/>
      </c>
      <c r="D138" s="536">
        <f>IFERROR(IF($J138&gt;0,INDEX('Invullen groen'!$D:$D,$J138),""),"")</f>
        <v/>
      </c>
      <c r="E138" s="536">
        <f>IFERROR(IF($J138&gt;0,INDEX('Invullen groen'!$G:$G,$J138),""),"")</f>
        <v/>
      </c>
      <c r="F138" s="537">
        <f>IFERROR(IF($J138&gt;0,IF(INDEX('Invullen groen'!$H:$H,$J138)&lt;&gt;0,INDEX('Invullen groen'!$H:$H,$J138),""),""),"")</f>
        <v/>
      </c>
      <c r="G138" s="537">
        <f>IFERROR(IF($J138&gt;0,IF(INDEX('Invullen groen'!$I:$I,$J138)&lt;&gt;0,INDEX('Invullen groen'!$I:$I,$J138),""),""),"")</f>
        <v/>
      </c>
      <c r="H138" s="537">
        <f>IFERROR(IF($J138&gt;0,IF(INDEX('Invullen groen'!$J:$J,$J138)&lt;&gt;0,INDEX('Invullen groen'!$J:$J,$J138),""),""),"")</f>
        <v/>
      </c>
      <c r="I138" s="537">
        <f>IFERROR(IF($J138&gt;0,IF(INDEX('Invullen groen'!$K:$K,$J138)&lt;&gt;0,INDEX('Invullen groen'!$K:$K,$J138),""),""),"")</f>
        <v/>
      </c>
      <c r="J138">
        <f>IFERROR(MATCH(ROW()-4,'Invullen groen'!$P$17:$P$272,0)+16,0)</f>
        <v/>
      </c>
    </row>
    <row r="139" hidden="1" ht="15" customHeight="1">
      <c r="A139" s="534">
        <f>IFERROR(IF($J139&gt;0,ROW()-4,""),"")</f>
        <v/>
      </c>
      <c r="B139" s="534">
        <f>IFERROR(IF($J139&gt;0,INDEX('Invullen groen'!$A:$A,$J139),""),"")</f>
        <v/>
      </c>
      <c r="C139" s="534">
        <f>IFERROR(IF($J139&gt;0,INDEX('Invullen groen'!$C:$C,$J139),""),"")</f>
        <v/>
      </c>
      <c r="D139" s="534">
        <f>IFERROR(IF($J139&gt;0,INDEX('Invullen groen'!$D:$D,$J139),""),"")</f>
        <v/>
      </c>
      <c r="E139" s="534">
        <f>IFERROR(IF($J139&gt;0,INDEX('Invullen groen'!$G:$G,$J139),""),"")</f>
        <v/>
      </c>
      <c r="F139" s="535">
        <f>IFERROR(IF($J139&gt;0,IF(INDEX('Invullen groen'!$H:$H,$J139)&lt;&gt;0,INDEX('Invullen groen'!$H:$H,$J139),""),""),"")</f>
        <v/>
      </c>
      <c r="G139" s="535">
        <f>IFERROR(IF($J139&gt;0,IF(INDEX('Invullen groen'!$I:$I,$J139)&lt;&gt;0,INDEX('Invullen groen'!$I:$I,$J139),""),""),"")</f>
        <v/>
      </c>
      <c r="H139" s="535">
        <f>IFERROR(IF($J139&gt;0,IF(INDEX('Invullen groen'!$J:$J,$J139)&lt;&gt;0,INDEX('Invullen groen'!$J:$J,$J139),""),""),"")</f>
        <v/>
      </c>
      <c r="I139" s="535">
        <f>IFERROR(IF($J139&gt;0,IF(INDEX('Invullen groen'!$K:$K,$J139)&lt;&gt;0,INDEX('Invullen groen'!$K:$K,$J139),""),""),"")</f>
        <v/>
      </c>
      <c r="J139">
        <f>IFERROR(MATCH(ROW()-4,'Invullen groen'!$P$17:$P$272,0)+16,0)</f>
        <v/>
      </c>
    </row>
    <row r="140" hidden="1" ht="15" customHeight="1">
      <c r="A140" s="536">
        <f>IFERROR(IF($J140&gt;0,ROW()-4,""),"")</f>
        <v/>
      </c>
      <c r="B140" s="536">
        <f>IFERROR(IF($J140&gt;0,INDEX('Invullen groen'!$A:$A,$J140),""),"")</f>
        <v/>
      </c>
      <c r="C140" s="536">
        <f>IFERROR(IF($J140&gt;0,INDEX('Invullen groen'!$C:$C,$J140),""),"")</f>
        <v/>
      </c>
      <c r="D140" s="536">
        <f>IFERROR(IF($J140&gt;0,INDEX('Invullen groen'!$D:$D,$J140),""),"")</f>
        <v/>
      </c>
      <c r="E140" s="536">
        <f>IFERROR(IF($J140&gt;0,INDEX('Invullen groen'!$G:$G,$J140),""),"")</f>
        <v/>
      </c>
      <c r="F140" s="537">
        <f>IFERROR(IF($J140&gt;0,IF(INDEX('Invullen groen'!$H:$H,$J140)&lt;&gt;0,INDEX('Invullen groen'!$H:$H,$J140),""),""),"")</f>
        <v/>
      </c>
      <c r="G140" s="537">
        <f>IFERROR(IF($J140&gt;0,IF(INDEX('Invullen groen'!$I:$I,$J140)&lt;&gt;0,INDEX('Invullen groen'!$I:$I,$J140),""),""),"")</f>
        <v/>
      </c>
      <c r="H140" s="537">
        <f>IFERROR(IF($J140&gt;0,IF(INDEX('Invullen groen'!$J:$J,$J140)&lt;&gt;0,INDEX('Invullen groen'!$J:$J,$J140),""),""),"")</f>
        <v/>
      </c>
      <c r="I140" s="537">
        <f>IFERROR(IF($J140&gt;0,IF(INDEX('Invullen groen'!$K:$K,$J140)&lt;&gt;0,INDEX('Invullen groen'!$K:$K,$J140),""),""),"")</f>
        <v/>
      </c>
      <c r="J140">
        <f>IFERROR(MATCH(ROW()-4,'Invullen groen'!$P$17:$P$272,0)+16,0)</f>
        <v/>
      </c>
    </row>
    <row r="141" hidden="1" ht="15" customHeight="1">
      <c r="A141" s="534">
        <f>IFERROR(IF($J141&gt;0,ROW()-4,""),"")</f>
        <v/>
      </c>
      <c r="B141" s="534">
        <f>IFERROR(IF($J141&gt;0,INDEX('Invullen groen'!$A:$A,$J141),""),"")</f>
        <v/>
      </c>
      <c r="C141" s="534">
        <f>IFERROR(IF($J141&gt;0,INDEX('Invullen groen'!$C:$C,$J141),""),"")</f>
        <v/>
      </c>
      <c r="D141" s="534">
        <f>IFERROR(IF($J141&gt;0,INDEX('Invullen groen'!$D:$D,$J141),""),"")</f>
        <v/>
      </c>
      <c r="E141" s="534">
        <f>IFERROR(IF($J141&gt;0,INDEX('Invullen groen'!$G:$G,$J141),""),"")</f>
        <v/>
      </c>
      <c r="F141" s="535">
        <f>IFERROR(IF($J141&gt;0,IF(INDEX('Invullen groen'!$H:$H,$J141)&lt;&gt;0,INDEX('Invullen groen'!$H:$H,$J141),""),""),"")</f>
        <v/>
      </c>
      <c r="G141" s="535">
        <f>IFERROR(IF($J141&gt;0,IF(INDEX('Invullen groen'!$I:$I,$J141)&lt;&gt;0,INDEX('Invullen groen'!$I:$I,$J141),""),""),"")</f>
        <v/>
      </c>
      <c r="H141" s="535">
        <f>IFERROR(IF($J141&gt;0,IF(INDEX('Invullen groen'!$J:$J,$J141)&lt;&gt;0,INDEX('Invullen groen'!$J:$J,$J141),""),""),"")</f>
        <v/>
      </c>
      <c r="I141" s="535">
        <f>IFERROR(IF($J141&gt;0,IF(INDEX('Invullen groen'!$K:$K,$J141)&lt;&gt;0,INDEX('Invullen groen'!$K:$K,$J141),""),""),"")</f>
        <v/>
      </c>
      <c r="J141">
        <f>IFERROR(MATCH(ROW()-4,'Invullen groen'!$P$17:$P$272,0)+16,0)</f>
        <v/>
      </c>
    </row>
    <row r="142" hidden="1" ht="15" customHeight="1">
      <c r="A142" s="536">
        <f>IFERROR(IF($J142&gt;0,ROW()-4,""),"")</f>
        <v/>
      </c>
      <c r="B142" s="536">
        <f>IFERROR(IF($J142&gt;0,INDEX('Invullen groen'!$A:$A,$J142),""),"")</f>
        <v/>
      </c>
      <c r="C142" s="536">
        <f>IFERROR(IF($J142&gt;0,INDEX('Invullen groen'!$C:$C,$J142),""),"")</f>
        <v/>
      </c>
      <c r="D142" s="536">
        <f>IFERROR(IF($J142&gt;0,INDEX('Invullen groen'!$D:$D,$J142),""),"")</f>
        <v/>
      </c>
      <c r="E142" s="536">
        <f>IFERROR(IF($J142&gt;0,INDEX('Invullen groen'!$G:$G,$J142),""),"")</f>
        <v/>
      </c>
      <c r="F142" s="537">
        <f>IFERROR(IF($J142&gt;0,IF(INDEX('Invullen groen'!$H:$H,$J142)&lt;&gt;0,INDEX('Invullen groen'!$H:$H,$J142),""),""),"")</f>
        <v/>
      </c>
      <c r="G142" s="537">
        <f>IFERROR(IF($J142&gt;0,IF(INDEX('Invullen groen'!$I:$I,$J142)&lt;&gt;0,INDEX('Invullen groen'!$I:$I,$J142),""),""),"")</f>
        <v/>
      </c>
      <c r="H142" s="537">
        <f>IFERROR(IF($J142&gt;0,IF(INDEX('Invullen groen'!$J:$J,$J142)&lt;&gt;0,INDEX('Invullen groen'!$J:$J,$J142),""),""),"")</f>
        <v/>
      </c>
      <c r="I142" s="537">
        <f>IFERROR(IF($J142&gt;0,IF(INDEX('Invullen groen'!$K:$K,$J142)&lt;&gt;0,INDEX('Invullen groen'!$K:$K,$J142),""),""),"")</f>
        <v/>
      </c>
      <c r="J142">
        <f>IFERROR(MATCH(ROW()-4,'Invullen groen'!$P$17:$P$272,0)+16,0)</f>
        <v/>
      </c>
    </row>
    <row r="143" hidden="1" ht="15" customHeight="1">
      <c r="A143" s="534">
        <f>IFERROR(IF($J143&gt;0,ROW()-4,""),"")</f>
        <v/>
      </c>
      <c r="B143" s="534">
        <f>IFERROR(IF($J143&gt;0,INDEX('Invullen groen'!$A:$A,$J143),""),"")</f>
        <v/>
      </c>
      <c r="C143" s="534">
        <f>IFERROR(IF($J143&gt;0,INDEX('Invullen groen'!$C:$C,$J143),""),"")</f>
        <v/>
      </c>
      <c r="D143" s="534">
        <f>IFERROR(IF($J143&gt;0,INDEX('Invullen groen'!$D:$D,$J143),""),"")</f>
        <v/>
      </c>
      <c r="E143" s="534">
        <f>IFERROR(IF($J143&gt;0,INDEX('Invullen groen'!$G:$G,$J143),""),"")</f>
        <v/>
      </c>
      <c r="F143" s="535">
        <f>IFERROR(IF($J143&gt;0,IF(INDEX('Invullen groen'!$H:$H,$J143)&lt;&gt;0,INDEX('Invullen groen'!$H:$H,$J143),""),""),"")</f>
        <v/>
      </c>
      <c r="G143" s="535">
        <f>IFERROR(IF($J143&gt;0,IF(INDEX('Invullen groen'!$I:$I,$J143)&lt;&gt;0,INDEX('Invullen groen'!$I:$I,$J143),""),""),"")</f>
        <v/>
      </c>
      <c r="H143" s="535">
        <f>IFERROR(IF($J143&gt;0,IF(INDEX('Invullen groen'!$J:$J,$J143)&lt;&gt;0,INDEX('Invullen groen'!$J:$J,$J143),""),""),"")</f>
        <v/>
      </c>
      <c r="I143" s="535">
        <f>IFERROR(IF($J143&gt;0,IF(INDEX('Invullen groen'!$K:$K,$J143)&lt;&gt;0,INDEX('Invullen groen'!$K:$K,$J143),""),""),"")</f>
        <v/>
      </c>
      <c r="J143">
        <f>IFERROR(MATCH(ROW()-4,'Invullen groen'!$P$17:$P$272,0)+16,0)</f>
        <v/>
      </c>
    </row>
    <row r="144" hidden="1" ht="15" customHeight="1">
      <c r="A144" s="536">
        <f>IFERROR(IF($J144&gt;0,ROW()-4,""),"")</f>
        <v/>
      </c>
      <c r="B144" s="536">
        <f>IFERROR(IF($J144&gt;0,INDEX('Invullen groen'!$A:$A,$J144),""),"")</f>
        <v/>
      </c>
      <c r="C144" s="536">
        <f>IFERROR(IF($J144&gt;0,INDEX('Invullen groen'!$C:$C,$J144),""),"")</f>
        <v/>
      </c>
      <c r="D144" s="536">
        <f>IFERROR(IF($J144&gt;0,INDEX('Invullen groen'!$D:$D,$J144),""),"")</f>
        <v/>
      </c>
      <c r="E144" s="536">
        <f>IFERROR(IF($J144&gt;0,INDEX('Invullen groen'!$G:$G,$J144),""),"")</f>
        <v/>
      </c>
      <c r="F144" s="537">
        <f>IFERROR(IF($J144&gt;0,IF(INDEX('Invullen groen'!$H:$H,$J144)&lt;&gt;0,INDEX('Invullen groen'!$H:$H,$J144),""),""),"")</f>
        <v/>
      </c>
      <c r="G144" s="537">
        <f>IFERROR(IF($J144&gt;0,IF(INDEX('Invullen groen'!$I:$I,$J144)&lt;&gt;0,INDEX('Invullen groen'!$I:$I,$J144),""),""),"")</f>
        <v/>
      </c>
      <c r="H144" s="537">
        <f>IFERROR(IF($J144&gt;0,IF(INDEX('Invullen groen'!$J:$J,$J144)&lt;&gt;0,INDEX('Invullen groen'!$J:$J,$J144),""),""),"")</f>
        <v/>
      </c>
      <c r="I144" s="537">
        <f>IFERROR(IF($J144&gt;0,IF(INDEX('Invullen groen'!$K:$K,$J144)&lt;&gt;0,INDEX('Invullen groen'!$K:$K,$J144),""),""),"")</f>
        <v/>
      </c>
      <c r="J144">
        <f>IFERROR(MATCH(ROW()-4,'Invullen groen'!$P$17:$P$272,0)+16,0)</f>
        <v/>
      </c>
    </row>
    <row r="145" hidden="1" ht="15" customHeight="1">
      <c r="A145" s="534">
        <f>IFERROR(IF($J145&gt;0,ROW()-4,""),"")</f>
        <v/>
      </c>
      <c r="B145" s="534">
        <f>IFERROR(IF($J145&gt;0,INDEX('Invullen groen'!$A:$A,$J145),""),"")</f>
        <v/>
      </c>
      <c r="C145" s="534">
        <f>IFERROR(IF($J145&gt;0,INDEX('Invullen groen'!$C:$C,$J145),""),"")</f>
        <v/>
      </c>
      <c r="D145" s="534">
        <f>IFERROR(IF($J145&gt;0,INDEX('Invullen groen'!$D:$D,$J145),""),"")</f>
        <v/>
      </c>
      <c r="E145" s="534">
        <f>IFERROR(IF($J145&gt;0,INDEX('Invullen groen'!$G:$G,$J145),""),"")</f>
        <v/>
      </c>
      <c r="F145" s="535">
        <f>IFERROR(IF($J145&gt;0,IF(INDEX('Invullen groen'!$H:$H,$J145)&lt;&gt;0,INDEX('Invullen groen'!$H:$H,$J145),""),""),"")</f>
        <v/>
      </c>
      <c r="G145" s="535">
        <f>IFERROR(IF($J145&gt;0,IF(INDEX('Invullen groen'!$I:$I,$J145)&lt;&gt;0,INDEX('Invullen groen'!$I:$I,$J145),""),""),"")</f>
        <v/>
      </c>
      <c r="H145" s="535">
        <f>IFERROR(IF($J145&gt;0,IF(INDEX('Invullen groen'!$J:$J,$J145)&lt;&gt;0,INDEX('Invullen groen'!$J:$J,$J145),""),""),"")</f>
        <v/>
      </c>
      <c r="I145" s="535">
        <f>IFERROR(IF($J145&gt;0,IF(INDEX('Invullen groen'!$K:$K,$J145)&lt;&gt;0,INDEX('Invullen groen'!$K:$K,$J145),""),""),"")</f>
        <v/>
      </c>
      <c r="J145">
        <f>IFERROR(MATCH(ROW()-4,'Invullen groen'!$P$17:$P$272,0)+16,0)</f>
        <v/>
      </c>
    </row>
    <row r="146" hidden="1" ht="15" customHeight="1">
      <c r="A146" s="536">
        <f>IFERROR(IF($J146&gt;0,ROW()-4,""),"")</f>
        <v/>
      </c>
      <c r="B146" s="536">
        <f>IFERROR(IF($J146&gt;0,INDEX('Invullen groen'!$A:$A,$J146),""),"")</f>
        <v/>
      </c>
      <c r="C146" s="536">
        <f>IFERROR(IF($J146&gt;0,INDEX('Invullen groen'!$C:$C,$J146),""),"")</f>
        <v/>
      </c>
      <c r="D146" s="536">
        <f>IFERROR(IF($J146&gt;0,INDEX('Invullen groen'!$D:$D,$J146),""),"")</f>
        <v/>
      </c>
      <c r="E146" s="536">
        <f>IFERROR(IF($J146&gt;0,INDEX('Invullen groen'!$G:$G,$J146),""),"")</f>
        <v/>
      </c>
      <c r="F146" s="537">
        <f>IFERROR(IF($J146&gt;0,IF(INDEX('Invullen groen'!$H:$H,$J146)&lt;&gt;0,INDEX('Invullen groen'!$H:$H,$J146),""),""),"")</f>
        <v/>
      </c>
      <c r="G146" s="537">
        <f>IFERROR(IF($J146&gt;0,IF(INDEX('Invullen groen'!$I:$I,$J146)&lt;&gt;0,INDEX('Invullen groen'!$I:$I,$J146),""),""),"")</f>
        <v/>
      </c>
      <c r="H146" s="537">
        <f>IFERROR(IF($J146&gt;0,IF(INDEX('Invullen groen'!$J:$J,$J146)&lt;&gt;0,INDEX('Invullen groen'!$J:$J,$J146),""),""),"")</f>
        <v/>
      </c>
      <c r="I146" s="537">
        <f>IFERROR(IF($J146&gt;0,IF(INDEX('Invullen groen'!$K:$K,$J146)&lt;&gt;0,INDEX('Invullen groen'!$K:$K,$J146),""),""),"")</f>
        <v/>
      </c>
      <c r="J146">
        <f>IFERROR(MATCH(ROW()-4,'Invullen groen'!$P$17:$P$272,0)+16,0)</f>
        <v/>
      </c>
    </row>
    <row r="147" hidden="1" ht="15" customHeight="1">
      <c r="A147" s="534">
        <f>IFERROR(IF($J147&gt;0,ROW()-4,""),"")</f>
        <v/>
      </c>
      <c r="B147" s="534">
        <f>IFERROR(IF($J147&gt;0,INDEX('Invullen groen'!$A:$A,$J147),""),"")</f>
        <v/>
      </c>
      <c r="C147" s="534">
        <f>IFERROR(IF($J147&gt;0,INDEX('Invullen groen'!$C:$C,$J147),""),"")</f>
        <v/>
      </c>
      <c r="D147" s="534">
        <f>IFERROR(IF($J147&gt;0,INDEX('Invullen groen'!$D:$D,$J147),""),"")</f>
        <v/>
      </c>
      <c r="E147" s="534">
        <f>IFERROR(IF($J147&gt;0,INDEX('Invullen groen'!$G:$G,$J147),""),"")</f>
        <v/>
      </c>
      <c r="F147" s="535">
        <f>IFERROR(IF($J147&gt;0,IF(INDEX('Invullen groen'!$H:$H,$J147)&lt;&gt;0,INDEX('Invullen groen'!$H:$H,$J147),""),""),"")</f>
        <v/>
      </c>
      <c r="G147" s="535">
        <f>IFERROR(IF($J147&gt;0,IF(INDEX('Invullen groen'!$I:$I,$J147)&lt;&gt;0,INDEX('Invullen groen'!$I:$I,$J147),""),""),"")</f>
        <v/>
      </c>
      <c r="H147" s="535">
        <f>IFERROR(IF($J147&gt;0,IF(INDEX('Invullen groen'!$J:$J,$J147)&lt;&gt;0,INDEX('Invullen groen'!$J:$J,$J147),""),""),"")</f>
        <v/>
      </c>
      <c r="I147" s="535">
        <f>IFERROR(IF($J147&gt;0,IF(INDEX('Invullen groen'!$K:$K,$J147)&lt;&gt;0,INDEX('Invullen groen'!$K:$K,$J147),""),""),"")</f>
        <v/>
      </c>
      <c r="J147">
        <f>IFERROR(MATCH(ROW()-4,'Invullen groen'!$P$17:$P$272,0)+16,0)</f>
        <v/>
      </c>
    </row>
    <row r="148" hidden="1" ht="15" customHeight="1">
      <c r="A148" s="536">
        <f>IFERROR(IF($J148&gt;0,ROW()-4,""),"")</f>
        <v/>
      </c>
      <c r="B148" s="536">
        <f>IFERROR(IF($J148&gt;0,INDEX('Invullen groen'!$A:$A,$J148),""),"")</f>
        <v/>
      </c>
      <c r="C148" s="536">
        <f>IFERROR(IF($J148&gt;0,INDEX('Invullen groen'!$C:$C,$J148),""),"")</f>
        <v/>
      </c>
      <c r="D148" s="536">
        <f>IFERROR(IF($J148&gt;0,INDEX('Invullen groen'!$D:$D,$J148),""),"")</f>
        <v/>
      </c>
      <c r="E148" s="536">
        <f>IFERROR(IF($J148&gt;0,INDEX('Invullen groen'!$G:$G,$J148),""),"")</f>
        <v/>
      </c>
      <c r="F148" s="537">
        <f>IFERROR(IF($J148&gt;0,IF(INDEX('Invullen groen'!$H:$H,$J148)&lt;&gt;0,INDEX('Invullen groen'!$H:$H,$J148),""),""),"")</f>
        <v/>
      </c>
      <c r="G148" s="537">
        <f>IFERROR(IF($J148&gt;0,IF(INDEX('Invullen groen'!$I:$I,$J148)&lt;&gt;0,INDEX('Invullen groen'!$I:$I,$J148),""),""),"")</f>
        <v/>
      </c>
      <c r="H148" s="537">
        <f>IFERROR(IF($J148&gt;0,IF(INDEX('Invullen groen'!$J:$J,$J148)&lt;&gt;0,INDEX('Invullen groen'!$J:$J,$J148),""),""),"")</f>
        <v/>
      </c>
      <c r="I148" s="537">
        <f>IFERROR(IF($J148&gt;0,IF(INDEX('Invullen groen'!$K:$K,$J148)&lt;&gt;0,INDEX('Invullen groen'!$K:$K,$J148),""),""),"")</f>
        <v/>
      </c>
      <c r="J148">
        <f>IFERROR(MATCH(ROW()-4,'Invullen groen'!$P$17:$P$272,0)+16,0)</f>
        <v/>
      </c>
    </row>
    <row r="149" hidden="1" ht="15" customHeight="1">
      <c r="A149" s="534">
        <f>IFERROR(IF($J149&gt;0,ROW()-4,""),"")</f>
        <v/>
      </c>
      <c r="B149" s="534">
        <f>IFERROR(IF($J149&gt;0,INDEX('Invullen groen'!$A:$A,$J149),""),"")</f>
        <v/>
      </c>
      <c r="C149" s="534">
        <f>IFERROR(IF($J149&gt;0,INDEX('Invullen groen'!$C:$C,$J149),""),"")</f>
        <v/>
      </c>
      <c r="D149" s="534">
        <f>IFERROR(IF($J149&gt;0,INDEX('Invullen groen'!$D:$D,$J149),""),"")</f>
        <v/>
      </c>
      <c r="E149" s="534">
        <f>IFERROR(IF($J149&gt;0,INDEX('Invullen groen'!$G:$G,$J149),""),"")</f>
        <v/>
      </c>
      <c r="F149" s="535">
        <f>IFERROR(IF($J149&gt;0,IF(INDEX('Invullen groen'!$H:$H,$J149)&lt;&gt;0,INDEX('Invullen groen'!$H:$H,$J149),""),""),"")</f>
        <v/>
      </c>
      <c r="G149" s="535">
        <f>IFERROR(IF($J149&gt;0,IF(INDEX('Invullen groen'!$I:$I,$J149)&lt;&gt;0,INDEX('Invullen groen'!$I:$I,$J149),""),""),"")</f>
        <v/>
      </c>
      <c r="H149" s="535">
        <f>IFERROR(IF($J149&gt;0,IF(INDEX('Invullen groen'!$J:$J,$J149)&lt;&gt;0,INDEX('Invullen groen'!$J:$J,$J149),""),""),"")</f>
        <v/>
      </c>
      <c r="I149" s="535">
        <f>IFERROR(IF($J149&gt;0,IF(INDEX('Invullen groen'!$K:$K,$J149)&lt;&gt;0,INDEX('Invullen groen'!$K:$K,$J149),""),""),"")</f>
        <v/>
      </c>
      <c r="J149">
        <f>IFERROR(MATCH(ROW()-4,'Invullen groen'!$P$17:$P$272,0)+16,0)</f>
        <v/>
      </c>
    </row>
    <row r="150" hidden="1" ht="15" customHeight="1">
      <c r="A150" s="536">
        <f>IFERROR(IF($J150&gt;0,ROW()-4,""),"")</f>
        <v/>
      </c>
      <c r="B150" s="536">
        <f>IFERROR(IF($J150&gt;0,INDEX('Invullen groen'!$A:$A,$J150),""),"")</f>
        <v/>
      </c>
      <c r="C150" s="536">
        <f>IFERROR(IF($J150&gt;0,INDEX('Invullen groen'!$C:$C,$J150),""),"")</f>
        <v/>
      </c>
      <c r="D150" s="536">
        <f>IFERROR(IF($J150&gt;0,INDEX('Invullen groen'!$D:$D,$J150),""),"")</f>
        <v/>
      </c>
      <c r="E150" s="536">
        <f>IFERROR(IF($J150&gt;0,INDEX('Invullen groen'!$G:$G,$J150),""),"")</f>
        <v/>
      </c>
      <c r="F150" s="537">
        <f>IFERROR(IF($J150&gt;0,IF(INDEX('Invullen groen'!$H:$H,$J150)&lt;&gt;0,INDEX('Invullen groen'!$H:$H,$J150),""),""),"")</f>
        <v/>
      </c>
      <c r="G150" s="537">
        <f>IFERROR(IF($J150&gt;0,IF(INDEX('Invullen groen'!$I:$I,$J150)&lt;&gt;0,INDEX('Invullen groen'!$I:$I,$J150),""),""),"")</f>
        <v/>
      </c>
      <c r="H150" s="537">
        <f>IFERROR(IF($J150&gt;0,IF(INDEX('Invullen groen'!$J:$J,$J150)&lt;&gt;0,INDEX('Invullen groen'!$J:$J,$J150),""),""),"")</f>
        <v/>
      </c>
      <c r="I150" s="537">
        <f>IFERROR(IF($J150&gt;0,IF(INDEX('Invullen groen'!$K:$K,$J150)&lt;&gt;0,INDEX('Invullen groen'!$K:$K,$J150),""),""),"")</f>
        <v/>
      </c>
      <c r="J150">
        <f>IFERROR(MATCH(ROW()-4,'Invullen groen'!$P$17:$P$272,0)+16,0)</f>
        <v/>
      </c>
    </row>
    <row r="151" hidden="1" ht="15" customHeight="1">
      <c r="A151" s="534">
        <f>IFERROR(IF($J151&gt;0,ROW()-4,""),"")</f>
        <v/>
      </c>
      <c r="B151" s="534">
        <f>IFERROR(IF($J151&gt;0,INDEX('Invullen groen'!$A:$A,$J151),""),"")</f>
        <v/>
      </c>
      <c r="C151" s="534">
        <f>IFERROR(IF($J151&gt;0,INDEX('Invullen groen'!$C:$C,$J151),""),"")</f>
        <v/>
      </c>
      <c r="D151" s="534">
        <f>IFERROR(IF($J151&gt;0,INDEX('Invullen groen'!$D:$D,$J151),""),"")</f>
        <v/>
      </c>
      <c r="E151" s="534">
        <f>IFERROR(IF($J151&gt;0,INDEX('Invullen groen'!$G:$G,$J151),""),"")</f>
        <v/>
      </c>
      <c r="F151" s="535">
        <f>IFERROR(IF($J151&gt;0,IF(INDEX('Invullen groen'!$H:$H,$J151)&lt;&gt;0,INDEX('Invullen groen'!$H:$H,$J151),""),""),"")</f>
        <v/>
      </c>
      <c r="G151" s="535">
        <f>IFERROR(IF($J151&gt;0,IF(INDEX('Invullen groen'!$I:$I,$J151)&lt;&gt;0,INDEX('Invullen groen'!$I:$I,$J151),""),""),"")</f>
        <v/>
      </c>
      <c r="H151" s="535">
        <f>IFERROR(IF($J151&gt;0,IF(INDEX('Invullen groen'!$J:$J,$J151)&lt;&gt;0,INDEX('Invullen groen'!$J:$J,$J151),""),""),"")</f>
        <v/>
      </c>
      <c r="I151" s="535">
        <f>IFERROR(IF($J151&gt;0,IF(INDEX('Invullen groen'!$K:$K,$J151)&lt;&gt;0,INDEX('Invullen groen'!$K:$K,$J151),""),""),"")</f>
        <v/>
      </c>
      <c r="J151">
        <f>IFERROR(MATCH(ROW()-4,'Invullen groen'!$P$17:$P$272,0)+16,0)</f>
        <v/>
      </c>
    </row>
    <row r="152" hidden="1" ht="15" customHeight="1">
      <c r="A152" s="536">
        <f>IFERROR(IF($J152&gt;0,ROW()-4,""),"")</f>
        <v/>
      </c>
      <c r="B152" s="536">
        <f>IFERROR(IF($J152&gt;0,INDEX('Invullen groen'!$A:$A,$J152),""),"")</f>
        <v/>
      </c>
      <c r="C152" s="536">
        <f>IFERROR(IF($J152&gt;0,INDEX('Invullen groen'!$C:$C,$J152),""),"")</f>
        <v/>
      </c>
      <c r="D152" s="536">
        <f>IFERROR(IF($J152&gt;0,INDEX('Invullen groen'!$D:$D,$J152),""),"")</f>
        <v/>
      </c>
      <c r="E152" s="536">
        <f>IFERROR(IF($J152&gt;0,INDEX('Invullen groen'!$G:$G,$J152),""),"")</f>
        <v/>
      </c>
      <c r="F152" s="537">
        <f>IFERROR(IF($J152&gt;0,IF(INDEX('Invullen groen'!$H:$H,$J152)&lt;&gt;0,INDEX('Invullen groen'!$H:$H,$J152),""),""),"")</f>
        <v/>
      </c>
      <c r="G152" s="537">
        <f>IFERROR(IF($J152&gt;0,IF(INDEX('Invullen groen'!$I:$I,$J152)&lt;&gt;0,INDEX('Invullen groen'!$I:$I,$J152),""),""),"")</f>
        <v/>
      </c>
      <c r="H152" s="537">
        <f>IFERROR(IF($J152&gt;0,IF(INDEX('Invullen groen'!$J:$J,$J152)&lt;&gt;0,INDEX('Invullen groen'!$J:$J,$J152),""),""),"")</f>
        <v/>
      </c>
      <c r="I152" s="537">
        <f>IFERROR(IF($J152&gt;0,IF(INDEX('Invullen groen'!$K:$K,$J152)&lt;&gt;0,INDEX('Invullen groen'!$K:$K,$J152),""),""),"")</f>
        <v/>
      </c>
      <c r="J152">
        <f>IFERROR(MATCH(ROW()-4,'Invullen groen'!$P$17:$P$272,0)+16,0)</f>
        <v/>
      </c>
    </row>
    <row r="153" hidden="1" ht="15" customHeight="1">
      <c r="A153" s="534">
        <f>IFERROR(IF($J153&gt;0,ROW()-4,""),"")</f>
        <v/>
      </c>
      <c r="B153" s="534">
        <f>IFERROR(IF($J153&gt;0,INDEX('Invullen groen'!$A:$A,$J153),""),"")</f>
        <v/>
      </c>
      <c r="C153" s="534">
        <f>IFERROR(IF($J153&gt;0,INDEX('Invullen groen'!$C:$C,$J153),""),"")</f>
        <v/>
      </c>
      <c r="D153" s="534">
        <f>IFERROR(IF($J153&gt;0,INDEX('Invullen groen'!$D:$D,$J153),""),"")</f>
        <v/>
      </c>
      <c r="E153" s="534">
        <f>IFERROR(IF($J153&gt;0,INDEX('Invullen groen'!$G:$G,$J153),""),"")</f>
        <v/>
      </c>
      <c r="F153" s="535">
        <f>IFERROR(IF($J153&gt;0,IF(INDEX('Invullen groen'!$H:$H,$J153)&lt;&gt;0,INDEX('Invullen groen'!$H:$H,$J153),""),""),"")</f>
        <v/>
      </c>
      <c r="G153" s="535">
        <f>IFERROR(IF($J153&gt;0,IF(INDEX('Invullen groen'!$I:$I,$J153)&lt;&gt;0,INDEX('Invullen groen'!$I:$I,$J153),""),""),"")</f>
        <v/>
      </c>
      <c r="H153" s="535">
        <f>IFERROR(IF($J153&gt;0,IF(INDEX('Invullen groen'!$J:$J,$J153)&lt;&gt;0,INDEX('Invullen groen'!$J:$J,$J153),""),""),"")</f>
        <v/>
      </c>
      <c r="I153" s="535">
        <f>IFERROR(IF($J153&gt;0,IF(INDEX('Invullen groen'!$K:$K,$J153)&lt;&gt;0,INDEX('Invullen groen'!$K:$K,$J153),""),""),"")</f>
        <v/>
      </c>
      <c r="J153">
        <f>IFERROR(MATCH(ROW()-4,'Invullen groen'!$P$17:$P$272,0)+16,0)</f>
        <v/>
      </c>
    </row>
    <row r="154" hidden="1" ht="15" customHeight="1">
      <c r="A154" s="536">
        <f>IFERROR(IF($J154&gt;0,ROW()-4,""),"")</f>
        <v/>
      </c>
      <c r="B154" s="536">
        <f>IFERROR(IF($J154&gt;0,INDEX('Invullen groen'!$A:$A,$J154),""),"")</f>
        <v/>
      </c>
      <c r="C154" s="536">
        <f>IFERROR(IF($J154&gt;0,INDEX('Invullen groen'!$C:$C,$J154),""),"")</f>
        <v/>
      </c>
      <c r="D154" s="536">
        <f>IFERROR(IF($J154&gt;0,INDEX('Invullen groen'!$D:$D,$J154),""),"")</f>
        <v/>
      </c>
      <c r="E154" s="536">
        <f>IFERROR(IF($J154&gt;0,INDEX('Invullen groen'!$G:$G,$J154),""),"")</f>
        <v/>
      </c>
      <c r="F154" s="537">
        <f>IFERROR(IF($J154&gt;0,IF(INDEX('Invullen groen'!$H:$H,$J154)&lt;&gt;0,INDEX('Invullen groen'!$H:$H,$J154),""),""),"")</f>
        <v/>
      </c>
      <c r="G154" s="537">
        <f>IFERROR(IF($J154&gt;0,IF(INDEX('Invullen groen'!$I:$I,$J154)&lt;&gt;0,INDEX('Invullen groen'!$I:$I,$J154),""),""),"")</f>
        <v/>
      </c>
      <c r="H154" s="537">
        <f>IFERROR(IF($J154&gt;0,IF(INDEX('Invullen groen'!$J:$J,$J154)&lt;&gt;0,INDEX('Invullen groen'!$J:$J,$J154),""),""),"")</f>
        <v/>
      </c>
      <c r="I154" s="537">
        <f>IFERROR(IF($J154&gt;0,IF(INDEX('Invullen groen'!$K:$K,$J154)&lt;&gt;0,INDEX('Invullen groen'!$K:$K,$J154),""),""),"")</f>
        <v/>
      </c>
      <c r="J154">
        <f>IFERROR(MATCH(ROW()-4,'Invullen groen'!$P$17:$P$272,0)+16,0)</f>
        <v/>
      </c>
    </row>
    <row r="155" hidden="1" ht="15" customHeight="1">
      <c r="A155" s="534">
        <f>IFERROR(IF($J155&gt;0,ROW()-4,""),"")</f>
        <v/>
      </c>
      <c r="B155" s="534">
        <f>IFERROR(IF($J155&gt;0,INDEX('Invullen groen'!$A:$A,$J155),""),"")</f>
        <v/>
      </c>
      <c r="C155" s="534">
        <f>IFERROR(IF($J155&gt;0,INDEX('Invullen groen'!$C:$C,$J155),""),"")</f>
        <v/>
      </c>
      <c r="D155" s="534">
        <f>IFERROR(IF($J155&gt;0,INDEX('Invullen groen'!$D:$D,$J155),""),"")</f>
        <v/>
      </c>
      <c r="E155" s="534">
        <f>IFERROR(IF($J155&gt;0,INDEX('Invullen groen'!$G:$G,$J155),""),"")</f>
        <v/>
      </c>
      <c r="F155" s="535">
        <f>IFERROR(IF($J155&gt;0,IF(INDEX('Invullen groen'!$H:$H,$J155)&lt;&gt;0,INDEX('Invullen groen'!$H:$H,$J155),""),""),"")</f>
        <v/>
      </c>
      <c r="G155" s="535">
        <f>IFERROR(IF($J155&gt;0,IF(INDEX('Invullen groen'!$I:$I,$J155)&lt;&gt;0,INDEX('Invullen groen'!$I:$I,$J155),""),""),"")</f>
        <v/>
      </c>
      <c r="H155" s="535">
        <f>IFERROR(IF($J155&gt;0,IF(INDEX('Invullen groen'!$J:$J,$J155)&lt;&gt;0,INDEX('Invullen groen'!$J:$J,$J155),""),""),"")</f>
        <v/>
      </c>
      <c r="I155" s="535">
        <f>IFERROR(IF($J155&gt;0,IF(INDEX('Invullen groen'!$K:$K,$J155)&lt;&gt;0,INDEX('Invullen groen'!$K:$K,$J155),""),""),"")</f>
        <v/>
      </c>
      <c r="J155">
        <f>IFERROR(MATCH(ROW()-4,'Invullen groen'!$P$17:$P$272,0)+16,0)</f>
        <v/>
      </c>
    </row>
    <row r="156" hidden="1" ht="15" customHeight="1">
      <c r="A156" s="536">
        <f>IFERROR(IF($J156&gt;0,ROW()-4,""),"")</f>
        <v/>
      </c>
      <c r="B156" s="536">
        <f>IFERROR(IF($J156&gt;0,INDEX('Invullen groen'!$A:$A,$J156),""),"")</f>
        <v/>
      </c>
      <c r="C156" s="536">
        <f>IFERROR(IF($J156&gt;0,INDEX('Invullen groen'!$C:$C,$J156),""),"")</f>
        <v/>
      </c>
      <c r="D156" s="536">
        <f>IFERROR(IF($J156&gt;0,INDEX('Invullen groen'!$D:$D,$J156),""),"")</f>
        <v/>
      </c>
      <c r="E156" s="536">
        <f>IFERROR(IF($J156&gt;0,INDEX('Invullen groen'!$G:$G,$J156),""),"")</f>
        <v/>
      </c>
      <c r="F156" s="537">
        <f>IFERROR(IF($J156&gt;0,IF(INDEX('Invullen groen'!$H:$H,$J156)&lt;&gt;0,INDEX('Invullen groen'!$H:$H,$J156),""),""),"")</f>
        <v/>
      </c>
      <c r="G156" s="537">
        <f>IFERROR(IF($J156&gt;0,IF(INDEX('Invullen groen'!$I:$I,$J156)&lt;&gt;0,INDEX('Invullen groen'!$I:$I,$J156),""),""),"")</f>
        <v/>
      </c>
      <c r="H156" s="537">
        <f>IFERROR(IF($J156&gt;0,IF(INDEX('Invullen groen'!$J:$J,$J156)&lt;&gt;0,INDEX('Invullen groen'!$J:$J,$J156),""),""),"")</f>
        <v/>
      </c>
      <c r="I156" s="537">
        <f>IFERROR(IF($J156&gt;0,IF(INDEX('Invullen groen'!$K:$K,$J156)&lt;&gt;0,INDEX('Invullen groen'!$K:$K,$J156),""),""),"")</f>
        <v/>
      </c>
      <c r="J156">
        <f>IFERROR(MATCH(ROW()-4,'Invullen groen'!$P$17:$P$272,0)+16,0)</f>
        <v/>
      </c>
    </row>
    <row r="157" hidden="1" ht="15" customHeight="1">
      <c r="A157" s="534">
        <f>IFERROR(IF($J157&gt;0,ROW()-4,""),"")</f>
        <v/>
      </c>
      <c r="B157" s="534">
        <f>IFERROR(IF($J157&gt;0,INDEX('Invullen groen'!$A:$A,$J157),""),"")</f>
        <v/>
      </c>
      <c r="C157" s="534">
        <f>IFERROR(IF($J157&gt;0,INDEX('Invullen groen'!$C:$C,$J157),""),"")</f>
        <v/>
      </c>
      <c r="D157" s="534">
        <f>IFERROR(IF($J157&gt;0,INDEX('Invullen groen'!$D:$D,$J157),""),"")</f>
        <v/>
      </c>
      <c r="E157" s="534">
        <f>IFERROR(IF($J157&gt;0,INDEX('Invullen groen'!$G:$G,$J157),""),"")</f>
        <v/>
      </c>
      <c r="F157" s="535">
        <f>IFERROR(IF($J157&gt;0,IF(INDEX('Invullen groen'!$H:$H,$J157)&lt;&gt;0,INDEX('Invullen groen'!$H:$H,$J157),""),""),"")</f>
        <v/>
      </c>
      <c r="G157" s="535">
        <f>IFERROR(IF($J157&gt;0,IF(INDEX('Invullen groen'!$I:$I,$J157)&lt;&gt;0,INDEX('Invullen groen'!$I:$I,$J157),""),""),"")</f>
        <v/>
      </c>
      <c r="H157" s="535">
        <f>IFERROR(IF($J157&gt;0,IF(INDEX('Invullen groen'!$J:$J,$J157)&lt;&gt;0,INDEX('Invullen groen'!$J:$J,$J157),""),""),"")</f>
        <v/>
      </c>
      <c r="I157" s="535">
        <f>IFERROR(IF($J157&gt;0,IF(INDEX('Invullen groen'!$K:$K,$J157)&lt;&gt;0,INDEX('Invullen groen'!$K:$K,$J157),""),""),"")</f>
        <v/>
      </c>
      <c r="J157">
        <f>IFERROR(MATCH(ROW()-4,'Invullen groen'!$P$17:$P$272,0)+16,0)</f>
        <v/>
      </c>
    </row>
    <row r="158" hidden="1" ht="15" customHeight="1">
      <c r="A158" s="536">
        <f>IFERROR(IF($J158&gt;0,ROW()-4,""),"")</f>
        <v/>
      </c>
      <c r="B158" s="536">
        <f>IFERROR(IF($J158&gt;0,INDEX('Invullen groen'!$A:$A,$J158),""),"")</f>
        <v/>
      </c>
      <c r="C158" s="536">
        <f>IFERROR(IF($J158&gt;0,INDEX('Invullen groen'!$C:$C,$J158),""),"")</f>
        <v/>
      </c>
      <c r="D158" s="536">
        <f>IFERROR(IF($J158&gt;0,INDEX('Invullen groen'!$D:$D,$J158),""),"")</f>
        <v/>
      </c>
      <c r="E158" s="536">
        <f>IFERROR(IF($J158&gt;0,INDEX('Invullen groen'!$G:$G,$J158),""),"")</f>
        <v/>
      </c>
      <c r="F158" s="537">
        <f>IFERROR(IF($J158&gt;0,IF(INDEX('Invullen groen'!$H:$H,$J158)&lt;&gt;0,INDEX('Invullen groen'!$H:$H,$J158),""),""),"")</f>
        <v/>
      </c>
      <c r="G158" s="537">
        <f>IFERROR(IF($J158&gt;0,IF(INDEX('Invullen groen'!$I:$I,$J158)&lt;&gt;0,INDEX('Invullen groen'!$I:$I,$J158),""),""),"")</f>
        <v/>
      </c>
      <c r="H158" s="537">
        <f>IFERROR(IF($J158&gt;0,IF(INDEX('Invullen groen'!$J:$J,$J158)&lt;&gt;0,INDEX('Invullen groen'!$J:$J,$J158),""),""),"")</f>
        <v/>
      </c>
      <c r="I158" s="537">
        <f>IFERROR(IF($J158&gt;0,IF(INDEX('Invullen groen'!$K:$K,$J158)&lt;&gt;0,INDEX('Invullen groen'!$K:$K,$J158),""),""),"")</f>
        <v/>
      </c>
      <c r="J158">
        <f>IFERROR(MATCH(ROW()-4,'Invullen groen'!$P$17:$P$272,0)+16,0)</f>
        <v/>
      </c>
    </row>
    <row r="159" hidden="1" ht="15" customHeight="1">
      <c r="A159" s="534">
        <f>IFERROR(IF($J159&gt;0,ROW()-4,""),"")</f>
        <v/>
      </c>
      <c r="B159" s="534">
        <f>IFERROR(IF($J159&gt;0,INDEX('Invullen groen'!$A:$A,$J159),""),"")</f>
        <v/>
      </c>
      <c r="C159" s="534">
        <f>IFERROR(IF($J159&gt;0,INDEX('Invullen groen'!$C:$C,$J159),""),"")</f>
        <v/>
      </c>
      <c r="D159" s="534">
        <f>IFERROR(IF($J159&gt;0,INDEX('Invullen groen'!$D:$D,$J159),""),"")</f>
        <v/>
      </c>
      <c r="E159" s="534">
        <f>IFERROR(IF($J159&gt;0,INDEX('Invullen groen'!$G:$G,$J159),""),"")</f>
        <v/>
      </c>
      <c r="F159" s="535">
        <f>IFERROR(IF($J159&gt;0,IF(INDEX('Invullen groen'!$H:$H,$J159)&lt;&gt;0,INDEX('Invullen groen'!$H:$H,$J159),""),""),"")</f>
        <v/>
      </c>
      <c r="G159" s="535">
        <f>IFERROR(IF($J159&gt;0,IF(INDEX('Invullen groen'!$I:$I,$J159)&lt;&gt;0,INDEX('Invullen groen'!$I:$I,$J159),""),""),"")</f>
        <v/>
      </c>
      <c r="H159" s="535">
        <f>IFERROR(IF($J159&gt;0,IF(INDEX('Invullen groen'!$J:$J,$J159)&lt;&gt;0,INDEX('Invullen groen'!$J:$J,$J159),""),""),"")</f>
        <v/>
      </c>
      <c r="I159" s="535">
        <f>IFERROR(IF($J159&gt;0,IF(INDEX('Invullen groen'!$K:$K,$J159)&lt;&gt;0,INDEX('Invullen groen'!$K:$K,$J159),""),""),"")</f>
        <v/>
      </c>
      <c r="J159">
        <f>IFERROR(MATCH(ROW()-4,'Invullen groen'!$P$17:$P$272,0)+16,0)</f>
        <v/>
      </c>
    </row>
    <row r="160" hidden="1" ht="15" customHeight="1">
      <c r="A160" s="536">
        <f>IFERROR(IF($J160&gt;0,ROW()-4,""),"")</f>
        <v/>
      </c>
      <c r="B160" s="536">
        <f>IFERROR(IF($J160&gt;0,INDEX('Invullen groen'!$A:$A,$J160),""),"")</f>
        <v/>
      </c>
      <c r="C160" s="536">
        <f>IFERROR(IF($J160&gt;0,INDEX('Invullen groen'!$C:$C,$J160),""),"")</f>
        <v/>
      </c>
      <c r="D160" s="536">
        <f>IFERROR(IF($J160&gt;0,INDEX('Invullen groen'!$D:$D,$J160),""),"")</f>
        <v/>
      </c>
      <c r="E160" s="536">
        <f>IFERROR(IF($J160&gt;0,INDEX('Invullen groen'!$G:$G,$J160),""),"")</f>
        <v/>
      </c>
      <c r="F160" s="537">
        <f>IFERROR(IF($J160&gt;0,IF(INDEX('Invullen groen'!$H:$H,$J160)&lt;&gt;0,INDEX('Invullen groen'!$H:$H,$J160),""),""),"")</f>
        <v/>
      </c>
      <c r="G160" s="537">
        <f>IFERROR(IF($J160&gt;0,IF(INDEX('Invullen groen'!$I:$I,$J160)&lt;&gt;0,INDEX('Invullen groen'!$I:$I,$J160),""),""),"")</f>
        <v/>
      </c>
      <c r="H160" s="537">
        <f>IFERROR(IF($J160&gt;0,IF(INDEX('Invullen groen'!$J:$J,$J160)&lt;&gt;0,INDEX('Invullen groen'!$J:$J,$J160),""),""),"")</f>
        <v/>
      </c>
      <c r="I160" s="537">
        <f>IFERROR(IF($J160&gt;0,IF(INDEX('Invullen groen'!$K:$K,$J160)&lt;&gt;0,INDEX('Invullen groen'!$K:$K,$J160),""),""),"")</f>
        <v/>
      </c>
      <c r="J160">
        <f>IFERROR(MATCH(ROW()-4,'Invullen groen'!$P$17:$P$272,0)+16,0)</f>
        <v/>
      </c>
    </row>
    <row r="161" hidden="1" ht="15" customHeight="1">
      <c r="A161" s="534">
        <f>IFERROR(IF($J161&gt;0,ROW()-4,""),"")</f>
        <v/>
      </c>
      <c r="B161" s="534">
        <f>IFERROR(IF($J161&gt;0,INDEX('Invullen groen'!$A:$A,$J161),""),"")</f>
        <v/>
      </c>
      <c r="C161" s="534">
        <f>IFERROR(IF($J161&gt;0,INDEX('Invullen groen'!$C:$C,$J161),""),"")</f>
        <v/>
      </c>
      <c r="D161" s="534">
        <f>IFERROR(IF($J161&gt;0,INDEX('Invullen groen'!$D:$D,$J161),""),"")</f>
        <v/>
      </c>
      <c r="E161" s="534">
        <f>IFERROR(IF($J161&gt;0,INDEX('Invullen groen'!$G:$G,$J161),""),"")</f>
        <v/>
      </c>
      <c r="F161" s="535">
        <f>IFERROR(IF($J161&gt;0,IF(INDEX('Invullen groen'!$H:$H,$J161)&lt;&gt;0,INDEX('Invullen groen'!$H:$H,$J161),""),""),"")</f>
        <v/>
      </c>
      <c r="G161" s="535">
        <f>IFERROR(IF($J161&gt;0,IF(INDEX('Invullen groen'!$I:$I,$J161)&lt;&gt;0,INDEX('Invullen groen'!$I:$I,$J161),""),""),"")</f>
        <v/>
      </c>
      <c r="H161" s="535">
        <f>IFERROR(IF($J161&gt;0,IF(INDEX('Invullen groen'!$J:$J,$J161)&lt;&gt;0,INDEX('Invullen groen'!$J:$J,$J161),""),""),"")</f>
        <v/>
      </c>
      <c r="I161" s="535">
        <f>IFERROR(IF($J161&gt;0,IF(INDEX('Invullen groen'!$K:$K,$J161)&lt;&gt;0,INDEX('Invullen groen'!$K:$K,$J161),""),""),"")</f>
        <v/>
      </c>
      <c r="J161">
        <f>IFERROR(MATCH(ROW()-4,'Invullen groen'!$P$17:$P$272,0)+16,0)</f>
        <v/>
      </c>
    </row>
    <row r="162" hidden="1" ht="15" customHeight="1">
      <c r="A162" s="536">
        <f>IFERROR(IF($J162&gt;0,ROW()-4,""),"")</f>
        <v/>
      </c>
      <c r="B162" s="536">
        <f>IFERROR(IF($J162&gt;0,INDEX('Invullen groen'!$A:$A,$J162),""),"")</f>
        <v/>
      </c>
      <c r="C162" s="536">
        <f>IFERROR(IF($J162&gt;0,INDEX('Invullen groen'!$C:$C,$J162),""),"")</f>
        <v/>
      </c>
      <c r="D162" s="536">
        <f>IFERROR(IF($J162&gt;0,INDEX('Invullen groen'!$D:$D,$J162),""),"")</f>
        <v/>
      </c>
      <c r="E162" s="536">
        <f>IFERROR(IF($J162&gt;0,INDEX('Invullen groen'!$G:$G,$J162),""),"")</f>
        <v/>
      </c>
      <c r="F162" s="537">
        <f>IFERROR(IF($J162&gt;0,IF(INDEX('Invullen groen'!$H:$H,$J162)&lt;&gt;0,INDEX('Invullen groen'!$H:$H,$J162),""),""),"")</f>
        <v/>
      </c>
      <c r="G162" s="537">
        <f>IFERROR(IF($J162&gt;0,IF(INDEX('Invullen groen'!$I:$I,$J162)&lt;&gt;0,INDEX('Invullen groen'!$I:$I,$J162),""),""),"")</f>
        <v/>
      </c>
      <c r="H162" s="537">
        <f>IFERROR(IF($J162&gt;0,IF(INDEX('Invullen groen'!$J:$J,$J162)&lt;&gt;0,INDEX('Invullen groen'!$J:$J,$J162),""),""),"")</f>
        <v/>
      </c>
      <c r="I162" s="537">
        <f>IFERROR(IF($J162&gt;0,IF(INDEX('Invullen groen'!$K:$K,$J162)&lt;&gt;0,INDEX('Invullen groen'!$K:$K,$J162),""),""),"")</f>
        <v/>
      </c>
      <c r="J162">
        <f>IFERROR(MATCH(ROW()-4,'Invullen groen'!$P$17:$P$272,0)+16,0)</f>
        <v/>
      </c>
    </row>
    <row r="163" hidden="1" ht="15" customHeight="1">
      <c r="A163" s="534">
        <f>IFERROR(IF($J163&gt;0,ROW()-4,""),"")</f>
        <v/>
      </c>
      <c r="B163" s="534">
        <f>IFERROR(IF($J163&gt;0,INDEX('Invullen groen'!$A:$A,$J163),""),"")</f>
        <v/>
      </c>
      <c r="C163" s="534">
        <f>IFERROR(IF($J163&gt;0,INDEX('Invullen groen'!$C:$C,$J163),""),"")</f>
        <v/>
      </c>
      <c r="D163" s="534">
        <f>IFERROR(IF($J163&gt;0,INDEX('Invullen groen'!$D:$D,$J163),""),"")</f>
        <v/>
      </c>
      <c r="E163" s="534">
        <f>IFERROR(IF($J163&gt;0,INDEX('Invullen groen'!$G:$G,$J163),""),"")</f>
        <v/>
      </c>
      <c r="F163" s="535">
        <f>IFERROR(IF($J163&gt;0,IF(INDEX('Invullen groen'!$H:$H,$J163)&lt;&gt;0,INDEX('Invullen groen'!$H:$H,$J163),""),""),"")</f>
        <v/>
      </c>
      <c r="G163" s="535">
        <f>IFERROR(IF($J163&gt;0,IF(INDEX('Invullen groen'!$I:$I,$J163)&lt;&gt;0,INDEX('Invullen groen'!$I:$I,$J163),""),""),"")</f>
        <v/>
      </c>
      <c r="H163" s="535">
        <f>IFERROR(IF($J163&gt;0,IF(INDEX('Invullen groen'!$J:$J,$J163)&lt;&gt;0,INDEX('Invullen groen'!$J:$J,$J163),""),""),"")</f>
        <v/>
      </c>
      <c r="I163" s="535">
        <f>IFERROR(IF($J163&gt;0,IF(INDEX('Invullen groen'!$K:$K,$J163)&lt;&gt;0,INDEX('Invullen groen'!$K:$K,$J163),""),""),"")</f>
        <v/>
      </c>
      <c r="J163">
        <f>IFERROR(MATCH(ROW()-4,'Invullen groen'!$P$17:$P$272,0)+16,0)</f>
        <v/>
      </c>
    </row>
    <row r="164" hidden="1" ht="15" customHeight="1">
      <c r="A164" s="536">
        <f>IFERROR(IF($J164&gt;0,ROW()-4,""),"")</f>
        <v/>
      </c>
      <c r="B164" s="536">
        <f>IFERROR(IF($J164&gt;0,INDEX('Invullen groen'!$A:$A,$J164),""),"")</f>
        <v/>
      </c>
      <c r="C164" s="536">
        <f>IFERROR(IF($J164&gt;0,INDEX('Invullen groen'!$C:$C,$J164),""),"")</f>
        <v/>
      </c>
      <c r="D164" s="536">
        <f>IFERROR(IF($J164&gt;0,INDEX('Invullen groen'!$D:$D,$J164),""),"")</f>
        <v/>
      </c>
      <c r="E164" s="536">
        <f>IFERROR(IF($J164&gt;0,INDEX('Invullen groen'!$G:$G,$J164),""),"")</f>
        <v/>
      </c>
      <c r="F164" s="537">
        <f>IFERROR(IF($J164&gt;0,IF(INDEX('Invullen groen'!$H:$H,$J164)&lt;&gt;0,INDEX('Invullen groen'!$H:$H,$J164),""),""),"")</f>
        <v/>
      </c>
      <c r="G164" s="537">
        <f>IFERROR(IF($J164&gt;0,IF(INDEX('Invullen groen'!$I:$I,$J164)&lt;&gt;0,INDEX('Invullen groen'!$I:$I,$J164),""),""),"")</f>
        <v/>
      </c>
      <c r="H164" s="537">
        <f>IFERROR(IF($J164&gt;0,IF(INDEX('Invullen groen'!$J:$J,$J164)&lt;&gt;0,INDEX('Invullen groen'!$J:$J,$J164),""),""),"")</f>
        <v/>
      </c>
      <c r="I164" s="537">
        <f>IFERROR(IF($J164&gt;0,IF(INDEX('Invullen groen'!$K:$K,$J164)&lt;&gt;0,INDEX('Invullen groen'!$K:$K,$J164),""),""),"")</f>
        <v/>
      </c>
      <c r="J164">
        <f>IFERROR(MATCH(ROW()-4,'Invullen groen'!$P$17:$P$272,0)+16,0)</f>
        <v/>
      </c>
    </row>
    <row r="165" hidden="1" ht="15" customHeight="1">
      <c r="A165" s="534">
        <f>IFERROR(IF($J165&gt;0,ROW()-4,""),"")</f>
        <v/>
      </c>
      <c r="B165" s="534">
        <f>IFERROR(IF($J165&gt;0,INDEX('Invullen groen'!$A:$A,$J165),""),"")</f>
        <v/>
      </c>
      <c r="C165" s="534">
        <f>IFERROR(IF($J165&gt;0,INDEX('Invullen groen'!$C:$C,$J165),""),"")</f>
        <v/>
      </c>
      <c r="D165" s="534">
        <f>IFERROR(IF($J165&gt;0,INDEX('Invullen groen'!$D:$D,$J165),""),"")</f>
        <v/>
      </c>
      <c r="E165" s="534">
        <f>IFERROR(IF($J165&gt;0,INDEX('Invullen groen'!$G:$G,$J165),""),"")</f>
        <v/>
      </c>
      <c r="F165" s="535">
        <f>IFERROR(IF($J165&gt;0,IF(INDEX('Invullen groen'!$H:$H,$J165)&lt;&gt;0,INDEX('Invullen groen'!$H:$H,$J165),""),""),"")</f>
        <v/>
      </c>
      <c r="G165" s="535">
        <f>IFERROR(IF($J165&gt;0,IF(INDEX('Invullen groen'!$I:$I,$J165)&lt;&gt;0,INDEX('Invullen groen'!$I:$I,$J165),""),""),"")</f>
        <v/>
      </c>
      <c r="H165" s="535">
        <f>IFERROR(IF($J165&gt;0,IF(INDEX('Invullen groen'!$J:$J,$J165)&lt;&gt;0,INDEX('Invullen groen'!$J:$J,$J165),""),""),"")</f>
        <v/>
      </c>
      <c r="I165" s="535">
        <f>IFERROR(IF($J165&gt;0,IF(INDEX('Invullen groen'!$K:$K,$J165)&lt;&gt;0,INDEX('Invullen groen'!$K:$K,$J165),""),""),"")</f>
        <v/>
      </c>
      <c r="J165">
        <f>IFERROR(MATCH(ROW()-4,'Invullen groen'!$P$17:$P$272,0)+16,0)</f>
        <v/>
      </c>
    </row>
    <row r="166" hidden="1" ht="15" customHeight="1">
      <c r="A166" s="536">
        <f>IFERROR(IF($J166&gt;0,ROW()-4,""),"")</f>
        <v/>
      </c>
      <c r="B166" s="536">
        <f>IFERROR(IF($J166&gt;0,INDEX('Invullen groen'!$A:$A,$J166),""),"")</f>
        <v/>
      </c>
      <c r="C166" s="536">
        <f>IFERROR(IF($J166&gt;0,INDEX('Invullen groen'!$C:$C,$J166),""),"")</f>
        <v/>
      </c>
      <c r="D166" s="536">
        <f>IFERROR(IF($J166&gt;0,INDEX('Invullen groen'!$D:$D,$J166),""),"")</f>
        <v/>
      </c>
      <c r="E166" s="536">
        <f>IFERROR(IF($J166&gt;0,INDEX('Invullen groen'!$G:$G,$J166),""),"")</f>
        <v/>
      </c>
      <c r="F166" s="537">
        <f>IFERROR(IF($J166&gt;0,IF(INDEX('Invullen groen'!$H:$H,$J166)&lt;&gt;0,INDEX('Invullen groen'!$H:$H,$J166),""),""),"")</f>
        <v/>
      </c>
      <c r="G166" s="537">
        <f>IFERROR(IF($J166&gt;0,IF(INDEX('Invullen groen'!$I:$I,$J166)&lt;&gt;0,INDEX('Invullen groen'!$I:$I,$J166),""),""),"")</f>
        <v/>
      </c>
      <c r="H166" s="537">
        <f>IFERROR(IF($J166&gt;0,IF(INDEX('Invullen groen'!$J:$J,$J166)&lt;&gt;0,INDEX('Invullen groen'!$J:$J,$J166),""),""),"")</f>
        <v/>
      </c>
      <c r="I166" s="537">
        <f>IFERROR(IF($J166&gt;0,IF(INDEX('Invullen groen'!$K:$K,$J166)&lt;&gt;0,INDEX('Invullen groen'!$K:$K,$J166),""),""),"")</f>
        <v/>
      </c>
      <c r="J166">
        <f>IFERROR(MATCH(ROW()-4,'Invullen groen'!$P$17:$P$272,0)+16,0)</f>
        <v/>
      </c>
    </row>
    <row r="167" hidden="1" ht="15" customHeight="1">
      <c r="A167" s="534">
        <f>IFERROR(IF($J167&gt;0,ROW()-4,""),"")</f>
        <v/>
      </c>
      <c r="B167" s="534">
        <f>IFERROR(IF($J167&gt;0,INDEX('Invullen groen'!$A:$A,$J167),""),"")</f>
        <v/>
      </c>
      <c r="C167" s="534">
        <f>IFERROR(IF($J167&gt;0,INDEX('Invullen groen'!$C:$C,$J167),""),"")</f>
        <v/>
      </c>
      <c r="D167" s="534">
        <f>IFERROR(IF($J167&gt;0,INDEX('Invullen groen'!$D:$D,$J167),""),"")</f>
        <v/>
      </c>
      <c r="E167" s="534">
        <f>IFERROR(IF($J167&gt;0,INDEX('Invullen groen'!$G:$G,$J167),""),"")</f>
        <v/>
      </c>
      <c r="F167" s="535">
        <f>IFERROR(IF($J167&gt;0,IF(INDEX('Invullen groen'!$H:$H,$J167)&lt;&gt;0,INDEX('Invullen groen'!$H:$H,$J167),""),""),"")</f>
        <v/>
      </c>
      <c r="G167" s="535">
        <f>IFERROR(IF($J167&gt;0,IF(INDEX('Invullen groen'!$I:$I,$J167)&lt;&gt;0,INDEX('Invullen groen'!$I:$I,$J167),""),""),"")</f>
        <v/>
      </c>
      <c r="H167" s="535">
        <f>IFERROR(IF($J167&gt;0,IF(INDEX('Invullen groen'!$J:$J,$J167)&lt;&gt;0,INDEX('Invullen groen'!$J:$J,$J167),""),""),"")</f>
        <v/>
      </c>
      <c r="I167" s="535">
        <f>IFERROR(IF($J167&gt;0,IF(INDEX('Invullen groen'!$K:$K,$J167)&lt;&gt;0,INDEX('Invullen groen'!$K:$K,$J167),""),""),"")</f>
        <v/>
      </c>
      <c r="J167">
        <f>IFERROR(MATCH(ROW()-4,'Invullen groen'!$P$17:$P$272,0)+16,0)</f>
        <v/>
      </c>
    </row>
    <row r="168" hidden="1" ht="15" customHeight="1">
      <c r="A168" s="536">
        <f>IFERROR(IF($J168&gt;0,ROW()-4,""),"")</f>
        <v/>
      </c>
      <c r="B168" s="536">
        <f>IFERROR(IF($J168&gt;0,INDEX('Invullen groen'!$A:$A,$J168),""),"")</f>
        <v/>
      </c>
      <c r="C168" s="536">
        <f>IFERROR(IF($J168&gt;0,INDEX('Invullen groen'!$C:$C,$J168),""),"")</f>
        <v/>
      </c>
      <c r="D168" s="536">
        <f>IFERROR(IF($J168&gt;0,INDEX('Invullen groen'!$D:$D,$J168),""),"")</f>
        <v/>
      </c>
      <c r="E168" s="536">
        <f>IFERROR(IF($J168&gt;0,INDEX('Invullen groen'!$G:$G,$J168),""),"")</f>
        <v/>
      </c>
      <c r="F168" s="537">
        <f>IFERROR(IF($J168&gt;0,IF(INDEX('Invullen groen'!$H:$H,$J168)&lt;&gt;0,INDEX('Invullen groen'!$H:$H,$J168),""),""),"")</f>
        <v/>
      </c>
      <c r="G168" s="537">
        <f>IFERROR(IF($J168&gt;0,IF(INDEX('Invullen groen'!$I:$I,$J168)&lt;&gt;0,INDEX('Invullen groen'!$I:$I,$J168),""),""),"")</f>
        <v/>
      </c>
      <c r="H168" s="537">
        <f>IFERROR(IF($J168&gt;0,IF(INDEX('Invullen groen'!$J:$J,$J168)&lt;&gt;0,INDEX('Invullen groen'!$J:$J,$J168),""),""),"")</f>
        <v/>
      </c>
      <c r="I168" s="537">
        <f>IFERROR(IF($J168&gt;0,IF(INDEX('Invullen groen'!$K:$K,$J168)&lt;&gt;0,INDEX('Invullen groen'!$K:$K,$J168),""),""),"")</f>
        <v/>
      </c>
      <c r="J168">
        <f>IFERROR(MATCH(ROW()-4,'Invullen groen'!$P$17:$P$272,0)+16,0)</f>
        <v/>
      </c>
    </row>
    <row r="169" hidden="1" ht="15" customHeight="1">
      <c r="A169" s="534">
        <f>IFERROR(IF($J169&gt;0,ROW()-4,""),"")</f>
        <v/>
      </c>
      <c r="B169" s="534">
        <f>IFERROR(IF($J169&gt;0,INDEX('Invullen groen'!$A:$A,$J169),""),"")</f>
        <v/>
      </c>
      <c r="C169" s="534">
        <f>IFERROR(IF($J169&gt;0,INDEX('Invullen groen'!$C:$C,$J169),""),"")</f>
        <v/>
      </c>
      <c r="D169" s="534">
        <f>IFERROR(IF($J169&gt;0,INDEX('Invullen groen'!$D:$D,$J169),""),"")</f>
        <v/>
      </c>
      <c r="E169" s="534">
        <f>IFERROR(IF($J169&gt;0,INDEX('Invullen groen'!$G:$G,$J169),""),"")</f>
        <v/>
      </c>
      <c r="F169" s="535">
        <f>IFERROR(IF($J169&gt;0,IF(INDEX('Invullen groen'!$H:$H,$J169)&lt;&gt;0,INDEX('Invullen groen'!$H:$H,$J169),""),""),"")</f>
        <v/>
      </c>
      <c r="G169" s="535">
        <f>IFERROR(IF($J169&gt;0,IF(INDEX('Invullen groen'!$I:$I,$J169)&lt;&gt;0,INDEX('Invullen groen'!$I:$I,$J169),""),""),"")</f>
        <v/>
      </c>
      <c r="H169" s="535">
        <f>IFERROR(IF($J169&gt;0,IF(INDEX('Invullen groen'!$J:$J,$J169)&lt;&gt;0,INDEX('Invullen groen'!$J:$J,$J169),""),""),"")</f>
        <v/>
      </c>
      <c r="I169" s="535">
        <f>IFERROR(IF($J169&gt;0,IF(INDEX('Invullen groen'!$K:$K,$J169)&lt;&gt;0,INDEX('Invullen groen'!$K:$K,$J169),""),""),"")</f>
        <v/>
      </c>
      <c r="J169">
        <f>IFERROR(MATCH(ROW()-4,'Invullen groen'!$P$17:$P$272,0)+16,0)</f>
        <v/>
      </c>
    </row>
    <row r="170" hidden="1" ht="15" customHeight="1">
      <c r="A170" s="536">
        <f>IFERROR(IF($J170&gt;0,ROW()-4,""),"")</f>
        <v/>
      </c>
      <c r="B170" s="536">
        <f>IFERROR(IF($J170&gt;0,INDEX('Invullen groen'!$A:$A,$J170),""),"")</f>
        <v/>
      </c>
      <c r="C170" s="536">
        <f>IFERROR(IF($J170&gt;0,INDEX('Invullen groen'!$C:$C,$J170),""),"")</f>
        <v/>
      </c>
      <c r="D170" s="536">
        <f>IFERROR(IF($J170&gt;0,INDEX('Invullen groen'!$D:$D,$J170),""),"")</f>
        <v/>
      </c>
      <c r="E170" s="536">
        <f>IFERROR(IF($J170&gt;0,INDEX('Invullen groen'!$G:$G,$J170),""),"")</f>
        <v/>
      </c>
      <c r="F170" s="537">
        <f>IFERROR(IF($J170&gt;0,IF(INDEX('Invullen groen'!$H:$H,$J170)&lt;&gt;0,INDEX('Invullen groen'!$H:$H,$J170),""),""),"")</f>
        <v/>
      </c>
      <c r="G170" s="537">
        <f>IFERROR(IF($J170&gt;0,IF(INDEX('Invullen groen'!$I:$I,$J170)&lt;&gt;0,INDEX('Invullen groen'!$I:$I,$J170),""),""),"")</f>
        <v/>
      </c>
      <c r="H170" s="537">
        <f>IFERROR(IF($J170&gt;0,IF(INDEX('Invullen groen'!$J:$J,$J170)&lt;&gt;0,INDEX('Invullen groen'!$J:$J,$J170),""),""),"")</f>
        <v/>
      </c>
      <c r="I170" s="537">
        <f>IFERROR(IF($J170&gt;0,IF(INDEX('Invullen groen'!$K:$K,$J170)&lt;&gt;0,INDEX('Invullen groen'!$K:$K,$J170),""),""),"")</f>
        <v/>
      </c>
      <c r="J170">
        <f>IFERROR(MATCH(ROW()-4,'Invullen groen'!$P$17:$P$272,0)+16,0)</f>
        <v/>
      </c>
    </row>
    <row r="171" hidden="1" ht="15" customHeight="1">
      <c r="A171" s="534">
        <f>IFERROR(IF($J171&gt;0,ROW()-4,""),"")</f>
        <v/>
      </c>
      <c r="B171" s="534">
        <f>IFERROR(IF($J171&gt;0,INDEX('Invullen groen'!$A:$A,$J171),""),"")</f>
        <v/>
      </c>
      <c r="C171" s="534">
        <f>IFERROR(IF($J171&gt;0,INDEX('Invullen groen'!$C:$C,$J171),""),"")</f>
        <v/>
      </c>
      <c r="D171" s="534">
        <f>IFERROR(IF($J171&gt;0,INDEX('Invullen groen'!$D:$D,$J171),""),"")</f>
        <v/>
      </c>
      <c r="E171" s="534">
        <f>IFERROR(IF($J171&gt;0,INDEX('Invullen groen'!$G:$G,$J171),""),"")</f>
        <v/>
      </c>
      <c r="F171" s="535">
        <f>IFERROR(IF($J171&gt;0,IF(INDEX('Invullen groen'!$H:$H,$J171)&lt;&gt;0,INDEX('Invullen groen'!$H:$H,$J171),""),""),"")</f>
        <v/>
      </c>
      <c r="G171" s="535">
        <f>IFERROR(IF($J171&gt;0,IF(INDEX('Invullen groen'!$I:$I,$J171)&lt;&gt;0,INDEX('Invullen groen'!$I:$I,$J171),""),""),"")</f>
        <v/>
      </c>
      <c r="H171" s="535">
        <f>IFERROR(IF($J171&gt;0,IF(INDEX('Invullen groen'!$J:$J,$J171)&lt;&gt;0,INDEX('Invullen groen'!$J:$J,$J171),""),""),"")</f>
        <v/>
      </c>
      <c r="I171" s="535">
        <f>IFERROR(IF($J171&gt;0,IF(INDEX('Invullen groen'!$K:$K,$J171)&lt;&gt;0,INDEX('Invullen groen'!$K:$K,$J171),""),""),"")</f>
        <v/>
      </c>
      <c r="J171">
        <f>IFERROR(MATCH(ROW()-4,'Invullen groen'!$P$17:$P$272,0)+16,0)</f>
        <v/>
      </c>
    </row>
    <row r="172" hidden="1" ht="15" customHeight="1">
      <c r="A172" s="536">
        <f>IFERROR(IF($J172&gt;0,ROW()-4,""),"")</f>
        <v/>
      </c>
      <c r="B172" s="536">
        <f>IFERROR(IF($J172&gt;0,INDEX('Invullen groen'!$A:$A,$J172),""),"")</f>
        <v/>
      </c>
      <c r="C172" s="536">
        <f>IFERROR(IF($J172&gt;0,INDEX('Invullen groen'!$C:$C,$J172),""),"")</f>
        <v/>
      </c>
      <c r="D172" s="536">
        <f>IFERROR(IF($J172&gt;0,INDEX('Invullen groen'!$D:$D,$J172),""),"")</f>
        <v/>
      </c>
      <c r="E172" s="536">
        <f>IFERROR(IF($J172&gt;0,INDEX('Invullen groen'!$G:$G,$J172),""),"")</f>
        <v/>
      </c>
      <c r="F172" s="537">
        <f>IFERROR(IF($J172&gt;0,IF(INDEX('Invullen groen'!$H:$H,$J172)&lt;&gt;0,INDEX('Invullen groen'!$H:$H,$J172),""),""),"")</f>
        <v/>
      </c>
      <c r="G172" s="537">
        <f>IFERROR(IF($J172&gt;0,IF(INDEX('Invullen groen'!$I:$I,$J172)&lt;&gt;0,INDEX('Invullen groen'!$I:$I,$J172),""),""),"")</f>
        <v/>
      </c>
      <c r="H172" s="537">
        <f>IFERROR(IF($J172&gt;0,IF(INDEX('Invullen groen'!$J:$J,$J172)&lt;&gt;0,INDEX('Invullen groen'!$J:$J,$J172),""),""),"")</f>
        <v/>
      </c>
      <c r="I172" s="537">
        <f>IFERROR(IF($J172&gt;0,IF(INDEX('Invullen groen'!$K:$K,$J172)&lt;&gt;0,INDEX('Invullen groen'!$K:$K,$J172),""),""),"")</f>
        <v/>
      </c>
      <c r="J172">
        <f>IFERROR(MATCH(ROW()-4,'Invullen groen'!$P$17:$P$272,0)+16,0)</f>
        <v/>
      </c>
    </row>
    <row r="173" hidden="1" ht="15" customHeight="1">
      <c r="A173" s="534">
        <f>IFERROR(IF($J173&gt;0,ROW()-4,""),"")</f>
        <v/>
      </c>
      <c r="B173" s="534">
        <f>IFERROR(IF($J173&gt;0,INDEX('Invullen groen'!$A:$A,$J173),""),"")</f>
        <v/>
      </c>
      <c r="C173" s="534">
        <f>IFERROR(IF($J173&gt;0,INDEX('Invullen groen'!$C:$C,$J173),""),"")</f>
        <v/>
      </c>
      <c r="D173" s="534">
        <f>IFERROR(IF($J173&gt;0,INDEX('Invullen groen'!$D:$D,$J173),""),"")</f>
        <v/>
      </c>
      <c r="E173" s="534">
        <f>IFERROR(IF($J173&gt;0,INDEX('Invullen groen'!$G:$G,$J173),""),"")</f>
        <v/>
      </c>
      <c r="F173" s="535">
        <f>IFERROR(IF($J173&gt;0,IF(INDEX('Invullen groen'!$H:$H,$J173)&lt;&gt;0,INDEX('Invullen groen'!$H:$H,$J173),""),""),"")</f>
        <v/>
      </c>
      <c r="G173" s="535">
        <f>IFERROR(IF($J173&gt;0,IF(INDEX('Invullen groen'!$I:$I,$J173)&lt;&gt;0,INDEX('Invullen groen'!$I:$I,$J173),""),""),"")</f>
        <v/>
      </c>
      <c r="H173" s="535">
        <f>IFERROR(IF($J173&gt;0,IF(INDEX('Invullen groen'!$J:$J,$J173)&lt;&gt;0,INDEX('Invullen groen'!$J:$J,$J173),""),""),"")</f>
        <v/>
      </c>
      <c r="I173" s="535">
        <f>IFERROR(IF($J173&gt;0,IF(INDEX('Invullen groen'!$K:$K,$J173)&lt;&gt;0,INDEX('Invullen groen'!$K:$K,$J173),""),""),"")</f>
        <v/>
      </c>
      <c r="J173">
        <f>IFERROR(MATCH(ROW()-4,'Invullen groen'!$P$17:$P$272,0)+16,0)</f>
        <v/>
      </c>
    </row>
    <row r="174" hidden="1" ht="15" customHeight="1">
      <c r="A174" s="536">
        <f>IFERROR(IF($J174&gt;0,ROW()-4,""),"")</f>
        <v/>
      </c>
      <c r="B174" s="536">
        <f>IFERROR(IF($J174&gt;0,INDEX('Invullen groen'!$A:$A,$J174),""),"")</f>
        <v/>
      </c>
      <c r="C174" s="536">
        <f>IFERROR(IF($J174&gt;0,INDEX('Invullen groen'!$C:$C,$J174),""),"")</f>
        <v/>
      </c>
      <c r="D174" s="536">
        <f>IFERROR(IF($J174&gt;0,INDEX('Invullen groen'!$D:$D,$J174),""),"")</f>
        <v/>
      </c>
      <c r="E174" s="536">
        <f>IFERROR(IF($J174&gt;0,INDEX('Invullen groen'!$G:$G,$J174),""),"")</f>
        <v/>
      </c>
      <c r="F174" s="537">
        <f>IFERROR(IF($J174&gt;0,IF(INDEX('Invullen groen'!$H:$H,$J174)&lt;&gt;0,INDEX('Invullen groen'!$H:$H,$J174),""),""),"")</f>
        <v/>
      </c>
      <c r="G174" s="537">
        <f>IFERROR(IF($J174&gt;0,IF(INDEX('Invullen groen'!$I:$I,$J174)&lt;&gt;0,INDEX('Invullen groen'!$I:$I,$J174),""),""),"")</f>
        <v/>
      </c>
      <c r="H174" s="537">
        <f>IFERROR(IF($J174&gt;0,IF(INDEX('Invullen groen'!$J:$J,$J174)&lt;&gt;0,INDEX('Invullen groen'!$J:$J,$J174),""),""),"")</f>
        <v/>
      </c>
      <c r="I174" s="537">
        <f>IFERROR(IF($J174&gt;0,IF(INDEX('Invullen groen'!$K:$K,$J174)&lt;&gt;0,INDEX('Invullen groen'!$K:$K,$J174),""),""),"")</f>
        <v/>
      </c>
      <c r="J174">
        <f>IFERROR(MATCH(ROW()-4,'Invullen groen'!$P$17:$P$272,0)+16,0)</f>
        <v/>
      </c>
    </row>
    <row r="175" hidden="1" ht="15" customHeight="1">
      <c r="A175" s="534">
        <f>IFERROR(IF($J175&gt;0,ROW()-4,""),"")</f>
        <v/>
      </c>
      <c r="B175" s="534">
        <f>IFERROR(IF($J175&gt;0,INDEX('Invullen groen'!$A:$A,$J175),""),"")</f>
        <v/>
      </c>
      <c r="C175" s="534">
        <f>IFERROR(IF($J175&gt;0,INDEX('Invullen groen'!$C:$C,$J175),""),"")</f>
        <v/>
      </c>
      <c r="D175" s="534">
        <f>IFERROR(IF($J175&gt;0,INDEX('Invullen groen'!$D:$D,$J175),""),"")</f>
        <v/>
      </c>
      <c r="E175" s="534">
        <f>IFERROR(IF($J175&gt;0,INDEX('Invullen groen'!$G:$G,$J175),""),"")</f>
        <v/>
      </c>
      <c r="F175" s="535">
        <f>IFERROR(IF($J175&gt;0,IF(INDEX('Invullen groen'!$H:$H,$J175)&lt;&gt;0,INDEX('Invullen groen'!$H:$H,$J175),""),""),"")</f>
        <v/>
      </c>
      <c r="G175" s="535">
        <f>IFERROR(IF($J175&gt;0,IF(INDEX('Invullen groen'!$I:$I,$J175)&lt;&gt;0,INDEX('Invullen groen'!$I:$I,$J175),""),""),"")</f>
        <v/>
      </c>
      <c r="H175" s="535">
        <f>IFERROR(IF($J175&gt;0,IF(INDEX('Invullen groen'!$J:$J,$J175)&lt;&gt;0,INDEX('Invullen groen'!$J:$J,$J175),""),""),"")</f>
        <v/>
      </c>
      <c r="I175" s="535">
        <f>IFERROR(IF($J175&gt;0,IF(INDEX('Invullen groen'!$K:$K,$J175)&lt;&gt;0,INDEX('Invullen groen'!$K:$K,$J175),""),""),"")</f>
        <v/>
      </c>
      <c r="J175">
        <f>IFERROR(MATCH(ROW()-4,'Invullen groen'!$P$17:$P$272,0)+16,0)</f>
        <v/>
      </c>
    </row>
    <row r="176" hidden="1" ht="15" customHeight="1">
      <c r="A176" s="536">
        <f>IFERROR(IF($J176&gt;0,ROW()-4,""),"")</f>
        <v/>
      </c>
      <c r="B176" s="536">
        <f>IFERROR(IF($J176&gt;0,INDEX('Invullen groen'!$A:$A,$J176),""),"")</f>
        <v/>
      </c>
      <c r="C176" s="536">
        <f>IFERROR(IF($J176&gt;0,INDEX('Invullen groen'!$C:$C,$J176),""),"")</f>
        <v/>
      </c>
      <c r="D176" s="536">
        <f>IFERROR(IF($J176&gt;0,INDEX('Invullen groen'!$D:$D,$J176),""),"")</f>
        <v/>
      </c>
      <c r="E176" s="536">
        <f>IFERROR(IF($J176&gt;0,INDEX('Invullen groen'!$G:$G,$J176),""),"")</f>
        <v/>
      </c>
      <c r="F176" s="537">
        <f>IFERROR(IF($J176&gt;0,IF(INDEX('Invullen groen'!$H:$H,$J176)&lt;&gt;0,INDEX('Invullen groen'!$H:$H,$J176),""),""),"")</f>
        <v/>
      </c>
      <c r="G176" s="537">
        <f>IFERROR(IF($J176&gt;0,IF(INDEX('Invullen groen'!$I:$I,$J176)&lt;&gt;0,INDEX('Invullen groen'!$I:$I,$J176),""),""),"")</f>
        <v/>
      </c>
      <c r="H176" s="537">
        <f>IFERROR(IF($J176&gt;0,IF(INDEX('Invullen groen'!$J:$J,$J176)&lt;&gt;0,INDEX('Invullen groen'!$J:$J,$J176),""),""),"")</f>
        <v/>
      </c>
      <c r="I176" s="537">
        <f>IFERROR(IF($J176&gt;0,IF(INDEX('Invullen groen'!$K:$K,$J176)&lt;&gt;0,INDEX('Invullen groen'!$K:$K,$J176),""),""),"")</f>
        <v/>
      </c>
      <c r="J176">
        <f>IFERROR(MATCH(ROW()-4,'Invullen groen'!$P$17:$P$272,0)+16,0)</f>
        <v/>
      </c>
    </row>
    <row r="177" hidden="1" ht="15" customHeight="1">
      <c r="A177" s="534">
        <f>IFERROR(IF($J177&gt;0,ROW()-4,""),"")</f>
        <v/>
      </c>
      <c r="B177" s="534">
        <f>IFERROR(IF($J177&gt;0,INDEX('Invullen groen'!$A:$A,$J177),""),"")</f>
        <v/>
      </c>
      <c r="C177" s="534">
        <f>IFERROR(IF($J177&gt;0,INDEX('Invullen groen'!$C:$C,$J177),""),"")</f>
        <v/>
      </c>
      <c r="D177" s="534">
        <f>IFERROR(IF($J177&gt;0,INDEX('Invullen groen'!$D:$D,$J177),""),"")</f>
        <v/>
      </c>
      <c r="E177" s="534">
        <f>IFERROR(IF($J177&gt;0,INDEX('Invullen groen'!$G:$G,$J177),""),"")</f>
        <v/>
      </c>
      <c r="F177" s="535">
        <f>IFERROR(IF($J177&gt;0,IF(INDEX('Invullen groen'!$H:$H,$J177)&lt;&gt;0,INDEX('Invullen groen'!$H:$H,$J177),""),""),"")</f>
        <v/>
      </c>
      <c r="G177" s="535">
        <f>IFERROR(IF($J177&gt;0,IF(INDEX('Invullen groen'!$I:$I,$J177)&lt;&gt;0,INDEX('Invullen groen'!$I:$I,$J177),""),""),"")</f>
        <v/>
      </c>
      <c r="H177" s="535">
        <f>IFERROR(IF($J177&gt;0,IF(INDEX('Invullen groen'!$J:$J,$J177)&lt;&gt;0,INDEX('Invullen groen'!$J:$J,$J177),""),""),"")</f>
        <v/>
      </c>
      <c r="I177" s="535">
        <f>IFERROR(IF($J177&gt;0,IF(INDEX('Invullen groen'!$K:$K,$J177)&lt;&gt;0,INDEX('Invullen groen'!$K:$K,$J177),""),""),"")</f>
        <v/>
      </c>
      <c r="J177">
        <f>IFERROR(MATCH(ROW()-4,'Invullen groen'!$P$17:$P$272,0)+16,0)</f>
        <v/>
      </c>
    </row>
    <row r="178" hidden="1" ht="15" customHeight="1">
      <c r="A178" s="536">
        <f>IFERROR(IF($J178&gt;0,ROW()-4,""),"")</f>
        <v/>
      </c>
      <c r="B178" s="536">
        <f>IFERROR(IF($J178&gt;0,INDEX('Invullen groen'!$A:$A,$J178),""),"")</f>
        <v/>
      </c>
      <c r="C178" s="536">
        <f>IFERROR(IF($J178&gt;0,INDEX('Invullen groen'!$C:$C,$J178),""),"")</f>
        <v/>
      </c>
      <c r="D178" s="536">
        <f>IFERROR(IF($J178&gt;0,INDEX('Invullen groen'!$D:$D,$J178),""),"")</f>
        <v/>
      </c>
      <c r="E178" s="536">
        <f>IFERROR(IF($J178&gt;0,INDEX('Invullen groen'!$G:$G,$J178),""),"")</f>
        <v/>
      </c>
      <c r="F178" s="537">
        <f>IFERROR(IF($J178&gt;0,IF(INDEX('Invullen groen'!$H:$H,$J178)&lt;&gt;0,INDEX('Invullen groen'!$H:$H,$J178),""),""),"")</f>
        <v/>
      </c>
      <c r="G178" s="537">
        <f>IFERROR(IF($J178&gt;0,IF(INDEX('Invullen groen'!$I:$I,$J178)&lt;&gt;0,INDEX('Invullen groen'!$I:$I,$J178),""),""),"")</f>
        <v/>
      </c>
      <c r="H178" s="537">
        <f>IFERROR(IF($J178&gt;0,IF(INDEX('Invullen groen'!$J:$J,$J178)&lt;&gt;0,INDEX('Invullen groen'!$J:$J,$J178),""),""),"")</f>
        <v/>
      </c>
      <c r="I178" s="537">
        <f>IFERROR(IF($J178&gt;0,IF(INDEX('Invullen groen'!$K:$K,$J178)&lt;&gt;0,INDEX('Invullen groen'!$K:$K,$J178),""),""),"")</f>
        <v/>
      </c>
      <c r="J178">
        <f>IFERROR(MATCH(ROW()-4,'Invullen groen'!$P$17:$P$272,0)+16,0)</f>
        <v/>
      </c>
    </row>
    <row r="179" hidden="1" ht="15" customHeight="1">
      <c r="A179" s="534">
        <f>IFERROR(IF($J179&gt;0,ROW()-4,""),"")</f>
        <v/>
      </c>
      <c r="B179" s="534">
        <f>IFERROR(IF($J179&gt;0,INDEX('Invullen groen'!$A:$A,$J179),""),"")</f>
        <v/>
      </c>
      <c r="C179" s="534">
        <f>IFERROR(IF($J179&gt;0,INDEX('Invullen groen'!$C:$C,$J179),""),"")</f>
        <v/>
      </c>
      <c r="D179" s="534">
        <f>IFERROR(IF($J179&gt;0,INDEX('Invullen groen'!$D:$D,$J179),""),"")</f>
        <v/>
      </c>
      <c r="E179" s="534">
        <f>IFERROR(IF($J179&gt;0,INDEX('Invullen groen'!$G:$G,$J179),""),"")</f>
        <v/>
      </c>
      <c r="F179" s="535">
        <f>IFERROR(IF($J179&gt;0,IF(INDEX('Invullen groen'!$H:$H,$J179)&lt;&gt;0,INDEX('Invullen groen'!$H:$H,$J179),""),""),"")</f>
        <v/>
      </c>
      <c r="G179" s="535">
        <f>IFERROR(IF($J179&gt;0,IF(INDEX('Invullen groen'!$I:$I,$J179)&lt;&gt;0,INDEX('Invullen groen'!$I:$I,$J179),""),""),"")</f>
        <v/>
      </c>
      <c r="H179" s="535">
        <f>IFERROR(IF($J179&gt;0,IF(INDEX('Invullen groen'!$J:$J,$J179)&lt;&gt;0,INDEX('Invullen groen'!$J:$J,$J179),""),""),"")</f>
        <v/>
      </c>
      <c r="I179" s="535">
        <f>IFERROR(IF($J179&gt;0,IF(INDEX('Invullen groen'!$K:$K,$J179)&lt;&gt;0,INDEX('Invullen groen'!$K:$K,$J179),""),""),"")</f>
        <v/>
      </c>
      <c r="J179">
        <f>IFERROR(MATCH(ROW()-4,'Invullen groen'!$P$17:$P$272,0)+16,0)</f>
        <v/>
      </c>
    </row>
    <row r="180" hidden="1" ht="15" customHeight="1">
      <c r="A180" s="536">
        <f>IFERROR(IF($J180&gt;0,ROW()-4,""),"")</f>
        <v/>
      </c>
      <c r="B180" s="536">
        <f>IFERROR(IF($J180&gt;0,INDEX('Invullen groen'!$A:$A,$J180),""),"")</f>
        <v/>
      </c>
      <c r="C180" s="536">
        <f>IFERROR(IF($J180&gt;0,INDEX('Invullen groen'!$C:$C,$J180),""),"")</f>
        <v/>
      </c>
      <c r="D180" s="536">
        <f>IFERROR(IF($J180&gt;0,INDEX('Invullen groen'!$D:$D,$J180),""),"")</f>
        <v/>
      </c>
      <c r="E180" s="536">
        <f>IFERROR(IF($J180&gt;0,INDEX('Invullen groen'!$G:$G,$J180),""),"")</f>
        <v/>
      </c>
      <c r="F180" s="537">
        <f>IFERROR(IF($J180&gt;0,IF(INDEX('Invullen groen'!$H:$H,$J180)&lt;&gt;0,INDEX('Invullen groen'!$H:$H,$J180),""),""),"")</f>
        <v/>
      </c>
      <c r="G180" s="537">
        <f>IFERROR(IF($J180&gt;0,IF(INDEX('Invullen groen'!$I:$I,$J180)&lt;&gt;0,INDEX('Invullen groen'!$I:$I,$J180),""),""),"")</f>
        <v/>
      </c>
      <c r="H180" s="537">
        <f>IFERROR(IF($J180&gt;0,IF(INDEX('Invullen groen'!$J:$J,$J180)&lt;&gt;0,INDEX('Invullen groen'!$J:$J,$J180),""),""),"")</f>
        <v/>
      </c>
      <c r="I180" s="537">
        <f>IFERROR(IF($J180&gt;0,IF(INDEX('Invullen groen'!$K:$K,$J180)&lt;&gt;0,INDEX('Invullen groen'!$K:$K,$J180),""),""),"")</f>
        <v/>
      </c>
      <c r="J180">
        <f>IFERROR(MATCH(ROW()-4,'Invullen groen'!$P$17:$P$272,0)+16,0)</f>
        <v/>
      </c>
    </row>
    <row r="181" hidden="1" ht="15" customHeight="1">
      <c r="A181" s="534">
        <f>IFERROR(IF($J181&gt;0,ROW()-4,""),"")</f>
        <v/>
      </c>
      <c r="B181" s="534">
        <f>IFERROR(IF($J181&gt;0,INDEX('Invullen groen'!$A:$A,$J181),""),"")</f>
        <v/>
      </c>
      <c r="C181" s="534">
        <f>IFERROR(IF($J181&gt;0,INDEX('Invullen groen'!$C:$C,$J181),""),"")</f>
        <v/>
      </c>
      <c r="D181" s="534">
        <f>IFERROR(IF($J181&gt;0,INDEX('Invullen groen'!$D:$D,$J181),""),"")</f>
        <v/>
      </c>
      <c r="E181" s="534">
        <f>IFERROR(IF($J181&gt;0,INDEX('Invullen groen'!$G:$G,$J181),""),"")</f>
        <v/>
      </c>
      <c r="F181" s="535">
        <f>IFERROR(IF($J181&gt;0,IF(INDEX('Invullen groen'!$H:$H,$J181)&lt;&gt;0,INDEX('Invullen groen'!$H:$H,$J181),""),""),"")</f>
        <v/>
      </c>
      <c r="G181" s="535">
        <f>IFERROR(IF($J181&gt;0,IF(INDEX('Invullen groen'!$I:$I,$J181)&lt;&gt;0,INDEX('Invullen groen'!$I:$I,$J181),""),""),"")</f>
        <v/>
      </c>
      <c r="H181" s="535">
        <f>IFERROR(IF($J181&gt;0,IF(INDEX('Invullen groen'!$J:$J,$J181)&lt;&gt;0,INDEX('Invullen groen'!$J:$J,$J181),""),""),"")</f>
        <v/>
      </c>
      <c r="I181" s="535">
        <f>IFERROR(IF($J181&gt;0,IF(INDEX('Invullen groen'!$K:$K,$J181)&lt;&gt;0,INDEX('Invullen groen'!$K:$K,$J181),""),""),"")</f>
        <v/>
      </c>
      <c r="J181">
        <f>IFERROR(MATCH(ROW()-4,'Invullen groen'!$P$17:$P$272,0)+16,0)</f>
        <v/>
      </c>
    </row>
    <row r="182" hidden="1" ht="15" customHeight="1">
      <c r="A182" s="536">
        <f>IFERROR(IF($J182&gt;0,ROW()-4,""),"")</f>
        <v/>
      </c>
      <c r="B182" s="536">
        <f>IFERROR(IF($J182&gt;0,INDEX('Invullen groen'!$A:$A,$J182),""),"")</f>
        <v/>
      </c>
      <c r="C182" s="536">
        <f>IFERROR(IF($J182&gt;0,INDEX('Invullen groen'!$C:$C,$J182),""),"")</f>
        <v/>
      </c>
      <c r="D182" s="536">
        <f>IFERROR(IF($J182&gt;0,INDEX('Invullen groen'!$D:$D,$J182),""),"")</f>
        <v/>
      </c>
      <c r="E182" s="536">
        <f>IFERROR(IF($J182&gt;0,INDEX('Invullen groen'!$G:$G,$J182),""),"")</f>
        <v/>
      </c>
      <c r="F182" s="537">
        <f>IFERROR(IF($J182&gt;0,IF(INDEX('Invullen groen'!$H:$H,$J182)&lt;&gt;0,INDEX('Invullen groen'!$H:$H,$J182),""),""),"")</f>
        <v/>
      </c>
      <c r="G182" s="537">
        <f>IFERROR(IF($J182&gt;0,IF(INDEX('Invullen groen'!$I:$I,$J182)&lt;&gt;0,INDEX('Invullen groen'!$I:$I,$J182),""),""),"")</f>
        <v/>
      </c>
      <c r="H182" s="537">
        <f>IFERROR(IF($J182&gt;0,IF(INDEX('Invullen groen'!$J:$J,$J182)&lt;&gt;0,INDEX('Invullen groen'!$J:$J,$J182),""),""),"")</f>
        <v/>
      </c>
      <c r="I182" s="537">
        <f>IFERROR(IF($J182&gt;0,IF(INDEX('Invullen groen'!$K:$K,$J182)&lt;&gt;0,INDEX('Invullen groen'!$K:$K,$J182),""),""),"")</f>
        <v/>
      </c>
      <c r="J182">
        <f>IFERROR(MATCH(ROW()-4,'Invullen groen'!$P$17:$P$272,0)+16,0)</f>
        <v/>
      </c>
    </row>
    <row r="183" hidden="1" ht="15" customHeight="1">
      <c r="A183" s="534">
        <f>IFERROR(IF($J183&gt;0,ROW()-4,""),"")</f>
        <v/>
      </c>
      <c r="B183" s="534">
        <f>IFERROR(IF($J183&gt;0,INDEX('Invullen groen'!$A:$A,$J183),""),"")</f>
        <v/>
      </c>
      <c r="C183" s="534">
        <f>IFERROR(IF($J183&gt;0,INDEX('Invullen groen'!$C:$C,$J183),""),"")</f>
        <v/>
      </c>
      <c r="D183" s="534">
        <f>IFERROR(IF($J183&gt;0,INDEX('Invullen groen'!$D:$D,$J183),""),"")</f>
        <v/>
      </c>
      <c r="E183" s="534">
        <f>IFERROR(IF($J183&gt;0,INDEX('Invullen groen'!$G:$G,$J183),""),"")</f>
        <v/>
      </c>
      <c r="F183" s="535">
        <f>IFERROR(IF($J183&gt;0,IF(INDEX('Invullen groen'!$H:$H,$J183)&lt;&gt;0,INDEX('Invullen groen'!$H:$H,$J183),""),""),"")</f>
        <v/>
      </c>
      <c r="G183" s="535">
        <f>IFERROR(IF($J183&gt;0,IF(INDEX('Invullen groen'!$I:$I,$J183)&lt;&gt;0,INDEX('Invullen groen'!$I:$I,$J183),""),""),"")</f>
        <v/>
      </c>
      <c r="H183" s="535">
        <f>IFERROR(IF($J183&gt;0,IF(INDEX('Invullen groen'!$J:$J,$J183)&lt;&gt;0,INDEX('Invullen groen'!$J:$J,$J183),""),""),"")</f>
        <v/>
      </c>
      <c r="I183" s="535">
        <f>IFERROR(IF($J183&gt;0,IF(INDEX('Invullen groen'!$K:$K,$J183)&lt;&gt;0,INDEX('Invullen groen'!$K:$K,$J183),""),""),"")</f>
        <v/>
      </c>
      <c r="J183">
        <f>IFERROR(MATCH(ROW()-4,'Invullen groen'!$P$17:$P$272,0)+16,0)</f>
        <v/>
      </c>
    </row>
    <row r="184" hidden="1" ht="15" customHeight="1">
      <c r="A184" s="536">
        <f>IFERROR(IF($J184&gt;0,ROW()-4,""),"")</f>
        <v/>
      </c>
      <c r="B184" s="536">
        <f>IFERROR(IF($J184&gt;0,INDEX('Invullen groen'!$A:$A,$J184),""),"")</f>
        <v/>
      </c>
      <c r="C184" s="536">
        <f>IFERROR(IF($J184&gt;0,INDEX('Invullen groen'!$C:$C,$J184),""),"")</f>
        <v/>
      </c>
      <c r="D184" s="536">
        <f>IFERROR(IF($J184&gt;0,INDEX('Invullen groen'!$D:$D,$J184),""),"")</f>
        <v/>
      </c>
      <c r="E184" s="536">
        <f>IFERROR(IF($J184&gt;0,INDEX('Invullen groen'!$G:$G,$J184),""),"")</f>
        <v/>
      </c>
      <c r="F184" s="537">
        <f>IFERROR(IF($J184&gt;0,IF(INDEX('Invullen groen'!$H:$H,$J184)&lt;&gt;0,INDEX('Invullen groen'!$H:$H,$J184),""),""),"")</f>
        <v/>
      </c>
      <c r="G184" s="537">
        <f>IFERROR(IF($J184&gt;0,IF(INDEX('Invullen groen'!$I:$I,$J184)&lt;&gt;0,INDEX('Invullen groen'!$I:$I,$J184),""),""),"")</f>
        <v/>
      </c>
      <c r="H184" s="537">
        <f>IFERROR(IF($J184&gt;0,IF(INDEX('Invullen groen'!$J:$J,$J184)&lt;&gt;0,INDEX('Invullen groen'!$J:$J,$J184),""),""),"")</f>
        <v/>
      </c>
      <c r="I184" s="537">
        <f>IFERROR(IF($J184&gt;0,IF(INDEX('Invullen groen'!$K:$K,$J184)&lt;&gt;0,INDEX('Invullen groen'!$K:$K,$J184),""),""),"")</f>
        <v/>
      </c>
      <c r="J184">
        <f>IFERROR(MATCH(ROW()-4,'Invullen groen'!$P$17:$P$272,0)+16,0)</f>
        <v/>
      </c>
    </row>
    <row r="185" hidden="1" ht="15" customHeight="1">
      <c r="A185" s="534">
        <f>IFERROR(IF($J185&gt;0,ROW()-4,""),"")</f>
        <v/>
      </c>
      <c r="B185" s="534">
        <f>IFERROR(IF($J185&gt;0,INDEX('Invullen groen'!$A:$A,$J185),""),"")</f>
        <v/>
      </c>
      <c r="C185" s="534">
        <f>IFERROR(IF($J185&gt;0,INDEX('Invullen groen'!$C:$C,$J185),""),"")</f>
        <v/>
      </c>
      <c r="D185" s="534">
        <f>IFERROR(IF($J185&gt;0,INDEX('Invullen groen'!$D:$D,$J185),""),"")</f>
        <v/>
      </c>
      <c r="E185" s="534">
        <f>IFERROR(IF($J185&gt;0,INDEX('Invullen groen'!$G:$G,$J185),""),"")</f>
        <v/>
      </c>
      <c r="F185" s="535">
        <f>IFERROR(IF($J185&gt;0,IF(INDEX('Invullen groen'!$H:$H,$J185)&lt;&gt;0,INDEX('Invullen groen'!$H:$H,$J185),""),""),"")</f>
        <v/>
      </c>
      <c r="G185" s="535">
        <f>IFERROR(IF($J185&gt;0,IF(INDEX('Invullen groen'!$I:$I,$J185)&lt;&gt;0,INDEX('Invullen groen'!$I:$I,$J185),""),""),"")</f>
        <v/>
      </c>
      <c r="H185" s="535">
        <f>IFERROR(IF($J185&gt;0,IF(INDEX('Invullen groen'!$J:$J,$J185)&lt;&gt;0,INDEX('Invullen groen'!$J:$J,$J185),""),""),"")</f>
        <v/>
      </c>
      <c r="I185" s="535">
        <f>IFERROR(IF($J185&gt;0,IF(INDEX('Invullen groen'!$K:$K,$J185)&lt;&gt;0,INDEX('Invullen groen'!$K:$K,$J185),""),""),"")</f>
        <v/>
      </c>
      <c r="J185">
        <f>IFERROR(MATCH(ROW()-4,'Invullen groen'!$P$17:$P$272,0)+16,0)</f>
        <v/>
      </c>
    </row>
    <row r="186" hidden="1" ht="15" customHeight="1">
      <c r="A186" s="536">
        <f>IFERROR(IF($J186&gt;0,ROW()-4,""),"")</f>
        <v/>
      </c>
      <c r="B186" s="536">
        <f>IFERROR(IF($J186&gt;0,INDEX('Invullen groen'!$A:$A,$J186),""),"")</f>
        <v/>
      </c>
      <c r="C186" s="536">
        <f>IFERROR(IF($J186&gt;0,INDEX('Invullen groen'!$C:$C,$J186),""),"")</f>
        <v/>
      </c>
      <c r="D186" s="536">
        <f>IFERROR(IF($J186&gt;0,INDEX('Invullen groen'!$D:$D,$J186),""),"")</f>
        <v/>
      </c>
      <c r="E186" s="536">
        <f>IFERROR(IF($J186&gt;0,INDEX('Invullen groen'!$G:$G,$J186),""),"")</f>
        <v/>
      </c>
      <c r="F186" s="537">
        <f>IFERROR(IF($J186&gt;0,IF(INDEX('Invullen groen'!$H:$H,$J186)&lt;&gt;0,INDEX('Invullen groen'!$H:$H,$J186),""),""),"")</f>
        <v/>
      </c>
      <c r="G186" s="537">
        <f>IFERROR(IF($J186&gt;0,IF(INDEX('Invullen groen'!$I:$I,$J186)&lt;&gt;0,INDEX('Invullen groen'!$I:$I,$J186),""),""),"")</f>
        <v/>
      </c>
      <c r="H186" s="537">
        <f>IFERROR(IF($J186&gt;0,IF(INDEX('Invullen groen'!$J:$J,$J186)&lt;&gt;0,INDEX('Invullen groen'!$J:$J,$J186),""),""),"")</f>
        <v/>
      </c>
      <c r="I186" s="537">
        <f>IFERROR(IF($J186&gt;0,IF(INDEX('Invullen groen'!$K:$K,$J186)&lt;&gt;0,INDEX('Invullen groen'!$K:$K,$J186),""),""),"")</f>
        <v/>
      </c>
      <c r="J186">
        <f>IFERROR(MATCH(ROW()-4,'Invullen groen'!$P$17:$P$272,0)+16,0)</f>
        <v/>
      </c>
    </row>
    <row r="187" hidden="1" ht="15" customHeight="1">
      <c r="A187" s="534">
        <f>IFERROR(IF($J187&gt;0,ROW()-4,""),"")</f>
        <v/>
      </c>
      <c r="B187" s="534">
        <f>IFERROR(IF($J187&gt;0,INDEX('Invullen groen'!$A:$A,$J187),""),"")</f>
        <v/>
      </c>
      <c r="C187" s="534">
        <f>IFERROR(IF($J187&gt;0,INDEX('Invullen groen'!$C:$C,$J187),""),"")</f>
        <v/>
      </c>
      <c r="D187" s="534">
        <f>IFERROR(IF($J187&gt;0,INDEX('Invullen groen'!$D:$D,$J187),""),"")</f>
        <v/>
      </c>
      <c r="E187" s="534">
        <f>IFERROR(IF($J187&gt;0,INDEX('Invullen groen'!$G:$G,$J187),""),"")</f>
        <v/>
      </c>
      <c r="F187" s="535">
        <f>IFERROR(IF($J187&gt;0,IF(INDEX('Invullen groen'!$H:$H,$J187)&lt;&gt;0,INDEX('Invullen groen'!$H:$H,$J187),""),""),"")</f>
        <v/>
      </c>
      <c r="G187" s="535">
        <f>IFERROR(IF($J187&gt;0,IF(INDEX('Invullen groen'!$I:$I,$J187)&lt;&gt;0,INDEX('Invullen groen'!$I:$I,$J187),""),""),"")</f>
        <v/>
      </c>
      <c r="H187" s="535">
        <f>IFERROR(IF($J187&gt;0,IF(INDEX('Invullen groen'!$J:$J,$J187)&lt;&gt;0,INDEX('Invullen groen'!$J:$J,$J187),""),""),"")</f>
        <v/>
      </c>
      <c r="I187" s="535">
        <f>IFERROR(IF($J187&gt;0,IF(INDEX('Invullen groen'!$K:$K,$J187)&lt;&gt;0,INDEX('Invullen groen'!$K:$K,$J187),""),""),"")</f>
        <v/>
      </c>
      <c r="J187">
        <f>IFERROR(MATCH(ROW()-4,'Invullen groen'!$P$17:$P$272,0)+16,0)</f>
        <v/>
      </c>
    </row>
    <row r="188" hidden="1" ht="15" customHeight="1">
      <c r="A188" s="536">
        <f>IFERROR(IF($J188&gt;0,ROW()-4,""),"")</f>
        <v/>
      </c>
      <c r="B188" s="536">
        <f>IFERROR(IF($J188&gt;0,INDEX('Invullen groen'!$A:$A,$J188),""),"")</f>
        <v/>
      </c>
      <c r="C188" s="536">
        <f>IFERROR(IF($J188&gt;0,INDEX('Invullen groen'!$C:$C,$J188),""),"")</f>
        <v/>
      </c>
      <c r="D188" s="536">
        <f>IFERROR(IF($J188&gt;0,INDEX('Invullen groen'!$D:$D,$J188),""),"")</f>
        <v/>
      </c>
      <c r="E188" s="536">
        <f>IFERROR(IF($J188&gt;0,INDEX('Invullen groen'!$G:$G,$J188),""),"")</f>
        <v/>
      </c>
      <c r="F188" s="537">
        <f>IFERROR(IF($J188&gt;0,IF(INDEX('Invullen groen'!$H:$H,$J188)&lt;&gt;0,INDEX('Invullen groen'!$H:$H,$J188),""),""),"")</f>
        <v/>
      </c>
      <c r="G188" s="537">
        <f>IFERROR(IF($J188&gt;0,IF(INDEX('Invullen groen'!$I:$I,$J188)&lt;&gt;0,INDEX('Invullen groen'!$I:$I,$J188),""),""),"")</f>
        <v/>
      </c>
      <c r="H188" s="537">
        <f>IFERROR(IF($J188&gt;0,IF(INDEX('Invullen groen'!$J:$J,$J188)&lt;&gt;0,INDEX('Invullen groen'!$J:$J,$J188),""),""),"")</f>
        <v/>
      </c>
      <c r="I188" s="537">
        <f>IFERROR(IF($J188&gt;0,IF(INDEX('Invullen groen'!$K:$K,$J188)&lt;&gt;0,INDEX('Invullen groen'!$K:$K,$J188),""),""),"")</f>
        <v/>
      </c>
      <c r="J188">
        <f>IFERROR(MATCH(ROW()-4,'Invullen groen'!$P$17:$P$272,0)+16,0)</f>
        <v/>
      </c>
    </row>
    <row r="189" hidden="1" ht="15" customHeight="1">
      <c r="A189" s="534">
        <f>IFERROR(IF($J189&gt;0,ROW()-4,""),"")</f>
        <v/>
      </c>
      <c r="B189" s="534">
        <f>IFERROR(IF($J189&gt;0,INDEX('Invullen groen'!$A:$A,$J189),""),"")</f>
        <v/>
      </c>
      <c r="C189" s="534">
        <f>IFERROR(IF($J189&gt;0,INDEX('Invullen groen'!$C:$C,$J189),""),"")</f>
        <v/>
      </c>
      <c r="D189" s="534">
        <f>IFERROR(IF($J189&gt;0,INDEX('Invullen groen'!$D:$D,$J189),""),"")</f>
        <v/>
      </c>
      <c r="E189" s="534">
        <f>IFERROR(IF($J189&gt;0,INDEX('Invullen groen'!$G:$G,$J189),""),"")</f>
        <v/>
      </c>
      <c r="F189" s="535">
        <f>IFERROR(IF($J189&gt;0,IF(INDEX('Invullen groen'!$H:$H,$J189)&lt;&gt;0,INDEX('Invullen groen'!$H:$H,$J189),""),""),"")</f>
        <v/>
      </c>
      <c r="G189" s="535">
        <f>IFERROR(IF($J189&gt;0,IF(INDEX('Invullen groen'!$I:$I,$J189)&lt;&gt;0,INDEX('Invullen groen'!$I:$I,$J189),""),""),"")</f>
        <v/>
      </c>
      <c r="H189" s="535">
        <f>IFERROR(IF($J189&gt;0,IF(INDEX('Invullen groen'!$J:$J,$J189)&lt;&gt;0,INDEX('Invullen groen'!$J:$J,$J189),""),""),"")</f>
        <v/>
      </c>
      <c r="I189" s="535">
        <f>IFERROR(IF($J189&gt;0,IF(INDEX('Invullen groen'!$K:$K,$J189)&lt;&gt;0,INDEX('Invullen groen'!$K:$K,$J189),""),""),"")</f>
        <v/>
      </c>
      <c r="J189">
        <f>IFERROR(MATCH(ROW()-4,'Invullen groen'!$P$17:$P$272,0)+16,0)</f>
        <v/>
      </c>
    </row>
    <row r="190" hidden="1" ht="15" customHeight="1">
      <c r="A190" s="536">
        <f>IFERROR(IF($J190&gt;0,ROW()-4,""),"")</f>
        <v/>
      </c>
      <c r="B190" s="536">
        <f>IFERROR(IF($J190&gt;0,INDEX('Invullen groen'!$A:$A,$J190),""),"")</f>
        <v/>
      </c>
      <c r="C190" s="536">
        <f>IFERROR(IF($J190&gt;0,INDEX('Invullen groen'!$C:$C,$J190),""),"")</f>
        <v/>
      </c>
      <c r="D190" s="536">
        <f>IFERROR(IF($J190&gt;0,INDEX('Invullen groen'!$D:$D,$J190),""),"")</f>
        <v/>
      </c>
      <c r="E190" s="536">
        <f>IFERROR(IF($J190&gt;0,INDEX('Invullen groen'!$G:$G,$J190),""),"")</f>
        <v/>
      </c>
      <c r="F190" s="537">
        <f>IFERROR(IF($J190&gt;0,IF(INDEX('Invullen groen'!$H:$H,$J190)&lt;&gt;0,INDEX('Invullen groen'!$H:$H,$J190),""),""),"")</f>
        <v/>
      </c>
      <c r="G190" s="537">
        <f>IFERROR(IF($J190&gt;0,IF(INDEX('Invullen groen'!$I:$I,$J190)&lt;&gt;0,INDEX('Invullen groen'!$I:$I,$J190),""),""),"")</f>
        <v/>
      </c>
      <c r="H190" s="537">
        <f>IFERROR(IF($J190&gt;0,IF(INDEX('Invullen groen'!$J:$J,$J190)&lt;&gt;0,INDEX('Invullen groen'!$J:$J,$J190),""),""),"")</f>
        <v/>
      </c>
      <c r="I190" s="537">
        <f>IFERROR(IF($J190&gt;0,IF(INDEX('Invullen groen'!$K:$K,$J190)&lt;&gt;0,INDEX('Invullen groen'!$K:$K,$J190),""),""),"")</f>
        <v/>
      </c>
      <c r="J190">
        <f>IFERROR(MATCH(ROW()-4,'Invullen groen'!$P$17:$P$272,0)+16,0)</f>
        <v/>
      </c>
    </row>
    <row r="191" hidden="1" ht="15" customHeight="1">
      <c r="A191" s="534">
        <f>IFERROR(IF($J191&gt;0,ROW()-4,""),"")</f>
        <v/>
      </c>
      <c r="B191" s="534">
        <f>IFERROR(IF($J191&gt;0,INDEX('Invullen groen'!$A:$A,$J191),""),"")</f>
        <v/>
      </c>
      <c r="C191" s="534">
        <f>IFERROR(IF($J191&gt;0,INDEX('Invullen groen'!$C:$C,$J191),""),"")</f>
        <v/>
      </c>
      <c r="D191" s="534">
        <f>IFERROR(IF($J191&gt;0,INDEX('Invullen groen'!$D:$D,$J191),""),"")</f>
        <v/>
      </c>
      <c r="E191" s="534">
        <f>IFERROR(IF($J191&gt;0,INDEX('Invullen groen'!$G:$G,$J191),""),"")</f>
        <v/>
      </c>
      <c r="F191" s="535">
        <f>IFERROR(IF($J191&gt;0,IF(INDEX('Invullen groen'!$H:$H,$J191)&lt;&gt;0,INDEX('Invullen groen'!$H:$H,$J191),""),""),"")</f>
        <v/>
      </c>
      <c r="G191" s="535">
        <f>IFERROR(IF($J191&gt;0,IF(INDEX('Invullen groen'!$I:$I,$J191)&lt;&gt;0,INDEX('Invullen groen'!$I:$I,$J191),""),""),"")</f>
        <v/>
      </c>
      <c r="H191" s="535">
        <f>IFERROR(IF($J191&gt;0,IF(INDEX('Invullen groen'!$J:$J,$J191)&lt;&gt;0,INDEX('Invullen groen'!$J:$J,$J191),""),""),"")</f>
        <v/>
      </c>
      <c r="I191" s="535">
        <f>IFERROR(IF($J191&gt;0,IF(INDEX('Invullen groen'!$K:$K,$J191)&lt;&gt;0,INDEX('Invullen groen'!$K:$K,$J191),""),""),"")</f>
        <v/>
      </c>
      <c r="J191">
        <f>IFERROR(MATCH(ROW()-4,'Invullen groen'!$P$17:$P$272,0)+16,0)</f>
        <v/>
      </c>
    </row>
    <row r="192" hidden="1" ht="15" customHeight="1">
      <c r="A192" s="536">
        <f>IFERROR(IF($J192&gt;0,ROW()-4,""),"")</f>
        <v/>
      </c>
      <c r="B192" s="536">
        <f>IFERROR(IF($J192&gt;0,INDEX('Invullen groen'!$A:$A,$J192),""),"")</f>
        <v/>
      </c>
      <c r="C192" s="536">
        <f>IFERROR(IF($J192&gt;0,INDEX('Invullen groen'!$C:$C,$J192),""),"")</f>
        <v/>
      </c>
      <c r="D192" s="536">
        <f>IFERROR(IF($J192&gt;0,INDEX('Invullen groen'!$D:$D,$J192),""),"")</f>
        <v/>
      </c>
      <c r="E192" s="536">
        <f>IFERROR(IF($J192&gt;0,INDEX('Invullen groen'!$G:$G,$J192),""),"")</f>
        <v/>
      </c>
      <c r="F192" s="537">
        <f>IFERROR(IF($J192&gt;0,IF(INDEX('Invullen groen'!$H:$H,$J192)&lt;&gt;0,INDEX('Invullen groen'!$H:$H,$J192),""),""),"")</f>
        <v/>
      </c>
      <c r="G192" s="537">
        <f>IFERROR(IF($J192&gt;0,IF(INDEX('Invullen groen'!$I:$I,$J192)&lt;&gt;0,INDEX('Invullen groen'!$I:$I,$J192),""),""),"")</f>
        <v/>
      </c>
      <c r="H192" s="537">
        <f>IFERROR(IF($J192&gt;0,IF(INDEX('Invullen groen'!$J:$J,$J192)&lt;&gt;0,INDEX('Invullen groen'!$J:$J,$J192),""),""),"")</f>
        <v/>
      </c>
      <c r="I192" s="537">
        <f>IFERROR(IF($J192&gt;0,IF(INDEX('Invullen groen'!$K:$K,$J192)&lt;&gt;0,INDEX('Invullen groen'!$K:$K,$J192),""),""),"")</f>
        <v/>
      </c>
      <c r="J192">
        <f>IFERROR(MATCH(ROW()-4,'Invullen groen'!$P$17:$P$272,0)+16,0)</f>
        <v/>
      </c>
    </row>
    <row r="193" hidden="1" ht="15" customHeight="1">
      <c r="A193" s="534">
        <f>IFERROR(IF($J193&gt;0,ROW()-4,""),"")</f>
        <v/>
      </c>
      <c r="B193" s="534">
        <f>IFERROR(IF($J193&gt;0,INDEX('Invullen groen'!$A:$A,$J193),""),"")</f>
        <v/>
      </c>
      <c r="C193" s="534">
        <f>IFERROR(IF($J193&gt;0,INDEX('Invullen groen'!$C:$C,$J193),""),"")</f>
        <v/>
      </c>
      <c r="D193" s="534">
        <f>IFERROR(IF($J193&gt;0,INDEX('Invullen groen'!$D:$D,$J193),""),"")</f>
        <v/>
      </c>
      <c r="E193" s="534">
        <f>IFERROR(IF($J193&gt;0,INDEX('Invullen groen'!$G:$G,$J193),""),"")</f>
        <v/>
      </c>
      <c r="F193" s="535">
        <f>IFERROR(IF($J193&gt;0,IF(INDEX('Invullen groen'!$H:$H,$J193)&lt;&gt;0,INDEX('Invullen groen'!$H:$H,$J193),""),""),"")</f>
        <v/>
      </c>
      <c r="G193" s="535">
        <f>IFERROR(IF($J193&gt;0,IF(INDEX('Invullen groen'!$I:$I,$J193)&lt;&gt;0,INDEX('Invullen groen'!$I:$I,$J193),""),""),"")</f>
        <v/>
      </c>
      <c r="H193" s="535">
        <f>IFERROR(IF($J193&gt;0,IF(INDEX('Invullen groen'!$J:$J,$J193)&lt;&gt;0,INDEX('Invullen groen'!$J:$J,$J193),""),""),"")</f>
        <v/>
      </c>
      <c r="I193" s="535">
        <f>IFERROR(IF($J193&gt;0,IF(INDEX('Invullen groen'!$K:$K,$J193)&lt;&gt;0,INDEX('Invullen groen'!$K:$K,$J193),""),""),"")</f>
        <v/>
      </c>
      <c r="J193">
        <f>IFERROR(MATCH(ROW()-4,'Invullen groen'!$P$17:$P$272,0)+16,0)</f>
        <v/>
      </c>
    </row>
    <row r="194" hidden="1" ht="15" customHeight="1">
      <c r="A194" s="536">
        <f>IFERROR(IF($J194&gt;0,ROW()-4,""),"")</f>
        <v/>
      </c>
      <c r="B194" s="536">
        <f>IFERROR(IF($J194&gt;0,INDEX('Invullen groen'!$A:$A,$J194),""),"")</f>
        <v/>
      </c>
      <c r="C194" s="536">
        <f>IFERROR(IF($J194&gt;0,INDEX('Invullen groen'!$C:$C,$J194),""),"")</f>
        <v/>
      </c>
      <c r="D194" s="536">
        <f>IFERROR(IF($J194&gt;0,INDEX('Invullen groen'!$D:$D,$J194),""),"")</f>
        <v/>
      </c>
      <c r="E194" s="536">
        <f>IFERROR(IF($J194&gt;0,INDEX('Invullen groen'!$G:$G,$J194),""),"")</f>
        <v/>
      </c>
      <c r="F194" s="537">
        <f>IFERROR(IF($J194&gt;0,IF(INDEX('Invullen groen'!$H:$H,$J194)&lt;&gt;0,INDEX('Invullen groen'!$H:$H,$J194),""),""),"")</f>
        <v/>
      </c>
      <c r="G194" s="537">
        <f>IFERROR(IF($J194&gt;0,IF(INDEX('Invullen groen'!$I:$I,$J194)&lt;&gt;0,INDEX('Invullen groen'!$I:$I,$J194),""),""),"")</f>
        <v/>
      </c>
      <c r="H194" s="537">
        <f>IFERROR(IF($J194&gt;0,IF(INDEX('Invullen groen'!$J:$J,$J194)&lt;&gt;0,INDEX('Invullen groen'!$J:$J,$J194),""),""),"")</f>
        <v/>
      </c>
      <c r="I194" s="537">
        <f>IFERROR(IF($J194&gt;0,IF(INDEX('Invullen groen'!$K:$K,$J194)&lt;&gt;0,INDEX('Invullen groen'!$K:$K,$J194),""),""),"")</f>
        <v/>
      </c>
      <c r="J194">
        <f>IFERROR(MATCH(ROW()-4,'Invullen groen'!$P$17:$P$272,0)+16,0)</f>
        <v/>
      </c>
    </row>
    <row r="195" hidden="1" ht="15" customHeight="1">
      <c r="A195" s="534">
        <f>IFERROR(IF($J195&gt;0,ROW()-4,""),"")</f>
        <v/>
      </c>
      <c r="B195" s="534">
        <f>IFERROR(IF($J195&gt;0,INDEX('Invullen groen'!$A:$A,$J195),""),"")</f>
        <v/>
      </c>
      <c r="C195" s="534">
        <f>IFERROR(IF($J195&gt;0,INDEX('Invullen groen'!$C:$C,$J195),""),"")</f>
        <v/>
      </c>
      <c r="D195" s="534">
        <f>IFERROR(IF($J195&gt;0,INDEX('Invullen groen'!$D:$D,$J195),""),"")</f>
        <v/>
      </c>
      <c r="E195" s="534">
        <f>IFERROR(IF($J195&gt;0,INDEX('Invullen groen'!$G:$G,$J195),""),"")</f>
        <v/>
      </c>
      <c r="F195" s="535">
        <f>IFERROR(IF($J195&gt;0,IF(INDEX('Invullen groen'!$H:$H,$J195)&lt;&gt;0,INDEX('Invullen groen'!$H:$H,$J195),""),""),"")</f>
        <v/>
      </c>
      <c r="G195" s="535">
        <f>IFERROR(IF($J195&gt;0,IF(INDEX('Invullen groen'!$I:$I,$J195)&lt;&gt;0,INDEX('Invullen groen'!$I:$I,$J195),""),""),"")</f>
        <v/>
      </c>
      <c r="H195" s="535">
        <f>IFERROR(IF($J195&gt;0,IF(INDEX('Invullen groen'!$J:$J,$J195)&lt;&gt;0,INDEX('Invullen groen'!$J:$J,$J195),""),""),"")</f>
        <v/>
      </c>
      <c r="I195" s="535">
        <f>IFERROR(IF($J195&gt;0,IF(INDEX('Invullen groen'!$K:$K,$J195)&lt;&gt;0,INDEX('Invullen groen'!$K:$K,$J195),""),""),"")</f>
        <v/>
      </c>
      <c r="J195">
        <f>IFERROR(MATCH(ROW()-4,'Invullen groen'!$P$17:$P$272,0)+16,0)</f>
        <v/>
      </c>
    </row>
    <row r="196" hidden="1" ht="15" customHeight="1">
      <c r="A196" s="536">
        <f>IFERROR(IF($J196&gt;0,ROW()-4,""),"")</f>
        <v/>
      </c>
      <c r="B196" s="536">
        <f>IFERROR(IF($J196&gt;0,INDEX('Invullen groen'!$A:$A,$J196),""),"")</f>
        <v/>
      </c>
      <c r="C196" s="536">
        <f>IFERROR(IF($J196&gt;0,INDEX('Invullen groen'!$C:$C,$J196),""),"")</f>
        <v/>
      </c>
      <c r="D196" s="536">
        <f>IFERROR(IF($J196&gt;0,INDEX('Invullen groen'!$D:$D,$J196),""),"")</f>
        <v/>
      </c>
      <c r="E196" s="536">
        <f>IFERROR(IF($J196&gt;0,INDEX('Invullen groen'!$G:$G,$J196),""),"")</f>
        <v/>
      </c>
      <c r="F196" s="537">
        <f>IFERROR(IF($J196&gt;0,IF(INDEX('Invullen groen'!$H:$H,$J196)&lt;&gt;0,INDEX('Invullen groen'!$H:$H,$J196),""),""),"")</f>
        <v/>
      </c>
      <c r="G196" s="537">
        <f>IFERROR(IF($J196&gt;0,IF(INDEX('Invullen groen'!$I:$I,$J196)&lt;&gt;0,INDEX('Invullen groen'!$I:$I,$J196),""),""),"")</f>
        <v/>
      </c>
      <c r="H196" s="537">
        <f>IFERROR(IF($J196&gt;0,IF(INDEX('Invullen groen'!$J:$J,$J196)&lt;&gt;0,INDEX('Invullen groen'!$J:$J,$J196),""),""),"")</f>
        <v/>
      </c>
      <c r="I196" s="537">
        <f>IFERROR(IF($J196&gt;0,IF(INDEX('Invullen groen'!$K:$K,$J196)&lt;&gt;0,INDEX('Invullen groen'!$K:$K,$J196),""),""),"")</f>
        <v/>
      </c>
      <c r="J196">
        <f>IFERROR(MATCH(ROW()-4,'Invullen groen'!$P$17:$P$272,0)+16,0)</f>
        <v/>
      </c>
    </row>
    <row r="197" hidden="1" ht="15" customHeight="1">
      <c r="A197" s="534">
        <f>IFERROR(IF($J197&gt;0,ROW()-4,""),"")</f>
        <v/>
      </c>
      <c r="B197" s="534">
        <f>IFERROR(IF($J197&gt;0,INDEX('Invullen groen'!$A:$A,$J197),""),"")</f>
        <v/>
      </c>
      <c r="C197" s="534">
        <f>IFERROR(IF($J197&gt;0,INDEX('Invullen groen'!$C:$C,$J197),""),"")</f>
        <v/>
      </c>
      <c r="D197" s="534">
        <f>IFERROR(IF($J197&gt;0,INDEX('Invullen groen'!$D:$D,$J197),""),"")</f>
        <v/>
      </c>
      <c r="E197" s="534">
        <f>IFERROR(IF($J197&gt;0,INDEX('Invullen groen'!$G:$G,$J197),""),"")</f>
        <v/>
      </c>
      <c r="F197" s="535">
        <f>IFERROR(IF($J197&gt;0,IF(INDEX('Invullen groen'!$H:$H,$J197)&lt;&gt;0,INDEX('Invullen groen'!$H:$H,$J197),""),""),"")</f>
        <v/>
      </c>
      <c r="G197" s="535">
        <f>IFERROR(IF($J197&gt;0,IF(INDEX('Invullen groen'!$I:$I,$J197)&lt;&gt;0,INDEX('Invullen groen'!$I:$I,$J197),""),""),"")</f>
        <v/>
      </c>
      <c r="H197" s="535">
        <f>IFERROR(IF($J197&gt;0,IF(INDEX('Invullen groen'!$J:$J,$J197)&lt;&gt;0,INDEX('Invullen groen'!$J:$J,$J197),""),""),"")</f>
        <v/>
      </c>
      <c r="I197" s="535">
        <f>IFERROR(IF($J197&gt;0,IF(INDEX('Invullen groen'!$K:$K,$J197)&lt;&gt;0,INDEX('Invullen groen'!$K:$K,$J197),""),""),"")</f>
        <v/>
      </c>
      <c r="J197">
        <f>IFERROR(MATCH(ROW()-4,'Invullen groen'!$P$17:$P$272,0)+16,0)</f>
        <v/>
      </c>
    </row>
    <row r="198" hidden="1" ht="15" customHeight="1">
      <c r="A198" s="536">
        <f>IFERROR(IF($J198&gt;0,ROW()-4,""),"")</f>
        <v/>
      </c>
      <c r="B198" s="536">
        <f>IFERROR(IF($J198&gt;0,INDEX('Invullen groen'!$A:$A,$J198),""),"")</f>
        <v/>
      </c>
      <c r="C198" s="536">
        <f>IFERROR(IF($J198&gt;0,INDEX('Invullen groen'!$C:$C,$J198),""),"")</f>
        <v/>
      </c>
      <c r="D198" s="536">
        <f>IFERROR(IF($J198&gt;0,INDEX('Invullen groen'!$D:$D,$J198),""),"")</f>
        <v/>
      </c>
      <c r="E198" s="536">
        <f>IFERROR(IF($J198&gt;0,INDEX('Invullen groen'!$G:$G,$J198),""),"")</f>
        <v/>
      </c>
      <c r="F198" s="537">
        <f>IFERROR(IF($J198&gt;0,IF(INDEX('Invullen groen'!$H:$H,$J198)&lt;&gt;0,INDEX('Invullen groen'!$H:$H,$J198),""),""),"")</f>
        <v/>
      </c>
      <c r="G198" s="537">
        <f>IFERROR(IF($J198&gt;0,IF(INDEX('Invullen groen'!$I:$I,$J198)&lt;&gt;0,INDEX('Invullen groen'!$I:$I,$J198),""),""),"")</f>
        <v/>
      </c>
      <c r="H198" s="537">
        <f>IFERROR(IF($J198&gt;0,IF(INDEX('Invullen groen'!$J:$J,$J198)&lt;&gt;0,INDEX('Invullen groen'!$J:$J,$J198),""),""),"")</f>
        <v/>
      </c>
      <c r="I198" s="537">
        <f>IFERROR(IF($J198&gt;0,IF(INDEX('Invullen groen'!$K:$K,$J198)&lt;&gt;0,INDEX('Invullen groen'!$K:$K,$J198),""),""),"")</f>
        <v/>
      </c>
      <c r="J198">
        <f>IFERROR(MATCH(ROW()-4,'Invullen groen'!$P$17:$P$272,0)+16,0)</f>
        <v/>
      </c>
    </row>
    <row r="199" hidden="1" ht="15" customHeight="1">
      <c r="A199" s="534">
        <f>IFERROR(IF($J199&gt;0,ROW()-4,""),"")</f>
        <v/>
      </c>
      <c r="B199" s="534">
        <f>IFERROR(IF($J199&gt;0,INDEX('Invullen groen'!$A:$A,$J199),""),"")</f>
        <v/>
      </c>
      <c r="C199" s="534">
        <f>IFERROR(IF($J199&gt;0,INDEX('Invullen groen'!$C:$C,$J199),""),"")</f>
        <v/>
      </c>
      <c r="D199" s="534">
        <f>IFERROR(IF($J199&gt;0,INDEX('Invullen groen'!$D:$D,$J199),""),"")</f>
        <v/>
      </c>
      <c r="E199" s="534">
        <f>IFERROR(IF($J199&gt;0,INDEX('Invullen groen'!$G:$G,$J199),""),"")</f>
        <v/>
      </c>
      <c r="F199" s="535">
        <f>IFERROR(IF($J199&gt;0,IF(INDEX('Invullen groen'!$H:$H,$J199)&lt;&gt;0,INDEX('Invullen groen'!$H:$H,$J199),""),""),"")</f>
        <v/>
      </c>
      <c r="G199" s="535">
        <f>IFERROR(IF($J199&gt;0,IF(INDEX('Invullen groen'!$I:$I,$J199)&lt;&gt;0,INDEX('Invullen groen'!$I:$I,$J199),""),""),"")</f>
        <v/>
      </c>
      <c r="H199" s="535">
        <f>IFERROR(IF($J199&gt;0,IF(INDEX('Invullen groen'!$J:$J,$J199)&lt;&gt;0,INDEX('Invullen groen'!$J:$J,$J199),""),""),"")</f>
        <v/>
      </c>
      <c r="I199" s="535">
        <f>IFERROR(IF($J199&gt;0,IF(INDEX('Invullen groen'!$K:$K,$J199)&lt;&gt;0,INDEX('Invullen groen'!$K:$K,$J199),""),""),"")</f>
        <v/>
      </c>
      <c r="J199">
        <f>IFERROR(MATCH(ROW()-4,'Invullen groen'!$P$17:$P$272,0)+16,0)</f>
        <v/>
      </c>
    </row>
    <row r="200" hidden="1" ht="15" customHeight="1">
      <c r="A200" s="536">
        <f>IFERROR(IF($J200&gt;0,ROW()-4,""),"")</f>
        <v/>
      </c>
      <c r="B200" s="536">
        <f>IFERROR(IF($J200&gt;0,INDEX('Invullen groen'!$A:$A,$J200),""),"")</f>
        <v/>
      </c>
      <c r="C200" s="536">
        <f>IFERROR(IF($J200&gt;0,INDEX('Invullen groen'!$C:$C,$J200),""),"")</f>
        <v/>
      </c>
      <c r="D200" s="536">
        <f>IFERROR(IF($J200&gt;0,INDEX('Invullen groen'!$D:$D,$J200),""),"")</f>
        <v/>
      </c>
      <c r="E200" s="536">
        <f>IFERROR(IF($J200&gt;0,INDEX('Invullen groen'!$G:$G,$J200),""),"")</f>
        <v/>
      </c>
      <c r="F200" s="537">
        <f>IFERROR(IF($J200&gt;0,IF(INDEX('Invullen groen'!$H:$H,$J200)&lt;&gt;0,INDEX('Invullen groen'!$H:$H,$J200),""),""),"")</f>
        <v/>
      </c>
      <c r="G200" s="537">
        <f>IFERROR(IF($J200&gt;0,IF(INDEX('Invullen groen'!$I:$I,$J200)&lt;&gt;0,INDEX('Invullen groen'!$I:$I,$J200),""),""),"")</f>
        <v/>
      </c>
      <c r="H200" s="537">
        <f>IFERROR(IF($J200&gt;0,IF(INDEX('Invullen groen'!$J:$J,$J200)&lt;&gt;0,INDEX('Invullen groen'!$J:$J,$J200),""),""),"")</f>
        <v/>
      </c>
      <c r="I200" s="537">
        <f>IFERROR(IF($J200&gt;0,IF(INDEX('Invullen groen'!$K:$K,$J200)&lt;&gt;0,INDEX('Invullen groen'!$K:$K,$J200),""),""),"")</f>
        <v/>
      </c>
      <c r="J200">
        <f>IFERROR(MATCH(ROW()-4,'Invullen groen'!$P$17:$P$272,0)+16,0)</f>
        <v/>
      </c>
    </row>
    <row r="201" hidden="1" ht="15" customHeight="1">
      <c r="A201" s="534">
        <f>IFERROR(IF($J201&gt;0,ROW()-4,""),"")</f>
        <v/>
      </c>
      <c r="B201" s="534">
        <f>IFERROR(IF($J201&gt;0,INDEX('Invullen groen'!$A:$A,$J201),""),"")</f>
        <v/>
      </c>
      <c r="C201" s="534">
        <f>IFERROR(IF($J201&gt;0,INDEX('Invullen groen'!$C:$C,$J201),""),"")</f>
        <v/>
      </c>
      <c r="D201" s="534">
        <f>IFERROR(IF($J201&gt;0,INDEX('Invullen groen'!$D:$D,$J201),""),"")</f>
        <v/>
      </c>
      <c r="E201" s="534">
        <f>IFERROR(IF($J201&gt;0,INDEX('Invullen groen'!$G:$G,$J201),""),"")</f>
        <v/>
      </c>
      <c r="F201" s="535">
        <f>IFERROR(IF($J201&gt;0,IF(INDEX('Invullen groen'!$H:$H,$J201)&lt;&gt;0,INDEX('Invullen groen'!$H:$H,$J201),""),""),"")</f>
        <v/>
      </c>
      <c r="G201" s="535">
        <f>IFERROR(IF($J201&gt;0,IF(INDEX('Invullen groen'!$I:$I,$J201)&lt;&gt;0,INDEX('Invullen groen'!$I:$I,$J201),""),""),"")</f>
        <v/>
      </c>
      <c r="H201" s="535">
        <f>IFERROR(IF($J201&gt;0,IF(INDEX('Invullen groen'!$J:$J,$J201)&lt;&gt;0,INDEX('Invullen groen'!$J:$J,$J201),""),""),"")</f>
        <v/>
      </c>
      <c r="I201" s="535">
        <f>IFERROR(IF($J201&gt;0,IF(INDEX('Invullen groen'!$K:$K,$J201)&lt;&gt;0,INDEX('Invullen groen'!$K:$K,$J201),""),""),"")</f>
        <v/>
      </c>
      <c r="J201">
        <f>IFERROR(MATCH(ROW()-4,'Invullen groen'!$P$17:$P$272,0)+16,0)</f>
        <v/>
      </c>
    </row>
    <row r="202" hidden="1" ht="15" customHeight="1">
      <c r="A202" s="536">
        <f>IFERROR(IF($J202&gt;0,ROW()-4,""),"")</f>
        <v/>
      </c>
      <c r="B202" s="536">
        <f>IFERROR(IF($J202&gt;0,INDEX('Invullen groen'!$A:$A,$J202),""),"")</f>
        <v/>
      </c>
      <c r="C202" s="536">
        <f>IFERROR(IF($J202&gt;0,INDEX('Invullen groen'!$C:$C,$J202),""),"")</f>
        <v/>
      </c>
      <c r="D202" s="536">
        <f>IFERROR(IF($J202&gt;0,INDEX('Invullen groen'!$D:$D,$J202),""),"")</f>
        <v/>
      </c>
      <c r="E202" s="536">
        <f>IFERROR(IF($J202&gt;0,INDEX('Invullen groen'!$G:$G,$J202),""),"")</f>
        <v/>
      </c>
      <c r="F202" s="537">
        <f>IFERROR(IF($J202&gt;0,IF(INDEX('Invullen groen'!$H:$H,$J202)&lt;&gt;0,INDEX('Invullen groen'!$H:$H,$J202),""),""),"")</f>
        <v/>
      </c>
      <c r="G202" s="537">
        <f>IFERROR(IF($J202&gt;0,IF(INDEX('Invullen groen'!$I:$I,$J202)&lt;&gt;0,INDEX('Invullen groen'!$I:$I,$J202),""),""),"")</f>
        <v/>
      </c>
      <c r="H202" s="537">
        <f>IFERROR(IF($J202&gt;0,IF(INDEX('Invullen groen'!$J:$J,$J202)&lt;&gt;0,INDEX('Invullen groen'!$J:$J,$J202),""),""),"")</f>
        <v/>
      </c>
      <c r="I202" s="537">
        <f>IFERROR(IF($J202&gt;0,IF(INDEX('Invullen groen'!$K:$K,$J202)&lt;&gt;0,INDEX('Invullen groen'!$K:$K,$J202),""),""),"")</f>
        <v/>
      </c>
      <c r="J202">
        <f>IFERROR(MATCH(ROW()-4,'Invullen groen'!$P$17:$P$272,0)+16,0)</f>
        <v/>
      </c>
    </row>
    <row r="203" hidden="1" ht="15" customHeight="1">
      <c r="A203" s="534">
        <f>IFERROR(IF($J203&gt;0,ROW()-4,""),"")</f>
        <v/>
      </c>
      <c r="B203" s="534">
        <f>IFERROR(IF($J203&gt;0,INDEX('Invullen groen'!$A:$A,$J203),""),"")</f>
        <v/>
      </c>
      <c r="C203" s="534">
        <f>IFERROR(IF($J203&gt;0,INDEX('Invullen groen'!$C:$C,$J203),""),"")</f>
        <v/>
      </c>
      <c r="D203" s="534">
        <f>IFERROR(IF($J203&gt;0,INDEX('Invullen groen'!$D:$D,$J203),""),"")</f>
        <v/>
      </c>
      <c r="E203" s="534">
        <f>IFERROR(IF($J203&gt;0,INDEX('Invullen groen'!$G:$G,$J203),""),"")</f>
        <v/>
      </c>
      <c r="F203" s="535">
        <f>IFERROR(IF($J203&gt;0,IF(INDEX('Invullen groen'!$H:$H,$J203)&lt;&gt;0,INDEX('Invullen groen'!$H:$H,$J203),""),""),"")</f>
        <v/>
      </c>
      <c r="G203" s="535">
        <f>IFERROR(IF($J203&gt;0,IF(INDEX('Invullen groen'!$I:$I,$J203)&lt;&gt;0,INDEX('Invullen groen'!$I:$I,$J203),""),""),"")</f>
        <v/>
      </c>
      <c r="H203" s="535">
        <f>IFERROR(IF($J203&gt;0,IF(INDEX('Invullen groen'!$J:$J,$J203)&lt;&gt;0,INDEX('Invullen groen'!$J:$J,$J203),""),""),"")</f>
        <v/>
      </c>
      <c r="I203" s="535">
        <f>IFERROR(IF($J203&gt;0,IF(INDEX('Invullen groen'!$K:$K,$J203)&lt;&gt;0,INDEX('Invullen groen'!$K:$K,$J203),""),""),"")</f>
        <v/>
      </c>
      <c r="J203">
        <f>IFERROR(MATCH(ROW()-4,'Invullen groen'!$P$17:$P$272,0)+16,0)</f>
        <v/>
      </c>
    </row>
    <row r="204" hidden="1" ht="15" customHeight="1">
      <c r="A204" s="536">
        <f>IFERROR(IF($J204&gt;0,ROW()-4,""),"")</f>
        <v/>
      </c>
      <c r="B204" s="536">
        <f>IFERROR(IF($J204&gt;0,INDEX('Invullen groen'!$A:$A,$J204),""),"")</f>
        <v/>
      </c>
      <c r="C204" s="536">
        <f>IFERROR(IF($J204&gt;0,INDEX('Invullen groen'!$C:$C,$J204),""),"")</f>
        <v/>
      </c>
      <c r="D204" s="536">
        <f>IFERROR(IF($J204&gt;0,INDEX('Invullen groen'!$D:$D,$J204),""),"")</f>
        <v/>
      </c>
      <c r="E204" s="536">
        <f>IFERROR(IF($J204&gt;0,INDEX('Invullen groen'!$G:$G,$J204),""),"")</f>
        <v/>
      </c>
      <c r="F204" s="537">
        <f>IFERROR(IF($J204&gt;0,IF(INDEX('Invullen groen'!$H:$H,$J204)&lt;&gt;0,INDEX('Invullen groen'!$H:$H,$J204),""),""),"")</f>
        <v/>
      </c>
      <c r="G204" s="537">
        <f>IFERROR(IF($J204&gt;0,IF(INDEX('Invullen groen'!$I:$I,$J204)&lt;&gt;0,INDEX('Invullen groen'!$I:$I,$J204),""),""),"")</f>
        <v/>
      </c>
      <c r="H204" s="537">
        <f>IFERROR(IF($J204&gt;0,IF(INDEX('Invullen groen'!$J:$J,$J204)&lt;&gt;0,INDEX('Invullen groen'!$J:$J,$J204),""),""),"")</f>
        <v/>
      </c>
      <c r="I204" s="537">
        <f>IFERROR(IF($J204&gt;0,IF(INDEX('Invullen groen'!$K:$K,$J204)&lt;&gt;0,INDEX('Invullen groen'!$K:$K,$J204),""),""),"")</f>
        <v/>
      </c>
      <c r="J204">
        <f>IFERROR(MATCH(ROW()-4,'Invullen groen'!$P$17:$P$272,0)+16,0)</f>
        <v/>
      </c>
    </row>
    <row r="205" hidden="1" ht="15" customHeight="1">
      <c r="A205" s="534">
        <f>IFERROR(IF($J205&gt;0,ROW()-4,""),"")</f>
        <v/>
      </c>
      <c r="B205" s="534">
        <f>IFERROR(IF($J205&gt;0,INDEX('Invullen groen'!$A:$A,$J205),""),"")</f>
        <v/>
      </c>
      <c r="C205" s="534">
        <f>IFERROR(IF($J205&gt;0,INDEX('Invullen groen'!$C:$C,$J205),""),"")</f>
        <v/>
      </c>
      <c r="D205" s="534">
        <f>IFERROR(IF($J205&gt;0,INDEX('Invullen groen'!$D:$D,$J205),""),"")</f>
        <v/>
      </c>
      <c r="E205" s="534">
        <f>IFERROR(IF($J205&gt;0,INDEX('Invullen groen'!$G:$G,$J205),""),"")</f>
        <v/>
      </c>
      <c r="F205" s="535">
        <f>IFERROR(IF($J205&gt;0,IF(INDEX('Invullen groen'!$H:$H,$J205)&lt;&gt;0,INDEX('Invullen groen'!$H:$H,$J205),""),""),"")</f>
        <v/>
      </c>
      <c r="G205" s="535">
        <f>IFERROR(IF($J205&gt;0,IF(INDEX('Invullen groen'!$I:$I,$J205)&lt;&gt;0,INDEX('Invullen groen'!$I:$I,$J205),""),""),"")</f>
        <v/>
      </c>
      <c r="H205" s="535">
        <f>IFERROR(IF($J205&gt;0,IF(INDEX('Invullen groen'!$J:$J,$J205)&lt;&gt;0,INDEX('Invullen groen'!$J:$J,$J205),""),""),"")</f>
        <v/>
      </c>
      <c r="I205" s="535">
        <f>IFERROR(IF($J205&gt;0,IF(INDEX('Invullen groen'!$K:$K,$J205)&lt;&gt;0,INDEX('Invullen groen'!$K:$K,$J205),""),""),"")</f>
        <v/>
      </c>
      <c r="J205">
        <f>IFERROR(MATCH(ROW()-4,'Invullen groen'!$P$17:$P$272,0)+16,0)</f>
        <v/>
      </c>
    </row>
    <row r="206" hidden="1" ht="15" customHeight="1">
      <c r="A206" s="536">
        <f>IFERROR(IF($J206&gt;0,ROW()-4,""),"")</f>
        <v/>
      </c>
      <c r="B206" s="536">
        <f>IFERROR(IF($J206&gt;0,INDEX('Invullen groen'!$A:$A,$J206),""),"")</f>
        <v/>
      </c>
      <c r="C206" s="536">
        <f>IFERROR(IF($J206&gt;0,INDEX('Invullen groen'!$C:$C,$J206),""),"")</f>
        <v/>
      </c>
      <c r="D206" s="536">
        <f>IFERROR(IF($J206&gt;0,INDEX('Invullen groen'!$D:$D,$J206),""),"")</f>
        <v/>
      </c>
      <c r="E206" s="536">
        <f>IFERROR(IF($J206&gt;0,INDEX('Invullen groen'!$G:$G,$J206),""),"")</f>
        <v/>
      </c>
      <c r="F206" s="537">
        <f>IFERROR(IF($J206&gt;0,IF(INDEX('Invullen groen'!$H:$H,$J206)&lt;&gt;0,INDEX('Invullen groen'!$H:$H,$J206),""),""),"")</f>
        <v/>
      </c>
      <c r="G206" s="537">
        <f>IFERROR(IF($J206&gt;0,IF(INDEX('Invullen groen'!$I:$I,$J206)&lt;&gt;0,INDEX('Invullen groen'!$I:$I,$J206),""),""),"")</f>
        <v/>
      </c>
      <c r="H206" s="537">
        <f>IFERROR(IF($J206&gt;0,IF(INDEX('Invullen groen'!$J:$J,$J206)&lt;&gt;0,INDEX('Invullen groen'!$J:$J,$J206),""),""),"")</f>
        <v/>
      </c>
      <c r="I206" s="537">
        <f>IFERROR(IF($J206&gt;0,IF(INDEX('Invullen groen'!$K:$K,$J206)&lt;&gt;0,INDEX('Invullen groen'!$K:$K,$J206),""),""),"")</f>
        <v/>
      </c>
      <c r="J206">
        <f>IFERROR(MATCH(ROW()-4,'Invullen groen'!$P$17:$P$272,0)+16,0)</f>
        <v/>
      </c>
    </row>
    <row r="207" hidden="1" ht="15" customHeight="1">
      <c r="A207" s="534">
        <f>IFERROR(IF($J207&gt;0,ROW()-4,""),"")</f>
        <v/>
      </c>
      <c r="B207" s="534">
        <f>IFERROR(IF($J207&gt;0,INDEX('Invullen groen'!$A:$A,$J207),""),"")</f>
        <v/>
      </c>
      <c r="C207" s="534">
        <f>IFERROR(IF($J207&gt;0,INDEX('Invullen groen'!$C:$C,$J207),""),"")</f>
        <v/>
      </c>
      <c r="D207" s="534">
        <f>IFERROR(IF($J207&gt;0,INDEX('Invullen groen'!$D:$D,$J207),""),"")</f>
        <v/>
      </c>
      <c r="E207" s="534">
        <f>IFERROR(IF($J207&gt;0,INDEX('Invullen groen'!$G:$G,$J207),""),"")</f>
        <v/>
      </c>
      <c r="F207" s="535">
        <f>IFERROR(IF($J207&gt;0,IF(INDEX('Invullen groen'!$H:$H,$J207)&lt;&gt;0,INDEX('Invullen groen'!$H:$H,$J207),""),""),"")</f>
        <v/>
      </c>
      <c r="G207" s="535">
        <f>IFERROR(IF($J207&gt;0,IF(INDEX('Invullen groen'!$I:$I,$J207)&lt;&gt;0,INDEX('Invullen groen'!$I:$I,$J207),""),""),"")</f>
        <v/>
      </c>
      <c r="H207" s="535">
        <f>IFERROR(IF($J207&gt;0,IF(INDEX('Invullen groen'!$J:$J,$J207)&lt;&gt;0,INDEX('Invullen groen'!$J:$J,$J207),""),""),"")</f>
        <v/>
      </c>
      <c r="I207" s="535">
        <f>IFERROR(IF($J207&gt;0,IF(INDEX('Invullen groen'!$K:$K,$J207)&lt;&gt;0,INDEX('Invullen groen'!$K:$K,$J207),""),""),"")</f>
        <v/>
      </c>
      <c r="J207">
        <f>IFERROR(MATCH(ROW()-4,'Invullen groen'!$P$17:$P$272,0)+16,0)</f>
        <v/>
      </c>
    </row>
    <row r="208" hidden="1" ht="15" customHeight="1">
      <c r="A208" s="536">
        <f>IFERROR(IF($J208&gt;0,ROW()-4,""),"")</f>
        <v/>
      </c>
      <c r="B208" s="536">
        <f>IFERROR(IF($J208&gt;0,INDEX('Invullen groen'!$A:$A,$J208),""),"")</f>
        <v/>
      </c>
      <c r="C208" s="536">
        <f>IFERROR(IF($J208&gt;0,INDEX('Invullen groen'!$C:$C,$J208),""),"")</f>
        <v/>
      </c>
      <c r="D208" s="536">
        <f>IFERROR(IF($J208&gt;0,INDEX('Invullen groen'!$D:$D,$J208),""),"")</f>
        <v/>
      </c>
      <c r="E208" s="536">
        <f>IFERROR(IF($J208&gt;0,INDEX('Invullen groen'!$G:$G,$J208),""),"")</f>
        <v/>
      </c>
      <c r="F208" s="537">
        <f>IFERROR(IF($J208&gt;0,IF(INDEX('Invullen groen'!$H:$H,$J208)&lt;&gt;0,INDEX('Invullen groen'!$H:$H,$J208),""),""),"")</f>
        <v/>
      </c>
      <c r="G208" s="537">
        <f>IFERROR(IF($J208&gt;0,IF(INDEX('Invullen groen'!$I:$I,$J208)&lt;&gt;0,INDEX('Invullen groen'!$I:$I,$J208),""),""),"")</f>
        <v/>
      </c>
      <c r="H208" s="537">
        <f>IFERROR(IF($J208&gt;0,IF(INDEX('Invullen groen'!$J:$J,$J208)&lt;&gt;0,INDEX('Invullen groen'!$J:$J,$J208),""),""),"")</f>
        <v/>
      </c>
      <c r="I208" s="537">
        <f>IFERROR(IF($J208&gt;0,IF(INDEX('Invullen groen'!$K:$K,$J208)&lt;&gt;0,INDEX('Invullen groen'!$K:$K,$J208),""),""),"")</f>
        <v/>
      </c>
      <c r="J208">
        <f>IFERROR(MATCH(ROW()-4,'Invullen groen'!$P$17:$P$272,0)+16,0)</f>
        <v/>
      </c>
    </row>
    <row r="209" hidden="1" ht="15" customHeight="1">
      <c r="A209" s="534">
        <f>IFERROR(IF($J209&gt;0,ROW()-4,""),"")</f>
        <v/>
      </c>
      <c r="B209" s="534">
        <f>IFERROR(IF($J209&gt;0,INDEX('Invullen groen'!$A:$A,$J209),""),"")</f>
        <v/>
      </c>
      <c r="C209" s="534">
        <f>IFERROR(IF($J209&gt;0,INDEX('Invullen groen'!$C:$C,$J209),""),"")</f>
        <v/>
      </c>
      <c r="D209" s="534">
        <f>IFERROR(IF($J209&gt;0,INDEX('Invullen groen'!$D:$D,$J209),""),"")</f>
        <v/>
      </c>
      <c r="E209" s="534">
        <f>IFERROR(IF($J209&gt;0,INDEX('Invullen groen'!$G:$G,$J209),""),"")</f>
        <v/>
      </c>
      <c r="F209" s="535">
        <f>IFERROR(IF($J209&gt;0,IF(INDEX('Invullen groen'!$H:$H,$J209)&lt;&gt;0,INDEX('Invullen groen'!$H:$H,$J209),""),""),"")</f>
        <v/>
      </c>
      <c r="G209" s="535">
        <f>IFERROR(IF($J209&gt;0,IF(INDEX('Invullen groen'!$I:$I,$J209)&lt;&gt;0,INDEX('Invullen groen'!$I:$I,$J209),""),""),"")</f>
        <v/>
      </c>
      <c r="H209" s="535">
        <f>IFERROR(IF($J209&gt;0,IF(INDEX('Invullen groen'!$J:$J,$J209)&lt;&gt;0,INDEX('Invullen groen'!$J:$J,$J209),""),""),"")</f>
        <v/>
      </c>
      <c r="I209" s="535">
        <f>IFERROR(IF($J209&gt;0,IF(INDEX('Invullen groen'!$K:$K,$J209)&lt;&gt;0,INDEX('Invullen groen'!$K:$K,$J209),""),""),"")</f>
        <v/>
      </c>
      <c r="J209">
        <f>IFERROR(MATCH(ROW()-4,'Invullen groen'!$P$17:$P$272,0)+16,0)</f>
        <v/>
      </c>
    </row>
    <row r="210" hidden="1" ht="15" customHeight="1">
      <c r="A210" s="536">
        <f>IFERROR(IF($J210&gt;0,ROW()-4,""),"")</f>
        <v/>
      </c>
      <c r="B210" s="536">
        <f>IFERROR(IF($J210&gt;0,INDEX('Invullen groen'!$A:$A,$J210),""),"")</f>
        <v/>
      </c>
      <c r="C210" s="536">
        <f>IFERROR(IF($J210&gt;0,INDEX('Invullen groen'!$C:$C,$J210),""),"")</f>
        <v/>
      </c>
      <c r="D210" s="536">
        <f>IFERROR(IF($J210&gt;0,INDEX('Invullen groen'!$D:$D,$J210),""),"")</f>
        <v/>
      </c>
      <c r="E210" s="536">
        <f>IFERROR(IF($J210&gt;0,INDEX('Invullen groen'!$G:$G,$J210),""),"")</f>
        <v/>
      </c>
      <c r="F210" s="537">
        <f>IFERROR(IF($J210&gt;0,IF(INDEX('Invullen groen'!$H:$H,$J210)&lt;&gt;0,INDEX('Invullen groen'!$H:$H,$J210),""),""),"")</f>
        <v/>
      </c>
      <c r="G210" s="537">
        <f>IFERROR(IF($J210&gt;0,IF(INDEX('Invullen groen'!$I:$I,$J210)&lt;&gt;0,INDEX('Invullen groen'!$I:$I,$J210),""),""),"")</f>
        <v/>
      </c>
      <c r="H210" s="537">
        <f>IFERROR(IF($J210&gt;0,IF(INDEX('Invullen groen'!$J:$J,$J210)&lt;&gt;0,INDEX('Invullen groen'!$J:$J,$J210),""),""),"")</f>
        <v/>
      </c>
      <c r="I210" s="537">
        <f>IFERROR(IF($J210&gt;0,IF(INDEX('Invullen groen'!$K:$K,$J210)&lt;&gt;0,INDEX('Invullen groen'!$K:$K,$J210),""),""),"")</f>
        <v/>
      </c>
      <c r="J210">
        <f>IFERROR(MATCH(ROW()-4,'Invullen groen'!$P$17:$P$272,0)+16,0)</f>
        <v/>
      </c>
    </row>
    <row r="211" hidden="1" ht="15" customHeight="1">
      <c r="A211" s="534">
        <f>IFERROR(IF($J211&gt;0,ROW()-4,""),"")</f>
        <v/>
      </c>
      <c r="B211" s="534">
        <f>IFERROR(IF($J211&gt;0,INDEX('Invullen groen'!$A:$A,$J211),""),"")</f>
        <v/>
      </c>
      <c r="C211" s="534">
        <f>IFERROR(IF($J211&gt;0,INDEX('Invullen groen'!$C:$C,$J211),""),"")</f>
        <v/>
      </c>
      <c r="D211" s="534">
        <f>IFERROR(IF($J211&gt;0,INDEX('Invullen groen'!$D:$D,$J211),""),"")</f>
        <v/>
      </c>
      <c r="E211" s="534">
        <f>IFERROR(IF($J211&gt;0,INDEX('Invullen groen'!$G:$G,$J211),""),"")</f>
        <v/>
      </c>
      <c r="F211" s="535">
        <f>IFERROR(IF($J211&gt;0,IF(INDEX('Invullen groen'!$H:$H,$J211)&lt;&gt;0,INDEX('Invullen groen'!$H:$H,$J211),""),""),"")</f>
        <v/>
      </c>
      <c r="G211" s="535">
        <f>IFERROR(IF($J211&gt;0,IF(INDEX('Invullen groen'!$I:$I,$J211)&lt;&gt;0,INDEX('Invullen groen'!$I:$I,$J211),""),""),"")</f>
        <v/>
      </c>
      <c r="H211" s="535">
        <f>IFERROR(IF($J211&gt;0,IF(INDEX('Invullen groen'!$J:$J,$J211)&lt;&gt;0,INDEX('Invullen groen'!$J:$J,$J211),""),""),"")</f>
        <v/>
      </c>
      <c r="I211" s="535">
        <f>IFERROR(IF($J211&gt;0,IF(INDEX('Invullen groen'!$K:$K,$J211)&lt;&gt;0,INDEX('Invullen groen'!$K:$K,$J211),""),""),"")</f>
        <v/>
      </c>
      <c r="J211">
        <f>IFERROR(MATCH(ROW()-4,'Invullen groen'!$P$17:$P$272,0)+16,0)</f>
        <v/>
      </c>
    </row>
    <row r="212" hidden="1" ht="15" customHeight="1">
      <c r="A212" s="536">
        <f>IFERROR(IF($J212&gt;0,ROW()-4,""),"")</f>
        <v/>
      </c>
      <c r="B212" s="536">
        <f>IFERROR(IF($J212&gt;0,INDEX('Invullen groen'!$A:$A,$J212),""),"")</f>
        <v/>
      </c>
      <c r="C212" s="536">
        <f>IFERROR(IF($J212&gt;0,INDEX('Invullen groen'!$C:$C,$J212),""),"")</f>
        <v/>
      </c>
      <c r="D212" s="536">
        <f>IFERROR(IF($J212&gt;0,INDEX('Invullen groen'!$D:$D,$J212),""),"")</f>
        <v/>
      </c>
      <c r="E212" s="536">
        <f>IFERROR(IF($J212&gt;0,INDEX('Invullen groen'!$G:$G,$J212),""),"")</f>
        <v/>
      </c>
      <c r="F212" s="537">
        <f>IFERROR(IF($J212&gt;0,IF(INDEX('Invullen groen'!$H:$H,$J212)&lt;&gt;0,INDEX('Invullen groen'!$H:$H,$J212),""),""),"")</f>
        <v/>
      </c>
      <c r="G212" s="537">
        <f>IFERROR(IF($J212&gt;0,IF(INDEX('Invullen groen'!$I:$I,$J212)&lt;&gt;0,INDEX('Invullen groen'!$I:$I,$J212),""),""),"")</f>
        <v/>
      </c>
      <c r="H212" s="537">
        <f>IFERROR(IF($J212&gt;0,IF(INDEX('Invullen groen'!$J:$J,$J212)&lt;&gt;0,INDEX('Invullen groen'!$J:$J,$J212),""),""),"")</f>
        <v/>
      </c>
      <c r="I212" s="537">
        <f>IFERROR(IF($J212&gt;0,IF(INDEX('Invullen groen'!$K:$K,$J212)&lt;&gt;0,INDEX('Invullen groen'!$K:$K,$J212),""),""),"")</f>
        <v/>
      </c>
      <c r="J212">
        <f>IFERROR(MATCH(ROW()-4,'Invullen groen'!$P$17:$P$272,0)+16,0)</f>
        <v/>
      </c>
    </row>
    <row r="213" hidden="1" ht="15" customHeight="1">
      <c r="A213" s="534">
        <f>IFERROR(IF($J213&gt;0,ROW()-4,""),"")</f>
        <v/>
      </c>
      <c r="B213" s="534">
        <f>IFERROR(IF($J213&gt;0,INDEX('Invullen groen'!$A:$A,$J213),""),"")</f>
        <v/>
      </c>
      <c r="C213" s="534">
        <f>IFERROR(IF($J213&gt;0,INDEX('Invullen groen'!$C:$C,$J213),""),"")</f>
        <v/>
      </c>
      <c r="D213" s="534">
        <f>IFERROR(IF($J213&gt;0,INDEX('Invullen groen'!$D:$D,$J213),""),"")</f>
        <v/>
      </c>
      <c r="E213" s="534">
        <f>IFERROR(IF($J213&gt;0,INDEX('Invullen groen'!$G:$G,$J213),""),"")</f>
        <v/>
      </c>
      <c r="F213" s="535">
        <f>IFERROR(IF($J213&gt;0,IF(INDEX('Invullen groen'!$H:$H,$J213)&lt;&gt;0,INDEX('Invullen groen'!$H:$H,$J213),""),""),"")</f>
        <v/>
      </c>
      <c r="G213" s="535">
        <f>IFERROR(IF($J213&gt;0,IF(INDEX('Invullen groen'!$I:$I,$J213)&lt;&gt;0,INDEX('Invullen groen'!$I:$I,$J213),""),""),"")</f>
        <v/>
      </c>
      <c r="H213" s="535">
        <f>IFERROR(IF($J213&gt;0,IF(INDEX('Invullen groen'!$J:$J,$J213)&lt;&gt;0,INDEX('Invullen groen'!$J:$J,$J213),""),""),"")</f>
        <v/>
      </c>
      <c r="I213" s="535">
        <f>IFERROR(IF($J213&gt;0,IF(INDEX('Invullen groen'!$K:$K,$J213)&lt;&gt;0,INDEX('Invullen groen'!$K:$K,$J213),""),""),"")</f>
        <v/>
      </c>
      <c r="J213">
        <f>IFERROR(MATCH(ROW()-4,'Invullen groen'!$P$17:$P$272,0)+16,0)</f>
        <v/>
      </c>
    </row>
    <row r="214" hidden="1" ht="15" customHeight="1">
      <c r="A214" s="536">
        <f>IFERROR(IF($J214&gt;0,ROW()-4,""),"")</f>
        <v/>
      </c>
      <c r="B214" s="536">
        <f>IFERROR(IF($J214&gt;0,INDEX('Invullen groen'!$A:$A,$J214),""),"")</f>
        <v/>
      </c>
      <c r="C214" s="536">
        <f>IFERROR(IF($J214&gt;0,INDEX('Invullen groen'!$C:$C,$J214),""),"")</f>
        <v/>
      </c>
      <c r="D214" s="536">
        <f>IFERROR(IF($J214&gt;0,INDEX('Invullen groen'!$D:$D,$J214),""),"")</f>
        <v/>
      </c>
      <c r="E214" s="536">
        <f>IFERROR(IF($J214&gt;0,INDEX('Invullen groen'!$G:$G,$J214),""),"")</f>
        <v/>
      </c>
      <c r="F214" s="537">
        <f>IFERROR(IF($J214&gt;0,IF(INDEX('Invullen groen'!$H:$H,$J214)&lt;&gt;0,INDEX('Invullen groen'!$H:$H,$J214),""),""),"")</f>
        <v/>
      </c>
      <c r="G214" s="537">
        <f>IFERROR(IF($J214&gt;0,IF(INDEX('Invullen groen'!$I:$I,$J214)&lt;&gt;0,INDEX('Invullen groen'!$I:$I,$J214),""),""),"")</f>
        <v/>
      </c>
      <c r="H214" s="537">
        <f>IFERROR(IF($J214&gt;0,IF(INDEX('Invullen groen'!$J:$J,$J214)&lt;&gt;0,INDEX('Invullen groen'!$J:$J,$J214),""),""),"")</f>
        <v/>
      </c>
      <c r="I214" s="537">
        <f>IFERROR(IF($J214&gt;0,IF(INDEX('Invullen groen'!$K:$K,$J214)&lt;&gt;0,INDEX('Invullen groen'!$K:$K,$J214),""),""),"")</f>
        <v/>
      </c>
      <c r="J214">
        <f>IFERROR(MATCH(ROW()-4,'Invullen groen'!$P$17:$P$272,0)+16,0)</f>
        <v/>
      </c>
    </row>
    <row r="215" hidden="1" ht="15" customHeight="1">
      <c r="A215" s="534">
        <f>IFERROR(IF($J215&gt;0,ROW()-4,""),"")</f>
        <v/>
      </c>
      <c r="B215" s="534">
        <f>IFERROR(IF($J215&gt;0,INDEX('Invullen groen'!$A:$A,$J215),""),"")</f>
        <v/>
      </c>
      <c r="C215" s="534">
        <f>IFERROR(IF($J215&gt;0,INDEX('Invullen groen'!$C:$C,$J215),""),"")</f>
        <v/>
      </c>
      <c r="D215" s="534">
        <f>IFERROR(IF($J215&gt;0,INDEX('Invullen groen'!$D:$D,$J215),""),"")</f>
        <v/>
      </c>
      <c r="E215" s="534">
        <f>IFERROR(IF($J215&gt;0,INDEX('Invullen groen'!$G:$G,$J215),""),"")</f>
        <v/>
      </c>
      <c r="F215" s="535">
        <f>IFERROR(IF($J215&gt;0,IF(INDEX('Invullen groen'!$H:$H,$J215)&lt;&gt;0,INDEX('Invullen groen'!$H:$H,$J215),""),""),"")</f>
        <v/>
      </c>
      <c r="G215" s="535">
        <f>IFERROR(IF($J215&gt;0,IF(INDEX('Invullen groen'!$I:$I,$J215)&lt;&gt;0,INDEX('Invullen groen'!$I:$I,$J215),""),""),"")</f>
        <v/>
      </c>
      <c r="H215" s="535">
        <f>IFERROR(IF($J215&gt;0,IF(INDEX('Invullen groen'!$J:$J,$J215)&lt;&gt;0,INDEX('Invullen groen'!$J:$J,$J215),""),""),"")</f>
        <v/>
      </c>
      <c r="I215" s="535">
        <f>IFERROR(IF($J215&gt;0,IF(INDEX('Invullen groen'!$K:$K,$J215)&lt;&gt;0,INDEX('Invullen groen'!$K:$K,$J215),""),""),"")</f>
        <v/>
      </c>
      <c r="J215">
        <f>IFERROR(MATCH(ROW()-4,'Invullen groen'!$P$17:$P$272,0)+16,0)</f>
        <v/>
      </c>
    </row>
    <row r="216" hidden="1" ht="15" customHeight="1">
      <c r="A216" s="536">
        <f>IFERROR(IF($J216&gt;0,ROW()-4,""),"")</f>
        <v/>
      </c>
      <c r="B216" s="536">
        <f>IFERROR(IF($J216&gt;0,INDEX('Invullen groen'!$A:$A,$J216),""),"")</f>
        <v/>
      </c>
      <c r="C216" s="536">
        <f>IFERROR(IF($J216&gt;0,INDEX('Invullen groen'!$C:$C,$J216),""),"")</f>
        <v/>
      </c>
      <c r="D216" s="536">
        <f>IFERROR(IF($J216&gt;0,INDEX('Invullen groen'!$D:$D,$J216),""),"")</f>
        <v/>
      </c>
      <c r="E216" s="536">
        <f>IFERROR(IF($J216&gt;0,INDEX('Invullen groen'!$G:$G,$J216),""),"")</f>
        <v/>
      </c>
      <c r="F216" s="537">
        <f>IFERROR(IF($J216&gt;0,IF(INDEX('Invullen groen'!$H:$H,$J216)&lt;&gt;0,INDEX('Invullen groen'!$H:$H,$J216),""),""),"")</f>
        <v/>
      </c>
      <c r="G216" s="537">
        <f>IFERROR(IF($J216&gt;0,IF(INDEX('Invullen groen'!$I:$I,$J216)&lt;&gt;0,INDEX('Invullen groen'!$I:$I,$J216),""),""),"")</f>
        <v/>
      </c>
      <c r="H216" s="537">
        <f>IFERROR(IF($J216&gt;0,IF(INDEX('Invullen groen'!$J:$J,$J216)&lt;&gt;0,INDEX('Invullen groen'!$J:$J,$J216),""),""),"")</f>
        <v/>
      </c>
      <c r="I216" s="537">
        <f>IFERROR(IF($J216&gt;0,IF(INDEX('Invullen groen'!$K:$K,$J216)&lt;&gt;0,INDEX('Invullen groen'!$K:$K,$J216),""),""),"")</f>
        <v/>
      </c>
      <c r="J216">
        <f>IFERROR(MATCH(ROW()-4,'Invullen groen'!$P$17:$P$272,0)+16,0)</f>
        <v/>
      </c>
    </row>
    <row r="217" hidden="1" ht="15" customHeight="1">
      <c r="A217" s="534">
        <f>IFERROR(IF($J217&gt;0,ROW()-4,""),"")</f>
        <v/>
      </c>
      <c r="B217" s="534">
        <f>IFERROR(IF($J217&gt;0,INDEX('Invullen groen'!$A:$A,$J217),""),"")</f>
        <v/>
      </c>
      <c r="C217" s="534">
        <f>IFERROR(IF($J217&gt;0,INDEX('Invullen groen'!$C:$C,$J217),""),"")</f>
        <v/>
      </c>
      <c r="D217" s="534">
        <f>IFERROR(IF($J217&gt;0,INDEX('Invullen groen'!$D:$D,$J217),""),"")</f>
        <v/>
      </c>
      <c r="E217" s="534">
        <f>IFERROR(IF($J217&gt;0,INDEX('Invullen groen'!$G:$G,$J217),""),"")</f>
        <v/>
      </c>
      <c r="F217" s="535">
        <f>IFERROR(IF($J217&gt;0,IF(INDEX('Invullen groen'!$H:$H,$J217)&lt;&gt;0,INDEX('Invullen groen'!$H:$H,$J217),""),""),"")</f>
        <v/>
      </c>
      <c r="G217" s="535">
        <f>IFERROR(IF($J217&gt;0,IF(INDEX('Invullen groen'!$I:$I,$J217)&lt;&gt;0,INDEX('Invullen groen'!$I:$I,$J217),""),""),"")</f>
        <v/>
      </c>
      <c r="H217" s="535">
        <f>IFERROR(IF($J217&gt;0,IF(INDEX('Invullen groen'!$J:$J,$J217)&lt;&gt;0,INDEX('Invullen groen'!$J:$J,$J217),""),""),"")</f>
        <v/>
      </c>
      <c r="I217" s="535">
        <f>IFERROR(IF($J217&gt;0,IF(INDEX('Invullen groen'!$K:$K,$J217)&lt;&gt;0,INDEX('Invullen groen'!$K:$K,$J217),""),""),"")</f>
        <v/>
      </c>
      <c r="J217">
        <f>IFERROR(MATCH(ROW()-4,'Invullen groen'!$P$17:$P$272,0)+16,0)</f>
        <v/>
      </c>
    </row>
    <row r="218" hidden="1" ht="15" customHeight="1">
      <c r="A218" s="536">
        <f>IFERROR(IF($J218&gt;0,ROW()-4,""),"")</f>
        <v/>
      </c>
      <c r="B218" s="536">
        <f>IFERROR(IF($J218&gt;0,INDEX('Invullen groen'!$A:$A,$J218),""),"")</f>
        <v/>
      </c>
      <c r="C218" s="536">
        <f>IFERROR(IF($J218&gt;0,INDEX('Invullen groen'!$C:$C,$J218),""),"")</f>
        <v/>
      </c>
      <c r="D218" s="536">
        <f>IFERROR(IF($J218&gt;0,INDEX('Invullen groen'!$D:$D,$J218),""),"")</f>
        <v/>
      </c>
      <c r="E218" s="536">
        <f>IFERROR(IF($J218&gt;0,INDEX('Invullen groen'!$G:$G,$J218),""),"")</f>
        <v/>
      </c>
      <c r="F218" s="537">
        <f>IFERROR(IF($J218&gt;0,IF(INDEX('Invullen groen'!$H:$H,$J218)&lt;&gt;0,INDEX('Invullen groen'!$H:$H,$J218),""),""),"")</f>
        <v/>
      </c>
      <c r="G218" s="537">
        <f>IFERROR(IF($J218&gt;0,IF(INDEX('Invullen groen'!$I:$I,$J218)&lt;&gt;0,INDEX('Invullen groen'!$I:$I,$J218),""),""),"")</f>
        <v/>
      </c>
      <c r="H218" s="537">
        <f>IFERROR(IF($J218&gt;0,IF(INDEX('Invullen groen'!$J:$J,$J218)&lt;&gt;0,INDEX('Invullen groen'!$J:$J,$J218),""),""),"")</f>
        <v/>
      </c>
      <c r="I218" s="537">
        <f>IFERROR(IF($J218&gt;0,IF(INDEX('Invullen groen'!$K:$K,$J218)&lt;&gt;0,INDEX('Invullen groen'!$K:$K,$J218),""),""),"")</f>
        <v/>
      </c>
      <c r="J218">
        <f>IFERROR(MATCH(ROW()-4,'Invullen groen'!$P$17:$P$272,0)+16,0)</f>
        <v/>
      </c>
    </row>
    <row r="219" hidden="1" ht="15" customHeight="1">
      <c r="A219" s="534">
        <f>IFERROR(IF($J219&gt;0,ROW()-4,""),"")</f>
        <v/>
      </c>
      <c r="B219" s="534">
        <f>IFERROR(IF($J219&gt;0,INDEX('Invullen groen'!$A:$A,$J219),""),"")</f>
        <v/>
      </c>
      <c r="C219" s="534">
        <f>IFERROR(IF($J219&gt;0,INDEX('Invullen groen'!$C:$C,$J219),""),"")</f>
        <v/>
      </c>
      <c r="D219" s="534">
        <f>IFERROR(IF($J219&gt;0,INDEX('Invullen groen'!$D:$D,$J219),""),"")</f>
        <v/>
      </c>
      <c r="E219" s="534">
        <f>IFERROR(IF($J219&gt;0,INDEX('Invullen groen'!$G:$G,$J219),""),"")</f>
        <v/>
      </c>
      <c r="F219" s="535">
        <f>IFERROR(IF($J219&gt;0,IF(INDEX('Invullen groen'!$H:$H,$J219)&lt;&gt;0,INDEX('Invullen groen'!$H:$H,$J219),""),""),"")</f>
        <v/>
      </c>
      <c r="G219" s="535">
        <f>IFERROR(IF($J219&gt;0,IF(INDEX('Invullen groen'!$I:$I,$J219)&lt;&gt;0,INDEX('Invullen groen'!$I:$I,$J219),""),""),"")</f>
        <v/>
      </c>
      <c r="H219" s="535">
        <f>IFERROR(IF($J219&gt;0,IF(INDEX('Invullen groen'!$J:$J,$J219)&lt;&gt;0,INDEX('Invullen groen'!$J:$J,$J219),""),""),"")</f>
        <v/>
      </c>
      <c r="I219" s="535">
        <f>IFERROR(IF($J219&gt;0,IF(INDEX('Invullen groen'!$K:$K,$J219)&lt;&gt;0,INDEX('Invullen groen'!$K:$K,$J219),""),""),"")</f>
        <v/>
      </c>
      <c r="J219">
        <f>IFERROR(MATCH(ROW()-4,'Invullen groen'!$P$17:$P$272,0)+16,0)</f>
        <v/>
      </c>
    </row>
    <row r="220" hidden="1" ht="15" customHeight="1">
      <c r="A220" s="536">
        <f>IFERROR(IF($J220&gt;0,ROW()-4,""),"")</f>
        <v/>
      </c>
      <c r="B220" s="536">
        <f>IFERROR(IF($J220&gt;0,INDEX('Invullen groen'!$A:$A,$J220),""),"")</f>
        <v/>
      </c>
      <c r="C220" s="536">
        <f>IFERROR(IF($J220&gt;0,INDEX('Invullen groen'!$C:$C,$J220),""),"")</f>
        <v/>
      </c>
      <c r="D220" s="536">
        <f>IFERROR(IF($J220&gt;0,INDEX('Invullen groen'!$D:$D,$J220),""),"")</f>
        <v/>
      </c>
      <c r="E220" s="536">
        <f>IFERROR(IF($J220&gt;0,INDEX('Invullen groen'!$G:$G,$J220),""),"")</f>
        <v/>
      </c>
      <c r="F220" s="537">
        <f>IFERROR(IF($J220&gt;0,IF(INDEX('Invullen groen'!$H:$H,$J220)&lt;&gt;0,INDEX('Invullen groen'!$H:$H,$J220),""),""),"")</f>
        <v/>
      </c>
      <c r="G220" s="537">
        <f>IFERROR(IF($J220&gt;0,IF(INDEX('Invullen groen'!$I:$I,$J220)&lt;&gt;0,INDEX('Invullen groen'!$I:$I,$J220),""),""),"")</f>
        <v/>
      </c>
      <c r="H220" s="537">
        <f>IFERROR(IF($J220&gt;0,IF(INDEX('Invullen groen'!$J:$J,$J220)&lt;&gt;0,INDEX('Invullen groen'!$J:$J,$J220),""),""),"")</f>
        <v/>
      </c>
      <c r="I220" s="537">
        <f>IFERROR(IF($J220&gt;0,IF(INDEX('Invullen groen'!$K:$K,$J220)&lt;&gt;0,INDEX('Invullen groen'!$K:$K,$J220),""),""),"")</f>
        <v/>
      </c>
      <c r="J220">
        <f>IFERROR(MATCH(ROW()-4,'Invullen groen'!$P$17:$P$272,0)+16,0)</f>
        <v/>
      </c>
    </row>
    <row r="221" hidden="1" ht="15" customHeight="1">
      <c r="A221" s="534">
        <f>IFERROR(IF($J221&gt;0,ROW()-4,""),"")</f>
        <v/>
      </c>
      <c r="B221" s="534">
        <f>IFERROR(IF($J221&gt;0,INDEX('Invullen groen'!$A:$A,$J221),""),"")</f>
        <v/>
      </c>
      <c r="C221" s="534">
        <f>IFERROR(IF($J221&gt;0,INDEX('Invullen groen'!$C:$C,$J221),""),"")</f>
        <v/>
      </c>
      <c r="D221" s="534">
        <f>IFERROR(IF($J221&gt;0,INDEX('Invullen groen'!$D:$D,$J221),""),"")</f>
        <v/>
      </c>
      <c r="E221" s="534">
        <f>IFERROR(IF($J221&gt;0,INDEX('Invullen groen'!$G:$G,$J221),""),"")</f>
        <v/>
      </c>
      <c r="F221" s="535">
        <f>IFERROR(IF($J221&gt;0,IF(INDEX('Invullen groen'!$H:$H,$J221)&lt;&gt;0,INDEX('Invullen groen'!$H:$H,$J221),""),""),"")</f>
        <v/>
      </c>
      <c r="G221" s="535">
        <f>IFERROR(IF($J221&gt;0,IF(INDEX('Invullen groen'!$I:$I,$J221)&lt;&gt;0,INDEX('Invullen groen'!$I:$I,$J221),""),""),"")</f>
        <v/>
      </c>
      <c r="H221" s="535">
        <f>IFERROR(IF($J221&gt;0,IF(INDEX('Invullen groen'!$J:$J,$J221)&lt;&gt;0,INDEX('Invullen groen'!$J:$J,$J221),""),""),"")</f>
        <v/>
      </c>
      <c r="I221" s="535">
        <f>IFERROR(IF($J221&gt;0,IF(INDEX('Invullen groen'!$K:$K,$J221)&lt;&gt;0,INDEX('Invullen groen'!$K:$K,$J221),""),""),"")</f>
        <v/>
      </c>
      <c r="J221">
        <f>IFERROR(MATCH(ROW()-4,'Invullen groen'!$P$17:$P$272,0)+16,0)</f>
        <v/>
      </c>
    </row>
    <row r="222" hidden="1" ht="15" customHeight="1">
      <c r="A222" s="536">
        <f>IFERROR(IF($J222&gt;0,ROW()-4,""),"")</f>
        <v/>
      </c>
      <c r="B222" s="536">
        <f>IFERROR(IF($J222&gt;0,INDEX('Invullen groen'!$A:$A,$J222),""),"")</f>
        <v/>
      </c>
      <c r="C222" s="536">
        <f>IFERROR(IF($J222&gt;0,INDEX('Invullen groen'!$C:$C,$J222),""),"")</f>
        <v/>
      </c>
      <c r="D222" s="536">
        <f>IFERROR(IF($J222&gt;0,INDEX('Invullen groen'!$D:$D,$J222),""),"")</f>
        <v/>
      </c>
      <c r="E222" s="536">
        <f>IFERROR(IF($J222&gt;0,INDEX('Invullen groen'!$G:$G,$J222),""),"")</f>
        <v/>
      </c>
      <c r="F222" s="537">
        <f>IFERROR(IF($J222&gt;0,IF(INDEX('Invullen groen'!$H:$H,$J222)&lt;&gt;0,INDEX('Invullen groen'!$H:$H,$J222),""),""),"")</f>
        <v/>
      </c>
      <c r="G222" s="537">
        <f>IFERROR(IF($J222&gt;0,IF(INDEX('Invullen groen'!$I:$I,$J222)&lt;&gt;0,INDEX('Invullen groen'!$I:$I,$J222),""),""),"")</f>
        <v/>
      </c>
      <c r="H222" s="537">
        <f>IFERROR(IF($J222&gt;0,IF(INDEX('Invullen groen'!$J:$J,$J222)&lt;&gt;0,INDEX('Invullen groen'!$J:$J,$J222),""),""),"")</f>
        <v/>
      </c>
      <c r="I222" s="537">
        <f>IFERROR(IF($J222&gt;0,IF(INDEX('Invullen groen'!$K:$K,$J222)&lt;&gt;0,INDEX('Invullen groen'!$K:$K,$J222),""),""),"")</f>
        <v/>
      </c>
      <c r="J222">
        <f>IFERROR(MATCH(ROW()-4,'Invullen groen'!$P$17:$P$272,0)+16,0)</f>
        <v/>
      </c>
    </row>
    <row r="223" hidden="1" ht="15" customHeight="1">
      <c r="A223" s="534">
        <f>IFERROR(IF($J223&gt;0,ROW()-4,""),"")</f>
        <v/>
      </c>
      <c r="B223" s="534">
        <f>IFERROR(IF($J223&gt;0,INDEX('Invullen groen'!$A:$A,$J223),""),"")</f>
        <v/>
      </c>
      <c r="C223" s="534">
        <f>IFERROR(IF($J223&gt;0,INDEX('Invullen groen'!$C:$C,$J223),""),"")</f>
        <v/>
      </c>
      <c r="D223" s="534">
        <f>IFERROR(IF($J223&gt;0,INDEX('Invullen groen'!$D:$D,$J223),""),"")</f>
        <v/>
      </c>
      <c r="E223" s="534">
        <f>IFERROR(IF($J223&gt;0,INDEX('Invullen groen'!$G:$G,$J223),""),"")</f>
        <v/>
      </c>
      <c r="F223" s="535">
        <f>IFERROR(IF($J223&gt;0,IF(INDEX('Invullen groen'!$H:$H,$J223)&lt;&gt;0,INDEX('Invullen groen'!$H:$H,$J223),""),""),"")</f>
        <v/>
      </c>
      <c r="G223" s="535">
        <f>IFERROR(IF($J223&gt;0,IF(INDEX('Invullen groen'!$I:$I,$J223)&lt;&gt;0,INDEX('Invullen groen'!$I:$I,$J223),""),""),"")</f>
        <v/>
      </c>
      <c r="H223" s="535">
        <f>IFERROR(IF($J223&gt;0,IF(INDEX('Invullen groen'!$J:$J,$J223)&lt;&gt;0,INDEX('Invullen groen'!$J:$J,$J223),""),""),"")</f>
        <v/>
      </c>
      <c r="I223" s="535">
        <f>IFERROR(IF($J223&gt;0,IF(INDEX('Invullen groen'!$K:$K,$J223)&lt;&gt;0,INDEX('Invullen groen'!$K:$K,$J223),""),""),"")</f>
        <v/>
      </c>
      <c r="J223">
        <f>IFERROR(MATCH(ROW()-4,'Invullen groen'!$P$17:$P$272,0)+16,0)</f>
        <v/>
      </c>
    </row>
    <row r="224" hidden="1" ht="15" customHeight="1">
      <c r="A224" s="536">
        <f>IFERROR(IF($J224&gt;0,ROW()-4,""),"")</f>
        <v/>
      </c>
      <c r="B224" s="536">
        <f>IFERROR(IF($J224&gt;0,INDEX('Invullen groen'!$A:$A,$J224),""),"")</f>
        <v/>
      </c>
      <c r="C224" s="536">
        <f>IFERROR(IF($J224&gt;0,INDEX('Invullen groen'!$C:$C,$J224),""),"")</f>
        <v/>
      </c>
      <c r="D224" s="536">
        <f>IFERROR(IF($J224&gt;0,INDEX('Invullen groen'!$D:$D,$J224),""),"")</f>
        <v/>
      </c>
      <c r="E224" s="536">
        <f>IFERROR(IF($J224&gt;0,INDEX('Invullen groen'!$G:$G,$J224),""),"")</f>
        <v/>
      </c>
      <c r="F224" s="537">
        <f>IFERROR(IF($J224&gt;0,IF(INDEX('Invullen groen'!$H:$H,$J224)&lt;&gt;0,INDEX('Invullen groen'!$H:$H,$J224),""),""),"")</f>
        <v/>
      </c>
      <c r="G224" s="537">
        <f>IFERROR(IF($J224&gt;0,IF(INDEX('Invullen groen'!$I:$I,$J224)&lt;&gt;0,INDEX('Invullen groen'!$I:$I,$J224),""),""),"")</f>
        <v/>
      </c>
      <c r="H224" s="537">
        <f>IFERROR(IF($J224&gt;0,IF(INDEX('Invullen groen'!$J:$J,$J224)&lt;&gt;0,INDEX('Invullen groen'!$J:$J,$J224),""),""),"")</f>
        <v/>
      </c>
      <c r="I224" s="537">
        <f>IFERROR(IF($J224&gt;0,IF(INDEX('Invullen groen'!$K:$K,$J224)&lt;&gt;0,INDEX('Invullen groen'!$K:$K,$J224),""),""),"")</f>
        <v/>
      </c>
      <c r="J224">
        <f>IFERROR(MATCH(ROW()-4,'Invullen groen'!$P$17:$P$272,0)+16,0)</f>
        <v/>
      </c>
    </row>
    <row r="225" hidden="1" ht="15" customHeight="1">
      <c r="A225" s="534">
        <f>IFERROR(IF($J225&gt;0,ROW()-4,""),"")</f>
        <v/>
      </c>
      <c r="B225" s="534">
        <f>IFERROR(IF($J225&gt;0,INDEX('Invullen groen'!$A:$A,$J225),""),"")</f>
        <v/>
      </c>
      <c r="C225" s="534">
        <f>IFERROR(IF($J225&gt;0,INDEX('Invullen groen'!$C:$C,$J225),""),"")</f>
        <v/>
      </c>
      <c r="D225" s="534">
        <f>IFERROR(IF($J225&gt;0,INDEX('Invullen groen'!$D:$D,$J225),""),"")</f>
        <v/>
      </c>
      <c r="E225" s="534">
        <f>IFERROR(IF($J225&gt;0,INDEX('Invullen groen'!$G:$G,$J225),""),"")</f>
        <v/>
      </c>
      <c r="F225" s="535">
        <f>IFERROR(IF($J225&gt;0,IF(INDEX('Invullen groen'!$H:$H,$J225)&lt;&gt;0,INDEX('Invullen groen'!$H:$H,$J225),""),""),"")</f>
        <v/>
      </c>
      <c r="G225" s="535">
        <f>IFERROR(IF($J225&gt;0,IF(INDEX('Invullen groen'!$I:$I,$J225)&lt;&gt;0,INDEX('Invullen groen'!$I:$I,$J225),""),""),"")</f>
        <v/>
      </c>
      <c r="H225" s="535">
        <f>IFERROR(IF($J225&gt;0,IF(INDEX('Invullen groen'!$J:$J,$J225)&lt;&gt;0,INDEX('Invullen groen'!$J:$J,$J225),""),""),"")</f>
        <v/>
      </c>
      <c r="I225" s="535">
        <f>IFERROR(IF($J225&gt;0,IF(INDEX('Invullen groen'!$K:$K,$J225)&lt;&gt;0,INDEX('Invullen groen'!$K:$K,$J225),""),""),"")</f>
        <v/>
      </c>
      <c r="J225">
        <f>IFERROR(MATCH(ROW()-4,'Invullen groen'!$P$17:$P$272,0)+16,0)</f>
        <v/>
      </c>
    </row>
    <row r="226" hidden="1" ht="15" customHeight="1">
      <c r="A226" s="536">
        <f>IFERROR(IF($J226&gt;0,ROW()-4,""),"")</f>
        <v/>
      </c>
      <c r="B226" s="536">
        <f>IFERROR(IF($J226&gt;0,INDEX('Invullen groen'!$A:$A,$J226),""),"")</f>
        <v/>
      </c>
      <c r="C226" s="536">
        <f>IFERROR(IF($J226&gt;0,INDEX('Invullen groen'!$C:$C,$J226),""),"")</f>
        <v/>
      </c>
      <c r="D226" s="536">
        <f>IFERROR(IF($J226&gt;0,INDEX('Invullen groen'!$D:$D,$J226),""),"")</f>
        <v/>
      </c>
      <c r="E226" s="536">
        <f>IFERROR(IF($J226&gt;0,INDEX('Invullen groen'!$G:$G,$J226),""),"")</f>
        <v/>
      </c>
      <c r="F226" s="537">
        <f>IFERROR(IF($J226&gt;0,IF(INDEX('Invullen groen'!$H:$H,$J226)&lt;&gt;0,INDEX('Invullen groen'!$H:$H,$J226),""),""),"")</f>
        <v/>
      </c>
      <c r="G226" s="537">
        <f>IFERROR(IF($J226&gt;0,IF(INDEX('Invullen groen'!$I:$I,$J226)&lt;&gt;0,INDEX('Invullen groen'!$I:$I,$J226),""),""),"")</f>
        <v/>
      </c>
      <c r="H226" s="537">
        <f>IFERROR(IF($J226&gt;0,IF(INDEX('Invullen groen'!$J:$J,$J226)&lt;&gt;0,INDEX('Invullen groen'!$J:$J,$J226),""),""),"")</f>
        <v/>
      </c>
      <c r="I226" s="537">
        <f>IFERROR(IF($J226&gt;0,IF(INDEX('Invullen groen'!$K:$K,$J226)&lt;&gt;0,INDEX('Invullen groen'!$K:$K,$J226),""),""),"")</f>
        <v/>
      </c>
      <c r="J226">
        <f>IFERROR(MATCH(ROW()-4,'Invullen groen'!$P$17:$P$272,0)+16,0)</f>
        <v/>
      </c>
    </row>
    <row r="227" hidden="1" ht="15" customHeight="1">
      <c r="A227" s="534">
        <f>IFERROR(IF($J227&gt;0,ROW()-4,""),"")</f>
        <v/>
      </c>
      <c r="B227" s="534">
        <f>IFERROR(IF($J227&gt;0,INDEX('Invullen groen'!$A:$A,$J227),""),"")</f>
        <v/>
      </c>
      <c r="C227" s="534">
        <f>IFERROR(IF($J227&gt;0,INDEX('Invullen groen'!$C:$C,$J227),""),"")</f>
        <v/>
      </c>
      <c r="D227" s="534">
        <f>IFERROR(IF($J227&gt;0,INDEX('Invullen groen'!$D:$D,$J227),""),"")</f>
        <v/>
      </c>
      <c r="E227" s="534">
        <f>IFERROR(IF($J227&gt;0,INDEX('Invullen groen'!$G:$G,$J227),""),"")</f>
        <v/>
      </c>
      <c r="F227" s="535">
        <f>IFERROR(IF($J227&gt;0,IF(INDEX('Invullen groen'!$H:$H,$J227)&lt;&gt;0,INDEX('Invullen groen'!$H:$H,$J227),""),""),"")</f>
        <v/>
      </c>
      <c r="G227" s="535">
        <f>IFERROR(IF($J227&gt;0,IF(INDEX('Invullen groen'!$I:$I,$J227)&lt;&gt;0,INDEX('Invullen groen'!$I:$I,$J227),""),""),"")</f>
        <v/>
      </c>
      <c r="H227" s="535">
        <f>IFERROR(IF($J227&gt;0,IF(INDEX('Invullen groen'!$J:$J,$J227)&lt;&gt;0,INDEX('Invullen groen'!$J:$J,$J227),""),""),"")</f>
        <v/>
      </c>
      <c r="I227" s="535">
        <f>IFERROR(IF($J227&gt;0,IF(INDEX('Invullen groen'!$K:$K,$J227)&lt;&gt;0,INDEX('Invullen groen'!$K:$K,$J227),""),""),"")</f>
        <v/>
      </c>
      <c r="J227">
        <f>IFERROR(MATCH(ROW()-4,'Invullen groen'!$P$17:$P$272,0)+16,0)</f>
        <v/>
      </c>
    </row>
    <row r="228" hidden="1" ht="15" customHeight="1">
      <c r="A228" s="536">
        <f>IFERROR(IF($J228&gt;0,ROW()-4,""),"")</f>
        <v/>
      </c>
      <c r="B228" s="536">
        <f>IFERROR(IF($J228&gt;0,INDEX('Invullen groen'!$A:$A,$J228),""),"")</f>
        <v/>
      </c>
      <c r="C228" s="536">
        <f>IFERROR(IF($J228&gt;0,INDEX('Invullen groen'!$C:$C,$J228),""),"")</f>
        <v/>
      </c>
      <c r="D228" s="536">
        <f>IFERROR(IF($J228&gt;0,INDEX('Invullen groen'!$D:$D,$J228),""),"")</f>
        <v/>
      </c>
      <c r="E228" s="536">
        <f>IFERROR(IF($J228&gt;0,INDEX('Invullen groen'!$G:$G,$J228),""),"")</f>
        <v/>
      </c>
      <c r="F228" s="537">
        <f>IFERROR(IF($J228&gt;0,IF(INDEX('Invullen groen'!$H:$H,$J228)&lt;&gt;0,INDEX('Invullen groen'!$H:$H,$J228),""),""),"")</f>
        <v/>
      </c>
      <c r="G228" s="537">
        <f>IFERROR(IF($J228&gt;0,IF(INDEX('Invullen groen'!$I:$I,$J228)&lt;&gt;0,INDEX('Invullen groen'!$I:$I,$J228),""),""),"")</f>
        <v/>
      </c>
      <c r="H228" s="537">
        <f>IFERROR(IF($J228&gt;0,IF(INDEX('Invullen groen'!$J:$J,$J228)&lt;&gt;0,INDEX('Invullen groen'!$J:$J,$J228),""),""),"")</f>
        <v/>
      </c>
      <c r="I228" s="537">
        <f>IFERROR(IF($J228&gt;0,IF(INDEX('Invullen groen'!$K:$K,$J228)&lt;&gt;0,INDEX('Invullen groen'!$K:$K,$J228),""),""),"")</f>
        <v/>
      </c>
      <c r="J228">
        <f>IFERROR(MATCH(ROW()-4,'Invullen groen'!$P$17:$P$272,0)+16,0)</f>
        <v/>
      </c>
    </row>
    <row r="229" hidden="1" ht="15" customHeight="1">
      <c r="A229" s="526">
        <f>IFERROR(IF($J229&gt;0,ROW()-4,""),"")</f>
        <v/>
      </c>
      <c r="B229" s="526">
        <f>IFERROR(IF($J229&gt;0,INDEX('Invullen groen'!$A:$A,$J229),""),"")</f>
        <v/>
      </c>
      <c r="C229" s="526">
        <f>IFERROR(IF($J229&gt;0,INDEX('Invullen groen'!$C:$C,$J229),""),"")</f>
        <v/>
      </c>
      <c r="D229" s="526">
        <f>IFERROR(IF($J229&gt;0,INDEX('Invullen groen'!$D:$D,$J229),""),"")</f>
        <v/>
      </c>
      <c r="E229" s="526">
        <f>IFERROR(IF($J229&gt;0,INDEX('Invullen groen'!$G:$G,$J229),""),"")</f>
        <v/>
      </c>
      <c r="F229" s="527">
        <f>IFERROR(IF($J229&gt;0,IF(INDEX('Invullen groen'!$H:$H,$J229)&lt;&gt;0,INDEX('Invullen groen'!$H:$H,$J229),""),""),"")</f>
        <v/>
      </c>
      <c r="G229" s="527">
        <f>IFERROR(IF($J229&gt;0,IF(INDEX('Invullen groen'!$I:$I,$J229)&lt;&gt;0,INDEX('Invullen groen'!$I:$I,$J229),""),""),"")</f>
        <v/>
      </c>
      <c r="H229" s="527">
        <f>IFERROR(IF($J229&gt;0,IF(INDEX('Invullen groen'!$J:$J,$J229)&lt;&gt;0,INDEX('Invullen groen'!$J:$J,$J229),""),""),"")</f>
        <v/>
      </c>
      <c r="I229" s="527">
        <f>IFERROR(IF($J229&gt;0,IF(INDEX('Invullen groen'!$K:$K,$J229)&lt;&gt;0,INDEX('Invullen groen'!$K:$K,$J229),""),""),"")</f>
        <v/>
      </c>
      <c r="J229">
        <f>IFERROR(MATCH(ROW()-4,'Invullen groen'!$P$17:$P$272,0)+16,0)</f>
        <v/>
      </c>
    </row>
    <row r="230" hidden="1" ht="15" customHeight="1">
      <c r="A230" s="538">
        <f>IFERROR(IF($J230&gt;0,ROW()-4,""),"")</f>
        <v/>
      </c>
      <c r="B230">
        <f>IFERROR(IF($J230&gt;0,INDEX('Invullen groen'!$A:$A,$J230),""),"")</f>
        <v/>
      </c>
      <c r="C230">
        <f>IFERROR(IF($J230&gt;0,INDEX('Invullen groen'!$C:$C,$J230),""),"")</f>
        <v/>
      </c>
      <c r="D230">
        <f>IFERROR(IF($J230&gt;0,INDEX('Invullen groen'!$D:$D,$J230),""),"")</f>
        <v/>
      </c>
      <c r="E230">
        <f>IFERROR(IF($J230&gt;0,INDEX('Invullen groen'!$G:$G,$J230),""),"")</f>
        <v/>
      </c>
      <c r="F230" s="540">
        <f>IFERROR(IF($J230&gt;0,IF(INDEX('Invullen groen'!$H:$H,$J230)&lt;&gt;0,INDEX('Invullen groen'!$H:$H,$J230),""),""),"")</f>
        <v/>
      </c>
      <c r="G230" s="540">
        <f>IFERROR(IF($J230&gt;0,IF(INDEX('Invullen groen'!$I:$I,$J230)&lt;&gt;0,INDEX('Invullen groen'!$I:$I,$J230),""),""),"")</f>
        <v/>
      </c>
      <c r="H230" s="540">
        <f>IFERROR(IF($J230&gt;0,IF(INDEX('Invullen groen'!$J:$J,$J230)&lt;&gt;0,INDEX('Invullen groen'!$J:$J,$J230),""),""),"")</f>
        <v/>
      </c>
      <c r="I230" s="540">
        <f>IFERROR(IF($J230&gt;0,IF(INDEX('Invullen groen'!$K:$K,$J230)&lt;&gt;0,INDEX('Invullen groen'!$K:$K,$J230),""),""),"")</f>
        <v/>
      </c>
      <c r="J230">
        <f>IFERROR(MATCH(ROW()-4,'Invullen groen'!$P$17:$P$272,0)+16,0)</f>
        <v/>
      </c>
    </row>
    <row r="231" hidden="1" ht="15" customHeight="1">
      <c r="A231" s="541">
        <f>IFERROR(IF($J231&gt;0,ROW()-4,""),"")</f>
        <v/>
      </c>
      <c r="B231">
        <f>IFERROR(IF($J231&gt;0,INDEX('Invullen groen'!$A:$A,$J231),""),"")</f>
        <v/>
      </c>
      <c r="C231">
        <f>IFERROR(IF($J231&gt;0,INDEX('Invullen groen'!$C:$C,$J231),""),"")</f>
        <v/>
      </c>
      <c r="D231">
        <f>IFERROR(IF($J231&gt;0,INDEX('Invullen groen'!$D:$D,$J231),""),"")</f>
        <v/>
      </c>
      <c r="E231">
        <f>IFERROR(IF($J231&gt;0,INDEX('Invullen groen'!$G:$G,$J231),""),"")</f>
        <v/>
      </c>
      <c r="F231" s="543">
        <f>IFERROR(IF($J231&gt;0,IF(INDEX('Invullen groen'!$H:$H,$J231)&lt;&gt;0,INDEX('Invullen groen'!$H:$H,$J231),""),""),"")</f>
        <v/>
      </c>
      <c r="G231" s="543">
        <f>IFERROR(IF($J231&gt;0,IF(INDEX('Invullen groen'!$I:$I,$J231)&lt;&gt;0,INDEX('Invullen groen'!$I:$I,$J231),""),""),"")</f>
        <v/>
      </c>
      <c r="H231" s="543">
        <f>IFERROR(IF($J231&gt;0,IF(INDEX('Invullen groen'!$J:$J,$J231)&lt;&gt;0,INDEX('Invullen groen'!$J:$J,$J231),""),""),"")</f>
        <v/>
      </c>
      <c r="I231" s="543">
        <f>IFERROR(IF($J231&gt;0,IF(INDEX('Invullen groen'!$K:$K,$J231)&lt;&gt;0,INDEX('Invullen groen'!$K:$K,$J231),""),""),"")</f>
        <v/>
      </c>
      <c r="J231">
        <f>IFERROR(MATCH(ROW()-4,'Invullen groen'!$P$17:$P$272,0)+16,0)</f>
        <v/>
      </c>
    </row>
    <row r="232" hidden="1" ht="15" customHeight="1">
      <c r="A232" s="544">
        <f>IFERROR(IF($J232&gt;0,ROW()-4,""),"")</f>
        <v/>
      </c>
      <c r="B232">
        <f>IFERROR(IF($J232&gt;0,INDEX('Invullen groen'!$A:$A,$J232),""),"")</f>
        <v/>
      </c>
      <c r="C232">
        <f>IFERROR(IF($J232&gt;0,INDEX('Invullen groen'!$C:$C,$J232),""),"")</f>
        <v/>
      </c>
      <c r="D232">
        <f>IFERROR(IF($J232&gt;0,INDEX('Invullen groen'!$D:$D,$J232),""),"")</f>
        <v/>
      </c>
      <c r="E232">
        <f>IFERROR(IF($J232&gt;0,INDEX('Invullen groen'!$G:$G,$J232),""),"")</f>
        <v/>
      </c>
      <c r="F232" s="545">
        <f>IFERROR(IF($J232&gt;0,IF(INDEX('Invullen groen'!$H:$H,$J232)&lt;&gt;0,INDEX('Invullen groen'!$H:$H,$J232),""),""),"")</f>
        <v/>
      </c>
      <c r="G232" s="545">
        <f>IFERROR(IF($J232&gt;0,IF(INDEX('Invullen groen'!$I:$I,$J232)&lt;&gt;0,INDEX('Invullen groen'!$I:$I,$J232),""),""),"")</f>
        <v/>
      </c>
      <c r="H232" s="545">
        <f>IFERROR(IF($J232&gt;0,IF(INDEX('Invullen groen'!$J:$J,$J232)&lt;&gt;0,INDEX('Invullen groen'!$J:$J,$J232),""),""),"")</f>
        <v/>
      </c>
      <c r="I232" s="545">
        <f>IFERROR(IF($J232&gt;0,IF(INDEX('Invullen groen'!$K:$K,$J232)&lt;&gt;0,INDEX('Invullen groen'!$K:$K,$J232),""),""),"")</f>
        <v/>
      </c>
      <c r="J232">
        <f>IFERROR(MATCH(ROW()-4,'Invullen groen'!$P$17:$P$272,0)+16,0)</f>
        <v/>
      </c>
    </row>
    <row r="233" hidden="1" ht="15" customHeight="1">
      <c r="A233" s="526">
        <f>IFERROR(IF($J233&gt;0,ROW()-4,""),"")</f>
        <v/>
      </c>
      <c r="B233" s="526">
        <f>IFERROR(IF($J233&gt;0,INDEX('Invullen groen'!$A:$A,$J233),""),"")</f>
        <v/>
      </c>
      <c r="C233" s="526">
        <f>IFERROR(IF($J233&gt;0,INDEX('Invullen groen'!$C:$C,$J233),""),"")</f>
        <v/>
      </c>
      <c r="D233" s="526">
        <f>IFERROR(IF($J233&gt;0,INDEX('Invullen groen'!$D:$D,$J233),""),"")</f>
        <v/>
      </c>
      <c r="E233" s="526">
        <f>IFERROR(IF($J233&gt;0,INDEX('Invullen groen'!$G:$G,$J233),""),"")</f>
        <v/>
      </c>
      <c r="F233" s="527">
        <f>IFERROR(IF($J233&gt;0,IF(INDEX('Invullen groen'!$H:$H,$J233)&lt;&gt;0,INDEX('Invullen groen'!$H:$H,$J233),""),""),"")</f>
        <v/>
      </c>
      <c r="G233" s="527">
        <f>IFERROR(IF($J233&gt;0,IF(INDEX('Invullen groen'!$I:$I,$J233)&lt;&gt;0,INDEX('Invullen groen'!$I:$I,$J233),""),""),"")</f>
        <v/>
      </c>
      <c r="H233" s="527">
        <f>IFERROR(IF($J233&gt;0,IF(INDEX('Invullen groen'!$J:$J,$J233)&lt;&gt;0,INDEX('Invullen groen'!$J:$J,$J233),""),""),"")</f>
        <v/>
      </c>
      <c r="I233" s="527">
        <f>IFERROR(IF($J233&gt;0,IF(INDEX('Invullen groen'!$K:$K,$J233)&lt;&gt;0,INDEX('Invullen groen'!$K:$K,$J233),""),""),"")</f>
        <v/>
      </c>
      <c r="J233">
        <f>IFERROR(MATCH(ROW()-4,'Invullen groen'!$P$17:$P$272,0)+16,0)</f>
        <v/>
      </c>
    </row>
    <row r="234" hidden="1" ht="15" customHeight="1">
      <c r="A234" s="508">
        <f>IFERROR(IF($J234&gt;0,ROW()-4,""),"")</f>
        <v/>
      </c>
      <c r="B234">
        <f>IFERROR(IF($J234&gt;0,INDEX('Invullen groen'!$A:$A,$J234),""),"")</f>
        <v/>
      </c>
      <c r="C234">
        <f>IFERROR(IF($J234&gt;0,INDEX('Invullen groen'!$C:$C,$J234),""),"")</f>
        <v/>
      </c>
      <c r="D234">
        <f>IFERROR(IF($J234&gt;0,INDEX('Invullen groen'!$D:$D,$J234),""),"")</f>
        <v/>
      </c>
      <c r="E234">
        <f>IFERROR(IF($J234&gt;0,INDEX('Invullen groen'!$G:$G,$J234),""),"")</f>
        <v/>
      </c>
      <c r="F234">
        <f>IFERROR(IF($J234&gt;0,IF(INDEX('Invullen groen'!$H:$H,$J234)&lt;&gt;0,INDEX('Invullen groen'!$H:$H,$J234),""),""),"")</f>
        <v/>
      </c>
      <c r="G234">
        <f>IFERROR(IF($J234&gt;0,IF(INDEX('Invullen groen'!$I:$I,$J234)&lt;&gt;0,INDEX('Invullen groen'!$I:$I,$J234),""),""),"")</f>
        <v/>
      </c>
      <c r="H234">
        <f>IFERROR(IF($J234&gt;0,IF(INDEX('Invullen groen'!$J:$J,$J234)&lt;&gt;0,INDEX('Invullen groen'!$J:$J,$J234),""),""),"")</f>
        <v/>
      </c>
      <c r="I234">
        <f>IFERROR(IF($J234&gt;0,IF(INDEX('Invullen groen'!$K:$K,$J234)&lt;&gt;0,INDEX('Invullen groen'!$K:$K,$J234),""),""),"")</f>
        <v/>
      </c>
      <c r="J234">
        <f>IFERROR(MATCH(ROW()-4,'Invullen groen'!$P$17:$P$272,0)+16,0)</f>
        <v/>
      </c>
    </row>
    <row r="235" hidden="1">
      <c r="A235">
        <f>IFERROR(IF($J235&gt;0,ROW()-4,""),"")</f>
        <v/>
      </c>
      <c r="B235">
        <f>IFERROR(IF($J235&gt;0,INDEX('Invullen groen'!$A:$A,$J235),""),"")</f>
        <v/>
      </c>
      <c r="C235">
        <f>IFERROR(IF($J235&gt;0,INDEX('Invullen groen'!$C:$C,$J235),""),"")</f>
        <v/>
      </c>
      <c r="D235">
        <f>IFERROR(IF($J235&gt;0,INDEX('Invullen groen'!$D:$D,$J235),""),"")</f>
        <v/>
      </c>
      <c r="E235">
        <f>IFERROR(IF($J235&gt;0,INDEX('Invullen groen'!$G:$G,$J235),""),"")</f>
        <v/>
      </c>
      <c r="F235">
        <f>IFERROR(IF($J235&gt;0,IF(INDEX('Invullen groen'!$H:$H,$J235)&lt;&gt;0,INDEX('Invullen groen'!$H:$H,$J235),""),""),"")</f>
        <v/>
      </c>
      <c r="G235">
        <f>IFERROR(IF($J235&gt;0,IF(INDEX('Invullen groen'!$I:$I,$J235)&lt;&gt;0,INDEX('Invullen groen'!$I:$I,$J235),""),""),"")</f>
        <v/>
      </c>
      <c r="H235">
        <f>IFERROR(IF($J235&gt;0,IF(INDEX('Invullen groen'!$J:$J,$J235)&lt;&gt;0,INDEX('Invullen groen'!$J:$J,$J235),""),""),"")</f>
        <v/>
      </c>
      <c r="I235">
        <f>IFERROR(IF($J235&gt;0,IF(INDEX('Invullen groen'!$K:$K,$J235)&lt;&gt;0,INDEX('Invullen groen'!$K:$K,$J235),""),""),"")</f>
        <v/>
      </c>
      <c r="J235">
        <f>IFERROR(MATCH(ROW()-4,'Invullen groen'!$P$17:$P$272,0)+16,0)</f>
        <v/>
      </c>
    </row>
    <row r="236" hidden="1">
      <c r="A236">
        <f>IFERROR(IF($J236&gt;0,ROW()-4,""),"")</f>
        <v/>
      </c>
      <c r="B236">
        <f>IFERROR(IF($J236&gt;0,INDEX('Invullen groen'!$A:$A,$J236),""),"")</f>
        <v/>
      </c>
      <c r="C236">
        <f>IFERROR(IF($J236&gt;0,INDEX('Invullen groen'!$C:$C,$J236),""),"")</f>
        <v/>
      </c>
      <c r="D236">
        <f>IFERROR(IF($J236&gt;0,INDEX('Invullen groen'!$D:$D,$J236),""),"")</f>
        <v/>
      </c>
      <c r="E236">
        <f>IFERROR(IF($J236&gt;0,INDEX('Invullen groen'!$G:$G,$J236),""),"")</f>
        <v/>
      </c>
      <c r="F236">
        <f>IFERROR(IF($J236&gt;0,IF(INDEX('Invullen groen'!$H:$H,$J236)&lt;&gt;0,INDEX('Invullen groen'!$H:$H,$J236),""),""),"")</f>
        <v/>
      </c>
      <c r="G236">
        <f>IFERROR(IF($J236&gt;0,IF(INDEX('Invullen groen'!$I:$I,$J236)&lt;&gt;0,INDEX('Invullen groen'!$I:$I,$J236),""),""),"")</f>
        <v/>
      </c>
      <c r="H236">
        <f>IFERROR(IF($J236&gt;0,IF(INDEX('Invullen groen'!$J:$J,$J236)&lt;&gt;0,INDEX('Invullen groen'!$J:$J,$J236),""),""),"")</f>
        <v/>
      </c>
      <c r="I236">
        <f>IFERROR(IF($J236&gt;0,IF(INDEX('Invullen groen'!$K:$K,$J236)&lt;&gt;0,INDEX('Invullen groen'!$K:$K,$J236),""),""),"")</f>
        <v/>
      </c>
      <c r="J236">
        <f>IFERROR(MATCH(ROW()-4,'Invullen groen'!$P$17:$P$272,0)+16,0)</f>
        <v/>
      </c>
    </row>
    <row r="237" hidden="1">
      <c r="A237">
        <f>IFERROR(IF($J237&gt;0,ROW()-4,""),"")</f>
        <v/>
      </c>
      <c r="B237">
        <f>IFERROR(IF($J237&gt;0,INDEX('Invullen groen'!$A:$A,$J237),""),"")</f>
        <v/>
      </c>
      <c r="C237">
        <f>IFERROR(IF($J237&gt;0,INDEX('Invullen groen'!$C:$C,$J237),""),"")</f>
        <v/>
      </c>
      <c r="D237">
        <f>IFERROR(IF($J237&gt;0,INDEX('Invullen groen'!$D:$D,$J237),""),"")</f>
        <v/>
      </c>
      <c r="E237">
        <f>IFERROR(IF($J237&gt;0,INDEX('Invullen groen'!$G:$G,$J237),""),"")</f>
        <v/>
      </c>
      <c r="F237">
        <f>IFERROR(IF($J237&gt;0,IF(INDEX('Invullen groen'!$H:$H,$J237)&lt;&gt;0,INDEX('Invullen groen'!$H:$H,$J237),""),""),"")</f>
        <v/>
      </c>
      <c r="G237">
        <f>IFERROR(IF($J237&gt;0,IF(INDEX('Invullen groen'!$I:$I,$J237)&lt;&gt;0,INDEX('Invullen groen'!$I:$I,$J237),""),""),"")</f>
        <v/>
      </c>
      <c r="H237">
        <f>IFERROR(IF($J237&gt;0,IF(INDEX('Invullen groen'!$J:$J,$J237)&lt;&gt;0,INDEX('Invullen groen'!$J:$J,$J237),""),""),"")</f>
        <v/>
      </c>
      <c r="I237">
        <f>IFERROR(IF($J237&gt;0,IF(INDEX('Invullen groen'!$K:$K,$J237)&lt;&gt;0,INDEX('Invullen groen'!$K:$K,$J237),""),""),"")</f>
        <v/>
      </c>
      <c r="J237">
        <f>IFERROR(MATCH(ROW()-4,'Invullen groen'!$P$17:$P$272,0)+16,0)</f>
        <v/>
      </c>
    </row>
    <row r="238" hidden="1">
      <c r="A238">
        <f>IFERROR(IF($J238&gt;0,ROW()-4,""),"")</f>
        <v/>
      </c>
      <c r="B238">
        <f>IFERROR(IF($J238&gt;0,INDEX('Invullen groen'!$A:$A,$J238),""),"")</f>
        <v/>
      </c>
      <c r="C238">
        <f>IFERROR(IF($J238&gt;0,INDEX('Invullen groen'!$C:$C,$J238),""),"")</f>
        <v/>
      </c>
      <c r="D238">
        <f>IFERROR(IF($J238&gt;0,INDEX('Invullen groen'!$D:$D,$J238),""),"")</f>
        <v/>
      </c>
      <c r="E238">
        <f>IFERROR(IF($J238&gt;0,INDEX('Invullen groen'!$G:$G,$J238),""),"")</f>
        <v/>
      </c>
      <c r="F238">
        <f>IFERROR(IF($J238&gt;0,IF(INDEX('Invullen groen'!$H:$H,$J238)&lt;&gt;0,INDEX('Invullen groen'!$H:$H,$J238),""),""),"")</f>
        <v/>
      </c>
      <c r="G238">
        <f>IFERROR(IF($J238&gt;0,IF(INDEX('Invullen groen'!$I:$I,$J238)&lt;&gt;0,INDEX('Invullen groen'!$I:$I,$J238),""),""),"")</f>
        <v/>
      </c>
      <c r="H238">
        <f>IFERROR(IF($J238&gt;0,IF(INDEX('Invullen groen'!$J:$J,$J238)&lt;&gt;0,INDEX('Invullen groen'!$J:$J,$J238),""),""),"")</f>
        <v/>
      </c>
      <c r="I238">
        <f>IFERROR(IF($J238&gt;0,IF(INDEX('Invullen groen'!$K:$K,$J238)&lt;&gt;0,INDEX('Invullen groen'!$K:$K,$J238),""),""),"")</f>
        <v/>
      </c>
      <c r="J238">
        <f>IFERROR(MATCH(ROW()-4,'Invullen groen'!$P$17:$P$272,0)+16,0)</f>
        <v/>
      </c>
    </row>
    <row r="239" hidden="1">
      <c r="A239">
        <f>IFERROR(IF($J239&gt;0,ROW()-4,""),"")</f>
        <v/>
      </c>
      <c r="B239">
        <f>IFERROR(IF($J239&gt;0,INDEX('Invullen groen'!$A:$A,$J239),""),"")</f>
        <v/>
      </c>
      <c r="C239">
        <f>IFERROR(IF($J239&gt;0,INDEX('Invullen groen'!$C:$C,$J239),""),"")</f>
        <v/>
      </c>
      <c r="D239">
        <f>IFERROR(IF($J239&gt;0,INDEX('Invullen groen'!$D:$D,$J239),""),"")</f>
        <v/>
      </c>
      <c r="E239">
        <f>IFERROR(IF($J239&gt;0,INDEX('Invullen groen'!$G:$G,$J239),""),"")</f>
        <v/>
      </c>
      <c r="F239">
        <f>IFERROR(IF($J239&gt;0,IF(INDEX('Invullen groen'!$H:$H,$J239)&lt;&gt;0,INDEX('Invullen groen'!$H:$H,$J239),""),""),"")</f>
        <v/>
      </c>
      <c r="G239">
        <f>IFERROR(IF($J239&gt;0,IF(INDEX('Invullen groen'!$I:$I,$J239)&lt;&gt;0,INDEX('Invullen groen'!$I:$I,$J239),""),""),"")</f>
        <v/>
      </c>
      <c r="H239">
        <f>IFERROR(IF($J239&gt;0,IF(INDEX('Invullen groen'!$J:$J,$J239)&lt;&gt;0,INDEX('Invullen groen'!$J:$J,$J239),""),""),"")</f>
        <v/>
      </c>
      <c r="I239">
        <f>IFERROR(IF($J239&gt;0,IF(INDEX('Invullen groen'!$K:$K,$J239)&lt;&gt;0,INDEX('Invullen groen'!$K:$K,$J239),""),""),"")</f>
        <v/>
      </c>
      <c r="J239">
        <f>IFERROR(MATCH(ROW()-4,'Invullen groen'!$P$17:$P$272,0)+16,0)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groen'!H17:H74&gt;0)*'Invullen groen'!H17:H74)</f>
        <v/>
      </c>
      <c r="C5" s="468">
        <f>SUMPRODUCT((LOWER('Invullen groen'!A17:A74)="bestuur en ondersteuning")*('Invullen groen'!H17:H74&lt;0)*'Invullen groen'!H17:H74)</f>
        <v/>
      </c>
      <c r="D5" s="468">
        <f>B5+C5</f>
        <v/>
      </c>
      <c r="E5" s="468">
        <f>SUMPRODUCT((LOWER('Invullen groen'!A17:A74)="bestuur en ondersteuning")*IFERROR('Invullen groen'!I17:I74*1,0))</f>
        <v/>
      </c>
      <c r="F5" s="468">
        <f>SUMPRODUCT((LOWER('Invullen groen'!A17:A74)="bestuur en ondersteuning")*IFERROR('Invullen groen'!J17:J74*1,0))</f>
        <v/>
      </c>
      <c r="G5" s="468">
        <f>SUMPRODUCT((LOWER('Invullen groen'!A17:A74)="bestuur en ondersteuning")*IFERROR('Invullen groen'!K17:K74*1,0))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groen'!H17:H74&gt;0)*'Invullen groen'!H17:H74)</f>
        <v/>
      </c>
      <c r="C6" s="470">
        <f>SUMPRODUCT((LOWER('Invullen groen'!A17:A74)="veiligheid")*('Invullen groen'!H17:H74&lt;0)*'Invullen groen'!H17:H74)</f>
        <v/>
      </c>
      <c r="D6" s="470">
        <f>B6+C6</f>
        <v/>
      </c>
      <c r="E6" s="470">
        <f>SUMPRODUCT((LOWER('Invullen groen'!A17:A74)="veiligheid")*IFERROR('Invullen groen'!I17:I74*1,0))</f>
        <v/>
      </c>
      <c r="F6" s="470">
        <f>SUMPRODUCT((LOWER('Invullen groen'!A17:A74)="veiligheid")*IFERROR('Invullen groen'!J17:J74*1,0))</f>
        <v/>
      </c>
      <c r="G6" s="470">
        <f>SUMPRODUCT((LOWER('Invullen groen'!A17:A74)="veiligheid")*IFERROR('Invullen groen'!K17:K74*1,0))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groen'!H17:H74&gt;0)*'Invullen groen'!H17:H74)</f>
        <v/>
      </c>
      <c r="C7" s="468">
        <f>SUMPRODUCT((LOWER('Invullen groen'!A17:A74)="verkeer, vervoer en waterstaat")*('Invullen groen'!H17:H74&lt;0)*'Invullen groen'!H17:H74)</f>
        <v/>
      </c>
      <c r="D7" s="468">
        <f>B7+C7</f>
        <v/>
      </c>
      <c r="E7" s="468">
        <f>SUMPRODUCT((LOWER('Invullen groen'!A17:A74)="verkeer, vervoer en waterstaat")*IFERROR('Invullen groen'!I17:I74*1,0))</f>
        <v/>
      </c>
      <c r="F7" s="468">
        <f>SUMPRODUCT((LOWER('Invullen groen'!A17:A74)="verkeer, vervoer en waterstaat")*IFERROR('Invullen groen'!J17:J74*1,0))</f>
        <v/>
      </c>
      <c r="G7" s="468">
        <f>SUMPRODUCT((LOWER('Invullen groen'!A17:A74)="verkeer, vervoer en waterstaat")*IFERROR('Invullen groen'!K17:K74*1,0))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groen'!H17:H74&gt;0)*'Invullen groen'!H17:H74)</f>
        <v/>
      </c>
      <c r="C8" s="470">
        <f>SUMPRODUCT((LOWER('Invullen groen'!A17:A74)="economie")*('Invullen groen'!H17:H74&lt;0)*'Invullen groen'!H17:H74)</f>
        <v/>
      </c>
      <c r="D8" s="470">
        <f>B8+C8</f>
        <v/>
      </c>
      <c r="E8" s="470">
        <f>SUMPRODUCT((LOWER('Invullen groen'!A17:A74)="economie")*IFERROR('Invullen groen'!I17:I74*1,0))</f>
        <v/>
      </c>
      <c r="F8" s="470">
        <f>SUMPRODUCT((LOWER('Invullen groen'!A17:A74)="economie")*IFERROR('Invullen groen'!J17:J74*1,0))</f>
        <v/>
      </c>
      <c r="G8" s="470">
        <f>SUMPRODUCT((LOWER('Invullen groen'!A17:A74)="economie")*IFERROR('Invullen groen'!K17:K74*1,0))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groen'!H17:H74&gt;0)*'Invullen groen'!H17:H74)</f>
        <v/>
      </c>
      <c r="C9" s="468">
        <f>SUMPRODUCT((LOWER('Invullen groen'!A17:A74)="onderwijs")*('Invullen groen'!H17:H74&lt;0)*'Invullen groen'!H17:H74)</f>
        <v/>
      </c>
      <c r="D9" s="468">
        <f>B9+C9</f>
        <v/>
      </c>
      <c r="E9" s="468">
        <f>SUMPRODUCT((LOWER('Invullen groen'!A17:A74)="onderwijs")*IFERROR('Invullen groen'!I17:I74*1,0))</f>
        <v/>
      </c>
      <c r="F9" s="468">
        <f>SUMPRODUCT((LOWER('Invullen groen'!A17:A74)="onderwijs")*IFERROR('Invullen groen'!J17:J74*1,0))</f>
        <v/>
      </c>
      <c r="G9" s="468">
        <f>SUMPRODUCT((LOWER('Invullen groen'!A17:A74)="onderwijs")*IFERROR('Invullen groen'!K17:K74*1,0))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groen'!H17:H74&gt;0)*'Invullen groen'!H17:H74)</f>
        <v/>
      </c>
      <c r="C10" s="470">
        <f>SUMPRODUCT((LOWER('Invullen groen'!A17:A74)="sport, cultuur en recreatie")*('Invullen groen'!H17:H74&lt;0)*'Invullen groen'!H17:H74)</f>
        <v/>
      </c>
      <c r="D10" s="470">
        <f>B10+C10</f>
        <v/>
      </c>
      <c r="E10" s="470">
        <f>SUMPRODUCT((LOWER('Invullen groen'!A17:A74)="sport, cultuur en recreatie")*IFERROR('Invullen groen'!I17:I74*1,0))</f>
        <v/>
      </c>
      <c r="F10" s="470">
        <f>SUMPRODUCT((LOWER('Invullen groen'!A17:A74)="sport, cultuur en recreatie")*IFERROR('Invullen groen'!J17:J74*1,0))</f>
        <v/>
      </c>
      <c r="G10" s="470">
        <f>SUMPRODUCT((LOWER('Invullen groen'!A17:A74)="sport, cultuur en recreatie")*IFERROR('Invullen groen'!K17:K74*1,0))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groen'!H17:H74&gt;0)*'Invullen groen'!H17:H74)</f>
        <v/>
      </c>
      <c r="C11" s="468">
        <f>SUMPRODUCT((LOWER('Invullen groen'!A17:A74)="sociaal domein")*('Invullen groen'!H17:H74&lt;0)*'Invullen groen'!H17:H74)</f>
        <v/>
      </c>
      <c r="D11" s="468">
        <f>B11+C11</f>
        <v/>
      </c>
      <c r="E11" s="468">
        <f>SUMPRODUCT((LOWER('Invullen groen'!A17:A74)="sociaal domein")*IFERROR('Invullen groen'!I17:I74*1,0))</f>
        <v/>
      </c>
      <c r="F11" s="468">
        <f>SUMPRODUCT((LOWER('Invullen groen'!A17:A74)="sociaal domein")*IFERROR('Invullen groen'!J17:J74*1,0))</f>
        <v/>
      </c>
      <c r="G11" s="468">
        <f>SUMPRODUCT((LOWER('Invullen groen'!A17:A74)="sociaal domein")*IFERROR('Invullen groen'!K17:K74*1,0))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groen'!H17:H74&gt;0)*'Invullen groen'!H17:H74)</f>
        <v/>
      </c>
      <c r="C12" s="470">
        <f>SUMPRODUCT((LOWER('Invullen groen'!A17:A74)="volksgezondheid en milieu")*('Invullen groen'!H17:H74&lt;0)*'Invullen groen'!H17:H74)</f>
        <v/>
      </c>
      <c r="D12" s="470">
        <f>B12+C12</f>
        <v/>
      </c>
      <c r="E12" s="470">
        <f>SUMPRODUCT((LOWER('Invullen groen'!A17:A74)="volksgezondheid en milieu")*IFERROR('Invullen groen'!I17:I74*1,0))</f>
        <v/>
      </c>
      <c r="F12" s="470">
        <f>SUMPRODUCT((LOWER('Invullen groen'!A17:A74)="volksgezondheid en milieu")*IFERROR('Invullen groen'!J17:J74*1,0))</f>
        <v/>
      </c>
      <c r="G12" s="470">
        <f>SUMPRODUCT((LOWER('Invullen groen'!A17:A74)="volksgezondheid en milieu")*IFERROR('Invullen groen'!K17:K74*1,0))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groen'!H17:H74&gt;0)*'Invullen groen'!H17:H74)</f>
        <v/>
      </c>
      <c r="C13" s="468">
        <f>SUMPRODUCT((LOWER('Invullen groen'!A17:A74)="volkshuisv., ro en stedelijke vernieuwing")*('Invullen groen'!H17:H74&lt;0)*'Invullen groen'!H17:H74)</f>
        <v/>
      </c>
      <c r="D13" s="468">
        <f>B13+C13</f>
        <v/>
      </c>
      <c r="E13" s="468">
        <f>SUMPRODUCT((LOWER('Invullen groen'!A17:A74)="volkshuisv., ro en stedelijke vernieuwing")*IFERROR('Invullen groen'!I17:I74*1,0))</f>
        <v/>
      </c>
      <c r="F13" s="468">
        <f>SUMPRODUCT((LOWER('Invullen groen'!A17:A74)="volkshuisv., ro en stedelijke vernieuwing")*IFERROR('Invullen groen'!J17:J74*1,0))</f>
        <v/>
      </c>
      <c r="G13" s="468">
        <f>SUMPRODUCT((LOWER('Invullen groen'!A17:A74)="volkshuisv., ro en stedelijke vernieuwing")*IFERROR('Invullen groen'!K17:K74*1,0))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2026-06-26T13:34:18Z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