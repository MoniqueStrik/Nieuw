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35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</fonts>
  <fills count="17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312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23">
        <f>+'Invullen groen'!A75</f>
        <v/>
      </c>
      <c r="B78" s="43">
        <f>+'Invullen groen'!C75</f>
        <v/>
      </c>
      <c r="C78" s="28">
        <f>+'Invullen groen'!G75</f>
        <v/>
      </c>
      <c r="D78" s="21">
        <f>+'Invullen groen'!I75</f>
        <v/>
      </c>
      <c r="E78" s="22">
        <f>+'Invullen groen'!L75</f>
        <v/>
      </c>
      <c r="F78" s="22">
        <f>+'Invullen groen'!M75</f>
        <v/>
      </c>
      <c r="G78" s="22">
        <f>+'Invullen groen'!N75</f>
        <v/>
      </c>
      <c r="H78" s="22">
        <f>+'Invullen groen'!O75</f>
        <v/>
      </c>
      <c r="I78" s="53">
        <f>+'Invullen groen'!AW75</f>
        <v/>
      </c>
      <c r="J78" s="53">
        <f>+'Invullen groen'!AX75</f>
        <v/>
      </c>
      <c r="K78" s="53">
        <f>+'Invullen groen'!AY75</f>
        <v/>
      </c>
      <c r="L78" s="53">
        <f>+'Invullen groen'!AZ75</f>
        <v/>
      </c>
      <c r="M78" s="53">
        <f>+'Invullen groen'!BA75</f>
        <v/>
      </c>
      <c r="N78" s="53">
        <f>+'Invullen groen'!BB75</f>
        <v/>
      </c>
      <c r="O78" s="53">
        <f>+'Invullen groen'!BC75</f>
        <v/>
      </c>
      <c r="P78" s="53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19">
        <f>+'Invullen groen'!A77</f>
        <v/>
      </c>
      <c r="B80" s="47">
        <f>+'Invullen groen'!C77</f>
        <v/>
      </c>
      <c r="C80" s="27">
        <f>+'Invullen groen'!G77</f>
        <v/>
      </c>
      <c r="D80" s="17">
        <f>+'Invullen groen'!I77</f>
        <v/>
      </c>
      <c r="E80" s="18">
        <f>+'Invullen groen'!L77</f>
        <v/>
      </c>
      <c r="F80" s="18">
        <f>+'Invullen groen'!M77</f>
        <v/>
      </c>
      <c r="G80" s="18">
        <f>+'Invullen groen'!N77</f>
        <v/>
      </c>
      <c r="H80" s="18">
        <f>+'Invullen groen'!O77</f>
        <v/>
      </c>
      <c r="I80" s="1">
        <f>+'Invullen groen'!AW77</f>
        <v/>
      </c>
      <c r="J80" s="1">
        <f>+'Invullen groen'!AX77</f>
        <v/>
      </c>
      <c r="K80" s="1">
        <f>+'Invullen groen'!AY77</f>
        <v/>
      </c>
      <c r="L80" s="1">
        <f>+'Invullen groen'!AZ77</f>
        <v/>
      </c>
      <c r="M80" s="1">
        <f>+'Invullen groen'!BA77</f>
        <v/>
      </c>
      <c r="N80" s="1">
        <f>+'Invullen groen'!BB77</f>
        <v/>
      </c>
      <c r="O80" s="1">
        <f>+'Invullen groen'!BC77</f>
        <v/>
      </c>
      <c r="P80" s="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23">
        <f>+'Invullen groen'!A110</f>
        <v/>
      </c>
      <c r="B113" s="43" t="n"/>
      <c r="C113" s="28">
        <f>+'Invullen groen'!G110</f>
        <v/>
      </c>
      <c r="D113" s="21">
        <f>+'Invullen groen'!I110</f>
        <v/>
      </c>
      <c r="E113" s="22">
        <f>+'Invullen groen'!L110</f>
        <v/>
      </c>
      <c r="F113" s="22">
        <f>+'Invullen groen'!M110</f>
        <v/>
      </c>
      <c r="G113" s="22">
        <f>+'Invullen groen'!N110</f>
        <v/>
      </c>
      <c r="H113" s="22">
        <f>+'Invullen groen'!O110</f>
        <v/>
      </c>
      <c r="I113" s="53">
        <f>+'Invullen groen'!AW110</f>
        <v/>
      </c>
      <c r="J113" s="53">
        <f>+'Invullen groen'!AX110</f>
        <v/>
      </c>
      <c r="K113" s="53">
        <f>+'Invullen groen'!AY110</f>
        <v/>
      </c>
      <c r="L113" s="53">
        <f>+'Invullen groen'!AZ110</f>
        <v/>
      </c>
      <c r="M113" s="53">
        <f>+'Invullen groen'!BA110</f>
        <v/>
      </c>
      <c r="N113" s="53">
        <f>+'Invullen groen'!BB110</f>
        <v/>
      </c>
      <c r="O113" s="53">
        <f>+'Invullen groen'!BC110</f>
        <v/>
      </c>
      <c r="P113" s="53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groen'!C114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groen'!C120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groen'!C170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J1" workbookViewId="0">
      <pane xSplit="4" ySplit="16" topLeftCell="E17" activePane="bottomRight" state="frozen"/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5" customHeight="1">
      <c r="A16" s="248" t="inlineStr">
        <is>
          <t>A. Uitgaven en inkomsten</t>
        </is>
      </c>
      <c r="B16" s="118" t="n"/>
      <c r="C16" s="71" t="n"/>
      <c r="D16" s="244" t="n"/>
      <c r="E16" s="71" t="n"/>
      <c r="F16" s="113" t="n"/>
      <c r="G16" s="245" t="n"/>
      <c r="H16" s="63" t="n"/>
      <c r="I16" s="246" t="n"/>
      <c r="J16" s="73" t="n"/>
      <c r="K16" s="247" t="n"/>
      <c r="L16" s="116" t="n"/>
      <c r="M16" s="116" t="n"/>
      <c r="N16" s="116" t="n"/>
      <c r="O16" s="116" t="n"/>
      <c r="Q16" s="119" t="n"/>
      <c r="R16" s="119" t="n"/>
    </row>
    <row r="17" ht="30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30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30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30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30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30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30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30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30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30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30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30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30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30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30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30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30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30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30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30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30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30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30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30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30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30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30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30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30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30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30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30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30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30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30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30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30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30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30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30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30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30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30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30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30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30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30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30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30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30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30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30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30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30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30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30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30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30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30" customFormat="1" customHeight="1" s="132">
      <c r="A75" s="252" t="inlineStr">
        <is>
          <t>Saldo inkomsten en uitgaven</t>
        </is>
      </c>
      <c r="B75" s="125" t="n"/>
      <c r="C75" s="125" t="n"/>
      <c r="D75" s="252" t="n"/>
      <c r="E75" s="125" t="n"/>
      <c r="F75" s="127" t="n"/>
      <c r="G75" s="253" t="n"/>
      <c r="H75" s="65" t="n"/>
      <c r="I75" s="254" t="n"/>
      <c r="J75" s="129" t="n"/>
      <c r="K75" s="255" t="n"/>
      <c r="L75" s="131">
        <f>SUM(L18:L74)</f>
        <v/>
      </c>
      <c r="M75" s="131">
        <f>SUM(M18:M74)</f>
        <v/>
      </c>
      <c r="N75" s="131">
        <f>SUM(N18:N74)</f>
        <v/>
      </c>
      <c r="O75" s="131">
        <f>SUM(O18:O74)</f>
        <v/>
      </c>
      <c r="Q75" s="119">
        <f>IF(OR(H75=47201,H75=47100,H75=47200,H75=47500),L75,0)</f>
        <v/>
      </c>
      <c r="R75" s="119">
        <f>IF(OR(H75=87201,H75=87100,H75=87200,H75=87500),L75,0)</f>
        <v/>
      </c>
    </row>
    <row r="76" ht="30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30" customHeight="1">
      <c r="A77" s="248" t="inlineStr">
        <is>
          <t>B. Dekking uitgaven en inkomsten</t>
        </is>
      </c>
      <c r="B77" s="118" t="n"/>
      <c r="C77" s="71" t="n"/>
      <c r="D77" s="244" t="n"/>
      <c r="E77" s="71" t="n"/>
      <c r="F77" s="113" t="n"/>
      <c r="G77" s="245" t="n"/>
      <c r="H77" s="63" t="n"/>
      <c r="I77" s="246" t="n"/>
      <c r="J77" s="73" t="n"/>
      <c r="K77" s="247" t="n"/>
      <c r="L77" s="116" t="n"/>
      <c r="M77" s="116" t="n"/>
      <c r="N77" s="116" t="n"/>
      <c r="O77" s="116" t="n"/>
      <c r="Q77" s="119">
        <f>IF(OR(H77=47201,H77=47100,H77=47200,H77=47500),L77,0)</f>
        <v/>
      </c>
      <c r="R77" s="119">
        <f>IF(OR(H77=87201,H77=87100,H77=87200,H77=87500),L77,0)</f>
        <v/>
      </c>
    </row>
    <row r="78" ht="30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30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30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30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30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30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30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30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30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30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30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30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30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30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30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30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30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30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30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30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30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30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30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30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30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30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30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30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30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30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30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30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30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30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30" customFormat="1" customHeight="1" s="119">
      <c r="A112" s="25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30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30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30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30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30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30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30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30" customHeight="1">
      <c r="A120" s="248" t="inlineStr">
        <is>
          <t>C. Investeringen</t>
        </is>
      </c>
      <c r="B120" s="118" t="n"/>
      <c r="C120" s="71" t="n"/>
      <c r="D120" s="244" t="n"/>
      <c r="E120" s="72" t="n"/>
      <c r="F120" s="113" t="n"/>
      <c r="G120" s="245" t="n"/>
      <c r="H120" s="63" t="n"/>
      <c r="I120" s="246" t="n"/>
      <c r="J120" s="73" t="n"/>
      <c r="K120" s="247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30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30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30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30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30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30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30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30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30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30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30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30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30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30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30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30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30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30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30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30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30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30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30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30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30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30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30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30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30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30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30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30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30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30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30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30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30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30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30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30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30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30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30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30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30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30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30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30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30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30" customHeight="1">
      <c r="A170" s="248" t="inlineStr">
        <is>
          <t>D. Reserves</t>
        </is>
      </c>
      <c r="B170" s="118" t="n"/>
      <c r="C170" s="71" t="n"/>
      <c r="D170" s="244" t="n"/>
      <c r="E170" s="71">
        <f>IF(J170&gt;1,"+",0)</f>
        <v/>
      </c>
      <c r="F170" s="113" t="n"/>
      <c r="G170" s="245" t="n"/>
      <c r="H170" s="63" t="n"/>
      <c r="I170" s="246" t="n"/>
      <c r="J170" s="73" t="n"/>
      <c r="K170" s="247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30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30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30" customHeight="1">
      <c r="A173" s="267" t="n"/>
      <c r="B173" s="74" t="n"/>
      <c r="C173" s="74" t="n"/>
      <c r="D173" s="249" t="n"/>
      <c r="E173" s="74">
        <f>IF(J173&gt;1,"+",0)</f>
        <v/>
      </c>
      <c r="F173" s="75" t="n"/>
      <c r="G173" s="256" t="n"/>
      <c r="H173" s="64" t="n"/>
      <c r="I173" s="250">
        <f>IFERROR(VLOOKUP(H173,Tabellen!H:I,2),0)</f>
        <v/>
      </c>
      <c r="J173" s="121" t="n"/>
      <c r="K173" s="251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30" customHeight="1">
      <c r="A174" s="267" t="n"/>
      <c r="B174" s="74" t="n"/>
      <c r="C174" s="74" t="n"/>
      <c r="D174" s="249" t="n"/>
      <c r="E174" s="74">
        <f>IF(J174&gt;1,"+",0)</f>
        <v/>
      </c>
      <c r="F174" s="75">
        <f>IF(E174&gt;0,$L$4,0)</f>
        <v/>
      </c>
      <c r="G174" s="256" t="n"/>
      <c r="H174" s="64" t="n"/>
      <c r="I174" s="250">
        <f>IFERROR(VLOOKUP(H174,Tabellen!H:I,2),0)</f>
        <v/>
      </c>
      <c r="J174" s="121" t="n"/>
      <c r="K174" s="251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30" customHeight="1">
      <c r="A175" s="267" t="n"/>
      <c r="B175" s="74" t="n"/>
      <c r="C175" s="74" t="n"/>
      <c r="D175" s="249" t="n"/>
      <c r="E175" s="74">
        <f>IF(J175&gt;1,"+",0)</f>
        <v/>
      </c>
      <c r="F175" s="75">
        <f>IF(E175&gt;0,$L$4,0)</f>
        <v/>
      </c>
      <c r="G175" s="256" t="n"/>
      <c r="H175" s="64" t="n"/>
      <c r="I175" s="250">
        <f>IFERROR(VLOOKUP(H175,Tabellen!H:I,2),0)</f>
        <v/>
      </c>
      <c r="J175" s="121" t="n"/>
      <c r="K175" s="251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30" customHeight="1">
      <c r="A176" s="267" t="n"/>
      <c r="B176" s="74" t="n"/>
      <c r="C176" s="74" t="n"/>
      <c r="D176" s="249" t="n"/>
      <c r="E176" s="74">
        <f>IF(J176&gt;1,"+",0)</f>
        <v/>
      </c>
      <c r="F176" s="75">
        <f>IF(E176&gt;0,$L$4,0)</f>
        <v/>
      </c>
      <c r="G176" s="256" t="n"/>
      <c r="H176" s="64" t="n"/>
      <c r="I176" s="250">
        <f>IFERROR(VLOOKUP(H176,Tabellen!H:I,2),0)</f>
        <v/>
      </c>
      <c r="J176" s="121" t="n"/>
      <c r="K176" s="251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30" customHeight="1">
      <c r="A177" s="267" t="n"/>
      <c r="B177" s="74" t="n"/>
      <c r="C177" s="74" t="n"/>
      <c r="D177" s="249" t="n"/>
      <c r="E177" s="74">
        <f>IF(J177&gt;1,"+",0)</f>
        <v/>
      </c>
      <c r="F177" s="75">
        <f>IF(E177&gt;0,$L$4,0)</f>
        <v/>
      </c>
      <c r="G177" s="256" t="n"/>
      <c r="H177" s="64" t="n"/>
      <c r="I177" s="250">
        <f>IFERROR(VLOOKUP(H177,Tabellen!H:I,2),0)</f>
        <v/>
      </c>
      <c r="J177" s="121" t="n"/>
      <c r="K177" s="251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30" customHeight="1">
      <c r="A178" s="267" t="n"/>
      <c r="B178" s="74" t="n"/>
      <c r="C178" s="74" t="n"/>
      <c r="D178" s="249" t="n"/>
      <c r="E178" s="74">
        <f>IF(J178&gt;1,"+",0)</f>
        <v/>
      </c>
      <c r="F178" s="75">
        <f>IF(E178&gt;0,$L$4,0)</f>
        <v/>
      </c>
      <c r="G178" s="256" t="n"/>
      <c r="H178" s="64" t="n"/>
      <c r="I178" s="250">
        <f>IFERROR(VLOOKUP(H178,Tabellen!H:I,2),0)</f>
        <v/>
      </c>
      <c r="J178" s="121" t="n"/>
      <c r="K178" s="251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30" customHeight="1">
      <c r="A179" s="267" t="n"/>
      <c r="B179" s="74" t="n"/>
      <c r="C179" s="74" t="n"/>
      <c r="D179" s="249" t="n"/>
      <c r="E179" s="74">
        <f>IF(J179&gt;1,"+",0)</f>
        <v/>
      </c>
      <c r="F179" s="75">
        <f>IF(E179&gt;0,$L$4,0)</f>
        <v/>
      </c>
      <c r="G179" s="256" t="n"/>
      <c r="H179" s="64" t="n"/>
      <c r="I179" s="250">
        <f>IFERROR(VLOOKUP(H179,Tabellen!H:I,2),0)</f>
        <v/>
      </c>
      <c r="J179" s="121" t="n"/>
      <c r="K179" s="251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30" customHeight="1">
      <c r="A180" s="267" t="n"/>
      <c r="B180" s="74" t="n"/>
      <c r="C180" s="74" t="n"/>
      <c r="D180" s="249" t="n"/>
      <c r="E180" s="74">
        <f>IF(J180&gt;1,"+",0)</f>
        <v/>
      </c>
      <c r="F180" s="75">
        <f>IF(E180&gt;0,$L$4,0)</f>
        <v/>
      </c>
      <c r="G180" s="256" t="n"/>
      <c r="H180" s="64" t="n"/>
      <c r="I180" s="250">
        <f>IFERROR(VLOOKUP(H180,Tabellen!H:I,2),0)</f>
        <v/>
      </c>
      <c r="J180" s="121" t="n"/>
      <c r="K180" s="251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30" customHeight="1">
      <c r="A181" s="267" t="n"/>
      <c r="B181" s="74" t="n"/>
      <c r="C181" s="74" t="n"/>
      <c r="D181" s="249" t="n"/>
      <c r="E181" s="74">
        <f>IF(J181&gt;1,"+",0)</f>
        <v/>
      </c>
      <c r="F181" s="75">
        <f>IF(E181&gt;0,$L$4,0)</f>
        <v/>
      </c>
      <c r="G181" s="256" t="n"/>
      <c r="H181" s="64" t="n"/>
      <c r="I181" s="250">
        <f>IFERROR(VLOOKUP(H181,Tabellen!H:I,2),0)</f>
        <v/>
      </c>
      <c r="J181" s="121" t="n"/>
      <c r="K181" s="251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30" customHeight="1">
      <c r="A182" s="267" t="n"/>
      <c r="B182" s="74" t="n"/>
      <c r="C182" s="74" t="n"/>
      <c r="D182" s="249" t="n"/>
      <c r="E182" s="74">
        <f>IF(J182&gt;1,"+",0)</f>
        <v/>
      </c>
      <c r="F182" s="75">
        <f>IF(E182&gt;0,$L$4,0)</f>
        <v/>
      </c>
      <c r="G182" s="256" t="n"/>
      <c r="H182" s="64" t="n"/>
      <c r="I182" s="250">
        <f>IFERROR(VLOOKUP(H182,Tabellen!H:I,2),0)</f>
        <v/>
      </c>
      <c r="J182" s="121" t="n"/>
      <c r="K182" s="251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30" customHeight="1">
      <c r="A183" s="267" t="n"/>
      <c r="B183" s="74" t="n"/>
      <c r="C183" s="74" t="n"/>
      <c r="D183" s="249" t="n"/>
      <c r="E183" s="74">
        <f>IF(J183&gt;1,"+",0)</f>
        <v/>
      </c>
      <c r="F183" s="75">
        <f>IF(E183&gt;0,$L$4,0)</f>
        <v/>
      </c>
      <c r="G183" s="256" t="n"/>
      <c r="H183" s="64" t="n"/>
      <c r="I183" s="250">
        <f>IFERROR(VLOOKUP(H183,Tabellen!H:I,2),0)</f>
        <v/>
      </c>
      <c r="J183" s="121" t="n"/>
      <c r="K183" s="251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30" customHeight="1">
      <c r="A184" s="267" t="n"/>
      <c r="B184" s="74" t="n"/>
      <c r="C184" s="74" t="n"/>
      <c r="D184" s="249" t="n"/>
      <c r="E184" s="74">
        <f>IF(J184&gt;1,"+",0)</f>
        <v/>
      </c>
      <c r="F184" s="75">
        <f>IF(E184&gt;0,$L$4,0)</f>
        <v/>
      </c>
      <c r="G184" s="256" t="n"/>
      <c r="H184" s="64" t="n"/>
      <c r="I184" s="250">
        <f>IFERROR(VLOOKUP(H184,Tabellen!H:I,2),0)</f>
        <v/>
      </c>
      <c r="J184" s="121" t="n"/>
      <c r="K184" s="251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30" customHeight="1">
      <c r="A185" s="267" t="n"/>
      <c r="B185" s="74" t="n"/>
      <c r="C185" s="74" t="n"/>
      <c r="D185" s="249" t="n"/>
      <c r="E185" s="74">
        <f>IF(J185&gt;1,"+",0)</f>
        <v/>
      </c>
      <c r="F185" s="75">
        <f>IF(E185&gt;0,$L$4,0)</f>
        <v/>
      </c>
      <c r="G185" s="256" t="n"/>
      <c r="H185" s="64" t="n"/>
      <c r="I185" s="250">
        <f>IFERROR(VLOOKUP(H185,Tabellen!H:I,2),0)</f>
        <v/>
      </c>
      <c r="J185" s="121" t="n"/>
      <c r="K185" s="251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30" customHeight="1">
      <c r="A186" s="267" t="n"/>
      <c r="B186" s="74" t="n"/>
      <c r="C186" s="74" t="n"/>
      <c r="D186" s="249" t="n"/>
      <c r="E186" s="74">
        <f>IF(J186&gt;1,"+",0)</f>
        <v/>
      </c>
      <c r="F186" s="75">
        <f>IF(E186&gt;0,$L$4,0)</f>
        <v/>
      </c>
      <c r="G186" s="256" t="n"/>
      <c r="H186" s="64" t="n"/>
      <c r="I186" s="250">
        <f>IFERROR(VLOOKUP(H186,Tabellen!H:I,2),0)</f>
        <v/>
      </c>
      <c r="J186" s="121" t="n"/>
      <c r="K186" s="251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30" customHeight="1">
      <c r="A187" s="267" t="n"/>
      <c r="B187" s="74" t="n"/>
      <c r="C187" s="74" t="n"/>
      <c r="D187" s="249" t="n"/>
      <c r="E187" s="74">
        <f>IF(J187&gt;1,"+",0)</f>
        <v/>
      </c>
      <c r="F187" s="75">
        <f>IF(E187&gt;0,$L$4,0)</f>
        <v/>
      </c>
      <c r="G187" s="256" t="n"/>
      <c r="H187" s="64" t="n"/>
      <c r="I187" s="250">
        <f>IFERROR(VLOOKUP(H187,Tabellen!H:I,2),0)</f>
        <v/>
      </c>
      <c r="J187" s="121" t="n"/>
      <c r="K187" s="251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30" customHeight="1">
      <c r="A188" s="267" t="n"/>
      <c r="B188" s="74" t="n"/>
      <c r="C188" s="74" t="n"/>
      <c r="D188" s="249" t="n"/>
      <c r="E188" s="74">
        <f>IF(J188&gt;1,"+",0)</f>
        <v/>
      </c>
      <c r="F188" s="75">
        <f>IF(E188&gt;0,$L$4,0)</f>
        <v/>
      </c>
      <c r="G188" s="256" t="n"/>
      <c r="H188" s="64" t="n"/>
      <c r="I188" s="250">
        <f>IFERROR(VLOOKUP(H188,Tabellen!H:I,2),0)</f>
        <v/>
      </c>
      <c r="J188" s="121" t="n"/>
      <c r="K188" s="251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30" customHeight="1">
      <c r="A189" s="267" t="n"/>
      <c r="B189" s="74" t="n"/>
      <c r="C189" s="74" t="n"/>
      <c r="D189" s="249" t="n"/>
      <c r="E189" s="74">
        <f>IF(J189&gt;1,"+",0)</f>
        <v/>
      </c>
      <c r="F189" s="75">
        <f>IF(E189&gt;0,$L$4,0)</f>
        <v/>
      </c>
      <c r="G189" s="256" t="n"/>
      <c r="H189" s="64" t="n"/>
      <c r="I189" s="250">
        <f>IFERROR(VLOOKUP(H189,Tabellen!H:I,2),0)</f>
        <v/>
      </c>
      <c r="J189" s="121" t="n"/>
      <c r="K189" s="251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30" customHeight="1">
      <c r="A190" s="267" t="n"/>
      <c r="B190" s="74" t="n"/>
      <c r="C190" s="74" t="n"/>
      <c r="D190" s="249" t="n"/>
      <c r="E190" s="74">
        <f>IF(J190&gt;1,"+",0)</f>
        <v/>
      </c>
      <c r="F190" s="75">
        <f>IF(E190&gt;0,$L$4,0)</f>
        <v/>
      </c>
      <c r="G190" s="256" t="n"/>
      <c r="H190" s="64" t="n"/>
      <c r="I190" s="250">
        <f>IFERROR(VLOOKUP(H190,Tabellen!H:I,2),0)</f>
        <v/>
      </c>
      <c r="J190" s="121" t="n"/>
      <c r="K190" s="251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30" customHeight="1">
      <c r="A191" s="267" t="n"/>
      <c r="B191" s="74" t="n"/>
      <c r="C191" s="74" t="n"/>
      <c r="D191" s="249" t="n"/>
      <c r="E191" s="74">
        <f>IF(J191&gt;1,"+",0)</f>
        <v/>
      </c>
      <c r="F191" s="75">
        <f>IF(E191&gt;0,$L$4,0)</f>
        <v/>
      </c>
      <c r="G191" s="256" t="n"/>
      <c r="H191" s="64" t="n"/>
      <c r="I191" s="250">
        <f>IFERROR(VLOOKUP(H191,Tabellen!H:I,2),0)</f>
        <v/>
      </c>
      <c r="J191" s="121" t="n"/>
      <c r="K191" s="251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30" customHeight="1">
      <c r="A192" s="267" t="n"/>
      <c r="B192" s="74" t="n"/>
      <c r="C192" s="74" t="n"/>
      <c r="D192" s="249" t="n"/>
      <c r="E192" s="74">
        <f>IF(J192&gt;1,"+",0)</f>
        <v/>
      </c>
      <c r="F192" s="75">
        <f>IF(E192&gt;0,$L$4,0)</f>
        <v/>
      </c>
      <c r="G192" s="256" t="n"/>
      <c r="H192" s="64" t="n"/>
      <c r="I192" s="250">
        <f>IFERROR(VLOOKUP(H192,Tabellen!H:I,2),0)</f>
        <v/>
      </c>
      <c r="J192" s="121" t="n"/>
      <c r="K192" s="251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30" customHeight="1">
      <c r="A193" s="267" t="n"/>
      <c r="B193" s="74" t="n"/>
      <c r="C193" s="74" t="n"/>
      <c r="D193" s="249" t="n"/>
      <c r="E193" s="74">
        <f>IF(J193&gt;1,"+",0)</f>
        <v/>
      </c>
      <c r="F193" s="75">
        <f>IF(E193&gt;0,$L$4,0)</f>
        <v/>
      </c>
      <c r="G193" s="256" t="n"/>
      <c r="H193" s="64" t="n"/>
      <c r="I193" s="250">
        <f>IFERROR(VLOOKUP(H193,Tabellen!H:I,2),0)</f>
        <v/>
      </c>
      <c r="J193" s="121" t="n"/>
      <c r="K193" s="251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30" customHeight="1">
      <c r="A194" s="267" t="n"/>
      <c r="B194" s="74" t="n"/>
      <c r="C194" s="74" t="n"/>
      <c r="D194" s="249" t="n"/>
      <c r="E194" s="74">
        <f>IF(J194&gt;1,"+",0)</f>
        <v/>
      </c>
      <c r="F194" s="75">
        <f>IF(E194&gt;0,$L$4,0)</f>
        <v/>
      </c>
      <c r="G194" s="256" t="n"/>
      <c r="H194" s="64" t="n"/>
      <c r="I194" s="250">
        <f>IFERROR(VLOOKUP(H194,Tabellen!H:I,2),0)</f>
        <v/>
      </c>
      <c r="J194" s="121" t="n"/>
      <c r="K194" s="251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30" customHeight="1">
      <c r="A195" s="267" t="n"/>
      <c r="B195" s="74" t="n"/>
      <c r="C195" s="74" t="n"/>
      <c r="D195" s="249" t="n"/>
      <c r="E195" s="74">
        <f>IF(J195&gt;1,"+",0)</f>
        <v/>
      </c>
      <c r="F195" s="75">
        <f>IF(E195&gt;0,$L$4,0)</f>
        <v/>
      </c>
      <c r="G195" s="256" t="n"/>
      <c r="H195" s="64" t="n"/>
      <c r="I195" s="250">
        <f>IFERROR(VLOOKUP(H195,Tabellen!H:I,2),0)</f>
        <v/>
      </c>
      <c r="J195" s="121" t="n"/>
      <c r="K195" s="251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30" customHeight="1">
      <c r="A196" s="267" t="n"/>
      <c r="B196" s="74" t="n"/>
      <c r="C196" s="74" t="n"/>
      <c r="D196" s="249" t="n"/>
      <c r="E196" s="74">
        <f>IF(J196&gt;1,"+",0)</f>
        <v/>
      </c>
      <c r="F196" s="75">
        <f>IF(E196&gt;0,$L$4,0)</f>
        <v/>
      </c>
      <c r="G196" s="256" t="n"/>
      <c r="H196" s="64" t="n"/>
      <c r="I196" s="250">
        <f>IFERROR(VLOOKUP(H196,Tabellen!H:I,2),0)</f>
        <v/>
      </c>
      <c r="J196" s="121" t="n"/>
      <c r="K196" s="251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30" customHeight="1">
      <c r="A197" s="267" t="n"/>
      <c r="B197" s="74" t="n"/>
      <c r="C197" s="74" t="n"/>
      <c r="D197" s="249" t="n"/>
      <c r="E197" s="74">
        <f>IF(J197&gt;1,"+",0)</f>
        <v/>
      </c>
      <c r="F197" s="75">
        <f>IF(E197&gt;0,$L$4,0)</f>
        <v/>
      </c>
      <c r="G197" s="256" t="n"/>
      <c r="H197" s="64" t="n"/>
      <c r="I197" s="250">
        <f>IFERROR(VLOOKUP(H197,Tabellen!H:I,2),0)</f>
        <v/>
      </c>
      <c r="J197" s="121" t="n"/>
      <c r="K197" s="251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30" customHeight="1">
      <c r="A198" s="267" t="n"/>
      <c r="B198" s="74" t="n"/>
      <c r="C198" s="74" t="n"/>
      <c r="D198" s="249" t="n"/>
      <c r="E198" s="74">
        <f>IF(J198&gt;1,"+",0)</f>
        <v/>
      </c>
      <c r="F198" s="75">
        <f>IF(E198&gt;0,$L$4,0)</f>
        <v/>
      </c>
      <c r="G198" s="256" t="n"/>
      <c r="H198" s="64" t="n"/>
      <c r="I198" s="250">
        <f>IFERROR(VLOOKUP(H198,Tabellen!H:I,2),0)</f>
        <v/>
      </c>
      <c r="J198" s="121" t="n"/>
      <c r="K198" s="251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30" customHeight="1">
      <c r="A199" s="267" t="n"/>
      <c r="B199" s="74" t="n"/>
      <c r="C199" s="74" t="n"/>
      <c r="D199" s="249" t="n"/>
      <c r="E199" s="74">
        <f>IF(J199&gt;1,"+",0)</f>
        <v/>
      </c>
      <c r="F199" s="75">
        <f>IF(E199&gt;0,$L$4,0)</f>
        <v/>
      </c>
      <c r="G199" s="256" t="n"/>
      <c r="H199" s="64" t="n"/>
      <c r="I199" s="250">
        <f>IFERROR(VLOOKUP(H199,Tabellen!H:I,2),0)</f>
        <v/>
      </c>
      <c r="J199" s="121" t="n"/>
      <c r="K199" s="251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30" customHeight="1">
      <c r="A200" s="267" t="n"/>
      <c r="B200" s="74" t="n"/>
      <c r="C200" s="74" t="n"/>
      <c r="D200" s="249" t="n"/>
      <c r="E200" s="74">
        <f>IF(J200&gt;1,"+",0)</f>
        <v/>
      </c>
      <c r="F200" s="75">
        <f>IF(E200&gt;0,$L$4,0)</f>
        <v/>
      </c>
      <c r="G200" s="256" t="n"/>
      <c r="H200" s="64" t="n"/>
      <c r="I200" s="250">
        <f>IFERROR(VLOOKUP(H200,Tabellen!H:I,2),0)</f>
        <v/>
      </c>
      <c r="J200" s="121" t="n"/>
      <c r="K200" s="251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30" customHeight="1">
      <c r="A201" s="267" t="n"/>
      <c r="B201" s="74" t="n"/>
      <c r="C201" s="74" t="n"/>
      <c r="D201" s="249" t="n"/>
      <c r="E201" s="74">
        <f>IF(J201&gt;1,"+",0)</f>
        <v/>
      </c>
      <c r="F201" s="75">
        <f>IF(E201&gt;0,$L$4,0)</f>
        <v/>
      </c>
      <c r="G201" s="256" t="n"/>
      <c r="H201" s="64" t="n"/>
      <c r="I201" s="250">
        <f>IFERROR(VLOOKUP(H201,Tabellen!H:I,2),0)</f>
        <v/>
      </c>
      <c r="J201" s="121" t="n"/>
      <c r="K201" s="251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30" customHeight="1">
      <c r="A202" s="267" t="n"/>
      <c r="B202" s="74" t="n"/>
      <c r="C202" s="74" t="n"/>
      <c r="D202" s="249" t="n"/>
      <c r="E202" s="74">
        <f>IF(J202&gt;1,"+",0)</f>
        <v/>
      </c>
      <c r="F202" s="75">
        <f>IF(E202&gt;0,$L$4,0)</f>
        <v/>
      </c>
      <c r="G202" s="256" t="n"/>
      <c r="H202" s="64" t="n"/>
      <c r="I202" s="250">
        <f>IFERROR(VLOOKUP(H202,Tabellen!H:I,2),0)</f>
        <v/>
      </c>
      <c r="J202" s="121" t="n"/>
      <c r="K202" s="251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30" customHeight="1">
      <c r="A203" s="267" t="n"/>
      <c r="B203" s="74" t="n"/>
      <c r="C203" s="74" t="n"/>
      <c r="D203" s="249" t="n"/>
      <c r="E203" s="74">
        <f>IF(J203&gt;1,"+",0)</f>
        <v/>
      </c>
      <c r="F203" s="75">
        <f>IF(E203&gt;0,$L$4,0)</f>
        <v/>
      </c>
      <c r="G203" s="256" t="n"/>
      <c r="H203" s="64" t="n"/>
      <c r="I203" s="250">
        <f>IFERROR(VLOOKUP(H203,Tabellen!H:I,2),0)</f>
        <v/>
      </c>
      <c r="J203" s="121" t="n"/>
      <c r="K203" s="251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30" customHeight="1">
      <c r="A204" s="267" t="n"/>
      <c r="B204" s="74" t="n"/>
      <c r="C204" s="74" t="n"/>
      <c r="D204" s="249" t="n"/>
      <c r="E204" s="74">
        <f>IF(J204&gt;1,"+",0)</f>
        <v/>
      </c>
      <c r="F204" s="75">
        <f>IF(E204&gt;0,$L$4,0)</f>
        <v/>
      </c>
      <c r="G204" s="256" t="n"/>
      <c r="H204" s="64" t="n"/>
      <c r="I204" s="250">
        <f>IFERROR(VLOOKUP(H204,Tabellen!H:I,2),0)</f>
        <v/>
      </c>
      <c r="J204" s="121" t="n"/>
      <c r="K204" s="251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30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30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30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30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30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30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30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30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30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30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30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30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30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30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30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30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30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30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30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30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30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30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30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30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30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30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30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30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30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30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30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30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30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30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30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30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30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30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30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30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30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30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30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30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30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30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30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30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30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30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30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30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30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30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30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30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30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30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30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30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30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30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30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30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30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30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30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30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30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30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30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30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30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30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30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30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30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30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30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30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30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30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30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30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30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30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30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</row>
    <row r="2" ht="16" customHeight="1">
      <c r="A2" s="283">
        <f>'Invullen groen'!A4</f>
        <v/>
      </c>
      <c r="G2" s="283" t="inlineStr">
        <is>
          <t>Corsanr.:</t>
        </is>
      </c>
      <c r="H2" s="284" t="n"/>
      <c r="I2" s="284" t="n"/>
    </row>
    <row r="3" ht="6" customHeight="1"/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286" t="inlineStr">
        <is>
          <t>Bgr.jaar 2026</t>
        </is>
      </c>
      <c r="G4" s="286" t="inlineStr">
        <is>
          <t>MJR 2027</t>
        </is>
      </c>
      <c r="H4" s="286" t="inlineStr">
        <is>
          <t>MJR 2028</t>
        </is>
      </c>
      <c r="I4" s="286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288">
        <f>IFERROR(IF('Invullen groen'!L18&lt;&gt;0,'Invullen groen'!L18,""),"")</f>
        <v/>
      </c>
      <c r="G5" s="288">
        <f>IFERROR(IF('Invullen groen'!M18&lt;&gt;0,'Invullen groen'!M18,""),"")</f>
        <v/>
      </c>
      <c r="H5" s="288">
        <f>IFERROR(IF('Invullen groen'!N18&lt;&gt;0,'Invullen groen'!N18,""),"")</f>
        <v/>
      </c>
      <c r="I5" s="288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288">
        <f>IFERROR(IF('Invullen groen'!L19&lt;&gt;0,'Invullen groen'!L19,""),"")</f>
        <v/>
      </c>
      <c r="G6" s="288">
        <f>IFERROR(IF('Invullen groen'!M19&lt;&gt;0,'Invullen groen'!M19,""),"")</f>
        <v/>
      </c>
      <c r="H6" s="288">
        <f>IFERROR(IF('Invullen groen'!N19&lt;&gt;0,'Invullen groen'!N19,""),"")</f>
        <v/>
      </c>
      <c r="I6" s="288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288">
        <f>IFERROR(IF('Invullen groen'!L20&lt;&gt;0,'Invullen groen'!L20,""),"")</f>
        <v/>
      </c>
      <c r="G7" s="288">
        <f>IFERROR(IF('Invullen groen'!M20&lt;&gt;0,'Invullen groen'!M20,""),"")</f>
        <v/>
      </c>
      <c r="H7" s="288">
        <f>IFERROR(IF('Invullen groen'!N20&lt;&gt;0,'Invullen groen'!N20,""),"")</f>
        <v/>
      </c>
      <c r="I7" s="288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288">
        <f>IFERROR(IF('Invullen groen'!L21&lt;&gt;0,'Invullen groen'!L21,""),"")</f>
        <v/>
      </c>
      <c r="G8" s="288">
        <f>IFERROR(IF('Invullen groen'!M21&lt;&gt;0,'Invullen groen'!M21,""),"")</f>
        <v/>
      </c>
      <c r="H8" s="288">
        <f>IFERROR(IF('Invullen groen'!N21&lt;&gt;0,'Invullen groen'!N21,""),"")</f>
        <v/>
      </c>
      <c r="I8" s="288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288">
        <f>IFERROR(IF('Invullen groen'!L22&lt;&gt;0,'Invullen groen'!L22,""),"")</f>
        <v/>
      </c>
      <c r="G9" s="288">
        <f>IFERROR(IF('Invullen groen'!M22&lt;&gt;0,'Invullen groen'!M22,""),"")</f>
        <v/>
      </c>
      <c r="H9" s="288">
        <f>IFERROR(IF('Invullen groen'!N22&lt;&gt;0,'Invullen groen'!N22,""),"")</f>
        <v/>
      </c>
      <c r="I9" s="288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288">
        <f>IFERROR(IF('Invullen groen'!L23&lt;&gt;0,'Invullen groen'!L23,""),"")</f>
        <v/>
      </c>
      <c r="G10" s="288">
        <f>IFERROR(IF('Invullen groen'!M23&lt;&gt;0,'Invullen groen'!M23,""),"")</f>
        <v/>
      </c>
      <c r="H10" s="288">
        <f>IFERROR(IF('Invullen groen'!N23&lt;&gt;0,'Invullen groen'!N23,""),"")</f>
        <v/>
      </c>
      <c r="I10" s="288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288">
        <f>IFERROR(IF('Invullen groen'!L24&lt;&gt;0,'Invullen groen'!L24,""),"")</f>
        <v/>
      </c>
      <c r="G11" s="288">
        <f>IFERROR(IF('Invullen groen'!M24&lt;&gt;0,'Invullen groen'!M24,""),"")</f>
        <v/>
      </c>
      <c r="H11" s="288">
        <f>IFERROR(IF('Invullen groen'!N24&lt;&gt;0,'Invullen groen'!N24,""),"")</f>
        <v/>
      </c>
      <c r="I11" s="288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288">
        <f>IFERROR(IF('Invullen groen'!L25&lt;&gt;0,'Invullen groen'!L25,""),"")</f>
        <v/>
      </c>
      <c r="G12" s="288">
        <f>IFERROR(IF('Invullen groen'!M25&lt;&gt;0,'Invullen groen'!M25,""),"")</f>
        <v/>
      </c>
      <c r="H12" s="288">
        <f>IFERROR(IF('Invullen groen'!N25&lt;&gt;0,'Invullen groen'!N25,""),"")</f>
        <v/>
      </c>
      <c r="I12" s="288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288">
        <f>IFERROR(IF('Invullen groen'!L26&lt;&gt;0,'Invullen groen'!L26,""),"")</f>
        <v/>
      </c>
      <c r="G13" s="288">
        <f>IFERROR(IF('Invullen groen'!M26&lt;&gt;0,'Invullen groen'!M26,""),"")</f>
        <v/>
      </c>
      <c r="H13" s="288">
        <f>IFERROR(IF('Invullen groen'!N26&lt;&gt;0,'Invullen groen'!N26,""),"")</f>
        <v/>
      </c>
      <c r="I13" s="288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288">
        <f>IFERROR(IF('Invullen groen'!L27&lt;&gt;0,'Invullen groen'!L27,""),"")</f>
        <v/>
      </c>
      <c r="G14" s="288">
        <f>IFERROR(IF('Invullen groen'!M27&lt;&gt;0,'Invullen groen'!M27,""),"")</f>
        <v/>
      </c>
      <c r="H14" s="288">
        <f>IFERROR(IF('Invullen groen'!N27&lt;&gt;0,'Invullen groen'!N27,""),"")</f>
        <v/>
      </c>
      <c r="I14" s="288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288">
        <f>IFERROR(IF('Invullen groen'!L28&lt;&gt;0,'Invullen groen'!L28,""),"")</f>
        <v/>
      </c>
      <c r="G15" s="288">
        <f>IFERROR(IF('Invullen groen'!M28&lt;&gt;0,'Invullen groen'!M28,""),"")</f>
        <v/>
      </c>
      <c r="H15" s="288">
        <f>IFERROR(IF('Invullen groen'!N28&lt;&gt;0,'Invullen groen'!N28,""),"")</f>
        <v/>
      </c>
      <c r="I15" s="288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288">
        <f>IFERROR(IF('Invullen groen'!L29&lt;&gt;0,'Invullen groen'!L29,""),"")</f>
        <v/>
      </c>
      <c r="G16" s="288">
        <f>IFERROR(IF('Invullen groen'!M29&lt;&gt;0,'Invullen groen'!M29,""),"")</f>
        <v/>
      </c>
      <c r="H16" s="288">
        <f>IFERROR(IF('Invullen groen'!N29&lt;&gt;0,'Invullen groen'!N29,""),"")</f>
        <v/>
      </c>
      <c r="I16" s="288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288">
        <f>IFERROR(IF('Invullen groen'!L30&lt;&gt;0,'Invullen groen'!L30,""),"")</f>
        <v/>
      </c>
      <c r="G17" s="288">
        <f>IFERROR(IF('Invullen groen'!M30&lt;&gt;0,'Invullen groen'!M30,""),"")</f>
        <v/>
      </c>
      <c r="H17" s="288">
        <f>IFERROR(IF('Invullen groen'!N30&lt;&gt;0,'Invullen groen'!N30,""),"")</f>
        <v/>
      </c>
      <c r="I17" s="288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288">
        <f>IFERROR(IF('Invullen groen'!L31&lt;&gt;0,'Invullen groen'!L31,""),"")</f>
        <v/>
      </c>
      <c r="G18" s="288">
        <f>IFERROR(IF('Invullen groen'!M31&lt;&gt;0,'Invullen groen'!M31,""),"")</f>
        <v/>
      </c>
      <c r="H18" s="288">
        <f>IFERROR(IF('Invullen groen'!N31&lt;&gt;0,'Invullen groen'!N31,""),"")</f>
        <v/>
      </c>
      <c r="I18" s="288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288">
        <f>IFERROR(IF('Invullen groen'!L32&lt;&gt;0,'Invullen groen'!L32,""),"")</f>
        <v/>
      </c>
      <c r="G19" s="288">
        <f>IFERROR(IF('Invullen groen'!M32&lt;&gt;0,'Invullen groen'!M32,""),"")</f>
        <v/>
      </c>
      <c r="H19" s="288">
        <f>IFERROR(IF('Invullen groen'!N32&lt;&gt;0,'Invullen groen'!N32,""),"")</f>
        <v/>
      </c>
      <c r="I19" s="288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288">
        <f>IFERROR(IF('Invullen groen'!L33&lt;&gt;0,'Invullen groen'!L33,""),"")</f>
        <v/>
      </c>
      <c r="G20" s="288">
        <f>IFERROR(IF('Invullen groen'!M33&lt;&gt;0,'Invullen groen'!M33,""),"")</f>
        <v/>
      </c>
      <c r="H20" s="288">
        <f>IFERROR(IF('Invullen groen'!N33&lt;&gt;0,'Invullen groen'!N33,""),"")</f>
        <v/>
      </c>
      <c r="I20" s="288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288">
        <f>IFERROR(IF('Invullen groen'!L34&lt;&gt;0,'Invullen groen'!L34,""),"")</f>
        <v/>
      </c>
      <c r="G21" s="288">
        <f>IFERROR(IF('Invullen groen'!M34&lt;&gt;0,'Invullen groen'!M34,""),"")</f>
        <v/>
      </c>
      <c r="H21" s="288">
        <f>IFERROR(IF('Invullen groen'!N34&lt;&gt;0,'Invullen groen'!N34,""),"")</f>
        <v/>
      </c>
      <c r="I21" s="288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288">
        <f>IFERROR(IF('Invullen groen'!L35&lt;&gt;0,'Invullen groen'!L35,""),"")</f>
        <v/>
      </c>
      <c r="G22" s="288">
        <f>IFERROR(IF('Invullen groen'!M35&lt;&gt;0,'Invullen groen'!M35,""),"")</f>
        <v/>
      </c>
      <c r="H22" s="288">
        <f>IFERROR(IF('Invullen groen'!N35&lt;&gt;0,'Invullen groen'!N35,""),"")</f>
        <v/>
      </c>
      <c r="I22" s="288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288">
        <f>IFERROR(IF('Invullen groen'!L36&lt;&gt;0,'Invullen groen'!L36,""),"")</f>
        <v/>
      </c>
      <c r="G23" s="288">
        <f>IFERROR(IF('Invullen groen'!M36&lt;&gt;0,'Invullen groen'!M36,""),"")</f>
        <v/>
      </c>
      <c r="H23" s="288">
        <f>IFERROR(IF('Invullen groen'!N36&lt;&gt;0,'Invullen groen'!N36,""),"")</f>
        <v/>
      </c>
      <c r="I23" s="288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288">
        <f>IFERROR(IF('Invullen groen'!L37&lt;&gt;0,'Invullen groen'!L37,""),"")</f>
        <v/>
      </c>
      <c r="G24" s="288">
        <f>IFERROR(IF('Invullen groen'!M37&lt;&gt;0,'Invullen groen'!M37,""),"")</f>
        <v/>
      </c>
      <c r="H24" s="288">
        <f>IFERROR(IF('Invullen groen'!N37&lt;&gt;0,'Invullen groen'!N37,""),"")</f>
        <v/>
      </c>
      <c r="I24" s="288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288">
        <f>IFERROR(IF('Invullen groen'!L38&lt;&gt;0,'Invullen groen'!L38,""),"")</f>
        <v/>
      </c>
      <c r="G25" s="288">
        <f>IFERROR(IF('Invullen groen'!M38&lt;&gt;0,'Invullen groen'!M38,""),"")</f>
        <v/>
      </c>
      <c r="H25" s="288">
        <f>IFERROR(IF('Invullen groen'!N38&lt;&gt;0,'Invullen groen'!N38,""),"")</f>
        <v/>
      </c>
      <c r="I25" s="288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288">
        <f>IFERROR(IF('Invullen groen'!L39&lt;&gt;0,'Invullen groen'!L39,""),"")</f>
        <v/>
      </c>
      <c r="G26" s="288">
        <f>IFERROR(IF('Invullen groen'!M39&lt;&gt;0,'Invullen groen'!M39,""),"")</f>
        <v/>
      </c>
      <c r="H26" s="288">
        <f>IFERROR(IF('Invullen groen'!N39&lt;&gt;0,'Invullen groen'!N39,""),"")</f>
        <v/>
      </c>
      <c r="I26" s="288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288">
        <f>IFERROR(IF('Invullen groen'!L40&lt;&gt;0,'Invullen groen'!L40,""),"")</f>
        <v/>
      </c>
      <c r="G27" s="288">
        <f>IFERROR(IF('Invullen groen'!M40&lt;&gt;0,'Invullen groen'!M40,""),"")</f>
        <v/>
      </c>
      <c r="H27" s="288">
        <f>IFERROR(IF('Invullen groen'!N40&lt;&gt;0,'Invullen groen'!N40,""),"")</f>
        <v/>
      </c>
      <c r="I27" s="288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288">
        <f>IFERROR(IF('Invullen groen'!L41&lt;&gt;0,'Invullen groen'!L41,""),"")</f>
        <v/>
      </c>
      <c r="G28" s="288">
        <f>IFERROR(IF('Invullen groen'!M41&lt;&gt;0,'Invullen groen'!M41,""),"")</f>
        <v/>
      </c>
      <c r="H28" s="288">
        <f>IFERROR(IF('Invullen groen'!N41&lt;&gt;0,'Invullen groen'!N41,""),"")</f>
        <v/>
      </c>
      <c r="I28" s="288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288">
        <f>IFERROR(IF('Invullen groen'!L42&lt;&gt;0,'Invullen groen'!L42,""),"")</f>
        <v/>
      </c>
      <c r="G29" s="288">
        <f>IFERROR(IF('Invullen groen'!M42&lt;&gt;0,'Invullen groen'!M42,""),"")</f>
        <v/>
      </c>
      <c r="H29" s="288">
        <f>IFERROR(IF('Invullen groen'!N42&lt;&gt;0,'Invullen groen'!N42,""),"")</f>
        <v/>
      </c>
      <c r="I29" s="288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288">
        <f>IFERROR(IF('Invullen groen'!L43&lt;&gt;0,'Invullen groen'!L43,""),"")</f>
        <v/>
      </c>
      <c r="G30" s="288">
        <f>IFERROR(IF('Invullen groen'!M43&lt;&gt;0,'Invullen groen'!M43,""),"")</f>
        <v/>
      </c>
      <c r="H30" s="288">
        <f>IFERROR(IF('Invullen groen'!N43&lt;&gt;0,'Invullen groen'!N43,""),"")</f>
        <v/>
      </c>
      <c r="I30" s="288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288">
        <f>IFERROR(IF('Invullen groen'!L44&lt;&gt;0,'Invullen groen'!L44,""),"")</f>
        <v/>
      </c>
      <c r="G31" s="288">
        <f>IFERROR(IF('Invullen groen'!M44&lt;&gt;0,'Invullen groen'!M44,""),"")</f>
        <v/>
      </c>
      <c r="H31" s="288">
        <f>IFERROR(IF('Invullen groen'!N44&lt;&gt;0,'Invullen groen'!N44,""),"")</f>
        <v/>
      </c>
      <c r="I31" s="288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288">
        <f>IFERROR(IF('Invullen groen'!L45&lt;&gt;0,'Invullen groen'!L45,""),"")</f>
        <v/>
      </c>
      <c r="G32" s="288">
        <f>IFERROR(IF('Invullen groen'!M45&lt;&gt;0,'Invullen groen'!M45,""),"")</f>
        <v/>
      </c>
      <c r="H32" s="288">
        <f>IFERROR(IF('Invullen groen'!N45&lt;&gt;0,'Invullen groen'!N45,""),"")</f>
        <v/>
      </c>
      <c r="I32" s="288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288">
        <f>IFERROR(IF('Invullen groen'!L46&lt;&gt;0,'Invullen groen'!L46,""),"")</f>
        <v/>
      </c>
      <c r="G33" s="288">
        <f>IFERROR(IF('Invullen groen'!M46&lt;&gt;0,'Invullen groen'!M46,""),"")</f>
        <v/>
      </c>
      <c r="H33" s="288">
        <f>IFERROR(IF('Invullen groen'!N46&lt;&gt;0,'Invullen groen'!N46,""),"")</f>
        <v/>
      </c>
      <c r="I33" s="288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288">
        <f>IFERROR(IF('Invullen groen'!L47&lt;&gt;0,'Invullen groen'!L47,""),"")</f>
        <v/>
      </c>
      <c r="G34" s="288">
        <f>IFERROR(IF('Invullen groen'!M47&lt;&gt;0,'Invullen groen'!M47,""),"")</f>
        <v/>
      </c>
      <c r="H34" s="288">
        <f>IFERROR(IF('Invullen groen'!N47&lt;&gt;0,'Invullen groen'!N47,""),"")</f>
        <v/>
      </c>
      <c r="I34" s="288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288">
        <f>IFERROR(IF('Invullen groen'!L48&lt;&gt;0,'Invullen groen'!L48,""),"")</f>
        <v/>
      </c>
      <c r="G35" s="288">
        <f>IFERROR(IF('Invullen groen'!M48&lt;&gt;0,'Invullen groen'!M48,""),"")</f>
        <v/>
      </c>
      <c r="H35" s="288">
        <f>IFERROR(IF('Invullen groen'!N48&lt;&gt;0,'Invullen groen'!N48,""),"")</f>
        <v/>
      </c>
      <c r="I35" s="288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288">
        <f>IFERROR(IF('Invullen groen'!L49&lt;&gt;0,'Invullen groen'!L49,""),"")</f>
        <v/>
      </c>
      <c r="G36" s="288">
        <f>IFERROR(IF('Invullen groen'!M49&lt;&gt;0,'Invullen groen'!M49,""),"")</f>
        <v/>
      </c>
      <c r="H36" s="288">
        <f>IFERROR(IF('Invullen groen'!N49&lt;&gt;0,'Invullen groen'!N49,""),"")</f>
        <v/>
      </c>
      <c r="I36" s="288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288">
        <f>IFERROR(IF('Invullen groen'!L50&lt;&gt;0,'Invullen groen'!L50,""),"")</f>
        <v/>
      </c>
      <c r="G37" s="288">
        <f>IFERROR(IF('Invullen groen'!M50&lt;&gt;0,'Invullen groen'!M50,""),"")</f>
        <v/>
      </c>
      <c r="H37" s="288">
        <f>IFERROR(IF('Invullen groen'!N50&lt;&gt;0,'Invullen groen'!N50,""),"")</f>
        <v/>
      </c>
      <c r="I37" s="288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288">
        <f>IFERROR(IF('Invullen groen'!L51&lt;&gt;0,'Invullen groen'!L51,""),"")</f>
        <v/>
      </c>
      <c r="G38" s="288">
        <f>IFERROR(IF('Invullen groen'!M51&lt;&gt;0,'Invullen groen'!M51,""),"")</f>
        <v/>
      </c>
      <c r="H38" s="288">
        <f>IFERROR(IF('Invullen groen'!N51&lt;&gt;0,'Invullen groen'!N51,""),"")</f>
        <v/>
      </c>
      <c r="I38" s="288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288">
        <f>IFERROR(IF('Invullen groen'!L52&lt;&gt;0,'Invullen groen'!L52,""),"")</f>
        <v/>
      </c>
      <c r="G39" s="288">
        <f>IFERROR(IF('Invullen groen'!M52&lt;&gt;0,'Invullen groen'!M52,""),"")</f>
        <v/>
      </c>
      <c r="H39" s="288">
        <f>IFERROR(IF('Invullen groen'!N52&lt;&gt;0,'Invullen groen'!N52,""),"")</f>
        <v/>
      </c>
      <c r="I39" s="288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288">
        <f>IFERROR(IF('Invullen groen'!L53&lt;&gt;0,'Invullen groen'!L53,""),"")</f>
        <v/>
      </c>
      <c r="G40" s="288">
        <f>IFERROR(IF('Invullen groen'!M53&lt;&gt;0,'Invullen groen'!M53,""),"")</f>
        <v/>
      </c>
      <c r="H40" s="288">
        <f>IFERROR(IF('Invullen groen'!N53&lt;&gt;0,'Invullen groen'!N53,""),"")</f>
        <v/>
      </c>
      <c r="I40" s="288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288">
        <f>IFERROR(IF('Invullen groen'!L54&lt;&gt;0,'Invullen groen'!L54,""),"")</f>
        <v/>
      </c>
      <c r="G41" s="288">
        <f>IFERROR(IF('Invullen groen'!M54&lt;&gt;0,'Invullen groen'!M54,""),"")</f>
        <v/>
      </c>
      <c r="H41" s="288">
        <f>IFERROR(IF('Invullen groen'!N54&lt;&gt;0,'Invullen groen'!N54,""),"")</f>
        <v/>
      </c>
      <c r="I41" s="288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288">
        <f>IFERROR(IF('Invullen groen'!L55&lt;&gt;0,'Invullen groen'!L55,""),"")</f>
        <v/>
      </c>
      <c r="G42" s="288">
        <f>IFERROR(IF('Invullen groen'!M55&lt;&gt;0,'Invullen groen'!M55,""),"")</f>
        <v/>
      </c>
      <c r="H42" s="288">
        <f>IFERROR(IF('Invullen groen'!N55&lt;&gt;0,'Invullen groen'!N55,""),"")</f>
        <v/>
      </c>
      <c r="I42" s="288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288">
        <f>IFERROR(IF('Invullen groen'!L56&lt;&gt;0,'Invullen groen'!L56,""),"")</f>
        <v/>
      </c>
      <c r="G43" s="288">
        <f>IFERROR(IF('Invullen groen'!M56&lt;&gt;0,'Invullen groen'!M56,""),"")</f>
        <v/>
      </c>
      <c r="H43" s="288">
        <f>IFERROR(IF('Invullen groen'!N56&lt;&gt;0,'Invullen groen'!N56,""),"")</f>
        <v/>
      </c>
      <c r="I43" s="288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288">
        <f>IFERROR(IF('Invullen groen'!L57&lt;&gt;0,'Invullen groen'!L57,""),"")</f>
        <v/>
      </c>
      <c r="G44" s="288">
        <f>IFERROR(IF('Invullen groen'!M57&lt;&gt;0,'Invullen groen'!M57,""),"")</f>
        <v/>
      </c>
      <c r="H44" s="288">
        <f>IFERROR(IF('Invullen groen'!N57&lt;&gt;0,'Invullen groen'!N57,""),"")</f>
        <v/>
      </c>
      <c r="I44" s="288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288">
        <f>IFERROR(IF('Invullen groen'!L58&lt;&gt;0,'Invullen groen'!L58,""),"")</f>
        <v/>
      </c>
      <c r="G45" s="288">
        <f>IFERROR(IF('Invullen groen'!M58&lt;&gt;0,'Invullen groen'!M58,""),"")</f>
        <v/>
      </c>
      <c r="H45" s="288">
        <f>IFERROR(IF('Invullen groen'!N58&lt;&gt;0,'Invullen groen'!N58,""),"")</f>
        <v/>
      </c>
      <c r="I45" s="288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288">
        <f>IFERROR(IF('Invullen groen'!L59&lt;&gt;0,'Invullen groen'!L59,""),"")</f>
        <v/>
      </c>
      <c r="G46" s="288">
        <f>IFERROR(IF('Invullen groen'!M59&lt;&gt;0,'Invullen groen'!M59,""),"")</f>
        <v/>
      </c>
      <c r="H46" s="288">
        <f>IFERROR(IF('Invullen groen'!N59&lt;&gt;0,'Invullen groen'!N59,""),"")</f>
        <v/>
      </c>
      <c r="I46" s="288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288">
        <f>IFERROR(IF('Invullen groen'!L60&lt;&gt;0,'Invullen groen'!L60,""),"")</f>
        <v/>
      </c>
      <c r="G47" s="288">
        <f>IFERROR(IF('Invullen groen'!M60&lt;&gt;0,'Invullen groen'!M60,""),"")</f>
        <v/>
      </c>
      <c r="H47" s="288">
        <f>IFERROR(IF('Invullen groen'!N60&lt;&gt;0,'Invullen groen'!N60,""),"")</f>
        <v/>
      </c>
      <c r="I47" s="288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288">
        <f>IFERROR(IF('Invullen groen'!L61&lt;&gt;0,'Invullen groen'!L61,""),"")</f>
        <v/>
      </c>
      <c r="G48" s="288">
        <f>IFERROR(IF('Invullen groen'!M61&lt;&gt;0,'Invullen groen'!M61,""),"")</f>
        <v/>
      </c>
      <c r="H48" s="288">
        <f>IFERROR(IF('Invullen groen'!N61&lt;&gt;0,'Invullen groen'!N61,""),"")</f>
        <v/>
      </c>
      <c r="I48" s="288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288">
        <f>IFERROR(IF('Invullen groen'!L62&lt;&gt;0,'Invullen groen'!L62,""),"")</f>
        <v/>
      </c>
      <c r="G49" s="288">
        <f>IFERROR(IF('Invullen groen'!M62&lt;&gt;0,'Invullen groen'!M62,""),"")</f>
        <v/>
      </c>
      <c r="H49" s="288">
        <f>IFERROR(IF('Invullen groen'!N62&lt;&gt;0,'Invullen groen'!N62,""),"")</f>
        <v/>
      </c>
      <c r="I49" s="288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288">
        <f>IFERROR(IF('Invullen groen'!L63&lt;&gt;0,'Invullen groen'!L63,""),"")</f>
        <v/>
      </c>
      <c r="G50" s="288">
        <f>IFERROR(IF('Invullen groen'!M63&lt;&gt;0,'Invullen groen'!M63,""),"")</f>
        <v/>
      </c>
      <c r="H50" s="288">
        <f>IFERROR(IF('Invullen groen'!N63&lt;&gt;0,'Invullen groen'!N63,""),"")</f>
        <v/>
      </c>
      <c r="I50" s="288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288">
        <f>IFERROR(IF('Invullen groen'!L64&lt;&gt;0,'Invullen groen'!L64,""),"")</f>
        <v/>
      </c>
      <c r="G51" s="288">
        <f>IFERROR(IF('Invullen groen'!M64&lt;&gt;0,'Invullen groen'!M64,""),"")</f>
        <v/>
      </c>
      <c r="H51" s="288">
        <f>IFERROR(IF('Invullen groen'!N64&lt;&gt;0,'Invullen groen'!N64,""),"")</f>
        <v/>
      </c>
      <c r="I51" s="288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288">
        <f>IFERROR(IF('Invullen groen'!L65&lt;&gt;0,'Invullen groen'!L65,""),"")</f>
        <v/>
      </c>
      <c r="G52" s="288">
        <f>IFERROR(IF('Invullen groen'!M65&lt;&gt;0,'Invullen groen'!M65,""),"")</f>
        <v/>
      </c>
      <c r="H52" s="288">
        <f>IFERROR(IF('Invullen groen'!N65&lt;&gt;0,'Invullen groen'!N65,""),"")</f>
        <v/>
      </c>
      <c r="I52" s="288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288">
        <f>IFERROR(IF('Invullen groen'!L66&lt;&gt;0,'Invullen groen'!L66,""),"")</f>
        <v/>
      </c>
      <c r="G53" s="288">
        <f>IFERROR(IF('Invullen groen'!M66&lt;&gt;0,'Invullen groen'!M66,""),"")</f>
        <v/>
      </c>
      <c r="H53" s="288">
        <f>IFERROR(IF('Invullen groen'!N66&lt;&gt;0,'Invullen groen'!N66,""),"")</f>
        <v/>
      </c>
      <c r="I53" s="288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288">
        <f>IFERROR(IF('Invullen groen'!L67&lt;&gt;0,'Invullen groen'!L67,""),"")</f>
        <v/>
      </c>
      <c r="G54" s="288">
        <f>IFERROR(IF('Invullen groen'!M67&lt;&gt;0,'Invullen groen'!M67,""),"")</f>
        <v/>
      </c>
      <c r="H54" s="288">
        <f>IFERROR(IF('Invullen groen'!N67&lt;&gt;0,'Invullen groen'!N67,""),"")</f>
        <v/>
      </c>
      <c r="I54" s="288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288">
        <f>IFERROR(IF('Invullen groen'!L68&lt;&gt;0,'Invullen groen'!L68,""),"")</f>
        <v/>
      </c>
      <c r="G55" s="288">
        <f>IFERROR(IF('Invullen groen'!M68&lt;&gt;0,'Invullen groen'!M68,""),"")</f>
        <v/>
      </c>
      <c r="H55" s="288">
        <f>IFERROR(IF('Invullen groen'!N68&lt;&gt;0,'Invullen groen'!N68,""),"")</f>
        <v/>
      </c>
      <c r="I55" s="288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288">
        <f>IFERROR(IF('Invullen groen'!L69&lt;&gt;0,'Invullen groen'!L69,""),"")</f>
        <v/>
      </c>
      <c r="G56" s="288">
        <f>IFERROR(IF('Invullen groen'!M69&lt;&gt;0,'Invullen groen'!M69,""),"")</f>
        <v/>
      </c>
      <c r="H56" s="288">
        <f>IFERROR(IF('Invullen groen'!N69&lt;&gt;0,'Invullen groen'!N69,""),"")</f>
        <v/>
      </c>
      <c r="I56" s="288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288">
        <f>IFERROR(IF('Invullen groen'!L70&lt;&gt;0,'Invullen groen'!L70,""),"")</f>
        <v/>
      </c>
      <c r="G57" s="288">
        <f>IFERROR(IF('Invullen groen'!M70&lt;&gt;0,'Invullen groen'!M70,""),"")</f>
        <v/>
      </c>
      <c r="H57" s="288">
        <f>IFERROR(IF('Invullen groen'!N70&lt;&gt;0,'Invullen groen'!N70,""),"")</f>
        <v/>
      </c>
      <c r="I57" s="288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288">
        <f>IFERROR(IF('Invullen groen'!L71&lt;&gt;0,'Invullen groen'!L71,""),"")</f>
        <v/>
      </c>
      <c r="G58" s="288">
        <f>IFERROR(IF('Invullen groen'!M71&lt;&gt;0,'Invullen groen'!M71,""),"")</f>
        <v/>
      </c>
      <c r="H58" s="288">
        <f>IFERROR(IF('Invullen groen'!N71&lt;&gt;0,'Invullen groen'!N71,""),"")</f>
        <v/>
      </c>
      <c r="I58" s="288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288">
        <f>IFERROR(IF('Invullen groen'!L72&lt;&gt;0,'Invullen groen'!L72,""),"")</f>
        <v/>
      </c>
      <c r="G59" s="288">
        <f>IFERROR(IF('Invullen groen'!M72&lt;&gt;0,'Invullen groen'!M72,""),"")</f>
        <v/>
      </c>
      <c r="H59" s="288">
        <f>IFERROR(IF('Invullen groen'!N72&lt;&gt;0,'Invullen groen'!N72,""),"")</f>
        <v/>
      </c>
      <c r="I59" s="288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288">
        <f>IFERROR(IF('Invullen groen'!L73&lt;&gt;0,'Invullen groen'!L73,""),"")</f>
        <v/>
      </c>
      <c r="G60" s="288">
        <f>IFERROR(IF('Invullen groen'!M73&lt;&gt;0,'Invullen groen'!M73,""),"")</f>
        <v/>
      </c>
      <c r="H60" s="288">
        <f>IFERROR(IF('Invullen groen'!N73&lt;&gt;0,'Invullen groen'!N73,""),"")</f>
        <v/>
      </c>
      <c r="I60" s="288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288">
        <f>IFERROR(IF('Invullen groen'!L74&lt;&gt;0,'Invullen groen'!L74,""),"")</f>
        <v/>
      </c>
      <c r="G61" s="288">
        <f>IFERROR(IF('Invullen groen'!M74&lt;&gt;0,'Invullen groen'!M74,""),"")</f>
        <v/>
      </c>
      <c r="H61" s="288">
        <f>IFERROR(IF('Invullen groen'!N74&lt;&gt;0,'Invullen groen'!N74,""),"")</f>
        <v/>
      </c>
      <c r="I61" s="288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288">
        <f>IFERROR(IF('Invullen groen'!L75&lt;&gt;0,'Invullen groen'!L75,""),"")</f>
        <v/>
      </c>
      <c r="G62" s="288">
        <f>IFERROR(IF('Invullen groen'!M75&lt;&gt;0,'Invullen groen'!M75,""),"")</f>
        <v/>
      </c>
      <c r="H62" s="288">
        <f>IFERROR(IF('Invullen groen'!N75&lt;&gt;0,'Invullen groen'!N75,""),"")</f>
        <v/>
      </c>
      <c r="I62" s="288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288">
        <f>IFERROR(IF('Invullen groen'!L76&lt;&gt;0,'Invullen groen'!L76,""),"")</f>
        <v/>
      </c>
      <c r="G63" s="288">
        <f>IFERROR(IF('Invullen groen'!M76&lt;&gt;0,'Invullen groen'!M76,""),"")</f>
        <v/>
      </c>
      <c r="H63" s="288">
        <f>IFERROR(IF('Invullen groen'!N76&lt;&gt;0,'Invullen groen'!N76,""),"")</f>
        <v/>
      </c>
      <c r="I63" s="288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288">
        <f>IFERROR(IF('Invullen groen'!L77&lt;&gt;0,'Invullen groen'!L77,""),"")</f>
        <v/>
      </c>
      <c r="G64" s="288">
        <f>IFERROR(IF('Invullen groen'!M77&lt;&gt;0,'Invullen groen'!M77,""),"")</f>
        <v/>
      </c>
      <c r="H64" s="288">
        <f>IFERROR(IF('Invullen groen'!N77&lt;&gt;0,'Invullen groen'!N77,""),"")</f>
        <v/>
      </c>
      <c r="I64" s="288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288">
        <f>IFERROR(IF('Invullen groen'!L78&lt;&gt;0,'Invullen groen'!L78,""),"")</f>
        <v/>
      </c>
      <c r="G65" s="288">
        <f>IFERROR(IF('Invullen groen'!M78&lt;&gt;0,'Invullen groen'!M78,""),"")</f>
        <v/>
      </c>
      <c r="H65" s="288">
        <f>IFERROR(IF('Invullen groen'!N78&lt;&gt;0,'Invullen groen'!N78,""),"")</f>
        <v/>
      </c>
      <c r="I65" s="288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288">
        <f>IFERROR(IF('Invullen groen'!L79&lt;&gt;0,'Invullen groen'!L79,""),"")</f>
        <v/>
      </c>
      <c r="G66" s="288">
        <f>IFERROR(IF('Invullen groen'!M79&lt;&gt;0,'Invullen groen'!M79,""),"")</f>
        <v/>
      </c>
      <c r="H66" s="288">
        <f>IFERROR(IF('Invullen groen'!N79&lt;&gt;0,'Invullen groen'!N79,""),"")</f>
        <v/>
      </c>
      <c r="I66" s="288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288">
        <f>IFERROR(IF('Invullen groen'!L80&lt;&gt;0,'Invullen groen'!L80,""),"")</f>
        <v/>
      </c>
      <c r="G67" s="288">
        <f>IFERROR(IF('Invullen groen'!M80&lt;&gt;0,'Invullen groen'!M80,""),"")</f>
        <v/>
      </c>
      <c r="H67" s="288">
        <f>IFERROR(IF('Invullen groen'!N80&lt;&gt;0,'Invullen groen'!N80,""),"")</f>
        <v/>
      </c>
      <c r="I67" s="288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288">
        <f>IFERROR(IF('Invullen groen'!L81&lt;&gt;0,'Invullen groen'!L81,""),"")</f>
        <v/>
      </c>
      <c r="G68" s="288">
        <f>IFERROR(IF('Invullen groen'!M81&lt;&gt;0,'Invullen groen'!M81,""),"")</f>
        <v/>
      </c>
      <c r="H68" s="288">
        <f>IFERROR(IF('Invullen groen'!N81&lt;&gt;0,'Invullen groen'!N81,""),"")</f>
        <v/>
      </c>
      <c r="I68" s="288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288">
        <f>IFERROR(IF('Invullen groen'!L82&lt;&gt;0,'Invullen groen'!L82,""),"")</f>
        <v/>
      </c>
      <c r="G69" s="288">
        <f>IFERROR(IF('Invullen groen'!M82&lt;&gt;0,'Invullen groen'!M82,""),"")</f>
        <v/>
      </c>
      <c r="H69" s="288">
        <f>IFERROR(IF('Invullen groen'!N82&lt;&gt;0,'Invullen groen'!N82,""),"")</f>
        <v/>
      </c>
      <c r="I69" s="288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288">
        <f>IFERROR(IF('Invullen groen'!L83&lt;&gt;0,'Invullen groen'!L83,""),"")</f>
        <v/>
      </c>
      <c r="G70" s="288">
        <f>IFERROR(IF('Invullen groen'!M83&lt;&gt;0,'Invullen groen'!M83,""),"")</f>
        <v/>
      </c>
      <c r="H70" s="288">
        <f>IFERROR(IF('Invullen groen'!N83&lt;&gt;0,'Invullen groen'!N83,""),"")</f>
        <v/>
      </c>
      <c r="I70" s="288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288">
        <f>IFERROR(IF('Invullen groen'!L84&lt;&gt;0,'Invullen groen'!L84,""),"")</f>
        <v/>
      </c>
      <c r="G71" s="288">
        <f>IFERROR(IF('Invullen groen'!M84&lt;&gt;0,'Invullen groen'!M84,""),"")</f>
        <v/>
      </c>
      <c r="H71" s="288">
        <f>IFERROR(IF('Invullen groen'!N84&lt;&gt;0,'Invullen groen'!N84,""),"")</f>
        <v/>
      </c>
      <c r="I71" s="288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288">
        <f>IFERROR(IF('Invullen groen'!L85&lt;&gt;0,'Invullen groen'!L85,""),"")</f>
        <v/>
      </c>
      <c r="G72" s="288">
        <f>IFERROR(IF('Invullen groen'!M85&lt;&gt;0,'Invullen groen'!M85,""),"")</f>
        <v/>
      </c>
      <c r="H72" s="288">
        <f>IFERROR(IF('Invullen groen'!N85&lt;&gt;0,'Invullen groen'!N85,""),"")</f>
        <v/>
      </c>
      <c r="I72" s="288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288">
        <f>IFERROR(IF('Invullen groen'!L86&lt;&gt;0,'Invullen groen'!L86,""),"")</f>
        <v/>
      </c>
      <c r="G73" s="288">
        <f>IFERROR(IF('Invullen groen'!M86&lt;&gt;0,'Invullen groen'!M86,""),"")</f>
        <v/>
      </c>
      <c r="H73" s="288">
        <f>IFERROR(IF('Invullen groen'!N86&lt;&gt;0,'Invullen groen'!N86,""),"")</f>
        <v/>
      </c>
      <c r="I73" s="288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288">
        <f>IFERROR(IF('Invullen groen'!L87&lt;&gt;0,'Invullen groen'!L87,""),"")</f>
        <v/>
      </c>
      <c r="G74" s="288">
        <f>IFERROR(IF('Invullen groen'!M87&lt;&gt;0,'Invullen groen'!M87,""),"")</f>
        <v/>
      </c>
      <c r="H74" s="288">
        <f>IFERROR(IF('Invullen groen'!N87&lt;&gt;0,'Invullen groen'!N87,""),"")</f>
        <v/>
      </c>
      <c r="I74" s="288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288">
        <f>IFERROR(IF('Invullen groen'!L88&lt;&gt;0,'Invullen groen'!L88,""),"")</f>
        <v/>
      </c>
      <c r="G75" s="288">
        <f>IFERROR(IF('Invullen groen'!M88&lt;&gt;0,'Invullen groen'!M88,""),"")</f>
        <v/>
      </c>
      <c r="H75" s="288">
        <f>IFERROR(IF('Invullen groen'!N88&lt;&gt;0,'Invullen groen'!N88,""),"")</f>
        <v/>
      </c>
      <c r="I75" s="288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288">
        <f>IFERROR(IF('Invullen groen'!L89&lt;&gt;0,'Invullen groen'!L89,""),"")</f>
        <v/>
      </c>
      <c r="G76" s="288">
        <f>IFERROR(IF('Invullen groen'!M89&lt;&gt;0,'Invullen groen'!M89,""),"")</f>
        <v/>
      </c>
      <c r="H76" s="288">
        <f>IFERROR(IF('Invullen groen'!N89&lt;&gt;0,'Invullen groen'!N89,""),"")</f>
        <v/>
      </c>
      <c r="I76" s="288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288">
        <f>IFERROR(IF('Invullen groen'!L90&lt;&gt;0,'Invullen groen'!L90,""),"")</f>
        <v/>
      </c>
      <c r="G77" s="288">
        <f>IFERROR(IF('Invullen groen'!M90&lt;&gt;0,'Invullen groen'!M90,""),"")</f>
        <v/>
      </c>
      <c r="H77" s="288">
        <f>IFERROR(IF('Invullen groen'!N90&lt;&gt;0,'Invullen groen'!N90,""),"")</f>
        <v/>
      </c>
      <c r="I77" s="288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288">
        <f>IFERROR(IF('Invullen groen'!L91&lt;&gt;0,'Invullen groen'!L91,""),"")</f>
        <v/>
      </c>
      <c r="G78" s="288">
        <f>IFERROR(IF('Invullen groen'!M91&lt;&gt;0,'Invullen groen'!M91,""),"")</f>
        <v/>
      </c>
      <c r="H78" s="288">
        <f>IFERROR(IF('Invullen groen'!N91&lt;&gt;0,'Invullen groen'!N91,""),"")</f>
        <v/>
      </c>
      <c r="I78" s="288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288">
        <f>IFERROR(IF('Invullen groen'!L92&lt;&gt;0,'Invullen groen'!L92,""),"")</f>
        <v/>
      </c>
      <c r="G79" s="288">
        <f>IFERROR(IF('Invullen groen'!M92&lt;&gt;0,'Invullen groen'!M92,""),"")</f>
        <v/>
      </c>
      <c r="H79" s="288">
        <f>IFERROR(IF('Invullen groen'!N92&lt;&gt;0,'Invullen groen'!N92,""),"")</f>
        <v/>
      </c>
      <c r="I79" s="288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288">
        <f>IFERROR(IF('Invullen groen'!L93&lt;&gt;0,'Invullen groen'!L93,""),"")</f>
        <v/>
      </c>
      <c r="G80" s="288">
        <f>IFERROR(IF('Invullen groen'!M93&lt;&gt;0,'Invullen groen'!M93,""),"")</f>
        <v/>
      </c>
      <c r="H80" s="288">
        <f>IFERROR(IF('Invullen groen'!N93&lt;&gt;0,'Invullen groen'!N93,""),"")</f>
        <v/>
      </c>
      <c r="I80" s="288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288">
        <f>IFERROR(IF('Invullen groen'!L94&lt;&gt;0,'Invullen groen'!L94,""),"")</f>
        <v/>
      </c>
      <c r="G81" s="288">
        <f>IFERROR(IF('Invullen groen'!M94&lt;&gt;0,'Invullen groen'!M94,""),"")</f>
        <v/>
      </c>
      <c r="H81" s="288">
        <f>IFERROR(IF('Invullen groen'!N94&lt;&gt;0,'Invullen groen'!N94,""),"")</f>
        <v/>
      </c>
      <c r="I81" s="288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288">
        <f>IFERROR(IF('Invullen groen'!L95&lt;&gt;0,'Invullen groen'!L95,""),"")</f>
        <v/>
      </c>
      <c r="G82" s="288">
        <f>IFERROR(IF('Invullen groen'!M95&lt;&gt;0,'Invullen groen'!M95,""),"")</f>
        <v/>
      </c>
      <c r="H82" s="288">
        <f>IFERROR(IF('Invullen groen'!N95&lt;&gt;0,'Invullen groen'!N95,""),"")</f>
        <v/>
      </c>
      <c r="I82" s="288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288">
        <f>IFERROR(IF('Invullen groen'!L96&lt;&gt;0,'Invullen groen'!L96,""),"")</f>
        <v/>
      </c>
      <c r="G83" s="288">
        <f>IFERROR(IF('Invullen groen'!M96&lt;&gt;0,'Invullen groen'!M96,""),"")</f>
        <v/>
      </c>
      <c r="H83" s="288">
        <f>IFERROR(IF('Invullen groen'!N96&lt;&gt;0,'Invullen groen'!N96,""),"")</f>
        <v/>
      </c>
      <c r="I83" s="288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288">
        <f>IFERROR(IF('Invullen groen'!L97&lt;&gt;0,'Invullen groen'!L97,""),"")</f>
        <v/>
      </c>
      <c r="G84" s="288">
        <f>IFERROR(IF('Invullen groen'!M97&lt;&gt;0,'Invullen groen'!M97,""),"")</f>
        <v/>
      </c>
      <c r="H84" s="288">
        <f>IFERROR(IF('Invullen groen'!N97&lt;&gt;0,'Invullen groen'!N97,""),"")</f>
        <v/>
      </c>
      <c r="I84" s="288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288">
        <f>IFERROR(IF('Invullen groen'!L98&lt;&gt;0,'Invullen groen'!L98,""),"")</f>
        <v/>
      </c>
      <c r="G85" s="288">
        <f>IFERROR(IF('Invullen groen'!M98&lt;&gt;0,'Invullen groen'!M98,""),"")</f>
        <v/>
      </c>
      <c r="H85" s="288">
        <f>IFERROR(IF('Invullen groen'!N98&lt;&gt;0,'Invullen groen'!N98,""),"")</f>
        <v/>
      </c>
      <c r="I85" s="288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288">
        <f>IFERROR(IF('Invullen groen'!L99&lt;&gt;0,'Invullen groen'!L99,""),"")</f>
        <v/>
      </c>
      <c r="G86" s="288">
        <f>IFERROR(IF('Invullen groen'!M99&lt;&gt;0,'Invullen groen'!M99,""),"")</f>
        <v/>
      </c>
      <c r="H86" s="288">
        <f>IFERROR(IF('Invullen groen'!N99&lt;&gt;0,'Invullen groen'!N99,""),"")</f>
        <v/>
      </c>
      <c r="I86" s="288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288">
        <f>IFERROR(IF('Invullen groen'!L100&lt;&gt;0,'Invullen groen'!L100,""),"")</f>
        <v/>
      </c>
      <c r="G87" s="288">
        <f>IFERROR(IF('Invullen groen'!M100&lt;&gt;0,'Invullen groen'!M100,""),"")</f>
        <v/>
      </c>
      <c r="H87" s="288">
        <f>IFERROR(IF('Invullen groen'!N100&lt;&gt;0,'Invullen groen'!N100,""),"")</f>
        <v/>
      </c>
      <c r="I87" s="288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288">
        <f>IFERROR(IF('Invullen groen'!L101&lt;&gt;0,'Invullen groen'!L101,""),"")</f>
        <v/>
      </c>
      <c r="G88" s="288">
        <f>IFERROR(IF('Invullen groen'!M101&lt;&gt;0,'Invullen groen'!M101,""),"")</f>
        <v/>
      </c>
      <c r="H88" s="288">
        <f>IFERROR(IF('Invullen groen'!N101&lt;&gt;0,'Invullen groen'!N101,""),"")</f>
        <v/>
      </c>
      <c r="I88" s="288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288">
        <f>IFERROR(IF('Invullen groen'!L102&lt;&gt;0,'Invullen groen'!L102,""),"")</f>
        <v/>
      </c>
      <c r="G89" s="288">
        <f>IFERROR(IF('Invullen groen'!M102&lt;&gt;0,'Invullen groen'!M102,""),"")</f>
        <v/>
      </c>
      <c r="H89" s="288">
        <f>IFERROR(IF('Invullen groen'!N102&lt;&gt;0,'Invullen groen'!N102,""),"")</f>
        <v/>
      </c>
      <c r="I89" s="288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288">
        <f>IFERROR(IF('Invullen groen'!L103&lt;&gt;0,'Invullen groen'!L103,""),"")</f>
        <v/>
      </c>
      <c r="G90" s="288">
        <f>IFERROR(IF('Invullen groen'!M103&lt;&gt;0,'Invullen groen'!M103,""),"")</f>
        <v/>
      </c>
      <c r="H90" s="288">
        <f>IFERROR(IF('Invullen groen'!N103&lt;&gt;0,'Invullen groen'!N103,""),"")</f>
        <v/>
      </c>
      <c r="I90" s="288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288">
        <f>IFERROR(IF('Invullen groen'!L104&lt;&gt;0,'Invullen groen'!L104,""),"")</f>
        <v/>
      </c>
      <c r="G91" s="288">
        <f>IFERROR(IF('Invullen groen'!M104&lt;&gt;0,'Invullen groen'!M104,""),"")</f>
        <v/>
      </c>
      <c r="H91" s="288">
        <f>IFERROR(IF('Invullen groen'!N104&lt;&gt;0,'Invullen groen'!N104,""),"")</f>
        <v/>
      </c>
      <c r="I91" s="288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288">
        <f>IFERROR(IF('Invullen groen'!L105&lt;&gt;0,'Invullen groen'!L105,""),"")</f>
        <v/>
      </c>
      <c r="G92" s="288">
        <f>IFERROR(IF('Invullen groen'!M105&lt;&gt;0,'Invullen groen'!M105,""),"")</f>
        <v/>
      </c>
      <c r="H92" s="288">
        <f>IFERROR(IF('Invullen groen'!N105&lt;&gt;0,'Invullen groen'!N105,""),"")</f>
        <v/>
      </c>
      <c r="I92" s="288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288">
        <f>IFERROR(IF('Invullen groen'!L106&lt;&gt;0,'Invullen groen'!L106,""),"")</f>
        <v/>
      </c>
      <c r="G93" s="288">
        <f>IFERROR(IF('Invullen groen'!M106&lt;&gt;0,'Invullen groen'!M106,""),"")</f>
        <v/>
      </c>
      <c r="H93" s="288">
        <f>IFERROR(IF('Invullen groen'!N106&lt;&gt;0,'Invullen groen'!N106,""),"")</f>
        <v/>
      </c>
      <c r="I93" s="288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288">
        <f>IFERROR(IF('Invullen groen'!L107&lt;&gt;0,'Invullen groen'!L107,""),"")</f>
        <v/>
      </c>
      <c r="G94" s="288">
        <f>IFERROR(IF('Invullen groen'!M107&lt;&gt;0,'Invullen groen'!M107,""),"")</f>
        <v/>
      </c>
      <c r="H94" s="288">
        <f>IFERROR(IF('Invullen groen'!N107&lt;&gt;0,'Invullen groen'!N107,""),"")</f>
        <v/>
      </c>
      <c r="I94" s="288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288">
        <f>IFERROR(IF('Invullen groen'!L108&lt;&gt;0,'Invullen groen'!L108,""),"")</f>
        <v/>
      </c>
      <c r="G95" s="288">
        <f>IFERROR(IF('Invullen groen'!M108&lt;&gt;0,'Invullen groen'!M108,""),"")</f>
        <v/>
      </c>
      <c r="H95" s="288">
        <f>IFERROR(IF('Invullen groen'!N108&lt;&gt;0,'Invullen groen'!N108,""),"")</f>
        <v/>
      </c>
      <c r="I95" s="288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288">
        <f>IFERROR(IF('Invullen groen'!L109&lt;&gt;0,'Invullen groen'!L109,""),"")</f>
        <v/>
      </c>
      <c r="G96" s="288">
        <f>IFERROR(IF('Invullen groen'!M109&lt;&gt;0,'Invullen groen'!M109,""),"")</f>
        <v/>
      </c>
      <c r="H96" s="288">
        <f>IFERROR(IF('Invullen groen'!N109&lt;&gt;0,'Invullen groen'!N109,""),"")</f>
        <v/>
      </c>
      <c r="I96" s="288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288">
        <f>IFERROR(IF('Invullen groen'!L110&lt;&gt;0,'Invullen groen'!L110,""),"")</f>
        <v/>
      </c>
      <c r="G97" s="288">
        <f>IFERROR(IF('Invullen groen'!M110&lt;&gt;0,'Invullen groen'!M110,""),"")</f>
        <v/>
      </c>
      <c r="H97" s="288">
        <f>IFERROR(IF('Invullen groen'!N110&lt;&gt;0,'Invullen groen'!N110,""),"")</f>
        <v/>
      </c>
      <c r="I97" s="288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288">
        <f>IFERROR(IF('Invullen groen'!L111&lt;&gt;0,'Invullen groen'!L111,""),"")</f>
        <v/>
      </c>
      <c r="G98" s="288">
        <f>IFERROR(IF('Invullen groen'!M111&lt;&gt;0,'Invullen groen'!M111,""),"")</f>
        <v/>
      </c>
      <c r="H98" s="288">
        <f>IFERROR(IF('Invullen groen'!N111&lt;&gt;0,'Invullen groen'!N111,""),"")</f>
        <v/>
      </c>
      <c r="I98" s="288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288">
        <f>IFERROR(IF('Invullen groen'!L112&lt;&gt;0,'Invullen groen'!L112,""),"")</f>
        <v/>
      </c>
      <c r="G99" s="288">
        <f>IFERROR(IF('Invullen groen'!M112&lt;&gt;0,'Invullen groen'!M112,""),"")</f>
        <v/>
      </c>
      <c r="H99" s="288">
        <f>IFERROR(IF('Invullen groen'!N112&lt;&gt;0,'Invullen groen'!N112,""),"")</f>
        <v/>
      </c>
      <c r="I99" s="288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288">
        <f>IFERROR(IF('Invullen groen'!L113&lt;&gt;0,'Invullen groen'!L113,""),"")</f>
        <v/>
      </c>
      <c r="G100" s="288">
        <f>IFERROR(IF('Invullen groen'!M113&lt;&gt;0,'Invullen groen'!M113,""),"")</f>
        <v/>
      </c>
      <c r="H100" s="288">
        <f>IFERROR(IF('Invullen groen'!N113&lt;&gt;0,'Invullen groen'!N113,""),"")</f>
        <v/>
      </c>
      <c r="I100" s="288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288">
        <f>IFERROR(IF('Invullen groen'!L114&lt;&gt;0,'Invullen groen'!L114,""),"")</f>
        <v/>
      </c>
      <c r="G101" s="288">
        <f>IFERROR(IF('Invullen groen'!M114&lt;&gt;0,'Invullen groen'!M114,""),"")</f>
        <v/>
      </c>
      <c r="H101" s="288">
        <f>IFERROR(IF('Invullen groen'!N114&lt;&gt;0,'Invullen groen'!N114,""),"")</f>
        <v/>
      </c>
      <c r="I101" s="288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288">
        <f>IFERROR(IF('Invullen groen'!L115&lt;&gt;0,'Invullen groen'!L115,""),"")</f>
        <v/>
      </c>
      <c r="G102" s="288">
        <f>IFERROR(IF('Invullen groen'!M115&lt;&gt;0,'Invullen groen'!M115,""),"")</f>
        <v/>
      </c>
      <c r="H102" s="288">
        <f>IFERROR(IF('Invullen groen'!N115&lt;&gt;0,'Invullen groen'!N115,""),"")</f>
        <v/>
      </c>
      <c r="I102" s="288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288">
        <f>IFERROR(IF('Invullen groen'!L116&lt;&gt;0,'Invullen groen'!L116,""),"")</f>
        <v/>
      </c>
      <c r="G103" s="288">
        <f>IFERROR(IF('Invullen groen'!M116&lt;&gt;0,'Invullen groen'!M116,""),"")</f>
        <v/>
      </c>
      <c r="H103" s="288">
        <f>IFERROR(IF('Invullen groen'!N116&lt;&gt;0,'Invullen groen'!N116,""),"")</f>
        <v/>
      </c>
      <c r="I103" s="288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288">
        <f>IFERROR(IF('Invullen groen'!L117&lt;&gt;0,'Invullen groen'!L117,""),"")</f>
        <v/>
      </c>
      <c r="G104" s="288">
        <f>IFERROR(IF('Invullen groen'!M117&lt;&gt;0,'Invullen groen'!M117,""),"")</f>
        <v/>
      </c>
      <c r="H104" s="288">
        <f>IFERROR(IF('Invullen groen'!N117&lt;&gt;0,'Invullen groen'!N117,""),"")</f>
        <v/>
      </c>
      <c r="I104" s="288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288">
        <f>IFERROR(IF('Invullen groen'!L118&lt;&gt;0,'Invullen groen'!L118,""),"")</f>
        <v/>
      </c>
      <c r="G105" s="288">
        <f>IFERROR(IF('Invullen groen'!M118&lt;&gt;0,'Invullen groen'!M118,""),"")</f>
        <v/>
      </c>
      <c r="H105" s="288">
        <f>IFERROR(IF('Invullen groen'!N118&lt;&gt;0,'Invullen groen'!N118,""),"")</f>
        <v/>
      </c>
      <c r="I105" s="288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288">
        <f>IFERROR(IF('Invullen groen'!L119&lt;&gt;0,'Invullen groen'!L119,""),"")</f>
        <v/>
      </c>
      <c r="G106" s="288">
        <f>IFERROR(IF('Invullen groen'!M119&lt;&gt;0,'Invullen groen'!M119,""),"")</f>
        <v/>
      </c>
      <c r="H106" s="288">
        <f>IFERROR(IF('Invullen groen'!N119&lt;&gt;0,'Invullen groen'!N119,""),"")</f>
        <v/>
      </c>
      <c r="I106" s="288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288">
        <f>IFERROR(IF('Invullen groen'!L120&lt;&gt;0,'Invullen groen'!L120,""),"")</f>
        <v/>
      </c>
      <c r="G107" s="288">
        <f>IFERROR(IF('Invullen groen'!M120&lt;&gt;0,'Invullen groen'!M120,""),"")</f>
        <v/>
      </c>
      <c r="H107" s="288">
        <f>IFERROR(IF('Invullen groen'!N120&lt;&gt;0,'Invullen groen'!N120,""),"")</f>
        <v/>
      </c>
      <c r="I107" s="288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288">
        <f>IFERROR(IF('Invullen groen'!L121&lt;&gt;0,'Invullen groen'!L121,""),"")</f>
        <v/>
      </c>
      <c r="G108" s="288">
        <f>IFERROR(IF('Invullen groen'!M121&lt;&gt;0,'Invullen groen'!M121,""),"")</f>
        <v/>
      </c>
      <c r="H108" s="288">
        <f>IFERROR(IF('Invullen groen'!N121&lt;&gt;0,'Invullen groen'!N121,""),"")</f>
        <v/>
      </c>
      <c r="I108" s="288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288">
        <f>IFERROR(IF('Invullen groen'!L122&lt;&gt;0,'Invullen groen'!L122,""),"")</f>
        <v/>
      </c>
      <c r="G109" s="288">
        <f>IFERROR(IF('Invullen groen'!M122&lt;&gt;0,'Invullen groen'!M122,""),"")</f>
        <v/>
      </c>
      <c r="H109" s="288">
        <f>IFERROR(IF('Invullen groen'!N122&lt;&gt;0,'Invullen groen'!N122,""),"")</f>
        <v/>
      </c>
      <c r="I109" s="288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288">
        <f>IFERROR(IF('Invullen groen'!L123&lt;&gt;0,'Invullen groen'!L123,""),"")</f>
        <v/>
      </c>
      <c r="G110" s="288">
        <f>IFERROR(IF('Invullen groen'!M123&lt;&gt;0,'Invullen groen'!M123,""),"")</f>
        <v/>
      </c>
      <c r="H110" s="288">
        <f>IFERROR(IF('Invullen groen'!N123&lt;&gt;0,'Invullen groen'!N123,""),"")</f>
        <v/>
      </c>
      <c r="I110" s="288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288">
        <f>IFERROR(IF('Invullen groen'!L124&lt;&gt;0,'Invullen groen'!L124,""),"")</f>
        <v/>
      </c>
      <c r="G111" s="288">
        <f>IFERROR(IF('Invullen groen'!M124&lt;&gt;0,'Invullen groen'!M124,""),"")</f>
        <v/>
      </c>
      <c r="H111" s="288">
        <f>IFERROR(IF('Invullen groen'!N124&lt;&gt;0,'Invullen groen'!N124,""),"")</f>
        <v/>
      </c>
      <c r="I111" s="288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288">
        <f>IFERROR(IF('Invullen groen'!L125&lt;&gt;0,'Invullen groen'!L125,""),"")</f>
        <v/>
      </c>
      <c r="G112" s="288">
        <f>IFERROR(IF('Invullen groen'!M125&lt;&gt;0,'Invullen groen'!M125,""),"")</f>
        <v/>
      </c>
      <c r="H112" s="288">
        <f>IFERROR(IF('Invullen groen'!N125&lt;&gt;0,'Invullen groen'!N125,""),"")</f>
        <v/>
      </c>
      <c r="I112" s="288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288">
        <f>IFERROR(IF('Invullen groen'!L126&lt;&gt;0,'Invullen groen'!L126,""),"")</f>
        <v/>
      </c>
      <c r="G113" s="288">
        <f>IFERROR(IF('Invullen groen'!M126&lt;&gt;0,'Invullen groen'!M126,""),"")</f>
        <v/>
      </c>
      <c r="H113" s="288">
        <f>IFERROR(IF('Invullen groen'!N126&lt;&gt;0,'Invullen groen'!N126,""),"")</f>
        <v/>
      </c>
      <c r="I113" s="288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288">
        <f>IFERROR(IF('Invullen groen'!L127&lt;&gt;0,'Invullen groen'!L127,""),"")</f>
        <v/>
      </c>
      <c r="G114" s="288">
        <f>IFERROR(IF('Invullen groen'!M127&lt;&gt;0,'Invullen groen'!M127,""),"")</f>
        <v/>
      </c>
      <c r="H114" s="288">
        <f>IFERROR(IF('Invullen groen'!N127&lt;&gt;0,'Invullen groen'!N127,""),"")</f>
        <v/>
      </c>
      <c r="I114" s="288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288">
        <f>IFERROR(IF('Invullen groen'!L128&lt;&gt;0,'Invullen groen'!L128,""),"")</f>
        <v/>
      </c>
      <c r="G115" s="288">
        <f>IFERROR(IF('Invullen groen'!M128&lt;&gt;0,'Invullen groen'!M128,""),"")</f>
        <v/>
      </c>
      <c r="H115" s="288">
        <f>IFERROR(IF('Invullen groen'!N128&lt;&gt;0,'Invullen groen'!N128,""),"")</f>
        <v/>
      </c>
      <c r="I115" s="288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288">
        <f>IFERROR(IF('Invullen groen'!L129&lt;&gt;0,'Invullen groen'!L129,""),"")</f>
        <v/>
      </c>
      <c r="G116" s="288">
        <f>IFERROR(IF('Invullen groen'!M129&lt;&gt;0,'Invullen groen'!M129,""),"")</f>
        <v/>
      </c>
      <c r="H116" s="288">
        <f>IFERROR(IF('Invullen groen'!N129&lt;&gt;0,'Invullen groen'!N129,""),"")</f>
        <v/>
      </c>
      <c r="I116" s="288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288">
        <f>IFERROR(IF('Invullen groen'!L130&lt;&gt;0,'Invullen groen'!L130,""),"")</f>
        <v/>
      </c>
      <c r="G117" s="288">
        <f>IFERROR(IF('Invullen groen'!M130&lt;&gt;0,'Invullen groen'!M130,""),"")</f>
        <v/>
      </c>
      <c r="H117" s="288">
        <f>IFERROR(IF('Invullen groen'!N130&lt;&gt;0,'Invullen groen'!N130,""),"")</f>
        <v/>
      </c>
      <c r="I117" s="288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288">
        <f>IFERROR(IF('Invullen groen'!L131&lt;&gt;0,'Invullen groen'!L131,""),"")</f>
        <v/>
      </c>
      <c r="G118" s="288">
        <f>IFERROR(IF('Invullen groen'!M131&lt;&gt;0,'Invullen groen'!M131,""),"")</f>
        <v/>
      </c>
      <c r="H118" s="288">
        <f>IFERROR(IF('Invullen groen'!N131&lt;&gt;0,'Invullen groen'!N131,""),"")</f>
        <v/>
      </c>
      <c r="I118" s="288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288">
        <f>IFERROR(IF('Invullen groen'!L132&lt;&gt;0,'Invullen groen'!L132,""),"")</f>
        <v/>
      </c>
      <c r="G119" s="288">
        <f>IFERROR(IF('Invullen groen'!M132&lt;&gt;0,'Invullen groen'!M132,""),"")</f>
        <v/>
      </c>
      <c r="H119" s="288">
        <f>IFERROR(IF('Invullen groen'!N132&lt;&gt;0,'Invullen groen'!N132,""),"")</f>
        <v/>
      </c>
      <c r="I119" s="288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288">
        <f>IFERROR(IF('Invullen groen'!L133&lt;&gt;0,'Invullen groen'!L133,""),"")</f>
        <v/>
      </c>
      <c r="G120" s="288">
        <f>IFERROR(IF('Invullen groen'!M133&lt;&gt;0,'Invullen groen'!M133,""),"")</f>
        <v/>
      </c>
      <c r="H120" s="288">
        <f>IFERROR(IF('Invullen groen'!N133&lt;&gt;0,'Invullen groen'!N133,""),"")</f>
        <v/>
      </c>
      <c r="I120" s="288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288">
        <f>IFERROR(IF('Invullen groen'!L134&lt;&gt;0,'Invullen groen'!L134,""),"")</f>
        <v/>
      </c>
      <c r="G121" s="288">
        <f>IFERROR(IF('Invullen groen'!M134&lt;&gt;0,'Invullen groen'!M134,""),"")</f>
        <v/>
      </c>
      <c r="H121" s="288">
        <f>IFERROR(IF('Invullen groen'!N134&lt;&gt;0,'Invullen groen'!N134,""),"")</f>
        <v/>
      </c>
      <c r="I121" s="288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288">
        <f>IFERROR(IF('Invullen groen'!L135&lt;&gt;0,'Invullen groen'!L135,""),"")</f>
        <v/>
      </c>
      <c r="G122" s="288">
        <f>IFERROR(IF('Invullen groen'!M135&lt;&gt;0,'Invullen groen'!M135,""),"")</f>
        <v/>
      </c>
      <c r="H122" s="288">
        <f>IFERROR(IF('Invullen groen'!N135&lt;&gt;0,'Invullen groen'!N135,""),"")</f>
        <v/>
      </c>
      <c r="I122" s="288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288">
        <f>IFERROR(IF('Invullen groen'!L136&lt;&gt;0,'Invullen groen'!L136,""),"")</f>
        <v/>
      </c>
      <c r="G123" s="288">
        <f>IFERROR(IF('Invullen groen'!M136&lt;&gt;0,'Invullen groen'!M136,""),"")</f>
        <v/>
      </c>
      <c r="H123" s="288">
        <f>IFERROR(IF('Invullen groen'!N136&lt;&gt;0,'Invullen groen'!N136,""),"")</f>
        <v/>
      </c>
      <c r="I123" s="288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288">
        <f>IFERROR(IF('Invullen groen'!L137&lt;&gt;0,'Invullen groen'!L137,""),"")</f>
        <v/>
      </c>
      <c r="G124" s="288">
        <f>IFERROR(IF('Invullen groen'!M137&lt;&gt;0,'Invullen groen'!M137,""),"")</f>
        <v/>
      </c>
      <c r="H124" s="288">
        <f>IFERROR(IF('Invullen groen'!N137&lt;&gt;0,'Invullen groen'!N137,""),"")</f>
        <v/>
      </c>
      <c r="I124" s="288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288">
        <f>IFERROR(IF('Invullen groen'!L138&lt;&gt;0,'Invullen groen'!L138,""),"")</f>
        <v/>
      </c>
      <c r="G125" s="288">
        <f>IFERROR(IF('Invullen groen'!M138&lt;&gt;0,'Invullen groen'!M138,""),"")</f>
        <v/>
      </c>
      <c r="H125" s="288">
        <f>IFERROR(IF('Invullen groen'!N138&lt;&gt;0,'Invullen groen'!N138,""),"")</f>
        <v/>
      </c>
      <c r="I125" s="288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288">
        <f>IFERROR(IF('Invullen groen'!L139&lt;&gt;0,'Invullen groen'!L139,""),"")</f>
        <v/>
      </c>
      <c r="G126" s="288">
        <f>IFERROR(IF('Invullen groen'!M139&lt;&gt;0,'Invullen groen'!M139,""),"")</f>
        <v/>
      </c>
      <c r="H126" s="288">
        <f>IFERROR(IF('Invullen groen'!N139&lt;&gt;0,'Invullen groen'!N139,""),"")</f>
        <v/>
      </c>
      <c r="I126" s="288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288">
        <f>IFERROR(IF('Invullen groen'!L140&lt;&gt;0,'Invullen groen'!L140,""),"")</f>
        <v/>
      </c>
      <c r="G127" s="288">
        <f>IFERROR(IF('Invullen groen'!M140&lt;&gt;0,'Invullen groen'!M140,""),"")</f>
        <v/>
      </c>
      <c r="H127" s="288">
        <f>IFERROR(IF('Invullen groen'!N140&lt;&gt;0,'Invullen groen'!N140,""),"")</f>
        <v/>
      </c>
      <c r="I127" s="288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288">
        <f>IFERROR(IF('Invullen groen'!L141&lt;&gt;0,'Invullen groen'!L141,""),"")</f>
        <v/>
      </c>
      <c r="G128" s="288">
        <f>IFERROR(IF('Invullen groen'!M141&lt;&gt;0,'Invullen groen'!M141,""),"")</f>
        <v/>
      </c>
      <c r="H128" s="288">
        <f>IFERROR(IF('Invullen groen'!N141&lt;&gt;0,'Invullen groen'!N141,""),"")</f>
        <v/>
      </c>
      <c r="I128" s="288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288">
        <f>IFERROR(IF('Invullen groen'!L142&lt;&gt;0,'Invullen groen'!L142,""),"")</f>
        <v/>
      </c>
      <c r="G129" s="288">
        <f>IFERROR(IF('Invullen groen'!M142&lt;&gt;0,'Invullen groen'!M142,""),"")</f>
        <v/>
      </c>
      <c r="H129" s="288">
        <f>IFERROR(IF('Invullen groen'!N142&lt;&gt;0,'Invullen groen'!N142,""),"")</f>
        <v/>
      </c>
      <c r="I129" s="288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288">
        <f>IFERROR(IF('Invullen groen'!L143&lt;&gt;0,'Invullen groen'!L143,""),"")</f>
        <v/>
      </c>
      <c r="G130" s="288">
        <f>IFERROR(IF('Invullen groen'!M143&lt;&gt;0,'Invullen groen'!M143,""),"")</f>
        <v/>
      </c>
      <c r="H130" s="288">
        <f>IFERROR(IF('Invullen groen'!N143&lt;&gt;0,'Invullen groen'!N143,""),"")</f>
        <v/>
      </c>
      <c r="I130" s="288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288">
        <f>IFERROR(IF('Invullen groen'!L144&lt;&gt;0,'Invullen groen'!L144,""),"")</f>
        <v/>
      </c>
      <c r="G131" s="288">
        <f>IFERROR(IF('Invullen groen'!M144&lt;&gt;0,'Invullen groen'!M144,""),"")</f>
        <v/>
      </c>
      <c r="H131" s="288">
        <f>IFERROR(IF('Invullen groen'!N144&lt;&gt;0,'Invullen groen'!N144,""),"")</f>
        <v/>
      </c>
      <c r="I131" s="288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288">
        <f>IFERROR(IF('Invullen groen'!L145&lt;&gt;0,'Invullen groen'!L145,""),"")</f>
        <v/>
      </c>
      <c r="G132" s="288">
        <f>IFERROR(IF('Invullen groen'!M145&lt;&gt;0,'Invullen groen'!M145,""),"")</f>
        <v/>
      </c>
      <c r="H132" s="288">
        <f>IFERROR(IF('Invullen groen'!N145&lt;&gt;0,'Invullen groen'!N145,""),"")</f>
        <v/>
      </c>
      <c r="I132" s="288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288">
        <f>IFERROR(IF('Invullen groen'!L146&lt;&gt;0,'Invullen groen'!L146,""),"")</f>
        <v/>
      </c>
      <c r="G133" s="288">
        <f>IFERROR(IF('Invullen groen'!M146&lt;&gt;0,'Invullen groen'!M146,""),"")</f>
        <v/>
      </c>
      <c r="H133" s="288">
        <f>IFERROR(IF('Invullen groen'!N146&lt;&gt;0,'Invullen groen'!N146,""),"")</f>
        <v/>
      </c>
      <c r="I133" s="288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288">
        <f>IFERROR(IF('Invullen groen'!L147&lt;&gt;0,'Invullen groen'!L147,""),"")</f>
        <v/>
      </c>
      <c r="G134" s="288">
        <f>IFERROR(IF('Invullen groen'!M147&lt;&gt;0,'Invullen groen'!M147,""),"")</f>
        <v/>
      </c>
      <c r="H134" s="288">
        <f>IFERROR(IF('Invullen groen'!N147&lt;&gt;0,'Invullen groen'!N147,""),"")</f>
        <v/>
      </c>
      <c r="I134" s="288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288">
        <f>IFERROR(IF('Invullen groen'!L148&lt;&gt;0,'Invullen groen'!L148,""),"")</f>
        <v/>
      </c>
      <c r="G135" s="288">
        <f>IFERROR(IF('Invullen groen'!M148&lt;&gt;0,'Invullen groen'!M148,""),"")</f>
        <v/>
      </c>
      <c r="H135" s="288">
        <f>IFERROR(IF('Invullen groen'!N148&lt;&gt;0,'Invullen groen'!N148,""),"")</f>
        <v/>
      </c>
      <c r="I135" s="288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288">
        <f>IFERROR(IF('Invullen groen'!L149&lt;&gt;0,'Invullen groen'!L149,""),"")</f>
        <v/>
      </c>
      <c r="G136" s="288">
        <f>IFERROR(IF('Invullen groen'!M149&lt;&gt;0,'Invullen groen'!M149,""),"")</f>
        <v/>
      </c>
      <c r="H136" s="288">
        <f>IFERROR(IF('Invullen groen'!N149&lt;&gt;0,'Invullen groen'!N149,""),"")</f>
        <v/>
      </c>
      <c r="I136" s="288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288">
        <f>IFERROR(IF('Invullen groen'!L150&lt;&gt;0,'Invullen groen'!L150,""),"")</f>
        <v/>
      </c>
      <c r="G137" s="288">
        <f>IFERROR(IF('Invullen groen'!M150&lt;&gt;0,'Invullen groen'!M150,""),"")</f>
        <v/>
      </c>
      <c r="H137" s="288">
        <f>IFERROR(IF('Invullen groen'!N150&lt;&gt;0,'Invullen groen'!N150,""),"")</f>
        <v/>
      </c>
      <c r="I137" s="288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288">
        <f>IFERROR(IF('Invullen groen'!L151&lt;&gt;0,'Invullen groen'!L151,""),"")</f>
        <v/>
      </c>
      <c r="G138" s="288">
        <f>IFERROR(IF('Invullen groen'!M151&lt;&gt;0,'Invullen groen'!M151,""),"")</f>
        <v/>
      </c>
      <c r="H138" s="288">
        <f>IFERROR(IF('Invullen groen'!N151&lt;&gt;0,'Invullen groen'!N151,""),"")</f>
        <v/>
      </c>
      <c r="I138" s="288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288">
        <f>IFERROR(IF('Invullen groen'!L152&lt;&gt;0,'Invullen groen'!L152,""),"")</f>
        <v/>
      </c>
      <c r="G139" s="288">
        <f>IFERROR(IF('Invullen groen'!M152&lt;&gt;0,'Invullen groen'!M152,""),"")</f>
        <v/>
      </c>
      <c r="H139" s="288">
        <f>IFERROR(IF('Invullen groen'!N152&lt;&gt;0,'Invullen groen'!N152,""),"")</f>
        <v/>
      </c>
      <c r="I139" s="288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288">
        <f>IFERROR(IF('Invullen groen'!L153&lt;&gt;0,'Invullen groen'!L153,""),"")</f>
        <v/>
      </c>
      <c r="G140" s="288">
        <f>IFERROR(IF('Invullen groen'!M153&lt;&gt;0,'Invullen groen'!M153,""),"")</f>
        <v/>
      </c>
      <c r="H140" s="288">
        <f>IFERROR(IF('Invullen groen'!N153&lt;&gt;0,'Invullen groen'!N153,""),"")</f>
        <v/>
      </c>
      <c r="I140" s="288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288">
        <f>IFERROR(IF('Invullen groen'!L154&lt;&gt;0,'Invullen groen'!L154,""),"")</f>
        <v/>
      </c>
      <c r="G141" s="288">
        <f>IFERROR(IF('Invullen groen'!M154&lt;&gt;0,'Invullen groen'!M154,""),"")</f>
        <v/>
      </c>
      <c r="H141" s="288">
        <f>IFERROR(IF('Invullen groen'!N154&lt;&gt;0,'Invullen groen'!N154,""),"")</f>
        <v/>
      </c>
      <c r="I141" s="288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288">
        <f>IFERROR(IF('Invullen groen'!L155&lt;&gt;0,'Invullen groen'!L155,""),"")</f>
        <v/>
      </c>
      <c r="G142" s="288">
        <f>IFERROR(IF('Invullen groen'!M155&lt;&gt;0,'Invullen groen'!M155,""),"")</f>
        <v/>
      </c>
      <c r="H142" s="288">
        <f>IFERROR(IF('Invullen groen'!N155&lt;&gt;0,'Invullen groen'!N155,""),"")</f>
        <v/>
      </c>
      <c r="I142" s="288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288">
        <f>IFERROR(IF('Invullen groen'!L156&lt;&gt;0,'Invullen groen'!L156,""),"")</f>
        <v/>
      </c>
      <c r="G143" s="288">
        <f>IFERROR(IF('Invullen groen'!M156&lt;&gt;0,'Invullen groen'!M156,""),"")</f>
        <v/>
      </c>
      <c r="H143" s="288">
        <f>IFERROR(IF('Invullen groen'!N156&lt;&gt;0,'Invullen groen'!N156,""),"")</f>
        <v/>
      </c>
      <c r="I143" s="288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288">
        <f>IFERROR(IF('Invullen groen'!L157&lt;&gt;0,'Invullen groen'!L157,""),"")</f>
        <v/>
      </c>
      <c r="G144" s="288">
        <f>IFERROR(IF('Invullen groen'!M157&lt;&gt;0,'Invullen groen'!M157,""),"")</f>
        <v/>
      </c>
      <c r="H144" s="288">
        <f>IFERROR(IF('Invullen groen'!N157&lt;&gt;0,'Invullen groen'!N157,""),"")</f>
        <v/>
      </c>
      <c r="I144" s="288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288">
        <f>IFERROR(IF('Invullen groen'!L158&lt;&gt;0,'Invullen groen'!L158,""),"")</f>
        <v/>
      </c>
      <c r="G145" s="288">
        <f>IFERROR(IF('Invullen groen'!M158&lt;&gt;0,'Invullen groen'!M158,""),"")</f>
        <v/>
      </c>
      <c r="H145" s="288">
        <f>IFERROR(IF('Invullen groen'!N158&lt;&gt;0,'Invullen groen'!N158,""),"")</f>
        <v/>
      </c>
      <c r="I145" s="288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288">
        <f>IFERROR(IF('Invullen groen'!L159&lt;&gt;0,'Invullen groen'!L159,""),"")</f>
        <v/>
      </c>
      <c r="G146" s="288">
        <f>IFERROR(IF('Invullen groen'!M159&lt;&gt;0,'Invullen groen'!M159,""),"")</f>
        <v/>
      </c>
      <c r="H146" s="288">
        <f>IFERROR(IF('Invullen groen'!N159&lt;&gt;0,'Invullen groen'!N159,""),"")</f>
        <v/>
      </c>
      <c r="I146" s="288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288">
        <f>IFERROR(IF('Invullen groen'!L160&lt;&gt;0,'Invullen groen'!L160,""),"")</f>
        <v/>
      </c>
      <c r="G147" s="288">
        <f>IFERROR(IF('Invullen groen'!M160&lt;&gt;0,'Invullen groen'!M160,""),"")</f>
        <v/>
      </c>
      <c r="H147" s="288">
        <f>IFERROR(IF('Invullen groen'!N160&lt;&gt;0,'Invullen groen'!N160,""),"")</f>
        <v/>
      </c>
      <c r="I147" s="288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288">
        <f>IFERROR(IF('Invullen groen'!L161&lt;&gt;0,'Invullen groen'!L161,""),"")</f>
        <v/>
      </c>
      <c r="G148" s="288">
        <f>IFERROR(IF('Invullen groen'!M161&lt;&gt;0,'Invullen groen'!M161,""),"")</f>
        <v/>
      </c>
      <c r="H148" s="288">
        <f>IFERROR(IF('Invullen groen'!N161&lt;&gt;0,'Invullen groen'!N161,""),"")</f>
        <v/>
      </c>
      <c r="I148" s="288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288">
        <f>IFERROR(IF('Invullen groen'!L162&lt;&gt;0,'Invullen groen'!L162,""),"")</f>
        <v/>
      </c>
      <c r="G149" s="288">
        <f>IFERROR(IF('Invullen groen'!M162&lt;&gt;0,'Invullen groen'!M162,""),"")</f>
        <v/>
      </c>
      <c r="H149" s="288">
        <f>IFERROR(IF('Invullen groen'!N162&lt;&gt;0,'Invullen groen'!N162,""),"")</f>
        <v/>
      </c>
      <c r="I149" s="288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288">
        <f>IFERROR(IF('Invullen groen'!L163&lt;&gt;0,'Invullen groen'!L163,""),"")</f>
        <v/>
      </c>
      <c r="G150" s="288">
        <f>IFERROR(IF('Invullen groen'!M163&lt;&gt;0,'Invullen groen'!M163,""),"")</f>
        <v/>
      </c>
      <c r="H150" s="288">
        <f>IFERROR(IF('Invullen groen'!N163&lt;&gt;0,'Invullen groen'!N163,""),"")</f>
        <v/>
      </c>
      <c r="I150" s="288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288">
        <f>IFERROR(IF('Invullen groen'!L164&lt;&gt;0,'Invullen groen'!L164,""),"")</f>
        <v/>
      </c>
      <c r="G151" s="288">
        <f>IFERROR(IF('Invullen groen'!M164&lt;&gt;0,'Invullen groen'!M164,""),"")</f>
        <v/>
      </c>
      <c r="H151" s="288">
        <f>IFERROR(IF('Invullen groen'!N164&lt;&gt;0,'Invullen groen'!N164,""),"")</f>
        <v/>
      </c>
      <c r="I151" s="288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288">
        <f>IFERROR(IF('Invullen groen'!L165&lt;&gt;0,'Invullen groen'!L165,""),"")</f>
        <v/>
      </c>
      <c r="G152" s="288">
        <f>IFERROR(IF('Invullen groen'!M165&lt;&gt;0,'Invullen groen'!M165,""),"")</f>
        <v/>
      </c>
      <c r="H152" s="288">
        <f>IFERROR(IF('Invullen groen'!N165&lt;&gt;0,'Invullen groen'!N165,""),"")</f>
        <v/>
      </c>
      <c r="I152" s="288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288">
        <f>IFERROR(IF('Invullen groen'!L166&lt;&gt;0,'Invullen groen'!L166,""),"")</f>
        <v/>
      </c>
      <c r="G153" s="288">
        <f>IFERROR(IF('Invullen groen'!M166&lt;&gt;0,'Invullen groen'!M166,""),"")</f>
        <v/>
      </c>
      <c r="H153" s="288">
        <f>IFERROR(IF('Invullen groen'!N166&lt;&gt;0,'Invullen groen'!N166,""),"")</f>
        <v/>
      </c>
      <c r="I153" s="288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288">
        <f>IFERROR(IF('Invullen groen'!L167&lt;&gt;0,'Invullen groen'!L167,""),"")</f>
        <v/>
      </c>
      <c r="G154" s="288">
        <f>IFERROR(IF('Invullen groen'!M167&lt;&gt;0,'Invullen groen'!M167,""),"")</f>
        <v/>
      </c>
      <c r="H154" s="288">
        <f>IFERROR(IF('Invullen groen'!N167&lt;&gt;0,'Invullen groen'!N167,""),"")</f>
        <v/>
      </c>
      <c r="I154" s="288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288">
        <f>IFERROR(IF('Invullen groen'!L168&lt;&gt;0,'Invullen groen'!L168,""),"")</f>
        <v/>
      </c>
      <c r="G155" s="288">
        <f>IFERROR(IF('Invullen groen'!M168&lt;&gt;0,'Invullen groen'!M168,""),"")</f>
        <v/>
      </c>
      <c r="H155" s="288">
        <f>IFERROR(IF('Invullen groen'!N168&lt;&gt;0,'Invullen groen'!N168,""),"")</f>
        <v/>
      </c>
      <c r="I155" s="288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288">
        <f>IFERROR(IF('Invullen groen'!L169&lt;&gt;0,'Invullen groen'!L169,""),"")</f>
        <v/>
      </c>
      <c r="G156" s="288">
        <f>IFERROR(IF('Invullen groen'!M169&lt;&gt;0,'Invullen groen'!M169,""),"")</f>
        <v/>
      </c>
      <c r="H156" s="288">
        <f>IFERROR(IF('Invullen groen'!N169&lt;&gt;0,'Invullen groen'!N169,""),"")</f>
        <v/>
      </c>
      <c r="I156" s="288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288">
        <f>IFERROR(IF('Invullen groen'!L170&lt;&gt;0,'Invullen groen'!L170,""),"")</f>
        <v/>
      </c>
      <c r="G157" s="288">
        <f>IFERROR(IF('Invullen groen'!M170&lt;&gt;0,'Invullen groen'!M170,""),"")</f>
        <v/>
      </c>
      <c r="H157" s="288">
        <f>IFERROR(IF('Invullen groen'!N170&lt;&gt;0,'Invullen groen'!N170,""),"")</f>
        <v/>
      </c>
      <c r="I157" s="288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288">
        <f>IFERROR(IF('Invullen groen'!L171&lt;&gt;0,'Invullen groen'!L171,""),"")</f>
        <v/>
      </c>
      <c r="G158" s="288">
        <f>IFERROR(IF('Invullen groen'!M171&lt;&gt;0,'Invullen groen'!M171,""),"")</f>
        <v/>
      </c>
      <c r="H158" s="288">
        <f>IFERROR(IF('Invullen groen'!N171&lt;&gt;0,'Invullen groen'!N171,""),"")</f>
        <v/>
      </c>
      <c r="I158" s="288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288">
        <f>IFERROR(IF('Invullen groen'!L172&lt;&gt;0,'Invullen groen'!L172,""),"")</f>
        <v/>
      </c>
      <c r="G159" s="288">
        <f>IFERROR(IF('Invullen groen'!M172&lt;&gt;0,'Invullen groen'!M172,""),"")</f>
        <v/>
      </c>
      <c r="H159" s="288">
        <f>IFERROR(IF('Invullen groen'!N172&lt;&gt;0,'Invullen groen'!N172,""),"")</f>
        <v/>
      </c>
      <c r="I159" s="288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288">
        <f>IFERROR(IF('Invullen groen'!L173&lt;&gt;0,'Invullen groen'!L173,""),"")</f>
        <v/>
      </c>
      <c r="G160" s="288">
        <f>IFERROR(IF('Invullen groen'!M173&lt;&gt;0,'Invullen groen'!M173,""),"")</f>
        <v/>
      </c>
      <c r="H160" s="288">
        <f>IFERROR(IF('Invullen groen'!N173&lt;&gt;0,'Invullen groen'!N173,""),"")</f>
        <v/>
      </c>
      <c r="I160" s="288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288">
        <f>IFERROR(IF('Invullen groen'!L174&lt;&gt;0,'Invullen groen'!L174,""),"")</f>
        <v/>
      </c>
      <c r="G161" s="288">
        <f>IFERROR(IF('Invullen groen'!M174&lt;&gt;0,'Invullen groen'!M174,""),"")</f>
        <v/>
      </c>
      <c r="H161" s="288">
        <f>IFERROR(IF('Invullen groen'!N174&lt;&gt;0,'Invullen groen'!N174,""),"")</f>
        <v/>
      </c>
      <c r="I161" s="288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288">
        <f>IFERROR(IF('Invullen groen'!L175&lt;&gt;0,'Invullen groen'!L175,""),"")</f>
        <v/>
      </c>
      <c r="G162" s="288">
        <f>IFERROR(IF('Invullen groen'!M175&lt;&gt;0,'Invullen groen'!M175,""),"")</f>
        <v/>
      </c>
      <c r="H162" s="288">
        <f>IFERROR(IF('Invullen groen'!N175&lt;&gt;0,'Invullen groen'!N175,""),"")</f>
        <v/>
      </c>
      <c r="I162" s="288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288">
        <f>IFERROR(IF('Invullen groen'!L176&lt;&gt;0,'Invullen groen'!L176,""),"")</f>
        <v/>
      </c>
      <c r="G163" s="288">
        <f>IFERROR(IF('Invullen groen'!M176&lt;&gt;0,'Invullen groen'!M176,""),"")</f>
        <v/>
      </c>
      <c r="H163" s="288">
        <f>IFERROR(IF('Invullen groen'!N176&lt;&gt;0,'Invullen groen'!N176,""),"")</f>
        <v/>
      </c>
      <c r="I163" s="288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288">
        <f>IFERROR(IF('Invullen groen'!L177&lt;&gt;0,'Invullen groen'!L177,""),"")</f>
        <v/>
      </c>
      <c r="G164" s="288">
        <f>IFERROR(IF('Invullen groen'!M177&lt;&gt;0,'Invullen groen'!M177,""),"")</f>
        <v/>
      </c>
      <c r="H164" s="288">
        <f>IFERROR(IF('Invullen groen'!N177&lt;&gt;0,'Invullen groen'!N177,""),"")</f>
        <v/>
      </c>
      <c r="I164" s="288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288">
        <f>IFERROR(IF('Invullen groen'!L178&lt;&gt;0,'Invullen groen'!L178,""),"")</f>
        <v/>
      </c>
      <c r="G165" s="288">
        <f>IFERROR(IF('Invullen groen'!M178&lt;&gt;0,'Invullen groen'!M178,""),"")</f>
        <v/>
      </c>
      <c r="H165" s="288">
        <f>IFERROR(IF('Invullen groen'!N178&lt;&gt;0,'Invullen groen'!N178,""),"")</f>
        <v/>
      </c>
      <c r="I165" s="288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288">
        <f>IFERROR(IF('Invullen groen'!L179&lt;&gt;0,'Invullen groen'!L179,""),"")</f>
        <v/>
      </c>
      <c r="G166" s="288">
        <f>IFERROR(IF('Invullen groen'!M179&lt;&gt;0,'Invullen groen'!M179,""),"")</f>
        <v/>
      </c>
      <c r="H166" s="288">
        <f>IFERROR(IF('Invullen groen'!N179&lt;&gt;0,'Invullen groen'!N179,""),"")</f>
        <v/>
      </c>
      <c r="I166" s="288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288">
        <f>IFERROR(IF('Invullen groen'!L180&lt;&gt;0,'Invullen groen'!L180,""),"")</f>
        <v/>
      </c>
      <c r="G167" s="288">
        <f>IFERROR(IF('Invullen groen'!M180&lt;&gt;0,'Invullen groen'!M180,""),"")</f>
        <v/>
      </c>
      <c r="H167" s="288">
        <f>IFERROR(IF('Invullen groen'!N180&lt;&gt;0,'Invullen groen'!N180,""),"")</f>
        <v/>
      </c>
      <c r="I167" s="288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288">
        <f>IFERROR(IF('Invullen groen'!L181&lt;&gt;0,'Invullen groen'!L181,""),"")</f>
        <v/>
      </c>
      <c r="G168" s="288">
        <f>IFERROR(IF('Invullen groen'!M181&lt;&gt;0,'Invullen groen'!M181,""),"")</f>
        <v/>
      </c>
      <c r="H168" s="288">
        <f>IFERROR(IF('Invullen groen'!N181&lt;&gt;0,'Invullen groen'!N181,""),"")</f>
        <v/>
      </c>
      <c r="I168" s="288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288">
        <f>IFERROR(IF('Invullen groen'!L182&lt;&gt;0,'Invullen groen'!L182,""),"")</f>
        <v/>
      </c>
      <c r="G169" s="288">
        <f>IFERROR(IF('Invullen groen'!M182&lt;&gt;0,'Invullen groen'!M182,""),"")</f>
        <v/>
      </c>
      <c r="H169" s="288">
        <f>IFERROR(IF('Invullen groen'!N182&lt;&gt;0,'Invullen groen'!N182,""),"")</f>
        <v/>
      </c>
      <c r="I169" s="288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288">
        <f>IFERROR(IF('Invullen groen'!L183&lt;&gt;0,'Invullen groen'!L183,""),"")</f>
        <v/>
      </c>
      <c r="G170" s="288">
        <f>IFERROR(IF('Invullen groen'!M183&lt;&gt;0,'Invullen groen'!M183,""),"")</f>
        <v/>
      </c>
      <c r="H170" s="288">
        <f>IFERROR(IF('Invullen groen'!N183&lt;&gt;0,'Invullen groen'!N183,""),"")</f>
        <v/>
      </c>
      <c r="I170" s="288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288">
        <f>IFERROR(IF('Invullen groen'!L184&lt;&gt;0,'Invullen groen'!L184,""),"")</f>
        <v/>
      </c>
      <c r="G171" s="288">
        <f>IFERROR(IF('Invullen groen'!M184&lt;&gt;0,'Invullen groen'!M184,""),"")</f>
        <v/>
      </c>
      <c r="H171" s="288">
        <f>IFERROR(IF('Invullen groen'!N184&lt;&gt;0,'Invullen groen'!N184,""),"")</f>
        <v/>
      </c>
      <c r="I171" s="288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288">
        <f>IFERROR(IF('Invullen groen'!L185&lt;&gt;0,'Invullen groen'!L185,""),"")</f>
        <v/>
      </c>
      <c r="G172" s="288">
        <f>IFERROR(IF('Invullen groen'!M185&lt;&gt;0,'Invullen groen'!M185,""),"")</f>
        <v/>
      </c>
      <c r="H172" s="288">
        <f>IFERROR(IF('Invullen groen'!N185&lt;&gt;0,'Invullen groen'!N185,""),"")</f>
        <v/>
      </c>
      <c r="I172" s="288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288">
        <f>IFERROR(IF('Invullen groen'!L186&lt;&gt;0,'Invullen groen'!L186,""),"")</f>
        <v/>
      </c>
      <c r="G173" s="288">
        <f>IFERROR(IF('Invullen groen'!M186&lt;&gt;0,'Invullen groen'!M186,""),"")</f>
        <v/>
      </c>
      <c r="H173" s="288">
        <f>IFERROR(IF('Invullen groen'!N186&lt;&gt;0,'Invullen groen'!N186,""),"")</f>
        <v/>
      </c>
      <c r="I173" s="288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288">
        <f>IFERROR(IF('Invullen groen'!L187&lt;&gt;0,'Invullen groen'!L187,""),"")</f>
        <v/>
      </c>
      <c r="G174" s="288">
        <f>IFERROR(IF('Invullen groen'!M187&lt;&gt;0,'Invullen groen'!M187,""),"")</f>
        <v/>
      </c>
      <c r="H174" s="288">
        <f>IFERROR(IF('Invullen groen'!N187&lt;&gt;0,'Invullen groen'!N187,""),"")</f>
        <v/>
      </c>
      <c r="I174" s="288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288">
        <f>IFERROR(IF('Invullen groen'!L188&lt;&gt;0,'Invullen groen'!L188,""),"")</f>
        <v/>
      </c>
      <c r="G175" s="288">
        <f>IFERROR(IF('Invullen groen'!M188&lt;&gt;0,'Invullen groen'!M188,""),"")</f>
        <v/>
      </c>
      <c r="H175" s="288">
        <f>IFERROR(IF('Invullen groen'!N188&lt;&gt;0,'Invullen groen'!N188,""),"")</f>
        <v/>
      </c>
      <c r="I175" s="288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288">
        <f>IFERROR(IF('Invullen groen'!L189&lt;&gt;0,'Invullen groen'!L189,""),"")</f>
        <v/>
      </c>
      <c r="G176" s="288">
        <f>IFERROR(IF('Invullen groen'!M189&lt;&gt;0,'Invullen groen'!M189,""),"")</f>
        <v/>
      </c>
      <c r="H176" s="288">
        <f>IFERROR(IF('Invullen groen'!N189&lt;&gt;0,'Invullen groen'!N189,""),"")</f>
        <v/>
      </c>
      <c r="I176" s="288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288">
        <f>IFERROR(IF('Invullen groen'!L190&lt;&gt;0,'Invullen groen'!L190,""),"")</f>
        <v/>
      </c>
      <c r="G177" s="288">
        <f>IFERROR(IF('Invullen groen'!M190&lt;&gt;0,'Invullen groen'!M190,""),"")</f>
        <v/>
      </c>
      <c r="H177" s="288">
        <f>IFERROR(IF('Invullen groen'!N190&lt;&gt;0,'Invullen groen'!N190,""),"")</f>
        <v/>
      </c>
      <c r="I177" s="288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288">
        <f>IFERROR(IF('Invullen groen'!L191&lt;&gt;0,'Invullen groen'!L191,""),"")</f>
        <v/>
      </c>
      <c r="G178" s="288">
        <f>IFERROR(IF('Invullen groen'!M191&lt;&gt;0,'Invullen groen'!M191,""),"")</f>
        <v/>
      </c>
      <c r="H178" s="288">
        <f>IFERROR(IF('Invullen groen'!N191&lt;&gt;0,'Invullen groen'!N191,""),"")</f>
        <v/>
      </c>
      <c r="I178" s="288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288">
        <f>IFERROR(IF('Invullen groen'!L192&lt;&gt;0,'Invullen groen'!L192,""),"")</f>
        <v/>
      </c>
      <c r="G179" s="288">
        <f>IFERROR(IF('Invullen groen'!M192&lt;&gt;0,'Invullen groen'!M192,""),"")</f>
        <v/>
      </c>
      <c r="H179" s="288">
        <f>IFERROR(IF('Invullen groen'!N192&lt;&gt;0,'Invullen groen'!N192,""),"")</f>
        <v/>
      </c>
      <c r="I179" s="288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288">
        <f>IFERROR(IF('Invullen groen'!L193&lt;&gt;0,'Invullen groen'!L193,""),"")</f>
        <v/>
      </c>
      <c r="G180" s="288">
        <f>IFERROR(IF('Invullen groen'!M193&lt;&gt;0,'Invullen groen'!M193,""),"")</f>
        <v/>
      </c>
      <c r="H180" s="288">
        <f>IFERROR(IF('Invullen groen'!N193&lt;&gt;0,'Invullen groen'!N193,""),"")</f>
        <v/>
      </c>
      <c r="I180" s="288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288">
        <f>IFERROR(IF('Invullen groen'!L194&lt;&gt;0,'Invullen groen'!L194,""),"")</f>
        <v/>
      </c>
      <c r="G181" s="288">
        <f>IFERROR(IF('Invullen groen'!M194&lt;&gt;0,'Invullen groen'!M194,""),"")</f>
        <v/>
      </c>
      <c r="H181" s="288">
        <f>IFERROR(IF('Invullen groen'!N194&lt;&gt;0,'Invullen groen'!N194,""),"")</f>
        <v/>
      </c>
      <c r="I181" s="288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288">
        <f>IFERROR(IF('Invullen groen'!L195&lt;&gt;0,'Invullen groen'!L195,""),"")</f>
        <v/>
      </c>
      <c r="G182" s="288">
        <f>IFERROR(IF('Invullen groen'!M195&lt;&gt;0,'Invullen groen'!M195,""),"")</f>
        <v/>
      </c>
      <c r="H182" s="288">
        <f>IFERROR(IF('Invullen groen'!N195&lt;&gt;0,'Invullen groen'!N195,""),"")</f>
        <v/>
      </c>
      <c r="I182" s="288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288">
        <f>IFERROR(IF('Invullen groen'!L196&lt;&gt;0,'Invullen groen'!L196,""),"")</f>
        <v/>
      </c>
      <c r="G183" s="288">
        <f>IFERROR(IF('Invullen groen'!M196&lt;&gt;0,'Invullen groen'!M196,""),"")</f>
        <v/>
      </c>
      <c r="H183" s="288">
        <f>IFERROR(IF('Invullen groen'!N196&lt;&gt;0,'Invullen groen'!N196,""),"")</f>
        <v/>
      </c>
      <c r="I183" s="288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288">
        <f>IFERROR(IF('Invullen groen'!L197&lt;&gt;0,'Invullen groen'!L197,""),"")</f>
        <v/>
      </c>
      <c r="G184" s="288">
        <f>IFERROR(IF('Invullen groen'!M197&lt;&gt;0,'Invullen groen'!M197,""),"")</f>
        <v/>
      </c>
      <c r="H184" s="288">
        <f>IFERROR(IF('Invullen groen'!N197&lt;&gt;0,'Invullen groen'!N197,""),"")</f>
        <v/>
      </c>
      <c r="I184" s="288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288">
        <f>IFERROR(IF('Invullen groen'!L198&lt;&gt;0,'Invullen groen'!L198,""),"")</f>
        <v/>
      </c>
      <c r="G185" s="288">
        <f>IFERROR(IF('Invullen groen'!M198&lt;&gt;0,'Invullen groen'!M198,""),"")</f>
        <v/>
      </c>
      <c r="H185" s="288">
        <f>IFERROR(IF('Invullen groen'!N198&lt;&gt;0,'Invullen groen'!N198,""),"")</f>
        <v/>
      </c>
      <c r="I185" s="288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288">
        <f>IFERROR(IF('Invullen groen'!L199&lt;&gt;0,'Invullen groen'!L199,""),"")</f>
        <v/>
      </c>
      <c r="G186" s="288">
        <f>IFERROR(IF('Invullen groen'!M199&lt;&gt;0,'Invullen groen'!M199,""),"")</f>
        <v/>
      </c>
      <c r="H186" s="288">
        <f>IFERROR(IF('Invullen groen'!N199&lt;&gt;0,'Invullen groen'!N199,""),"")</f>
        <v/>
      </c>
      <c r="I186" s="288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288">
        <f>IFERROR(IF('Invullen groen'!L200&lt;&gt;0,'Invullen groen'!L200,""),"")</f>
        <v/>
      </c>
      <c r="G187" s="288">
        <f>IFERROR(IF('Invullen groen'!M200&lt;&gt;0,'Invullen groen'!M200,""),"")</f>
        <v/>
      </c>
      <c r="H187" s="288">
        <f>IFERROR(IF('Invullen groen'!N200&lt;&gt;0,'Invullen groen'!N200,""),"")</f>
        <v/>
      </c>
      <c r="I187" s="288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288">
        <f>IFERROR(IF('Invullen groen'!L201&lt;&gt;0,'Invullen groen'!L201,""),"")</f>
        <v/>
      </c>
      <c r="G188" s="288">
        <f>IFERROR(IF('Invullen groen'!M201&lt;&gt;0,'Invullen groen'!M201,""),"")</f>
        <v/>
      </c>
      <c r="H188" s="288">
        <f>IFERROR(IF('Invullen groen'!N201&lt;&gt;0,'Invullen groen'!N201,""),"")</f>
        <v/>
      </c>
      <c r="I188" s="288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288">
        <f>IFERROR(IF('Invullen groen'!L202&lt;&gt;0,'Invullen groen'!L202,""),"")</f>
        <v/>
      </c>
      <c r="G189" s="288">
        <f>IFERROR(IF('Invullen groen'!M202&lt;&gt;0,'Invullen groen'!M202,""),"")</f>
        <v/>
      </c>
      <c r="H189" s="288">
        <f>IFERROR(IF('Invullen groen'!N202&lt;&gt;0,'Invullen groen'!N202,""),"")</f>
        <v/>
      </c>
      <c r="I189" s="288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288">
        <f>IFERROR(IF('Invullen groen'!L203&lt;&gt;0,'Invullen groen'!L203,""),"")</f>
        <v/>
      </c>
      <c r="G190" s="288">
        <f>IFERROR(IF('Invullen groen'!M203&lt;&gt;0,'Invullen groen'!M203,""),"")</f>
        <v/>
      </c>
      <c r="H190" s="288">
        <f>IFERROR(IF('Invullen groen'!N203&lt;&gt;0,'Invullen groen'!N203,""),"")</f>
        <v/>
      </c>
      <c r="I190" s="288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288">
        <f>IFERROR(IF('Invullen groen'!L204&lt;&gt;0,'Invullen groen'!L204,""),"")</f>
        <v/>
      </c>
      <c r="G191" s="288">
        <f>IFERROR(IF('Invullen groen'!M204&lt;&gt;0,'Invullen groen'!M204,""),"")</f>
        <v/>
      </c>
      <c r="H191" s="288">
        <f>IFERROR(IF('Invullen groen'!N204&lt;&gt;0,'Invullen groen'!N204,""),"")</f>
        <v/>
      </c>
      <c r="I191" s="288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288">
        <f>IFERROR(IF('Invullen groen'!L205&lt;&gt;0,'Invullen groen'!L205,""),"")</f>
        <v/>
      </c>
      <c r="G192" s="288">
        <f>IFERROR(IF('Invullen groen'!M205&lt;&gt;0,'Invullen groen'!M205,""),"")</f>
        <v/>
      </c>
      <c r="H192" s="288">
        <f>IFERROR(IF('Invullen groen'!N205&lt;&gt;0,'Invullen groen'!N205,""),"")</f>
        <v/>
      </c>
      <c r="I192" s="288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288">
        <f>IFERROR(IF('Invullen groen'!L206&lt;&gt;0,'Invullen groen'!L206,""),"")</f>
        <v/>
      </c>
      <c r="G193" s="288">
        <f>IFERROR(IF('Invullen groen'!M206&lt;&gt;0,'Invullen groen'!M206,""),"")</f>
        <v/>
      </c>
      <c r="H193" s="288">
        <f>IFERROR(IF('Invullen groen'!N206&lt;&gt;0,'Invullen groen'!N206,""),"")</f>
        <v/>
      </c>
      <c r="I193" s="288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288">
        <f>IFERROR(IF('Invullen groen'!L207&lt;&gt;0,'Invullen groen'!L207,""),"")</f>
        <v/>
      </c>
      <c r="G194" s="288">
        <f>IFERROR(IF('Invullen groen'!M207&lt;&gt;0,'Invullen groen'!M207,""),"")</f>
        <v/>
      </c>
      <c r="H194" s="288">
        <f>IFERROR(IF('Invullen groen'!N207&lt;&gt;0,'Invullen groen'!N207,""),"")</f>
        <v/>
      </c>
      <c r="I194" s="288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288">
        <f>IFERROR(IF('Invullen groen'!L208&lt;&gt;0,'Invullen groen'!L208,""),"")</f>
        <v/>
      </c>
      <c r="G195" s="288">
        <f>IFERROR(IF('Invullen groen'!M208&lt;&gt;0,'Invullen groen'!M208,""),"")</f>
        <v/>
      </c>
      <c r="H195" s="288">
        <f>IFERROR(IF('Invullen groen'!N208&lt;&gt;0,'Invullen groen'!N208,""),"")</f>
        <v/>
      </c>
      <c r="I195" s="288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288">
        <f>IFERROR(IF('Invullen groen'!L209&lt;&gt;0,'Invullen groen'!L209,""),"")</f>
        <v/>
      </c>
      <c r="G196" s="288">
        <f>IFERROR(IF('Invullen groen'!M209&lt;&gt;0,'Invullen groen'!M209,""),"")</f>
        <v/>
      </c>
      <c r="H196" s="288">
        <f>IFERROR(IF('Invullen groen'!N209&lt;&gt;0,'Invullen groen'!N209,""),"")</f>
        <v/>
      </c>
      <c r="I196" s="288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288">
        <f>IFERROR(IF('Invullen groen'!L210&lt;&gt;0,'Invullen groen'!L210,""),"")</f>
        <v/>
      </c>
      <c r="G197" s="288">
        <f>IFERROR(IF('Invullen groen'!M210&lt;&gt;0,'Invullen groen'!M210,""),"")</f>
        <v/>
      </c>
      <c r="H197" s="288">
        <f>IFERROR(IF('Invullen groen'!N210&lt;&gt;0,'Invullen groen'!N210,""),"")</f>
        <v/>
      </c>
      <c r="I197" s="288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288">
        <f>IFERROR(IF('Invullen groen'!L211&lt;&gt;0,'Invullen groen'!L211,""),"")</f>
        <v/>
      </c>
      <c r="G198" s="288">
        <f>IFERROR(IF('Invullen groen'!M211&lt;&gt;0,'Invullen groen'!M211,""),"")</f>
        <v/>
      </c>
      <c r="H198" s="288">
        <f>IFERROR(IF('Invullen groen'!N211&lt;&gt;0,'Invullen groen'!N211,""),"")</f>
        <v/>
      </c>
      <c r="I198" s="288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288">
        <f>IFERROR(IF('Invullen groen'!L212&lt;&gt;0,'Invullen groen'!L212,""),"")</f>
        <v/>
      </c>
      <c r="G199" s="288">
        <f>IFERROR(IF('Invullen groen'!M212&lt;&gt;0,'Invullen groen'!M212,""),"")</f>
        <v/>
      </c>
      <c r="H199" s="288">
        <f>IFERROR(IF('Invullen groen'!N212&lt;&gt;0,'Invullen groen'!N212,""),"")</f>
        <v/>
      </c>
      <c r="I199" s="288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288">
        <f>IFERROR(IF('Invullen groen'!L213&lt;&gt;0,'Invullen groen'!L213,""),"")</f>
        <v/>
      </c>
      <c r="G200" s="288">
        <f>IFERROR(IF('Invullen groen'!M213&lt;&gt;0,'Invullen groen'!M213,""),"")</f>
        <v/>
      </c>
      <c r="H200" s="288">
        <f>IFERROR(IF('Invullen groen'!N213&lt;&gt;0,'Invullen groen'!N213,""),"")</f>
        <v/>
      </c>
      <c r="I200" s="288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288">
        <f>IFERROR(IF('Invullen groen'!L214&lt;&gt;0,'Invullen groen'!L214,""),"")</f>
        <v/>
      </c>
      <c r="G201" s="288">
        <f>IFERROR(IF('Invullen groen'!M214&lt;&gt;0,'Invullen groen'!M214,""),"")</f>
        <v/>
      </c>
      <c r="H201" s="288">
        <f>IFERROR(IF('Invullen groen'!N214&lt;&gt;0,'Invullen groen'!N214,""),"")</f>
        <v/>
      </c>
      <c r="I201" s="288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288">
        <f>IFERROR(IF('Invullen groen'!L215&lt;&gt;0,'Invullen groen'!L215,""),"")</f>
        <v/>
      </c>
      <c r="G202" s="288">
        <f>IFERROR(IF('Invullen groen'!M215&lt;&gt;0,'Invullen groen'!M215,""),"")</f>
        <v/>
      </c>
      <c r="H202" s="288">
        <f>IFERROR(IF('Invullen groen'!N215&lt;&gt;0,'Invullen groen'!N215,""),"")</f>
        <v/>
      </c>
      <c r="I202" s="288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288">
        <f>IFERROR(IF('Invullen groen'!L216&lt;&gt;0,'Invullen groen'!L216,""),"")</f>
        <v/>
      </c>
      <c r="G203" s="288">
        <f>IFERROR(IF('Invullen groen'!M216&lt;&gt;0,'Invullen groen'!M216,""),"")</f>
        <v/>
      </c>
      <c r="H203" s="288">
        <f>IFERROR(IF('Invullen groen'!N216&lt;&gt;0,'Invullen groen'!N216,""),"")</f>
        <v/>
      </c>
      <c r="I203" s="288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288">
        <f>IFERROR(IF('Invullen groen'!L217&lt;&gt;0,'Invullen groen'!L217,""),"")</f>
        <v/>
      </c>
      <c r="G204" s="288">
        <f>IFERROR(IF('Invullen groen'!M217&lt;&gt;0,'Invullen groen'!M217,""),"")</f>
        <v/>
      </c>
      <c r="H204" s="288">
        <f>IFERROR(IF('Invullen groen'!N217&lt;&gt;0,'Invullen groen'!N217,""),"")</f>
        <v/>
      </c>
      <c r="I204" s="288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288">
        <f>IFERROR(IF('Invullen groen'!L218&lt;&gt;0,'Invullen groen'!L218,""),"")</f>
        <v/>
      </c>
      <c r="G205" s="288">
        <f>IFERROR(IF('Invullen groen'!M218&lt;&gt;0,'Invullen groen'!M218,""),"")</f>
        <v/>
      </c>
      <c r="H205" s="288">
        <f>IFERROR(IF('Invullen groen'!N218&lt;&gt;0,'Invullen groen'!N218,""),"")</f>
        <v/>
      </c>
      <c r="I205" s="288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288">
        <f>IFERROR(IF('Invullen groen'!L219&lt;&gt;0,'Invullen groen'!L219,""),"")</f>
        <v/>
      </c>
      <c r="G206" s="288">
        <f>IFERROR(IF('Invullen groen'!M219&lt;&gt;0,'Invullen groen'!M219,""),"")</f>
        <v/>
      </c>
      <c r="H206" s="288">
        <f>IFERROR(IF('Invullen groen'!N219&lt;&gt;0,'Invullen groen'!N219,""),"")</f>
        <v/>
      </c>
      <c r="I206" s="288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288">
        <f>IFERROR(IF('Invullen groen'!L220&lt;&gt;0,'Invullen groen'!L220,""),"")</f>
        <v/>
      </c>
      <c r="G207" s="288">
        <f>IFERROR(IF('Invullen groen'!M220&lt;&gt;0,'Invullen groen'!M220,""),"")</f>
        <v/>
      </c>
      <c r="H207" s="288">
        <f>IFERROR(IF('Invullen groen'!N220&lt;&gt;0,'Invullen groen'!N220,""),"")</f>
        <v/>
      </c>
      <c r="I207" s="288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288">
        <f>IFERROR(IF('Invullen groen'!L221&lt;&gt;0,'Invullen groen'!L221,""),"")</f>
        <v/>
      </c>
      <c r="G208" s="288">
        <f>IFERROR(IF('Invullen groen'!M221&lt;&gt;0,'Invullen groen'!M221,""),"")</f>
        <v/>
      </c>
      <c r="H208" s="288">
        <f>IFERROR(IF('Invullen groen'!N221&lt;&gt;0,'Invullen groen'!N221,""),"")</f>
        <v/>
      </c>
      <c r="I208" s="288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288">
        <f>IFERROR(IF('Invullen groen'!L222&lt;&gt;0,'Invullen groen'!L222,""),"")</f>
        <v/>
      </c>
      <c r="G209" s="288">
        <f>IFERROR(IF('Invullen groen'!M222&lt;&gt;0,'Invullen groen'!M222,""),"")</f>
        <v/>
      </c>
      <c r="H209" s="288">
        <f>IFERROR(IF('Invullen groen'!N222&lt;&gt;0,'Invullen groen'!N222,""),"")</f>
        <v/>
      </c>
      <c r="I209" s="288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288">
        <f>IFERROR(IF('Invullen groen'!L223&lt;&gt;0,'Invullen groen'!L223,""),"")</f>
        <v/>
      </c>
      <c r="G210" s="288">
        <f>IFERROR(IF('Invullen groen'!M223&lt;&gt;0,'Invullen groen'!M223,""),"")</f>
        <v/>
      </c>
      <c r="H210" s="288">
        <f>IFERROR(IF('Invullen groen'!N223&lt;&gt;0,'Invullen groen'!N223,""),"")</f>
        <v/>
      </c>
      <c r="I210" s="288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288">
        <f>IFERROR(IF('Invullen groen'!L224&lt;&gt;0,'Invullen groen'!L224,""),"")</f>
        <v/>
      </c>
      <c r="G211" s="288">
        <f>IFERROR(IF('Invullen groen'!M224&lt;&gt;0,'Invullen groen'!M224,""),"")</f>
        <v/>
      </c>
      <c r="H211" s="288">
        <f>IFERROR(IF('Invullen groen'!N224&lt;&gt;0,'Invullen groen'!N224,""),"")</f>
        <v/>
      </c>
      <c r="I211" s="288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288">
        <f>IFERROR(IF('Invullen groen'!L225&lt;&gt;0,'Invullen groen'!L225,""),"")</f>
        <v/>
      </c>
      <c r="G212" s="288">
        <f>IFERROR(IF('Invullen groen'!M225&lt;&gt;0,'Invullen groen'!M225,""),"")</f>
        <v/>
      </c>
      <c r="H212" s="288">
        <f>IFERROR(IF('Invullen groen'!N225&lt;&gt;0,'Invullen groen'!N225,""),"")</f>
        <v/>
      </c>
      <c r="I212" s="288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288">
        <f>IFERROR(IF('Invullen groen'!L226&lt;&gt;0,'Invullen groen'!L226,""),"")</f>
        <v/>
      </c>
      <c r="G213" s="288">
        <f>IFERROR(IF('Invullen groen'!M226&lt;&gt;0,'Invullen groen'!M226,""),"")</f>
        <v/>
      </c>
      <c r="H213" s="288">
        <f>IFERROR(IF('Invullen groen'!N226&lt;&gt;0,'Invullen groen'!N226,""),"")</f>
        <v/>
      </c>
      <c r="I213" s="288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288">
        <f>IFERROR(IF('Invullen groen'!L227&lt;&gt;0,'Invullen groen'!L227,""),"")</f>
        <v/>
      </c>
      <c r="G214" s="288">
        <f>IFERROR(IF('Invullen groen'!M227&lt;&gt;0,'Invullen groen'!M227,""),"")</f>
        <v/>
      </c>
      <c r="H214" s="288">
        <f>IFERROR(IF('Invullen groen'!N227&lt;&gt;0,'Invullen groen'!N227,""),"")</f>
        <v/>
      </c>
      <c r="I214" s="288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288">
        <f>IFERROR(IF('Invullen groen'!L228&lt;&gt;0,'Invullen groen'!L228,""),"")</f>
        <v/>
      </c>
      <c r="G215" s="288">
        <f>IFERROR(IF('Invullen groen'!M228&lt;&gt;0,'Invullen groen'!M228,""),"")</f>
        <v/>
      </c>
      <c r="H215" s="288">
        <f>IFERROR(IF('Invullen groen'!N228&lt;&gt;0,'Invullen groen'!N228,""),"")</f>
        <v/>
      </c>
      <c r="I215" s="288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288">
        <f>IFERROR(IF('Invullen groen'!L229&lt;&gt;0,'Invullen groen'!L229,""),"")</f>
        <v/>
      </c>
      <c r="G216" s="288">
        <f>IFERROR(IF('Invullen groen'!M229&lt;&gt;0,'Invullen groen'!M229,""),"")</f>
        <v/>
      </c>
      <c r="H216" s="288">
        <f>IFERROR(IF('Invullen groen'!N229&lt;&gt;0,'Invullen groen'!N229,""),"")</f>
        <v/>
      </c>
      <c r="I216" s="288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288">
        <f>IFERROR(IF('Invullen groen'!L230&lt;&gt;0,'Invullen groen'!L230,""),"")</f>
        <v/>
      </c>
      <c r="G217" s="288">
        <f>IFERROR(IF('Invullen groen'!M230&lt;&gt;0,'Invullen groen'!M230,""),"")</f>
        <v/>
      </c>
      <c r="H217" s="288">
        <f>IFERROR(IF('Invullen groen'!N230&lt;&gt;0,'Invullen groen'!N230,""),"")</f>
        <v/>
      </c>
      <c r="I217" s="288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288">
        <f>IFERROR(IF('Invullen groen'!L231&lt;&gt;0,'Invullen groen'!L231,""),"")</f>
        <v/>
      </c>
      <c r="G218" s="288">
        <f>IFERROR(IF('Invullen groen'!M231&lt;&gt;0,'Invullen groen'!M231,""),"")</f>
        <v/>
      </c>
      <c r="H218" s="288">
        <f>IFERROR(IF('Invullen groen'!N231&lt;&gt;0,'Invullen groen'!N231,""),"")</f>
        <v/>
      </c>
      <c r="I218" s="288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288">
        <f>IFERROR(IF('Invullen groen'!L232&lt;&gt;0,'Invullen groen'!L232,""),"")</f>
        <v/>
      </c>
      <c r="G219" s="288">
        <f>IFERROR(IF('Invullen groen'!M232&lt;&gt;0,'Invullen groen'!M232,""),"")</f>
        <v/>
      </c>
      <c r="H219" s="288">
        <f>IFERROR(IF('Invullen groen'!N232&lt;&gt;0,'Invullen groen'!N232,""),"")</f>
        <v/>
      </c>
      <c r="I219" s="288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288">
        <f>IFERROR(IF('Invullen groen'!L233&lt;&gt;0,'Invullen groen'!L233,""),"")</f>
        <v/>
      </c>
      <c r="G220" s="288">
        <f>IFERROR(IF('Invullen groen'!M233&lt;&gt;0,'Invullen groen'!M233,""),"")</f>
        <v/>
      </c>
      <c r="H220" s="288">
        <f>IFERROR(IF('Invullen groen'!N233&lt;&gt;0,'Invullen groen'!N233,""),"")</f>
        <v/>
      </c>
      <c r="I220" s="288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288">
        <f>IFERROR(IF('Invullen groen'!L234&lt;&gt;0,'Invullen groen'!L234,""),"")</f>
        <v/>
      </c>
      <c r="G221" s="288">
        <f>IFERROR(IF('Invullen groen'!M234&lt;&gt;0,'Invullen groen'!M234,""),"")</f>
        <v/>
      </c>
      <c r="H221" s="288">
        <f>IFERROR(IF('Invullen groen'!N234&lt;&gt;0,'Invullen groen'!N234,""),"")</f>
        <v/>
      </c>
      <c r="I221" s="288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288">
        <f>IFERROR(IF('Invullen groen'!L235&lt;&gt;0,'Invullen groen'!L235,""),"")</f>
        <v/>
      </c>
      <c r="G222" s="288">
        <f>IFERROR(IF('Invullen groen'!M235&lt;&gt;0,'Invullen groen'!M235,""),"")</f>
        <v/>
      </c>
      <c r="H222" s="288">
        <f>IFERROR(IF('Invullen groen'!N235&lt;&gt;0,'Invullen groen'!N235,""),"")</f>
        <v/>
      </c>
      <c r="I222" s="288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288">
        <f>IFERROR(IF('Invullen groen'!L236&lt;&gt;0,'Invullen groen'!L236,""),"")</f>
        <v/>
      </c>
      <c r="G223" s="288">
        <f>IFERROR(IF('Invullen groen'!M236&lt;&gt;0,'Invullen groen'!M236,""),"")</f>
        <v/>
      </c>
      <c r="H223" s="288">
        <f>IFERROR(IF('Invullen groen'!N236&lt;&gt;0,'Invullen groen'!N236,""),"")</f>
        <v/>
      </c>
      <c r="I223" s="288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288">
        <f>IFERROR(IF('Invullen groen'!L237&lt;&gt;0,'Invullen groen'!L237,""),"")</f>
        <v/>
      </c>
      <c r="G224" s="288">
        <f>IFERROR(IF('Invullen groen'!M237&lt;&gt;0,'Invullen groen'!M237,""),"")</f>
        <v/>
      </c>
      <c r="H224" s="288">
        <f>IFERROR(IF('Invullen groen'!N237&lt;&gt;0,'Invullen groen'!N237,""),"")</f>
        <v/>
      </c>
      <c r="I224" s="288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288">
        <f>IFERROR(IF('Invullen groen'!L238&lt;&gt;0,'Invullen groen'!L238,""),"")</f>
        <v/>
      </c>
      <c r="G225" s="288">
        <f>IFERROR(IF('Invullen groen'!M238&lt;&gt;0,'Invullen groen'!M238,""),"")</f>
        <v/>
      </c>
      <c r="H225" s="288">
        <f>IFERROR(IF('Invullen groen'!N238&lt;&gt;0,'Invullen groen'!N238,""),"")</f>
        <v/>
      </c>
      <c r="I225" s="288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288">
        <f>IFERROR(IF('Invullen groen'!L239&lt;&gt;0,'Invullen groen'!L239,""),"")</f>
        <v/>
      </c>
      <c r="G226" s="288">
        <f>IFERROR(IF('Invullen groen'!M239&lt;&gt;0,'Invullen groen'!M239,""),"")</f>
        <v/>
      </c>
      <c r="H226" s="288">
        <f>IFERROR(IF('Invullen groen'!N239&lt;&gt;0,'Invullen groen'!N239,""),"")</f>
        <v/>
      </c>
      <c r="I226" s="288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288">
        <f>IFERROR(IF('Invullen groen'!L240&lt;&gt;0,'Invullen groen'!L240,""),"")</f>
        <v/>
      </c>
      <c r="G227" s="288">
        <f>IFERROR(IF('Invullen groen'!M240&lt;&gt;0,'Invullen groen'!M240,""),"")</f>
        <v/>
      </c>
      <c r="H227" s="288">
        <f>IFERROR(IF('Invullen groen'!N240&lt;&gt;0,'Invullen groen'!N240,""),"")</f>
        <v/>
      </c>
      <c r="I227" s="288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288">
        <f>IFERROR(IF('Invullen groen'!L241&lt;&gt;0,'Invullen groen'!L241,""),"")</f>
        <v/>
      </c>
      <c r="G228" s="288">
        <f>IFERROR(IF('Invullen groen'!M241&lt;&gt;0,'Invullen groen'!M241,""),"")</f>
        <v/>
      </c>
      <c r="H228" s="288">
        <f>IFERROR(IF('Invullen groen'!N241&lt;&gt;0,'Invullen groen'!N241,""),"")</f>
        <v/>
      </c>
      <c r="I228" s="288">
        <f>IFERROR(IF('Invullen groen'!O241&lt;&gt;0,'Invullen groen'!O241,""),"")</f>
        <v/>
      </c>
    </row>
    <row r="230" ht="15" customHeight="1">
      <c r="A230" s="289" t="inlineStr">
        <is>
          <t>Totaal lasten</t>
        </is>
      </c>
      <c r="B230" s="290" t="n"/>
      <c r="C230" s="290" t="n"/>
      <c r="D230" s="290" t="n"/>
      <c r="E230" s="290" t="n"/>
      <c r="F230" s="291">
        <f>SUMIF('Invullen groen'!Q18:Q241,"&gt;0",'Invullen groen'!Q18:Q241)</f>
        <v/>
      </c>
      <c r="G230" s="291">
        <f>SUMIF('Invullen groen'!M18:M241,"&gt;0",'Invullen groen'!Q18:Q241)</f>
        <v/>
      </c>
      <c r="H230" s="291">
        <f>SUMIF('Invullen groen'!N18:N241,"&gt;0",'Invullen groen'!Q18:Q241)</f>
        <v/>
      </c>
      <c r="I230" s="291">
        <f>SUMIF('Invullen groen'!O18:O241,"&gt;0",'Invullen groen'!Q18:Q241)</f>
        <v/>
      </c>
    </row>
    <row r="231" ht="15" customHeight="1">
      <c r="A231" s="292" t="inlineStr">
        <is>
          <t>Totaal baten</t>
        </is>
      </c>
      <c r="B231" s="293" t="n"/>
      <c r="C231" s="293" t="n"/>
      <c r="D231" s="293" t="n"/>
      <c r="E231" s="293" t="n"/>
      <c r="F231" s="294">
        <f>SUMIF('Invullen groen'!R18:R241,"&lt;&gt;0",'Invullen groen'!R18:R241)</f>
        <v/>
      </c>
      <c r="G231" s="294">
        <f>SUMIF('Invullen groen'!M18:M241,"&lt;&gt;0",'Invullen groen'!R18:R241)</f>
        <v/>
      </c>
      <c r="H231" s="294">
        <f>SUMIF('Invullen groen'!N18:N241,"&lt;&gt;0",'Invullen groen'!R18:R241)</f>
        <v/>
      </c>
      <c r="I231" s="294">
        <f>SUMIF('Invullen groen'!O18:O241,"&lt;&gt;0",'Invullen groen'!R18:R241)</f>
        <v/>
      </c>
    </row>
    <row r="232" ht="18" customHeight="1">
      <c r="A232" s="295" t="inlineStr">
        <is>
          <t>Saldo (lasten + baten)</t>
        </is>
      </c>
      <c r="B232" s="296" t="n"/>
      <c r="C232" s="296" t="n"/>
      <c r="D232" s="296" t="n"/>
      <c r="E232" s="296" t="n"/>
      <c r="F232" s="297">
        <f>F230+F231</f>
        <v/>
      </c>
      <c r="G232" s="297">
        <f>G230+G231</f>
        <v/>
      </c>
      <c r="H232" s="297">
        <f>H230+H231</f>
        <v/>
      </c>
      <c r="I232" s="297">
        <f>I230+I231</f>
        <v/>
      </c>
    </row>
    <row r="234">
      <c r="A234" s="29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282" t="inlineStr">
        <is>
          <t>Samenvatting per programma</t>
        </is>
      </c>
    </row>
    <row r="2" ht="16" customHeight="1">
      <c r="A2" s="283">
        <f>'Invullen groen'!A4</f>
        <v/>
      </c>
      <c r="E2" s="284" t="n"/>
      <c r="F2" s="284" t="n"/>
      <c r="G2" s="284" t="n"/>
    </row>
    <row r="3" ht="6" customHeight="1"/>
    <row r="4" ht="18" customHeight="1">
      <c r="A4" s="285" t="inlineStr">
        <is>
          <t>Programma</t>
        </is>
      </c>
      <c r="B4" s="286" t="inlineStr">
        <is>
          <t>Lasten 2026</t>
        </is>
      </c>
      <c r="C4" s="286" t="inlineStr">
        <is>
          <t>Baten 2026</t>
        </is>
      </c>
      <c r="D4" s="286" t="inlineStr">
        <is>
          <t>Saldo 2026</t>
        </is>
      </c>
      <c r="E4" s="286" t="inlineStr">
        <is>
          <t>MJR 2027</t>
        </is>
      </c>
      <c r="F4" s="286" t="inlineStr">
        <is>
          <t>MJR 2028</t>
        </is>
      </c>
      <c r="G4" s="286" t="inlineStr">
        <is>
          <t>MJR 2029</t>
        </is>
      </c>
    </row>
    <row r="5" ht="14" customHeight="1">
      <c r="A5" s="287" t="inlineStr">
        <is>
          <t>Bestuur En Ondersteuning</t>
        </is>
      </c>
      <c r="B5" s="288">
        <f>SUMPRODUCT(('Invullen groen'!A18:A241="bestuur en ondersteuning")*('Invullen groen'!Q18:Q241&gt;0)*'Invullen groen'!Q18:Q241)</f>
        <v/>
      </c>
      <c r="C5" s="288">
        <f>SUMPRODUCT(('Invullen groen'!A18:A241="bestuur en ondersteuning")*('Invullen groen'!R18:R241&lt;&gt;0)*'Invullen groen'!R18:R241)</f>
        <v/>
      </c>
      <c r="D5" s="299">
        <f>B5+C5</f>
        <v/>
      </c>
      <c r="E5" s="288">
        <f>SUMPRODUCT(('Invullen groen'!A18:A241="bestuur en ondersteuning")*'Invullen groen'!M18:M241)</f>
        <v/>
      </c>
      <c r="F5" s="288">
        <f>SUMPRODUCT(('Invullen groen'!A18:A241="bestuur en ondersteuning")*'Invullen groen'!N18:N241)</f>
        <v/>
      </c>
      <c r="G5" s="288">
        <f>SUMPRODUCT(('Invullen groen'!A18:A241="bestuur en ondersteuning")*'Invullen groen'!O18:O241)</f>
        <v/>
      </c>
    </row>
    <row r="6" ht="14" customHeight="1">
      <c r="A6" s="287" t="inlineStr">
        <is>
          <t>Veiligheid</t>
        </is>
      </c>
      <c r="B6" s="288">
        <f>SUMPRODUCT(('Invullen groen'!A18:A241="veiligheid")*('Invullen groen'!Q18:Q241&gt;0)*'Invullen groen'!Q18:Q241)</f>
        <v/>
      </c>
      <c r="C6" s="288">
        <f>SUMPRODUCT(('Invullen groen'!A18:A241="veiligheid")*('Invullen groen'!R18:R241&lt;&gt;0)*'Invullen groen'!R18:R241)</f>
        <v/>
      </c>
      <c r="D6" s="299">
        <f>B6+C6</f>
        <v/>
      </c>
      <c r="E6" s="288">
        <f>SUMPRODUCT(('Invullen groen'!A18:A241="veiligheid")*'Invullen groen'!M18:M241)</f>
        <v/>
      </c>
      <c r="F6" s="288">
        <f>SUMPRODUCT(('Invullen groen'!A18:A241="veiligheid")*'Invullen groen'!N18:N241)</f>
        <v/>
      </c>
      <c r="G6" s="288">
        <f>SUMPRODUCT(('Invullen groen'!A18:A241="veiligheid")*'Invullen groen'!O18:O241)</f>
        <v/>
      </c>
    </row>
    <row r="7" ht="14" customHeight="1">
      <c r="A7" s="287" t="inlineStr">
        <is>
          <t>Verkeer, Vervoer En Waterstaat</t>
        </is>
      </c>
      <c r="B7" s="288">
        <f>SUMPRODUCT(('Invullen groen'!A18:A241="verkeer, vervoer en waterstaat")*('Invullen groen'!Q18:Q241&gt;0)*'Invullen groen'!Q18:Q241)</f>
        <v/>
      </c>
      <c r="C7" s="288">
        <f>SUMPRODUCT(('Invullen groen'!A18:A241="verkeer, vervoer en waterstaat")*('Invullen groen'!R18:R241&lt;&gt;0)*'Invullen groen'!R18:R241)</f>
        <v/>
      </c>
      <c r="D7" s="299">
        <f>B7+C7</f>
        <v/>
      </c>
      <c r="E7" s="288">
        <f>SUMPRODUCT(('Invullen groen'!A18:A241="verkeer, vervoer en waterstaat")*'Invullen groen'!M18:M241)</f>
        <v/>
      </c>
      <c r="F7" s="288">
        <f>SUMPRODUCT(('Invullen groen'!A18:A241="verkeer, vervoer en waterstaat")*'Invullen groen'!N18:N241)</f>
        <v/>
      </c>
      <c r="G7" s="288">
        <f>SUMPRODUCT(('Invullen groen'!A18:A241="verkeer, vervoer en waterstaat")*'Invullen groen'!O18:O241)</f>
        <v/>
      </c>
    </row>
    <row r="8" ht="14" customHeight="1">
      <c r="A8" s="287" t="inlineStr">
        <is>
          <t>Economie</t>
        </is>
      </c>
      <c r="B8" s="288">
        <f>SUMPRODUCT(('Invullen groen'!A18:A241="economie")*('Invullen groen'!Q18:Q241&gt;0)*'Invullen groen'!Q18:Q241)</f>
        <v/>
      </c>
      <c r="C8" s="288">
        <f>SUMPRODUCT(('Invullen groen'!A18:A241="economie")*('Invullen groen'!R18:R241&lt;&gt;0)*'Invullen groen'!R18:R241)</f>
        <v/>
      </c>
      <c r="D8" s="299">
        <f>B8+C8</f>
        <v/>
      </c>
      <c r="E8" s="288">
        <f>SUMPRODUCT(('Invullen groen'!A18:A241="economie")*'Invullen groen'!M18:M241)</f>
        <v/>
      </c>
      <c r="F8" s="288">
        <f>SUMPRODUCT(('Invullen groen'!A18:A241="economie")*'Invullen groen'!N18:N241)</f>
        <v/>
      </c>
      <c r="G8" s="288">
        <f>SUMPRODUCT(('Invullen groen'!A18:A241="economie")*'Invullen groen'!O18:O241)</f>
        <v/>
      </c>
    </row>
    <row r="9" ht="14" customHeight="1">
      <c r="A9" s="287" t="inlineStr">
        <is>
          <t>Onderwijs</t>
        </is>
      </c>
      <c r="B9" s="288">
        <f>SUMPRODUCT(('Invullen groen'!A18:A241="onderwijs")*('Invullen groen'!Q18:Q241&gt;0)*'Invullen groen'!Q18:Q241)</f>
        <v/>
      </c>
      <c r="C9" s="288">
        <f>SUMPRODUCT(('Invullen groen'!A18:A241="onderwijs")*('Invullen groen'!R18:R241&lt;&gt;0)*'Invullen groen'!R18:R241)</f>
        <v/>
      </c>
      <c r="D9" s="299">
        <f>B9+C9</f>
        <v/>
      </c>
      <c r="E9" s="288">
        <f>SUMPRODUCT(('Invullen groen'!A18:A241="onderwijs")*'Invullen groen'!M18:M241)</f>
        <v/>
      </c>
      <c r="F9" s="288">
        <f>SUMPRODUCT(('Invullen groen'!A18:A241="onderwijs")*'Invullen groen'!N18:N241)</f>
        <v/>
      </c>
      <c r="G9" s="288">
        <f>SUMPRODUCT(('Invullen groen'!A18:A241="onderwijs")*'Invullen groen'!O18:O241)</f>
        <v/>
      </c>
    </row>
    <row r="10" ht="14" customHeight="1">
      <c r="A10" s="287" t="inlineStr">
        <is>
          <t>Sport, Cultuur En Recreatie</t>
        </is>
      </c>
      <c r="B10" s="288">
        <f>SUMPRODUCT(('Invullen groen'!A18:A241="sport, cultuur en recreatie")*('Invullen groen'!Q18:Q241&gt;0)*'Invullen groen'!Q18:Q241)</f>
        <v/>
      </c>
      <c r="C10" s="288">
        <f>SUMPRODUCT(('Invullen groen'!A18:A241="sport, cultuur en recreatie")*('Invullen groen'!R18:R241&lt;&gt;0)*'Invullen groen'!R18:R241)</f>
        <v/>
      </c>
      <c r="D10" s="299">
        <f>B10+C10</f>
        <v/>
      </c>
      <c r="E10" s="288">
        <f>SUMPRODUCT(('Invullen groen'!A18:A241="sport, cultuur en recreatie")*'Invullen groen'!M18:M241)</f>
        <v/>
      </c>
      <c r="F10" s="288">
        <f>SUMPRODUCT(('Invullen groen'!A18:A241="sport, cultuur en recreatie")*'Invullen groen'!N18:N241)</f>
        <v/>
      </c>
      <c r="G10" s="288">
        <f>SUMPRODUCT(('Invullen groen'!A18:A241="sport, cultuur en recreatie")*'Invullen groen'!O18:O241)</f>
        <v/>
      </c>
    </row>
    <row r="11" ht="14" customHeight="1">
      <c r="A11" s="287" t="inlineStr">
        <is>
          <t>Sociaal Domein</t>
        </is>
      </c>
      <c r="B11" s="288">
        <f>SUMPRODUCT(('Invullen groen'!A18:A241="sociaal domein")*('Invullen groen'!Q18:Q241&gt;0)*'Invullen groen'!Q18:Q241)</f>
        <v/>
      </c>
      <c r="C11" s="288">
        <f>SUMPRODUCT(('Invullen groen'!A18:A241="sociaal domein")*('Invullen groen'!R18:R241&lt;&gt;0)*'Invullen groen'!R18:R241)</f>
        <v/>
      </c>
      <c r="D11" s="299">
        <f>B11+C11</f>
        <v/>
      </c>
      <c r="E11" s="288">
        <f>SUMPRODUCT(('Invullen groen'!A18:A241="sociaal domein")*'Invullen groen'!M18:M241)</f>
        <v/>
      </c>
      <c r="F11" s="288">
        <f>SUMPRODUCT(('Invullen groen'!A18:A241="sociaal domein")*'Invullen groen'!N18:N241)</f>
        <v/>
      </c>
      <c r="G11" s="288">
        <f>SUMPRODUCT(('Invullen groen'!A18:A241="sociaal domein")*'Invullen groen'!O18:O241)</f>
        <v/>
      </c>
    </row>
    <row r="12" ht="14" customHeight="1">
      <c r="A12" s="287" t="inlineStr">
        <is>
          <t>Volksgezondheid En Milieu</t>
        </is>
      </c>
      <c r="B12" s="288">
        <f>SUMPRODUCT(('Invullen groen'!A18:A241="volksgezondheid en milieu")*('Invullen groen'!Q18:Q241&gt;0)*'Invullen groen'!Q18:Q241)</f>
        <v/>
      </c>
      <c r="C12" s="288">
        <f>SUMPRODUCT(('Invullen groen'!A18:A241="volksgezondheid en milieu")*('Invullen groen'!R18:R241&lt;&gt;0)*'Invullen groen'!R18:R241)</f>
        <v/>
      </c>
      <c r="D12" s="299">
        <f>B12+C12</f>
        <v/>
      </c>
      <c r="E12" s="288">
        <f>SUMPRODUCT(('Invullen groen'!A18:A241="volksgezondheid en milieu")*'Invullen groen'!M18:M241)</f>
        <v/>
      </c>
      <c r="F12" s="288">
        <f>SUMPRODUCT(('Invullen groen'!A18:A241="volksgezondheid en milieu")*'Invullen groen'!N18:N241)</f>
        <v/>
      </c>
      <c r="G12" s="288">
        <f>SUMPRODUCT(('Invullen groen'!A18:A241="volksgezondheid en milieu")*'Invullen groen'!O18:O241)</f>
        <v/>
      </c>
    </row>
    <row r="13" ht="14" customHeight="1">
      <c r="A13" s="287" t="inlineStr">
        <is>
          <t>Volkshuisv., Ro En Stedelijke Vernieuwing</t>
        </is>
      </c>
      <c r="B13" s="288">
        <f>SUMPRODUCT(('Invullen groen'!A18:A241="volkshuisv., ro en stedelijke vernieuwing")*('Invullen groen'!Q18:Q241&gt;0)*'Invullen groen'!Q18:Q241)</f>
        <v/>
      </c>
      <c r="C13" s="288">
        <f>SUMPRODUCT(('Invullen groen'!A18:A241="volkshuisv., ro en stedelijke vernieuwing")*('Invullen groen'!R18:R241&lt;&gt;0)*'Invullen groen'!R18:R241)</f>
        <v/>
      </c>
      <c r="D13" s="299">
        <f>B13+C13</f>
        <v/>
      </c>
      <c r="E13" s="288">
        <f>SUMPRODUCT(('Invullen groen'!A18:A241="volkshuisv., ro en stedelijke vernieuwing")*'Invullen groen'!M18:M241)</f>
        <v/>
      </c>
      <c r="F13" s="288">
        <f>SUMPRODUCT(('Invullen groen'!A18:A241="volkshuisv., ro en stedelijke vernieuwing")*'Invullen groen'!N18:N241)</f>
        <v/>
      </c>
      <c r="G13" s="288">
        <f>SUMPRODUCT(('Invullen groen'!A18:A241="volkshuisv., ro en stedelijke vernieuwing")*'Invullen groen'!O18:O241)</f>
        <v/>
      </c>
    </row>
    <row r="14" ht="18" customHeight="1">
      <c r="A14" s="300" t="inlineStr">
        <is>
          <t>Totaal begrotingswijziging</t>
        </is>
      </c>
      <c r="B14" s="301">
        <f>SUM(B5:B13)</f>
        <v/>
      </c>
      <c r="C14" s="301">
        <f>SUM(C5:C13)</f>
        <v/>
      </c>
      <c r="D14" s="301">
        <f>SUM(D5:D13)</f>
        <v/>
      </c>
      <c r="E14" s="301">
        <f>SUM(E5:E13)</f>
        <v/>
      </c>
      <c r="F14" s="301">
        <f>SUM(F5:F13)</f>
        <v/>
      </c>
      <c r="G14" s="301">
        <f>SUM(G5:G13)</f>
        <v/>
      </c>
    </row>
    <row r="16">
      <c r="A16" s="298" t="inlineStr">
        <is>
          <t>Automatisch bijgewerkt — kolom 'Lasten' en 'Baten' zijn de gecategoriseerde bedragen uit Invullen groen (Q/R).  -/- = baten</t>
        </is>
      </c>
    </row>
  </sheetData>
  <mergeCells count="4">
    <mergeCell ref="A14"/>
    <mergeCell ref="A16:G16"/>
    <mergeCell ref="A1:G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</row>
    <row r="2" ht="16" customHeight="1">
      <c r="A2" s="283">
        <f>'Invullen groen'!A4</f>
        <v/>
      </c>
      <c r="E2" s="284" t="n"/>
      <c r="F2" s="284" t="n"/>
      <c r="G2" s="284" t="n"/>
      <c r="H2" s="284" t="n"/>
    </row>
    <row r="3" ht="6" customHeight="1"/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05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07" t="inlineStr">
        <is>
          <t>Bedrag 2026</t>
        </is>
      </c>
    </row>
    <row r="6" ht="14" customHeight="1">
      <c r="A6" s="287">
        <f>IFERROR(IF('Invullen groen'!Q18&gt;0,1,""),"")</f>
        <v/>
      </c>
      <c r="B6" s="287">
        <f>IFERROR(IF('Invullen groen'!Q18&gt;0,'Invullen groen'!A18,""),"")</f>
        <v/>
      </c>
      <c r="C6" s="287">
        <f>IFERROR(IF('Invullen groen'!Q18&gt;0,'Invullen groen'!G18,""),"")</f>
        <v/>
      </c>
      <c r="D6" s="288">
        <f>IFERROR(IF('Invullen groen'!Q18&gt;0,'Invullen groen'!Q18,""),"")</f>
        <v/>
      </c>
      <c r="F6" s="287">
        <f>IFERROR(IF('Invullen groen'!R18&lt;&gt;0,'Invullen groen'!A18,""),"")</f>
        <v/>
      </c>
      <c r="G6" s="287">
        <f>IFERROR(IF('Invullen groen'!R18&lt;&gt;0,'Invullen groen'!G18,""),"")</f>
        <v/>
      </c>
      <c r="H6" s="288">
        <f>IFERROR(IF('Invullen groen'!R18&lt;&gt;0,'Invullen groen'!R18,""),"")</f>
        <v/>
      </c>
    </row>
    <row r="7" ht="14" customHeight="1">
      <c r="A7" s="287">
        <f>IFERROR(IF('Invullen groen'!Q19&gt;0,2,""),"")</f>
        <v/>
      </c>
      <c r="B7" s="287">
        <f>IFERROR(IF('Invullen groen'!Q19&gt;0,'Invullen groen'!A19,""),"")</f>
        <v/>
      </c>
      <c r="C7" s="287">
        <f>IFERROR(IF('Invullen groen'!Q19&gt;0,'Invullen groen'!G19,""),"")</f>
        <v/>
      </c>
      <c r="D7" s="288">
        <f>IFERROR(IF('Invullen groen'!Q19&gt;0,'Invullen groen'!Q19,""),"")</f>
        <v/>
      </c>
      <c r="F7" s="287">
        <f>IFERROR(IF('Invullen groen'!R19&lt;&gt;0,'Invullen groen'!A19,""),"")</f>
        <v/>
      </c>
      <c r="G7" s="287">
        <f>IFERROR(IF('Invullen groen'!R19&lt;&gt;0,'Invullen groen'!G19,""),"")</f>
        <v/>
      </c>
      <c r="H7" s="288">
        <f>IFERROR(IF('Invullen groen'!R19&lt;&gt;0,'Invullen groen'!R19,""),"")</f>
        <v/>
      </c>
    </row>
    <row r="8" ht="14" customHeight="1">
      <c r="A8" s="287">
        <f>IFERROR(IF('Invullen groen'!Q20&gt;0,3,""),"")</f>
        <v/>
      </c>
      <c r="B8" s="287">
        <f>IFERROR(IF('Invullen groen'!Q20&gt;0,'Invullen groen'!A20,""),"")</f>
        <v/>
      </c>
      <c r="C8" s="287">
        <f>IFERROR(IF('Invullen groen'!Q20&gt;0,'Invullen groen'!G20,""),"")</f>
        <v/>
      </c>
      <c r="D8" s="288">
        <f>IFERROR(IF('Invullen groen'!Q20&gt;0,'Invullen groen'!Q20,""),"")</f>
        <v/>
      </c>
      <c r="F8" s="287">
        <f>IFERROR(IF('Invullen groen'!R20&lt;&gt;0,'Invullen groen'!A20,""),"")</f>
        <v/>
      </c>
      <c r="G8" s="287">
        <f>IFERROR(IF('Invullen groen'!R20&lt;&gt;0,'Invullen groen'!G20,""),"")</f>
        <v/>
      </c>
      <c r="H8" s="288">
        <f>IFERROR(IF('Invullen groen'!R20&lt;&gt;0,'Invullen groen'!R20,""),"")</f>
        <v/>
      </c>
    </row>
    <row r="9" ht="14" customHeight="1">
      <c r="A9" s="287">
        <f>IFERROR(IF('Invullen groen'!Q21&gt;0,4,""),"")</f>
        <v/>
      </c>
      <c r="B9" s="287">
        <f>IFERROR(IF('Invullen groen'!Q21&gt;0,'Invullen groen'!A21,""),"")</f>
        <v/>
      </c>
      <c r="C9" s="287">
        <f>IFERROR(IF('Invullen groen'!Q21&gt;0,'Invullen groen'!G21,""),"")</f>
        <v/>
      </c>
      <c r="D9" s="288">
        <f>IFERROR(IF('Invullen groen'!Q21&gt;0,'Invullen groen'!Q21,""),"")</f>
        <v/>
      </c>
      <c r="F9" s="287">
        <f>IFERROR(IF('Invullen groen'!R21&lt;&gt;0,'Invullen groen'!A21,""),"")</f>
        <v/>
      </c>
      <c r="G9" s="287">
        <f>IFERROR(IF('Invullen groen'!R21&lt;&gt;0,'Invullen groen'!G21,""),"")</f>
        <v/>
      </c>
      <c r="H9" s="288">
        <f>IFERROR(IF('Invullen groen'!R21&lt;&gt;0,'Invullen groen'!R21,""),"")</f>
        <v/>
      </c>
    </row>
    <row r="10" ht="14" customHeight="1">
      <c r="A10" s="287">
        <f>IFERROR(IF('Invullen groen'!Q22&gt;0,5,""),"")</f>
        <v/>
      </c>
      <c r="B10" s="287">
        <f>IFERROR(IF('Invullen groen'!Q22&gt;0,'Invullen groen'!A22,""),"")</f>
        <v/>
      </c>
      <c r="C10" s="287">
        <f>IFERROR(IF('Invullen groen'!Q22&gt;0,'Invullen groen'!G22,""),"")</f>
        <v/>
      </c>
      <c r="D10" s="288">
        <f>IFERROR(IF('Invullen groen'!Q22&gt;0,'Invullen groen'!Q22,""),"")</f>
        <v/>
      </c>
      <c r="F10" s="287">
        <f>IFERROR(IF('Invullen groen'!R22&lt;&gt;0,'Invullen groen'!A22,""),"")</f>
        <v/>
      </c>
      <c r="G10" s="287">
        <f>IFERROR(IF('Invullen groen'!R22&lt;&gt;0,'Invullen groen'!G22,""),"")</f>
        <v/>
      </c>
      <c r="H10" s="288">
        <f>IFERROR(IF('Invullen groen'!R22&lt;&gt;0,'Invullen groen'!R22,""),"")</f>
        <v/>
      </c>
    </row>
    <row r="11" ht="14" customHeight="1">
      <c r="A11" s="287">
        <f>IFERROR(IF('Invullen groen'!Q23&gt;0,6,""),"")</f>
        <v/>
      </c>
      <c r="B11" s="287">
        <f>IFERROR(IF('Invullen groen'!Q23&gt;0,'Invullen groen'!A23,""),"")</f>
        <v/>
      </c>
      <c r="C11" s="287">
        <f>IFERROR(IF('Invullen groen'!Q23&gt;0,'Invullen groen'!G23,""),"")</f>
        <v/>
      </c>
      <c r="D11" s="288">
        <f>IFERROR(IF('Invullen groen'!Q23&gt;0,'Invullen groen'!Q23,""),"")</f>
        <v/>
      </c>
      <c r="F11" s="287">
        <f>IFERROR(IF('Invullen groen'!R23&lt;&gt;0,'Invullen groen'!A23,""),"")</f>
        <v/>
      </c>
      <c r="G11" s="287">
        <f>IFERROR(IF('Invullen groen'!R23&lt;&gt;0,'Invullen groen'!G23,""),"")</f>
        <v/>
      </c>
      <c r="H11" s="288">
        <f>IFERROR(IF('Invullen groen'!R23&lt;&gt;0,'Invullen groen'!R23,""),"")</f>
        <v/>
      </c>
    </row>
    <row r="12" ht="14" customHeight="1">
      <c r="A12" s="287">
        <f>IFERROR(IF('Invullen groen'!Q24&gt;0,7,""),"")</f>
        <v/>
      </c>
      <c r="B12" s="287">
        <f>IFERROR(IF('Invullen groen'!Q24&gt;0,'Invullen groen'!A24,""),"")</f>
        <v/>
      </c>
      <c r="C12" s="287">
        <f>IFERROR(IF('Invullen groen'!Q24&gt;0,'Invullen groen'!G24,""),"")</f>
        <v/>
      </c>
      <c r="D12" s="288">
        <f>IFERROR(IF('Invullen groen'!Q24&gt;0,'Invullen groen'!Q24,""),"")</f>
        <v/>
      </c>
      <c r="F12" s="287">
        <f>IFERROR(IF('Invullen groen'!R24&lt;&gt;0,'Invullen groen'!A24,""),"")</f>
        <v/>
      </c>
      <c r="G12" s="287">
        <f>IFERROR(IF('Invullen groen'!R24&lt;&gt;0,'Invullen groen'!G24,""),"")</f>
        <v/>
      </c>
      <c r="H12" s="288">
        <f>IFERROR(IF('Invullen groen'!R24&lt;&gt;0,'Invullen groen'!R24,""),"")</f>
        <v/>
      </c>
    </row>
    <row r="13" ht="14" customHeight="1">
      <c r="A13" s="287">
        <f>IFERROR(IF('Invullen groen'!Q25&gt;0,8,""),"")</f>
        <v/>
      </c>
      <c r="B13" s="287">
        <f>IFERROR(IF('Invullen groen'!Q25&gt;0,'Invullen groen'!A25,""),"")</f>
        <v/>
      </c>
      <c r="C13" s="287">
        <f>IFERROR(IF('Invullen groen'!Q25&gt;0,'Invullen groen'!G25,""),"")</f>
        <v/>
      </c>
      <c r="D13" s="288">
        <f>IFERROR(IF('Invullen groen'!Q25&gt;0,'Invullen groen'!Q25,""),"")</f>
        <v/>
      </c>
      <c r="F13" s="287">
        <f>IFERROR(IF('Invullen groen'!R25&lt;&gt;0,'Invullen groen'!A25,""),"")</f>
        <v/>
      </c>
      <c r="G13" s="287">
        <f>IFERROR(IF('Invullen groen'!R25&lt;&gt;0,'Invullen groen'!G25,""),"")</f>
        <v/>
      </c>
      <c r="H13" s="288">
        <f>IFERROR(IF('Invullen groen'!R25&lt;&gt;0,'Invullen groen'!R25,""),"")</f>
        <v/>
      </c>
    </row>
    <row r="14" ht="14" customHeight="1">
      <c r="A14" s="287">
        <f>IFERROR(IF('Invullen groen'!Q26&gt;0,9,""),"")</f>
        <v/>
      </c>
      <c r="B14" s="287">
        <f>IFERROR(IF('Invullen groen'!Q26&gt;0,'Invullen groen'!A26,""),"")</f>
        <v/>
      </c>
      <c r="C14" s="287">
        <f>IFERROR(IF('Invullen groen'!Q26&gt;0,'Invullen groen'!G26,""),"")</f>
        <v/>
      </c>
      <c r="D14" s="288">
        <f>IFERROR(IF('Invullen groen'!Q26&gt;0,'Invullen groen'!Q26,""),"")</f>
        <v/>
      </c>
      <c r="F14" s="287">
        <f>IFERROR(IF('Invullen groen'!R26&lt;&gt;0,'Invullen groen'!A26,""),"")</f>
        <v/>
      </c>
      <c r="G14" s="287">
        <f>IFERROR(IF('Invullen groen'!R26&lt;&gt;0,'Invullen groen'!G26,""),"")</f>
        <v/>
      </c>
      <c r="H14" s="288">
        <f>IFERROR(IF('Invullen groen'!R26&lt;&gt;0,'Invullen groen'!R26,""),"")</f>
        <v/>
      </c>
    </row>
    <row r="15" ht="14" customHeight="1">
      <c r="A15" s="287">
        <f>IFERROR(IF('Invullen groen'!Q27&gt;0,10,""),"")</f>
        <v/>
      </c>
      <c r="B15" s="287">
        <f>IFERROR(IF('Invullen groen'!Q27&gt;0,'Invullen groen'!A27,""),"")</f>
        <v/>
      </c>
      <c r="C15" s="287">
        <f>IFERROR(IF('Invullen groen'!Q27&gt;0,'Invullen groen'!G27,""),"")</f>
        <v/>
      </c>
      <c r="D15" s="288">
        <f>IFERROR(IF('Invullen groen'!Q27&gt;0,'Invullen groen'!Q27,""),"")</f>
        <v/>
      </c>
      <c r="F15" s="287">
        <f>IFERROR(IF('Invullen groen'!R27&lt;&gt;0,'Invullen groen'!A27,""),"")</f>
        <v/>
      </c>
      <c r="G15" s="287">
        <f>IFERROR(IF('Invullen groen'!R27&lt;&gt;0,'Invullen groen'!G27,""),"")</f>
        <v/>
      </c>
      <c r="H15" s="288">
        <f>IFERROR(IF('Invullen groen'!R27&lt;&gt;0,'Invullen groen'!R27,""),"")</f>
        <v/>
      </c>
    </row>
    <row r="16" ht="14" customHeight="1">
      <c r="A16" s="287">
        <f>IFERROR(IF('Invullen groen'!Q28&gt;0,11,""),"")</f>
        <v/>
      </c>
      <c r="B16" s="287">
        <f>IFERROR(IF('Invullen groen'!Q28&gt;0,'Invullen groen'!A28,""),"")</f>
        <v/>
      </c>
      <c r="C16" s="287">
        <f>IFERROR(IF('Invullen groen'!Q28&gt;0,'Invullen groen'!G28,""),"")</f>
        <v/>
      </c>
      <c r="D16" s="288">
        <f>IFERROR(IF('Invullen groen'!Q28&gt;0,'Invullen groen'!Q28,""),"")</f>
        <v/>
      </c>
      <c r="F16" s="287">
        <f>IFERROR(IF('Invullen groen'!R28&lt;&gt;0,'Invullen groen'!A28,""),"")</f>
        <v/>
      </c>
      <c r="G16" s="287">
        <f>IFERROR(IF('Invullen groen'!R28&lt;&gt;0,'Invullen groen'!G28,""),"")</f>
        <v/>
      </c>
      <c r="H16" s="288">
        <f>IFERROR(IF('Invullen groen'!R28&lt;&gt;0,'Invullen groen'!R28,""),"")</f>
        <v/>
      </c>
    </row>
    <row r="17" ht="14" customHeight="1">
      <c r="A17" s="287">
        <f>IFERROR(IF('Invullen groen'!Q29&gt;0,12,""),"")</f>
        <v/>
      </c>
      <c r="B17" s="287">
        <f>IFERROR(IF('Invullen groen'!Q29&gt;0,'Invullen groen'!A29,""),"")</f>
        <v/>
      </c>
      <c r="C17" s="287">
        <f>IFERROR(IF('Invullen groen'!Q29&gt;0,'Invullen groen'!G29,""),"")</f>
        <v/>
      </c>
      <c r="D17" s="288">
        <f>IFERROR(IF('Invullen groen'!Q29&gt;0,'Invullen groen'!Q29,""),"")</f>
        <v/>
      </c>
      <c r="F17" s="287">
        <f>IFERROR(IF('Invullen groen'!R29&lt;&gt;0,'Invullen groen'!A29,""),"")</f>
        <v/>
      </c>
      <c r="G17" s="287">
        <f>IFERROR(IF('Invullen groen'!R29&lt;&gt;0,'Invullen groen'!G29,""),"")</f>
        <v/>
      </c>
      <c r="H17" s="288">
        <f>IFERROR(IF('Invullen groen'!R29&lt;&gt;0,'Invullen groen'!R29,""),"")</f>
        <v/>
      </c>
    </row>
    <row r="18" ht="14" customHeight="1">
      <c r="A18" s="287">
        <f>IFERROR(IF('Invullen groen'!Q30&gt;0,13,""),"")</f>
        <v/>
      </c>
      <c r="B18" s="287">
        <f>IFERROR(IF('Invullen groen'!Q30&gt;0,'Invullen groen'!A30,""),"")</f>
        <v/>
      </c>
      <c r="C18" s="287">
        <f>IFERROR(IF('Invullen groen'!Q30&gt;0,'Invullen groen'!G30,""),"")</f>
        <v/>
      </c>
      <c r="D18" s="288">
        <f>IFERROR(IF('Invullen groen'!Q30&gt;0,'Invullen groen'!Q30,""),"")</f>
        <v/>
      </c>
      <c r="F18" s="287">
        <f>IFERROR(IF('Invullen groen'!R30&lt;&gt;0,'Invullen groen'!A30,""),"")</f>
        <v/>
      </c>
      <c r="G18" s="287">
        <f>IFERROR(IF('Invullen groen'!R30&lt;&gt;0,'Invullen groen'!G30,""),"")</f>
        <v/>
      </c>
      <c r="H18" s="288">
        <f>IFERROR(IF('Invullen groen'!R30&lt;&gt;0,'Invullen groen'!R30,""),"")</f>
        <v/>
      </c>
    </row>
    <row r="19" ht="14" customHeight="1">
      <c r="A19" s="287">
        <f>IFERROR(IF('Invullen groen'!Q31&gt;0,14,""),"")</f>
        <v/>
      </c>
      <c r="B19" s="287">
        <f>IFERROR(IF('Invullen groen'!Q31&gt;0,'Invullen groen'!A31,""),"")</f>
        <v/>
      </c>
      <c r="C19" s="287">
        <f>IFERROR(IF('Invullen groen'!Q31&gt;0,'Invullen groen'!G31,""),"")</f>
        <v/>
      </c>
      <c r="D19" s="288">
        <f>IFERROR(IF('Invullen groen'!Q31&gt;0,'Invullen groen'!Q31,""),"")</f>
        <v/>
      </c>
      <c r="F19" s="287">
        <f>IFERROR(IF('Invullen groen'!R31&lt;&gt;0,'Invullen groen'!A31,""),"")</f>
        <v/>
      </c>
      <c r="G19" s="287">
        <f>IFERROR(IF('Invullen groen'!R31&lt;&gt;0,'Invullen groen'!G31,""),"")</f>
        <v/>
      </c>
      <c r="H19" s="288">
        <f>IFERROR(IF('Invullen groen'!R31&lt;&gt;0,'Invullen groen'!R31,""),"")</f>
        <v/>
      </c>
    </row>
    <row r="20" ht="14" customHeight="1">
      <c r="A20" s="287">
        <f>IFERROR(IF('Invullen groen'!Q32&gt;0,15,""),"")</f>
        <v/>
      </c>
      <c r="B20" s="287">
        <f>IFERROR(IF('Invullen groen'!Q32&gt;0,'Invullen groen'!A32,""),"")</f>
        <v/>
      </c>
      <c r="C20" s="287">
        <f>IFERROR(IF('Invullen groen'!Q32&gt;0,'Invullen groen'!G32,""),"")</f>
        <v/>
      </c>
      <c r="D20" s="288">
        <f>IFERROR(IF('Invullen groen'!Q32&gt;0,'Invullen groen'!Q32,""),"")</f>
        <v/>
      </c>
      <c r="F20" s="287">
        <f>IFERROR(IF('Invullen groen'!R32&lt;&gt;0,'Invullen groen'!A32,""),"")</f>
        <v/>
      </c>
      <c r="G20" s="287">
        <f>IFERROR(IF('Invullen groen'!R32&lt;&gt;0,'Invullen groen'!G32,""),"")</f>
        <v/>
      </c>
      <c r="H20" s="288">
        <f>IFERROR(IF('Invullen groen'!R32&lt;&gt;0,'Invullen groen'!R32,""),"")</f>
        <v/>
      </c>
    </row>
    <row r="21" ht="14" customHeight="1">
      <c r="A21" s="287">
        <f>IFERROR(IF('Invullen groen'!Q33&gt;0,16,""),"")</f>
        <v/>
      </c>
      <c r="B21" s="287">
        <f>IFERROR(IF('Invullen groen'!Q33&gt;0,'Invullen groen'!A33,""),"")</f>
        <v/>
      </c>
      <c r="C21" s="287">
        <f>IFERROR(IF('Invullen groen'!Q33&gt;0,'Invullen groen'!G33,""),"")</f>
        <v/>
      </c>
      <c r="D21" s="288">
        <f>IFERROR(IF('Invullen groen'!Q33&gt;0,'Invullen groen'!Q33,""),"")</f>
        <v/>
      </c>
      <c r="F21" s="287">
        <f>IFERROR(IF('Invullen groen'!R33&lt;&gt;0,'Invullen groen'!A33,""),"")</f>
        <v/>
      </c>
      <c r="G21" s="287">
        <f>IFERROR(IF('Invullen groen'!R33&lt;&gt;0,'Invullen groen'!G33,""),"")</f>
        <v/>
      </c>
      <c r="H21" s="288">
        <f>IFERROR(IF('Invullen groen'!R33&lt;&gt;0,'Invullen groen'!R33,""),"")</f>
        <v/>
      </c>
    </row>
    <row r="22" ht="14" customHeight="1">
      <c r="A22" s="287">
        <f>IFERROR(IF('Invullen groen'!Q34&gt;0,17,""),"")</f>
        <v/>
      </c>
      <c r="B22" s="287">
        <f>IFERROR(IF('Invullen groen'!Q34&gt;0,'Invullen groen'!A34,""),"")</f>
        <v/>
      </c>
      <c r="C22" s="287">
        <f>IFERROR(IF('Invullen groen'!Q34&gt;0,'Invullen groen'!G34,""),"")</f>
        <v/>
      </c>
      <c r="D22" s="288">
        <f>IFERROR(IF('Invullen groen'!Q34&gt;0,'Invullen groen'!Q34,""),"")</f>
        <v/>
      </c>
      <c r="F22" s="287">
        <f>IFERROR(IF('Invullen groen'!R34&lt;&gt;0,'Invullen groen'!A34,""),"")</f>
        <v/>
      </c>
      <c r="G22" s="287">
        <f>IFERROR(IF('Invullen groen'!R34&lt;&gt;0,'Invullen groen'!G34,""),"")</f>
        <v/>
      </c>
      <c r="H22" s="288">
        <f>IFERROR(IF('Invullen groen'!R34&lt;&gt;0,'Invullen groen'!R34,""),"")</f>
        <v/>
      </c>
    </row>
    <row r="23" ht="14" customHeight="1">
      <c r="A23" s="287">
        <f>IFERROR(IF('Invullen groen'!Q35&gt;0,18,""),"")</f>
        <v/>
      </c>
      <c r="B23" s="287">
        <f>IFERROR(IF('Invullen groen'!Q35&gt;0,'Invullen groen'!A35,""),"")</f>
        <v/>
      </c>
      <c r="C23" s="287">
        <f>IFERROR(IF('Invullen groen'!Q35&gt;0,'Invullen groen'!G35,""),"")</f>
        <v/>
      </c>
      <c r="D23" s="288">
        <f>IFERROR(IF('Invullen groen'!Q35&gt;0,'Invullen groen'!Q35,""),"")</f>
        <v/>
      </c>
      <c r="F23" s="287">
        <f>IFERROR(IF('Invullen groen'!R35&lt;&gt;0,'Invullen groen'!A35,""),"")</f>
        <v/>
      </c>
      <c r="G23" s="287">
        <f>IFERROR(IF('Invullen groen'!R35&lt;&gt;0,'Invullen groen'!G35,""),"")</f>
        <v/>
      </c>
      <c r="H23" s="288">
        <f>IFERROR(IF('Invullen groen'!R35&lt;&gt;0,'Invullen groen'!R35,""),"")</f>
        <v/>
      </c>
    </row>
    <row r="24" ht="14" customHeight="1">
      <c r="A24" s="287">
        <f>IFERROR(IF('Invullen groen'!Q36&gt;0,19,""),"")</f>
        <v/>
      </c>
      <c r="B24" s="287">
        <f>IFERROR(IF('Invullen groen'!Q36&gt;0,'Invullen groen'!A36,""),"")</f>
        <v/>
      </c>
      <c r="C24" s="287">
        <f>IFERROR(IF('Invullen groen'!Q36&gt;0,'Invullen groen'!G36,""),"")</f>
        <v/>
      </c>
      <c r="D24" s="288">
        <f>IFERROR(IF('Invullen groen'!Q36&gt;0,'Invullen groen'!Q36,""),"")</f>
        <v/>
      </c>
      <c r="F24" s="287">
        <f>IFERROR(IF('Invullen groen'!R36&lt;&gt;0,'Invullen groen'!A36,""),"")</f>
        <v/>
      </c>
      <c r="G24" s="287">
        <f>IFERROR(IF('Invullen groen'!R36&lt;&gt;0,'Invullen groen'!G36,""),"")</f>
        <v/>
      </c>
      <c r="H24" s="288">
        <f>IFERROR(IF('Invullen groen'!R36&lt;&gt;0,'Invullen groen'!R36,""),"")</f>
        <v/>
      </c>
    </row>
    <row r="25" ht="14" customHeight="1">
      <c r="A25" s="287">
        <f>IFERROR(IF('Invullen groen'!Q37&gt;0,20,""),"")</f>
        <v/>
      </c>
      <c r="B25" s="287">
        <f>IFERROR(IF('Invullen groen'!Q37&gt;0,'Invullen groen'!A37,""),"")</f>
        <v/>
      </c>
      <c r="C25" s="287">
        <f>IFERROR(IF('Invullen groen'!Q37&gt;0,'Invullen groen'!G37,""),"")</f>
        <v/>
      </c>
      <c r="D25" s="288">
        <f>IFERROR(IF('Invullen groen'!Q37&gt;0,'Invullen groen'!Q37,""),"")</f>
        <v/>
      </c>
      <c r="F25" s="287">
        <f>IFERROR(IF('Invullen groen'!R37&lt;&gt;0,'Invullen groen'!A37,""),"")</f>
        <v/>
      </c>
      <c r="G25" s="287">
        <f>IFERROR(IF('Invullen groen'!R37&lt;&gt;0,'Invullen groen'!G37,""),"")</f>
        <v/>
      </c>
      <c r="H25" s="288">
        <f>IFERROR(IF('Invullen groen'!R37&lt;&gt;0,'Invullen groen'!R37,""),"")</f>
        <v/>
      </c>
    </row>
    <row r="26" ht="14" customHeight="1">
      <c r="A26" s="287">
        <f>IFERROR(IF('Invullen groen'!Q38&gt;0,21,""),"")</f>
        <v/>
      </c>
      <c r="B26" s="287">
        <f>IFERROR(IF('Invullen groen'!Q38&gt;0,'Invullen groen'!A38,""),"")</f>
        <v/>
      </c>
      <c r="C26" s="287">
        <f>IFERROR(IF('Invullen groen'!Q38&gt;0,'Invullen groen'!G38,""),"")</f>
        <v/>
      </c>
      <c r="D26" s="288">
        <f>IFERROR(IF('Invullen groen'!Q38&gt;0,'Invullen groen'!Q38,""),"")</f>
        <v/>
      </c>
      <c r="F26" s="287">
        <f>IFERROR(IF('Invullen groen'!R38&lt;&gt;0,'Invullen groen'!A38,""),"")</f>
        <v/>
      </c>
      <c r="G26" s="287">
        <f>IFERROR(IF('Invullen groen'!R38&lt;&gt;0,'Invullen groen'!G38,""),"")</f>
        <v/>
      </c>
      <c r="H26" s="288">
        <f>IFERROR(IF('Invullen groen'!R38&lt;&gt;0,'Invullen groen'!R38,""),"")</f>
        <v/>
      </c>
    </row>
    <row r="27" ht="14" customHeight="1">
      <c r="A27" s="287">
        <f>IFERROR(IF('Invullen groen'!Q39&gt;0,22,""),"")</f>
        <v/>
      </c>
      <c r="B27" s="287">
        <f>IFERROR(IF('Invullen groen'!Q39&gt;0,'Invullen groen'!A39,""),"")</f>
        <v/>
      </c>
      <c r="C27" s="287">
        <f>IFERROR(IF('Invullen groen'!Q39&gt;0,'Invullen groen'!G39,""),"")</f>
        <v/>
      </c>
      <c r="D27" s="288">
        <f>IFERROR(IF('Invullen groen'!Q39&gt;0,'Invullen groen'!Q39,""),"")</f>
        <v/>
      </c>
      <c r="F27" s="287">
        <f>IFERROR(IF('Invullen groen'!R39&lt;&gt;0,'Invullen groen'!A39,""),"")</f>
        <v/>
      </c>
      <c r="G27" s="287">
        <f>IFERROR(IF('Invullen groen'!R39&lt;&gt;0,'Invullen groen'!G39,""),"")</f>
        <v/>
      </c>
      <c r="H27" s="288">
        <f>IFERROR(IF('Invullen groen'!R39&lt;&gt;0,'Invullen groen'!R39,""),"")</f>
        <v/>
      </c>
    </row>
    <row r="28" ht="14" customHeight="1">
      <c r="A28" s="287">
        <f>IFERROR(IF('Invullen groen'!Q40&gt;0,23,""),"")</f>
        <v/>
      </c>
      <c r="B28" s="287">
        <f>IFERROR(IF('Invullen groen'!Q40&gt;0,'Invullen groen'!A40,""),"")</f>
        <v/>
      </c>
      <c r="C28" s="287">
        <f>IFERROR(IF('Invullen groen'!Q40&gt;0,'Invullen groen'!G40,""),"")</f>
        <v/>
      </c>
      <c r="D28" s="288">
        <f>IFERROR(IF('Invullen groen'!Q40&gt;0,'Invullen groen'!Q40,""),"")</f>
        <v/>
      </c>
      <c r="F28" s="287">
        <f>IFERROR(IF('Invullen groen'!R40&lt;&gt;0,'Invullen groen'!A40,""),"")</f>
        <v/>
      </c>
      <c r="G28" s="287">
        <f>IFERROR(IF('Invullen groen'!R40&lt;&gt;0,'Invullen groen'!G40,""),"")</f>
        <v/>
      </c>
      <c r="H28" s="288">
        <f>IFERROR(IF('Invullen groen'!R40&lt;&gt;0,'Invullen groen'!R40,""),"")</f>
        <v/>
      </c>
    </row>
    <row r="29" ht="14" customHeight="1">
      <c r="A29" s="287">
        <f>IFERROR(IF('Invullen groen'!Q41&gt;0,24,""),"")</f>
        <v/>
      </c>
      <c r="B29" s="287">
        <f>IFERROR(IF('Invullen groen'!Q41&gt;0,'Invullen groen'!A41,""),"")</f>
        <v/>
      </c>
      <c r="C29" s="287">
        <f>IFERROR(IF('Invullen groen'!Q41&gt;0,'Invullen groen'!G41,""),"")</f>
        <v/>
      </c>
      <c r="D29" s="288">
        <f>IFERROR(IF('Invullen groen'!Q41&gt;0,'Invullen groen'!Q41,""),"")</f>
        <v/>
      </c>
      <c r="F29" s="287">
        <f>IFERROR(IF('Invullen groen'!R41&lt;&gt;0,'Invullen groen'!A41,""),"")</f>
        <v/>
      </c>
      <c r="G29" s="287">
        <f>IFERROR(IF('Invullen groen'!R41&lt;&gt;0,'Invullen groen'!G41,""),"")</f>
        <v/>
      </c>
      <c r="H29" s="288">
        <f>IFERROR(IF('Invullen groen'!R41&lt;&gt;0,'Invullen groen'!R41,""),"")</f>
        <v/>
      </c>
    </row>
    <row r="30" ht="14" customHeight="1">
      <c r="A30" s="287">
        <f>IFERROR(IF('Invullen groen'!Q42&gt;0,25,""),"")</f>
        <v/>
      </c>
      <c r="B30" s="287">
        <f>IFERROR(IF('Invullen groen'!Q42&gt;0,'Invullen groen'!A42,""),"")</f>
        <v/>
      </c>
      <c r="C30" s="287">
        <f>IFERROR(IF('Invullen groen'!Q42&gt;0,'Invullen groen'!G42,""),"")</f>
        <v/>
      </c>
      <c r="D30" s="288">
        <f>IFERROR(IF('Invullen groen'!Q42&gt;0,'Invullen groen'!Q42,""),"")</f>
        <v/>
      </c>
      <c r="F30" s="287">
        <f>IFERROR(IF('Invullen groen'!R42&lt;&gt;0,'Invullen groen'!A42,""),"")</f>
        <v/>
      </c>
      <c r="G30" s="287">
        <f>IFERROR(IF('Invullen groen'!R42&lt;&gt;0,'Invullen groen'!G42,""),"")</f>
        <v/>
      </c>
      <c r="H30" s="288">
        <f>IFERROR(IF('Invullen groen'!R42&lt;&gt;0,'Invullen groen'!R42,""),"")</f>
        <v/>
      </c>
    </row>
    <row r="31" ht="14" customHeight="1">
      <c r="A31" s="287">
        <f>IFERROR(IF('Invullen groen'!Q43&gt;0,26,""),"")</f>
        <v/>
      </c>
      <c r="B31" s="287">
        <f>IFERROR(IF('Invullen groen'!Q43&gt;0,'Invullen groen'!A43,""),"")</f>
        <v/>
      </c>
      <c r="C31" s="287">
        <f>IFERROR(IF('Invullen groen'!Q43&gt;0,'Invullen groen'!G43,""),"")</f>
        <v/>
      </c>
      <c r="D31" s="288">
        <f>IFERROR(IF('Invullen groen'!Q43&gt;0,'Invullen groen'!Q43,""),"")</f>
        <v/>
      </c>
      <c r="F31" s="287">
        <f>IFERROR(IF('Invullen groen'!R43&lt;&gt;0,'Invullen groen'!A43,""),"")</f>
        <v/>
      </c>
      <c r="G31" s="287">
        <f>IFERROR(IF('Invullen groen'!R43&lt;&gt;0,'Invullen groen'!G43,""),"")</f>
        <v/>
      </c>
      <c r="H31" s="288">
        <f>IFERROR(IF('Invullen groen'!R43&lt;&gt;0,'Invullen groen'!R43,""),"")</f>
        <v/>
      </c>
    </row>
    <row r="32" ht="14" customHeight="1">
      <c r="A32" s="287">
        <f>IFERROR(IF('Invullen groen'!Q44&gt;0,27,""),"")</f>
        <v/>
      </c>
      <c r="B32" s="287">
        <f>IFERROR(IF('Invullen groen'!Q44&gt;0,'Invullen groen'!A44,""),"")</f>
        <v/>
      </c>
      <c r="C32" s="287">
        <f>IFERROR(IF('Invullen groen'!Q44&gt;0,'Invullen groen'!G44,""),"")</f>
        <v/>
      </c>
      <c r="D32" s="288">
        <f>IFERROR(IF('Invullen groen'!Q44&gt;0,'Invullen groen'!Q44,""),"")</f>
        <v/>
      </c>
      <c r="F32" s="287">
        <f>IFERROR(IF('Invullen groen'!R44&lt;&gt;0,'Invullen groen'!A44,""),"")</f>
        <v/>
      </c>
      <c r="G32" s="287">
        <f>IFERROR(IF('Invullen groen'!R44&lt;&gt;0,'Invullen groen'!G44,""),"")</f>
        <v/>
      </c>
      <c r="H32" s="288">
        <f>IFERROR(IF('Invullen groen'!R44&lt;&gt;0,'Invullen groen'!R44,""),"")</f>
        <v/>
      </c>
    </row>
    <row r="33" ht="14" customHeight="1">
      <c r="A33" s="287">
        <f>IFERROR(IF('Invullen groen'!Q45&gt;0,28,""),"")</f>
        <v/>
      </c>
      <c r="B33" s="287">
        <f>IFERROR(IF('Invullen groen'!Q45&gt;0,'Invullen groen'!A45,""),"")</f>
        <v/>
      </c>
      <c r="C33" s="287">
        <f>IFERROR(IF('Invullen groen'!Q45&gt;0,'Invullen groen'!G45,""),"")</f>
        <v/>
      </c>
      <c r="D33" s="288">
        <f>IFERROR(IF('Invullen groen'!Q45&gt;0,'Invullen groen'!Q45,""),"")</f>
        <v/>
      </c>
      <c r="F33" s="287">
        <f>IFERROR(IF('Invullen groen'!R45&lt;&gt;0,'Invullen groen'!A45,""),"")</f>
        <v/>
      </c>
      <c r="G33" s="287">
        <f>IFERROR(IF('Invullen groen'!R45&lt;&gt;0,'Invullen groen'!G45,""),"")</f>
        <v/>
      </c>
      <c r="H33" s="288">
        <f>IFERROR(IF('Invullen groen'!R45&lt;&gt;0,'Invullen groen'!R45,""),"")</f>
        <v/>
      </c>
    </row>
    <row r="34" ht="14" customHeight="1">
      <c r="A34" s="287">
        <f>IFERROR(IF('Invullen groen'!Q46&gt;0,29,""),"")</f>
        <v/>
      </c>
      <c r="B34" s="287">
        <f>IFERROR(IF('Invullen groen'!Q46&gt;0,'Invullen groen'!A46,""),"")</f>
        <v/>
      </c>
      <c r="C34" s="287">
        <f>IFERROR(IF('Invullen groen'!Q46&gt;0,'Invullen groen'!G46,""),"")</f>
        <v/>
      </c>
      <c r="D34" s="288">
        <f>IFERROR(IF('Invullen groen'!Q46&gt;0,'Invullen groen'!Q46,""),"")</f>
        <v/>
      </c>
      <c r="F34" s="287">
        <f>IFERROR(IF('Invullen groen'!R46&lt;&gt;0,'Invullen groen'!A46,""),"")</f>
        <v/>
      </c>
      <c r="G34" s="287">
        <f>IFERROR(IF('Invullen groen'!R46&lt;&gt;0,'Invullen groen'!G46,""),"")</f>
        <v/>
      </c>
      <c r="H34" s="288">
        <f>IFERROR(IF('Invullen groen'!R46&lt;&gt;0,'Invullen groen'!R46,""),"")</f>
        <v/>
      </c>
    </row>
    <row r="35" ht="14" customHeight="1">
      <c r="A35" s="287">
        <f>IFERROR(IF('Invullen groen'!Q47&gt;0,30,""),"")</f>
        <v/>
      </c>
      <c r="B35" s="287">
        <f>IFERROR(IF('Invullen groen'!Q47&gt;0,'Invullen groen'!A47,""),"")</f>
        <v/>
      </c>
      <c r="C35" s="287">
        <f>IFERROR(IF('Invullen groen'!Q47&gt;0,'Invullen groen'!G47,""),"")</f>
        <v/>
      </c>
      <c r="D35" s="288">
        <f>IFERROR(IF('Invullen groen'!Q47&gt;0,'Invullen groen'!Q47,""),"")</f>
        <v/>
      </c>
      <c r="F35" s="287">
        <f>IFERROR(IF('Invullen groen'!R47&lt;&gt;0,'Invullen groen'!A47,""),"")</f>
        <v/>
      </c>
      <c r="G35" s="287">
        <f>IFERROR(IF('Invullen groen'!R47&lt;&gt;0,'Invullen groen'!G47,""),"")</f>
        <v/>
      </c>
      <c r="H35" s="288">
        <f>IFERROR(IF('Invullen groen'!R47&lt;&gt;0,'Invullen groen'!R47,""),"")</f>
        <v/>
      </c>
    </row>
    <row r="36" ht="14" customHeight="1">
      <c r="A36" s="287">
        <f>IFERROR(IF('Invullen groen'!Q48&gt;0,31,""),"")</f>
        <v/>
      </c>
      <c r="B36" s="287">
        <f>IFERROR(IF('Invullen groen'!Q48&gt;0,'Invullen groen'!A48,""),"")</f>
        <v/>
      </c>
      <c r="C36" s="287">
        <f>IFERROR(IF('Invullen groen'!Q48&gt;0,'Invullen groen'!G48,""),"")</f>
        <v/>
      </c>
      <c r="D36" s="288">
        <f>IFERROR(IF('Invullen groen'!Q48&gt;0,'Invullen groen'!Q48,""),"")</f>
        <v/>
      </c>
      <c r="F36" s="287">
        <f>IFERROR(IF('Invullen groen'!R48&lt;&gt;0,'Invullen groen'!A48,""),"")</f>
        <v/>
      </c>
      <c r="G36" s="287">
        <f>IFERROR(IF('Invullen groen'!R48&lt;&gt;0,'Invullen groen'!G48,""),"")</f>
        <v/>
      </c>
      <c r="H36" s="288">
        <f>IFERROR(IF('Invullen groen'!R48&lt;&gt;0,'Invullen groen'!R48,""),"")</f>
        <v/>
      </c>
    </row>
    <row r="37" ht="14" customHeight="1">
      <c r="A37" s="287">
        <f>IFERROR(IF('Invullen groen'!Q49&gt;0,32,""),"")</f>
        <v/>
      </c>
      <c r="B37" s="287">
        <f>IFERROR(IF('Invullen groen'!Q49&gt;0,'Invullen groen'!A49,""),"")</f>
        <v/>
      </c>
      <c r="C37" s="287">
        <f>IFERROR(IF('Invullen groen'!Q49&gt;0,'Invullen groen'!G49,""),"")</f>
        <v/>
      </c>
      <c r="D37" s="288">
        <f>IFERROR(IF('Invullen groen'!Q49&gt;0,'Invullen groen'!Q49,""),"")</f>
        <v/>
      </c>
      <c r="F37" s="287">
        <f>IFERROR(IF('Invullen groen'!R49&lt;&gt;0,'Invullen groen'!A49,""),"")</f>
        <v/>
      </c>
      <c r="G37" s="287">
        <f>IFERROR(IF('Invullen groen'!R49&lt;&gt;0,'Invullen groen'!G49,""),"")</f>
        <v/>
      </c>
      <c r="H37" s="288">
        <f>IFERROR(IF('Invullen groen'!R49&lt;&gt;0,'Invullen groen'!R49,""),"")</f>
        <v/>
      </c>
    </row>
    <row r="38" ht="14" customHeight="1">
      <c r="A38" s="287">
        <f>IFERROR(IF('Invullen groen'!Q50&gt;0,33,""),"")</f>
        <v/>
      </c>
      <c r="B38" s="287">
        <f>IFERROR(IF('Invullen groen'!Q50&gt;0,'Invullen groen'!A50,""),"")</f>
        <v/>
      </c>
      <c r="C38" s="287">
        <f>IFERROR(IF('Invullen groen'!Q50&gt;0,'Invullen groen'!G50,""),"")</f>
        <v/>
      </c>
      <c r="D38" s="288">
        <f>IFERROR(IF('Invullen groen'!Q50&gt;0,'Invullen groen'!Q50,""),"")</f>
        <v/>
      </c>
      <c r="F38" s="287">
        <f>IFERROR(IF('Invullen groen'!R50&lt;&gt;0,'Invullen groen'!A50,""),"")</f>
        <v/>
      </c>
      <c r="G38" s="287">
        <f>IFERROR(IF('Invullen groen'!R50&lt;&gt;0,'Invullen groen'!G50,""),"")</f>
        <v/>
      </c>
      <c r="H38" s="288">
        <f>IFERROR(IF('Invullen groen'!R50&lt;&gt;0,'Invullen groen'!R50,""),"")</f>
        <v/>
      </c>
    </row>
    <row r="39" ht="14" customHeight="1">
      <c r="A39" s="287">
        <f>IFERROR(IF('Invullen groen'!Q51&gt;0,34,""),"")</f>
        <v/>
      </c>
      <c r="B39" s="287">
        <f>IFERROR(IF('Invullen groen'!Q51&gt;0,'Invullen groen'!A51,""),"")</f>
        <v/>
      </c>
      <c r="C39" s="287">
        <f>IFERROR(IF('Invullen groen'!Q51&gt;0,'Invullen groen'!G51,""),"")</f>
        <v/>
      </c>
      <c r="D39" s="288">
        <f>IFERROR(IF('Invullen groen'!Q51&gt;0,'Invullen groen'!Q51,""),"")</f>
        <v/>
      </c>
      <c r="F39" s="287">
        <f>IFERROR(IF('Invullen groen'!R51&lt;&gt;0,'Invullen groen'!A51,""),"")</f>
        <v/>
      </c>
      <c r="G39" s="287">
        <f>IFERROR(IF('Invullen groen'!R51&lt;&gt;0,'Invullen groen'!G51,""),"")</f>
        <v/>
      </c>
      <c r="H39" s="288">
        <f>IFERROR(IF('Invullen groen'!R51&lt;&gt;0,'Invullen groen'!R51,""),"")</f>
        <v/>
      </c>
    </row>
    <row r="40" ht="14" customHeight="1">
      <c r="A40" s="287">
        <f>IFERROR(IF('Invullen groen'!Q52&gt;0,35,""),"")</f>
        <v/>
      </c>
      <c r="B40" s="287">
        <f>IFERROR(IF('Invullen groen'!Q52&gt;0,'Invullen groen'!A52,""),"")</f>
        <v/>
      </c>
      <c r="C40" s="287">
        <f>IFERROR(IF('Invullen groen'!Q52&gt;0,'Invullen groen'!G52,""),"")</f>
        <v/>
      </c>
      <c r="D40" s="288">
        <f>IFERROR(IF('Invullen groen'!Q52&gt;0,'Invullen groen'!Q52,""),"")</f>
        <v/>
      </c>
      <c r="F40" s="287">
        <f>IFERROR(IF('Invullen groen'!R52&lt;&gt;0,'Invullen groen'!A52,""),"")</f>
        <v/>
      </c>
      <c r="G40" s="287">
        <f>IFERROR(IF('Invullen groen'!R52&lt;&gt;0,'Invullen groen'!G52,""),"")</f>
        <v/>
      </c>
      <c r="H40" s="288">
        <f>IFERROR(IF('Invullen groen'!R52&lt;&gt;0,'Invullen groen'!R52,""),"")</f>
        <v/>
      </c>
    </row>
    <row r="41" ht="14" customHeight="1">
      <c r="A41" s="287">
        <f>IFERROR(IF('Invullen groen'!Q53&gt;0,36,""),"")</f>
        <v/>
      </c>
      <c r="B41" s="287">
        <f>IFERROR(IF('Invullen groen'!Q53&gt;0,'Invullen groen'!A53,""),"")</f>
        <v/>
      </c>
      <c r="C41" s="287">
        <f>IFERROR(IF('Invullen groen'!Q53&gt;0,'Invullen groen'!G53,""),"")</f>
        <v/>
      </c>
      <c r="D41" s="288">
        <f>IFERROR(IF('Invullen groen'!Q53&gt;0,'Invullen groen'!Q53,""),"")</f>
        <v/>
      </c>
      <c r="F41" s="287">
        <f>IFERROR(IF('Invullen groen'!R53&lt;&gt;0,'Invullen groen'!A53,""),"")</f>
        <v/>
      </c>
      <c r="G41" s="287">
        <f>IFERROR(IF('Invullen groen'!R53&lt;&gt;0,'Invullen groen'!G53,""),"")</f>
        <v/>
      </c>
      <c r="H41" s="288">
        <f>IFERROR(IF('Invullen groen'!R53&lt;&gt;0,'Invullen groen'!R53,""),"")</f>
        <v/>
      </c>
    </row>
    <row r="42" ht="14" customHeight="1">
      <c r="A42" s="287">
        <f>IFERROR(IF('Invullen groen'!Q54&gt;0,37,""),"")</f>
        <v/>
      </c>
      <c r="B42" s="287">
        <f>IFERROR(IF('Invullen groen'!Q54&gt;0,'Invullen groen'!A54,""),"")</f>
        <v/>
      </c>
      <c r="C42" s="287">
        <f>IFERROR(IF('Invullen groen'!Q54&gt;0,'Invullen groen'!G54,""),"")</f>
        <v/>
      </c>
      <c r="D42" s="288">
        <f>IFERROR(IF('Invullen groen'!Q54&gt;0,'Invullen groen'!Q54,""),"")</f>
        <v/>
      </c>
      <c r="F42" s="287">
        <f>IFERROR(IF('Invullen groen'!R54&lt;&gt;0,'Invullen groen'!A54,""),"")</f>
        <v/>
      </c>
      <c r="G42" s="287">
        <f>IFERROR(IF('Invullen groen'!R54&lt;&gt;0,'Invullen groen'!G54,""),"")</f>
        <v/>
      </c>
      <c r="H42" s="288">
        <f>IFERROR(IF('Invullen groen'!R54&lt;&gt;0,'Invullen groen'!R54,""),"")</f>
        <v/>
      </c>
    </row>
    <row r="43" ht="14" customHeight="1">
      <c r="A43" s="287">
        <f>IFERROR(IF('Invullen groen'!Q55&gt;0,38,""),"")</f>
        <v/>
      </c>
      <c r="B43" s="287">
        <f>IFERROR(IF('Invullen groen'!Q55&gt;0,'Invullen groen'!A55,""),"")</f>
        <v/>
      </c>
      <c r="C43" s="287">
        <f>IFERROR(IF('Invullen groen'!Q55&gt;0,'Invullen groen'!G55,""),"")</f>
        <v/>
      </c>
      <c r="D43" s="288">
        <f>IFERROR(IF('Invullen groen'!Q55&gt;0,'Invullen groen'!Q55,""),"")</f>
        <v/>
      </c>
      <c r="F43" s="287">
        <f>IFERROR(IF('Invullen groen'!R55&lt;&gt;0,'Invullen groen'!A55,""),"")</f>
        <v/>
      </c>
      <c r="G43" s="287">
        <f>IFERROR(IF('Invullen groen'!R55&lt;&gt;0,'Invullen groen'!G55,""),"")</f>
        <v/>
      </c>
      <c r="H43" s="288">
        <f>IFERROR(IF('Invullen groen'!R55&lt;&gt;0,'Invullen groen'!R55,""),"")</f>
        <v/>
      </c>
    </row>
    <row r="44" ht="14" customHeight="1">
      <c r="A44" s="287">
        <f>IFERROR(IF('Invullen groen'!Q56&gt;0,39,""),"")</f>
        <v/>
      </c>
      <c r="B44" s="287">
        <f>IFERROR(IF('Invullen groen'!Q56&gt;0,'Invullen groen'!A56,""),"")</f>
        <v/>
      </c>
      <c r="C44" s="287">
        <f>IFERROR(IF('Invullen groen'!Q56&gt;0,'Invullen groen'!G56,""),"")</f>
        <v/>
      </c>
      <c r="D44" s="288">
        <f>IFERROR(IF('Invullen groen'!Q56&gt;0,'Invullen groen'!Q56,""),"")</f>
        <v/>
      </c>
      <c r="F44" s="287">
        <f>IFERROR(IF('Invullen groen'!R56&lt;&gt;0,'Invullen groen'!A56,""),"")</f>
        <v/>
      </c>
      <c r="G44" s="287">
        <f>IFERROR(IF('Invullen groen'!R56&lt;&gt;0,'Invullen groen'!G56,""),"")</f>
        <v/>
      </c>
      <c r="H44" s="288">
        <f>IFERROR(IF('Invullen groen'!R56&lt;&gt;0,'Invullen groen'!R56,""),"")</f>
        <v/>
      </c>
    </row>
    <row r="45" ht="14" customHeight="1">
      <c r="A45" s="287">
        <f>IFERROR(IF('Invullen groen'!Q57&gt;0,40,""),"")</f>
        <v/>
      </c>
      <c r="B45" s="287">
        <f>IFERROR(IF('Invullen groen'!Q57&gt;0,'Invullen groen'!A57,""),"")</f>
        <v/>
      </c>
      <c r="C45" s="287">
        <f>IFERROR(IF('Invullen groen'!Q57&gt;0,'Invullen groen'!G57,""),"")</f>
        <v/>
      </c>
      <c r="D45" s="288">
        <f>IFERROR(IF('Invullen groen'!Q57&gt;0,'Invullen groen'!Q57,""),"")</f>
        <v/>
      </c>
      <c r="F45" s="287">
        <f>IFERROR(IF('Invullen groen'!R57&lt;&gt;0,'Invullen groen'!A57,""),"")</f>
        <v/>
      </c>
      <c r="G45" s="287">
        <f>IFERROR(IF('Invullen groen'!R57&lt;&gt;0,'Invullen groen'!G57,""),"")</f>
        <v/>
      </c>
      <c r="H45" s="288">
        <f>IFERROR(IF('Invullen groen'!R57&lt;&gt;0,'Invullen groen'!R57,""),"")</f>
        <v/>
      </c>
    </row>
    <row r="46" ht="14" customHeight="1">
      <c r="A46" s="287">
        <f>IFERROR(IF('Invullen groen'!Q58&gt;0,41,""),"")</f>
        <v/>
      </c>
      <c r="B46" s="287">
        <f>IFERROR(IF('Invullen groen'!Q58&gt;0,'Invullen groen'!A58,""),"")</f>
        <v/>
      </c>
      <c r="C46" s="287">
        <f>IFERROR(IF('Invullen groen'!Q58&gt;0,'Invullen groen'!G58,""),"")</f>
        <v/>
      </c>
      <c r="D46" s="288">
        <f>IFERROR(IF('Invullen groen'!Q58&gt;0,'Invullen groen'!Q58,""),"")</f>
        <v/>
      </c>
      <c r="F46" s="287">
        <f>IFERROR(IF('Invullen groen'!R58&lt;&gt;0,'Invullen groen'!A58,""),"")</f>
        <v/>
      </c>
      <c r="G46" s="287">
        <f>IFERROR(IF('Invullen groen'!R58&lt;&gt;0,'Invullen groen'!G58,""),"")</f>
        <v/>
      </c>
      <c r="H46" s="288">
        <f>IFERROR(IF('Invullen groen'!R58&lt;&gt;0,'Invullen groen'!R58,""),"")</f>
        <v/>
      </c>
    </row>
    <row r="47" ht="14" customHeight="1">
      <c r="A47" s="287">
        <f>IFERROR(IF('Invullen groen'!Q59&gt;0,42,""),"")</f>
        <v/>
      </c>
      <c r="B47" s="287">
        <f>IFERROR(IF('Invullen groen'!Q59&gt;0,'Invullen groen'!A59,""),"")</f>
        <v/>
      </c>
      <c r="C47" s="287">
        <f>IFERROR(IF('Invullen groen'!Q59&gt;0,'Invullen groen'!G59,""),"")</f>
        <v/>
      </c>
      <c r="D47" s="288">
        <f>IFERROR(IF('Invullen groen'!Q59&gt;0,'Invullen groen'!Q59,""),"")</f>
        <v/>
      </c>
      <c r="F47" s="287">
        <f>IFERROR(IF('Invullen groen'!R59&lt;&gt;0,'Invullen groen'!A59,""),"")</f>
        <v/>
      </c>
      <c r="G47" s="287">
        <f>IFERROR(IF('Invullen groen'!R59&lt;&gt;0,'Invullen groen'!G59,""),"")</f>
        <v/>
      </c>
      <c r="H47" s="288">
        <f>IFERROR(IF('Invullen groen'!R59&lt;&gt;0,'Invullen groen'!R59,""),"")</f>
        <v/>
      </c>
    </row>
    <row r="48" ht="14" customHeight="1">
      <c r="A48" s="287">
        <f>IFERROR(IF('Invullen groen'!Q60&gt;0,43,""),"")</f>
        <v/>
      </c>
      <c r="B48" s="287">
        <f>IFERROR(IF('Invullen groen'!Q60&gt;0,'Invullen groen'!A60,""),"")</f>
        <v/>
      </c>
      <c r="C48" s="287">
        <f>IFERROR(IF('Invullen groen'!Q60&gt;0,'Invullen groen'!G60,""),"")</f>
        <v/>
      </c>
      <c r="D48" s="288">
        <f>IFERROR(IF('Invullen groen'!Q60&gt;0,'Invullen groen'!Q60,""),"")</f>
        <v/>
      </c>
      <c r="F48" s="287">
        <f>IFERROR(IF('Invullen groen'!R60&lt;&gt;0,'Invullen groen'!A60,""),"")</f>
        <v/>
      </c>
      <c r="G48" s="287">
        <f>IFERROR(IF('Invullen groen'!R60&lt;&gt;0,'Invullen groen'!G60,""),"")</f>
        <v/>
      </c>
      <c r="H48" s="288">
        <f>IFERROR(IF('Invullen groen'!R60&lt;&gt;0,'Invullen groen'!R60,""),"")</f>
        <v/>
      </c>
    </row>
    <row r="49" ht="14" customHeight="1">
      <c r="A49" s="287">
        <f>IFERROR(IF('Invullen groen'!Q61&gt;0,44,""),"")</f>
        <v/>
      </c>
      <c r="B49" s="287">
        <f>IFERROR(IF('Invullen groen'!Q61&gt;0,'Invullen groen'!A61,""),"")</f>
        <v/>
      </c>
      <c r="C49" s="287">
        <f>IFERROR(IF('Invullen groen'!Q61&gt;0,'Invullen groen'!G61,""),"")</f>
        <v/>
      </c>
      <c r="D49" s="288">
        <f>IFERROR(IF('Invullen groen'!Q61&gt;0,'Invullen groen'!Q61,""),"")</f>
        <v/>
      </c>
      <c r="F49" s="287">
        <f>IFERROR(IF('Invullen groen'!R61&lt;&gt;0,'Invullen groen'!A61,""),"")</f>
        <v/>
      </c>
      <c r="G49" s="287">
        <f>IFERROR(IF('Invullen groen'!R61&lt;&gt;0,'Invullen groen'!G61,""),"")</f>
        <v/>
      </c>
      <c r="H49" s="288">
        <f>IFERROR(IF('Invullen groen'!R61&lt;&gt;0,'Invullen groen'!R61,""),"")</f>
        <v/>
      </c>
    </row>
    <row r="50" ht="14" customHeight="1">
      <c r="A50" s="287">
        <f>IFERROR(IF('Invullen groen'!Q62&gt;0,45,""),"")</f>
        <v/>
      </c>
      <c r="B50" s="287">
        <f>IFERROR(IF('Invullen groen'!Q62&gt;0,'Invullen groen'!A62,""),"")</f>
        <v/>
      </c>
      <c r="C50" s="287">
        <f>IFERROR(IF('Invullen groen'!Q62&gt;0,'Invullen groen'!G62,""),"")</f>
        <v/>
      </c>
      <c r="D50" s="288">
        <f>IFERROR(IF('Invullen groen'!Q62&gt;0,'Invullen groen'!Q62,""),"")</f>
        <v/>
      </c>
      <c r="F50" s="287">
        <f>IFERROR(IF('Invullen groen'!R62&lt;&gt;0,'Invullen groen'!A62,""),"")</f>
        <v/>
      </c>
      <c r="G50" s="287">
        <f>IFERROR(IF('Invullen groen'!R62&lt;&gt;0,'Invullen groen'!G62,""),"")</f>
        <v/>
      </c>
      <c r="H50" s="288">
        <f>IFERROR(IF('Invullen groen'!R62&lt;&gt;0,'Invullen groen'!R62,""),"")</f>
        <v/>
      </c>
    </row>
    <row r="51" ht="14" customHeight="1">
      <c r="A51" s="287">
        <f>IFERROR(IF('Invullen groen'!Q63&gt;0,46,""),"")</f>
        <v/>
      </c>
      <c r="B51" s="287">
        <f>IFERROR(IF('Invullen groen'!Q63&gt;0,'Invullen groen'!A63,""),"")</f>
        <v/>
      </c>
      <c r="C51" s="287">
        <f>IFERROR(IF('Invullen groen'!Q63&gt;0,'Invullen groen'!G63,""),"")</f>
        <v/>
      </c>
      <c r="D51" s="288">
        <f>IFERROR(IF('Invullen groen'!Q63&gt;0,'Invullen groen'!Q63,""),"")</f>
        <v/>
      </c>
      <c r="F51" s="287">
        <f>IFERROR(IF('Invullen groen'!R63&lt;&gt;0,'Invullen groen'!A63,""),"")</f>
        <v/>
      </c>
      <c r="G51" s="287">
        <f>IFERROR(IF('Invullen groen'!R63&lt;&gt;0,'Invullen groen'!G63,""),"")</f>
        <v/>
      </c>
      <c r="H51" s="288">
        <f>IFERROR(IF('Invullen groen'!R63&lt;&gt;0,'Invullen groen'!R63,""),"")</f>
        <v/>
      </c>
    </row>
    <row r="52" ht="14" customHeight="1">
      <c r="A52" s="287">
        <f>IFERROR(IF('Invullen groen'!Q64&gt;0,47,""),"")</f>
        <v/>
      </c>
      <c r="B52" s="287">
        <f>IFERROR(IF('Invullen groen'!Q64&gt;0,'Invullen groen'!A64,""),"")</f>
        <v/>
      </c>
      <c r="C52" s="287">
        <f>IFERROR(IF('Invullen groen'!Q64&gt;0,'Invullen groen'!G64,""),"")</f>
        <v/>
      </c>
      <c r="D52" s="288">
        <f>IFERROR(IF('Invullen groen'!Q64&gt;0,'Invullen groen'!Q64,""),"")</f>
        <v/>
      </c>
      <c r="F52" s="287">
        <f>IFERROR(IF('Invullen groen'!R64&lt;&gt;0,'Invullen groen'!A64,""),"")</f>
        <v/>
      </c>
      <c r="G52" s="287">
        <f>IFERROR(IF('Invullen groen'!R64&lt;&gt;0,'Invullen groen'!G64,""),"")</f>
        <v/>
      </c>
      <c r="H52" s="288">
        <f>IFERROR(IF('Invullen groen'!R64&lt;&gt;0,'Invullen groen'!R64,""),"")</f>
        <v/>
      </c>
    </row>
    <row r="53" ht="14" customHeight="1">
      <c r="A53" s="287">
        <f>IFERROR(IF('Invullen groen'!Q65&gt;0,48,""),"")</f>
        <v/>
      </c>
      <c r="B53" s="287">
        <f>IFERROR(IF('Invullen groen'!Q65&gt;0,'Invullen groen'!A65,""),"")</f>
        <v/>
      </c>
      <c r="C53" s="287">
        <f>IFERROR(IF('Invullen groen'!Q65&gt;0,'Invullen groen'!G65,""),"")</f>
        <v/>
      </c>
      <c r="D53" s="288">
        <f>IFERROR(IF('Invullen groen'!Q65&gt;0,'Invullen groen'!Q65,""),"")</f>
        <v/>
      </c>
      <c r="F53" s="287">
        <f>IFERROR(IF('Invullen groen'!R65&lt;&gt;0,'Invullen groen'!A65,""),"")</f>
        <v/>
      </c>
      <c r="G53" s="287">
        <f>IFERROR(IF('Invullen groen'!R65&lt;&gt;0,'Invullen groen'!G65,""),"")</f>
        <v/>
      </c>
      <c r="H53" s="288">
        <f>IFERROR(IF('Invullen groen'!R65&lt;&gt;0,'Invullen groen'!R65,""),"")</f>
        <v/>
      </c>
    </row>
    <row r="54" ht="14" customHeight="1">
      <c r="A54" s="287">
        <f>IFERROR(IF('Invullen groen'!Q66&gt;0,49,""),"")</f>
        <v/>
      </c>
      <c r="B54" s="287">
        <f>IFERROR(IF('Invullen groen'!Q66&gt;0,'Invullen groen'!A66,""),"")</f>
        <v/>
      </c>
      <c r="C54" s="287">
        <f>IFERROR(IF('Invullen groen'!Q66&gt;0,'Invullen groen'!G66,""),"")</f>
        <v/>
      </c>
      <c r="D54" s="288">
        <f>IFERROR(IF('Invullen groen'!Q66&gt;0,'Invullen groen'!Q66,""),"")</f>
        <v/>
      </c>
      <c r="F54" s="287">
        <f>IFERROR(IF('Invullen groen'!R66&lt;&gt;0,'Invullen groen'!A66,""),"")</f>
        <v/>
      </c>
      <c r="G54" s="287">
        <f>IFERROR(IF('Invullen groen'!R66&lt;&gt;0,'Invullen groen'!G66,""),"")</f>
        <v/>
      </c>
      <c r="H54" s="288">
        <f>IFERROR(IF('Invullen groen'!R66&lt;&gt;0,'Invullen groen'!R66,""),"")</f>
        <v/>
      </c>
    </row>
    <row r="55" ht="14" customHeight="1">
      <c r="A55" s="287">
        <f>IFERROR(IF('Invullen groen'!Q67&gt;0,50,""),"")</f>
        <v/>
      </c>
      <c r="B55" s="287">
        <f>IFERROR(IF('Invullen groen'!Q67&gt;0,'Invullen groen'!A67,""),"")</f>
        <v/>
      </c>
      <c r="C55" s="287">
        <f>IFERROR(IF('Invullen groen'!Q67&gt;0,'Invullen groen'!G67,""),"")</f>
        <v/>
      </c>
      <c r="D55" s="288">
        <f>IFERROR(IF('Invullen groen'!Q67&gt;0,'Invullen groen'!Q67,""),"")</f>
        <v/>
      </c>
      <c r="F55" s="287">
        <f>IFERROR(IF('Invullen groen'!R67&lt;&gt;0,'Invullen groen'!A67,""),"")</f>
        <v/>
      </c>
      <c r="G55" s="287">
        <f>IFERROR(IF('Invullen groen'!R67&lt;&gt;0,'Invullen groen'!G67,""),"")</f>
        <v/>
      </c>
      <c r="H55" s="288">
        <f>IFERROR(IF('Invullen groen'!R67&lt;&gt;0,'Invullen groen'!R67,""),"")</f>
        <v/>
      </c>
    </row>
    <row r="56" ht="14" customHeight="1">
      <c r="A56" s="287">
        <f>IFERROR(IF('Invullen groen'!Q68&gt;0,51,""),"")</f>
        <v/>
      </c>
      <c r="B56" s="287">
        <f>IFERROR(IF('Invullen groen'!Q68&gt;0,'Invullen groen'!A68,""),"")</f>
        <v/>
      </c>
      <c r="C56" s="287">
        <f>IFERROR(IF('Invullen groen'!Q68&gt;0,'Invullen groen'!G68,""),"")</f>
        <v/>
      </c>
      <c r="D56" s="288">
        <f>IFERROR(IF('Invullen groen'!Q68&gt;0,'Invullen groen'!Q68,""),"")</f>
        <v/>
      </c>
      <c r="F56" s="287">
        <f>IFERROR(IF('Invullen groen'!R68&lt;&gt;0,'Invullen groen'!A68,""),"")</f>
        <v/>
      </c>
      <c r="G56" s="287">
        <f>IFERROR(IF('Invullen groen'!R68&lt;&gt;0,'Invullen groen'!G68,""),"")</f>
        <v/>
      </c>
      <c r="H56" s="288">
        <f>IFERROR(IF('Invullen groen'!R68&lt;&gt;0,'Invullen groen'!R68,""),"")</f>
        <v/>
      </c>
    </row>
    <row r="57" ht="14" customHeight="1">
      <c r="A57" s="287">
        <f>IFERROR(IF('Invullen groen'!Q69&gt;0,52,""),"")</f>
        <v/>
      </c>
      <c r="B57" s="287">
        <f>IFERROR(IF('Invullen groen'!Q69&gt;0,'Invullen groen'!A69,""),"")</f>
        <v/>
      </c>
      <c r="C57" s="287">
        <f>IFERROR(IF('Invullen groen'!Q69&gt;0,'Invullen groen'!G69,""),"")</f>
        <v/>
      </c>
      <c r="D57" s="288">
        <f>IFERROR(IF('Invullen groen'!Q69&gt;0,'Invullen groen'!Q69,""),"")</f>
        <v/>
      </c>
      <c r="F57" s="287">
        <f>IFERROR(IF('Invullen groen'!R69&lt;&gt;0,'Invullen groen'!A69,""),"")</f>
        <v/>
      </c>
      <c r="G57" s="287">
        <f>IFERROR(IF('Invullen groen'!R69&lt;&gt;0,'Invullen groen'!G69,""),"")</f>
        <v/>
      </c>
      <c r="H57" s="288">
        <f>IFERROR(IF('Invullen groen'!R69&lt;&gt;0,'Invullen groen'!R69,""),"")</f>
        <v/>
      </c>
    </row>
    <row r="58" ht="14" customHeight="1">
      <c r="A58" s="287">
        <f>IFERROR(IF('Invullen groen'!Q70&gt;0,53,""),"")</f>
        <v/>
      </c>
      <c r="B58" s="287">
        <f>IFERROR(IF('Invullen groen'!Q70&gt;0,'Invullen groen'!A70,""),"")</f>
        <v/>
      </c>
      <c r="C58" s="287">
        <f>IFERROR(IF('Invullen groen'!Q70&gt;0,'Invullen groen'!G70,""),"")</f>
        <v/>
      </c>
      <c r="D58" s="288">
        <f>IFERROR(IF('Invullen groen'!Q70&gt;0,'Invullen groen'!Q70,""),"")</f>
        <v/>
      </c>
      <c r="F58" s="287">
        <f>IFERROR(IF('Invullen groen'!R70&lt;&gt;0,'Invullen groen'!A70,""),"")</f>
        <v/>
      </c>
      <c r="G58" s="287">
        <f>IFERROR(IF('Invullen groen'!R70&lt;&gt;0,'Invullen groen'!G70,""),"")</f>
        <v/>
      </c>
      <c r="H58" s="288">
        <f>IFERROR(IF('Invullen groen'!R70&lt;&gt;0,'Invullen groen'!R70,""),"")</f>
        <v/>
      </c>
    </row>
    <row r="59" ht="14" customHeight="1">
      <c r="A59" s="287">
        <f>IFERROR(IF('Invullen groen'!Q71&gt;0,54,""),"")</f>
        <v/>
      </c>
      <c r="B59" s="287">
        <f>IFERROR(IF('Invullen groen'!Q71&gt;0,'Invullen groen'!A71,""),"")</f>
        <v/>
      </c>
      <c r="C59" s="287">
        <f>IFERROR(IF('Invullen groen'!Q71&gt;0,'Invullen groen'!G71,""),"")</f>
        <v/>
      </c>
      <c r="D59" s="288">
        <f>IFERROR(IF('Invullen groen'!Q71&gt;0,'Invullen groen'!Q71,""),"")</f>
        <v/>
      </c>
      <c r="F59" s="287">
        <f>IFERROR(IF('Invullen groen'!R71&lt;&gt;0,'Invullen groen'!A71,""),"")</f>
        <v/>
      </c>
      <c r="G59" s="287">
        <f>IFERROR(IF('Invullen groen'!R71&lt;&gt;0,'Invullen groen'!G71,""),"")</f>
        <v/>
      </c>
      <c r="H59" s="288">
        <f>IFERROR(IF('Invullen groen'!R71&lt;&gt;0,'Invullen groen'!R71,""),"")</f>
        <v/>
      </c>
    </row>
    <row r="60" ht="14" customHeight="1">
      <c r="A60" s="287">
        <f>IFERROR(IF('Invullen groen'!Q72&gt;0,55,""),"")</f>
        <v/>
      </c>
      <c r="B60" s="287">
        <f>IFERROR(IF('Invullen groen'!Q72&gt;0,'Invullen groen'!A72,""),"")</f>
        <v/>
      </c>
      <c r="C60" s="287">
        <f>IFERROR(IF('Invullen groen'!Q72&gt;0,'Invullen groen'!G72,""),"")</f>
        <v/>
      </c>
      <c r="D60" s="288">
        <f>IFERROR(IF('Invullen groen'!Q72&gt;0,'Invullen groen'!Q72,""),"")</f>
        <v/>
      </c>
      <c r="F60" s="287">
        <f>IFERROR(IF('Invullen groen'!R72&lt;&gt;0,'Invullen groen'!A72,""),"")</f>
        <v/>
      </c>
      <c r="G60" s="287">
        <f>IFERROR(IF('Invullen groen'!R72&lt;&gt;0,'Invullen groen'!G72,""),"")</f>
        <v/>
      </c>
      <c r="H60" s="288">
        <f>IFERROR(IF('Invullen groen'!R72&lt;&gt;0,'Invullen groen'!R72,""),"")</f>
        <v/>
      </c>
    </row>
    <row r="61" ht="14" customHeight="1">
      <c r="A61" s="287">
        <f>IFERROR(IF('Invullen groen'!Q73&gt;0,56,""),"")</f>
        <v/>
      </c>
      <c r="B61" s="287">
        <f>IFERROR(IF('Invullen groen'!Q73&gt;0,'Invullen groen'!A73,""),"")</f>
        <v/>
      </c>
      <c r="C61" s="287">
        <f>IFERROR(IF('Invullen groen'!Q73&gt;0,'Invullen groen'!G73,""),"")</f>
        <v/>
      </c>
      <c r="D61" s="288">
        <f>IFERROR(IF('Invullen groen'!Q73&gt;0,'Invullen groen'!Q73,""),"")</f>
        <v/>
      </c>
      <c r="F61" s="287">
        <f>IFERROR(IF('Invullen groen'!R73&lt;&gt;0,'Invullen groen'!A73,""),"")</f>
        <v/>
      </c>
      <c r="G61" s="287">
        <f>IFERROR(IF('Invullen groen'!R73&lt;&gt;0,'Invullen groen'!G73,""),"")</f>
        <v/>
      </c>
      <c r="H61" s="288">
        <f>IFERROR(IF('Invullen groen'!R73&lt;&gt;0,'Invullen groen'!R73,""),"")</f>
        <v/>
      </c>
    </row>
    <row r="62" ht="14" customHeight="1">
      <c r="A62" s="287">
        <f>IFERROR(IF('Invullen groen'!Q74&gt;0,57,""),"")</f>
        <v/>
      </c>
      <c r="B62" s="287">
        <f>IFERROR(IF('Invullen groen'!Q74&gt;0,'Invullen groen'!A74,""),"")</f>
        <v/>
      </c>
      <c r="C62" s="287">
        <f>IFERROR(IF('Invullen groen'!Q74&gt;0,'Invullen groen'!G74,""),"")</f>
        <v/>
      </c>
      <c r="D62" s="288">
        <f>IFERROR(IF('Invullen groen'!Q74&gt;0,'Invullen groen'!Q74,""),"")</f>
        <v/>
      </c>
      <c r="F62" s="287">
        <f>IFERROR(IF('Invullen groen'!R74&lt;&gt;0,'Invullen groen'!A74,""),"")</f>
        <v/>
      </c>
      <c r="G62" s="287">
        <f>IFERROR(IF('Invullen groen'!R74&lt;&gt;0,'Invullen groen'!G74,""),"")</f>
        <v/>
      </c>
      <c r="H62" s="288">
        <f>IFERROR(IF('Invullen groen'!R74&lt;&gt;0,'Invullen groen'!R74,""),"")</f>
        <v/>
      </c>
    </row>
    <row r="63" ht="14" customHeight="1">
      <c r="A63" s="287">
        <f>IFERROR(IF('Invullen groen'!Q75&gt;0,58,""),"")</f>
        <v/>
      </c>
      <c r="B63" s="287">
        <f>IFERROR(IF('Invullen groen'!Q75&gt;0,'Invullen groen'!A75,""),"")</f>
        <v/>
      </c>
      <c r="C63" s="287">
        <f>IFERROR(IF('Invullen groen'!Q75&gt;0,'Invullen groen'!G75,""),"")</f>
        <v/>
      </c>
      <c r="D63" s="288">
        <f>IFERROR(IF('Invullen groen'!Q75&gt;0,'Invullen groen'!Q75,""),"")</f>
        <v/>
      </c>
      <c r="F63" s="287">
        <f>IFERROR(IF('Invullen groen'!R75&lt;&gt;0,'Invullen groen'!A75,""),"")</f>
        <v/>
      </c>
      <c r="G63" s="287">
        <f>IFERROR(IF('Invullen groen'!R75&lt;&gt;0,'Invullen groen'!G75,""),"")</f>
        <v/>
      </c>
      <c r="H63" s="288">
        <f>IFERROR(IF('Invullen groen'!R75&lt;&gt;0,'Invullen groen'!R75,""),"")</f>
        <v/>
      </c>
    </row>
    <row r="64" ht="14" customHeight="1">
      <c r="A64" s="287">
        <f>IFERROR(IF('Invullen groen'!Q76&gt;0,59,""),"")</f>
        <v/>
      </c>
      <c r="B64" s="287">
        <f>IFERROR(IF('Invullen groen'!Q76&gt;0,'Invullen groen'!A76,""),"")</f>
        <v/>
      </c>
      <c r="C64" s="287">
        <f>IFERROR(IF('Invullen groen'!Q76&gt;0,'Invullen groen'!G76,""),"")</f>
        <v/>
      </c>
      <c r="D64" s="288">
        <f>IFERROR(IF('Invullen groen'!Q76&gt;0,'Invullen groen'!Q76,""),"")</f>
        <v/>
      </c>
      <c r="F64" s="287">
        <f>IFERROR(IF('Invullen groen'!R76&lt;&gt;0,'Invullen groen'!A76,""),"")</f>
        <v/>
      </c>
      <c r="G64" s="287">
        <f>IFERROR(IF('Invullen groen'!R76&lt;&gt;0,'Invullen groen'!G76,""),"")</f>
        <v/>
      </c>
      <c r="H64" s="288">
        <f>IFERROR(IF('Invullen groen'!R76&lt;&gt;0,'Invullen groen'!R76,""),"")</f>
        <v/>
      </c>
    </row>
    <row r="65" ht="14" customHeight="1">
      <c r="A65" s="287">
        <f>IFERROR(IF('Invullen groen'!Q77&gt;0,60,""),"")</f>
        <v/>
      </c>
      <c r="B65" s="287">
        <f>IFERROR(IF('Invullen groen'!Q77&gt;0,'Invullen groen'!A77,""),"")</f>
        <v/>
      </c>
      <c r="C65" s="287">
        <f>IFERROR(IF('Invullen groen'!Q77&gt;0,'Invullen groen'!G77,""),"")</f>
        <v/>
      </c>
      <c r="D65" s="288">
        <f>IFERROR(IF('Invullen groen'!Q77&gt;0,'Invullen groen'!Q77,""),"")</f>
        <v/>
      </c>
      <c r="F65" s="287">
        <f>IFERROR(IF('Invullen groen'!R77&lt;&gt;0,'Invullen groen'!A77,""),"")</f>
        <v/>
      </c>
      <c r="G65" s="287">
        <f>IFERROR(IF('Invullen groen'!R77&lt;&gt;0,'Invullen groen'!G77,""),"")</f>
        <v/>
      </c>
      <c r="H65" s="288">
        <f>IFERROR(IF('Invullen groen'!R77&lt;&gt;0,'Invullen groen'!R77,""),"")</f>
        <v/>
      </c>
    </row>
    <row r="66" ht="14" customHeight="1">
      <c r="A66" s="287">
        <f>IFERROR(IF('Invullen groen'!Q78&gt;0,61,""),"")</f>
        <v/>
      </c>
      <c r="B66" s="287">
        <f>IFERROR(IF('Invullen groen'!Q78&gt;0,'Invullen groen'!A78,""),"")</f>
        <v/>
      </c>
      <c r="C66" s="287">
        <f>IFERROR(IF('Invullen groen'!Q78&gt;0,'Invullen groen'!G78,""),"")</f>
        <v/>
      </c>
      <c r="D66" s="288">
        <f>IFERROR(IF('Invullen groen'!Q78&gt;0,'Invullen groen'!Q78,""),"")</f>
        <v/>
      </c>
      <c r="F66" s="287">
        <f>IFERROR(IF('Invullen groen'!R78&lt;&gt;0,'Invullen groen'!A78,""),"")</f>
        <v/>
      </c>
      <c r="G66" s="287">
        <f>IFERROR(IF('Invullen groen'!R78&lt;&gt;0,'Invullen groen'!G78,""),"")</f>
        <v/>
      </c>
      <c r="H66" s="288">
        <f>IFERROR(IF('Invullen groen'!R78&lt;&gt;0,'Invullen groen'!R78,""),"")</f>
        <v/>
      </c>
    </row>
    <row r="67" ht="14" customHeight="1">
      <c r="A67" s="287">
        <f>IFERROR(IF('Invullen groen'!Q79&gt;0,62,""),"")</f>
        <v/>
      </c>
      <c r="B67" s="287">
        <f>IFERROR(IF('Invullen groen'!Q79&gt;0,'Invullen groen'!A79,""),"")</f>
        <v/>
      </c>
      <c r="C67" s="287">
        <f>IFERROR(IF('Invullen groen'!Q79&gt;0,'Invullen groen'!G79,""),"")</f>
        <v/>
      </c>
      <c r="D67" s="288">
        <f>IFERROR(IF('Invullen groen'!Q79&gt;0,'Invullen groen'!Q79,""),"")</f>
        <v/>
      </c>
      <c r="F67" s="287">
        <f>IFERROR(IF('Invullen groen'!R79&lt;&gt;0,'Invullen groen'!A79,""),"")</f>
        <v/>
      </c>
      <c r="G67" s="287">
        <f>IFERROR(IF('Invullen groen'!R79&lt;&gt;0,'Invullen groen'!G79,""),"")</f>
        <v/>
      </c>
      <c r="H67" s="288">
        <f>IFERROR(IF('Invullen groen'!R79&lt;&gt;0,'Invullen groen'!R79,""),"")</f>
        <v/>
      </c>
    </row>
    <row r="68" ht="14" customHeight="1">
      <c r="A68" s="287">
        <f>IFERROR(IF('Invullen groen'!Q80&gt;0,63,""),"")</f>
        <v/>
      </c>
      <c r="B68" s="287">
        <f>IFERROR(IF('Invullen groen'!Q80&gt;0,'Invullen groen'!A80,""),"")</f>
        <v/>
      </c>
      <c r="C68" s="287">
        <f>IFERROR(IF('Invullen groen'!Q80&gt;0,'Invullen groen'!G80,""),"")</f>
        <v/>
      </c>
      <c r="D68" s="288">
        <f>IFERROR(IF('Invullen groen'!Q80&gt;0,'Invullen groen'!Q80,""),"")</f>
        <v/>
      </c>
      <c r="F68" s="287">
        <f>IFERROR(IF('Invullen groen'!R80&lt;&gt;0,'Invullen groen'!A80,""),"")</f>
        <v/>
      </c>
      <c r="G68" s="287">
        <f>IFERROR(IF('Invullen groen'!R80&lt;&gt;0,'Invullen groen'!G80,""),"")</f>
        <v/>
      </c>
      <c r="H68" s="288">
        <f>IFERROR(IF('Invullen groen'!R80&lt;&gt;0,'Invullen groen'!R80,""),"")</f>
        <v/>
      </c>
    </row>
    <row r="69" ht="14" customHeight="1">
      <c r="A69" s="287">
        <f>IFERROR(IF('Invullen groen'!Q81&gt;0,64,""),"")</f>
        <v/>
      </c>
      <c r="B69" s="287">
        <f>IFERROR(IF('Invullen groen'!Q81&gt;0,'Invullen groen'!A81,""),"")</f>
        <v/>
      </c>
      <c r="C69" s="287">
        <f>IFERROR(IF('Invullen groen'!Q81&gt;0,'Invullen groen'!G81,""),"")</f>
        <v/>
      </c>
      <c r="D69" s="288">
        <f>IFERROR(IF('Invullen groen'!Q81&gt;0,'Invullen groen'!Q81,""),"")</f>
        <v/>
      </c>
      <c r="F69" s="287">
        <f>IFERROR(IF('Invullen groen'!R81&lt;&gt;0,'Invullen groen'!A81,""),"")</f>
        <v/>
      </c>
      <c r="G69" s="287">
        <f>IFERROR(IF('Invullen groen'!R81&lt;&gt;0,'Invullen groen'!G81,""),"")</f>
        <v/>
      </c>
      <c r="H69" s="288">
        <f>IFERROR(IF('Invullen groen'!R81&lt;&gt;0,'Invullen groen'!R81,""),"")</f>
        <v/>
      </c>
    </row>
    <row r="70" ht="14" customHeight="1">
      <c r="A70" s="287">
        <f>IFERROR(IF('Invullen groen'!Q82&gt;0,65,""),"")</f>
        <v/>
      </c>
      <c r="B70" s="287">
        <f>IFERROR(IF('Invullen groen'!Q82&gt;0,'Invullen groen'!A82,""),"")</f>
        <v/>
      </c>
      <c r="C70" s="287">
        <f>IFERROR(IF('Invullen groen'!Q82&gt;0,'Invullen groen'!G82,""),"")</f>
        <v/>
      </c>
      <c r="D70" s="288">
        <f>IFERROR(IF('Invullen groen'!Q82&gt;0,'Invullen groen'!Q82,""),"")</f>
        <v/>
      </c>
      <c r="F70" s="287">
        <f>IFERROR(IF('Invullen groen'!R82&lt;&gt;0,'Invullen groen'!A82,""),"")</f>
        <v/>
      </c>
      <c r="G70" s="287">
        <f>IFERROR(IF('Invullen groen'!R82&lt;&gt;0,'Invullen groen'!G82,""),"")</f>
        <v/>
      </c>
      <c r="H70" s="288">
        <f>IFERROR(IF('Invullen groen'!R82&lt;&gt;0,'Invullen groen'!R82,""),"")</f>
        <v/>
      </c>
    </row>
    <row r="71" ht="14" customHeight="1">
      <c r="A71" s="287">
        <f>IFERROR(IF('Invullen groen'!Q83&gt;0,66,""),"")</f>
        <v/>
      </c>
      <c r="B71" s="287">
        <f>IFERROR(IF('Invullen groen'!Q83&gt;0,'Invullen groen'!A83,""),"")</f>
        <v/>
      </c>
      <c r="C71" s="287">
        <f>IFERROR(IF('Invullen groen'!Q83&gt;0,'Invullen groen'!G83,""),"")</f>
        <v/>
      </c>
      <c r="D71" s="288">
        <f>IFERROR(IF('Invullen groen'!Q83&gt;0,'Invullen groen'!Q83,""),"")</f>
        <v/>
      </c>
      <c r="F71" s="287">
        <f>IFERROR(IF('Invullen groen'!R83&lt;&gt;0,'Invullen groen'!A83,""),"")</f>
        <v/>
      </c>
      <c r="G71" s="287">
        <f>IFERROR(IF('Invullen groen'!R83&lt;&gt;0,'Invullen groen'!G83,""),"")</f>
        <v/>
      </c>
      <c r="H71" s="288">
        <f>IFERROR(IF('Invullen groen'!R83&lt;&gt;0,'Invullen groen'!R83,""),"")</f>
        <v/>
      </c>
    </row>
    <row r="72" ht="14" customHeight="1">
      <c r="A72" s="287">
        <f>IFERROR(IF('Invullen groen'!Q84&gt;0,67,""),"")</f>
        <v/>
      </c>
      <c r="B72" s="287">
        <f>IFERROR(IF('Invullen groen'!Q84&gt;0,'Invullen groen'!A84,""),"")</f>
        <v/>
      </c>
      <c r="C72" s="287">
        <f>IFERROR(IF('Invullen groen'!Q84&gt;0,'Invullen groen'!G84,""),"")</f>
        <v/>
      </c>
      <c r="D72" s="288">
        <f>IFERROR(IF('Invullen groen'!Q84&gt;0,'Invullen groen'!Q84,""),"")</f>
        <v/>
      </c>
      <c r="F72" s="287">
        <f>IFERROR(IF('Invullen groen'!R84&lt;&gt;0,'Invullen groen'!A84,""),"")</f>
        <v/>
      </c>
      <c r="G72" s="287">
        <f>IFERROR(IF('Invullen groen'!R84&lt;&gt;0,'Invullen groen'!G84,""),"")</f>
        <v/>
      </c>
      <c r="H72" s="288">
        <f>IFERROR(IF('Invullen groen'!R84&lt;&gt;0,'Invullen groen'!R84,""),"")</f>
        <v/>
      </c>
    </row>
    <row r="73" ht="14" customHeight="1">
      <c r="A73" s="287">
        <f>IFERROR(IF('Invullen groen'!Q85&gt;0,68,""),"")</f>
        <v/>
      </c>
      <c r="B73" s="287">
        <f>IFERROR(IF('Invullen groen'!Q85&gt;0,'Invullen groen'!A85,""),"")</f>
        <v/>
      </c>
      <c r="C73" s="287">
        <f>IFERROR(IF('Invullen groen'!Q85&gt;0,'Invullen groen'!G85,""),"")</f>
        <v/>
      </c>
      <c r="D73" s="288">
        <f>IFERROR(IF('Invullen groen'!Q85&gt;0,'Invullen groen'!Q85,""),"")</f>
        <v/>
      </c>
      <c r="F73" s="287">
        <f>IFERROR(IF('Invullen groen'!R85&lt;&gt;0,'Invullen groen'!A85,""),"")</f>
        <v/>
      </c>
      <c r="G73" s="287">
        <f>IFERROR(IF('Invullen groen'!R85&lt;&gt;0,'Invullen groen'!G85,""),"")</f>
        <v/>
      </c>
      <c r="H73" s="288">
        <f>IFERROR(IF('Invullen groen'!R85&lt;&gt;0,'Invullen groen'!R85,""),"")</f>
        <v/>
      </c>
    </row>
    <row r="74" ht="14" customHeight="1">
      <c r="A74" s="287">
        <f>IFERROR(IF('Invullen groen'!Q86&gt;0,69,""),"")</f>
        <v/>
      </c>
      <c r="B74" s="287">
        <f>IFERROR(IF('Invullen groen'!Q86&gt;0,'Invullen groen'!A86,""),"")</f>
        <v/>
      </c>
      <c r="C74" s="287">
        <f>IFERROR(IF('Invullen groen'!Q86&gt;0,'Invullen groen'!G86,""),"")</f>
        <v/>
      </c>
      <c r="D74" s="288">
        <f>IFERROR(IF('Invullen groen'!Q86&gt;0,'Invullen groen'!Q86,""),"")</f>
        <v/>
      </c>
      <c r="F74" s="287">
        <f>IFERROR(IF('Invullen groen'!R86&lt;&gt;0,'Invullen groen'!A86,""),"")</f>
        <v/>
      </c>
      <c r="G74" s="287">
        <f>IFERROR(IF('Invullen groen'!R86&lt;&gt;0,'Invullen groen'!G86,""),"")</f>
        <v/>
      </c>
      <c r="H74" s="288">
        <f>IFERROR(IF('Invullen groen'!R86&lt;&gt;0,'Invullen groen'!R86,""),"")</f>
        <v/>
      </c>
    </row>
    <row r="75" ht="14" customHeight="1">
      <c r="A75" s="287">
        <f>IFERROR(IF('Invullen groen'!Q87&gt;0,70,""),"")</f>
        <v/>
      </c>
      <c r="B75" s="287">
        <f>IFERROR(IF('Invullen groen'!Q87&gt;0,'Invullen groen'!A87,""),"")</f>
        <v/>
      </c>
      <c r="C75" s="287">
        <f>IFERROR(IF('Invullen groen'!Q87&gt;0,'Invullen groen'!G87,""),"")</f>
        <v/>
      </c>
      <c r="D75" s="288">
        <f>IFERROR(IF('Invullen groen'!Q87&gt;0,'Invullen groen'!Q87,""),"")</f>
        <v/>
      </c>
      <c r="F75" s="287">
        <f>IFERROR(IF('Invullen groen'!R87&lt;&gt;0,'Invullen groen'!A87,""),"")</f>
        <v/>
      </c>
      <c r="G75" s="287">
        <f>IFERROR(IF('Invullen groen'!R87&lt;&gt;0,'Invullen groen'!G87,""),"")</f>
        <v/>
      </c>
      <c r="H75" s="288">
        <f>IFERROR(IF('Invullen groen'!R87&lt;&gt;0,'Invullen groen'!R87,""),"")</f>
        <v/>
      </c>
    </row>
    <row r="76" ht="14" customHeight="1">
      <c r="A76" s="287">
        <f>IFERROR(IF('Invullen groen'!Q88&gt;0,71,""),"")</f>
        <v/>
      </c>
      <c r="B76" s="287">
        <f>IFERROR(IF('Invullen groen'!Q88&gt;0,'Invullen groen'!A88,""),"")</f>
        <v/>
      </c>
      <c r="C76" s="287">
        <f>IFERROR(IF('Invullen groen'!Q88&gt;0,'Invullen groen'!G88,""),"")</f>
        <v/>
      </c>
      <c r="D76" s="288">
        <f>IFERROR(IF('Invullen groen'!Q88&gt;0,'Invullen groen'!Q88,""),"")</f>
        <v/>
      </c>
      <c r="F76" s="287">
        <f>IFERROR(IF('Invullen groen'!R88&lt;&gt;0,'Invullen groen'!A88,""),"")</f>
        <v/>
      </c>
      <c r="G76" s="287">
        <f>IFERROR(IF('Invullen groen'!R88&lt;&gt;0,'Invullen groen'!G88,""),"")</f>
        <v/>
      </c>
      <c r="H76" s="288">
        <f>IFERROR(IF('Invullen groen'!R88&lt;&gt;0,'Invullen groen'!R88,""),"")</f>
        <v/>
      </c>
    </row>
    <row r="77" ht="14" customHeight="1">
      <c r="A77" s="287">
        <f>IFERROR(IF('Invullen groen'!Q89&gt;0,72,""),"")</f>
        <v/>
      </c>
      <c r="B77" s="287">
        <f>IFERROR(IF('Invullen groen'!Q89&gt;0,'Invullen groen'!A89,""),"")</f>
        <v/>
      </c>
      <c r="C77" s="287">
        <f>IFERROR(IF('Invullen groen'!Q89&gt;0,'Invullen groen'!G89,""),"")</f>
        <v/>
      </c>
      <c r="D77" s="288">
        <f>IFERROR(IF('Invullen groen'!Q89&gt;0,'Invullen groen'!Q89,""),"")</f>
        <v/>
      </c>
      <c r="F77" s="287">
        <f>IFERROR(IF('Invullen groen'!R89&lt;&gt;0,'Invullen groen'!A89,""),"")</f>
        <v/>
      </c>
      <c r="G77" s="287">
        <f>IFERROR(IF('Invullen groen'!R89&lt;&gt;0,'Invullen groen'!G89,""),"")</f>
        <v/>
      </c>
      <c r="H77" s="288">
        <f>IFERROR(IF('Invullen groen'!R89&lt;&gt;0,'Invullen groen'!R89,""),"")</f>
        <v/>
      </c>
    </row>
    <row r="78" ht="14" customHeight="1">
      <c r="A78" s="287">
        <f>IFERROR(IF('Invullen groen'!Q90&gt;0,73,""),"")</f>
        <v/>
      </c>
      <c r="B78" s="287">
        <f>IFERROR(IF('Invullen groen'!Q90&gt;0,'Invullen groen'!A90,""),"")</f>
        <v/>
      </c>
      <c r="C78" s="287">
        <f>IFERROR(IF('Invullen groen'!Q90&gt;0,'Invullen groen'!G90,""),"")</f>
        <v/>
      </c>
      <c r="D78" s="288">
        <f>IFERROR(IF('Invullen groen'!Q90&gt;0,'Invullen groen'!Q90,""),"")</f>
        <v/>
      </c>
      <c r="F78" s="287">
        <f>IFERROR(IF('Invullen groen'!R90&lt;&gt;0,'Invullen groen'!A90,""),"")</f>
        <v/>
      </c>
      <c r="G78" s="287">
        <f>IFERROR(IF('Invullen groen'!R90&lt;&gt;0,'Invullen groen'!G90,""),"")</f>
        <v/>
      </c>
      <c r="H78" s="288">
        <f>IFERROR(IF('Invullen groen'!R90&lt;&gt;0,'Invullen groen'!R90,""),"")</f>
        <v/>
      </c>
    </row>
    <row r="79" ht="14" customHeight="1">
      <c r="A79" s="287">
        <f>IFERROR(IF('Invullen groen'!Q91&gt;0,74,""),"")</f>
        <v/>
      </c>
      <c r="B79" s="287">
        <f>IFERROR(IF('Invullen groen'!Q91&gt;0,'Invullen groen'!A91,""),"")</f>
        <v/>
      </c>
      <c r="C79" s="287">
        <f>IFERROR(IF('Invullen groen'!Q91&gt;0,'Invullen groen'!G91,""),"")</f>
        <v/>
      </c>
      <c r="D79" s="288">
        <f>IFERROR(IF('Invullen groen'!Q91&gt;0,'Invullen groen'!Q91,""),"")</f>
        <v/>
      </c>
      <c r="F79" s="287">
        <f>IFERROR(IF('Invullen groen'!R91&lt;&gt;0,'Invullen groen'!A91,""),"")</f>
        <v/>
      </c>
      <c r="G79" s="287">
        <f>IFERROR(IF('Invullen groen'!R91&lt;&gt;0,'Invullen groen'!G91,""),"")</f>
        <v/>
      </c>
      <c r="H79" s="288">
        <f>IFERROR(IF('Invullen groen'!R91&lt;&gt;0,'Invullen groen'!R91,""),"")</f>
        <v/>
      </c>
    </row>
    <row r="80" ht="14" customHeight="1">
      <c r="A80" s="287">
        <f>IFERROR(IF('Invullen groen'!Q92&gt;0,75,""),"")</f>
        <v/>
      </c>
      <c r="B80" s="287">
        <f>IFERROR(IF('Invullen groen'!Q92&gt;0,'Invullen groen'!A92,""),"")</f>
        <v/>
      </c>
      <c r="C80" s="287">
        <f>IFERROR(IF('Invullen groen'!Q92&gt;0,'Invullen groen'!G92,""),"")</f>
        <v/>
      </c>
      <c r="D80" s="288">
        <f>IFERROR(IF('Invullen groen'!Q92&gt;0,'Invullen groen'!Q92,""),"")</f>
        <v/>
      </c>
      <c r="F80" s="287">
        <f>IFERROR(IF('Invullen groen'!R92&lt;&gt;0,'Invullen groen'!A92,""),"")</f>
        <v/>
      </c>
      <c r="G80" s="287">
        <f>IFERROR(IF('Invullen groen'!R92&lt;&gt;0,'Invullen groen'!G92,""),"")</f>
        <v/>
      </c>
      <c r="H80" s="288">
        <f>IFERROR(IF('Invullen groen'!R92&lt;&gt;0,'Invullen groen'!R92,""),"")</f>
        <v/>
      </c>
    </row>
    <row r="81" ht="14" customHeight="1">
      <c r="A81" s="287">
        <f>IFERROR(IF('Invullen groen'!Q93&gt;0,76,""),"")</f>
        <v/>
      </c>
      <c r="B81" s="287">
        <f>IFERROR(IF('Invullen groen'!Q93&gt;0,'Invullen groen'!A93,""),"")</f>
        <v/>
      </c>
      <c r="C81" s="287">
        <f>IFERROR(IF('Invullen groen'!Q93&gt;0,'Invullen groen'!G93,""),"")</f>
        <v/>
      </c>
      <c r="D81" s="288">
        <f>IFERROR(IF('Invullen groen'!Q93&gt;0,'Invullen groen'!Q93,""),"")</f>
        <v/>
      </c>
      <c r="F81" s="287">
        <f>IFERROR(IF('Invullen groen'!R93&lt;&gt;0,'Invullen groen'!A93,""),"")</f>
        <v/>
      </c>
      <c r="G81" s="287">
        <f>IFERROR(IF('Invullen groen'!R93&lt;&gt;0,'Invullen groen'!G93,""),"")</f>
        <v/>
      </c>
      <c r="H81" s="288">
        <f>IFERROR(IF('Invullen groen'!R93&lt;&gt;0,'Invullen groen'!R93,""),"")</f>
        <v/>
      </c>
    </row>
    <row r="82" ht="14" customHeight="1">
      <c r="A82" s="287">
        <f>IFERROR(IF('Invullen groen'!Q94&gt;0,77,""),"")</f>
        <v/>
      </c>
      <c r="B82" s="287">
        <f>IFERROR(IF('Invullen groen'!Q94&gt;0,'Invullen groen'!A94,""),"")</f>
        <v/>
      </c>
      <c r="C82" s="287">
        <f>IFERROR(IF('Invullen groen'!Q94&gt;0,'Invullen groen'!G94,""),"")</f>
        <v/>
      </c>
      <c r="D82" s="288">
        <f>IFERROR(IF('Invullen groen'!Q94&gt;0,'Invullen groen'!Q94,""),"")</f>
        <v/>
      </c>
      <c r="F82" s="287">
        <f>IFERROR(IF('Invullen groen'!R94&lt;&gt;0,'Invullen groen'!A94,""),"")</f>
        <v/>
      </c>
      <c r="G82" s="287">
        <f>IFERROR(IF('Invullen groen'!R94&lt;&gt;0,'Invullen groen'!G94,""),"")</f>
        <v/>
      </c>
      <c r="H82" s="288">
        <f>IFERROR(IF('Invullen groen'!R94&lt;&gt;0,'Invullen groen'!R94,""),"")</f>
        <v/>
      </c>
    </row>
    <row r="83" ht="14" customHeight="1">
      <c r="A83" s="287">
        <f>IFERROR(IF('Invullen groen'!Q95&gt;0,78,""),"")</f>
        <v/>
      </c>
      <c r="B83" s="287">
        <f>IFERROR(IF('Invullen groen'!Q95&gt;0,'Invullen groen'!A95,""),"")</f>
        <v/>
      </c>
      <c r="C83" s="287">
        <f>IFERROR(IF('Invullen groen'!Q95&gt;0,'Invullen groen'!G95,""),"")</f>
        <v/>
      </c>
      <c r="D83" s="288">
        <f>IFERROR(IF('Invullen groen'!Q95&gt;0,'Invullen groen'!Q95,""),"")</f>
        <v/>
      </c>
      <c r="F83" s="287">
        <f>IFERROR(IF('Invullen groen'!R95&lt;&gt;0,'Invullen groen'!A95,""),"")</f>
        <v/>
      </c>
      <c r="G83" s="287">
        <f>IFERROR(IF('Invullen groen'!R95&lt;&gt;0,'Invullen groen'!G95,""),"")</f>
        <v/>
      </c>
      <c r="H83" s="288">
        <f>IFERROR(IF('Invullen groen'!R95&lt;&gt;0,'Invullen groen'!R95,""),"")</f>
        <v/>
      </c>
    </row>
    <row r="84" ht="14" customHeight="1">
      <c r="A84" s="287">
        <f>IFERROR(IF('Invullen groen'!Q96&gt;0,79,""),"")</f>
        <v/>
      </c>
      <c r="B84" s="287">
        <f>IFERROR(IF('Invullen groen'!Q96&gt;0,'Invullen groen'!A96,""),"")</f>
        <v/>
      </c>
      <c r="C84" s="287">
        <f>IFERROR(IF('Invullen groen'!Q96&gt;0,'Invullen groen'!G96,""),"")</f>
        <v/>
      </c>
      <c r="D84" s="288">
        <f>IFERROR(IF('Invullen groen'!Q96&gt;0,'Invullen groen'!Q96,""),"")</f>
        <v/>
      </c>
      <c r="F84" s="287">
        <f>IFERROR(IF('Invullen groen'!R96&lt;&gt;0,'Invullen groen'!A96,""),"")</f>
        <v/>
      </c>
      <c r="G84" s="287">
        <f>IFERROR(IF('Invullen groen'!R96&lt;&gt;0,'Invullen groen'!G96,""),"")</f>
        <v/>
      </c>
      <c r="H84" s="288">
        <f>IFERROR(IF('Invullen groen'!R96&lt;&gt;0,'Invullen groen'!R96,""),"")</f>
        <v/>
      </c>
    </row>
    <row r="85" ht="14" customHeight="1">
      <c r="A85" s="287">
        <f>IFERROR(IF('Invullen groen'!Q97&gt;0,80,""),"")</f>
        <v/>
      </c>
      <c r="B85" s="287">
        <f>IFERROR(IF('Invullen groen'!Q97&gt;0,'Invullen groen'!A97,""),"")</f>
        <v/>
      </c>
      <c r="C85" s="287">
        <f>IFERROR(IF('Invullen groen'!Q97&gt;0,'Invullen groen'!G97,""),"")</f>
        <v/>
      </c>
      <c r="D85" s="288">
        <f>IFERROR(IF('Invullen groen'!Q97&gt;0,'Invullen groen'!Q97,""),"")</f>
        <v/>
      </c>
      <c r="F85" s="287">
        <f>IFERROR(IF('Invullen groen'!R97&lt;&gt;0,'Invullen groen'!A97,""),"")</f>
        <v/>
      </c>
      <c r="G85" s="287">
        <f>IFERROR(IF('Invullen groen'!R97&lt;&gt;0,'Invullen groen'!G97,""),"")</f>
        <v/>
      </c>
      <c r="H85" s="288">
        <f>IFERROR(IF('Invullen groen'!R97&lt;&gt;0,'Invullen groen'!R97,""),"")</f>
        <v/>
      </c>
    </row>
    <row r="86" ht="14" customHeight="1">
      <c r="A86" s="287">
        <f>IFERROR(IF('Invullen groen'!Q98&gt;0,81,""),"")</f>
        <v/>
      </c>
      <c r="B86" s="287">
        <f>IFERROR(IF('Invullen groen'!Q98&gt;0,'Invullen groen'!A98,""),"")</f>
        <v/>
      </c>
      <c r="C86" s="287">
        <f>IFERROR(IF('Invullen groen'!Q98&gt;0,'Invullen groen'!G98,""),"")</f>
        <v/>
      </c>
      <c r="D86" s="288">
        <f>IFERROR(IF('Invullen groen'!Q98&gt;0,'Invullen groen'!Q98,""),"")</f>
        <v/>
      </c>
      <c r="F86" s="287">
        <f>IFERROR(IF('Invullen groen'!R98&lt;&gt;0,'Invullen groen'!A98,""),"")</f>
        <v/>
      </c>
      <c r="G86" s="287">
        <f>IFERROR(IF('Invullen groen'!R98&lt;&gt;0,'Invullen groen'!G98,""),"")</f>
        <v/>
      </c>
      <c r="H86" s="288">
        <f>IFERROR(IF('Invullen groen'!R98&lt;&gt;0,'Invullen groen'!R98,""),"")</f>
        <v/>
      </c>
    </row>
    <row r="87" ht="14" customHeight="1">
      <c r="A87" s="287">
        <f>IFERROR(IF('Invullen groen'!Q99&gt;0,82,""),"")</f>
        <v/>
      </c>
      <c r="B87" s="287">
        <f>IFERROR(IF('Invullen groen'!Q99&gt;0,'Invullen groen'!A99,""),"")</f>
        <v/>
      </c>
      <c r="C87" s="287">
        <f>IFERROR(IF('Invullen groen'!Q99&gt;0,'Invullen groen'!G99,""),"")</f>
        <v/>
      </c>
      <c r="D87" s="288">
        <f>IFERROR(IF('Invullen groen'!Q99&gt;0,'Invullen groen'!Q99,""),"")</f>
        <v/>
      </c>
      <c r="F87" s="287">
        <f>IFERROR(IF('Invullen groen'!R99&lt;&gt;0,'Invullen groen'!A99,""),"")</f>
        <v/>
      </c>
      <c r="G87" s="287">
        <f>IFERROR(IF('Invullen groen'!R99&lt;&gt;0,'Invullen groen'!G99,""),"")</f>
        <v/>
      </c>
      <c r="H87" s="288">
        <f>IFERROR(IF('Invullen groen'!R99&lt;&gt;0,'Invullen groen'!R99,""),"")</f>
        <v/>
      </c>
    </row>
    <row r="88" ht="14" customHeight="1">
      <c r="A88" s="287">
        <f>IFERROR(IF('Invullen groen'!Q100&gt;0,83,""),"")</f>
        <v/>
      </c>
      <c r="B88" s="287">
        <f>IFERROR(IF('Invullen groen'!Q100&gt;0,'Invullen groen'!A100,""),"")</f>
        <v/>
      </c>
      <c r="C88" s="287">
        <f>IFERROR(IF('Invullen groen'!Q100&gt;0,'Invullen groen'!G100,""),"")</f>
        <v/>
      </c>
      <c r="D88" s="288">
        <f>IFERROR(IF('Invullen groen'!Q100&gt;0,'Invullen groen'!Q100,""),"")</f>
        <v/>
      </c>
      <c r="F88" s="287">
        <f>IFERROR(IF('Invullen groen'!R100&lt;&gt;0,'Invullen groen'!A100,""),"")</f>
        <v/>
      </c>
      <c r="G88" s="287">
        <f>IFERROR(IF('Invullen groen'!R100&lt;&gt;0,'Invullen groen'!G100,""),"")</f>
        <v/>
      </c>
      <c r="H88" s="288">
        <f>IFERROR(IF('Invullen groen'!R100&lt;&gt;0,'Invullen groen'!R100,""),"")</f>
        <v/>
      </c>
    </row>
    <row r="89" ht="14" customHeight="1">
      <c r="A89" s="287">
        <f>IFERROR(IF('Invullen groen'!Q101&gt;0,84,""),"")</f>
        <v/>
      </c>
      <c r="B89" s="287">
        <f>IFERROR(IF('Invullen groen'!Q101&gt;0,'Invullen groen'!A101,""),"")</f>
        <v/>
      </c>
      <c r="C89" s="287">
        <f>IFERROR(IF('Invullen groen'!Q101&gt;0,'Invullen groen'!G101,""),"")</f>
        <v/>
      </c>
      <c r="D89" s="288">
        <f>IFERROR(IF('Invullen groen'!Q101&gt;0,'Invullen groen'!Q101,""),"")</f>
        <v/>
      </c>
      <c r="F89" s="287">
        <f>IFERROR(IF('Invullen groen'!R101&lt;&gt;0,'Invullen groen'!A101,""),"")</f>
        <v/>
      </c>
      <c r="G89" s="287">
        <f>IFERROR(IF('Invullen groen'!R101&lt;&gt;0,'Invullen groen'!G101,""),"")</f>
        <v/>
      </c>
      <c r="H89" s="288">
        <f>IFERROR(IF('Invullen groen'!R101&lt;&gt;0,'Invullen groen'!R101,""),"")</f>
        <v/>
      </c>
    </row>
    <row r="90" ht="14" customHeight="1">
      <c r="A90" s="287">
        <f>IFERROR(IF('Invullen groen'!Q102&gt;0,85,""),"")</f>
        <v/>
      </c>
      <c r="B90" s="287">
        <f>IFERROR(IF('Invullen groen'!Q102&gt;0,'Invullen groen'!A102,""),"")</f>
        <v/>
      </c>
      <c r="C90" s="287">
        <f>IFERROR(IF('Invullen groen'!Q102&gt;0,'Invullen groen'!G102,""),"")</f>
        <v/>
      </c>
      <c r="D90" s="288">
        <f>IFERROR(IF('Invullen groen'!Q102&gt;0,'Invullen groen'!Q102,""),"")</f>
        <v/>
      </c>
      <c r="F90" s="287">
        <f>IFERROR(IF('Invullen groen'!R102&lt;&gt;0,'Invullen groen'!A102,""),"")</f>
        <v/>
      </c>
      <c r="G90" s="287">
        <f>IFERROR(IF('Invullen groen'!R102&lt;&gt;0,'Invullen groen'!G102,""),"")</f>
        <v/>
      </c>
      <c r="H90" s="288">
        <f>IFERROR(IF('Invullen groen'!R102&lt;&gt;0,'Invullen groen'!R102,""),"")</f>
        <v/>
      </c>
    </row>
    <row r="91" ht="14" customHeight="1">
      <c r="A91" s="287">
        <f>IFERROR(IF('Invullen groen'!Q103&gt;0,86,""),"")</f>
        <v/>
      </c>
      <c r="B91" s="287">
        <f>IFERROR(IF('Invullen groen'!Q103&gt;0,'Invullen groen'!A103,""),"")</f>
        <v/>
      </c>
      <c r="C91" s="287">
        <f>IFERROR(IF('Invullen groen'!Q103&gt;0,'Invullen groen'!G103,""),"")</f>
        <v/>
      </c>
      <c r="D91" s="288">
        <f>IFERROR(IF('Invullen groen'!Q103&gt;0,'Invullen groen'!Q103,""),"")</f>
        <v/>
      </c>
      <c r="F91" s="287">
        <f>IFERROR(IF('Invullen groen'!R103&lt;&gt;0,'Invullen groen'!A103,""),"")</f>
        <v/>
      </c>
      <c r="G91" s="287">
        <f>IFERROR(IF('Invullen groen'!R103&lt;&gt;0,'Invullen groen'!G103,""),"")</f>
        <v/>
      </c>
      <c r="H91" s="288">
        <f>IFERROR(IF('Invullen groen'!R103&lt;&gt;0,'Invullen groen'!R103,""),"")</f>
        <v/>
      </c>
    </row>
    <row r="92" ht="14" customHeight="1">
      <c r="A92" s="287">
        <f>IFERROR(IF('Invullen groen'!Q104&gt;0,87,""),"")</f>
        <v/>
      </c>
      <c r="B92" s="287">
        <f>IFERROR(IF('Invullen groen'!Q104&gt;0,'Invullen groen'!A104,""),"")</f>
        <v/>
      </c>
      <c r="C92" s="287">
        <f>IFERROR(IF('Invullen groen'!Q104&gt;0,'Invullen groen'!G104,""),"")</f>
        <v/>
      </c>
      <c r="D92" s="288">
        <f>IFERROR(IF('Invullen groen'!Q104&gt;0,'Invullen groen'!Q104,""),"")</f>
        <v/>
      </c>
      <c r="F92" s="287">
        <f>IFERROR(IF('Invullen groen'!R104&lt;&gt;0,'Invullen groen'!A104,""),"")</f>
        <v/>
      </c>
      <c r="G92" s="287">
        <f>IFERROR(IF('Invullen groen'!R104&lt;&gt;0,'Invullen groen'!G104,""),"")</f>
        <v/>
      </c>
      <c r="H92" s="288">
        <f>IFERROR(IF('Invullen groen'!R104&lt;&gt;0,'Invullen groen'!R104,""),"")</f>
        <v/>
      </c>
    </row>
    <row r="93" ht="14" customHeight="1">
      <c r="A93" s="287">
        <f>IFERROR(IF('Invullen groen'!Q105&gt;0,88,""),"")</f>
        <v/>
      </c>
      <c r="B93" s="287">
        <f>IFERROR(IF('Invullen groen'!Q105&gt;0,'Invullen groen'!A105,""),"")</f>
        <v/>
      </c>
      <c r="C93" s="287">
        <f>IFERROR(IF('Invullen groen'!Q105&gt;0,'Invullen groen'!G105,""),"")</f>
        <v/>
      </c>
      <c r="D93" s="288">
        <f>IFERROR(IF('Invullen groen'!Q105&gt;0,'Invullen groen'!Q105,""),"")</f>
        <v/>
      </c>
      <c r="F93" s="287">
        <f>IFERROR(IF('Invullen groen'!R105&lt;&gt;0,'Invullen groen'!A105,""),"")</f>
        <v/>
      </c>
      <c r="G93" s="287">
        <f>IFERROR(IF('Invullen groen'!R105&lt;&gt;0,'Invullen groen'!G105,""),"")</f>
        <v/>
      </c>
      <c r="H93" s="288">
        <f>IFERROR(IF('Invullen groen'!R105&lt;&gt;0,'Invullen groen'!R105,""),"")</f>
        <v/>
      </c>
    </row>
    <row r="94" ht="14" customHeight="1">
      <c r="A94" s="287">
        <f>IFERROR(IF('Invullen groen'!Q106&gt;0,89,""),"")</f>
        <v/>
      </c>
      <c r="B94" s="287">
        <f>IFERROR(IF('Invullen groen'!Q106&gt;0,'Invullen groen'!A106,""),"")</f>
        <v/>
      </c>
      <c r="C94" s="287">
        <f>IFERROR(IF('Invullen groen'!Q106&gt;0,'Invullen groen'!G106,""),"")</f>
        <v/>
      </c>
      <c r="D94" s="288">
        <f>IFERROR(IF('Invullen groen'!Q106&gt;0,'Invullen groen'!Q106,""),"")</f>
        <v/>
      </c>
      <c r="F94" s="287">
        <f>IFERROR(IF('Invullen groen'!R106&lt;&gt;0,'Invullen groen'!A106,""),"")</f>
        <v/>
      </c>
      <c r="G94" s="287">
        <f>IFERROR(IF('Invullen groen'!R106&lt;&gt;0,'Invullen groen'!G106,""),"")</f>
        <v/>
      </c>
      <c r="H94" s="288">
        <f>IFERROR(IF('Invullen groen'!R106&lt;&gt;0,'Invullen groen'!R106,""),"")</f>
        <v/>
      </c>
    </row>
    <row r="95" ht="14" customHeight="1">
      <c r="A95" s="287">
        <f>IFERROR(IF('Invullen groen'!Q107&gt;0,90,""),"")</f>
        <v/>
      </c>
      <c r="B95" s="287">
        <f>IFERROR(IF('Invullen groen'!Q107&gt;0,'Invullen groen'!A107,""),"")</f>
        <v/>
      </c>
      <c r="C95" s="287">
        <f>IFERROR(IF('Invullen groen'!Q107&gt;0,'Invullen groen'!G107,""),"")</f>
        <v/>
      </c>
      <c r="D95" s="288">
        <f>IFERROR(IF('Invullen groen'!Q107&gt;0,'Invullen groen'!Q107,""),"")</f>
        <v/>
      </c>
      <c r="F95" s="287">
        <f>IFERROR(IF('Invullen groen'!R107&lt;&gt;0,'Invullen groen'!A107,""),"")</f>
        <v/>
      </c>
      <c r="G95" s="287">
        <f>IFERROR(IF('Invullen groen'!R107&lt;&gt;0,'Invullen groen'!G107,""),"")</f>
        <v/>
      </c>
      <c r="H95" s="288">
        <f>IFERROR(IF('Invullen groen'!R107&lt;&gt;0,'Invullen groen'!R107,""),"")</f>
        <v/>
      </c>
    </row>
    <row r="96" ht="14" customHeight="1">
      <c r="A96" s="287">
        <f>IFERROR(IF('Invullen groen'!Q108&gt;0,91,""),"")</f>
        <v/>
      </c>
      <c r="B96" s="287">
        <f>IFERROR(IF('Invullen groen'!Q108&gt;0,'Invullen groen'!A108,""),"")</f>
        <v/>
      </c>
      <c r="C96" s="287">
        <f>IFERROR(IF('Invullen groen'!Q108&gt;0,'Invullen groen'!G108,""),"")</f>
        <v/>
      </c>
      <c r="D96" s="288">
        <f>IFERROR(IF('Invullen groen'!Q108&gt;0,'Invullen groen'!Q108,""),"")</f>
        <v/>
      </c>
      <c r="F96" s="287">
        <f>IFERROR(IF('Invullen groen'!R108&lt;&gt;0,'Invullen groen'!A108,""),"")</f>
        <v/>
      </c>
      <c r="G96" s="287">
        <f>IFERROR(IF('Invullen groen'!R108&lt;&gt;0,'Invullen groen'!G108,""),"")</f>
        <v/>
      </c>
      <c r="H96" s="288">
        <f>IFERROR(IF('Invullen groen'!R108&lt;&gt;0,'Invullen groen'!R108,""),"")</f>
        <v/>
      </c>
    </row>
    <row r="97" ht="14" customHeight="1">
      <c r="A97" s="287">
        <f>IFERROR(IF('Invullen groen'!Q109&gt;0,92,""),"")</f>
        <v/>
      </c>
      <c r="B97" s="287">
        <f>IFERROR(IF('Invullen groen'!Q109&gt;0,'Invullen groen'!A109,""),"")</f>
        <v/>
      </c>
      <c r="C97" s="287">
        <f>IFERROR(IF('Invullen groen'!Q109&gt;0,'Invullen groen'!G109,""),"")</f>
        <v/>
      </c>
      <c r="D97" s="288">
        <f>IFERROR(IF('Invullen groen'!Q109&gt;0,'Invullen groen'!Q109,""),"")</f>
        <v/>
      </c>
      <c r="F97" s="287">
        <f>IFERROR(IF('Invullen groen'!R109&lt;&gt;0,'Invullen groen'!A109,""),"")</f>
        <v/>
      </c>
      <c r="G97" s="287">
        <f>IFERROR(IF('Invullen groen'!R109&lt;&gt;0,'Invullen groen'!G109,""),"")</f>
        <v/>
      </c>
      <c r="H97" s="288">
        <f>IFERROR(IF('Invullen groen'!R109&lt;&gt;0,'Invullen groen'!R109,""),"")</f>
        <v/>
      </c>
    </row>
    <row r="98" ht="14" customHeight="1">
      <c r="A98" s="287">
        <f>IFERROR(IF('Invullen groen'!Q110&gt;0,93,""),"")</f>
        <v/>
      </c>
      <c r="B98" s="287">
        <f>IFERROR(IF('Invullen groen'!Q110&gt;0,'Invullen groen'!A110,""),"")</f>
        <v/>
      </c>
      <c r="C98" s="287">
        <f>IFERROR(IF('Invullen groen'!Q110&gt;0,'Invullen groen'!G110,""),"")</f>
        <v/>
      </c>
      <c r="D98" s="288">
        <f>IFERROR(IF('Invullen groen'!Q110&gt;0,'Invullen groen'!Q110,""),"")</f>
        <v/>
      </c>
      <c r="F98" s="287">
        <f>IFERROR(IF('Invullen groen'!R110&lt;&gt;0,'Invullen groen'!A110,""),"")</f>
        <v/>
      </c>
      <c r="G98" s="287">
        <f>IFERROR(IF('Invullen groen'!R110&lt;&gt;0,'Invullen groen'!G110,""),"")</f>
        <v/>
      </c>
      <c r="H98" s="288">
        <f>IFERROR(IF('Invullen groen'!R110&lt;&gt;0,'Invullen groen'!R110,""),"")</f>
        <v/>
      </c>
    </row>
    <row r="99" ht="14" customHeight="1">
      <c r="A99" s="287">
        <f>IFERROR(IF('Invullen groen'!Q111&gt;0,94,""),"")</f>
        <v/>
      </c>
      <c r="B99" s="287">
        <f>IFERROR(IF('Invullen groen'!Q111&gt;0,'Invullen groen'!A111,""),"")</f>
        <v/>
      </c>
      <c r="C99" s="287">
        <f>IFERROR(IF('Invullen groen'!Q111&gt;0,'Invullen groen'!G111,""),"")</f>
        <v/>
      </c>
      <c r="D99" s="288">
        <f>IFERROR(IF('Invullen groen'!Q111&gt;0,'Invullen groen'!Q111,""),"")</f>
        <v/>
      </c>
      <c r="F99" s="287">
        <f>IFERROR(IF('Invullen groen'!R111&lt;&gt;0,'Invullen groen'!A111,""),"")</f>
        <v/>
      </c>
      <c r="G99" s="287">
        <f>IFERROR(IF('Invullen groen'!R111&lt;&gt;0,'Invullen groen'!G111,""),"")</f>
        <v/>
      </c>
      <c r="H99" s="288">
        <f>IFERROR(IF('Invullen groen'!R111&lt;&gt;0,'Invullen groen'!R111,""),"")</f>
        <v/>
      </c>
    </row>
    <row r="100" ht="14" customHeight="1">
      <c r="A100" s="287">
        <f>IFERROR(IF('Invullen groen'!Q112&gt;0,95,""),"")</f>
        <v/>
      </c>
      <c r="B100" s="287">
        <f>IFERROR(IF('Invullen groen'!Q112&gt;0,'Invullen groen'!A112,""),"")</f>
        <v/>
      </c>
      <c r="C100" s="287">
        <f>IFERROR(IF('Invullen groen'!Q112&gt;0,'Invullen groen'!G112,""),"")</f>
        <v/>
      </c>
      <c r="D100" s="288">
        <f>IFERROR(IF('Invullen groen'!Q112&gt;0,'Invullen groen'!Q112,""),"")</f>
        <v/>
      </c>
      <c r="F100" s="287">
        <f>IFERROR(IF('Invullen groen'!R112&lt;&gt;0,'Invullen groen'!A112,""),"")</f>
        <v/>
      </c>
      <c r="G100" s="287">
        <f>IFERROR(IF('Invullen groen'!R112&lt;&gt;0,'Invullen groen'!G112,""),"")</f>
        <v/>
      </c>
      <c r="H100" s="288">
        <f>IFERROR(IF('Invullen groen'!R112&lt;&gt;0,'Invullen groen'!R112,""),"")</f>
        <v/>
      </c>
    </row>
    <row r="101" ht="14" customHeight="1">
      <c r="A101" s="287">
        <f>IFERROR(IF('Invullen groen'!Q113&gt;0,96,""),"")</f>
        <v/>
      </c>
      <c r="B101" s="287">
        <f>IFERROR(IF('Invullen groen'!Q113&gt;0,'Invullen groen'!A113,""),"")</f>
        <v/>
      </c>
      <c r="C101" s="287">
        <f>IFERROR(IF('Invullen groen'!Q113&gt;0,'Invullen groen'!G113,""),"")</f>
        <v/>
      </c>
      <c r="D101" s="288">
        <f>IFERROR(IF('Invullen groen'!Q113&gt;0,'Invullen groen'!Q113,""),"")</f>
        <v/>
      </c>
      <c r="F101" s="287">
        <f>IFERROR(IF('Invullen groen'!R113&lt;&gt;0,'Invullen groen'!A113,""),"")</f>
        <v/>
      </c>
      <c r="G101" s="287">
        <f>IFERROR(IF('Invullen groen'!R113&lt;&gt;0,'Invullen groen'!G113,""),"")</f>
        <v/>
      </c>
      <c r="H101" s="288">
        <f>IFERROR(IF('Invullen groen'!R113&lt;&gt;0,'Invullen groen'!R113,""),"")</f>
        <v/>
      </c>
    </row>
    <row r="102" ht="14" customHeight="1">
      <c r="A102" s="287">
        <f>IFERROR(IF('Invullen groen'!Q114&gt;0,97,""),"")</f>
        <v/>
      </c>
      <c r="B102" s="287">
        <f>IFERROR(IF('Invullen groen'!Q114&gt;0,'Invullen groen'!A114,""),"")</f>
        <v/>
      </c>
      <c r="C102" s="287">
        <f>IFERROR(IF('Invullen groen'!Q114&gt;0,'Invullen groen'!G114,""),"")</f>
        <v/>
      </c>
      <c r="D102" s="288">
        <f>IFERROR(IF('Invullen groen'!Q114&gt;0,'Invullen groen'!Q114,""),"")</f>
        <v/>
      </c>
      <c r="F102" s="287">
        <f>IFERROR(IF('Invullen groen'!R114&lt;&gt;0,'Invullen groen'!A114,""),"")</f>
        <v/>
      </c>
      <c r="G102" s="287">
        <f>IFERROR(IF('Invullen groen'!R114&lt;&gt;0,'Invullen groen'!G114,""),"")</f>
        <v/>
      </c>
      <c r="H102" s="288">
        <f>IFERROR(IF('Invullen groen'!R114&lt;&gt;0,'Invullen groen'!R114,""),"")</f>
        <v/>
      </c>
    </row>
    <row r="103" ht="14" customHeight="1">
      <c r="A103" s="287">
        <f>IFERROR(IF('Invullen groen'!Q115&gt;0,98,""),"")</f>
        <v/>
      </c>
      <c r="B103" s="287">
        <f>IFERROR(IF('Invullen groen'!Q115&gt;0,'Invullen groen'!A115,""),"")</f>
        <v/>
      </c>
      <c r="C103" s="287">
        <f>IFERROR(IF('Invullen groen'!Q115&gt;0,'Invullen groen'!G115,""),"")</f>
        <v/>
      </c>
      <c r="D103" s="288">
        <f>IFERROR(IF('Invullen groen'!Q115&gt;0,'Invullen groen'!Q115,""),"")</f>
        <v/>
      </c>
      <c r="F103" s="287">
        <f>IFERROR(IF('Invullen groen'!R115&lt;&gt;0,'Invullen groen'!A115,""),"")</f>
        <v/>
      </c>
      <c r="G103" s="287">
        <f>IFERROR(IF('Invullen groen'!R115&lt;&gt;0,'Invullen groen'!G115,""),"")</f>
        <v/>
      </c>
      <c r="H103" s="288">
        <f>IFERROR(IF('Invullen groen'!R115&lt;&gt;0,'Invullen groen'!R115,""),"")</f>
        <v/>
      </c>
    </row>
    <row r="104" ht="14" customHeight="1">
      <c r="A104" s="287">
        <f>IFERROR(IF('Invullen groen'!Q116&gt;0,99,""),"")</f>
        <v/>
      </c>
      <c r="B104" s="287">
        <f>IFERROR(IF('Invullen groen'!Q116&gt;0,'Invullen groen'!A116,""),"")</f>
        <v/>
      </c>
      <c r="C104" s="287">
        <f>IFERROR(IF('Invullen groen'!Q116&gt;0,'Invullen groen'!G116,""),"")</f>
        <v/>
      </c>
      <c r="D104" s="288">
        <f>IFERROR(IF('Invullen groen'!Q116&gt;0,'Invullen groen'!Q116,""),"")</f>
        <v/>
      </c>
      <c r="F104" s="287">
        <f>IFERROR(IF('Invullen groen'!R116&lt;&gt;0,'Invullen groen'!A116,""),"")</f>
        <v/>
      </c>
      <c r="G104" s="287">
        <f>IFERROR(IF('Invullen groen'!R116&lt;&gt;0,'Invullen groen'!G116,""),"")</f>
        <v/>
      </c>
      <c r="H104" s="288">
        <f>IFERROR(IF('Invullen groen'!R116&lt;&gt;0,'Invullen groen'!R116,""),"")</f>
        <v/>
      </c>
    </row>
    <row r="105" ht="14" customHeight="1">
      <c r="A105" s="287">
        <f>IFERROR(IF('Invullen groen'!Q117&gt;0,100,""),"")</f>
        <v/>
      </c>
      <c r="B105" s="287">
        <f>IFERROR(IF('Invullen groen'!Q117&gt;0,'Invullen groen'!A117,""),"")</f>
        <v/>
      </c>
      <c r="C105" s="287">
        <f>IFERROR(IF('Invullen groen'!Q117&gt;0,'Invullen groen'!G117,""),"")</f>
        <v/>
      </c>
      <c r="D105" s="288">
        <f>IFERROR(IF('Invullen groen'!Q117&gt;0,'Invullen groen'!Q117,""),"")</f>
        <v/>
      </c>
      <c r="F105" s="287">
        <f>IFERROR(IF('Invullen groen'!R117&lt;&gt;0,'Invullen groen'!A117,""),"")</f>
        <v/>
      </c>
      <c r="G105" s="287">
        <f>IFERROR(IF('Invullen groen'!R117&lt;&gt;0,'Invullen groen'!G117,""),"")</f>
        <v/>
      </c>
      <c r="H105" s="288">
        <f>IFERROR(IF('Invullen groen'!R117&lt;&gt;0,'Invullen groen'!R117,""),"")</f>
        <v/>
      </c>
    </row>
    <row r="106" ht="14" customHeight="1">
      <c r="A106" s="287">
        <f>IFERROR(IF('Invullen groen'!Q118&gt;0,101,""),"")</f>
        <v/>
      </c>
      <c r="B106" s="287">
        <f>IFERROR(IF('Invullen groen'!Q118&gt;0,'Invullen groen'!A118,""),"")</f>
        <v/>
      </c>
      <c r="C106" s="287">
        <f>IFERROR(IF('Invullen groen'!Q118&gt;0,'Invullen groen'!G118,""),"")</f>
        <v/>
      </c>
      <c r="D106" s="288">
        <f>IFERROR(IF('Invullen groen'!Q118&gt;0,'Invullen groen'!Q118,""),"")</f>
        <v/>
      </c>
      <c r="F106" s="287">
        <f>IFERROR(IF('Invullen groen'!R118&lt;&gt;0,'Invullen groen'!A118,""),"")</f>
        <v/>
      </c>
      <c r="G106" s="287">
        <f>IFERROR(IF('Invullen groen'!R118&lt;&gt;0,'Invullen groen'!G118,""),"")</f>
        <v/>
      </c>
      <c r="H106" s="288">
        <f>IFERROR(IF('Invullen groen'!R118&lt;&gt;0,'Invullen groen'!R118,""),"")</f>
        <v/>
      </c>
    </row>
    <row r="107" ht="14" customHeight="1">
      <c r="A107" s="287">
        <f>IFERROR(IF('Invullen groen'!Q119&gt;0,102,""),"")</f>
        <v/>
      </c>
      <c r="B107" s="287">
        <f>IFERROR(IF('Invullen groen'!Q119&gt;0,'Invullen groen'!A119,""),"")</f>
        <v/>
      </c>
      <c r="C107" s="287">
        <f>IFERROR(IF('Invullen groen'!Q119&gt;0,'Invullen groen'!G119,""),"")</f>
        <v/>
      </c>
      <c r="D107" s="288">
        <f>IFERROR(IF('Invullen groen'!Q119&gt;0,'Invullen groen'!Q119,""),"")</f>
        <v/>
      </c>
      <c r="F107" s="287">
        <f>IFERROR(IF('Invullen groen'!R119&lt;&gt;0,'Invullen groen'!A119,""),"")</f>
        <v/>
      </c>
      <c r="G107" s="287">
        <f>IFERROR(IF('Invullen groen'!R119&lt;&gt;0,'Invullen groen'!G119,""),"")</f>
        <v/>
      </c>
      <c r="H107" s="288">
        <f>IFERROR(IF('Invullen groen'!R119&lt;&gt;0,'Invullen groen'!R119,""),"")</f>
        <v/>
      </c>
    </row>
    <row r="108" ht="14" customHeight="1">
      <c r="A108" s="287">
        <f>IFERROR(IF('Invullen groen'!Q120&gt;0,103,""),"")</f>
        <v/>
      </c>
      <c r="B108" s="287">
        <f>IFERROR(IF('Invullen groen'!Q120&gt;0,'Invullen groen'!A120,""),"")</f>
        <v/>
      </c>
      <c r="C108" s="287">
        <f>IFERROR(IF('Invullen groen'!Q120&gt;0,'Invullen groen'!G120,""),"")</f>
        <v/>
      </c>
      <c r="D108" s="288">
        <f>IFERROR(IF('Invullen groen'!Q120&gt;0,'Invullen groen'!Q120,""),"")</f>
        <v/>
      </c>
      <c r="F108" s="287">
        <f>IFERROR(IF('Invullen groen'!R120&lt;&gt;0,'Invullen groen'!A120,""),"")</f>
        <v/>
      </c>
      <c r="G108" s="287">
        <f>IFERROR(IF('Invullen groen'!R120&lt;&gt;0,'Invullen groen'!G120,""),"")</f>
        <v/>
      </c>
      <c r="H108" s="288">
        <f>IFERROR(IF('Invullen groen'!R120&lt;&gt;0,'Invullen groen'!R120,""),"")</f>
        <v/>
      </c>
    </row>
    <row r="109" ht="14" customHeight="1">
      <c r="A109" s="287">
        <f>IFERROR(IF('Invullen groen'!Q121&gt;0,104,""),"")</f>
        <v/>
      </c>
      <c r="B109" s="287">
        <f>IFERROR(IF('Invullen groen'!Q121&gt;0,'Invullen groen'!A121,""),"")</f>
        <v/>
      </c>
      <c r="C109" s="287">
        <f>IFERROR(IF('Invullen groen'!Q121&gt;0,'Invullen groen'!G121,""),"")</f>
        <v/>
      </c>
      <c r="D109" s="288">
        <f>IFERROR(IF('Invullen groen'!Q121&gt;0,'Invullen groen'!Q121,""),"")</f>
        <v/>
      </c>
      <c r="F109" s="287">
        <f>IFERROR(IF('Invullen groen'!R121&lt;&gt;0,'Invullen groen'!A121,""),"")</f>
        <v/>
      </c>
      <c r="G109" s="287">
        <f>IFERROR(IF('Invullen groen'!R121&lt;&gt;0,'Invullen groen'!G121,""),"")</f>
        <v/>
      </c>
      <c r="H109" s="288">
        <f>IFERROR(IF('Invullen groen'!R121&lt;&gt;0,'Invullen groen'!R121,""),"")</f>
        <v/>
      </c>
    </row>
    <row r="110" ht="14" customHeight="1">
      <c r="A110" s="287">
        <f>IFERROR(IF('Invullen groen'!Q122&gt;0,105,""),"")</f>
        <v/>
      </c>
      <c r="B110" s="287">
        <f>IFERROR(IF('Invullen groen'!Q122&gt;0,'Invullen groen'!A122,""),"")</f>
        <v/>
      </c>
      <c r="C110" s="287">
        <f>IFERROR(IF('Invullen groen'!Q122&gt;0,'Invullen groen'!G122,""),"")</f>
        <v/>
      </c>
      <c r="D110" s="288">
        <f>IFERROR(IF('Invullen groen'!Q122&gt;0,'Invullen groen'!Q122,""),"")</f>
        <v/>
      </c>
      <c r="F110" s="287">
        <f>IFERROR(IF('Invullen groen'!R122&lt;&gt;0,'Invullen groen'!A122,""),"")</f>
        <v/>
      </c>
      <c r="G110" s="287">
        <f>IFERROR(IF('Invullen groen'!R122&lt;&gt;0,'Invullen groen'!G122,""),"")</f>
        <v/>
      </c>
      <c r="H110" s="288">
        <f>IFERROR(IF('Invullen groen'!R122&lt;&gt;0,'Invullen groen'!R122,""),"")</f>
        <v/>
      </c>
    </row>
    <row r="111" ht="14" customHeight="1">
      <c r="A111" s="287">
        <f>IFERROR(IF('Invullen groen'!Q123&gt;0,106,""),"")</f>
        <v/>
      </c>
      <c r="B111" s="287">
        <f>IFERROR(IF('Invullen groen'!Q123&gt;0,'Invullen groen'!A123,""),"")</f>
        <v/>
      </c>
      <c r="C111" s="287">
        <f>IFERROR(IF('Invullen groen'!Q123&gt;0,'Invullen groen'!G123,""),"")</f>
        <v/>
      </c>
      <c r="D111" s="288">
        <f>IFERROR(IF('Invullen groen'!Q123&gt;0,'Invullen groen'!Q123,""),"")</f>
        <v/>
      </c>
      <c r="F111" s="287">
        <f>IFERROR(IF('Invullen groen'!R123&lt;&gt;0,'Invullen groen'!A123,""),"")</f>
        <v/>
      </c>
      <c r="G111" s="287">
        <f>IFERROR(IF('Invullen groen'!R123&lt;&gt;0,'Invullen groen'!G123,""),"")</f>
        <v/>
      </c>
      <c r="H111" s="288">
        <f>IFERROR(IF('Invullen groen'!R123&lt;&gt;0,'Invullen groen'!R123,""),"")</f>
        <v/>
      </c>
    </row>
    <row r="112" ht="14" customHeight="1">
      <c r="A112" s="287">
        <f>IFERROR(IF('Invullen groen'!Q124&gt;0,107,""),"")</f>
        <v/>
      </c>
      <c r="B112" s="287">
        <f>IFERROR(IF('Invullen groen'!Q124&gt;0,'Invullen groen'!A124,""),"")</f>
        <v/>
      </c>
      <c r="C112" s="287">
        <f>IFERROR(IF('Invullen groen'!Q124&gt;0,'Invullen groen'!G124,""),"")</f>
        <v/>
      </c>
      <c r="D112" s="288">
        <f>IFERROR(IF('Invullen groen'!Q124&gt;0,'Invullen groen'!Q124,""),"")</f>
        <v/>
      </c>
      <c r="F112" s="287">
        <f>IFERROR(IF('Invullen groen'!R124&lt;&gt;0,'Invullen groen'!A124,""),"")</f>
        <v/>
      </c>
      <c r="G112" s="287">
        <f>IFERROR(IF('Invullen groen'!R124&lt;&gt;0,'Invullen groen'!G124,""),"")</f>
        <v/>
      </c>
      <c r="H112" s="288">
        <f>IFERROR(IF('Invullen groen'!R124&lt;&gt;0,'Invullen groen'!R124,""),"")</f>
        <v/>
      </c>
    </row>
    <row r="113" ht="14" customHeight="1">
      <c r="A113" s="287">
        <f>IFERROR(IF('Invullen groen'!Q125&gt;0,108,""),"")</f>
        <v/>
      </c>
      <c r="B113" s="287">
        <f>IFERROR(IF('Invullen groen'!Q125&gt;0,'Invullen groen'!A125,""),"")</f>
        <v/>
      </c>
      <c r="C113" s="287">
        <f>IFERROR(IF('Invullen groen'!Q125&gt;0,'Invullen groen'!G125,""),"")</f>
        <v/>
      </c>
      <c r="D113" s="288">
        <f>IFERROR(IF('Invullen groen'!Q125&gt;0,'Invullen groen'!Q125,""),"")</f>
        <v/>
      </c>
      <c r="F113" s="287">
        <f>IFERROR(IF('Invullen groen'!R125&lt;&gt;0,'Invullen groen'!A125,""),"")</f>
        <v/>
      </c>
      <c r="G113" s="287">
        <f>IFERROR(IF('Invullen groen'!R125&lt;&gt;0,'Invullen groen'!G125,""),"")</f>
        <v/>
      </c>
      <c r="H113" s="288">
        <f>IFERROR(IF('Invullen groen'!R125&lt;&gt;0,'Invullen groen'!R125,""),"")</f>
        <v/>
      </c>
    </row>
    <row r="114" ht="14" customHeight="1">
      <c r="A114" s="287">
        <f>IFERROR(IF('Invullen groen'!Q126&gt;0,109,""),"")</f>
        <v/>
      </c>
      <c r="B114" s="287">
        <f>IFERROR(IF('Invullen groen'!Q126&gt;0,'Invullen groen'!A126,""),"")</f>
        <v/>
      </c>
      <c r="C114" s="287">
        <f>IFERROR(IF('Invullen groen'!Q126&gt;0,'Invullen groen'!G126,""),"")</f>
        <v/>
      </c>
      <c r="D114" s="288">
        <f>IFERROR(IF('Invullen groen'!Q126&gt;0,'Invullen groen'!Q126,""),"")</f>
        <v/>
      </c>
      <c r="F114" s="287">
        <f>IFERROR(IF('Invullen groen'!R126&lt;&gt;0,'Invullen groen'!A126,""),"")</f>
        <v/>
      </c>
      <c r="G114" s="287">
        <f>IFERROR(IF('Invullen groen'!R126&lt;&gt;0,'Invullen groen'!G126,""),"")</f>
        <v/>
      </c>
      <c r="H114" s="288">
        <f>IFERROR(IF('Invullen groen'!R126&lt;&gt;0,'Invullen groen'!R126,""),"")</f>
        <v/>
      </c>
    </row>
    <row r="115" ht="14" customHeight="1">
      <c r="A115" s="287">
        <f>IFERROR(IF('Invullen groen'!Q127&gt;0,110,""),"")</f>
        <v/>
      </c>
      <c r="B115" s="287">
        <f>IFERROR(IF('Invullen groen'!Q127&gt;0,'Invullen groen'!A127,""),"")</f>
        <v/>
      </c>
      <c r="C115" s="287">
        <f>IFERROR(IF('Invullen groen'!Q127&gt;0,'Invullen groen'!G127,""),"")</f>
        <v/>
      </c>
      <c r="D115" s="288">
        <f>IFERROR(IF('Invullen groen'!Q127&gt;0,'Invullen groen'!Q127,""),"")</f>
        <v/>
      </c>
      <c r="F115" s="287">
        <f>IFERROR(IF('Invullen groen'!R127&lt;&gt;0,'Invullen groen'!A127,""),"")</f>
        <v/>
      </c>
      <c r="G115" s="287">
        <f>IFERROR(IF('Invullen groen'!R127&lt;&gt;0,'Invullen groen'!G127,""),"")</f>
        <v/>
      </c>
      <c r="H115" s="288">
        <f>IFERROR(IF('Invullen groen'!R127&lt;&gt;0,'Invullen groen'!R127,""),"")</f>
        <v/>
      </c>
    </row>
    <row r="116" ht="14" customHeight="1">
      <c r="A116" s="287">
        <f>IFERROR(IF('Invullen groen'!Q128&gt;0,111,""),"")</f>
        <v/>
      </c>
      <c r="B116" s="287">
        <f>IFERROR(IF('Invullen groen'!Q128&gt;0,'Invullen groen'!A128,""),"")</f>
        <v/>
      </c>
      <c r="C116" s="287">
        <f>IFERROR(IF('Invullen groen'!Q128&gt;0,'Invullen groen'!G128,""),"")</f>
        <v/>
      </c>
      <c r="D116" s="288">
        <f>IFERROR(IF('Invullen groen'!Q128&gt;0,'Invullen groen'!Q128,""),"")</f>
        <v/>
      </c>
      <c r="F116" s="287">
        <f>IFERROR(IF('Invullen groen'!R128&lt;&gt;0,'Invullen groen'!A128,""),"")</f>
        <v/>
      </c>
      <c r="G116" s="287">
        <f>IFERROR(IF('Invullen groen'!R128&lt;&gt;0,'Invullen groen'!G128,""),"")</f>
        <v/>
      </c>
      <c r="H116" s="288">
        <f>IFERROR(IF('Invullen groen'!R128&lt;&gt;0,'Invullen groen'!R128,""),"")</f>
        <v/>
      </c>
    </row>
    <row r="117" ht="14" customHeight="1">
      <c r="A117" s="287">
        <f>IFERROR(IF('Invullen groen'!Q129&gt;0,112,""),"")</f>
        <v/>
      </c>
      <c r="B117" s="287">
        <f>IFERROR(IF('Invullen groen'!Q129&gt;0,'Invullen groen'!A129,""),"")</f>
        <v/>
      </c>
      <c r="C117" s="287">
        <f>IFERROR(IF('Invullen groen'!Q129&gt;0,'Invullen groen'!G129,""),"")</f>
        <v/>
      </c>
      <c r="D117" s="288">
        <f>IFERROR(IF('Invullen groen'!Q129&gt;0,'Invullen groen'!Q129,""),"")</f>
        <v/>
      </c>
      <c r="F117" s="287">
        <f>IFERROR(IF('Invullen groen'!R129&lt;&gt;0,'Invullen groen'!A129,""),"")</f>
        <v/>
      </c>
      <c r="G117" s="287">
        <f>IFERROR(IF('Invullen groen'!R129&lt;&gt;0,'Invullen groen'!G129,""),"")</f>
        <v/>
      </c>
      <c r="H117" s="288">
        <f>IFERROR(IF('Invullen groen'!R129&lt;&gt;0,'Invullen groen'!R129,""),"")</f>
        <v/>
      </c>
    </row>
    <row r="118" ht="14" customHeight="1">
      <c r="A118" s="287">
        <f>IFERROR(IF('Invullen groen'!Q130&gt;0,113,""),"")</f>
        <v/>
      </c>
      <c r="B118" s="287">
        <f>IFERROR(IF('Invullen groen'!Q130&gt;0,'Invullen groen'!A130,""),"")</f>
        <v/>
      </c>
      <c r="C118" s="287">
        <f>IFERROR(IF('Invullen groen'!Q130&gt;0,'Invullen groen'!G130,""),"")</f>
        <v/>
      </c>
      <c r="D118" s="288">
        <f>IFERROR(IF('Invullen groen'!Q130&gt;0,'Invullen groen'!Q130,""),"")</f>
        <v/>
      </c>
      <c r="F118" s="287">
        <f>IFERROR(IF('Invullen groen'!R130&lt;&gt;0,'Invullen groen'!A130,""),"")</f>
        <v/>
      </c>
      <c r="G118" s="287">
        <f>IFERROR(IF('Invullen groen'!R130&lt;&gt;0,'Invullen groen'!G130,""),"")</f>
        <v/>
      </c>
      <c r="H118" s="288">
        <f>IFERROR(IF('Invullen groen'!R130&lt;&gt;0,'Invullen groen'!R130,""),"")</f>
        <v/>
      </c>
    </row>
    <row r="119" ht="14" customHeight="1">
      <c r="A119" s="287">
        <f>IFERROR(IF('Invullen groen'!Q131&gt;0,114,""),"")</f>
        <v/>
      </c>
      <c r="B119" s="287">
        <f>IFERROR(IF('Invullen groen'!Q131&gt;0,'Invullen groen'!A131,""),"")</f>
        <v/>
      </c>
      <c r="C119" s="287">
        <f>IFERROR(IF('Invullen groen'!Q131&gt;0,'Invullen groen'!G131,""),"")</f>
        <v/>
      </c>
      <c r="D119" s="288">
        <f>IFERROR(IF('Invullen groen'!Q131&gt;0,'Invullen groen'!Q131,""),"")</f>
        <v/>
      </c>
      <c r="F119" s="287">
        <f>IFERROR(IF('Invullen groen'!R131&lt;&gt;0,'Invullen groen'!A131,""),"")</f>
        <v/>
      </c>
      <c r="G119" s="287">
        <f>IFERROR(IF('Invullen groen'!R131&lt;&gt;0,'Invullen groen'!G131,""),"")</f>
        <v/>
      </c>
      <c r="H119" s="288">
        <f>IFERROR(IF('Invullen groen'!R131&lt;&gt;0,'Invullen groen'!R131,""),"")</f>
        <v/>
      </c>
    </row>
    <row r="120" ht="14" customHeight="1">
      <c r="A120" s="287">
        <f>IFERROR(IF('Invullen groen'!Q132&gt;0,115,""),"")</f>
        <v/>
      </c>
      <c r="B120" s="287">
        <f>IFERROR(IF('Invullen groen'!Q132&gt;0,'Invullen groen'!A132,""),"")</f>
        <v/>
      </c>
      <c r="C120" s="287">
        <f>IFERROR(IF('Invullen groen'!Q132&gt;0,'Invullen groen'!G132,""),"")</f>
        <v/>
      </c>
      <c r="D120" s="288">
        <f>IFERROR(IF('Invullen groen'!Q132&gt;0,'Invullen groen'!Q132,""),"")</f>
        <v/>
      </c>
      <c r="F120" s="287">
        <f>IFERROR(IF('Invullen groen'!R132&lt;&gt;0,'Invullen groen'!A132,""),"")</f>
        <v/>
      </c>
      <c r="G120" s="287">
        <f>IFERROR(IF('Invullen groen'!R132&lt;&gt;0,'Invullen groen'!G132,""),"")</f>
        <v/>
      </c>
      <c r="H120" s="288">
        <f>IFERROR(IF('Invullen groen'!R132&lt;&gt;0,'Invullen groen'!R132,""),"")</f>
        <v/>
      </c>
    </row>
    <row r="121" ht="14" customHeight="1">
      <c r="A121" s="287">
        <f>IFERROR(IF('Invullen groen'!Q133&gt;0,116,""),"")</f>
        <v/>
      </c>
      <c r="B121" s="287">
        <f>IFERROR(IF('Invullen groen'!Q133&gt;0,'Invullen groen'!A133,""),"")</f>
        <v/>
      </c>
      <c r="C121" s="287">
        <f>IFERROR(IF('Invullen groen'!Q133&gt;0,'Invullen groen'!G133,""),"")</f>
        <v/>
      </c>
      <c r="D121" s="288">
        <f>IFERROR(IF('Invullen groen'!Q133&gt;0,'Invullen groen'!Q133,""),"")</f>
        <v/>
      </c>
      <c r="F121" s="287">
        <f>IFERROR(IF('Invullen groen'!R133&lt;&gt;0,'Invullen groen'!A133,""),"")</f>
        <v/>
      </c>
      <c r="G121" s="287">
        <f>IFERROR(IF('Invullen groen'!R133&lt;&gt;0,'Invullen groen'!G133,""),"")</f>
        <v/>
      </c>
      <c r="H121" s="288">
        <f>IFERROR(IF('Invullen groen'!R133&lt;&gt;0,'Invullen groen'!R133,""),"")</f>
        <v/>
      </c>
    </row>
    <row r="122" ht="14" customHeight="1">
      <c r="A122" s="287">
        <f>IFERROR(IF('Invullen groen'!Q134&gt;0,117,""),"")</f>
        <v/>
      </c>
      <c r="B122" s="287">
        <f>IFERROR(IF('Invullen groen'!Q134&gt;0,'Invullen groen'!A134,""),"")</f>
        <v/>
      </c>
      <c r="C122" s="287">
        <f>IFERROR(IF('Invullen groen'!Q134&gt;0,'Invullen groen'!G134,""),"")</f>
        <v/>
      </c>
      <c r="D122" s="288">
        <f>IFERROR(IF('Invullen groen'!Q134&gt;0,'Invullen groen'!Q134,""),"")</f>
        <v/>
      </c>
      <c r="F122" s="287">
        <f>IFERROR(IF('Invullen groen'!R134&lt;&gt;0,'Invullen groen'!A134,""),"")</f>
        <v/>
      </c>
      <c r="G122" s="287">
        <f>IFERROR(IF('Invullen groen'!R134&lt;&gt;0,'Invullen groen'!G134,""),"")</f>
        <v/>
      </c>
      <c r="H122" s="288">
        <f>IFERROR(IF('Invullen groen'!R134&lt;&gt;0,'Invullen groen'!R134,""),"")</f>
        <v/>
      </c>
    </row>
    <row r="123" ht="14" customHeight="1">
      <c r="A123" s="287">
        <f>IFERROR(IF('Invullen groen'!Q135&gt;0,118,""),"")</f>
        <v/>
      </c>
      <c r="B123" s="287">
        <f>IFERROR(IF('Invullen groen'!Q135&gt;0,'Invullen groen'!A135,""),"")</f>
        <v/>
      </c>
      <c r="C123" s="287">
        <f>IFERROR(IF('Invullen groen'!Q135&gt;0,'Invullen groen'!G135,""),"")</f>
        <v/>
      </c>
      <c r="D123" s="288">
        <f>IFERROR(IF('Invullen groen'!Q135&gt;0,'Invullen groen'!Q135,""),"")</f>
        <v/>
      </c>
      <c r="F123" s="287">
        <f>IFERROR(IF('Invullen groen'!R135&lt;&gt;0,'Invullen groen'!A135,""),"")</f>
        <v/>
      </c>
      <c r="G123" s="287">
        <f>IFERROR(IF('Invullen groen'!R135&lt;&gt;0,'Invullen groen'!G135,""),"")</f>
        <v/>
      </c>
      <c r="H123" s="288">
        <f>IFERROR(IF('Invullen groen'!R135&lt;&gt;0,'Invullen groen'!R135,""),"")</f>
        <v/>
      </c>
    </row>
    <row r="124" ht="14" customHeight="1">
      <c r="A124" s="287">
        <f>IFERROR(IF('Invullen groen'!Q136&gt;0,119,""),"")</f>
        <v/>
      </c>
      <c r="B124" s="287">
        <f>IFERROR(IF('Invullen groen'!Q136&gt;0,'Invullen groen'!A136,""),"")</f>
        <v/>
      </c>
      <c r="C124" s="287">
        <f>IFERROR(IF('Invullen groen'!Q136&gt;0,'Invullen groen'!G136,""),"")</f>
        <v/>
      </c>
      <c r="D124" s="288">
        <f>IFERROR(IF('Invullen groen'!Q136&gt;0,'Invullen groen'!Q136,""),"")</f>
        <v/>
      </c>
      <c r="F124" s="287">
        <f>IFERROR(IF('Invullen groen'!R136&lt;&gt;0,'Invullen groen'!A136,""),"")</f>
        <v/>
      </c>
      <c r="G124" s="287">
        <f>IFERROR(IF('Invullen groen'!R136&lt;&gt;0,'Invullen groen'!G136,""),"")</f>
        <v/>
      </c>
      <c r="H124" s="288">
        <f>IFERROR(IF('Invullen groen'!R136&lt;&gt;0,'Invullen groen'!R136,""),"")</f>
        <v/>
      </c>
    </row>
    <row r="125" ht="14" customHeight="1">
      <c r="A125" s="287">
        <f>IFERROR(IF('Invullen groen'!Q137&gt;0,120,""),"")</f>
        <v/>
      </c>
      <c r="B125" s="287">
        <f>IFERROR(IF('Invullen groen'!Q137&gt;0,'Invullen groen'!A137,""),"")</f>
        <v/>
      </c>
      <c r="C125" s="287">
        <f>IFERROR(IF('Invullen groen'!Q137&gt;0,'Invullen groen'!G137,""),"")</f>
        <v/>
      </c>
      <c r="D125" s="288">
        <f>IFERROR(IF('Invullen groen'!Q137&gt;0,'Invullen groen'!Q137,""),"")</f>
        <v/>
      </c>
      <c r="F125" s="287">
        <f>IFERROR(IF('Invullen groen'!R137&lt;&gt;0,'Invullen groen'!A137,""),"")</f>
        <v/>
      </c>
      <c r="G125" s="287">
        <f>IFERROR(IF('Invullen groen'!R137&lt;&gt;0,'Invullen groen'!G137,""),"")</f>
        <v/>
      </c>
      <c r="H125" s="288">
        <f>IFERROR(IF('Invullen groen'!R137&lt;&gt;0,'Invullen groen'!R137,""),"")</f>
        <v/>
      </c>
    </row>
    <row r="126" ht="14" customHeight="1">
      <c r="A126" s="287">
        <f>IFERROR(IF('Invullen groen'!Q138&gt;0,121,""),"")</f>
        <v/>
      </c>
      <c r="B126" s="287">
        <f>IFERROR(IF('Invullen groen'!Q138&gt;0,'Invullen groen'!A138,""),"")</f>
        <v/>
      </c>
      <c r="C126" s="287">
        <f>IFERROR(IF('Invullen groen'!Q138&gt;0,'Invullen groen'!G138,""),"")</f>
        <v/>
      </c>
      <c r="D126" s="288">
        <f>IFERROR(IF('Invullen groen'!Q138&gt;0,'Invullen groen'!Q138,""),"")</f>
        <v/>
      </c>
      <c r="F126" s="287">
        <f>IFERROR(IF('Invullen groen'!R138&lt;&gt;0,'Invullen groen'!A138,""),"")</f>
        <v/>
      </c>
      <c r="G126" s="287">
        <f>IFERROR(IF('Invullen groen'!R138&lt;&gt;0,'Invullen groen'!G138,""),"")</f>
        <v/>
      </c>
      <c r="H126" s="288">
        <f>IFERROR(IF('Invullen groen'!R138&lt;&gt;0,'Invullen groen'!R138,""),"")</f>
        <v/>
      </c>
    </row>
    <row r="127" ht="14" customHeight="1">
      <c r="A127" s="287">
        <f>IFERROR(IF('Invullen groen'!Q139&gt;0,122,""),"")</f>
        <v/>
      </c>
      <c r="B127" s="287">
        <f>IFERROR(IF('Invullen groen'!Q139&gt;0,'Invullen groen'!A139,""),"")</f>
        <v/>
      </c>
      <c r="C127" s="287">
        <f>IFERROR(IF('Invullen groen'!Q139&gt;0,'Invullen groen'!G139,""),"")</f>
        <v/>
      </c>
      <c r="D127" s="288">
        <f>IFERROR(IF('Invullen groen'!Q139&gt;0,'Invullen groen'!Q139,""),"")</f>
        <v/>
      </c>
      <c r="F127" s="287">
        <f>IFERROR(IF('Invullen groen'!R139&lt;&gt;0,'Invullen groen'!A139,""),"")</f>
        <v/>
      </c>
      <c r="G127" s="287">
        <f>IFERROR(IF('Invullen groen'!R139&lt;&gt;0,'Invullen groen'!G139,""),"")</f>
        <v/>
      </c>
      <c r="H127" s="288">
        <f>IFERROR(IF('Invullen groen'!R139&lt;&gt;0,'Invullen groen'!R139,""),"")</f>
        <v/>
      </c>
    </row>
    <row r="128" ht="14" customHeight="1">
      <c r="A128" s="287">
        <f>IFERROR(IF('Invullen groen'!Q140&gt;0,123,""),"")</f>
        <v/>
      </c>
      <c r="B128" s="287">
        <f>IFERROR(IF('Invullen groen'!Q140&gt;0,'Invullen groen'!A140,""),"")</f>
        <v/>
      </c>
      <c r="C128" s="287">
        <f>IFERROR(IF('Invullen groen'!Q140&gt;0,'Invullen groen'!G140,""),"")</f>
        <v/>
      </c>
      <c r="D128" s="288">
        <f>IFERROR(IF('Invullen groen'!Q140&gt;0,'Invullen groen'!Q140,""),"")</f>
        <v/>
      </c>
      <c r="F128" s="287">
        <f>IFERROR(IF('Invullen groen'!R140&lt;&gt;0,'Invullen groen'!A140,""),"")</f>
        <v/>
      </c>
      <c r="G128" s="287">
        <f>IFERROR(IF('Invullen groen'!R140&lt;&gt;0,'Invullen groen'!G140,""),"")</f>
        <v/>
      </c>
      <c r="H128" s="288">
        <f>IFERROR(IF('Invullen groen'!R140&lt;&gt;0,'Invullen groen'!R140,""),"")</f>
        <v/>
      </c>
    </row>
    <row r="129" ht="14" customHeight="1">
      <c r="A129" s="287">
        <f>IFERROR(IF('Invullen groen'!Q141&gt;0,124,""),"")</f>
        <v/>
      </c>
      <c r="B129" s="287">
        <f>IFERROR(IF('Invullen groen'!Q141&gt;0,'Invullen groen'!A141,""),"")</f>
        <v/>
      </c>
      <c r="C129" s="287">
        <f>IFERROR(IF('Invullen groen'!Q141&gt;0,'Invullen groen'!G141,""),"")</f>
        <v/>
      </c>
      <c r="D129" s="288">
        <f>IFERROR(IF('Invullen groen'!Q141&gt;0,'Invullen groen'!Q141,""),"")</f>
        <v/>
      </c>
      <c r="F129" s="287">
        <f>IFERROR(IF('Invullen groen'!R141&lt;&gt;0,'Invullen groen'!A141,""),"")</f>
        <v/>
      </c>
      <c r="G129" s="287">
        <f>IFERROR(IF('Invullen groen'!R141&lt;&gt;0,'Invullen groen'!G141,""),"")</f>
        <v/>
      </c>
      <c r="H129" s="288">
        <f>IFERROR(IF('Invullen groen'!R141&lt;&gt;0,'Invullen groen'!R141,""),"")</f>
        <v/>
      </c>
    </row>
    <row r="130" ht="14" customHeight="1">
      <c r="A130" s="287">
        <f>IFERROR(IF('Invullen groen'!Q142&gt;0,125,""),"")</f>
        <v/>
      </c>
      <c r="B130" s="287">
        <f>IFERROR(IF('Invullen groen'!Q142&gt;0,'Invullen groen'!A142,""),"")</f>
        <v/>
      </c>
      <c r="C130" s="287">
        <f>IFERROR(IF('Invullen groen'!Q142&gt;0,'Invullen groen'!G142,""),"")</f>
        <v/>
      </c>
      <c r="D130" s="288">
        <f>IFERROR(IF('Invullen groen'!Q142&gt;0,'Invullen groen'!Q142,""),"")</f>
        <v/>
      </c>
      <c r="F130" s="287">
        <f>IFERROR(IF('Invullen groen'!R142&lt;&gt;0,'Invullen groen'!A142,""),"")</f>
        <v/>
      </c>
      <c r="G130" s="287">
        <f>IFERROR(IF('Invullen groen'!R142&lt;&gt;0,'Invullen groen'!G142,""),"")</f>
        <v/>
      </c>
      <c r="H130" s="288">
        <f>IFERROR(IF('Invullen groen'!R142&lt;&gt;0,'Invullen groen'!R142,""),"")</f>
        <v/>
      </c>
    </row>
    <row r="131" ht="14" customHeight="1">
      <c r="A131" s="287">
        <f>IFERROR(IF('Invullen groen'!Q143&gt;0,126,""),"")</f>
        <v/>
      </c>
      <c r="B131" s="287">
        <f>IFERROR(IF('Invullen groen'!Q143&gt;0,'Invullen groen'!A143,""),"")</f>
        <v/>
      </c>
      <c r="C131" s="287">
        <f>IFERROR(IF('Invullen groen'!Q143&gt;0,'Invullen groen'!G143,""),"")</f>
        <v/>
      </c>
      <c r="D131" s="288">
        <f>IFERROR(IF('Invullen groen'!Q143&gt;0,'Invullen groen'!Q143,""),"")</f>
        <v/>
      </c>
      <c r="F131" s="287">
        <f>IFERROR(IF('Invullen groen'!R143&lt;&gt;0,'Invullen groen'!A143,""),"")</f>
        <v/>
      </c>
      <c r="G131" s="287">
        <f>IFERROR(IF('Invullen groen'!R143&lt;&gt;0,'Invullen groen'!G143,""),"")</f>
        <v/>
      </c>
      <c r="H131" s="288">
        <f>IFERROR(IF('Invullen groen'!R143&lt;&gt;0,'Invullen groen'!R143,""),"")</f>
        <v/>
      </c>
    </row>
    <row r="132" ht="14" customHeight="1">
      <c r="A132" s="287">
        <f>IFERROR(IF('Invullen groen'!Q144&gt;0,127,""),"")</f>
        <v/>
      </c>
      <c r="B132" s="287">
        <f>IFERROR(IF('Invullen groen'!Q144&gt;0,'Invullen groen'!A144,""),"")</f>
        <v/>
      </c>
      <c r="C132" s="287">
        <f>IFERROR(IF('Invullen groen'!Q144&gt;0,'Invullen groen'!G144,""),"")</f>
        <v/>
      </c>
      <c r="D132" s="288">
        <f>IFERROR(IF('Invullen groen'!Q144&gt;0,'Invullen groen'!Q144,""),"")</f>
        <v/>
      </c>
      <c r="F132" s="287">
        <f>IFERROR(IF('Invullen groen'!R144&lt;&gt;0,'Invullen groen'!A144,""),"")</f>
        <v/>
      </c>
      <c r="G132" s="287">
        <f>IFERROR(IF('Invullen groen'!R144&lt;&gt;0,'Invullen groen'!G144,""),"")</f>
        <v/>
      </c>
      <c r="H132" s="288">
        <f>IFERROR(IF('Invullen groen'!R144&lt;&gt;0,'Invullen groen'!R144,""),"")</f>
        <v/>
      </c>
    </row>
    <row r="133" ht="14" customHeight="1">
      <c r="A133" s="287">
        <f>IFERROR(IF('Invullen groen'!Q145&gt;0,128,""),"")</f>
        <v/>
      </c>
      <c r="B133" s="287">
        <f>IFERROR(IF('Invullen groen'!Q145&gt;0,'Invullen groen'!A145,""),"")</f>
        <v/>
      </c>
      <c r="C133" s="287">
        <f>IFERROR(IF('Invullen groen'!Q145&gt;0,'Invullen groen'!G145,""),"")</f>
        <v/>
      </c>
      <c r="D133" s="288">
        <f>IFERROR(IF('Invullen groen'!Q145&gt;0,'Invullen groen'!Q145,""),"")</f>
        <v/>
      </c>
      <c r="F133" s="287">
        <f>IFERROR(IF('Invullen groen'!R145&lt;&gt;0,'Invullen groen'!A145,""),"")</f>
        <v/>
      </c>
      <c r="G133" s="287">
        <f>IFERROR(IF('Invullen groen'!R145&lt;&gt;0,'Invullen groen'!G145,""),"")</f>
        <v/>
      </c>
      <c r="H133" s="288">
        <f>IFERROR(IF('Invullen groen'!R145&lt;&gt;0,'Invullen groen'!R145,""),"")</f>
        <v/>
      </c>
    </row>
    <row r="134" ht="14" customHeight="1">
      <c r="A134" s="287">
        <f>IFERROR(IF('Invullen groen'!Q146&gt;0,129,""),"")</f>
        <v/>
      </c>
      <c r="B134" s="287">
        <f>IFERROR(IF('Invullen groen'!Q146&gt;0,'Invullen groen'!A146,""),"")</f>
        <v/>
      </c>
      <c r="C134" s="287">
        <f>IFERROR(IF('Invullen groen'!Q146&gt;0,'Invullen groen'!G146,""),"")</f>
        <v/>
      </c>
      <c r="D134" s="288">
        <f>IFERROR(IF('Invullen groen'!Q146&gt;0,'Invullen groen'!Q146,""),"")</f>
        <v/>
      </c>
      <c r="F134" s="287">
        <f>IFERROR(IF('Invullen groen'!R146&lt;&gt;0,'Invullen groen'!A146,""),"")</f>
        <v/>
      </c>
      <c r="G134" s="287">
        <f>IFERROR(IF('Invullen groen'!R146&lt;&gt;0,'Invullen groen'!G146,""),"")</f>
        <v/>
      </c>
      <c r="H134" s="288">
        <f>IFERROR(IF('Invullen groen'!R146&lt;&gt;0,'Invullen groen'!R146,""),"")</f>
        <v/>
      </c>
    </row>
    <row r="135" ht="14" customHeight="1">
      <c r="A135" s="287">
        <f>IFERROR(IF('Invullen groen'!Q147&gt;0,130,""),"")</f>
        <v/>
      </c>
      <c r="B135" s="287">
        <f>IFERROR(IF('Invullen groen'!Q147&gt;0,'Invullen groen'!A147,""),"")</f>
        <v/>
      </c>
      <c r="C135" s="287">
        <f>IFERROR(IF('Invullen groen'!Q147&gt;0,'Invullen groen'!G147,""),"")</f>
        <v/>
      </c>
      <c r="D135" s="288">
        <f>IFERROR(IF('Invullen groen'!Q147&gt;0,'Invullen groen'!Q147,""),"")</f>
        <v/>
      </c>
      <c r="F135" s="287">
        <f>IFERROR(IF('Invullen groen'!R147&lt;&gt;0,'Invullen groen'!A147,""),"")</f>
        <v/>
      </c>
      <c r="G135" s="287">
        <f>IFERROR(IF('Invullen groen'!R147&lt;&gt;0,'Invullen groen'!G147,""),"")</f>
        <v/>
      </c>
      <c r="H135" s="288">
        <f>IFERROR(IF('Invullen groen'!R147&lt;&gt;0,'Invullen groen'!R147,""),"")</f>
        <v/>
      </c>
    </row>
    <row r="136" ht="14" customHeight="1">
      <c r="A136" s="287">
        <f>IFERROR(IF('Invullen groen'!Q148&gt;0,131,""),"")</f>
        <v/>
      </c>
      <c r="B136" s="287">
        <f>IFERROR(IF('Invullen groen'!Q148&gt;0,'Invullen groen'!A148,""),"")</f>
        <v/>
      </c>
      <c r="C136" s="287">
        <f>IFERROR(IF('Invullen groen'!Q148&gt;0,'Invullen groen'!G148,""),"")</f>
        <v/>
      </c>
      <c r="D136" s="288">
        <f>IFERROR(IF('Invullen groen'!Q148&gt;0,'Invullen groen'!Q148,""),"")</f>
        <v/>
      </c>
      <c r="F136" s="287">
        <f>IFERROR(IF('Invullen groen'!R148&lt;&gt;0,'Invullen groen'!A148,""),"")</f>
        <v/>
      </c>
      <c r="G136" s="287">
        <f>IFERROR(IF('Invullen groen'!R148&lt;&gt;0,'Invullen groen'!G148,""),"")</f>
        <v/>
      </c>
      <c r="H136" s="288">
        <f>IFERROR(IF('Invullen groen'!R148&lt;&gt;0,'Invullen groen'!R148,""),"")</f>
        <v/>
      </c>
    </row>
    <row r="137" ht="14" customHeight="1">
      <c r="A137" s="287">
        <f>IFERROR(IF('Invullen groen'!Q149&gt;0,132,""),"")</f>
        <v/>
      </c>
      <c r="B137" s="287">
        <f>IFERROR(IF('Invullen groen'!Q149&gt;0,'Invullen groen'!A149,""),"")</f>
        <v/>
      </c>
      <c r="C137" s="287">
        <f>IFERROR(IF('Invullen groen'!Q149&gt;0,'Invullen groen'!G149,""),"")</f>
        <v/>
      </c>
      <c r="D137" s="288">
        <f>IFERROR(IF('Invullen groen'!Q149&gt;0,'Invullen groen'!Q149,""),"")</f>
        <v/>
      </c>
      <c r="F137" s="287">
        <f>IFERROR(IF('Invullen groen'!R149&lt;&gt;0,'Invullen groen'!A149,""),"")</f>
        <v/>
      </c>
      <c r="G137" s="287">
        <f>IFERROR(IF('Invullen groen'!R149&lt;&gt;0,'Invullen groen'!G149,""),"")</f>
        <v/>
      </c>
      <c r="H137" s="288">
        <f>IFERROR(IF('Invullen groen'!R149&lt;&gt;0,'Invullen groen'!R149,""),"")</f>
        <v/>
      </c>
    </row>
    <row r="138" ht="14" customHeight="1">
      <c r="A138" s="287">
        <f>IFERROR(IF('Invullen groen'!Q150&gt;0,133,""),"")</f>
        <v/>
      </c>
      <c r="B138" s="287">
        <f>IFERROR(IF('Invullen groen'!Q150&gt;0,'Invullen groen'!A150,""),"")</f>
        <v/>
      </c>
      <c r="C138" s="287">
        <f>IFERROR(IF('Invullen groen'!Q150&gt;0,'Invullen groen'!G150,""),"")</f>
        <v/>
      </c>
      <c r="D138" s="288">
        <f>IFERROR(IF('Invullen groen'!Q150&gt;0,'Invullen groen'!Q150,""),"")</f>
        <v/>
      </c>
      <c r="F138" s="287">
        <f>IFERROR(IF('Invullen groen'!R150&lt;&gt;0,'Invullen groen'!A150,""),"")</f>
        <v/>
      </c>
      <c r="G138" s="287">
        <f>IFERROR(IF('Invullen groen'!R150&lt;&gt;0,'Invullen groen'!G150,""),"")</f>
        <v/>
      </c>
      <c r="H138" s="288">
        <f>IFERROR(IF('Invullen groen'!R150&lt;&gt;0,'Invullen groen'!R150,""),"")</f>
        <v/>
      </c>
    </row>
    <row r="139" ht="14" customHeight="1">
      <c r="A139" s="287">
        <f>IFERROR(IF('Invullen groen'!Q151&gt;0,134,""),"")</f>
        <v/>
      </c>
      <c r="B139" s="287">
        <f>IFERROR(IF('Invullen groen'!Q151&gt;0,'Invullen groen'!A151,""),"")</f>
        <v/>
      </c>
      <c r="C139" s="287">
        <f>IFERROR(IF('Invullen groen'!Q151&gt;0,'Invullen groen'!G151,""),"")</f>
        <v/>
      </c>
      <c r="D139" s="288">
        <f>IFERROR(IF('Invullen groen'!Q151&gt;0,'Invullen groen'!Q151,""),"")</f>
        <v/>
      </c>
      <c r="F139" s="287">
        <f>IFERROR(IF('Invullen groen'!R151&lt;&gt;0,'Invullen groen'!A151,""),"")</f>
        <v/>
      </c>
      <c r="G139" s="287">
        <f>IFERROR(IF('Invullen groen'!R151&lt;&gt;0,'Invullen groen'!G151,""),"")</f>
        <v/>
      </c>
      <c r="H139" s="288">
        <f>IFERROR(IF('Invullen groen'!R151&lt;&gt;0,'Invullen groen'!R151,""),"")</f>
        <v/>
      </c>
    </row>
    <row r="140" ht="14" customHeight="1">
      <c r="A140" s="287">
        <f>IFERROR(IF('Invullen groen'!Q152&gt;0,135,""),"")</f>
        <v/>
      </c>
      <c r="B140" s="287">
        <f>IFERROR(IF('Invullen groen'!Q152&gt;0,'Invullen groen'!A152,""),"")</f>
        <v/>
      </c>
      <c r="C140" s="287">
        <f>IFERROR(IF('Invullen groen'!Q152&gt;0,'Invullen groen'!G152,""),"")</f>
        <v/>
      </c>
      <c r="D140" s="288">
        <f>IFERROR(IF('Invullen groen'!Q152&gt;0,'Invullen groen'!Q152,""),"")</f>
        <v/>
      </c>
      <c r="F140" s="287">
        <f>IFERROR(IF('Invullen groen'!R152&lt;&gt;0,'Invullen groen'!A152,""),"")</f>
        <v/>
      </c>
      <c r="G140" s="287">
        <f>IFERROR(IF('Invullen groen'!R152&lt;&gt;0,'Invullen groen'!G152,""),"")</f>
        <v/>
      </c>
      <c r="H140" s="288">
        <f>IFERROR(IF('Invullen groen'!R152&lt;&gt;0,'Invullen groen'!R152,""),"")</f>
        <v/>
      </c>
    </row>
    <row r="141" ht="14" customHeight="1">
      <c r="A141" s="287">
        <f>IFERROR(IF('Invullen groen'!Q153&gt;0,136,""),"")</f>
        <v/>
      </c>
      <c r="B141" s="287">
        <f>IFERROR(IF('Invullen groen'!Q153&gt;0,'Invullen groen'!A153,""),"")</f>
        <v/>
      </c>
      <c r="C141" s="287">
        <f>IFERROR(IF('Invullen groen'!Q153&gt;0,'Invullen groen'!G153,""),"")</f>
        <v/>
      </c>
      <c r="D141" s="288">
        <f>IFERROR(IF('Invullen groen'!Q153&gt;0,'Invullen groen'!Q153,""),"")</f>
        <v/>
      </c>
      <c r="F141" s="287">
        <f>IFERROR(IF('Invullen groen'!R153&lt;&gt;0,'Invullen groen'!A153,""),"")</f>
        <v/>
      </c>
      <c r="G141" s="287">
        <f>IFERROR(IF('Invullen groen'!R153&lt;&gt;0,'Invullen groen'!G153,""),"")</f>
        <v/>
      </c>
      <c r="H141" s="288">
        <f>IFERROR(IF('Invullen groen'!R153&lt;&gt;0,'Invullen groen'!R153,""),"")</f>
        <v/>
      </c>
    </row>
    <row r="142" ht="14" customHeight="1">
      <c r="A142" s="287">
        <f>IFERROR(IF('Invullen groen'!Q154&gt;0,137,""),"")</f>
        <v/>
      </c>
      <c r="B142" s="287">
        <f>IFERROR(IF('Invullen groen'!Q154&gt;0,'Invullen groen'!A154,""),"")</f>
        <v/>
      </c>
      <c r="C142" s="287">
        <f>IFERROR(IF('Invullen groen'!Q154&gt;0,'Invullen groen'!G154,""),"")</f>
        <v/>
      </c>
      <c r="D142" s="288">
        <f>IFERROR(IF('Invullen groen'!Q154&gt;0,'Invullen groen'!Q154,""),"")</f>
        <v/>
      </c>
      <c r="F142" s="287">
        <f>IFERROR(IF('Invullen groen'!R154&lt;&gt;0,'Invullen groen'!A154,""),"")</f>
        <v/>
      </c>
      <c r="G142" s="287">
        <f>IFERROR(IF('Invullen groen'!R154&lt;&gt;0,'Invullen groen'!G154,""),"")</f>
        <v/>
      </c>
      <c r="H142" s="288">
        <f>IFERROR(IF('Invullen groen'!R154&lt;&gt;0,'Invullen groen'!R154,""),"")</f>
        <v/>
      </c>
    </row>
    <row r="143" ht="14" customHeight="1">
      <c r="A143" s="287">
        <f>IFERROR(IF('Invullen groen'!Q155&gt;0,138,""),"")</f>
        <v/>
      </c>
      <c r="B143" s="287">
        <f>IFERROR(IF('Invullen groen'!Q155&gt;0,'Invullen groen'!A155,""),"")</f>
        <v/>
      </c>
      <c r="C143" s="287">
        <f>IFERROR(IF('Invullen groen'!Q155&gt;0,'Invullen groen'!G155,""),"")</f>
        <v/>
      </c>
      <c r="D143" s="288">
        <f>IFERROR(IF('Invullen groen'!Q155&gt;0,'Invullen groen'!Q155,""),"")</f>
        <v/>
      </c>
      <c r="F143" s="287">
        <f>IFERROR(IF('Invullen groen'!R155&lt;&gt;0,'Invullen groen'!A155,""),"")</f>
        <v/>
      </c>
      <c r="G143" s="287">
        <f>IFERROR(IF('Invullen groen'!R155&lt;&gt;0,'Invullen groen'!G155,""),"")</f>
        <v/>
      </c>
      <c r="H143" s="288">
        <f>IFERROR(IF('Invullen groen'!R155&lt;&gt;0,'Invullen groen'!R155,""),"")</f>
        <v/>
      </c>
    </row>
    <row r="144" ht="14" customHeight="1">
      <c r="A144" s="287">
        <f>IFERROR(IF('Invullen groen'!Q156&gt;0,139,""),"")</f>
        <v/>
      </c>
      <c r="B144" s="287">
        <f>IFERROR(IF('Invullen groen'!Q156&gt;0,'Invullen groen'!A156,""),"")</f>
        <v/>
      </c>
      <c r="C144" s="287">
        <f>IFERROR(IF('Invullen groen'!Q156&gt;0,'Invullen groen'!G156,""),"")</f>
        <v/>
      </c>
      <c r="D144" s="288">
        <f>IFERROR(IF('Invullen groen'!Q156&gt;0,'Invullen groen'!Q156,""),"")</f>
        <v/>
      </c>
      <c r="F144" s="287">
        <f>IFERROR(IF('Invullen groen'!R156&lt;&gt;0,'Invullen groen'!A156,""),"")</f>
        <v/>
      </c>
      <c r="G144" s="287">
        <f>IFERROR(IF('Invullen groen'!R156&lt;&gt;0,'Invullen groen'!G156,""),"")</f>
        <v/>
      </c>
      <c r="H144" s="288">
        <f>IFERROR(IF('Invullen groen'!R156&lt;&gt;0,'Invullen groen'!R156,""),"")</f>
        <v/>
      </c>
    </row>
    <row r="145" ht="14" customHeight="1">
      <c r="A145" s="287">
        <f>IFERROR(IF('Invullen groen'!Q157&gt;0,140,""),"")</f>
        <v/>
      </c>
      <c r="B145" s="287">
        <f>IFERROR(IF('Invullen groen'!Q157&gt;0,'Invullen groen'!A157,""),"")</f>
        <v/>
      </c>
      <c r="C145" s="287">
        <f>IFERROR(IF('Invullen groen'!Q157&gt;0,'Invullen groen'!G157,""),"")</f>
        <v/>
      </c>
      <c r="D145" s="288">
        <f>IFERROR(IF('Invullen groen'!Q157&gt;0,'Invullen groen'!Q157,""),"")</f>
        <v/>
      </c>
      <c r="F145" s="287">
        <f>IFERROR(IF('Invullen groen'!R157&lt;&gt;0,'Invullen groen'!A157,""),"")</f>
        <v/>
      </c>
      <c r="G145" s="287">
        <f>IFERROR(IF('Invullen groen'!R157&lt;&gt;0,'Invullen groen'!G157,""),"")</f>
        <v/>
      </c>
      <c r="H145" s="288">
        <f>IFERROR(IF('Invullen groen'!R157&lt;&gt;0,'Invullen groen'!R157,""),"")</f>
        <v/>
      </c>
    </row>
    <row r="146" ht="14" customHeight="1">
      <c r="A146" s="287">
        <f>IFERROR(IF('Invullen groen'!Q158&gt;0,141,""),"")</f>
        <v/>
      </c>
      <c r="B146" s="287">
        <f>IFERROR(IF('Invullen groen'!Q158&gt;0,'Invullen groen'!A158,""),"")</f>
        <v/>
      </c>
      <c r="C146" s="287">
        <f>IFERROR(IF('Invullen groen'!Q158&gt;0,'Invullen groen'!G158,""),"")</f>
        <v/>
      </c>
      <c r="D146" s="288">
        <f>IFERROR(IF('Invullen groen'!Q158&gt;0,'Invullen groen'!Q158,""),"")</f>
        <v/>
      </c>
      <c r="F146" s="287">
        <f>IFERROR(IF('Invullen groen'!R158&lt;&gt;0,'Invullen groen'!A158,""),"")</f>
        <v/>
      </c>
      <c r="G146" s="287">
        <f>IFERROR(IF('Invullen groen'!R158&lt;&gt;0,'Invullen groen'!G158,""),"")</f>
        <v/>
      </c>
      <c r="H146" s="288">
        <f>IFERROR(IF('Invullen groen'!R158&lt;&gt;0,'Invullen groen'!R158,""),"")</f>
        <v/>
      </c>
    </row>
    <row r="147" ht="14" customHeight="1">
      <c r="A147" s="287">
        <f>IFERROR(IF('Invullen groen'!Q159&gt;0,142,""),"")</f>
        <v/>
      </c>
      <c r="B147" s="287">
        <f>IFERROR(IF('Invullen groen'!Q159&gt;0,'Invullen groen'!A159,""),"")</f>
        <v/>
      </c>
      <c r="C147" s="287">
        <f>IFERROR(IF('Invullen groen'!Q159&gt;0,'Invullen groen'!G159,""),"")</f>
        <v/>
      </c>
      <c r="D147" s="288">
        <f>IFERROR(IF('Invullen groen'!Q159&gt;0,'Invullen groen'!Q159,""),"")</f>
        <v/>
      </c>
      <c r="F147" s="287">
        <f>IFERROR(IF('Invullen groen'!R159&lt;&gt;0,'Invullen groen'!A159,""),"")</f>
        <v/>
      </c>
      <c r="G147" s="287">
        <f>IFERROR(IF('Invullen groen'!R159&lt;&gt;0,'Invullen groen'!G159,""),"")</f>
        <v/>
      </c>
      <c r="H147" s="288">
        <f>IFERROR(IF('Invullen groen'!R159&lt;&gt;0,'Invullen groen'!R159,""),"")</f>
        <v/>
      </c>
    </row>
    <row r="148" ht="14" customHeight="1">
      <c r="A148" s="287">
        <f>IFERROR(IF('Invullen groen'!Q160&gt;0,143,""),"")</f>
        <v/>
      </c>
      <c r="B148" s="287">
        <f>IFERROR(IF('Invullen groen'!Q160&gt;0,'Invullen groen'!A160,""),"")</f>
        <v/>
      </c>
      <c r="C148" s="287">
        <f>IFERROR(IF('Invullen groen'!Q160&gt;0,'Invullen groen'!G160,""),"")</f>
        <v/>
      </c>
      <c r="D148" s="288">
        <f>IFERROR(IF('Invullen groen'!Q160&gt;0,'Invullen groen'!Q160,""),"")</f>
        <v/>
      </c>
      <c r="F148" s="287">
        <f>IFERROR(IF('Invullen groen'!R160&lt;&gt;0,'Invullen groen'!A160,""),"")</f>
        <v/>
      </c>
      <c r="G148" s="287">
        <f>IFERROR(IF('Invullen groen'!R160&lt;&gt;0,'Invullen groen'!G160,""),"")</f>
        <v/>
      </c>
      <c r="H148" s="288">
        <f>IFERROR(IF('Invullen groen'!R160&lt;&gt;0,'Invullen groen'!R160,""),"")</f>
        <v/>
      </c>
    </row>
    <row r="149" ht="14" customHeight="1">
      <c r="A149" s="287">
        <f>IFERROR(IF('Invullen groen'!Q161&gt;0,144,""),"")</f>
        <v/>
      </c>
      <c r="B149" s="287">
        <f>IFERROR(IF('Invullen groen'!Q161&gt;0,'Invullen groen'!A161,""),"")</f>
        <v/>
      </c>
      <c r="C149" s="287">
        <f>IFERROR(IF('Invullen groen'!Q161&gt;0,'Invullen groen'!G161,""),"")</f>
        <v/>
      </c>
      <c r="D149" s="288">
        <f>IFERROR(IF('Invullen groen'!Q161&gt;0,'Invullen groen'!Q161,""),"")</f>
        <v/>
      </c>
      <c r="F149" s="287">
        <f>IFERROR(IF('Invullen groen'!R161&lt;&gt;0,'Invullen groen'!A161,""),"")</f>
        <v/>
      </c>
      <c r="G149" s="287">
        <f>IFERROR(IF('Invullen groen'!R161&lt;&gt;0,'Invullen groen'!G161,""),"")</f>
        <v/>
      </c>
      <c r="H149" s="288">
        <f>IFERROR(IF('Invullen groen'!R161&lt;&gt;0,'Invullen groen'!R161,""),"")</f>
        <v/>
      </c>
    </row>
    <row r="150" ht="14" customHeight="1">
      <c r="A150" s="287">
        <f>IFERROR(IF('Invullen groen'!Q162&gt;0,145,""),"")</f>
        <v/>
      </c>
      <c r="B150" s="287">
        <f>IFERROR(IF('Invullen groen'!Q162&gt;0,'Invullen groen'!A162,""),"")</f>
        <v/>
      </c>
      <c r="C150" s="287">
        <f>IFERROR(IF('Invullen groen'!Q162&gt;0,'Invullen groen'!G162,""),"")</f>
        <v/>
      </c>
      <c r="D150" s="288">
        <f>IFERROR(IF('Invullen groen'!Q162&gt;0,'Invullen groen'!Q162,""),"")</f>
        <v/>
      </c>
      <c r="F150" s="287">
        <f>IFERROR(IF('Invullen groen'!R162&lt;&gt;0,'Invullen groen'!A162,""),"")</f>
        <v/>
      </c>
      <c r="G150" s="287">
        <f>IFERROR(IF('Invullen groen'!R162&lt;&gt;0,'Invullen groen'!G162,""),"")</f>
        <v/>
      </c>
      <c r="H150" s="288">
        <f>IFERROR(IF('Invullen groen'!R162&lt;&gt;0,'Invullen groen'!R162,""),"")</f>
        <v/>
      </c>
    </row>
    <row r="151" ht="14" customHeight="1">
      <c r="A151" s="287">
        <f>IFERROR(IF('Invullen groen'!Q163&gt;0,146,""),"")</f>
        <v/>
      </c>
      <c r="B151" s="287">
        <f>IFERROR(IF('Invullen groen'!Q163&gt;0,'Invullen groen'!A163,""),"")</f>
        <v/>
      </c>
      <c r="C151" s="287">
        <f>IFERROR(IF('Invullen groen'!Q163&gt;0,'Invullen groen'!G163,""),"")</f>
        <v/>
      </c>
      <c r="D151" s="288">
        <f>IFERROR(IF('Invullen groen'!Q163&gt;0,'Invullen groen'!Q163,""),"")</f>
        <v/>
      </c>
      <c r="F151" s="287">
        <f>IFERROR(IF('Invullen groen'!R163&lt;&gt;0,'Invullen groen'!A163,""),"")</f>
        <v/>
      </c>
      <c r="G151" s="287">
        <f>IFERROR(IF('Invullen groen'!R163&lt;&gt;0,'Invullen groen'!G163,""),"")</f>
        <v/>
      </c>
      <c r="H151" s="288">
        <f>IFERROR(IF('Invullen groen'!R163&lt;&gt;0,'Invullen groen'!R163,""),"")</f>
        <v/>
      </c>
    </row>
    <row r="152" ht="14" customHeight="1">
      <c r="A152" s="287">
        <f>IFERROR(IF('Invullen groen'!Q164&gt;0,147,""),"")</f>
        <v/>
      </c>
      <c r="B152" s="287">
        <f>IFERROR(IF('Invullen groen'!Q164&gt;0,'Invullen groen'!A164,""),"")</f>
        <v/>
      </c>
      <c r="C152" s="287">
        <f>IFERROR(IF('Invullen groen'!Q164&gt;0,'Invullen groen'!G164,""),"")</f>
        <v/>
      </c>
      <c r="D152" s="288">
        <f>IFERROR(IF('Invullen groen'!Q164&gt;0,'Invullen groen'!Q164,""),"")</f>
        <v/>
      </c>
      <c r="F152" s="287">
        <f>IFERROR(IF('Invullen groen'!R164&lt;&gt;0,'Invullen groen'!A164,""),"")</f>
        <v/>
      </c>
      <c r="G152" s="287">
        <f>IFERROR(IF('Invullen groen'!R164&lt;&gt;0,'Invullen groen'!G164,""),"")</f>
        <v/>
      </c>
      <c r="H152" s="288">
        <f>IFERROR(IF('Invullen groen'!R164&lt;&gt;0,'Invullen groen'!R164,""),"")</f>
        <v/>
      </c>
    </row>
    <row r="153" ht="14" customHeight="1">
      <c r="A153" s="287">
        <f>IFERROR(IF('Invullen groen'!Q165&gt;0,148,""),"")</f>
        <v/>
      </c>
      <c r="B153" s="287">
        <f>IFERROR(IF('Invullen groen'!Q165&gt;0,'Invullen groen'!A165,""),"")</f>
        <v/>
      </c>
      <c r="C153" s="287">
        <f>IFERROR(IF('Invullen groen'!Q165&gt;0,'Invullen groen'!G165,""),"")</f>
        <v/>
      </c>
      <c r="D153" s="288">
        <f>IFERROR(IF('Invullen groen'!Q165&gt;0,'Invullen groen'!Q165,""),"")</f>
        <v/>
      </c>
      <c r="F153" s="287">
        <f>IFERROR(IF('Invullen groen'!R165&lt;&gt;0,'Invullen groen'!A165,""),"")</f>
        <v/>
      </c>
      <c r="G153" s="287">
        <f>IFERROR(IF('Invullen groen'!R165&lt;&gt;0,'Invullen groen'!G165,""),"")</f>
        <v/>
      </c>
      <c r="H153" s="288">
        <f>IFERROR(IF('Invullen groen'!R165&lt;&gt;0,'Invullen groen'!R165,""),"")</f>
        <v/>
      </c>
    </row>
    <row r="154" ht="14" customHeight="1">
      <c r="A154" s="287">
        <f>IFERROR(IF('Invullen groen'!Q166&gt;0,149,""),"")</f>
        <v/>
      </c>
      <c r="B154" s="287">
        <f>IFERROR(IF('Invullen groen'!Q166&gt;0,'Invullen groen'!A166,""),"")</f>
        <v/>
      </c>
      <c r="C154" s="287">
        <f>IFERROR(IF('Invullen groen'!Q166&gt;0,'Invullen groen'!G166,""),"")</f>
        <v/>
      </c>
      <c r="D154" s="288">
        <f>IFERROR(IF('Invullen groen'!Q166&gt;0,'Invullen groen'!Q166,""),"")</f>
        <v/>
      </c>
      <c r="F154" s="287">
        <f>IFERROR(IF('Invullen groen'!R166&lt;&gt;0,'Invullen groen'!A166,""),"")</f>
        <v/>
      </c>
      <c r="G154" s="287">
        <f>IFERROR(IF('Invullen groen'!R166&lt;&gt;0,'Invullen groen'!G166,""),"")</f>
        <v/>
      </c>
      <c r="H154" s="288">
        <f>IFERROR(IF('Invullen groen'!R166&lt;&gt;0,'Invullen groen'!R166,""),"")</f>
        <v/>
      </c>
    </row>
    <row r="155" ht="14" customHeight="1">
      <c r="A155" s="287">
        <f>IFERROR(IF('Invullen groen'!Q167&gt;0,150,""),"")</f>
        <v/>
      </c>
      <c r="B155" s="287">
        <f>IFERROR(IF('Invullen groen'!Q167&gt;0,'Invullen groen'!A167,""),"")</f>
        <v/>
      </c>
      <c r="C155" s="287">
        <f>IFERROR(IF('Invullen groen'!Q167&gt;0,'Invullen groen'!G167,""),"")</f>
        <v/>
      </c>
      <c r="D155" s="288">
        <f>IFERROR(IF('Invullen groen'!Q167&gt;0,'Invullen groen'!Q167,""),"")</f>
        <v/>
      </c>
      <c r="F155" s="287">
        <f>IFERROR(IF('Invullen groen'!R167&lt;&gt;0,'Invullen groen'!A167,""),"")</f>
        <v/>
      </c>
      <c r="G155" s="287">
        <f>IFERROR(IF('Invullen groen'!R167&lt;&gt;0,'Invullen groen'!G167,""),"")</f>
        <v/>
      </c>
      <c r="H155" s="288">
        <f>IFERROR(IF('Invullen groen'!R167&lt;&gt;0,'Invullen groen'!R167,""),"")</f>
        <v/>
      </c>
    </row>
    <row r="156" ht="14" customHeight="1">
      <c r="A156" s="287">
        <f>IFERROR(IF('Invullen groen'!Q168&gt;0,151,""),"")</f>
        <v/>
      </c>
      <c r="B156" s="287">
        <f>IFERROR(IF('Invullen groen'!Q168&gt;0,'Invullen groen'!A168,""),"")</f>
        <v/>
      </c>
      <c r="C156" s="287">
        <f>IFERROR(IF('Invullen groen'!Q168&gt;0,'Invullen groen'!G168,""),"")</f>
        <v/>
      </c>
      <c r="D156" s="288">
        <f>IFERROR(IF('Invullen groen'!Q168&gt;0,'Invullen groen'!Q168,""),"")</f>
        <v/>
      </c>
      <c r="F156" s="287">
        <f>IFERROR(IF('Invullen groen'!R168&lt;&gt;0,'Invullen groen'!A168,""),"")</f>
        <v/>
      </c>
      <c r="G156" s="287">
        <f>IFERROR(IF('Invullen groen'!R168&lt;&gt;0,'Invullen groen'!G168,""),"")</f>
        <v/>
      </c>
      <c r="H156" s="288">
        <f>IFERROR(IF('Invullen groen'!R168&lt;&gt;0,'Invullen groen'!R168,""),"")</f>
        <v/>
      </c>
    </row>
    <row r="157" ht="14" customHeight="1">
      <c r="A157" s="287">
        <f>IFERROR(IF('Invullen groen'!Q169&gt;0,152,""),"")</f>
        <v/>
      </c>
      <c r="B157" s="287">
        <f>IFERROR(IF('Invullen groen'!Q169&gt;0,'Invullen groen'!A169,""),"")</f>
        <v/>
      </c>
      <c r="C157" s="287">
        <f>IFERROR(IF('Invullen groen'!Q169&gt;0,'Invullen groen'!G169,""),"")</f>
        <v/>
      </c>
      <c r="D157" s="288">
        <f>IFERROR(IF('Invullen groen'!Q169&gt;0,'Invullen groen'!Q169,""),"")</f>
        <v/>
      </c>
      <c r="F157" s="287">
        <f>IFERROR(IF('Invullen groen'!R169&lt;&gt;0,'Invullen groen'!A169,""),"")</f>
        <v/>
      </c>
      <c r="G157" s="287">
        <f>IFERROR(IF('Invullen groen'!R169&lt;&gt;0,'Invullen groen'!G169,""),"")</f>
        <v/>
      </c>
      <c r="H157" s="288">
        <f>IFERROR(IF('Invullen groen'!R169&lt;&gt;0,'Invullen groen'!R169,""),"")</f>
        <v/>
      </c>
    </row>
    <row r="158" ht="14" customHeight="1">
      <c r="A158" s="287">
        <f>IFERROR(IF('Invullen groen'!Q170&gt;0,153,""),"")</f>
        <v/>
      </c>
      <c r="B158" s="287">
        <f>IFERROR(IF('Invullen groen'!Q170&gt;0,'Invullen groen'!A170,""),"")</f>
        <v/>
      </c>
      <c r="C158" s="287">
        <f>IFERROR(IF('Invullen groen'!Q170&gt;0,'Invullen groen'!G170,""),"")</f>
        <v/>
      </c>
      <c r="D158" s="288">
        <f>IFERROR(IF('Invullen groen'!Q170&gt;0,'Invullen groen'!Q170,""),"")</f>
        <v/>
      </c>
      <c r="F158" s="287">
        <f>IFERROR(IF('Invullen groen'!R170&lt;&gt;0,'Invullen groen'!A170,""),"")</f>
        <v/>
      </c>
      <c r="G158" s="287">
        <f>IFERROR(IF('Invullen groen'!R170&lt;&gt;0,'Invullen groen'!G170,""),"")</f>
        <v/>
      </c>
      <c r="H158" s="288">
        <f>IFERROR(IF('Invullen groen'!R170&lt;&gt;0,'Invullen groen'!R170,""),"")</f>
        <v/>
      </c>
    </row>
    <row r="159" ht="14" customHeight="1">
      <c r="A159" s="287">
        <f>IFERROR(IF('Invullen groen'!Q171&gt;0,154,""),"")</f>
        <v/>
      </c>
      <c r="B159" s="287">
        <f>IFERROR(IF('Invullen groen'!Q171&gt;0,'Invullen groen'!A171,""),"")</f>
        <v/>
      </c>
      <c r="C159" s="287">
        <f>IFERROR(IF('Invullen groen'!Q171&gt;0,'Invullen groen'!G171,""),"")</f>
        <v/>
      </c>
      <c r="D159" s="288">
        <f>IFERROR(IF('Invullen groen'!Q171&gt;0,'Invullen groen'!Q171,""),"")</f>
        <v/>
      </c>
      <c r="F159" s="287">
        <f>IFERROR(IF('Invullen groen'!R171&lt;&gt;0,'Invullen groen'!A171,""),"")</f>
        <v/>
      </c>
      <c r="G159" s="287">
        <f>IFERROR(IF('Invullen groen'!R171&lt;&gt;0,'Invullen groen'!G171,""),"")</f>
        <v/>
      </c>
      <c r="H159" s="288">
        <f>IFERROR(IF('Invullen groen'!R171&lt;&gt;0,'Invullen groen'!R171,""),"")</f>
        <v/>
      </c>
    </row>
    <row r="160" ht="14" customHeight="1">
      <c r="A160" s="287">
        <f>IFERROR(IF('Invullen groen'!Q172&gt;0,155,""),"")</f>
        <v/>
      </c>
      <c r="B160" s="287">
        <f>IFERROR(IF('Invullen groen'!Q172&gt;0,'Invullen groen'!A172,""),"")</f>
        <v/>
      </c>
      <c r="C160" s="287">
        <f>IFERROR(IF('Invullen groen'!Q172&gt;0,'Invullen groen'!G172,""),"")</f>
        <v/>
      </c>
      <c r="D160" s="288">
        <f>IFERROR(IF('Invullen groen'!Q172&gt;0,'Invullen groen'!Q172,""),"")</f>
        <v/>
      </c>
      <c r="F160" s="287">
        <f>IFERROR(IF('Invullen groen'!R172&lt;&gt;0,'Invullen groen'!A172,""),"")</f>
        <v/>
      </c>
      <c r="G160" s="287">
        <f>IFERROR(IF('Invullen groen'!R172&lt;&gt;0,'Invullen groen'!G172,""),"")</f>
        <v/>
      </c>
      <c r="H160" s="288">
        <f>IFERROR(IF('Invullen groen'!R172&lt;&gt;0,'Invullen groen'!R172,""),"")</f>
        <v/>
      </c>
    </row>
    <row r="161" ht="14" customHeight="1">
      <c r="A161" s="287">
        <f>IFERROR(IF('Invullen groen'!Q173&gt;0,156,""),"")</f>
        <v/>
      </c>
      <c r="B161" s="287">
        <f>IFERROR(IF('Invullen groen'!Q173&gt;0,'Invullen groen'!A173,""),"")</f>
        <v/>
      </c>
      <c r="C161" s="287">
        <f>IFERROR(IF('Invullen groen'!Q173&gt;0,'Invullen groen'!G173,""),"")</f>
        <v/>
      </c>
      <c r="D161" s="288">
        <f>IFERROR(IF('Invullen groen'!Q173&gt;0,'Invullen groen'!Q173,""),"")</f>
        <v/>
      </c>
      <c r="F161" s="287">
        <f>IFERROR(IF('Invullen groen'!R173&lt;&gt;0,'Invullen groen'!A173,""),"")</f>
        <v/>
      </c>
      <c r="G161" s="287">
        <f>IFERROR(IF('Invullen groen'!R173&lt;&gt;0,'Invullen groen'!G173,""),"")</f>
        <v/>
      </c>
      <c r="H161" s="288">
        <f>IFERROR(IF('Invullen groen'!R173&lt;&gt;0,'Invullen groen'!R173,""),"")</f>
        <v/>
      </c>
    </row>
    <row r="162" ht="14" customHeight="1">
      <c r="A162" s="287">
        <f>IFERROR(IF('Invullen groen'!Q174&gt;0,157,""),"")</f>
        <v/>
      </c>
      <c r="B162" s="287">
        <f>IFERROR(IF('Invullen groen'!Q174&gt;0,'Invullen groen'!A174,""),"")</f>
        <v/>
      </c>
      <c r="C162" s="287">
        <f>IFERROR(IF('Invullen groen'!Q174&gt;0,'Invullen groen'!G174,""),"")</f>
        <v/>
      </c>
      <c r="D162" s="288">
        <f>IFERROR(IF('Invullen groen'!Q174&gt;0,'Invullen groen'!Q174,""),"")</f>
        <v/>
      </c>
      <c r="F162" s="287">
        <f>IFERROR(IF('Invullen groen'!R174&lt;&gt;0,'Invullen groen'!A174,""),"")</f>
        <v/>
      </c>
      <c r="G162" s="287">
        <f>IFERROR(IF('Invullen groen'!R174&lt;&gt;0,'Invullen groen'!G174,""),"")</f>
        <v/>
      </c>
      <c r="H162" s="288">
        <f>IFERROR(IF('Invullen groen'!R174&lt;&gt;0,'Invullen groen'!R174,""),"")</f>
        <v/>
      </c>
    </row>
    <row r="163" ht="14" customHeight="1">
      <c r="A163" s="287">
        <f>IFERROR(IF('Invullen groen'!Q175&gt;0,158,""),"")</f>
        <v/>
      </c>
      <c r="B163" s="287">
        <f>IFERROR(IF('Invullen groen'!Q175&gt;0,'Invullen groen'!A175,""),"")</f>
        <v/>
      </c>
      <c r="C163" s="287">
        <f>IFERROR(IF('Invullen groen'!Q175&gt;0,'Invullen groen'!G175,""),"")</f>
        <v/>
      </c>
      <c r="D163" s="288">
        <f>IFERROR(IF('Invullen groen'!Q175&gt;0,'Invullen groen'!Q175,""),"")</f>
        <v/>
      </c>
      <c r="F163" s="287">
        <f>IFERROR(IF('Invullen groen'!R175&lt;&gt;0,'Invullen groen'!A175,""),"")</f>
        <v/>
      </c>
      <c r="G163" s="287">
        <f>IFERROR(IF('Invullen groen'!R175&lt;&gt;0,'Invullen groen'!G175,""),"")</f>
        <v/>
      </c>
      <c r="H163" s="288">
        <f>IFERROR(IF('Invullen groen'!R175&lt;&gt;0,'Invullen groen'!R175,""),"")</f>
        <v/>
      </c>
    </row>
    <row r="164" ht="14" customHeight="1">
      <c r="A164" s="287">
        <f>IFERROR(IF('Invullen groen'!Q176&gt;0,159,""),"")</f>
        <v/>
      </c>
      <c r="B164" s="287">
        <f>IFERROR(IF('Invullen groen'!Q176&gt;0,'Invullen groen'!A176,""),"")</f>
        <v/>
      </c>
      <c r="C164" s="287">
        <f>IFERROR(IF('Invullen groen'!Q176&gt;0,'Invullen groen'!G176,""),"")</f>
        <v/>
      </c>
      <c r="D164" s="288">
        <f>IFERROR(IF('Invullen groen'!Q176&gt;0,'Invullen groen'!Q176,""),"")</f>
        <v/>
      </c>
      <c r="F164" s="287">
        <f>IFERROR(IF('Invullen groen'!R176&lt;&gt;0,'Invullen groen'!A176,""),"")</f>
        <v/>
      </c>
      <c r="G164" s="287">
        <f>IFERROR(IF('Invullen groen'!R176&lt;&gt;0,'Invullen groen'!G176,""),"")</f>
        <v/>
      </c>
      <c r="H164" s="288">
        <f>IFERROR(IF('Invullen groen'!R176&lt;&gt;0,'Invullen groen'!R176,""),"")</f>
        <v/>
      </c>
    </row>
    <row r="165" ht="14" customHeight="1">
      <c r="A165" s="287">
        <f>IFERROR(IF('Invullen groen'!Q177&gt;0,160,""),"")</f>
        <v/>
      </c>
      <c r="B165" s="287">
        <f>IFERROR(IF('Invullen groen'!Q177&gt;0,'Invullen groen'!A177,""),"")</f>
        <v/>
      </c>
      <c r="C165" s="287">
        <f>IFERROR(IF('Invullen groen'!Q177&gt;0,'Invullen groen'!G177,""),"")</f>
        <v/>
      </c>
      <c r="D165" s="288">
        <f>IFERROR(IF('Invullen groen'!Q177&gt;0,'Invullen groen'!Q177,""),"")</f>
        <v/>
      </c>
      <c r="F165" s="287">
        <f>IFERROR(IF('Invullen groen'!R177&lt;&gt;0,'Invullen groen'!A177,""),"")</f>
        <v/>
      </c>
      <c r="G165" s="287">
        <f>IFERROR(IF('Invullen groen'!R177&lt;&gt;0,'Invullen groen'!G177,""),"")</f>
        <v/>
      </c>
      <c r="H165" s="288">
        <f>IFERROR(IF('Invullen groen'!R177&lt;&gt;0,'Invullen groen'!R177,""),"")</f>
        <v/>
      </c>
    </row>
    <row r="166" ht="14" customHeight="1">
      <c r="A166" s="287">
        <f>IFERROR(IF('Invullen groen'!Q178&gt;0,161,""),"")</f>
        <v/>
      </c>
      <c r="B166" s="287">
        <f>IFERROR(IF('Invullen groen'!Q178&gt;0,'Invullen groen'!A178,""),"")</f>
        <v/>
      </c>
      <c r="C166" s="287">
        <f>IFERROR(IF('Invullen groen'!Q178&gt;0,'Invullen groen'!G178,""),"")</f>
        <v/>
      </c>
      <c r="D166" s="288">
        <f>IFERROR(IF('Invullen groen'!Q178&gt;0,'Invullen groen'!Q178,""),"")</f>
        <v/>
      </c>
      <c r="F166" s="287">
        <f>IFERROR(IF('Invullen groen'!R178&lt;&gt;0,'Invullen groen'!A178,""),"")</f>
        <v/>
      </c>
      <c r="G166" s="287">
        <f>IFERROR(IF('Invullen groen'!R178&lt;&gt;0,'Invullen groen'!G178,""),"")</f>
        <v/>
      </c>
      <c r="H166" s="288">
        <f>IFERROR(IF('Invullen groen'!R178&lt;&gt;0,'Invullen groen'!R178,""),"")</f>
        <v/>
      </c>
    </row>
    <row r="167" ht="14" customHeight="1">
      <c r="A167" s="287">
        <f>IFERROR(IF('Invullen groen'!Q179&gt;0,162,""),"")</f>
        <v/>
      </c>
      <c r="B167" s="287">
        <f>IFERROR(IF('Invullen groen'!Q179&gt;0,'Invullen groen'!A179,""),"")</f>
        <v/>
      </c>
      <c r="C167" s="287">
        <f>IFERROR(IF('Invullen groen'!Q179&gt;0,'Invullen groen'!G179,""),"")</f>
        <v/>
      </c>
      <c r="D167" s="288">
        <f>IFERROR(IF('Invullen groen'!Q179&gt;0,'Invullen groen'!Q179,""),"")</f>
        <v/>
      </c>
      <c r="F167" s="287">
        <f>IFERROR(IF('Invullen groen'!R179&lt;&gt;0,'Invullen groen'!A179,""),"")</f>
        <v/>
      </c>
      <c r="G167" s="287">
        <f>IFERROR(IF('Invullen groen'!R179&lt;&gt;0,'Invullen groen'!G179,""),"")</f>
        <v/>
      </c>
      <c r="H167" s="288">
        <f>IFERROR(IF('Invullen groen'!R179&lt;&gt;0,'Invullen groen'!R179,""),"")</f>
        <v/>
      </c>
    </row>
    <row r="168" ht="14" customHeight="1">
      <c r="A168" s="287">
        <f>IFERROR(IF('Invullen groen'!Q180&gt;0,163,""),"")</f>
        <v/>
      </c>
      <c r="B168" s="287">
        <f>IFERROR(IF('Invullen groen'!Q180&gt;0,'Invullen groen'!A180,""),"")</f>
        <v/>
      </c>
      <c r="C168" s="287">
        <f>IFERROR(IF('Invullen groen'!Q180&gt;0,'Invullen groen'!G180,""),"")</f>
        <v/>
      </c>
      <c r="D168" s="288">
        <f>IFERROR(IF('Invullen groen'!Q180&gt;0,'Invullen groen'!Q180,""),"")</f>
        <v/>
      </c>
      <c r="F168" s="287">
        <f>IFERROR(IF('Invullen groen'!R180&lt;&gt;0,'Invullen groen'!A180,""),"")</f>
        <v/>
      </c>
      <c r="G168" s="287">
        <f>IFERROR(IF('Invullen groen'!R180&lt;&gt;0,'Invullen groen'!G180,""),"")</f>
        <v/>
      </c>
      <c r="H168" s="288">
        <f>IFERROR(IF('Invullen groen'!R180&lt;&gt;0,'Invullen groen'!R180,""),"")</f>
        <v/>
      </c>
    </row>
    <row r="169" ht="14" customHeight="1">
      <c r="A169" s="287">
        <f>IFERROR(IF('Invullen groen'!Q181&gt;0,164,""),"")</f>
        <v/>
      </c>
      <c r="B169" s="287">
        <f>IFERROR(IF('Invullen groen'!Q181&gt;0,'Invullen groen'!A181,""),"")</f>
        <v/>
      </c>
      <c r="C169" s="287">
        <f>IFERROR(IF('Invullen groen'!Q181&gt;0,'Invullen groen'!G181,""),"")</f>
        <v/>
      </c>
      <c r="D169" s="288">
        <f>IFERROR(IF('Invullen groen'!Q181&gt;0,'Invullen groen'!Q181,""),"")</f>
        <v/>
      </c>
      <c r="F169" s="287">
        <f>IFERROR(IF('Invullen groen'!R181&lt;&gt;0,'Invullen groen'!A181,""),"")</f>
        <v/>
      </c>
      <c r="G169" s="287">
        <f>IFERROR(IF('Invullen groen'!R181&lt;&gt;0,'Invullen groen'!G181,""),"")</f>
        <v/>
      </c>
      <c r="H169" s="288">
        <f>IFERROR(IF('Invullen groen'!R181&lt;&gt;0,'Invullen groen'!R181,""),"")</f>
        <v/>
      </c>
    </row>
    <row r="170" ht="14" customHeight="1">
      <c r="A170" s="287">
        <f>IFERROR(IF('Invullen groen'!Q182&gt;0,165,""),"")</f>
        <v/>
      </c>
      <c r="B170" s="287">
        <f>IFERROR(IF('Invullen groen'!Q182&gt;0,'Invullen groen'!A182,""),"")</f>
        <v/>
      </c>
      <c r="C170" s="287">
        <f>IFERROR(IF('Invullen groen'!Q182&gt;0,'Invullen groen'!G182,""),"")</f>
        <v/>
      </c>
      <c r="D170" s="288">
        <f>IFERROR(IF('Invullen groen'!Q182&gt;0,'Invullen groen'!Q182,""),"")</f>
        <v/>
      </c>
      <c r="F170" s="287">
        <f>IFERROR(IF('Invullen groen'!R182&lt;&gt;0,'Invullen groen'!A182,""),"")</f>
        <v/>
      </c>
      <c r="G170" s="287">
        <f>IFERROR(IF('Invullen groen'!R182&lt;&gt;0,'Invullen groen'!G182,""),"")</f>
        <v/>
      </c>
      <c r="H170" s="288">
        <f>IFERROR(IF('Invullen groen'!R182&lt;&gt;0,'Invullen groen'!R182,""),"")</f>
        <v/>
      </c>
    </row>
    <row r="171" ht="14" customHeight="1">
      <c r="A171" s="287">
        <f>IFERROR(IF('Invullen groen'!Q183&gt;0,166,""),"")</f>
        <v/>
      </c>
      <c r="B171" s="287">
        <f>IFERROR(IF('Invullen groen'!Q183&gt;0,'Invullen groen'!A183,""),"")</f>
        <v/>
      </c>
      <c r="C171" s="287">
        <f>IFERROR(IF('Invullen groen'!Q183&gt;0,'Invullen groen'!G183,""),"")</f>
        <v/>
      </c>
      <c r="D171" s="288">
        <f>IFERROR(IF('Invullen groen'!Q183&gt;0,'Invullen groen'!Q183,""),"")</f>
        <v/>
      </c>
      <c r="F171" s="287">
        <f>IFERROR(IF('Invullen groen'!R183&lt;&gt;0,'Invullen groen'!A183,""),"")</f>
        <v/>
      </c>
      <c r="G171" s="287">
        <f>IFERROR(IF('Invullen groen'!R183&lt;&gt;0,'Invullen groen'!G183,""),"")</f>
        <v/>
      </c>
      <c r="H171" s="288">
        <f>IFERROR(IF('Invullen groen'!R183&lt;&gt;0,'Invullen groen'!R183,""),"")</f>
        <v/>
      </c>
    </row>
    <row r="172" ht="14" customHeight="1">
      <c r="A172" s="287">
        <f>IFERROR(IF('Invullen groen'!Q184&gt;0,167,""),"")</f>
        <v/>
      </c>
      <c r="B172" s="287">
        <f>IFERROR(IF('Invullen groen'!Q184&gt;0,'Invullen groen'!A184,""),"")</f>
        <v/>
      </c>
      <c r="C172" s="287">
        <f>IFERROR(IF('Invullen groen'!Q184&gt;0,'Invullen groen'!G184,""),"")</f>
        <v/>
      </c>
      <c r="D172" s="288">
        <f>IFERROR(IF('Invullen groen'!Q184&gt;0,'Invullen groen'!Q184,""),"")</f>
        <v/>
      </c>
      <c r="F172" s="287">
        <f>IFERROR(IF('Invullen groen'!R184&lt;&gt;0,'Invullen groen'!A184,""),"")</f>
        <v/>
      </c>
      <c r="G172" s="287">
        <f>IFERROR(IF('Invullen groen'!R184&lt;&gt;0,'Invullen groen'!G184,""),"")</f>
        <v/>
      </c>
      <c r="H172" s="288">
        <f>IFERROR(IF('Invullen groen'!R184&lt;&gt;0,'Invullen groen'!R184,""),"")</f>
        <v/>
      </c>
    </row>
    <row r="173" ht="14" customHeight="1">
      <c r="A173" s="287">
        <f>IFERROR(IF('Invullen groen'!Q185&gt;0,168,""),"")</f>
        <v/>
      </c>
      <c r="B173" s="287">
        <f>IFERROR(IF('Invullen groen'!Q185&gt;0,'Invullen groen'!A185,""),"")</f>
        <v/>
      </c>
      <c r="C173" s="287">
        <f>IFERROR(IF('Invullen groen'!Q185&gt;0,'Invullen groen'!G185,""),"")</f>
        <v/>
      </c>
      <c r="D173" s="288">
        <f>IFERROR(IF('Invullen groen'!Q185&gt;0,'Invullen groen'!Q185,""),"")</f>
        <v/>
      </c>
      <c r="F173" s="287">
        <f>IFERROR(IF('Invullen groen'!R185&lt;&gt;0,'Invullen groen'!A185,""),"")</f>
        <v/>
      </c>
      <c r="G173" s="287">
        <f>IFERROR(IF('Invullen groen'!R185&lt;&gt;0,'Invullen groen'!G185,""),"")</f>
        <v/>
      </c>
      <c r="H173" s="288">
        <f>IFERROR(IF('Invullen groen'!R185&lt;&gt;0,'Invullen groen'!R185,""),"")</f>
        <v/>
      </c>
    </row>
    <row r="174" ht="14" customHeight="1">
      <c r="A174" s="287">
        <f>IFERROR(IF('Invullen groen'!Q186&gt;0,169,""),"")</f>
        <v/>
      </c>
      <c r="B174" s="287">
        <f>IFERROR(IF('Invullen groen'!Q186&gt;0,'Invullen groen'!A186,""),"")</f>
        <v/>
      </c>
      <c r="C174" s="287">
        <f>IFERROR(IF('Invullen groen'!Q186&gt;0,'Invullen groen'!G186,""),"")</f>
        <v/>
      </c>
      <c r="D174" s="288">
        <f>IFERROR(IF('Invullen groen'!Q186&gt;0,'Invullen groen'!Q186,""),"")</f>
        <v/>
      </c>
      <c r="F174" s="287">
        <f>IFERROR(IF('Invullen groen'!R186&lt;&gt;0,'Invullen groen'!A186,""),"")</f>
        <v/>
      </c>
      <c r="G174" s="287">
        <f>IFERROR(IF('Invullen groen'!R186&lt;&gt;0,'Invullen groen'!G186,""),"")</f>
        <v/>
      </c>
      <c r="H174" s="288">
        <f>IFERROR(IF('Invullen groen'!R186&lt;&gt;0,'Invullen groen'!R186,""),"")</f>
        <v/>
      </c>
    </row>
    <row r="175" ht="14" customHeight="1">
      <c r="A175" s="287">
        <f>IFERROR(IF('Invullen groen'!Q187&gt;0,170,""),"")</f>
        <v/>
      </c>
      <c r="B175" s="287">
        <f>IFERROR(IF('Invullen groen'!Q187&gt;0,'Invullen groen'!A187,""),"")</f>
        <v/>
      </c>
      <c r="C175" s="287">
        <f>IFERROR(IF('Invullen groen'!Q187&gt;0,'Invullen groen'!G187,""),"")</f>
        <v/>
      </c>
      <c r="D175" s="288">
        <f>IFERROR(IF('Invullen groen'!Q187&gt;0,'Invullen groen'!Q187,""),"")</f>
        <v/>
      </c>
      <c r="F175" s="287">
        <f>IFERROR(IF('Invullen groen'!R187&lt;&gt;0,'Invullen groen'!A187,""),"")</f>
        <v/>
      </c>
      <c r="G175" s="287">
        <f>IFERROR(IF('Invullen groen'!R187&lt;&gt;0,'Invullen groen'!G187,""),"")</f>
        <v/>
      </c>
      <c r="H175" s="288">
        <f>IFERROR(IF('Invullen groen'!R187&lt;&gt;0,'Invullen groen'!R187,""),"")</f>
        <v/>
      </c>
    </row>
    <row r="176" ht="14" customHeight="1">
      <c r="A176" s="287">
        <f>IFERROR(IF('Invullen groen'!Q188&gt;0,171,""),"")</f>
        <v/>
      </c>
      <c r="B176" s="287">
        <f>IFERROR(IF('Invullen groen'!Q188&gt;0,'Invullen groen'!A188,""),"")</f>
        <v/>
      </c>
      <c r="C176" s="287">
        <f>IFERROR(IF('Invullen groen'!Q188&gt;0,'Invullen groen'!G188,""),"")</f>
        <v/>
      </c>
      <c r="D176" s="288">
        <f>IFERROR(IF('Invullen groen'!Q188&gt;0,'Invullen groen'!Q188,""),"")</f>
        <v/>
      </c>
      <c r="F176" s="287">
        <f>IFERROR(IF('Invullen groen'!R188&lt;&gt;0,'Invullen groen'!A188,""),"")</f>
        <v/>
      </c>
      <c r="G176" s="287">
        <f>IFERROR(IF('Invullen groen'!R188&lt;&gt;0,'Invullen groen'!G188,""),"")</f>
        <v/>
      </c>
      <c r="H176" s="288">
        <f>IFERROR(IF('Invullen groen'!R188&lt;&gt;0,'Invullen groen'!R188,""),"")</f>
        <v/>
      </c>
    </row>
    <row r="177" ht="14" customHeight="1">
      <c r="A177" s="287">
        <f>IFERROR(IF('Invullen groen'!Q189&gt;0,172,""),"")</f>
        <v/>
      </c>
      <c r="B177" s="287">
        <f>IFERROR(IF('Invullen groen'!Q189&gt;0,'Invullen groen'!A189,""),"")</f>
        <v/>
      </c>
      <c r="C177" s="287">
        <f>IFERROR(IF('Invullen groen'!Q189&gt;0,'Invullen groen'!G189,""),"")</f>
        <v/>
      </c>
      <c r="D177" s="288">
        <f>IFERROR(IF('Invullen groen'!Q189&gt;0,'Invullen groen'!Q189,""),"")</f>
        <v/>
      </c>
      <c r="F177" s="287">
        <f>IFERROR(IF('Invullen groen'!R189&lt;&gt;0,'Invullen groen'!A189,""),"")</f>
        <v/>
      </c>
      <c r="G177" s="287">
        <f>IFERROR(IF('Invullen groen'!R189&lt;&gt;0,'Invullen groen'!G189,""),"")</f>
        <v/>
      </c>
      <c r="H177" s="288">
        <f>IFERROR(IF('Invullen groen'!R189&lt;&gt;0,'Invullen groen'!R189,""),"")</f>
        <v/>
      </c>
    </row>
    <row r="178" ht="14" customHeight="1">
      <c r="A178" s="287">
        <f>IFERROR(IF('Invullen groen'!Q190&gt;0,173,""),"")</f>
        <v/>
      </c>
      <c r="B178" s="287">
        <f>IFERROR(IF('Invullen groen'!Q190&gt;0,'Invullen groen'!A190,""),"")</f>
        <v/>
      </c>
      <c r="C178" s="287">
        <f>IFERROR(IF('Invullen groen'!Q190&gt;0,'Invullen groen'!G190,""),"")</f>
        <v/>
      </c>
      <c r="D178" s="288">
        <f>IFERROR(IF('Invullen groen'!Q190&gt;0,'Invullen groen'!Q190,""),"")</f>
        <v/>
      </c>
      <c r="F178" s="287">
        <f>IFERROR(IF('Invullen groen'!R190&lt;&gt;0,'Invullen groen'!A190,""),"")</f>
        <v/>
      </c>
      <c r="G178" s="287">
        <f>IFERROR(IF('Invullen groen'!R190&lt;&gt;0,'Invullen groen'!G190,""),"")</f>
        <v/>
      </c>
      <c r="H178" s="288">
        <f>IFERROR(IF('Invullen groen'!R190&lt;&gt;0,'Invullen groen'!R190,""),"")</f>
        <v/>
      </c>
    </row>
    <row r="179" ht="14" customHeight="1">
      <c r="A179" s="287">
        <f>IFERROR(IF('Invullen groen'!Q191&gt;0,174,""),"")</f>
        <v/>
      </c>
      <c r="B179" s="287">
        <f>IFERROR(IF('Invullen groen'!Q191&gt;0,'Invullen groen'!A191,""),"")</f>
        <v/>
      </c>
      <c r="C179" s="287">
        <f>IFERROR(IF('Invullen groen'!Q191&gt;0,'Invullen groen'!G191,""),"")</f>
        <v/>
      </c>
      <c r="D179" s="288">
        <f>IFERROR(IF('Invullen groen'!Q191&gt;0,'Invullen groen'!Q191,""),"")</f>
        <v/>
      </c>
      <c r="F179" s="287">
        <f>IFERROR(IF('Invullen groen'!R191&lt;&gt;0,'Invullen groen'!A191,""),"")</f>
        <v/>
      </c>
      <c r="G179" s="287">
        <f>IFERROR(IF('Invullen groen'!R191&lt;&gt;0,'Invullen groen'!G191,""),"")</f>
        <v/>
      </c>
      <c r="H179" s="288">
        <f>IFERROR(IF('Invullen groen'!R191&lt;&gt;0,'Invullen groen'!R191,""),"")</f>
        <v/>
      </c>
    </row>
    <row r="180" ht="14" customHeight="1">
      <c r="A180" s="287">
        <f>IFERROR(IF('Invullen groen'!Q192&gt;0,175,""),"")</f>
        <v/>
      </c>
      <c r="B180" s="287">
        <f>IFERROR(IF('Invullen groen'!Q192&gt;0,'Invullen groen'!A192,""),"")</f>
        <v/>
      </c>
      <c r="C180" s="287">
        <f>IFERROR(IF('Invullen groen'!Q192&gt;0,'Invullen groen'!G192,""),"")</f>
        <v/>
      </c>
      <c r="D180" s="288">
        <f>IFERROR(IF('Invullen groen'!Q192&gt;0,'Invullen groen'!Q192,""),"")</f>
        <v/>
      </c>
      <c r="F180" s="287">
        <f>IFERROR(IF('Invullen groen'!R192&lt;&gt;0,'Invullen groen'!A192,""),"")</f>
        <v/>
      </c>
      <c r="G180" s="287">
        <f>IFERROR(IF('Invullen groen'!R192&lt;&gt;0,'Invullen groen'!G192,""),"")</f>
        <v/>
      </c>
      <c r="H180" s="288">
        <f>IFERROR(IF('Invullen groen'!R192&lt;&gt;0,'Invullen groen'!R192,""),"")</f>
        <v/>
      </c>
    </row>
    <row r="181" ht="14" customHeight="1">
      <c r="A181" s="287">
        <f>IFERROR(IF('Invullen groen'!Q193&gt;0,176,""),"")</f>
        <v/>
      </c>
      <c r="B181" s="287">
        <f>IFERROR(IF('Invullen groen'!Q193&gt;0,'Invullen groen'!A193,""),"")</f>
        <v/>
      </c>
      <c r="C181" s="287">
        <f>IFERROR(IF('Invullen groen'!Q193&gt;0,'Invullen groen'!G193,""),"")</f>
        <v/>
      </c>
      <c r="D181" s="288">
        <f>IFERROR(IF('Invullen groen'!Q193&gt;0,'Invullen groen'!Q193,""),"")</f>
        <v/>
      </c>
      <c r="F181" s="287">
        <f>IFERROR(IF('Invullen groen'!R193&lt;&gt;0,'Invullen groen'!A193,""),"")</f>
        <v/>
      </c>
      <c r="G181" s="287">
        <f>IFERROR(IF('Invullen groen'!R193&lt;&gt;0,'Invullen groen'!G193,""),"")</f>
        <v/>
      </c>
      <c r="H181" s="288">
        <f>IFERROR(IF('Invullen groen'!R193&lt;&gt;0,'Invullen groen'!R193,""),"")</f>
        <v/>
      </c>
    </row>
    <row r="182" ht="14" customHeight="1">
      <c r="A182" s="287">
        <f>IFERROR(IF('Invullen groen'!Q194&gt;0,177,""),"")</f>
        <v/>
      </c>
      <c r="B182" s="287">
        <f>IFERROR(IF('Invullen groen'!Q194&gt;0,'Invullen groen'!A194,""),"")</f>
        <v/>
      </c>
      <c r="C182" s="287">
        <f>IFERROR(IF('Invullen groen'!Q194&gt;0,'Invullen groen'!G194,""),"")</f>
        <v/>
      </c>
      <c r="D182" s="288">
        <f>IFERROR(IF('Invullen groen'!Q194&gt;0,'Invullen groen'!Q194,""),"")</f>
        <v/>
      </c>
      <c r="F182" s="287">
        <f>IFERROR(IF('Invullen groen'!R194&lt;&gt;0,'Invullen groen'!A194,""),"")</f>
        <v/>
      </c>
      <c r="G182" s="287">
        <f>IFERROR(IF('Invullen groen'!R194&lt;&gt;0,'Invullen groen'!G194,""),"")</f>
        <v/>
      </c>
      <c r="H182" s="288">
        <f>IFERROR(IF('Invullen groen'!R194&lt;&gt;0,'Invullen groen'!R194,""),"")</f>
        <v/>
      </c>
    </row>
    <row r="183" ht="14" customHeight="1">
      <c r="A183" s="287">
        <f>IFERROR(IF('Invullen groen'!Q195&gt;0,178,""),"")</f>
        <v/>
      </c>
      <c r="B183" s="287">
        <f>IFERROR(IF('Invullen groen'!Q195&gt;0,'Invullen groen'!A195,""),"")</f>
        <v/>
      </c>
      <c r="C183" s="287">
        <f>IFERROR(IF('Invullen groen'!Q195&gt;0,'Invullen groen'!G195,""),"")</f>
        <v/>
      </c>
      <c r="D183" s="288">
        <f>IFERROR(IF('Invullen groen'!Q195&gt;0,'Invullen groen'!Q195,""),"")</f>
        <v/>
      </c>
      <c r="F183" s="287">
        <f>IFERROR(IF('Invullen groen'!R195&lt;&gt;0,'Invullen groen'!A195,""),"")</f>
        <v/>
      </c>
      <c r="G183" s="287">
        <f>IFERROR(IF('Invullen groen'!R195&lt;&gt;0,'Invullen groen'!G195,""),"")</f>
        <v/>
      </c>
      <c r="H183" s="288">
        <f>IFERROR(IF('Invullen groen'!R195&lt;&gt;0,'Invullen groen'!R195,""),"")</f>
        <v/>
      </c>
    </row>
    <row r="184" ht="14" customHeight="1">
      <c r="A184" s="287">
        <f>IFERROR(IF('Invullen groen'!Q196&gt;0,179,""),"")</f>
        <v/>
      </c>
      <c r="B184" s="287">
        <f>IFERROR(IF('Invullen groen'!Q196&gt;0,'Invullen groen'!A196,""),"")</f>
        <v/>
      </c>
      <c r="C184" s="287">
        <f>IFERROR(IF('Invullen groen'!Q196&gt;0,'Invullen groen'!G196,""),"")</f>
        <v/>
      </c>
      <c r="D184" s="288">
        <f>IFERROR(IF('Invullen groen'!Q196&gt;0,'Invullen groen'!Q196,""),"")</f>
        <v/>
      </c>
      <c r="F184" s="287">
        <f>IFERROR(IF('Invullen groen'!R196&lt;&gt;0,'Invullen groen'!A196,""),"")</f>
        <v/>
      </c>
      <c r="G184" s="287">
        <f>IFERROR(IF('Invullen groen'!R196&lt;&gt;0,'Invullen groen'!G196,""),"")</f>
        <v/>
      </c>
      <c r="H184" s="288">
        <f>IFERROR(IF('Invullen groen'!R196&lt;&gt;0,'Invullen groen'!R196,""),"")</f>
        <v/>
      </c>
    </row>
    <row r="185" ht="14" customHeight="1">
      <c r="A185" s="287">
        <f>IFERROR(IF('Invullen groen'!Q197&gt;0,180,""),"")</f>
        <v/>
      </c>
      <c r="B185" s="287">
        <f>IFERROR(IF('Invullen groen'!Q197&gt;0,'Invullen groen'!A197,""),"")</f>
        <v/>
      </c>
      <c r="C185" s="287">
        <f>IFERROR(IF('Invullen groen'!Q197&gt;0,'Invullen groen'!G197,""),"")</f>
        <v/>
      </c>
      <c r="D185" s="288">
        <f>IFERROR(IF('Invullen groen'!Q197&gt;0,'Invullen groen'!Q197,""),"")</f>
        <v/>
      </c>
      <c r="F185" s="287">
        <f>IFERROR(IF('Invullen groen'!R197&lt;&gt;0,'Invullen groen'!A197,""),"")</f>
        <v/>
      </c>
      <c r="G185" s="287">
        <f>IFERROR(IF('Invullen groen'!R197&lt;&gt;0,'Invullen groen'!G197,""),"")</f>
        <v/>
      </c>
      <c r="H185" s="288">
        <f>IFERROR(IF('Invullen groen'!R197&lt;&gt;0,'Invullen groen'!R197,""),"")</f>
        <v/>
      </c>
    </row>
    <row r="186" ht="14" customHeight="1">
      <c r="A186" s="287">
        <f>IFERROR(IF('Invullen groen'!Q198&gt;0,181,""),"")</f>
        <v/>
      </c>
      <c r="B186" s="287">
        <f>IFERROR(IF('Invullen groen'!Q198&gt;0,'Invullen groen'!A198,""),"")</f>
        <v/>
      </c>
      <c r="C186" s="287">
        <f>IFERROR(IF('Invullen groen'!Q198&gt;0,'Invullen groen'!G198,""),"")</f>
        <v/>
      </c>
      <c r="D186" s="288">
        <f>IFERROR(IF('Invullen groen'!Q198&gt;0,'Invullen groen'!Q198,""),"")</f>
        <v/>
      </c>
      <c r="F186" s="287">
        <f>IFERROR(IF('Invullen groen'!R198&lt;&gt;0,'Invullen groen'!A198,""),"")</f>
        <v/>
      </c>
      <c r="G186" s="287">
        <f>IFERROR(IF('Invullen groen'!R198&lt;&gt;0,'Invullen groen'!G198,""),"")</f>
        <v/>
      </c>
      <c r="H186" s="288">
        <f>IFERROR(IF('Invullen groen'!R198&lt;&gt;0,'Invullen groen'!R198,""),"")</f>
        <v/>
      </c>
    </row>
    <row r="187" ht="14" customHeight="1">
      <c r="A187" s="287">
        <f>IFERROR(IF('Invullen groen'!Q199&gt;0,182,""),"")</f>
        <v/>
      </c>
      <c r="B187" s="287">
        <f>IFERROR(IF('Invullen groen'!Q199&gt;0,'Invullen groen'!A199,""),"")</f>
        <v/>
      </c>
      <c r="C187" s="287">
        <f>IFERROR(IF('Invullen groen'!Q199&gt;0,'Invullen groen'!G199,""),"")</f>
        <v/>
      </c>
      <c r="D187" s="288">
        <f>IFERROR(IF('Invullen groen'!Q199&gt;0,'Invullen groen'!Q199,""),"")</f>
        <v/>
      </c>
      <c r="F187" s="287">
        <f>IFERROR(IF('Invullen groen'!R199&lt;&gt;0,'Invullen groen'!A199,""),"")</f>
        <v/>
      </c>
      <c r="G187" s="287">
        <f>IFERROR(IF('Invullen groen'!R199&lt;&gt;0,'Invullen groen'!G199,""),"")</f>
        <v/>
      </c>
      <c r="H187" s="288">
        <f>IFERROR(IF('Invullen groen'!R199&lt;&gt;0,'Invullen groen'!R199,""),"")</f>
        <v/>
      </c>
    </row>
    <row r="188" ht="14" customHeight="1">
      <c r="A188" s="287">
        <f>IFERROR(IF('Invullen groen'!Q200&gt;0,183,""),"")</f>
        <v/>
      </c>
      <c r="B188" s="287">
        <f>IFERROR(IF('Invullen groen'!Q200&gt;0,'Invullen groen'!A200,""),"")</f>
        <v/>
      </c>
      <c r="C188" s="287">
        <f>IFERROR(IF('Invullen groen'!Q200&gt;0,'Invullen groen'!G200,""),"")</f>
        <v/>
      </c>
      <c r="D188" s="288">
        <f>IFERROR(IF('Invullen groen'!Q200&gt;0,'Invullen groen'!Q200,""),"")</f>
        <v/>
      </c>
      <c r="F188" s="287">
        <f>IFERROR(IF('Invullen groen'!R200&lt;&gt;0,'Invullen groen'!A200,""),"")</f>
        <v/>
      </c>
      <c r="G188" s="287">
        <f>IFERROR(IF('Invullen groen'!R200&lt;&gt;0,'Invullen groen'!G200,""),"")</f>
        <v/>
      </c>
      <c r="H188" s="288">
        <f>IFERROR(IF('Invullen groen'!R200&lt;&gt;0,'Invullen groen'!R200,""),"")</f>
        <v/>
      </c>
    </row>
    <row r="189" ht="14" customHeight="1">
      <c r="A189" s="287">
        <f>IFERROR(IF('Invullen groen'!Q201&gt;0,184,""),"")</f>
        <v/>
      </c>
      <c r="B189" s="287">
        <f>IFERROR(IF('Invullen groen'!Q201&gt;0,'Invullen groen'!A201,""),"")</f>
        <v/>
      </c>
      <c r="C189" s="287">
        <f>IFERROR(IF('Invullen groen'!Q201&gt;0,'Invullen groen'!G201,""),"")</f>
        <v/>
      </c>
      <c r="D189" s="288">
        <f>IFERROR(IF('Invullen groen'!Q201&gt;0,'Invullen groen'!Q201,""),"")</f>
        <v/>
      </c>
      <c r="F189" s="287">
        <f>IFERROR(IF('Invullen groen'!R201&lt;&gt;0,'Invullen groen'!A201,""),"")</f>
        <v/>
      </c>
      <c r="G189" s="287">
        <f>IFERROR(IF('Invullen groen'!R201&lt;&gt;0,'Invullen groen'!G201,""),"")</f>
        <v/>
      </c>
      <c r="H189" s="288">
        <f>IFERROR(IF('Invullen groen'!R201&lt;&gt;0,'Invullen groen'!R201,""),"")</f>
        <v/>
      </c>
    </row>
    <row r="190" ht="14" customHeight="1">
      <c r="A190" s="287">
        <f>IFERROR(IF('Invullen groen'!Q202&gt;0,185,""),"")</f>
        <v/>
      </c>
      <c r="B190" s="287">
        <f>IFERROR(IF('Invullen groen'!Q202&gt;0,'Invullen groen'!A202,""),"")</f>
        <v/>
      </c>
      <c r="C190" s="287">
        <f>IFERROR(IF('Invullen groen'!Q202&gt;0,'Invullen groen'!G202,""),"")</f>
        <v/>
      </c>
      <c r="D190" s="288">
        <f>IFERROR(IF('Invullen groen'!Q202&gt;0,'Invullen groen'!Q202,""),"")</f>
        <v/>
      </c>
      <c r="F190" s="287">
        <f>IFERROR(IF('Invullen groen'!R202&lt;&gt;0,'Invullen groen'!A202,""),"")</f>
        <v/>
      </c>
      <c r="G190" s="287">
        <f>IFERROR(IF('Invullen groen'!R202&lt;&gt;0,'Invullen groen'!G202,""),"")</f>
        <v/>
      </c>
      <c r="H190" s="288">
        <f>IFERROR(IF('Invullen groen'!R202&lt;&gt;0,'Invullen groen'!R202,""),"")</f>
        <v/>
      </c>
    </row>
    <row r="191" ht="14" customHeight="1">
      <c r="A191" s="287">
        <f>IFERROR(IF('Invullen groen'!Q203&gt;0,186,""),"")</f>
        <v/>
      </c>
      <c r="B191" s="287">
        <f>IFERROR(IF('Invullen groen'!Q203&gt;0,'Invullen groen'!A203,""),"")</f>
        <v/>
      </c>
      <c r="C191" s="287">
        <f>IFERROR(IF('Invullen groen'!Q203&gt;0,'Invullen groen'!G203,""),"")</f>
        <v/>
      </c>
      <c r="D191" s="288">
        <f>IFERROR(IF('Invullen groen'!Q203&gt;0,'Invullen groen'!Q203,""),"")</f>
        <v/>
      </c>
      <c r="F191" s="287">
        <f>IFERROR(IF('Invullen groen'!R203&lt;&gt;0,'Invullen groen'!A203,""),"")</f>
        <v/>
      </c>
      <c r="G191" s="287">
        <f>IFERROR(IF('Invullen groen'!R203&lt;&gt;0,'Invullen groen'!G203,""),"")</f>
        <v/>
      </c>
      <c r="H191" s="288">
        <f>IFERROR(IF('Invullen groen'!R203&lt;&gt;0,'Invullen groen'!R203,""),"")</f>
        <v/>
      </c>
    </row>
    <row r="192" ht="14" customHeight="1">
      <c r="A192" s="287">
        <f>IFERROR(IF('Invullen groen'!Q204&gt;0,187,""),"")</f>
        <v/>
      </c>
      <c r="B192" s="287">
        <f>IFERROR(IF('Invullen groen'!Q204&gt;0,'Invullen groen'!A204,""),"")</f>
        <v/>
      </c>
      <c r="C192" s="287">
        <f>IFERROR(IF('Invullen groen'!Q204&gt;0,'Invullen groen'!G204,""),"")</f>
        <v/>
      </c>
      <c r="D192" s="288">
        <f>IFERROR(IF('Invullen groen'!Q204&gt;0,'Invullen groen'!Q204,""),"")</f>
        <v/>
      </c>
      <c r="F192" s="287">
        <f>IFERROR(IF('Invullen groen'!R204&lt;&gt;0,'Invullen groen'!A204,""),"")</f>
        <v/>
      </c>
      <c r="G192" s="287">
        <f>IFERROR(IF('Invullen groen'!R204&lt;&gt;0,'Invullen groen'!G204,""),"")</f>
        <v/>
      </c>
      <c r="H192" s="288">
        <f>IFERROR(IF('Invullen groen'!R204&lt;&gt;0,'Invullen groen'!R204,""),"")</f>
        <v/>
      </c>
    </row>
    <row r="193" ht="14" customHeight="1">
      <c r="A193" s="287">
        <f>IFERROR(IF('Invullen groen'!Q205&gt;0,188,""),"")</f>
        <v/>
      </c>
      <c r="B193" s="287">
        <f>IFERROR(IF('Invullen groen'!Q205&gt;0,'Invullen groen'!A205,""),"")</f>
        <v/>
      </c>
      <c r="C193" s="287">
        <f>IFERROR(IF('Invullen groen'!Q205&gt;0,'Invullen groen'!G205,""),"")</f>
        <v/>
      </c>
      <c r="D193" s="288">
        <f>IFERROR(IF('Invullen groen'!Q205&gt;0,'Invullen groen'!Q205,""),"")</f>
        <v/>
      </c>
      <c r="F193" s="287">
        <f>IFERROR(IF('Invullen groen'!R205&lt;&gt;0,'Invullen groen'!A205,""),"")</f>
        <v/>
      </c>
      <c r="G193" s="287">
        <f>IFERROR(IF('Invullen groen'!R205&lt;&gt;0,'Invullen groen'!G205,""),"")</f>
        <v/>
      </c>
      <c r="H193" s="288">
        <f>IFERROR(IF('Invullen groen'!R205&lt;&gt;0,'Invullen groen'!R205,""),"")</f>
        <v/>
      </c>
    </row>
    <row r="194" ht="14" customHeight="1">
      <c r="A194" s="287">
        <f>IFERROR(IF('Invullen groen'!Q206&gt;0,189,""),"")</f>
        <v/>
      </c>
      <c r="B194" s="287">
        <f>IFERROR(IF('Invullen groen'!Q206&gt;0,'Invullen groen'!A206,""),"")</f>
        <v/>
      </c>
      <c r="C194" s="287">
        <f>IFERROR(IF('Invullen groen'!Q206&gt;0,'Invullen groen'!G206,""),"")</f>
        <v/>
      </c>
      <c r="D194" s="288">
        <f>IFERROR(IF('Invullen groen'!Q206&gt;0,'Invullen groen'!Q206,""),"")</f>
        <v/>
      </c>
      <c r="F194" s="287">
        <f>IFERROR(IF('Invullen groen'!R206&lt;&gt;0,'Invullen groen'!A206,""),"")</f>
        <v/>
      </c>
      <c r="G194" s="287">
        <f>IFERROR(IF('Invullen groen'!R206&lt;&gt;0,'Invullen groen'!G206,""),"")</f>
        <v/>
      </c>
      <c r="H194" s="288">
        <f>IFERROR(IF('Invullen groen'!R206&lt;&gt;0,'Invullen groen'!R206,""),"")</f>
        <v/>
      </c>
    </row>
    <row r="195" ht="14" customHeight="1">
      <c r="A195" s="287">
        <f>IFERROR(IF('Invullen groen'!Q207&gt;0,190,""),"")</f>
        <v/>
      </c>
      <c r="B195" s="287">
        <f>IFERROR(IF('Invullen groen'!Q207&gt;0,'Invullen groen'!A207,""),"")</f>
        <v/>
      </c>
      <c r="C195" s="287">
        <f>IFERROR(IF('Invullen groen'!Q207&gt;0,'Invullen groen'!G207,""),"")</f>
        <v/>
      </c>
      <c r="D195" s="288">
        <f>IFERROR(IF('Invullen groen'!Q207&gt;0,'Invullen groen'!Q207,""),"")</f>
        <v/>
      </c>
      <c r="F195" s="287">
        <f>IFERROR(IF('Invullen groen'!R207&lt;&gt;0,'Invullen groen'!A207,""),"")</f>
        <v/>
      </c>
      <c r="G195" s="287">
        <f>IFERROR(IF('Invullen groen'!R207&lt;&gt;0,'Invullen groen'!G207,""),"")</f>
        <v/>
      </c>
      <c r="H195" s="288">
        <f>IFERROR(IF('Invullen groen'!R207&lt;&gt;0,'Invullen groen'!R207,""),"")</f>
        <v/>
      </c>
    </row>
    <row r="196" ht="14" customHeight="1">
      <c r="A196" s="287">
        <f>IFERROR(IF('Invullen groen'!Q208&gt;0,191,""),"")</f>
        <v/>
      </c>
      <c r="B196" s="287">
        <f>IFERROR(IF('Invullen groen'!Q208&gt;0,'Invullen groen'!A208,""),"")</f>
        <v/>
      </c>
      <c r="C196" s="287">
        <f>IFERROR(IF('Invullen groen'!Q208&gt;0,'Invullen groen'!G208,""),"")</f>
        <v/>
      </c>
      <c r="D196" s="288">
        <f>IFERROR(IF('Invullen groen'!Q208&gt;0,'Invullen groen'!Q208,""),"")</f>
        <v/>
      </c>
      <c r="F196" s="287">
        <f>IFERROR(IF('Invullen groen'!R208&lt;&gt;0,'Invullen groen'!A208,""),"")</f>
        <v/>
      </c>
      <c r="G196" s="287">
        <f>IFERROR(IF('Invullen groen'!R208&lt;&gt;0,'Invullen groen'!G208,""),"")</f>
        <v/>
      </c>
      <c r="H196" s="288">
        <f>IFERROR(IF('Invullen groen'!R208&lt;&gt;0,'Invullen groen'!R208,""),"")</f>
        <v/>
      </c>
    </row>
    <row r="197" ht="14" customHeight="1">
      <c r="A197" s="287">
        <f>IFERROR(IF('Invullen groen'!Q209&gt;0,192,""),"")</f>
        <v/>
      </c>
      <c r="B197" s="287">
        <f>IFERROR(IF('Invullen groen'!Q209&gt;0,'Invullen groen'!A209,""),"")</f>
        <v/>
      </c>
      <c r="C197" s="287">
        <f>IFERROR(IF('Invullen groen'!Q209&gt;0,'Invullen groen'!G209,""),"")</f>
        <v/>
      </c>
      <c r="D197" s="288">
        <f>IFERROR(IF('Invullen groen'!Q209&gt;0,'Invullen groen'!Q209,""),"")</f>
        <v/>
      </c>
      <c r="F197" s="287">
        <f>IFERROR(IF('Invullen groen'!R209&lt;&gt;0,'Invullen groen'!A209,""),"")</f>
        <v/>
      </c>
      <c r="G197" s="287">
        <f>IFERROR(IF('Invullen groen'!R209&lt;&gt;0,'Invullen groen'!G209,""),"")</f>
        <v/>
      </c>
      <c r="H197" s="288">
        <f>IFERROR(IF('Invullen groen'!R209&lt;&gt;0,'Invullen groen'!R209,""),"")</f>
        <v/>
      </c>
    </row>
    <row r="198" ht="14" customHeight="1">
      <c r="A198" s="287">
        <f>IFERROR(IF('Invullen groen'!Q210&gt;0,193,""),"")</f>
        <v/>
      </c>
      <c r="B198" s="287">
        <f>IFERROR(IF('Invullen groen'!Q210&gt;0,'Invullen groen'!A210,""),"")</f>
        <v/>
      </c>
      <c r="C198" s="287">
        <f>IFERROR(IF('Invullen groen'!Q210&gt;0,'Invullen groen'!G210,""),"")</f>
        <v/>
      </c>
      <c r="D198" s="288">
        <f>IFERROR(IF('Invullen groen'!Q210&gt;0,'Invullen groen'!Q210,""),"")</f>
        <v/>
      </c>
      <c r="F198" s="287">
        <f>IFERROR(IF('Invullen groen'!R210&lt;&gt;0,'Invullen groen'!A210,""),"")</f>
        <v/>
      </c>
      <c r="G198" s="287">
        <f>IFERROR(IF('Invullen groen'!R210&lt;&gt;0,'Invullen groen'!G210,""),"")</f>
        <v/>
      </c>
      <c r="H198" s="288">
        <f>IFERROR(IF('Invullen groen'!R210&lt;&gt;0,'Invullen groen'!R210,""),"")</f>
        <v/>
      </c>
    </row>
    <row r="199" ht="14" customHeight="1">
      <c r="A199" s="287">
        <f>IFERROR(IF('Invullen groen'!Q211&gt;0,194,""),"")</f>
        <v/>
      </c>
      <c r="B199" s="287">
        <f>IFERROR(IF('Invullen groen'!Q211&gt;0,'Invullen groen'!A211,""),"")</f>
        <v/>
      </c>
      <c r="C199" s="287">
        <f>IFERROR(IF('Invullen groen'!Q211&gt;0,'Invullen groen'!G211,""),"")</f>
        <v/>
      </c>
      <c r="D199" s="288">
        <f>IFERROR(IF('Invullen groen'!Q211&gt;0,'Invullen groen'!Q211,""),"")</f>
        <v/>
      </c>
      <c r="F199" s="287">
        <f>IFERROR(IF('Invullen groen'!R211&lt;&gt;0,'Invullen groen'!A211,""),"")</f>
        <v/>
      </c>
      <c r="G199" s="287">
        <f>IFERROR(IF('Invullen groen'!R211&lt;&gt;0,'Invullen groen'!G211,""),"")</f>
        <v/>
      </c>
      <c r="H199" s="288">
        <f>IFERROR(IF('Invullen groen'!R211&lt;&gt;0,'Invullen groen'!R211,""),"")</f>
        <v/>
      </c>
    </row>
    <row r="200" ht="14" customHeight="1">
      <c r="A200" s="287">
        <f>IFERROR(IF('Invullen groen'!Q212&gt;0,195,""),"")</f>
        <v/>
      </c>
      <c r="B200" s="287">
        <f>IFERROR(IF('Invullen groen'!Q212&gt;0,'Invullen groen'!A212,""),"")</f>
        <v/>
      </c>
      <c r="C200" s="287">
        <f>IFERROR(IF('Invullen groen'!Q212&gt;0,'Invullen groen'!G212,""),"")</f>
        <v/>
      </c>
      <c r="D200" s="288">
        <f>IFERROR(IF('Invullen groen'!Q212&gt;0,'Invullen groen'!Q212,""),"")</f>
        <v/>
      </c>
      <c r="F200" s="287">
        <f>IFERROR(IF('Invullen groen'!R212&lt;&gt;0,'Invullen groen'!A212,""),"")</f>
        <v/>
      </c>
      <c r="G200" s="287">
        <f>IFERROR(IF('Invullen groen'!R212&lt;&gt;0,'Invullen groen'!G212,""),"")</f>
        <v/>
      </c>
      <c r="H200" s="288">
        <f>IFERROR(IF('Invullen groen'!R212&lt;&gt;0,'Invullen groen'!R212,""),"")</f>
        <v/>
      </c>
    </row>
    <row r="201" ht="14" customHeight="1">
      <c r="A201" s="287">
        <f>IFERROR(IF('Invullen groen'!Q213&gt;0,196,""),"")</f>
        <v/>
      </c>
      <c r="B201" s="287">
        <f>IFERROR(IF('Invullen groen'!Q213&gt;0,'Invullen groen'!A213,""),"")</f>
        <v/>
      </c>
      <c r="C201" s="287">
        <f>IFERROR(IF('Invullen groen'!Q213&gt;0,'Invullen groen'!G213,""),"")</f>
        <v/>
      </c>
      <c r="D201" s="288">
        <f>IFERROR(IF('Invullen groen'!Q213&gt;0,'Invullen groen'!Q213,""),"")</f>
        <v/>
      </c>
      <c r="F201" s="287">
        <f>IFERROR(IF('Invullen groen'!R213&lt;&gt;0,'Invullen groen'!A213,""),"")</f>
        <v/>
      </c>
      <c r="G201" s="287">
        <f>IFERROR(IF('Invullen groen'!R213&lt;&gt;0,'Invullen groen'!G213,""),"")</f>
        <v/>
      </c>
      <c r="H201" s="288">
        <f>IFERROR(IF('Invullen groen'!R213&lt;&gt;0,'Invullen groen'!R213,""),"")</f>
        <v/>
      </c>
    </row>
    <row r="202" ht="14" customHeight="1">
      <c r="A202" s="287">
        <f>IFERROR(IF('Invullen groen'!Q214&gt;0,197,""),"")</f>
        <v/>
      </c>
      <c r="B202" s="287">
        <f>IFERROR(IF('Invullen groen'!Q214&gt;0,'Invullen groen'!A214,""),"")</f>
        <v/>
      </c>
      <c r="C202" s="287">
        <f>IFERROR(IF('Invullen groen'!Q214&gt;0,'Invullen groen'!G214,""),"")</f>
        <v/>
      </c>
      <c r="D202" s="288">
        <f>IFERROR(IF('Invullen groen'!Q214&gt;0,'Invullen groen'!Q214,""),"")</f>
        <v/>
      </c>
      <c r="F202" s="287">
        <f>IFERROR(IF('Invullen groen'!R214&lt;&gt;0,'Invullen groen'!A214,""),"")</f>
        <v/>
      </c>
      <c r="G202" s="287">
        <f>IFERROR(IF('Invullen groen'!R214&lt;&gt;0,'Invullen groen'!G214,""),"")</f>
        <v/>
      </c>
      <c r="H202" s="288">
        <f>IFERROR(IF('Invullen groen'!R214&lt;&gt;0,'Invullen groen'!R214,""),"")</f>
        <v/>
      </c>
    </row>
    <row r="203" ht="14" customHeight="1">
      <c r="A203" s="287">
        <f>IFERROR(IF('Invullen groen'!Q215&gt;0,198,""),"")</f>
        <v/>
      </c>
      <c r="B203" s="287">
        <f>IFERROR(IF('Invullen groen'!Q215&gt;0,'Invullen groen'!A215,""),"")</f>
        <v/>
      </c>
      <c r="C203" s="287">
        <f>IFERROR(IF('Invullen groen'!Q215&gt;0,'Invullen groen'!G215,""),"")</f>
        <v/>
      </c>
      <c r="D203" s="288">
        <f>IFERROR(IF('Invullen groen'!Q215&gt;0,'Invullen groen'!Q215,""),"")</f>
        <v/>
      </c>
      <c r="F203" s="287">
        <f>IFERROR(IF('Invullen groen'!R215&lt;&gt;0,'Invullen groen'!A215,""),"")</f>
        <v/>
      </c>
      <c r="G203" s="287">
        <f>IFERROR(IF('Invullen groen'!R215&lt;&gt;0,'Invullen groen'!G215,""),"")</f>
        <v/>
      </c>
      <c r="H203" s="288">
        <f>IFERROR(IF('Invullen groen'!R215&lt;&gt;0,'Invullen groen'!R215,""),"")</f>
        <v/>
      </c>
    </row>
    <row r="204" ht="14" customHeight="1">
      <c r="A204" s="287">
        <f>IFERROR(IF('Invullen groen'!Q216&gt;0,199,""),"")</f>
        <v/>
      </c>
      <c r="B204" s="287">
        <f>IFERROR(IF('Invullen groen'!Q216&gt;0,'Invullen groen'!A216,""),"")</f>
        <v/>
      </c>
      <c r="C204" s="287">
        <f>IFERROR(IF('Invullen groen'!Q216&gt;0,'Invullen groen'!G216,""),"")</f>
        <v/>
      </c>
      <c r="D204" s="288">
        <f>IFERROR(IF('Invullen groen'!Q216&gt;0,'Invullen groen'!Q216,""),"")</f>
        <v/>
      </c>
      <c r="F204" s="287">
        <f>IFERROR(IF('Invullen groen'!R216&lt;&gt;0,'Invullen groen'!A216,""),"")</f>
        <v/>
      </c>
      <c r="G204" s="287">
        <f>IFERROR(IF('Invullen groen'!R216&lt;&gt;0,'Invullen groen'!G216,""),"")</f>
        <v/>
      </c>
      <c r="H204" s="288">
        <f>IFERROR(IF('Invullen groen'!R216&lt;&gt;0,'Invullen groen'!R216,""),"")</f>
        <v/>
      </c>
    </row>
    <row r="205" ht="14" customHeight="1">
      <c r="A205" s="287">
        <f>IFERROR(IF('Invullen groen'!Q217&gt;0,200,""),"")</f>
        <v/>
      </c>
      <c r="B205" s="287">
        <f>IFERROR(IF('Invullen groen'!Q217&gt;0,'Invullen groen'!A217,""),"")</f>
        <v/>
      </c>
      <c r="C205" s="287">
        <f>IFERROR(IF('Invullen groen'!Q217&gt;0,'Invullen groen'!G217,""),"")</f>
        <v/>
      </c>
      <c r="D205" s="288">
        <f>IFERROR(IF('Invullen groen'!Q217&gt;0,'Invullen groen'!Q217,""),"")</f>
        <v/>
      </c>
      <c r="F205" s="287">
        <f>IFERROR(IF('Invullen groen'!R217&lt;&gt;0,'Invullen groen'!A217,""),"")</f>
        <v/>
      </c>
      <c r="G205" s="287">
        <f>IFERROR(IF('Invullen groen'!R217&lt;&gt;0,'Invullen groen'!G217,""),"")</f>
        <v/>
      </c>
      <c r="H205" s="288">
        <f>IFERROR(IF('Invullen groen'!R217&lt;&gt;0,'Invullen groen'!R217,""),"")</f>
        <v/>
      </c>
    </row>
    <row r="206" ht="14" customHeight="1">
      <c r="A206" s="287">
        <f>IFERROR(IF('Invullen groen'!Q218&gt;0,201,""),"")</f>
        <v/>
      </c>
      <c r="B206" s="287">
        <f>IFERROR(IF('Invullen groen'!Q218&gt;0,'Invullen groen'!A218,""),"")</f>
        <v/>
      </c>
      <c r="C206" s="287">
        <f>IFERROR(IF('Invullen groen'!Q218&gt;0,'Invullen groen'!G218,""),"")</f>
        <v/>
      </c>
      <c r="D206" s="288">
        <f>IFERROR(IF('Invullen groen'!Q218&gt;0,'Invullen groen'!Q218,""),"")</f>
        <v/>
      </c>
      <c r="F206" s="287">
        <f>IFERROR(IF('Invullen groen'!R218&lt;&gt;0,'Invullen groen'!A218,""),"")</f>
        <v/>
      </c>
      <c r="G206" s="287">
        <f>IFERROR(IF('Invullen groen'!R218&lt;&gt;0,'Invullen groen'!G218,""),"")</f>
        <v/>
      </c>
      <c r="H206" s="288">
        <f>IFERROR(IF('Invullen groen'!R218&lt;&gt;0,'Invullen groen'!R218,""),"")</f>
        <v/>
      </c>
    </row>
    <row r="207" ht="14" customHeight="1">
      <c r="A207" s="287">
        <f>IFERROR(IF('Invullen groen'!Q219&gt;0,202,""),"")</f>
        <v/>
      </c>
      <c r="B207" s="287">
        <f>IFERROR(IF('Invullen groen'!Q219&gt;0,'Invullen groen'!A219,""),"")</f>
        <v/>
      </c>
      <c r="C207" s="287">
        <f>IFERROR(IF('Invullen groen'!Q219&gt;0,'Invullen groen'!G219,""),"")</f>
        <v/>
      </c>
      <c r="D207" s="288">
        <f>IFERROR(IF('Invullen groen'!Q219&gt;0,'Invullen groen'!Q219,""),"")</f>
        <v/>
      </c>
      <c r="F207" s="287">
        <f>IFERROR(IF('Invullen groen'!R219&lt;&gt;0,'Invullen groen'!A219,""),"")</f>
        <v/>
      </c>
      <c r="G207" s="287">
        <f>IFERROR(IF('Invullen groen'!R219&lt;&gt;0,'Invullen groen'!G219,""),"")</f>
        <v/>
      </c>
      <c r="H207" s="288">
        <f>IFERROR(IF('Invullen groen'!R219&lt;&gt;0,'Invullen groen'!R219,""),"")</f>
        <v/>
      </c>
    </row>
    <row r="208" ht="14" customHeight="1">
      <c r="A208" s="287">
        <f>IFERROR(IF('Invullen groen'!Q220&gt;0,203,""),"")</f>
        <v/>
      </c>
      <c r="B208" s="287">
        <f>IFERROR(IF('Invullen groen'!Q220&gt;0,'Invullen groen'!A220,""),"")</f>
        <v/>
      </c>
      <c r="C208" s="287">
        <f>IFERROR(IF('Invullen groen'!Q220&gt;0,'Invullen groen'!G220,""),"")</f>
        <v/>
      </c>
      <c r="D208" s="288">
        <f>IFERROR(IF('Invullen groen'!Q220&gt;0,'Invullen groen'!Q220,""),"")</f>
        <v/>
      </c>
      <c r="F208" s="287">
        <f>IFERROR(IF('Invullen groen'!R220&lt;&gt;0,'Invullen groen'!A220,""),"")</f>
        <v/>
      </c>
      <c r="G208" s="287">
        <f>IFERROR(IF('Invullen groen'!R220&lt;&gt;0,'Invullen groen'!G220,""),"")</f>
        <v/>
      </c>
      <c r="H208" s="288">
        <f>IFERROR(IF('Invullen groen'!R220&lt;&gt;0,'Invullen groen'!R220,""),"")</f>
        <v/>
      </c>
    </row>
    <row r="209" ht="14" customHeight="1">
      <c r="A209" s="287">
        <f>IFERROR(IF('Invullen groen'!Q221&gt;0,204,""),"")</f>
        <v/>
      </c>
      <c r="B209" s="287">
        <f>IFERROR(IF('Invullen groen'!Q221&gt;0,'Invullen groen'!A221,""),"")</f>
        <v/>
      </c>
      <c r="C209" s="287">
        <f>IFERROR(IF('Invullen groen'!Q221&gt;0,'Invullen groen'!G221,""),"")</f>
        <v/>
      </c>
      <c r="D209" s="288">
        <f>IFERROR(IF('Invullen groen'!Q221&gt;0,'Invullen groen'!Q221,""),"")</f>
        <v/>
      </c>
      <c r="F209" s="287">
        <f>IFERROR(IF('Invullen groen'!R221&lt;&gt;0,'Invullen groen'!A221,""),"")</f>
        <v/>
      </c>
      <c r="G209" s="287">
        <f>IFERROR(IF('Invullen groen'!R221&lt;&gt;0,'Invullen groen'!G221,""),"")</f>
        <v/>
      </c>
      <c r="H209" s="288">
        <f>IFERROR(IF('Invullen groen'!R221&lt;&gt;0,'Invullen groen'!R221,""),"")</f>
        <v/>
      </c>
    </row>
    <row r="210" ht="14" customHeight="1">
      <c r="A210" s="287">
        <f>IFERROR(IF('Invullen groen'!Q222&gt;0,205,""),"")</f>
        <v/>
      </c>
      <c r="B210" s="287">
        <f>IFERROR(IF('Invullen groen'!Q222&gt;0,'Invullen groen'!A222,""),"")</f>
        <v/>
      </c>
      <c r="C210" s="287">
        <f>IFERROR(IF('Invullen groen'!Q222&gt;0,'Invullen groen'!G222,""),"")</f>
        <v/>
      </c>
      <c r="D210" s="288">
        <f>IFERROR(IF('Invullen groen'!Q222&gt;0,'Invullen groen'!Q222,""),"")</f>
        <v/>
      </c>
      <c r="F210" s="287">
        <f>IFERROR(IF('Invullen groen'!R222&lt;&gt;0,'Invullen groen'!A222,""),"")</f>
        <v/>
      </c>
      <c r="G210" s="287">
        <f>IFERROR(IF('Invullen groen'!R222&lt;&gt;0,'Invullen groen'!G222,""),"")</f>
        <v/>
      </c>
      <c r="H210" s="288">
        <f>IFERROR(IF('Invullen groen'!R222&lt;&gt;0,'Invullen groen'!R222,""),"")</f>
        <v/>
      </c>
    </row>
    <row r="211" ht="14" customHeight="1">
      <c r="A211" s="287">
        <f>IFERROR(IF('Invullen groen'!Q223&gt;0,206,""),"")</f>
        <v/>
      </c>
      <c r="B211" s="287">
        <f>IFERROR(IF('Invullen groen'!Q223&gt;0,'Invullen groen'!A223,""),"")</f>
        <v/>
      </c>
      <c r="C211" s="287">
        <f>IFERROR(IF('Invullen groen'!Q223&gt;0,'Invullen groen'!G223,""),"")</f>
        <v/>
      </c>
      <c r="D211" s="288">
        <f>IFERROR(IF('Invullen groen'!Q223&gt;0,'Invullen groen'!Q223,""),"")</f>
        <v/>
      </c>
      <c r="F211" s="287">
        <f>IFERROR(IF('Invullen groen'!R223&lt;&gt;0,'Invullen groen'!A223,""),"")</f>
        <v/>
      </c>
      <c r="G211" s="287">
        <f>IFERROR(IF('Invullen groen'!R223&lt;&gt;0,'Invullen groen'!G223,""),"")</f>
        <v/>
      </c>
      <c r="H211" s="288">
        <f>IFERROR(IF('Invullen groen'!R223&lt;&gt;0,'Invullen groen'!R223,""),"")</f>
        <v/>
      </c>
    </row>
    <row r="212" ht="14" customHeight="1">
      <c r="A212" s="287">
        <f>IFERROR(IF('Invullen groen'!Q224&gt;0,207,""),"")</f>
        <v/>
      </c>
      <c r="B212" s="287">
        <f>IFERROR(IF('Invullen groen'!Q224&gt;0,'Invullen groen'!A224,""),"")</f>
        <v/>
      </c>
      <c r="C212" s="287">
        <f>IFERROR(IF('Invullen groen'!Q224&gt;0,'Invullen groen'!G224,""),"")</f>
        <v/>
      </c>
      <c r="D212" s="288">
        <f>IFERROR(IF('Invullen groen'!Q224&gt;0,'Invullen groen'!Q224,""),"")</f>
        <v/>
      </c>
      <c r="F212" s="287">
        <f>IFERROR(IF('Invullen groen'!R224&lt;&gt;0,'Invullen groen'!A224,""),"")</f>
        <v/>
      </c>
      <c r="G212" s="287">
        <f>IFERROR(IF('Invullen groen'!R224&lt;&gt;0,'Invullen groen'!G224,""),"")</f>
        <v/>
      </c>
      <c r="H212" s="288">
        <f>IFERROR(IF('Invullen groen'!R224&lt;&gt;0,'Invullen groen'!R224,""),"")</f>
        <v/>
      </c>
    </row>
    <row r="213" ht="14" customHeight="1">
      <c r="A213" s="287">
        <f>IFERROR(IF('Invullen groen'!Q225&gt;0,208,""),"")</f>
        <v/>
      </c>
      <c r="B213" s="287">
        <f>IFERROR(IF('Invullen groen'!Q225&gt;0,'Invullen groen'!A225,""),"")</f>
        <v/>
      </c>
      <c r="C213" s="287">
        <f>IFERROR(IF('Invullen groen'!Q225&gt;0,'Invullen groen'!G225,""),"")</f>
        <v/>
      </c>
      <c r="D213" s="288">
        <f>IFERROR(IF('Invullen groen'!Q225&gt;0,'Invullen groen'!Q225,""),"")</f>
        <v/>
      </c>
      <c r="F213" s="287">
        <f>IFERROR(IF('Invullen groen'!R225&lt;&gt;0,'Invullen groen'!A225,""),"")</f>
        <v/>
      </c>
      <c r="G213" s="287">
        <f>IFERROR(IF('Invullen groen'!R225&lt;&gt;0,'Invullen groen'!G225,""),"")</f>
        <v/>
      </c>
      <c r="H213" s="288">
        <f>IFERROR(IF('Invullen groen'!R225&lt;&gt;0,'Invullen groen'!R225,""),"")</f>
        <v/>
      </c>
    </row>
    <row r="214" ht="14" customHeight="1">
      <c r="A214" s="287">
        <f>IFERROR(IF('Invullen groen'!Q226&gt;0,209,""),"")</f>
        <v/>
      </c>
      <c r="B214" s="287">
        <f>IFERROR(IF('Invullen groen'!Q226&gt;0,'Invullen groen'!A226,""),"")</f>
        <v/>
      </c>
      <c r="C214" s="287">
        <f>IFERROR(IF('Invullen groen'!Q226&gt;0,'Invullen groen'!G226,""),"")</f>
        <v/>
      </c>
      <c r="D214" s="288">
        <f>IFERROR(IF('Invullen groen'!Q226&gt;0,'Invullen groen'!Q226,""),"")</f>
        <v/>
      </c>
      <c r="F214" s="287">
        <f>IFERROR(IF('Invullen groen'!R226&lt;&gt;0,'Invullen groen'!A226,""),"")</f>
        <v/>
      </c>
      <c r="G214" s="287">
        <f>IFERROR(IF('Invullen groen'!R226&lt;&gt;0,'Invullen groen'!G226,""),"")</f>
        <v/>
      </c>
      <c r="H214" s="288">
        <f>IFERROR(IF('Invullen groen'!R226&lt;&gt;0,'Invullen groen'!R226,""),"")</f>
        <v/>
      </c>
    </row>
    <row r="215" ht="14" customHeight="1">
      <c r="A215" s="287">
        <f>IFERROR(IF('Invullen groen'!Q227&gt;0,210,""),"")</f>
        <v/>
      </c>
      <c r="B215" s="287">
        <f>IFERROR(IF('Invullen groen'!Q227&gt;0,'Invullen groen'!A227,""),"")</f>
        <v/>
      </c>
      <c r="C215" s="287">
        <f>IFERROR(IF('Invullen groen'!Q227&gt;0,'Invullen groen'!G227,""),"")</f>
        <v/>
      </c>
      <c r="D215" s="288">
        <f>IFERROR(IF('Invullen groen'!Q227&gt;0,'Invullen groen'!Q227,""),"")</f>
        <v/>
      </c>
      <c r="F215" s="287">
        <f>IFERROR(IF('Invullen groen'!R227&lt;&gt;0,'Invullen groen'!A227,""),"")</f>
        <v/>
      </c>
      <c r="G215" s="287">
        <f>IFERROR(IF('Invullen groen'!R227&lt;&gt;0,'Invullen groen'!G227,""),"")</f>
        <v/>
      </c>
      <c r="H215" s="288">
        <f>IFERROR(IF('Invullen groen'!R227&lt;&gt;0,'Invullen groen'!R227,""),"")</f>
        <v/>
      </c>
    </row>
    <row r="216" ht="14" customHeight="1">
      <c r="A216" s="287">
        <f>IFERROR(IF('Invullen groen'!Q228&gt;0,211,""),"")</f>
        <v/>
      </c>
      <c r="B216" s="287">
        <f>IFERROR(IF('Invullen groen'!Q228&gt;0,'Invullen groen'!A228,""),"")</f>
        <v/>
      </c>
      <c r="C216" s="287">
        <f>IFERROR(IF('Invullen groen'!Q228&gt;0,'Invullen groen'!G228,""),"")</f>
        <v/>
      </c>
      <c r="D216" s="288">
        <f>IFERROR(IF('Invullen groen'!Q228&gt;0,'Invullen groen'!Q228,""),"")</f>
        <v/>
      </c>
      <c r="F216" s="287">
        <f>IFERROR(IF('Invullen groen'!R228&lt;&gt;0,'Invullen groen'!A228,""),"")</f>
        <v/>
      </c>
      <c r="G216" s="287">
        <f>IFERROR(IF('Invullen groen'!R228&lt;&gt;0,'Invullen groen'!G228,""),"")</f>
        <v/>
      </c>
      <c r="H216" s="288">
        <f>IFERROR(IF('Invullen groen'!R228&lt;&gt;0,'Invullen groen'!R228,""),"")</f>
        <v/>
      </c>
    </row>
    <row r="217" ht="14" customHeight="1">
      <c r="A217" s="287">
        <f>IFERROR(IF('Invullen groen'!Q229&gt;0,212,""),"")</f>
        <v/>
      </c>
      <c r="B217" s="287">
        <f>IFERROR(IF('Invullen groen'!Q229&gt;0,'Invullen groen'!A229,""),"")</f>
        <v/>
      </c>
      <c r="C217" s="287">
        <f>IFERROR(IF('Invullen groen'!Q229&gt;0,'Invullen groen'!G229,""),"")</f>
        <v/>
      </c>
      <c r="D217" s="288">
        <f>IFERROR(IF('Invullen groen'!Q229&gt;0,'Invullen groen'!Q229,""),"")</f>
        <v/>
      </c>
      <c r="F217" s="287">
        <f>IFERROR(IF('Invullen groen'!R229&lt;&gt;0,'Invullen groen'!A229,""),"")</f>
        <v/>
      </c>
      <c r="G217" s="287">
        <f>IFERROR(IF('Invullen groen'!R229&lt;&gt;0,'Invullen groen'!G229,""),"")</f>
        <v/>
      </c>
      <c r="H217" s="288">
        <f>IFERROR(IF('Invullen groen'!R229&lt;&gt;0,'Invullen groen'!R229,""),"")</f>
        <v/>
      </c>
    </row>
    <row r="218" ht="14" customHeight="1">
      <c r="A218" s="287">
        <f>IFERROR(IF('Invullen groen'!Q230&gt;0,213,""),"")</f>
        <v/>
      </c>
      <c r="B218" s="287">
        <f>IFERROR(IF('Invullen groen'!Q230&gt;0,'Invullen groen'!A230,""),"")</f>
        <v/>
      </c>
      <c r="C218" s="287">
        <f>IFERROR(IF('Invullen groen'!Q230&gt;0,'Invullen groen'!G230,""),"")</f>
        <v/>
      </c>
      <c r="D218" s="288">
        <f>IFERROR(IF('Invullen groen'!Q230&gt;0,'Invullen groen'!Q230,""),"")</f>
        <v/>
      </c>
      <c r="F218" s="287">
        <f>IFERROR(IF('Invullen groen'!R230&lt;&gt;0,'Invullen groen'!A230,""),"")</f>
        <v/>
      </c>
      <c r="G218" s="287">
        <f>IFERROR(IF('Invullen groen'!R230&lt;&gt;0,'Invullen groen'!G230,""),"")</f>
        <v/>
      </c>
      <c r="H218" s="288">
        <f>IFERROR(IF('Invullen groen'!R230&lt;&gt;0,'Invullen groen'!R230,""),"")</f>
        <v/>
      </c>
    </row>
    <row r="219" ht="14" customHeight="1">
      <c r="A219" s="287">
        <f>IFERROR(IF('Invullen groen'!Q231&gt;0,214,""),"")</f>
        <v/>
      </c>
      <c r="B219" s="287">
        <f>IFERROR(IF('Invullen groen'!Q231&gt;0,'Invullen groen'!A231,""),"")</f>
        <v/>
      </c>
      <c r="C219" s="287">
        <f>IFERROR(IF('Invullen groen'!Q231&gt;0,'Invullen groen'!G231,""),"")</f>
        <v/>
      </c>
      <c r="D219" s="288">
        <f>IFERROR(IF('Invullen groen'!Q231&gt;0,'Invullen groen'!Q231,""),"")</f>
        <v/>
      </c>
      <c r="F219" s="287">
        <f>IFERROR(IF('Invullen groen'!R231&lt;&gt;0,'Invullen groen'!A231,""),"")</f>
        <v/>
      </c>
      <c r="G219" s="287">
        <f>IFERROR(IF('Invullen groen'!R231&lt;&gt;0,'Invullen groen'!G231,""),"")</f>
        <v/>
      </c>
      <c r="H219" s="288">
        <f>IFERROR(IF('Invullen groen'!R231&lt;&gt;0,'Invullen groen'!R231,""),"")</f>
        <v/>
      </c>
    </row>
    <row r="220" ht="14" customHeight="1">
      <c r="A220" s="287">
        <f>IFERROR(IF('Invullen groen'!Q232&gt;0,215,""),"")</f>
        <v/>
      </c>
      <c r="B220" s="287">
        <f>IFERROR(IF('Invullen groen'!Q232&gt;0,'Invullen groen'!A232,""),"")</f>
        <v/>
      </c>
      <c r="C220" s="287">
        <f>IFERROR(IF('Invullen groen'!Q232&gt;0,'Invullen groen'!G232,""),"")</f>
        <v/>
      </c>
      <c r="D220" s="288">
        <f>IFERROR(IF('Invullen groen'!Q232&gt;0,'Invullen groen'!Q232,""),"")</f>
        <v/>
      </c>
      <c r="F220" s="287">
        <f>IFERROR(IF('Invullen groen'!R232&lt;&gt;0,'Invullen groen'!A232,""),"")</f>
        <v/>
      </c>
      <c r="G220" s="287">
        <f>IFERROR(IF('Invullen groen'!R232&lt;&gt;0,'Invullen groen'!G232,""),"")</f>
        <v/>
      </c>
      <c r="H220" s="288">
        <f>IFERROR(IF('Invullen groen'!R232&lt;&gt;0,'Invullen groen'!R232,""),"")</f>
        <v/>
      </c>
    </row>
    <row r="221" ht="14" customHeight="1">
      <c r="A221" s="287">
        <f>IFERROR(IF('Invullen groen'!Q233&gt;0,216,""),"")</f>
        <v/>
      </c>
      <c r="B221" s="287">
        <f>IFERROR(IF('Invullen groen'!Q233&gt;0,'Invullen groen'!A233,""),"")</f>
        <v/>
      </c>
      <c r="C221" s="287">
        <f>IFERROR(IF('Invullen groen'!Q233&gt;0,'Invullen groen'!G233,""),"")</f>
        <v/>
      </c>
      <c r="D221" s="288">
        <f>IFERROR(IF('Invullen groen'!Q233&gt;0,'Invullen groen'!Q233,""),"")</f>
        <v/>
      </c>
      <c r="F221" s="287">
        <f>IFERROR(IF('Invullen groen'!R233&lt;&gt;0,'Invullen groen'!A233,""),"")</f>
        <v/>
      </c>
      <c r="G221" s="287">
        <f>IFERROR(IF('Invullen groen'!R233&lt;&gt;0,'Invullen groen'!G233,""),"")</f>
        <v/>
      </c>
      <c r="H221" s="288">
        <f>IFERROR(IF('Invullen groen'!R233&lt;&gt;0,'Invullen groen'!R233,""),"")</f>
        <v/>
      </c>
    </row>
    <row r="222" ht="14" customHeight="1">
      <c r="A222" s="287">
        <f>IFERROR(IF('Invullen groen'!Q234&gt;0,217,""),"")</f>
        <v/>
      </c>
      <c r="B222" s="287">
        <f>IFERROR(IF('Invullen groen'!Q234&gt;0,'Invullen groen'!A234,""),"")</f>
        <v/>
      </c>
      <c r="C222" s="287">
        <f>IFERROR(IF('Invullen groen'!Q234&gt;0,'Invullen groen'!G234,""),"")</f>
        <v/>
      </c>
      <c r="D222" s="288">
        <f>IFERROR(IF('Invullen groen'!Q234&gt;0,'Invullen groen'!Q234,""),"")</f>
        <v/>
      </c>
      <c r="F222" s="287">
        <f>IFERROR(IF('Invullen groen'!R234&lt;&gt;0,'Invullen groen'!A234,""),"")</f>
        <v/>
      </c>
      <c r="G222" s="287">
        <f>IFERROR(IF('Invullen groen'!R234&lt;&gt;0,'Invullen groen'!G234,""),"")</f>
        <v/>
      </c>
      <c r="H222" s="288">
        <f>IFERROR(IF('Invullen groen'!R234&lt;&gt;0,'Invullen groen'!R234,""),"")</f>
        <v/>
      </c>
    </row>
    <row r="223" ht="14" customHeight="1">
      <c r="A223" s="287">
        <f>IFERROR(IF('Invullen groen'!Q235&gt;0,218,""),"")</f>
        <v/>
      </c>
      <c r="B223" s="287">
        <f>IFERROR(IF('Invullen groen'!Q235&gt;0,'Invullen groen'!A235,""),"")</f>
        <v/>
      </c>
      <c r="C223" s="287">
        <f>IFERROR(IF('Invullen groen'!Q235&gt;0,'Invullen groen'!G235,""),"")</f>
        <v/>
      </c>
      <c r="D223" s="288">
        <f>IFERROR(IF('Invullen groen'!Q235&gt;0,'Invullen groen'!Q235,""),"")</f>
        <v/>
      </c>
      <c r="F223" s="287">
        <f>IFERROR(IF('Invullen groen'!R235&lt;&gt;0,'Invullen groen'!A235,""),"")</f>
        <v/>
      </c>
      <c r="G223" s="287">
        <f>IFERROR(IF('Invullen groen'!R235&lt;&gt;0,'Invullen groen'!G235,""),"")</f>
        <v/>
      </c>
      <c r="H223" s="288">
        <f>IFERROR(IF('Invullen groen'!R235&lt;&gt;0,'Invullen groen'!R235,""),"")</f>
        <v/>
      </c>
    </row>
    <row r="224" ht="14" customHeight="1">
      <c r="A224" s="287">
        <f>IFERROR(IF('Invullen groen'!Q236&gt;0,219,""),"")</f>
        <v/>
      </c>
      <c r="B224" s="287">
        <f>IFERROR(IF('Invullen groen'!Q236&gt;0,'Invullen groen'!A236,""),"")</f>
        <v/>
      </c>
      <c r="C224" s="287">
        <f>IFERROR(IF('Invullen groen'!Q236&gt;0,'Invullen groen'!G236,""),"")</f>
        <v/>
      </c>
      <c r="D224" s="288">
        <f>IFERROR(IF('Invullen groen'!Q236&gt;0,'Invullen groen'!Q236,""),"")</f>
        <v/>
      </c>
      <c r="F224" s="287">
        <f>IFERROR(IF('Invullen groen'!R236&lt;&gt;0,'Invullen groen'!A236,""),"")</f>
        <v/>
      </c>
      <c r="G224" s="287">
        <f>IFERROR(IF('Invullen groen'!R236&lt;&gt;0,'Invullen groen'!G236,""),"")</f>
        <v/>
      </c>
      <c r="H224" s="288">
        <f>IFERROR(IF('Invullen groen'!R236&lt;&gt;0,'Invullen groen'!R236,""),"")</f>
        <v/>
      </c>
    </row>
    <row r="225" ht="14" customHeight="1">
      <c r="A225" s="287">
        <f>IFERROR(IF('Invullen groen'!Q237&gt;0,220,""),"")</f>
        <v/>
      </c>
      <c r="B225" s="287">
        <f>IFERROR(IF('Invullen groen'!Q237&gt;0,'Invullen groen'!A237,""),"")</f>
        <v/>
      </c>
      <c r="C225" s="287">
        <f>IFERROR(IF('Invullen groen'!Q237&gt;0,'Invullen groen'!G237,""),"")</f>
        <v/>
      </c>
      <c r="D225" s="288">
        <f>IFERROR(IF('Invullen groen'!Q237&gt;0,'Invullen groen'!Q237,""),"")</f>
        <v/>
      </c>
      <c r="F225" s="287">
        <f>IFERROR(IF('Invullen groen'!R237&lt;&gt;0,'Invullen groen'!A237,""),"")</f>
        <v/>
      </c>
      <c r="G225" s="287">
        <f>IFERROR(IF('Invullen groen'!R237&lt;&gt;0,'Invullen groen'!G237,""),"")</f>
        <v/>
      </c>
      <c r="H225" s="288">
        <f>IFERROR(IF('Invullen groen'!R237&lt;&gt;0,'Invullen groen'!R237,""),"")</f>
        <v/>
      </c>
    </row>
    <row r="226" ht="14" customHeight="1">
      <c r="A226" s="287">
        <f>IFERROR(IF('Invullen groen'!Q238&gt;0,221,""),"")</f>
        <v/>
      </c>
      <c r="B226" s="287">
        <f>IFERROR(IF('Invullen groen'!Q238&gt;0,'Invullen groen'!A238,""),"")</f>
        <v/>
      </c>
      <c r="C226" s="287">
        <f>IFERROR(IF('Invullen groen'!Q238&gt;0,'Invullen groen'!G238,""),"")</f>
        <v/>
      </c>
      <c r="D226" s="288">
        <f>IFERROR(IF('Invullen groen'!Q238&gt;0,'Invullen groen'!Q238,""),"")</f>
        <v/>
      </c>
      <c r="F226" s="287">
        <f>IFERROR(IF('Invullen groen'!R238&lt;&gt;0,'Invullen groen'!A238,""),"")</f>
        <v/>
      </c>
      <c r="G226" s="287">
        <f>IFERROR(IF('Invullen groen'!R238&lt;&gt;0,'Invullen groen'!G238,""),"")</f>
        <v/>
      </c>
      <c r="H226" s="288">
        <f>IFERROR(IF('Invullen groen'!R238&lt;&gt;0,'Invullen groen'!R238,""),"")</f>
        <v/>
      </c>
    </row>
    <row r="227" ht="14" customHeight="1">
      <c r="A227" s="287">
        <f>IFERROR(IF('Invullen groen'!Q239&gt;0,222,""),"")</f>
        <v/>
      </c>
      <c r="B227" s="287">
        <f>IFERROR(IF('Invullen groen'!Q239&gt;0,'Invullen groen'!A239,""),"")</f>
        <v/>
      </c>
      <c r="C227" s="287">
        <f>IFERROR(IF('Invullen groen'!Q239&gt;0,'Invullen groen'!G239,""),"")</f>
        <v/>
      </c>
      <c r="D227" s="288">
        <f>IFERROR(IF('Invullen groen'!Q239&gt;0,'Invullen groen'!Q239,""),"")</f>
        <v/>
      </c>
      <c r="F227" s="287">
        <f>IFERROR(IF('Invullen groen'!R239&lt;&gt;0,'Invullen groen'!A239,""),"")</f>
        <v/>
      </c>
      <c r="G227" s="287">
        <f>IFERROR(IF('Invullen groen'!R239&lt;&gt;0,'Invullen groen'!G239,""),"")</f>
        <v/>
      </c>
      <c r="H227" s="288">
        <f>IFERROR(IF('Invullen groen'!R239&lt;&gt;0,'Invullen groen'!R239,""),"")</f>
        <v/>
      </c>
    </row>
    <row r="228" ht="14" customHeight="1">
      <c r="A228" s="287">
        <f>IFERROR(IF('Invullen groen'!Q240&gt;0,223,""),"")</f>
        <v/>
      </c>
      <c r="B228" s="287">
        <f>IFERROR(IF('Invullen groen'!Q240&gt;0,'Invullen groen'!A240,""),"")</f>
        <v/>
      </c>
      <c r="C228" s="287">
        <f>IFERROR(IF('Invullen groen'!Q240&gt;0,'Invullen groen'!G240,""),"")</f>
        <v/>
      </c>
      <c r="D228" s="288">
        <f>IFERROR(IF('Invullen groen'!Q240&gt;0,'Invullen groen'!Q240,""),"")</f>
        <v/>
      </c>
      <c r="F228" s="287">
        <f>IFERROR(IF('Invullen groen'!R240&lt;&gt;0,'Invullen groen'!A240,""),"")</f>
        <v/>
      </c>
      <c r="G228" s="287">
        <f>IFERROR(IF('Invullen groen'!R240&lt;&gt;0,'Invullen groen'!G240,""),"")</f>
        <v/>
      </c>
      <c r="H228" s="288">
        <f>IFERROR(IF('Invullen groen'!R240&lt;&gt;0,'Invullen groen'!R240,""),"")</f>
        <v/>
      </c>
    </row>
    <row r="229" ht="14" customHeight="1">
      <c r="A229" s="287">
        <f>IFERROR(IF('Invullen groen'!Q241&gt;0,224,""),"")</f>
        <v/>
      </c>
      <c r="B229" s="287">
        <f>IFERROR(IF('Invullen groen'!Q241&gt;0,'Invullen groen'!A241,""),"")</f>
        <v/>
      </c>
      <c r="C229" s="287">
        <f>IFERROR(IF('Invullen groen'!Q241&gt;0,'Invullen groen'!G241,""),"")</f>
        <v/>
      </c>
      <c r="D229" s="288">
        <f>IFERROR(IF('Invullen groen'!Q241&gt;0,'Invullen groen'!Q241,""),"")</f>
        <v/>
      </c>
      <c r="F229" s="287">
        <f>IFERROR(IF('Invullen groen'!R241&lt;&gt;0,'Invullen groen'!A241,""),"")</f>
        <v/>
      </c>
      <c r="G229" s="287">
        <f>IFERROR(IF('Invullen groen'!R241&lt;&gt;0,'Invullen groen'!G241,""),"")</f>
        <v/>
      </c>
      <c r="H229" s="288">
        <f>IFERROR(IF('Invullen groen'!R241&lt;&gt;0,'Invullen groen'!R241,""),"")</f>
        <v/>
      </c>
    </row>
    <row r="231" ht="15" customHeight="1">
      <c r="A231" s="289" t="inlineStr">
        <is>
          <t>Totaal lasten</t>
        </is>
      </c>
      <c r="B231" s="308" t="n"/>
      <c r="C231" s="308" t="n"/>
      <c r="D231" s="291">
        <f>SUM(D6:D229)</f>
        <v/>
      </c>
      <c r="F231" s="292" t="inlineStr">
        <is>
          <t>Totaal dekking / baten</t>
        </is>
      </c>
      <c r="G231" s="309" t="n"/>
      <c r="H231" s="294">
        <f>SUM(H6:H229)</f>
        <v/>
      </c>
    </row>
    <row r="233" ht="20" customHeight="1">
      <c r="A233" s="310">
        <f>IF(D231+H231=0,"✓  Budgettair neutraal — saldo = 0","⚠  Niet gedekt — saldo: "&amp;TEXT(D231+H231,"#.##0"))</f>
        <v/>
      </c>
      <c r="B233" s="311" t="n"/>
      <c r="C233" s="311" t="n"/>
      <c r="D233" s="311" t="n"/>
    </row>
    <row r="235">
      <c r="A235" s="298" t="inlineStr">
        <is>
          <t>Automatisch bijgewerkt — lasten = kolom Q, baten = kolom R uit 'Invullen groen'. Voeg dekkingsomschrijving toe in kolom K van Invullen groen.</t>
        </is>
      </c>
    </row>
  </sheetData>
  <mergeCells count="8">
    <mergeCell ref="A1:H1"/>
    <mergeCell ref="A233:D233"/>
    <mergeCell ref="F231:G231"/>
    <mergeCell ref="A4:D4"/>
    <mergeCell ref="A235:H235"/>
    <mergeCell ref="F4:H4"/>
    <mergeCell ref="A2:D2"/>
    <mergeCell ref="A231:C2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2026-06-26T09:23:22Z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