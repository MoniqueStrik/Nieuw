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groen'!M281</f>
        <v/>
      </c>
      <c r="E277" s="3">
        <f>+'Invullen groen'!H281</f>
        <v/>
      </c>
      <c r="F277" s="3">
        <f>+'Invullen groen'!I281</f>
        <v/>
      </c>
      <c r="G277" s="3">
        <f>+'Invullen groen'!J281</f>
        <v/>
      </c>
      <c r="H277" s="3">
        <f>+'Invullen groen'!K281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groen'!M282</f>
        <v/>
      </c>
      <c r="E278" s="3">
        <f>+'Invullen groen'!H282</f>
        <v/>
      </c>
      <c r="F278" s="3">
        <f>+'Invullen groen'!I282</f>
        <v/>
      </c>
      <c r="G278" s="3">
        <f>+'Invullen groen'!J282</f>
        <v/>
      </c>
      <c r="H278" s="3">
        <f>+'Invullen groen'!K282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groen'!M283</f>
        <v/>
      </c>
      <c r="E279" s="3">
        <f>+'Invullen groen'!H283</f>
        <v/>
      </c>
      <c r="F279" s="3">
        <f>+'Invullen groen'!I283</f>
        <v/>
      </c>
      <c r="G279" s="3">
        <f>+'Invullen groen'!J283</f>
        <v/>
      </c>
      <c r="H279" s="3">
        <f>+'Invullen groen'!K283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groen'!M284</f>
        <v/>
      </c>
      <c r="E280" s="3">
        <f>+'Invullen groen'!H284</f>
        <v/>
      </c>
      <c r="F280" s="3">
        <f>+'Invullen groen'!I284</f>
        <v/>
      </c>
      <c r="G280" s="3">
        <f>+'Invullen groen'!J284</f>
        <v/>
      </c>
      <c r="H280" s="3">
        <f>+'Invullen groen'!K284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groen'!M285</f>
        <v/>
      </c>
      <c r="E281" s="3">
        <f>+'Invullen groen'!H285</f>
        <v/>
      </c>
      <c r="F281" s="3">
        <f>+'Invullen groen'!I285</f>
        <v/>
      </c>
      <c r="G281" s="3">
        <f>+'Invullen groen'!J285</f>
        <v/>
      </c>
      <c r="H281" s="3">
        <f>+'Invullen groen'!K285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groen'!M286</f>
        <v/>
      </c>
      <c r="E282" s="3">
        <f>+'Invullen groen'!H286</f>
        <v/>
      </c>
      <c r="F282" s="3">
        <f>+'Invullen groen'!I286</f>
        <v/>
      </c>
      <c r="G282" s="3">
        <f>+'Invullen groen'!J286</f>
        <v/>
      </c>
      <c r="H282" s="3">
        <f>+'Invullen groen'!K286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groen'!M287</f>
        <v/>
      </c>
      <c r="E283" s="3">
        <f>+'Invullen groen'!H287</f>
        <v/>
      </c>
      <c r="F283" s="3">
        <f>+'Invullen groen'!I287</f>
        <v/>
      </c>
      <c r="G283" s="3">
        <f>+'Invullen groen'!J287</f>
        <v/>
      </c>
      <c r="H283" s="3">
        <f>+'Invullen groen'!K287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groen'!M288</f>
        <v/>
      </c>
      <c r="E284" s="3">
        <f>+'Invullen groen'!H288</f>
        <v/>
      </c>
      <c r="F284" s="3">
        <f>+'Invullen groen'!I288</f>
        <v/>
      </c>
      <c r="G284" s="3">
        <f>+'Invullen groen'!J288</f>
        <v/>
      </c>
      <c r="H284" s="3">
        <f>+'Invullen groen'!K288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groen'!M289</f>
        <v/>
      </c>
      <c r="E285" s="3">
        <f>+'Invullen groen'!H289</f>
        <v/>
      </c>
      <c r="F285" s="3">
        <f>+'Invullen groen'!I289</f>
        <v/>
      </c>
      <c r="G285" s="3">
        <f>+'Invullen groen'!J289</f>
        <v/>
      </c>
      <c r="H285" s="3">
        <f>+'Invullen groen'!K289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groen'!M290</f>
        <v/>
      </c>
      <c r="E286" s="3">
        <f>+'Invullen groen'!H290</f>
        <v/>
      </c>
      <c r="F286" s="3">
        <f>+'Invullen groen'!I290</f>
        <v/>
      </c>
      <c r="G286" s="3">
        <f>+'Invullen groen'!J290</f>
        <v/>
      </c>
      <c r="H286" s="3">
        <f>+'Invullen groen'!K290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groen'!M291</f>
        <v/>
      </c>
      <c r="E287" s="3">
        <f>+'Invullen groen'!H291</f>
        <v/>
      </c>
      <c r="F287" s="3">
        <f>+'Invullen groen'!I291</f>
        <v/>
      </c>
      <c r="G287" s="3">
        <f>+'Invullen groen'!J291</f>
        <v/>
      </c>
      <c r="H287" s="3">
        <f>+'Invullen groen'!K291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groen'!M292</f>
        <v/>
      </c>
      <c r="E288" s="3">
        <f>+'Invullen groen'!H292</f>
        <v/>
      </c>
      <c r="F288" s="3">
        <f>+'Invullen groen'!I292</f>
        <v/>
      </c>
      <c r="G288" s="3">
        <f>+'Invullen groen'!J292</f>
        <v/>
      </c>
      <c r="H288" s="3">
        <f>+'Invullen groen'!K292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groen'!M293</f>
        <v/>
      </c>
      <c r="E289" s="3">
        <f>+'Invullen groen'!H293</f>
        <v/>
      </c>
      <c r="F289" s="3">
        <f>+'Invullen groen'!I293</f>
        <v/>
      </c>
      <c r="G289" s="3">
        <f>+'Invullen groen'!J293</f>
        <v/>
      </c>
      <c r="H289" s="3">
        <f>+'Invullen groen'!K293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groen'!M294</f>
        <v/>
      </c>
      <c r="E290" s="3">
        <f>+'Invullen groen'!H294</f>
        <v/>
      </c>
      <c r="F290" s="3">
        <f>+'Invullen groen'!I294</f>
        <v/>
      </c>
      <c r="G290" s="3">
        <f>+'Invullen groen'!J294</f>
        <v/>
      </c>
      <c r="H290" s="3">
        <f>+'Invullen groen'!K294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groen'!M295</f>
        <v/>
      </c>
      <c r="E291" s="3">
        <f>+'Invullen groen'!H295</f>
        <v/>
      </c>
      <c r="F291" s="3">
        <f>+'Invullen groen'!I295</f>
        <v/>
      </c>
      <c r="G291" s="3">
        <f>+'Invullen groen'!J295</f>
        <v/>
      </c>
      <c r="H291" s="3">
        <f>+'Invullen groen'!K295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groen'!M296</f>
        <v/>
      </c>
      <c r="E292" s="3">
        <f>+'Invullen groen'!H296</f>
        <v/>
      </c>
      <c r="F292" s="3">
        <f>+'Invullen groen'!I296</f>
        <v/>
      </c>
      <c r="G292" s="3">
        <f>+'Invullen groen'!J296</f>
        <v/>
      </c>
      <c r="H292" s="3">
        <f>+'Invullen groen'!K296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groen'!M297</f>
        <v/>
      </c>
      <c r="E293" s="3">
        <f>+'Invullen groen'!H297</f>
        <v/>
      </c>
      <c r="F293" s="3">
        <f>+'Invullen groen'!I297</f>
        <v/>
      </c>
      <c r="G293" s="3">
        <f>+'Invullen groen'!J297</f>
        <v/>
      </c>
      <c r="H293" s="3">
        <f>+'Invullen groen'!K297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groen'!M298</f>
        <v/>
      </c>
      <c r="E294" s="3">
        <f>+'Invullen groen'!H298</f>
        <v/>
      </c>
      <c r="F294" s="3">
        <f>+'Invullen groen'!I298</f>
        <v/>
      </c>
      <c r="G294" s="3">
        <f>+'Invullen groen'!J298</f>
        <v/>
      </c>
      <c r="H294" s="3">
        <f>+'Invullen groen'!K298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groen'!M299</f>
        <v/>
      </c>
      <c r="E295" s="3">
        <f>+'Invullen groen'!H299</f>
        <v/>
      </c>
      <c r="F295" s="3">
        <f>+'Invullen groen'!I299</f>
        <v/>
      </c>
      <c r="G295" s="3">
        <f>+'Invullen groen'!J299</f>
        <v/>
      </c>
      <c r="H295" s="3">
        <f>+'Invullen groen'!K299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groen'!F17&gt;0,'Invullen groen'!F17,""),"")</f>
        <v/>
      </c>
      <c r="C5" s="522">
        <f>IFERROR(IF('Invullen groen'!N17&gt;0,'Invullen groen'!N17,""),"")</f>
        <v/>
      </c>
      <c r="D5" s="522">
        <f>IFERROR(IF('Invullen groen'!O17&lt;&gt;"",LEFT(TRIM('Invullen groen'!O17),36),""),"")</f>
        <v/>
      </c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groen'!F18&gt;0,'Invullen groen'!F18,""),"")</f>
        <v/>
      </c>
      <c r="C6" s="524">
        <f>IFERROR(IF('Invullen groen'!N18&gt;0,'Invullen groen'!N18,""),"")</f>
        <v/>
      </c>
      <c r="D6" s="524">
        <f>IFERROR(IF('Invullen groen'!O18&lt;&gt;"",LEFT(TRIM('Invullen groen'!O18),36),""),"")</f>
        <v/>
      </c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groen'!F19&gt;0,'Invullen groen'!F19,""),"")</f>
        <v/>
      </c>
      <c r="C7" s="522">
        <f>IFERROR(IF('Invullen groen'!N19&gt;0,'Invullen groen'!N19,""),"")</f>
        <v/>
      </c>
      <c r="D7" s="522">
        <f>IFERROR(IF('Invullen groen'!O19&lt;&gt;"",LEFT(TRIM('Invullen groen'!O19),36),""),"")</f>
        <v/>
      </c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groen'!F20&gt;0,'Invullen groen'!F20,""),"")</f>
        <v/>
      </c>
      <c r="C8" s="524">
        <f>IFERROR(IF('Invullen groen'!N20&gt;0,'Invullen groen'!N20,""),"")</f>
        <v/>
      </c>
      <c r="D8" s="524">
        <f>IFERROR(IF('Invullen groen'!O20&lt;&gt;"",LEFT(TRIM('Invullen groen'!O20),36),""),"")</f>
        <v/>
      </c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groen'!F21&gt;0,'Invullen groen'!F21,""),"")</f>
        <v/>
      </c>
      <c r="C9" s="522">
        <f>IFERROR(IF('Invullen groen'!N21&gt;0,'Invullen groen'!N21,""),"")</f>
        <v/>
      </c>
      <c r="D9" s="522">
        <f>IFERROR(IF('Invullen groen'!O21&lt;&gt;"",LEFT(TRIM('Invullen groen'!O21),36),""),"")</f>
        <v/>
      </c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groen'!F22&gt;0,'Invullen groen'!F22,""),"")</f>
        <v/>
      </c>
      <c r="C10" s="524">
        <f>IFERROR(IF('Invullen groen'!N22&gt;0,'Invullen groen'!N22,""),"")</f>
        <v/>
      </c>
      <c r="D10" s="524">
        <f>IFERROR(IF('Invullen groen'!O22&lt;&gt;"",LEFT(TRIM('Invullen groen'!O22),36),""),"")</f>
        <v/>
      </c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groen'!F23&gt;0,'Invullen groen'!F23,""),"")</f>
        <v/>
      </c>
      <c r="C11" s="522">
        <f>IFERROR(IF('Invullen groen'!N23&gt;0,'Invullen groen'!N23,""),"")</f>
        <v/>
      </c>
      <c r="D11" s="522">
        <f>IFERROR(IF('Invullen groen'!O23&lt;&gt;"",LEFT(TRIM('Invullen groen'!O23),36),""),"")</f>
        <v/>
      </c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groen'!F24&gt;0,'Invullen groen'!F24,""),"")</f>
        <v/>
      </c>
      <c r="C12" s="524">
        <f>IFERROR(IF('Invullen groen'!N24&gt;0,'Invullen groen'!N24,""),"")</f>
        <v/>
      </c>
      <c r="D12" s="524">
        <f>IFERROR(IF('Invullen groen'!O24&lt;&gt;"",LEFT(TRIM('Invullen groen'!O24),36),""),"")</f>
        <v/>
      </c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groen'!F25&gt;0,'Invullen groen'!F25,""),"")</f>
        <v/>
      </c>
      <c r="C13" s="522">
        <f>IFERROR(IF('Invullen groen'!N25&gt;0,'Invullen groen'!N25,""),"")</f>
        <v/>
      </c>
      <c r="D13" s="522">
        <f>IFERROR(IF('Invullen groen'!O25&lt;&gt;"",LEFT(TRIM('Invullen groen'!O25),36),""),"")</f>
        <v/>
      </c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groen'!F26&gt;0,'Invullen groen'!F26,""),"")</f>
        <v/>
      </c>
      <c r="C14" s="524">
        <f>IFERROR(IF('Invullen groen'!N26&gt;0,'Invullen groen'!N26,""),"")</f>
        <v/>
      </c>
      <c r="D14" s="524">
        <f>IFERROR(IF('Invullen groen'!O26&lt;&gt;"",LEFT(TRIM('Invullen groen'!O26),36),""),"")</f>
        <v/>
      </c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groen'!F27&gt;0,'Invullen groen'!F27,""),"")</f>
        <v/>
      </c>
      <c r="C15" s="522">
        <f>IFERROR(IF('Invullen groen'!N27&gt;0,'Invullen groen'!N27,""),"")</f>
        <v/>
      </c>
      <c r="D15" s="522">
        <f>IFERROR(IF('Invullen groen'!O27&lt;&gt;"",LEFT(TRIM('Invullen groen'!O27),36),""),"")</f>
        <v/>
      </c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groen'!F28&gt;0,'Invullen groen'!F28,""),"")</f>
        <v/>
      </c>
      <c r="C16" s="524">
        <f>IFERROR(IF('Invullen groen'!N28&gt;0,'Invullen groen'!N28,""),"")</f>
        <v/>
      </c>
      <c r="D16" s="524">
        <f>IFERROR(IF('Invullen groen'!O28&lt;&gt;"",LEFT(TRIM('Invullen groen'!O28),36),""),"")</f>
        <v/>
      </c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groen'!F29&gt;0,'Invullen groen'!F29,""),"")</f>
        <v/>
      </c>
      <c r="C17" s="522">
        <f>IFERROR(IF('Invullen groen'!N29&gt;0,'Invullen groen'!N29,""),"")</f>
        <v/>
      </c>
      <c r="D17" s="522">
        <f>IFERROR(IF('Invullen groen'!O29&lt;&gt;"",LEFT(TRIM('Invullen groen'!O29),36),""),"")</f>
        <v/>
      </c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groen'!F30&gt;0,'Invullen groen'!F30,""),"")</f>
        <v/>
      </c>
      <c r="C18" s="524">
        <f>IFERROR(IF('Invullen groen'!N30&gt;0,'Invullen groen'!N30,""),"")</f>
        <v/>
      </c>
      <c r="D18" s="524">
        <f>IFERROR(IF('Invullen groen'!O30&lt;&gt;"",LEFT(TRIM('Invullen groen'!O30),36),""),"")</f>
        <v/>
      </c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groen'!F31&gt;0,'Invullen groen'!F31,""),"")</f>
        <v/>
      </c>
      <c r="C19" s="522">
        <f>IFERROR(IF('Invullen groen'!N31&gt;0,'Invullen groen'!N31,""),"")</f>
        <v/>
      </c>
      <c r="D19" s="522">
        <f>IFERROR(IF('Invullen groen'!O31&lt;&gt;"",LEFT(TRIM('Invullen groen'!O31),36),""),"")</f>
        <v/>
      </c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groen'!F32&gt;0,'Invullen groen'!F32,""),"")</f>
        <v/>
      </c>
      <c r="C20" s="524">
        <f>IFERROR(IF('Invullen groen'!N32&gt;0,'Invullen groen'!N32,""),"")</f>
        <v/>
      </c>
      <c r="D20" s="524">
        <f>IFERROR(IF('Invullen groen'!O32&lt;&gt;"",LEFT(TRIM('Invullen groen'!O32),36),""),"")</f>
        <v/>
      </c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groen'!F33&gt;0,'Invullen groen'!F33,""),"")</f>
        <v/>
      </c>
      <c r="C21" s="522">
        <f>IFERROR(IF('Invullen groen'!N33&gt;0,'Invullen groen'!N33,""),"")</f>
        <v/>
      </c>
      <c r="D21" s="522">
        <f>IFERROR(IF('Invullen groen'!O33&lt;&gt;"",LEFT(TRIM('Invullen groen'!O33),36),""),"")</f>
        <v/>
      </c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groen'!F34&gt;0,'Invullen groen'!F34,""),"")</f>
        <v/>
      </c>
      <c r="C22" s="524">
        <f>IFERROR(IF('Invullen groen'!N34&gt;0,'Invullen groen'!N34,""),"")</f>
        <v/>
      </c>
      <c r="D22" s="524">
        <f>IFERROR(IF('Invullen groen'!O34&lt;&gt;"",LEFT(TRIM('Invullen groen'!O34),36),""),"")</f>
        <v/>
      </c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groen'!F35&gt;0,'Invullen groen'!F35,""),"")</f>
        <v/>
      </c>
      <c r="C23" s="522">
        <f>IFERROR(IF('Invullen groen'!N35&gt;0,'Invullen groen'!N35,""),"")</f>
        <v/>
      </c>
      <c r="D23" s="522">
        <f>IFERROR(IF('Invullen groen'!O35&lt;&gt;"",LEFT(TRIM('Invullen groen'!O35),36),""),"")</f>
        <v/>
      </c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groen'!F36&gt;0,'Invullen groen'!F36,""),"")</f>
        <v/>
      </c>
      <c r="C24" s="524">
        <f>IFERROR(IF('Invullen groen'!N36&gt;0,'Invullen groen'!N36,""),"")</f>
        <v/>
      </c>
      <c r="D24" s="524">
        <f>IFERROR(IF('Invullen groen'!O36&lt;&gt;"",LEFT(TRIM('Invullen groen'!O36),36),""),"")</f>
        <v/>
      </c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groen'!F37&gt;0,'Invullen groen'!F37,""),"")</f>
        <v/>
      </c>
      <c r="C25" s="522">
        <f>IFERROR(IF('Invullen groen'!N37&gt;0,'Invullen groen'!N37,""),"")</f>
        <v/>
      </c>
      <c r="D25" s="522">
        <f>IFERROR(IF('Invullen groen'!O37&lt;&gt;"",LEFT(TRIM('Invullen groen'!O37),36),""),"")</f>
        <v/>
      </c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groen'!F38&gt;0,'Invullen groen'!F38,""),"")</f>
        <v/>
      </c>
      <c r="C26" s="524">
        <f>IFERROR(IF('Invullen groen'!N38&gt;0,'Invullen groen'!N38,""),"")</f>
        <v/>
      </c>
      <c r="D26" s="524">
        <f>IFERROR(IF('Invullen groen'!O38&lt;&gt;"",LEFT(TRIM('Invullen groen'!O38),36),""),"")</f>
        <v/>
      </c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groen'!F39&gt;0,'Invullen groen'!F39,""),"")</f>
        <v/>
      </c>
      <c r="C27" s="522">
        <f>IFERROR(IF('Invullen groen'!N39&gt;0,'Invullen groen'!N39,""),"")</f>
        <v/>
      </c>
      <c r="D27" s="522">
        <f>IFERROR(IF('Invullen groen'!O39&lt;&gt;"",LEFT(TRIM('Invullen groen'!O39),36),""),"")</f>
        <v/>
      </c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groen'!F40&gt;0,'Invullen groen'!F40,""),"")</f>
        <v/>
      </c>
      <c r="C28" s="524">
        <f>IFERROR(IF('Invullen groen'!N40&gt;0,'Invullen groen'!N40,""),"")</f>
        <v/>
      </c>
      <c r="D28" s="524">
        <f>IFERROR(IF('Invullen groen'!O40&lt;&gt;"",LEFT(TRIM('Invullen groen'!O40),36),""),"")</f>
        <v/>
      </c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groen'!F41&gt;0,'Invullen groen'!F41,""),"")</f>
        <v/>
      </c>
      <c r="C29" s="522">
        <f>IFERROR(IF('Invullen groen'!N41&gt;0,'Invullen groen'!N41,""),"")</f>
        <v/>
      </c>
      <c r="D29" s="522">
        <f>IFERROR(IF('Invullen groen'!O41&lt;&gt;"",LEFT(TRIM('Invullen groen'!O41),36),""),"")</f>
        <v/>
      </c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groen'!F42&gt;0,'Invullen groen'!F42,""),"")</f>
        <v/>
      </c>
      <c r="C30" s="524">
        <f>IFERROR(IF('Invullen groen'!N42&gt;0,'Invullen groen'!N42,""),"")</f>
        <v/>
      </c>
      <c r="D30" s="524">
        <f>IFERROR(IF('Invullen groen'!O42&lt;&gt;"",LEFT(TRIM('Invullen groen'!O42),36),""),"")</f>
        <v/>
      </c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groen'!F43&gt;0,'Invullen groen'!F43,""),"")</f>
        <v/>
      </c>
      <c r="C31" s="522">
        <f>IFERROR(IF('Invullen groen'!N43&gt;0,'Invullen groen'!N43,""),"")</f>
        <v/>
      </c>
      <c r="D31" s="522">
        <f>IFERROR(IF('Invullen groen'!O43&lt;&gt;"",LEFT(TRIM('Invullen groen'!O43),36),""),"")</f>
        <v/>
      </c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groen'!F44&gt;0,'Invullen groen'!F44,""),"")</f>
        <v/>
      </c>
      <c r="C32" s="524">
        <f>IFERROR(IF('Invullen groen'!N44&gt;0,'Invullen groen'!N44,""),"")</f>
        <v/>
      </c>
      <c r="D32" s="524">
        <f>IFERROR(IF('Invullen groen'!O44&lt;&gt;"",LEFT(TRIM('Invullen groen'!O44),36),""),"")</f>
        <v/>
      </c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groen'!F45&gt;0,'Invullen groen'!F45,""),"")</f>
        <v/>
      </c>
      <c r="C33" s="522">
        <f>IFERROR(IF('Invullen groen'!N45&gt;0,'Invullen groen'!N45,""),"")</f>
        <v/>
      </c>
      <c r="D33" s="522">
        <f>IFERROR(IF('Invullen groen'!O45&lt;&gt;"",LEFT(TRIM('Invullen groen'!O45),36),""),"")</f>
        <v/>
      </c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groen'!F46&gt;0,'Invullen groen'!F46,""),"")</f>
        <v/>
      </c>
      <c r="C34" s="524">
        <f>IFERROR(IF('Invullen groen'!N46&gt;0,'Invullen groen'!N46,""),"")</f>
        <v/>
      </c>
      <c r="D34" s="524">
        <f>IFERROR(IF('Invullen groen'!O46&lt;&gt;"",LEFT(TRIM('Invullen groen'!O46),36),""),"")</f>
        <v/>
      </c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groen'!F47&gt;0,'Invullen groen'!F47,""),"")</f>
        <v/>
      </c>
      <c r="C35" s="522">
        <f>IFERROR(IF('Invullen groen'!N47&gt;0,'Invullen groen'!N47,""),"")</f>
        <v/>
      </c>
      <c r="D35" s="522">
        <f>IFERROR(IF('Invullen groen'!O47&lt;&gt;"",LEFT(TRIM('Invullen groen'!O47),36),""),"")</f>
        <v/>
      </c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groen'!F48&gt;0,'Invullen groen'!F48,""),"")</f>
        <v/>
      </c>
      <c r="C36" s="524">
        <f>IFERROR(IF('Invullen groen'!N48&gt;0,'Invullen groen'!N48,""),"")</f>
        <v/>
      </c>
      <c r="D36" s="524">
        <f>IFERROR(IF('Invullen groen'!O48&lt;&gt;"",LEFT(TRIM('Invullen groen'!O48),36),""),"")</f>
        <v/>
      </c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groen'!F49&gt;0,'Invullen groen'!F49,""),"")</f>
        <v/>
      </c>
      <c r="C37" s="522">
        <f>IFERROR(IF('Invullen groen'!N49&gt;0,'Invullen groen'!N49,""),"")</f>
        <v/>
      </c>
      <c r="D37" s="522">
        <f>IFERROR(IF('Invullen groen'!O49&lt;&gt;"",LEFT(TRIM('Invullen groen'!O49),36),""),"")</f>
        <v/>
      </c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groen'!F50&gt;0,'Invullen groen'!F50,""),"")</f>
        <v/>
      </c>
      <c r="C38" s="524">
        <f>IFERROR(IF('Invullen groen'!N50&gt;0,'Invullen groen'!N50,""),"")</f>
        <v/>
      </c>
      <c r="D38" s="524">
        <f>IFERROR(IF('Invullen groen'!O50&lt;&gt;"",LEFT(TRIM('Invullen groen'!O50),36),""),"")</f>
        <v/>
      </c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groen'!F51&gt;0,'Invullen groen'!F51,""),"")</f>
        <v/>
      </c>
      <c r="C39" s="522">
        <f>IFERROR(IF('Invullen groen'!N51&gt;0,'Invullen groen'!N51,""),"")</f>
        <v/>
      </c>
      <c r="D39" s="522">
        <f>IFERROR(IF('Invullen groen'!O51&lt;&gt;"",LEFT(TRIM('Invullen groen'!O51),36),""),"")</f>
        <v/>
      </c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groen'!F52&gt;0,'Invullen groen'!F52,""),"")</f>
        <v/>
      </c>
      <c r="C40" s="524">
        <f>IFERROR(IF('Invullen groen'!N52&gt;0,'Invullen groen'!N52,""),"")</f>
        <v/>
      </c>
      <c r="D40" s="524">
        <f>IFERROR(IF('Invullen groen'!O52&lt;&gt;"",LEFT(TRIM('Invullen groen'!O52),36),""),"")</f>
        <v/>
      </c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groen'!F53&gt;0,'Invullen groen'!F53,""),"")</f>
        <v/>
      </c>
      <c r="C41" s="522">
        <f>IFERROR(IF('Invullen groen'!N53&gt;0,'Invullen groen'!N53,""),"")</f>
        <v/>
      </c>
      <c r="D41" s="522">
        <f>IFERROR(IF('Invullen groen'!O53&lt;&gt;"",LEFT(TRIM('Invullen groen'!O53),36),""),"")</f>
        <v/>
      </c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groen'!F54&gt;0,'Invullen groen'!F54,""),"")</f>
        <v/>
      </c>
      <c r="C42" s="524">
        <f>IFERROR(IF('Invullen groen'!N54&gt;0,'Invullen groen'!N54,""),"")</f>
        <v/>
      </c>
      <c r="D42" s="524">
        <f>IFERROR(IF('Invullen groen'!O54&lt;&gt;"",LEFT(TRIM('Invullen groen'!O54),36),""),"")</f>
        <v/>
      </c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groen'!F55&gt;0,'Invullen groen'!F55,""),"")</f>
        <v/>
      </c>
      <c r="C43" s="522">
        <f>IFERROR(IF('Invullen groen'!N55&gt;0,'Invullen groen'!N55,""),"")</f>
        <v/>
      </c>
      <c r="D43" s="522">
        <f>IFERROR(IF('Invullen groen'!O55&lt;&gt;"",LEFT(TRIM('Invullen groen'!O55),36),""),"")</f>
        <v/>
      </c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groen'!F56&gt;0,'Invullen groen'!F56,""),"")</f>
        <v/>
      </c>
      <c r="C44" s="524">
        <f>IFERROR(IF('Invullen groen'!N56&gt;0,'Invullen groen'!N56,""),"")</f>
        <v/>
      </c>
      <c r="D44" s="524">
        <f>IFERROR(IF('Invullen groen'!O56&lt;&gt;"",LEFT(TRIM('Invullen groen'!O56),36),""),"")</f>
        <v/>
      </c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groen'!F57&gt;0,'Invullen groen'!F57,""),"")</f>
        <v/>
      </c>
      <c r="C45" s="522">
        <f>IFERROR(IF('Invullen groen'!N57&gt;0,'Invullen groen'!N57,""),"")</f>
        <v/>
      </c>
      <c r="D45" s="522">
        <f>IFERROR(IF('Invullen groen'!O57&lt;&gt;"",LEFT(TRIM('Invullen groen'!O57),36),""),"")</f>
        <v/>
      </c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groen'!F58&gt;0,'Invullen groen'!F58,""),"")</f>
        <v/>
      </c>
      <c r="C46" s="524">
        <f>IFERROR(IF('Invullen groen'!N58&gt;0,'Invullen groen'!N58,""),"")</f>
        <v/>
      </c>
      <c r="D46" s="524">
        <f>IFERROR(IF('Invullen groen'!O58&lt;&gt;"",LEFT(TRIM('Invullen groen'!O58),36),""),"")</f>
        <v/>
      </c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groen'!F59&gt;0,'Invullen groen'!F59,""),"")</f>
        <v/>
      </c>
      <c r="C47" s="522">
        <f>IFERROR(IF('Invullen groen'!N59&gt;0,'Invullen groen'!N59,""),"")</f>
        <v/>
      </c>
      <c r="D47" s="522">
        <f>IFERROR(IF('Invullen groen'!O59&lt;&gt;"",LEFT(TRIM('Invullen groen'!O59),36),""),"")</f>
        <v/>
      </c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groen'!F60&gt;0,'Invullen groen'!F60,""),"")</f>
        <v/>
      </c>
      <c r="C48" s="524">
        <f>IFERROR(IF('Invullen groen'!N60&gt;0,'Invullen groen'!N60,""),"")</f>
        <v/>
      </c>
      <c r="D48" s="524">
        <f>IFERROR(IF('Invullen groen'!O60&lt;&gt;"",LEFT(TRIM('Invullen groen'!O60),36),""),"")</f>
        <v/>
      </c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groen'!F61&gt;0,'Invullen groen'!F61,""),"")</f>
        <v/>
      </c>
      <c r="C49" s="522">
        <f>IFERROR(IF('Invullen groen'!N61&gt;0,'Invullen groen'!N61,""),"")</f>
        <v/>
      </c>
      <c r="D49" s="522">
        <f>IFERROR(IF('Invullen groen'!O61&lt;&gt;"",LEFT(TRIM('Invullen groen'!O61),36),""),"")</f>
        <v/>
      </c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groen'!F62&gt;0,'Invullen groen'!F62,""),"")</f>
        <v/>
      </c>
      <c r="C50" s="524">
        <f>IFERROR(IF('Invullen groen'!N62&gt;0,'Invullen groen'!N62,""),"")</f>
        <v/>
      </c>
      <c r="D50" s="524">
        <f>IFERROR(IF('Invullen groen'!O62&lt;&gt;"",LEFT(TRIM('Invullen groen'!O62),36),""),"")</f>
        <v/>
      </c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groen'!F63&gt;0,'Invullen groen'!F63,""),"")</f>
        <v/>
      </c>
      <c r="C51" s="522">
        <f>IFERROR(IF('Invullen groen'!N63&gt;0,'Invullen groen'!N63,""),"")</f>
        <v/>
      </c>
      <c r="D51" s="522">
        <f>IFERROR(IF('Invullen groen'!O63&lt;&gt;"",LEFT(TRIM('Invullen groen'!O63),36),""),"")</f>
        <v/>
      </c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groen'!F64&gt;0,'Invullen groen'!F64,""),"")</f>
        <v/>
      </c>
      <c r="C52" s="524">
        <f>IFERROR(IF('Invullen groen'!N64&gt;0,'Invullen groen'!N64,""),"")</f>
        <v/>
      </c>
      <c r="D52" s="524">
        <f>IFERROR(IF('Invullen groen'!O64&lt;&gt;"",LEFT(TRIM('Invullen groen'!O64),36),""),"")</f>
        <v/>
      </c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groen'!F65&gt;0,'Invullen groen'!F65,""),"")</f>
        <v/>
      </c>
      <c r="C53" s="522">
        <f>IFERROR(IF('Invullen groen'!N65&gt;0,'Invullen groen'!N65,""),"")</f>
        <v/>
      </c>
      <c r="D53" s="522">
        <f>IFERROR(IF('Invullen groen'!O65&lt;&gt;"",LEFT(TRIM('Invullen groen'!O65),36),""),"")</f>
        <v/>
      </c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groen'!F66&gt;0,'Invullen groen'!F66,""),"")</f>
        <v/>
      </c>
      <c r="C54" s="524">
        <f>IFERROR(IF('Invullen groen'!N66&gt;0,'Invullen groen'!N66,""),"")</f>
        <v/>
      </c>
      <c r="D54" s="524">
        <f>IFERROR(IF('Invullen groen'!O66&lt;&gt;"",LEFT(TRIM('Invullen groen'!O66),36),""),"")</f>
        <v/>
      </c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groen'!F67&gt;0,'Invullen groen'!F67,""),"")</f>
        <v/>
      </c>
      <c r="C55" s="522">
        <f>IFERROR(IF('Invullen groen'!N67&gt;0,'Invullen groen'!N67,""),"")</f>
        <v/>
      </c>
      <c r="D55" s="522">
        <f>IFERROR(IF('Invullen groen'!O67&lt;&gt;"",LEFT(TRIM('Invullen groen'!O67),36),""),"")</f>
        <v/>
      </c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groen'!F68&gt;0,'Invullen groen'!F68,""),"")</f>
        <v/>
      </c>
      <c r="C56" s="524">
        <f>IFERROR(IF('Invullen groen'!N68&gt;0,'Invullen groen'!N68,""),"")</f>
        <v/>
      </c>
      <c r="D56" s="524">
        <f>IFERROR(IF('Invullen groen'!O68&lt;&gt;"",LEFT(TRIM('Invullen groen'!O68),36),""),"")</f>
        <v/>
      </c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groen'!F69&gt;0,'Invullen groen'!F69,""),"")</f>
        <v/>
      </c>
      <c r="C57" s="522">
        <f>IFERROR(IF('Invullen groen'!N69&gt;0,'Invullen groen'!N69,""),"")</f>
        <v/>
      </c>
      <c r="D57" s="522">
        <f>IFERROR(IF('Invullen groen'!O69&lt;&gt;"",LEFT(TRIM('Invullen groen'!O69),36),""),"")</f>
        <v/>
      </c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groen'!F70&gt;0,'Invullen groen'!F70,""),"")</f>
        <v/>
      </c>
      <c r="C58" s="524">
        <f>IFERROR(IF('Invullen groen'!N70&gt;0,'Invullen groen'!N70,""),"")</f>
        <v/>
      </c>
      <c r="D58" s="524">
        <f>IFERROR(IF('Invullen groen'!O70&lt;&gt;"",LEFT(TRIM('Invullen groen'!O70),36),""),"")</f>
        <v/>
      </c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groen'!F71&gt;0,'Invullen groen'!F71,""),"")</f>
        <v/>
      </c>
      <c r="C59" s="522">
        <f>IFERROR(IF('Invullen groen'!N71&gt;0,'Invullen groen'!N71,""),"")</f>
        <v/>
      </c>
      <c r="D59" s="522">
        <f>IFERROR(IF('Invullen groen'!O71&lt;&gt;"",LEFT(TRIM('Invullen groen'!O71),36),""),"")</f>
        <v/>
      </c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groen'!F72&gt;0,'Invullen groen'!F72,""),"")</f>
        <v/>
      </c>
      <c r="C60" s="524">
        <f>IFERROR(IF('Invullen groen'!N72&gt;0,'Invullen groen'!N72,""),"")</f>
        <v/>
      </c>
      <c r="D60" s="524">
        <f>IFERROR(IF('Invullen groen'!O72&lt;&gt;"",LEFT(TRIM('Invullen groen'!O72),36),""),"")</f>
        <v/>
      </c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groen'!F73&gt;0,'Invullen groen'!F73,""),"")</f>
        <v/>
      </c>
      <c r="C61" s="522">
        <f>IFERROR(IF('Invullen groen'!N73&gt;0,'Invullen groen'!N73,""),"")</f>
        <v/>
      </c>
      <c r="D61" s="522">
        <f>IFERROR(IF('Invullen groen'!O73&lt;&gt;"",LEFT(TRIM('Invullen groen'!O73),36),""),"")</f>
        <v/>
      </c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groen'!F74&gt;0,'Invullen groen'!F74,""),"")</f>
        <v/>
      </c>
      <c r="C62" s="524">
        <f>IFERROR(IF('Invullen groen'!N74&gt;0,'Invullen groen'!N74,""),"")</f>
        <v/>
      </c>
      <c r="D62" s="524">
        <f>IFERROR(IF('Invullen groen'!O74&lt;&gt;"",LEFT(TRIM('Invullen groen'!O74),36),""),"")</f>
        <v/>
      </c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groen'!F78&gt;0,'Invullen groen'!F78,""),"")</f>
        <v/>
      </c>
      <c r="C63" s="522">
        <f>IFERROR(IF('Invullen groen'!N78&gt;0,'Invullen groen'!N78,""),"")</f>
        <v/>
      </c>
      <c r="D63" s="522">
        <f>IFERROR(IF('Invullen groen'!O78&lt;&gt;"",LEFT(TRIM('Invullen groen'!O78),36),""),"")</f>
        <v/>
      </c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groen'!F79&gt;0,'Invullen groen'!F79,""),"")</f>
        <v/>
      </c>
      <c r="C64" s="524">
        <f>IFERROR(IF('Invullen groen'!N79&gt;0,'Invullen groen'!N79,""),"")</f>
        <v/>
      </c>
      <c r="D64" s="524">
        <f>IFERROR(IF('Invullen groen'!O79&lt;&gt;"",LEFT(TRIM('Invullen groen'!O79),36),""),"")</f>
        <v/>
      </c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groen'!F80&gt;0,'Invullen groen'!F80,""),"")</f>
        <v/>
      </c>
      <c r="C65" s="522">
        <f>IFERROR(IF('Invullen groen'!N80&gt;0,'Invullen groen'!N80,""),"")</f>
        <v/>
      </c>
      <c r="D65" s="522">
        <f>IFERROR(IF('Invullen groen'!O80&lt;&gt;"",LEFT(TRIM('Invullen groen'!O80),36),""),"")</f>
        <v/>
      </c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groen'!F81&gt;0,'Invullen groen'!F81,""),"")</f>
        <v/>
      </c>
      <c r="C66" s="524">
        <f>IFERROR(IF('Invullen groen'!N81&gt;0,'Invullen groen'!N81,""),"")</f>
        <v/>
      </c>
      <c r="D66" s="524">
        <f>IFERROR(IF('Invullen groen'!O81&lt;&gt;"",LEFT(TRIM('Invullen groen'!O81),36),""),"")</f>
        <v/>
      </c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groen'!F82&gt;0,'Invullen groen'!F82,""),"")</f>
        <v/>
      </c>
      <c r="C67" s="522">
        <f>IFERROR(IF('Invullen groen'!N82&gt;0,'Invullen groen'!N82,""),"")</f>
        <v/>
      </c>
      <c r="D67" s="522">
        <f>IFERROR(IF('Invullen groen'!O82&lt;&gt;"",LEFT(TRIM('Invullen groen'!O82),36),""),"")</f>
        <v/>
      </c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groen'!F83&gt;0,'Invullen groen'!F83,""),"")</f>
        <v/>
      </c>
      <c r="C68" s="524">
        <f>IFERROR(IF('Invullen groen'!N83&gt;0,'Invullen groen'!N83,""),"")</f>
        <v/>
      </c>
      <c r="D68" s="524">
        <f>IFERROR(IF('Invullen groen'!O83&lt;&gt;"",LEFT(TRIM('Invullen groen'!O83),36),""),"")</f>
        <v/>
      </c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groen'!F84&gt;0,'Invullen groen'!F84,""),"")</f>
        <v/>
      </c>
      <c r="C69" s="522">
        <f>IFERROR(IF('Invullen groen'!N84&gt;0,'Invullen groen'!N84,""),"")</f>
        <v/>
      </c>
      <c r="D69" s="522">
        <f>IFERROR(IF('Invullen groen'!O84&lt;&gt;"",LEFT(TRIM('Invullen groen'!O84),36),""),"")</f>
        <v/>
      </c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groen'!F85&gt;0,'Invullen groen'!F85,""),"")</f>
        <v/>
      </c>
      <c r="C70" s="524">
        <f>IFERROR(IF('Invullen groen'!N85&gt;0,'Invullen groen'!N85,""),"")</f>
        <v/>
      </c>
      <c r="D70" s="524">
        <f>IFERROR(IF('Invullen groen'!O85&lt;&gt;"",LEFT(TRIM('Invullen groen'!O85),36),""),"")</f>
        <v/>
      </c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groen'!F86&gt;0,'Invullen groen'!F86,""),"")</f>
        <v/>
      </c>
      <c r="C71" s="522">
        <f>IFERROR(IF('Invullen groen'!N86&gt;0,'Invullen groen'!N86,""),"")</f>
        <v/>
      </c>
      <c r="D71" s="522">
        <f>IFERROR(IF('Invullen groen'!O86&lt;&gt;"",LEFT(TRIM('Invullen groen'!O86),36),""),"")</f>
        <v/>
      </c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groen'!F87&gt;0,'Invullen groen'!F87,""),"")</f>
        <v/>
      </c>
      <c r="C72" s="524">
        <f>IFERROR(IF('Invullen groen'!N87&gt;0,'Invullen groen'!N87,""),"")</f>
        <v/>
      </c>
      <c r="D72" s="524">
        <f>IFERROR(IF('Invullen groen'!O87&lt;&gt;"",LEFT(TRIM('Invullen groen'!O87),36),""),"")</f>
        <v/>
      </c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groen'!F88&gt;0,'Invullen groen'!F88,""),"")</f>
        <v/>
      </c>
      <c r="C73" s="522">
        <f>IFERROR(IF('Invullen groen'!N88&gt;0,'Invullen groen'!N88,""),"")</f>
        <v/>
      </c>
      <c r="D73" s="522">
        <f>IFERROR(IF('Invullen groen'!O88&lt;&gt;"",LEFT(TRIM('Invullen groen'!O88),36),""),"")</f>
        <v/>
      </c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groen'!F89&gt;0,'Invullen groen'!F89,""),"")</f>
        <v/>
      </c>
      <c r="C74" s="524">
        <f>IFERROR(IF('Invullen groen'!N89&gt;0,'Invullen groen'!N89,""),"")</f>
        <v/>
      </c>
      <c r="D74" s="524">
        <f>IFERROR(IF('Invullen groen'!O89&lt;&gt;"",LEFT(TRIM('Invullen groen'!O89),36),""),"")</f>
        <v/>
      </c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groen'!F90&gt;0,'Invullen groen'!F90,""),"")</f>
        <v/>
      </c>
      <c r="C75" s="522">
        <f>IFERROR(IF('Invullen groen'!N90&gt;0,'Invullen groen'!N90,""),"")</f>
        <v/>
      </c>
      <c r="D75" s="522">
        <f>IFERROR(IF('Invullen groen'!O90&lt;&gt;"",LEFT(TRIM('Invullen groen'!O90),36),""),"")</f>
        <v/>
      </c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groen'!F91&gt;0,'Invullen groen'!F91,""),"")</f>
        <v/>
      </c>
      <c r="C76" s="524">
        <f>IFERROR(IF('Invullen groen'!N91&gt;0,'Invullen groen'!N91,""),"")</f>
        <v/>
      </c>
      <c r="D76" s="508">
        <f>IFERROR(IF('Invullen groen'!O91&lt;&gt;"",LEFT(TRIM('Invullen groen'!O91),36),""),"")</f>
        <v/>
      </c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groen'!F92&gt;0,'Invullen groen'!F92,""),"")</f>
        <v/>
      </c>
      <c r="C77" s="522">
        <f>IFERROR(IF('Invullen groen'!N92&gt;0,'Invullen groen'!N92,""),"")</f>
        <v/>
      </c>
      <c r="D77" s="526">
        <f>IFERROR(IF('Invullen groen'!O92&lt;&gt;"",LEFT(TRIM('Invullen groen'!O92),36),""),"")</f>
        <v/>
      </c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groen'!F93&gt;0,'Invullen groen'!F93,""),"")</f>
        <v/>
      </c>
      <c r="C78" s="524">
        <f>IFERROR(IF('Invullen groen'!N93&gt;0,'Invullen groen'!N93,""),"")</f>
        <v/>
      </c>
      <c r="D78" s="508">
        <f>IFERROR(IF('Invullen groen'!O93&lt;&gt;"",LEFT(TRIM('Invullen groen'!O93),36),""),"")</f>
        <v/>
      </c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groen'!F94&gt;0,'Invullen groen'!F94,""),"")</f>
        <v/>
      </c>
      <c r="C79" s="522">
        <f>IFERROR(IF('Invullen groen'!N94&gt;0,'Invullen groen'!N94,""),"")</f>
        <v/>
      </c>
      <c r="D79" s="526">
        <f>IFERROR(IF('Invullen groen'!O94&lt;&gt;"",LEFT(TRIM('Invullen groen'!O94),36),""),"")</f>
        <v/>
      </c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groen'!F95&gt;0,'Invullen groen'!F95,""),"")</f>
        <v/>
      </c>
      <c r="C80" s="524">
        <f>IFERROR(IF('Invullen groen'!N95&gt;0,'Invullen groen'!N95,""),"")</f>
        <v/>
      </c>
      <c r="D80" s="508">
        <f>IFERROR(IF('Invullen groen'!O95&lt;&gt;"",LEFT(TRIM('Invullen groen'!O95),36),""),"")</f>
        <v/>
      </c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groen'!F96&gt;0,'Invullen groen'!F96,""),"")</f>
        <v/>
      </c>
      <c r="C81" s="522">
        <f>IFERROR(IF('Invullen groen'!N96&gt;0,'Invullen groen'!N96,""),"")</f>
        <v/>
      </c>
      <c r="D81" s="526">
        <f>IFERROR(IF('Invullen groen'!O96&lt;&gt;"",LEFT(TRIM('Invullen groen'!O96),36),""),"")</f>
        <v/>
      </c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groen'!F97&gt;0,'Invullen groen'!F97,""),"")</f>
        <v/>
      </c>
      <c r="C82" s="524">
        <f>IFERROR(IF('Invullen groen'!N97&gt;0,'Invullen groen'!N97,""),"")</f>
        <v/>
      </c>
      <c r="D82" s="508">
        <f>IFERROR(IF('Invullen groen'!O97&lt;&gt;"",LEFT(TRIM('Invullen groen'!O97),36),""),"")</f>
        <v/>
      </c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groen'!F98&gt;0,'Invullen groen'!F98,""),"")</f>
        <v/>
      </c>
      <c r="C83" s="522">
        <f>IFERROR(IF('Invullen groen'!N98&gt;0,'Invullen groen'!N98,""),"")</f>
        <v/>
      </c>
      <c r="D83" s="526">
        <f>IFERROR(IF('Invullen groen'!O98&lt;&gt;"",LEFT(TRIM('Invullen groen'!O98),36),""),"")</f>
        <v/>
      </c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groen'!F99&gt;0,'Invullen groen'!F99,""),"")</f>
        <v/>
      </c>
      <c r="C84" s="524">
        <f>IFERROR(IF('Invullen groen'!N99&gt;0,'Invullen groen'!N99,""),"")</f>
        <v/>
      </c>
      <c r="D84" s="508">
        <f>IFERROR(IF('Invullen groen'!O99&lt;&gt;"",LEFT(TRIM('Invullen groen'!O99),36),""),"")</f>
        <v/>
      </c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groen'!F100&gt;0,'Invullen groen'!F100,""),"")</f>
        <v/>
      </c>
      <c r="C85" s="522">
        <f>IFERROR(IF('Invullen groen'!N100&gt;0,'Invullen groen'!N100,""),"")</f>
        <v/>
      </c>
      <c r="D85" s="526">
        <f>IFERROR(IF('Invullen groen'!O100&lt;&gt;"",LEFT(TRIM('Invullen groen'!O100),36),""),"")</f>
        <v/>
      </c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groen'!F101&gt;0,'Invullen groen'!F101,""),"")</f>
        <v/>
      </c>
      <c r="C86" s="524">
        <f>IFERROR(IF('Invullen groen'!N101&gt;0,'Invullen groen'!N101,""),"")</f>
        <v/>
      </c>
      <c r="D86" s="508">
        <f>IFERROR(IF('Invullen groen'!O101&lt;&gt;"",LEFT(TRIM('Invullen groen'!O101),36),""),"")</f>
        <v/>
      </c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groen'!F102&gt;0,'Invullen groen'!F102,""),"")</f>
        <v/>
      </c>
      <c r="C87" s="522">
        <f>IFERROR(IF('Invullen groen'!N102&gt;0,'Invullen groen'!N102,""),"")</f>
        <v/>
      </c>
      <c r="D87" s="526">
        <f>IFERROR(IF('Invullen groen'!O102&lt;&gt;"",LEFT(TRIM('Invullen groen'!O102),36),""),"")</f>
        <v/>
      </c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groen'!F103&gt;0,'Invullen groen'!F103,""),"")</f>
        <v/>
      </c>
      <c r="C88" s="524">
        <f>IFERROR(IF('Invullen groen'!N103&gt;0,'Invullen groen'!N103,""),"")</f>
        <v/>
      </c>
      <c r="D88" s="508">
        <f>IFERROR(IF('Invullen groen'!O103&lt;&gt;"",LEFT(TRIM('Invullen groen'!O103),36),""),"")</f>
        <v/>
      </c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groen'!F104&gt;0,'Invullen groen'!F104,""),"")</f>
        <v/>
      </c>
      <c r="C89" s="522">
        <f>IFERROR(IF('Invullen groen'!N104&gt;0,'Invullen groen'!N104,""),"")</f>
        <v/>
      </c>
      <c r="D89" s="526">
        <f>IFERROR(IF('Invullen groen'!O104&lt;&gt;"",LEFT(TRIM('Invullen groen'!O104),36),""),"")</f>
        <v/>
      </c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groen'!F105&gt;0,'Invullen groen'!F105,""),"")</f>
        <v/>
      </c>
      <c r="C90" s="524">
        <f>IFERROR(IF('Invullen groen'!N105&gt;0,'Invullen groen'!N105,""),"")</f>
        <v/>
      </c>
      <c r="D90" s="508">
        <f>IFERROR(IF('Invullen groen'!O105&lt;&gt;"",LEFT(TRIM('Invullen groen'!O105),36),""),"")</f>
        <v/>
      </c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groen'!F106&gt;0,'Invullen groen'!F106,""),"")</f>
        <v/>
      </c>
      <c r="C91" s="522">
        <f>IFERROR(IF('Invullen groen'!N106&gt;0,'Invullen groen'!N106,""),"")</f>
        <v/>
      </c>
      <c r="D91" s="526">
        <f>IFERROR(IF('Invullen groen'!O106&lt;&gt;"",LEFT(TRIM('Invullen groen'!O106),36),""),"")</f>
        <v/>
      </c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groen'!F107&gt;0,'Invullen groen'!F107,""),"")</f>
        <v/>
      </c>
      <c r="C92" s="524">
        <f>IFERROR(IF('Invullen groen'!N107&gt;0,'Invullen groen'!N107,""),"")</f>
        <v/>
      </c>
      <c r="D92" s="508">
        <f>IFERROR(IF('Invullen groen'!O107&lt;&gt;"",LEFT(TRIM('Invullen groen'!O107),36),""),"")</f>
        <v/>
      </c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groen'!F108&gt;0,'Invullen groen'!F108,""),"")</f>
        <v/>
      </c>
      <c r="C93" s="522">
        <f>IFERROR(IF('Invullen groen'!N108&gt;0,'Invullen groen'!N108,""),"")</f>
        <v/>
      </c>
      <c r="D93" s="526">
        <f>IFERROR(IF('Invullen groen'!O108&lt;&gt;"",LEFT(TRIM('Invullen groen'!O108),36),""),"")</f>
        <v/>
      </c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groen'!F109&gt;0,'Invullen groen'!F109,""),"")</f>
        <v/>
      </c>
      <c r="C94" s="524">
        <f>IFERROR(IF('Invullen groen'!N109&gt;0,'Invullen groen'!N109,""),"")</f>
        <v/>
      </c>
      <c r="D94" s="508">
        <f>IFERROR(IF('Invullen groen'!O109&lt;&gt;"",LEFT(TRIM('Invullen groen'!O109),36),""),"")</f>
        <v/>
      </c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>
        <f>IFERROR(IF('Invullen groen'!E121&gt;0,'Invullen groen'!E121,""),"")</f>
        <v/>
      </c>
      <c r="B95" s="526">
        <f>IFERROR(IF('Invullen groen'!F121&gt;0,'Invullen groen'!F121,""),"")</f>
        <v/>
      </c>
      <c r="C95" s="526">
        <f>IFERROR(IF('Invullen groen'!N121&gt;0,'Invullen groen'!N121,""),"")</f>
        <v/>
      </c>
      <c r="D95" s="526">
        <f>IFERROR(IF('Invullen groen'!O121&lt;&gt;"",LEFT(TRIM('Invullen groen'!O121),36),""),"")</f>
        <v/>
      </c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IFERROR(IF('Invullen groen'!H121=0,"",INT('Invullen groen'!H121)),"")</f>
        <v/>
      </c>
      <c r="G95" s="527">
        <f>IFERROR(IF('Invullen groen'!I121=0,"",INT('Invullen groen'!I121)),"")</f>
        <v/>
      </c>
      <c r="H95" s="527">
        <f>IFERROR(IF('Invullen groen'!J121=0,"",INT('Invullen groen'!J121)),"")</f>
        <v/>
      </c>
      <c r="I95" s="527">
        <f>IFERROR(IF('Invullen groen'!K121=0,"",INT('Invullen groen'!K121)),"")</f>
        <v/>
      </c>
      <c r="J95" s="526">
        <f>IF('Invullen groen'!E121&gt;0,IFERROR($K$1&amp;" "&amp;TRIM(SUBSTITUTE(SUBSTITUTE(SUBSTITUTE(SUBSTITUTE(SUBSTITUTE(SUBSTITUTE(SUBSTITUTE(SUBSTITUTE(SUBSTITUTE(SUBSTITUTE(SUBSTITUTE(SUBSTITUTE(LOWER(IF(LEFT(TEXT('Invullen groen'!E121,"0"),1)="6",'Invullen groen'!O121,IF('Invullen groen'!N121&gt;0,'Invullen groen'!G121,'Invullen groen'!O121))),"2024",""),"2025",""),"2026",""),"2027",""),"2028",""),"2029",""),"taakveld ",""),"installaties","inst"),"ruwbouw","ruwb"),"afbouw","afb"),"bijstelling","bijst"),"investeringen","invest")),""),"")</f>
        <v/>
      </c>
      <c r="K95" s="526" t="n"/>
    </row>
    <row r="96">
      <c r="A96" s="237">
        <f>IFERROR(IF('Invullen groen'!E122&gt;0,'Invullen groen'!E122,""),"")</f>
        <v/>
      </c>
      <c r="B96">
        <f>IFERROR(IF('Invullen groen'!F122&gt;0,'Invullen groen'!F122,""),"")</f>
        <v/>
      </c>
      <c r="C96">
        <f>IFERROR(IF('Invullen groen'!N122&gt;0,'Invullen groen'!N122,""),"")</f>
        <v/>
      </c>
      <c r="D96">
        <f>IFERROR(IF('Invullen groen'!O122&lt;&gt;"",LEFT(TRIM('Invullen groen'!O122),36),""),"")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groen'!H122=0,"",INT('Invullen groen'!H122)),"")</f>
        <v/>
      </c>
      <c r="G96" s="236">
        <f>IFERROR(IF('Invullen groen'!I122=0,"",INT('Invullen groen'!I122)),"")</f>
        <v/>
      </c>
      <c r="H96" s="236">
        <f>IFERROR(IF('Invullen groen'!J122=0,"",INT('Invullen groen'!J122)),"")</f>
        <v/>
      </c>
      <c r="I96" s="236">
        <f>IFERROR(IF('Invullen groen'!K122=0,"",INT('Invullen groen'!K122)),"")</f>
        <v/>
      </c>
      <c r="J96">
        <f>IF('Invullen groen'!E122&gt;0,IFERROR($K$1&amp;" "&amp;TRIM(SUBSTITUTE(SUBSTITUTE(SUBSTITUTE(SUBSTITUTE(SUBSTITUTE(SUBSTITUTE(SUBSTITUTE(SUBSTITUTE(SUBSTITUTE(SUBSTITUTE(SUBSTITUTE(SUBSTITUTE(LOWER(IF(LEFT(TEXT('Invullen groen'!E122,"0"),1)="6",'Invullen groen'!O122,IF('Invullen groen'!N122&gt;0,'Invullen groen'!G122,'Invullen groen'!O122))),"2024",""),"2025",""),"2026",""),"2027",""),"2028",""),"2029",""),"taakveld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IFERROR(IF('Invullen groen'!E123&gt;0,'Invullen groen'!E123,""),"")</f>
        <v/>
      </c>
      <c r="B97">
        <f>IFERROR(IF('Invullen groen'!F123&gt;0,'Invullen groen'!F123,""),"")</f>
        <v/>
      </c>
      <c r="C97">
        <f>IFERROR(IF('Invullen groen'!N123&gt;0,'Invullen groen'!N123,""),"")</f>
        <v/>
      </c>
      <c r="D97">
        <f>IFERROR(IF('Invullen groen'!O123&lt;&gt;"",LEFT(TRIM('Invullen groen'!O123),36),""),"")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groen'!H123=0,"",INT('Invullen groen'!H123)),"")</f>
        <v/>
      </c>
      <c r="G97" s="236">
        <f>IFERROR(IF('Invullen groen'!I123=0,"",INT('Invullen groen'!I123)),"")</f>
        <v/>
      </c>
      <c r="H97" s="236">
        <f>IFERROR(IF('Invullen groen'!J123=0,"",INT('Invullen groen'!J123)),"")</f>
        <v/>
      </c>
      <c r="I97" s="236">
        <f>IFERROR(IF('Invullen groen'!K123=0,"",INT('Invullen groen'!K123)),"")</f>
        <v/>
      </c>
      <c r="J97">
        <f>IF('Invullen groen'!E123&gt;0,IFERROR($K$1&amp;" "&amp;TRIM(SUBSTITUTE(SUBSTITUTE(SUBSTITUTE(SUBSTITUTE(SUBSTITUTE(SUBSTITUTE(SUBSTITUTE(SUBSTITUTE(SUBSTITUTE(SUBSTITUTE(SUBSTITUTE(SUBSTITUTE(LOWER(IF(LEFT(TEXT('Invullen groen'!E123,"0"),1)="6",'Invullen groen'!O123,IF('Invullen groen'!N123&gt;0,'Invullen groen'!G123,'Invullen groen'!O123))),"2024",""),"2025",""),"2026",""),"2027",""),"2028",""),"2029",""),"taakveld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IFERROR(IF('Invullen groen'!E124&gt;0,'Invullen groen'!E124,""),"")</f>
        <v/>
      </c>
      <c r="B98">
        <f>IFERROR(IF('Invullen groen'!F124&gt;0,'Invullen groen'!F124,""),"")</f>
        <v/>
      </c>
      <c r="C98">
        <f>IFERROR(IF('Invullen groen'!N124&gt;0,'Invullen groen'!N124,""),"")</f>
        <v/>
      </c>
      <c r="D98">
        <f>IFERROR(IF('Invullen groen'!O124&lt;&gt;"",LEFT(TRIM('Invullen groen'!O124),36),""),"")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groen'!H124=0,"",INT('Invullen groen'!H124)),"")</f>
        <v/>
      </c>
      <c r="G98" s="236">
        <f>IFERROR(IF('Invullen groen'!I124=0,"",INT('Invullen groen'!I124)),"")</f>
        <v/>
      </c>
      <c r="H98" s="236">
        <f>IFERROR(IF('Invullen groen'!J124=0,"",INT('Invullen groen'!J124)),"")</f>
        <v/>
      </c>
      <c r="I98" s="236">
        <f>IFERROR(IF('Invullen groen'!K124=0,"",INT('Invullen groen'!K124)),"")</f>
        <v/>
      </c>
      <c r="J98">
        <f>IF('Invullen groen'!E124&gt;0,IFERROR($K$1&amp;" "&amp;TRIM(SUBSTITUTE(SUBSTITUTE(SUBSTITUTE(SUBSTITUTE(SUBSTITUTE(SUBSTITUTE(SUBSTITUTE(SUBSTITUTE(SUBSTITUTE(SUBSTITUTE(SUBSTITUTE(SUBSTITUTE(LOWER(IF(LEFT(TEXT('Invullen groen'!E124,"0"),1)="6",'Invullen groen'!O124,IF('Invullen groen'!N124&gt;0,'Invullen groen'!G124,'Invullen groen'!O124))),"2024",""),"2025",""),"2026",""),"2027",""),"2028",""),"2029",""),"taakveld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IFERROR(IF('Invullen groen'!E125&gt;0,'Invullen groen'!E125,""),"")</f>
        <v/>
      </c>
      <c r="B99">
        <f>IFERROR(IF('Invullen groen'!F125&gt;0,'Invullen groen'!F125,""),"")</f>
        <v/>
      </c>
      <c r="C99">
        <f>IFERROR(IF('Invullen groen'!N125&gt;0,'Invullen groen'!N125,""),"")</f>
        <v/>
      </c>
      <c r="D99">
        <f>IFERROR(IF('Invullen groen'!O125&lt;&gt;"",LEFT(TRIM('Invullen groen'!O125),36),""),"")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groen'!H125=0,"",INT('Invullen groen'!H125)),"")</f>
        <v/>
      </c>
      <c r="G99" s="236">
        <f>IFERROR(IF('Invullen groen'!I125=0,"",INT('Invullen groen'!I125)),"")</f>
        <v/>
      </c>
      <c r="H99" s="236">
        <f>IFERROR(IF('Invullen groen'!J125=0,"",INT('Invullen groen'!J125)),"")</f>
        <v/>
      </c>
      <c r="I99" s="236">
        <f>IFERROR(IF('Invullen groen'!K125=0,"",INT('Invullen groen'!K125)),"")</f>
        <v/>
      </c>
      <c r="J99">
        <f>IF('Invullen groen'!E125&gt;0,IFERROR($K$1&amp;" "&amp;TRIM(SUBSTITUTE(SUBSTITUTE(SUBSTITUTE(SUBSTITUTE(SUBSTITUTE(SUBSTITUTE(SUBSTITUTE(SUBSTITUTE(SUBSTITUTE(SUBSTITUTE(SUBSTITUTE(SUBSTITUTE(LOWER(IF(LEFT(TEXT('Invullen groen'!E125,"0"),1)="6",'Invullen groen'!O125,IF('Invullen groen'!N125&gt;0,'Invullen groen'!G125,'Invullen groen'!O125))),"2024",""),"2025",""),"2026",""),"2027",""),"2028",""),"2029",""),"taakveld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IFERROR(IF('Invullen groen'!E126&gt;0,'Invullen groen'!E126,""),"")</f>
        <v/>
      </c>
      <c r="B100">
        <f>IFERROR(IF('Invullen groen'!F126&gt;0,'Invullen groen'!F126,""),"")</f>
        <v/>
      </c>
      <c r="C100">
        <f>IFERROR(IF('Invullen groen'!N126&gt;0,'Invullen groen'!N126,""),"")</f>
        <v/>
      </c>
      <c r="D100">
        <f>IFERROR(IF('Invullen groen'!O126&lt;&gt;"",LEFT(TRIM('Invullen groen'!O126),36),""),"")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groen'!H126=0,"",INT('Invullen groen'!H126)),"")</f>
        <v/>
      </c>
      <c r="G100" s="236">
        <f>IFERROR(IF('Invullen groen'!I126=0,"",INT('Invullen groen'!I126)),"")</f>
        <v/>
      </c>
      <c r="H100" s="236">
        <f>IFERROR(IF('Invullen groen'!J126=0,"",INT('Invullen groen'!J126)),"")</f>
        <v/>
      </c>
      <c r="I100" s="236">
        <f>IFERROR(IF('Invullen groen'!K126=0,"",INT('Invullen groen'!K126)),"")</f>
        <v/>
      </c>
      <c r="J100">
        <f>IF('Invullen groen'!E126&gt;0,IFERROR($K$1&amp;" "&amp;TRIM(SUBSTITUTE(SUBSTITUTE(SUBSTITUTE(SUBSTITUTE(SUBSTITUTE(SUBSTITUTE(SUBSTITUTE(SUBSTITUTE(SUBSTITUTE(SUBSTITUTE(SUBSTITUTE(SUBSTITUTE(LOWER(IF(LEFT(TEXT('Invullen groen'!E126,"0"),1)="6",'Invullen groen'!O126,IF('Invullen groen'!N126&gt;0,'Invullen groen'!G126,'Invullen groen'!O126))),"2024",""),"2025",""),"2026",""),"2027",""),"2028",""),"2029",""),"taakveld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IFERROR(IF('Invullen groen'!E127&gt;0,'Invullen groen'!E127,""),"")</f>
        <v/>
      </c>
      <c r="B101">
        <f>IFERROR(IF('Invullen groen'!F127&gt;0,'Invullen groen'!F127,""),"")</f>
        <v/>
      </c>
      <c r="C101">
        <f>IFERROR(IF('Invullen groen'!N127&gt;0,'Invullen groen'!N127,""),"")</f>
        <v/>
      </c>
      <c r="D101">
        <f>IFERROR(IF('Invullen groen'!O127&lt;&gt;"",LEFT(TRIM('Invullen groen'!O127),36),""),"")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groen'!H127=0,"",INT('Invullen groen'!H127)),"")</f>
        <v/>
      </c>
      <c r="G101" s="236">
        <f>IFERROR(IF('Invullen groen'!I127=0,"",INT('Invullen groen'!I127)),"")</f>
        <v/>
      </c>
      <c r="H101" s="236">
        <f>IFERROR(IF('Invullen groen'!J127=0,"",INT('Invullen groen'!J127)),"")</f>
        <v/>
      </c>
      <c r="I101" s="236">
        <f>IFERROR(IF('Invullen groen'!K127=0,"",INT('Invullen groen'!K127)),"")</f>
        <v/>
      </c>
      <c r="J101">
        <f>IF('Invullen groen'!E127&gt;0,IFERROR($K$1&amp;" "&amp;TRIM(SUBSTITUTE(SUBSTITUTE(SUBSTITUTE(SUBSTITUTE(SUBSTITUTE(SUBSTITUTE(SUBSTITUTE(SUBSTITUTE(SUBSTITUTE(SUBSTITUTE(SUBSTITUTE(SUBSTITUTE(LOWER(IF(LEFT(TEXT('Invullen groen'!E127,"0"),1)="6",'Invullen groen'!O127,IF('Invullen groen'!N127&gt;0,'Invullen groen'!G127,'Invullen groen'!O127))),"2024",""),"2025",""),"2026",""),"2027",""),"2028",""),"2029",""),"taakveld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IFERROR(IF('Invullen groen'!E128&gt;0,'Invullen groen'!E128,""),"")</f>
        <v/>
      </c>
      <c r="B102">
        <f>IFERROR(IF('Invullen groen'!F128&gt;0,'Invullen groen'!F128,""),"")</f>
        <v/>
      </c>
      <c r="C102">
        <f>IFERROR(IF('Invullen groen'!N128&gt;0,'Invullen groen'!N128,""),"")</f>
        <v/>
      </c>
      <c r="D102">
        <f>IFERROR(IF('Invullen groen'!O128&lt;&gt;"",LEFT(TRIM('Invullen groen'!O128),36),""),"")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groen'!H128=0,"",INT('Invullen groen'!H128)),"")</f>
        <v/>
      </c>
      <c r="G102" s="236">
        <f>IFERROR(IF('Invullen groen'!I128=0,"",INT('Invullen groen'!I128)),"")</f>
        <v/>
      </c>
      <c r="H102" s="236">
        <f>IFERROR(IF('Invullen groen'!J128=0,"",INT('Invullen groen'!J128)),"")</f>
        <v/>
      </c>
      <c r="I102" s="236">
        <f>IFERROR(IF('Invullen groen'!K128=0,"",INT('Invullen groen'!K128)),"")</f>
        <v/>
      </c>
      <c r="J102">
        <f>IF('Invullen groen'!E128&gt;0,IFERROR($K$1&amp;" "&amp;TRIM(SUBSTITUTE(SUBSTITUTE(SUBSTITUTE(SUBSTITUTE(SUBSTITUTE(SUBSTITUTE(SUBSTITUTE(SUBSTITUTE(SUBSTITUTE(SUBSTITUTE(SUBSTITUTE(SUBSTITUTE(LOWER(IF(LEFT(TEXT('Invullen groen'!E128,"0"),1)="6",'Invullen groen'!O128,IF('Invullen groen'!N128&gt;0,'Invullen groen'!G128,'Invullen groen'!O128))),"2024",""),"2025",""),"2026",""),"2027",""),"2028",""),"2029",""),"taakveld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IFERROR(IF('Invullen groen'!E129&gt;0,'Invullen groen'!E129,""),"")</f>
        <v/>
      </c>
      <c r="B103">
        <f>IFERROR(IF('Invullen groen'!F129&gt;0,'Invullen groen'!F129,""),"")</f>
        <v/>
      </c>
      <c r="C103">
        <f>IFERROR(IF('Invullen groen'!N129&gt;0,'Invullen groen'!N129,""),"")</f>
        <v/>
      </c>
      <c r="D103">
        <f>IFERROR(IF('Invullen groen'!O129&lt;&gt;"",LEFT(TRIM('Invullen groen'!O129),36),""),"")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groen'!H129=0,"",INT('Invullen groen'!H129)),"")</f>
        <v/>
      </c>
      <c r="G103" s="236">
        <f>IFERROR(IF('Invullen groen'!I129=0,"",INT('Invullen groen'!I129)),"")</f>
        <v/>
      </c>
      <c r="H103" s="236">
        <f>IFERROR(IF('Invullen groen'!J129=0,"",INT('Invullen groen'!J129)),"")</f>
        <v/>
      </c>
      <c r="I103" s="236">
        <f>IFERROR(IF('Invullen groen'!K129=0,"",INT('Invullen groen'!K129)),"")</f>
        <v/>
      </c>
      <c r="J103">
        <f>IF('Invullen groen'!E129&gt;0,IFERROR($K$1&amp;" "&amp;TRIM(SUBSTITUTE(SUBSTITUTE(SUBSTITUTE(SUBSTITUTE(SUBSTITUTE(SUBSTITUTE(SUBSTITUTE(SUBSTITUTE(SUBSTITUTE(SUBSTITUTE(SUBSTITUTE(SUBSTITUTE(LOWER(IF(LEFT(TEXT('Invullen groen'!E129,"0"),1)="6",'Invullen groen'!O129,IF('Invullen groen'!N129&gt;0,'Invullen groen'!G129,'Invullen groen'!O129))),"2024",""),"2025",""),"2026",""),"2027",""),"2028",""),"2029",""),"taakveld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IFERROR(IF('Invullen groen'!E130&gt;0,'Invullen groen'!E130,""),"")</f>
        <v/>
      </c>
      <c r="B104">
        <f>IFERROR(IF('Invullen groen'!F130&gt;0,'Invullen groen'!F130,""),"")</f>
        <v/>
      </c>
      <c r="C104">
        <f>IFERROR(IF('Invullen groen'!N130&gt;0,'Invullen groen'!N130,""),"")</f>
        <v/>
      </c>
      <c r="D104">
        <f>IFERROR(IF('Invullen groen'!O130&lt;&gt;"",LEFT(TRIM('Invullen groen'!O130),36),""),"")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groen'!H130=0,"",INT('Invullen groen'!H130)),"")</f>
        <v/>
      </c>
      <c r="G104" s="236">
        <f>IFERROR(IF('Invullen groen'!I130=0,"",INT('Invullen groen'!I130)),"")</f>
        <v/>
      </c>
      <c r="H104" s="236">
        <f>IFERROR(IF('Invullen groen'!J130=0,"",INT('Invullen groen'!J130)),"")</f>
        <v/>
      </c>
      <c r="I104" s="236">
        <f>IFERROR(IF('Invullen groen'!K130=0,"",INT('Invullen groen'!K130)),"")</f>
        <v/>
      </c>
      <c r="J104">
        <f>IF('Invullen groen'!E130&gt;0,IFERROR($K$1&amp;" "&amp;TRIM(SUBSTITUTE(SUBSTITUTE(SUBSTITUTE(SUBSTITUTE(SUBSTITUTE(SUBSTITUTE(SUBSTITUTE(SUBSTITUTE(SUBSTITUTE(SUBSTITUTE(SUBSTITUTE(SUBSTITUTE(LOWER(IF(LEFT(TEXT('Invullen groen'!E130,"0"),1)="6",'Invullen groen'!O130,IF('Invullen groen'!N130&gt;0,'Invullen groen'!G130,'Invullen groen'!O130))),"2024",""),"2025",""),"2026",""),"2027",""),"2028",""),"2029",""),"taakveld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IFERROR(IF('Invullen groen'!E131&gt;0,'Invullen groen'!E131,""),"")</f>
        <v/>
      </c>
      <c r="B105">
        <f>IFERROR(IF('Invullen groen'!F131&gt;0,'Invullen groen'!F131,""),"")</f>
        <v/>
      </c>
      <c r="C105">
        <f>IFERROR(IF('Invullen groen'!N131&gt;0,'Invullen groen'!N131,""),"")</f>
        <v/>
      </c>
      <c r="D105">
        <f>IFERROR(IF('Invullen groen'!O131&lt;&gt;"",LEFT(TRIM('Invullen groen'!O131),36),""),"")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groen'!H131=0,"",INT('Invullen groen'!H131)),"")</f>
        <v/>
      </c>
      <c r="G105" s="236">
        <f>IFERROR(IF('Invullen groen'!I131=0,"",INT('Invullen groen'!I131)),"")</f>
        <v/>
      </c>
      <c r="H105" s="236">
        <f>IFERROR(IF('Invullen groen'!J131=0,"",INT('Invullen groen'!J131)),"")</f>
        <v/>
      </c>
      <c r="I105" s="236">
        <f>IFERROR(IF('Invullen groen'!K131=0,"",INT('Invullen groen'!K131)),"")</f>
        <v/>
      </c>
      <c r="J105">
        <f>IF('Invullen groen'!E131&gt;0,IFERROR($K$1&amp;" "&amp;TRIM(SUBSTITUTE(SUBSTITUTE(SUBSTITUTE(SUBSTITUTE(SUBSTITUTE(SUBSTITUTE(SUBSTITUTE(SUBSTITUTE(SUBSTITUTE(SUBSTITUTE(SUBSTITUTE(SUBSTITUTE(LOWER(IF(LEFT(TEXT('Invullen groen'!E131,"0"),1)="6",'Invullen groen'!O131,IF('Invullen groen'!N131&gt;0,'Invullen groen'!G131,'Invullen groen'!O131))),"2024",""),"2025",""),"2026",""),"2027",""),"2028",""),"2029",""),"taakveld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IFERROR(IF('Invullen groen'!E132&gt;0,'Invullen groen'!E132,""),"")</f>
        <v/>
      </c>
      <c r="B106">
        <f>IFERROR(IF('Invullen groen'!F132&gt;0,'Invullen groen'!F132,""),"")</f>
        <v/>
      </c>
      <c r="C106">
        <f>IFERROR(IF('Invullen groen'!N132&gt;0,'Invullen groen'!N132,""),"")</f>
        <v/>
      </c>
      <c r="D106">
        <f>IFERROR(IF('Invullen groen'!O132&lt;&gt;"",LEFT(TRIM('Invullen groen'!O132),36),""),"")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groen'!H132=0,"",INT('Invullen groen'!H132)),"")</f>
        <v/>
      </c>
      <c r="G106" s="236">
        <f>IFERROR(IF('Invullen groen'!I132=0,"",INT('Invullen groen'!I132)),"")</f>
        <v/>
      </c>
      <c r="H106" s="236">
        <f>IFERROR(IF('Invullen groen'!J132=0,"",INT('Invullen groen'!J132)),"")</f>
        <v/>
      </c>
      <c r="I106" s="236">
        <f>IFERROR(IF('Invullen groen'!K132=0,"",INT('Invullen groen'!K132)),"")</f>
        <v/>
      </c>
      <c r="J106">
        <f>IF('Invullen groen'!E132&gt;0,IFERROR($K$1&amp;" "&amp;TRIM(SUBSTITUTE(SUBSTITUTE(SUBSTITUTE(SUBSTITUTE(SUBSTITUTE(SUBSTITUTE(SUBSTITUTE(SUBSTITUTE(SUBSTITUTE(SUBSTITUTE(SUBSTITUTE(SUBSTITUTE(LOWER(IF(LEFT(TEXT('Invullen groen'!E132,"0"),1)="6",'Invullen groen'!O132,IF('Invullen groen'!N132&gt;0,'Invullen groen'!G132,'Invullen groen'!O132))),"2024",""),"2025",""),"2026",""),"2027",""),"2028",""),"2029",""),"taakveld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IFERROR(IF('Invullen groen'!E133&gt;0,'Invullen groen'!E133,""),"")</f>
        <v/>
      </c>
      <c r="B107">
        <f>IFERROR(IF('Invullen groen'!F133&gt;0,'Invullen groen'!F133,""),"")</f>
        <v/>
      </c>
      <c r="C107">
        <f>IFERROR(IF('Invullen groen'!N133&gt;0,'Invullen groen'!N133,""),"")</f>
        <v/>
      </c>
      <c r="D107">
        <f>IFERROR(IF('Invullen groen'!O133&lt;&gt;"",LEFT(TRIM('Invullen groen'!O133),36),""),"")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groen'!H133=0,"",INT('Invullen groen'!H133)),"")</f>
        <v/>
      </c>
      <c r="G107" s="236">
        <f>IFERROR(IF('Invullen groen'!I133=0,"",INT('Invullen groen'!I133)),"")</f>
        <v/>
      </c>
      <c r="H107" s="236">
        <f>IFERROR(IF('Invullen groen'!J133=0,"",INT('Invullen groen'!J133)),"")</f>
        <v/>
      </c>
      <c r="I107" s="236">
        <f>IFERROR(IF('Invullen groen'!K133=0,"",INT('Invullen groen'!K133)),"")</f>
        <v/>
      </c>
      <c r="J107">
        <f>IF('Invullen groen'!E133&gt;0,IFERROR($K$1&amp;" "&amp;TRIM(SUBSTITUTE(SUBSTITUTE(SUBSTITUTE(SUBSTITUTE(SUBSTITUTE(SUBSTITUTE(SUBSTITUTE(SUBSTITUTE(SUBSTITUTE(SUBSTITUTE(SUBSTITUTE(SUBSTITUTE(LOWER(IF(LEFT(TEXT('Invullen groen'!E133,"0"),1)="6",'Invullen groen'!O133,IF('Invullen groen'!N133&gt;0,'Invullen groen'!G133,'Invullen groen'!O133))),"2024",""),"2025",""),"2026",""),"2027",""),"2028",""),"2029",""),"taakveld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IFERROR(IF('Invullen groen'!E134&gt;0,'Invullen groen'!E134,""),"")</f>
        <v/>
      </c>
      <c r="B108">
        <f>IFERROR(IF('Invullen groen'!F134&gt;0,'Invullen groen'!F134,""),"")</f>
        <v/>
      </c>
      <c r="C108">
        <f>IFERROR(IF('Invullen groen'!N134&gt;0,'Invullen groen'!N134,""),"")</f>
        <v/>
      </c>
      <c r="D108">
        <f>IFERROR(IF('Invullen groen'!O134&lt;&gt;"",LEFT(TRIM('Invullen groen'!O134),36),""),"")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groen'!H134=0,"",INT('Invullen groen'!H134)),"")</f>
        <v/>
      </c>
      <c r="G108" s="236">
        <f>IFERROR(IF('Invullen groen'!I134=0,"",INT('Invullen groen'!I134)),"")</f>
        <v/>
      </c>
      <c r="H108" s="236">
        <f>IFERROR(IF('Invullen groen'!J134=0,"",INT('Invullen groen'!J134)),"")</f>
        <v/>
      </c>
      <c r="I108" s="236">
        <f>IFERROR(IF('Invullen groen'!K134=0,"",INT('Invullen groen'!K134)),"")</f>
        <v/>
      </c>
      <c r="J108">
        <f>IF('Invullen groen'!E134&gt;0,IFERROR($K$1&amp;" "&amp;TRIM(SUBSTITUTE(SUBSTITUTE(SUBSTITUTE(SUBSTITUTE(SUBSTITUTE(SUBSTITUTE(SUBSTITUTE(SUBSTITUTE(SUBSTITUTE(SUBSTITUTE(SUBSTITUTE(SUBSTITUTE(LOWER(IF(LEFT(TEXT('Invullen groen'!E134,"0"),1)="6",'Invullen groen'!O134,IF('Invullen groen'!N134&gt;0,'Invullen groen'!G134,'Invullen groen'!O134))),"2024",""),"2025",""),"2026",""),"2027",""),"2028",""),"2029",""),"taakveld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IFERROR(IF('Invullen groen'!E135&gt;0,'Invullen groen'!E135,""),"")</f>
        <v/>
      </c>
      <c r="B109">
        <f>IFERROR(IF('Invullen groen'!F135&gt;0,'Invullen groen'!F135,""),"")</f>
        <v/>
      </c>
      <c r="C109">
        <f>IFERROR(IF('Invullen groen'!N135&gt;0,'Invullen groen'!N135,""),"")</f>
        <v/>
      </c>
      <c r="D109">
        <f>IFERROR(IF('Invullen groen'!O135&lt;&gt;"",LEFT(TRIM('Invullen groen'!O135),36),""),"")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groen'!H135=0,"",INT('Invullen groen'!H135)),"")</f>
        <v/>
      </c>
      <c r="G109" s="236">
        <f>IFERROR(IF('Invullen groen'!I135=0,"",INT('Invullen groen'!I135)),"")</f>
        <v/>
      </c>
      <c r="H109" s="236">
        <f>IFERROR(IF('Invullen groen'!J135=0,"",INT('Invullen groen'!J135)),"")</f>
        <v/>
      </c>
      <c r="I109" s="236">
        <f>IFERROR(IF('Invullen groen'!K135=0,"",INT('Invullen groen'!K135)),"")</f>
        <v/>
      </c>
      <c r="J109">
        <f>IF('Invullen groen'!E135&gt;0,IFERROR($K$1&amp;" "&amp;TRIM(SUBSTITUTE(SUBSTITUTE(SUBSTITUTE(SUBSTITUTE(SUBSTITUTE(SUBSTITUTE(SUBSTITUTE(SUBSTITUTE(SUBSTITUTE(SUBSTITUTE(SUBSTITUTE(SUBSTITUTE(LOWER(IF(LEFT(TEXT('Invullen groen'!E135,"0"),1)="6",'Invullen groen'!O135,IF('Invullen groen'!N135&gt;0,'Invullen groen'!G135,'Invullen groen'!O135))),"2024",""),"2025",""),"2026",""),"2027",""),"2028",""),"2029",""),"taakveld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IFERROR(IF('Invullen groen'!E136&gt;0,'Invullen groen'!E136,""),"")</f>
        <v/>
      </c>
      <c r="B110">
        <f>IFERROR(IF('Invullen groen'!F136&gt;0,'Invullen groen'!F136,""),"")</f>
        <v/>
      </c>
      <c r="C110">
        <f>IFERROR(IF('Invullen groen'!N136&gt;0,'Invullen groen'!N136,""),"")</f>
        <v/>
      </c>
      <c r="D110">
        <f>IFERROR(IF('Invullen groen'!O136&lt;&gt;"",LEFT(TRIM('Invullen groen'!O136),36),""),"")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groen'!H136=0,"",INT('Invullen groen'!H136)),"")</f>
        <v/>
      </c>
      <c r="G110" s="236">
        <f>IFERROR(IF('Invullen groen'!I136=0,"",INT('Invullen groen'!I136)),"")</f>
        <v/>
      </c>
      <c r="H110" s="236">
        <f>IFERROR(IF('Invullen groen'!J136=0,"",INT('Invullen groen'!J136)),"")</f>
        <v/>
      </c>
      <c r="I110" s="236">
        <f>IFERROR(IF('Invullen groen'!K136=0,"",INT('Invullen groen'!K136)),"")</f>
        <v/>
      </c>
      <c r="J110">
        <f>IF('Invullen groen'!E136&gt;0,IFERROR($K$1&amp;" "&amp;TRIM(SUBSTITUTE(SUBSTITUTE(SUBSTITUTE(SUBSTITUTE(SUBSTITUTE(SUBSTITUTE(SUBSTITUTE(SUBSTITUTE(SUBSTITUTE(SUBSTITUTE(SUBSTITUTE(SUBSTITUTE(LOWER(IF(LEFT(TEXT('Invullen groen'!E136,"0"),1)="6",'Invullen groen'!O136,IF('Invullen groen'!N136&gt;0,'Invullen groen'!G136,'Invullen groen'!O136))),"2024",""),"2025",""),"2026",""),"2027",""),"2028",""),"2029",""),"taakveld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IFERROR(IF('Invullen groen'!E137&gt;0,'Invullen groen'!E137,""),"")</f>
        <v/>
      </c>
      <c r="B111">
        <f>IFERROR(IF('Invullen groen'!F137&gt;0,'Invullen groen'!F137,""),"")</f>
        <v/>
      </c>
      <c r="C111">
        <f>IFERROR(IF('Invullen groen'!N137&gt;0,'Invullen groen'!N137,""),"")</f>
        <v/>
      </c>
      <c r="D111">
        <f>IFERROR(IF('Invullen groen'!O137&lt;&gt;"",LEFT(TRIM('Invullen groen'!O137),36),""),"")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groen'!H137=0,"",INT('Invullen groen'!H137)),"")</f>
        <v/>
      </c>
      <c r="G111" s="236">
        <f>IFERROR(IF('Invullen groen'!I137=0,"",INT('Invullen groen'!I137)),"")</f>
        <v/>
      </c>
      <c r="H111" s="236">
        <f>IFERROR(IF('Invullen groen'!J137=0,"",INT('Invullen groen'!J137)),"")</f>
        <v/>
      </c>
      <c r="I111" s="236">
        <f>IFERROR(IF('Invullen groen'!K137=0,"",INT('Invullen groen'!K137)),"")</f>
        <v/>
      </c>
      <c r="J111">
        <f>IF('Invullen groen'!E137&gt;0,IFERROR($K$1&amp;" "&amp;TRIM(SUBSTITUTE(SUBSTITUTE(SUBSTITUTE(SUBSTITUTE(SUBSTITUTE(SUBSTITUTE(SUBSTITUTE(SUBSTITUTE(SUBSTITUTE(SUBSTITUTE(SUBSTITUTE(SUBSTITUTE(LOWER(IF(LEFT(TEXT('Invullen groen'!E137,"0"),1)="6",'Invullen groen'!O137,IF('Invullen groen'!N137&gt;0,'Invullen groen'!G137,'Invullen groen'!O137))),"2024",""),"2025",""),"2026",""),"2027",""),"2028",""),"2029",""),"taakveld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IFERROR(IF('Invullen groen'!E138&gt;0,'Invullen groen'!E138,""),"")</f>
        <v/>
      </c>
      <c r="B112">
        <f>IFERROR(IF('Invullen groen'!F138&gt;0,'Invullen groen'!F138,""),"")</f>
        <v/>
      </c>
      <c r="C112">
        <f>IFERROR(IF('Invullen groen'!N138&gt;0,'Invullen groen'!N138,""),"")</f>
        <v/>
      </c>
      <c r="D112">
        <f>IFERROR(IF('Invullen groen'!O138&lt;&gt;"",LEFT(TRIM('Invullen groen'!O138),36),""),"")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groen'!H138=0,"",INT('Invullen groen'!H138)),"")</f>
        <v/>
      </c>
      <c r="G112" s="236">
        <f>IFERROR(IF('Invullen groen'!I138=0,"",INT('Invullen groen'!I138)),"")</f>
        <v/>
      </c>
      <c r="H112" s="236">
        <f>IFERROR(IF('Invullen groen'!J138=0,"",INT('Invullen groen'!J138)),"")</f>
        <v/>
      </c>
      <c r="I112" s="236">
        <f>IFERROR(IF('Invullen groen'!K138=0,"",INT('Invullen groen'!K138)),"")</f>
        <v/>
      </c>
      <c r="J112">
        <f>IF('Invullen groen'!E138&gt;0,IFERROR($K$1&amp;" "&amp;TRIM(SUBSTITUTE(SUBSTITUTE(SUBSTITUTE(SUBSTITUTE(SUBSTITUTE(SUBSTITUTE(SUBSTITUTE(SUBSTITUTE(SUBSTITUTE(SUBSTITUTE(SUBSTITUTE(SUBSTITUTE(LOWER(IF(LEFT(TEXT('Invullen groen'!E138,"0"),1)="6",'Invullen groen'!O138,IF('Invullen groen'!N138&gt;0,'Invullen groen'!G138,'Invullen groen'!O138))),"2024",""),"2025",""),"2026",""),"2027",""),"2028",""),"2029",""),"taakveld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IFERROR(IF('Invullen groen'!E139&gt;0,'Invullen groen'!E139,""),"")</f>
        <v/>
      </c>
      <c r="B113">
        <f>IFERROR(IF('Invullen groen'!F139&gt;0,'Invullen groen'!F139,""),"")</f>
        <v/>
      </c>
      <c r="C113">
        <f>IFERROR(IF('Invullen groen'!N139&gt;0,'Invullen groen'!N139,""),"")</f>
        <v/>
      </c>
      <c r="D113">
        <f>IFERROR(IF('Invullen groen'!O139&lt;&gt;"",LEFT(TRIM('Invullen groen'!O139),36),""),"")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groen'!H139=0,"",INT('Invullen groen'!H139)),"")</f>
        <v/>
      </c>
      <c r="G113" s="236">
        <f>IFERROR(IF('Invullen groen'!I139=0,"",INT('Invullen groen'!I139)),"")</f>
        <v/>
      </c>
      <c r="H113" s="236">
        <f>IFERROR(IF('Invullen groen'!J139=0,"",INT('Invullen groen'!J139)),"")</f>
        <v/>
      </c>
      <c r="I113" s="236">
        <f>IFERROR(IF('Invullen groen'!K139=0,"",INT('Invullen groen'!K139)),"")</f>
        <v/>
      </c>
      <c r="J113">
        <f>IF('Invullen groen'!E139&gt;0,IFERROR($K$1&amp;" "&amp;TRIM(SUBSTITUTE(SUBSTITUTE(SUBSTITUTE(SUBSTITUTE(SUBSTITUTE(SUBSTITUTE(SUBSTITUTE(SUBSTITUTE(SUBSTITUTE(SUBSTITUTE(SUBSTITUTE(SUBSTITUTE(LOWER(IF(LEFT(TEXT('Invullen groen'!E139,"0"),1)="6",'Invullen groen'!O139,IF('Invullen groen'!N139&gt;0,'Invullen groen'!G139,'Invullen groen'!O139))),"2024",""),"2025",""),"2026",""),"2027",""),"2028",""),"2029",""),"taakveld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IFERROR(IF('Invullen groen'!E140&gt;0,'Invullen groen'!E140,""),"")</f>
        <v/>
      </c>
      <c r="B114">
        <f>IFERROR(IF('Invullen groen'!F140&gt;0,'Invullen groen'!F140,""),"")</f>
        <v/>
      </c>
      <c r="C114">
        <f>IFERROR(IF('Invullen groen'!N140&gt;0,'Invullen groen'!N140,""),"")</f>
        <v/>
      </c>
      <c r="D114">
        <f>IFERROR(IF('Invullen groen'!O140&lt;&gt;"",LEFT(TRIM('Invullen groen'!O140),36),""),"")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groen'!H140=0,"",INT('Invullen groen'!H140)),"")</f>
        <v/>
      </c>
      <c r="G114" s="236">
        <f>IFERROR(IF('Invullen groen'!I140=0,"",INT('Invullen groen'!I140)),"")</f>
        <v/>
      </c>
      <c r="H114" s="236">
        <f>IFERROR(IF('Invullen groen'!J140=0,"",INT('Invullen groen'!J140)),"")</f>
        <v/>
      </c>
      <c r="I114" s="236">
        <f>IFERROR(IF('Invullen groen'!K140=0,"",INT('Invullen groen'!K140)),"")</f>
        <v/>
      </c>
      <c r="J114">
        <f>IF('Invullen groen'!E140&gt;0,IFERROR($K$1&amp;" "&amp;TRIM(SUBSTITUTE(SUBSTITUTE(SUBSTITUTE(SUBSTITUTE(SUBSTITUTE(SUBSTITUTE(SUBSTITUTE(SUBSTITUTE(SUBSTITUTE(SUBSTITUTE(SUBSTITUTE(SUBSTITUTE(LOWER(IF(LEFT(TEXT('Invullen groen'!E140,"0"),1)="6",'Invullen groen'!O140,IF('Invullen groen'!N140&gt;0,'Invullen groen'!G140,'Invullen groen'!O140))),"2024",""),"2025",""),"2026",""),"2027",""),"2028",""),"2029",""),"taakveld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IFERROR(IF('Invullen groen'!E141&gt;0,'Invullen groen'!E141,""),"")</f>
        <v/>
      </c>
      <c r="B115">
        <f>IFERROR(IF('Invullen groen'!F141&gt;0,'Invullen groen'!F141,""),"")</f>
        <v/>
      </c>
      <c r="C115">
        <f>IFERROR(IF('Invullen groen'!N141&gt;0,'Invullen groen'!N141,""),"")</f>
        <v/>
      </c>
      <c r="D115">
        <f>IFERROR(IF('Invullen groen'!O141&lt;&gt;"",LEFT(TRIM('Invullen groen'!O141),36),""),"")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groen'!H141=0,"",INT('Invullen groen'!H141)),"")</f>
        <v/>
      </c>
      <c r="G115" s="236">
        <f>IFERROR(IF('Invullen groen'!I141=0,"",INT('Invullen groen'!I141)),"")</f>
        <v/>
      </c>
      <c r="H115" s="236">
        <f>IFERROR(IF('Invullen groen'!J141=0,"",INT('Invullen groen'!J141)),"")</f>
        <v/>
      </c>
      <c r="I115" s="236">
        <f>IFERROR(IF('Invullen groen'!K141=0,"",INT('Invullen groen'!K141)),"")</f>
        <v/>
      </c>
      <c r="J115">
        <f>IF('Invullen groen'!E141&gt;0,IFERROR($K$1&amp;" "&amp;TRIM(SUBSTITUTE(SUBSTITUTE(SUBSTITUTE(SUBSTITUTE(SUBSTITUTE(SUBSTITUTE(SUBSTITUTE(SUBSTITUTE(SUBSTITUTE(SUBSTITUTE(SUBSTITUTE(SUBSTITUTE(LOWER(IF(LEFT(TEXT('Invullen groen'!E141,"0"),1)="6",'Invullen groen'!O141,IF('Invullen groen'!N141&gt;0,'Invullen groen'!G141,'Invullen groen'!O141))),"2024",""),"2025",""),"2026",""),"2027",""),"2028",""),"2029",""),"taakveld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IFERROR(IF('Invullen groen'!E142&gt;0,'Invullen groen'!E142,""),"")</f>
        <v/>
      </c>
      <c r="B116">
        <f>IFERROR(IF('Invullen groen'!F142&gt;0,'Invullen groen'!F142,""),"")</f>
        <v/>
      </c>
      <c r="C116">
        <f>IFERROR(IF('Invullen groen'!N142&gt;0,'Invullen groen'!N142,""),"")</f>
        <v/>
      </c>
      <c r="D116">
        <f>IFERROR(IF('Invullen groen'!O142&lt;&gt;"",LEFT(TRIM('Invullen groen'!O142),36),""),"")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groen'!H142=0,"",INT('Invullen groen'!H142)),"")</f>
        <v/>
      </c>
      <c r="G116" s="236">
        <f>IFERROR(IF('Invullen groen'!I142=0,"",INT('Invullen groen'!I142)),"")</f>
        <v/>
      </c>
      <c r="H116" s="236">
        <f>IFERROR(IF('Invullen groen'!J142=0,"",INT('Invullen groen'!J142)),"")</f>
        <v/>
      </c>
      <c r="I116" s="236">
        <f>IFERROR(IF('Invullen groen'!K142=0,"",INT('Invullen groen'!K142)),"")</f>
        <v/>
      </c>
      <c r="J116">
        <f>IF('Invullen groen'!E142&gt;0,IFERROR($K$1&amp;" "&amp;TRIM(SUBSTITUTE(SUBSTITUTE(SUBSTITUTE(SUBSTITUTE(SUBSTITUTE(SUBSTITUTE(SUBSTITUTE(SUBSTITUTE(SUBSTITUTE(SUBSTITUTE(SUBSTITUTE(SUBSTITUTE(LOWER(IF(LEFT(TEXT('Invullen groen'!E142,"0"),1)="6",'Invullen groen'!O142,IF('Invullen groen'!N142&gt;0,'Invullen groen'!G142,'Invullen groen'!O142))),"2024",""),"2025",""),"2026",""),"2027",""),"2028",""),"2029",""),"taakveld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IFERROR(IF('Invullen groen'!E143&gt;0,'Invullen groen'!E143,""),"")</f>
        <v/>
      </c>
      <c r="B117">
        <f>IFERROR(IF('Invullen groen'!F143&gt;0,'Invullen groen'!F143,""),"")</f>
        <v/>
      </c>
      <c r="C117">
        <f>IFERROR(IF('Invullen groen'!N143&gt;0,'Invullen groen'!N143,""),"")</f>
        <v/>
      </c>
      <c r="D117">
        <f>IFERROR(IF('Invullen groen'!O143&lt;&gt;"",LEFT(TRIM('Invullen groen'!O143),36),""),"")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groen'!H143=0,"",INT('Invullen groen'!H143)),"")</f>
        <v/>
      </c>
      <c r="G117" s="236">
        <f>IFERROR(IF('Invullen groen'!I143=0,"",INT('Invullen groen'!I143)),"")</f>
        <v/>
      </c>
      <c r="H117" s="236">
        <f>IFERROR(IF('Invullen groen'!J143=0,"",INT('Invullen groen'!J143)),"")</f>
        <v/>
      </c>
      <c r="I117" s="236">
        <f>IFERROR(IF('Invullen groen'!K143=0,"",INT('Invullen groen'!K143)),"")</f>
        <v/>
      </c>
      <c r="J117">
        <f>IF('Invullen groen'!E143&gt;0,IFERROR($K$1&amp;" "&amp;TRIM(SUBSTITUTE(SUBSTITUTE(SUBSTITUTE(SUBSTITUTE(SUBSTITUTE(SUBSTITUTE(SUBSTITUTE(SUBSTITUTE(SUBSTITUTE(SUBSTITUTE(SUBSTITUTE(SUBSTITUTE(LOWER(IF(LEFT(TEXT('Invullen groen'!E143,"0"),1)="6",'Invullen groen'!O143,IF('Invullen groen'!N143&gt;0,'Invullen groen'!G143,'Invullen groen'!O143))),"2024",""),"2025",""),"2026",""),"2027",""),"2028",""),"2029",""),"taakveld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IFERROR(IF('Invullen groen'!E144&gt;0,'Invullen groen'!E144,""),"")</f>
        <v/>
      </c>
      <c r="B118">
        <f>IFERROR(IF('Invullen groen'!F144&gt;0,'Invullen groen'!F144,""),"")</f>
        <v/>
      </c>
      <c r="C118">
        <f>IFERROR(IF('Invullen groen'!N144&gt;0,'Invullen groen'!N144,""),"")</f>
        <v/>
      </c>
      <c r="D118">
        <f>IFERROR(IF('Invullen groen'!O144&lt;&gt;"",LEFT(TRIM('Invullen groen'!O144),36),""),"")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groen'!H144=0,"",INT('Invullen groen'!H144)),"")</f>
        <v/>
      </c>
      <c r="G118" s="236">
        <f>IFERROR(IF('Invullen groen'!I144=0,"",INT('Invullen groen'!I144)),"")</f>
        <v/>
      </c>
      <c r="H118" s="236">
        <f>IFERROR(IF('Invullen groen'!J144=0,"",INT('Invullen groen'!J144)),"")</f>
        <v/>
      </c>
      <c r="I118" s="236">
        <f>IFERROR(IF('Invullen groen'!K144=0,"",INT('Invullen groen'!K144)),"")</f>
        <v/>
      </c>
      <c r="J118">
        <f>IF('Invullen groen'!E144&gt;0,IFERROR($K$1&amp;" "&amp;TRIM(SUBSTITUTE(SUBSTITUTE(SUBSTITUTE(SUBSTITUTE(SUBSTITUTE(SUBSTITUTE(SUBSTITUTE(SUBSTITUTE(SUBSTITUTE(SUBSTITUTE(SUBSTITUTE(SUBSTITUTE(LOWER(IF(LEFT(TEXT('Invullen groen'!E144,"0"),1)="6",'Invullen groen'!O144,IF('Invullen groen'!N144&gt;0,'Invullen groen'!G144,'Invullen groen'!O144))),"2024",""),"2025",""),"2026",""),"2027",""),"2028",""),"2029",""),"taakveld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IFERROR(IF('Invullen groen'!E145&gt;0,'Invullen groen'!E145,""),"")</f>
        <v/>
      </c>
      <c r="B119">
        <f>IFERROR(IF('Invullen groen'!F145&gt;0,'Invullen groen'!F145,""),"")</f>
        <v/>
      </c>
      <c r="C119">
        <f>IFERROR(IF('Invullen groen'!N145&gt;0,'Invullen groen'!N145,""),"")</f>
        <v/>
      </c>
      <c r="D119">
        <f>IFERROR(IF('Invullen groen'!O145&lt;&gt;"",LEFT(TRIM('Invullen groen'!O145),36),""),"")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groen'!H145=0,"",INT('Invullen groen'!H145)),"")</f>
        <v/>
      </c>
      <c r="G119" s="236">
        <f>IFERROR(IF('Invullen groen'!I145=0,"",INT('Invullen groen'!I145)),"")</f>
        <v/>
      </c>
      <c r="H119" s="236">
        <f>IFERROR(IF('Invullen groen'!J145=0,"",INT('Invullen groen'!J145)),"")</f>
        <v/>
      </c>
      <c r="I119" s="236">
        <f>IFERROR(IF('Invullen groen'!K145=0,"",INT('Invullen groen'!K145)),"")</f>
        <v/>
      </c>
      <c r="J119">
        <f>IF('Invullen groen'!E145&gt;0,IFERROR($K$1&amp;" "&amp;TRIM(SUBSTITUTE(SUBSTITUTE(SUBSTITUTE(SUBSTITUTE(SUBSTITUTE(SUBSTITUTE(SUBSTITUTE(SUBSTITUTE(SUBSTITUTE(SUBSTITUTE(SUBSTITUTE(SUBSTITUTE(LOWER(IF(LEFT(TEXT('Invullen groen'!E145,"0"),1)="6",'Invullen groen'!O145,IF('Invullen groen'!N145&gt;0,'Invullen groen'!G145,'Invullen groen'!O145))),"2024",""),"2025",""),"2026",""),"2027",""),"2028",""),"2029",""),"taakveld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IFERROR(IF('Invullen groen'!E146&gt;0,'Invullen groen'!E146,""),"")</f>
        <v/>
      </c>
      <c r="B120">
        <f>IFERROR(IF('Invullen groen'!F146&gt;0,'Invullen groen'!F146,""),"")</f>
        <v/>
      </c>
      <c r="C120">
        <f>IFERROR(IF('Invullen groen'!N146&gt;0,'Invullen groen'!N146,""),"")</f>
        <v/>
      </c>
      <c r="D120">
        <f>IFERROR(IF('Invullen groen'!O146&lt;&gt;"",LEFT(TRIM('Invullen groen'!O146),36),""),"")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groen'!H146=0,"",INT('Invullen groen'!H146)),"")</f>
        <v/>
      </c>
      <c r="G120" s="236">
        <f>IFERROR(IF('Invullen groen'!I146=0,"",INT('Invullen groen'!I146)),"")</f>
        <v/>
      </c>
      <c r="H120" s="236">
        <f>IFERROR(IF('Invullen groen'!J146=0,"",INT('Invullen groen'!J146)),"")</f>
        <v/>
      </c>
      <c r="I120" s="236">
        <f>IFERROR(IF('Invullen groen'!K146=0,"",INT('Invullen groen'!K146)),"")</f>
        <v/>
      </c>
      <c r="J120">
        <f>IF('Invullen groen'!E146&gt;0,IFERROR($K$1&amp;" "&amp;TRIM(SUBSTITUTE(SUBSTITUTE(SUBSTITUTE(SUBSTITUTE(SUBSTITUTE(SUBSTITUTE(SUBSTITUTE(SUBSTITUTE(SUBSTITUTE(SUBSTITUTE(SUBSTITUTE(SUBSTITUTE(LOWER(IF(LEFT(TEXT('Invullen groen'!E146,"0"),1)="6",'Invullen groen'!O146,IF('Invullen groen'!N146&gt;0,'Invullen groen'!G146,'Invullen groen'!O146))),"2024",""),"2025",""),"2026",""),"2027",""),"2028",""),"2029",""),"taakveld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IFERROR(IF('Invullen groen'!E147&gt;0,'Invullen groen'!E147,""),"")</f>
        <v/>
      </c>
      <c r="B121">
        <f>IFERROR(IF('Invullen groen'!F147&gt;0,'Invullen groen'!F147,""),"")</f>
        <v/>
      </c>
      <c r="C121">
        <f>IFERROR(IF('Invullen groen'!N147&gt;0,'Invullen groen'!N147,""),"")</f>
        <v/>
      </c>
      <c r="D121">
        <f>IFERROR(IF('Invullen groen'!O147&lt;&gt;"",LEFT(TRIM('Invullen groen'!O147),36),""),"")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groen'!H147=0,"",INT('Invullen groen'!H147)),"")</f>
        <v/>
      </c>
      <c r="G121" s="236">
        <f>IFERROR(IF('Invullen groen'!I147=0,"",INT('Invullen groen'!I147)),"")</f>
        <v/>
      </c>
      <c r="H121" s="236">
        <f>IFERROR(IF('Invullen groen'!J147=0,"",INT('Invullen groen'!J147)),"")</f>
        <v/>
      </c>
      <c r="I121" s="236">
        <f>IFERROR(IF('Invullen groen'!K147=0,"",INT('Invullen groen'!K147)),"")</f>
        <v/>
      </c>
      <c r="J121">
        <f>IF('Invullen groen'!E147&gt;0,IFERROR($K$1&amp;" "&amp;TRIM(SUBSTITUTE(SUBSTITUTE(SUBSTITUTE(SUBSTITUTE(SUBSTITUTE(SUBSTITUTE(SUBSTITUTE(SUBSTITUTE(SUBSTITUTE(SUBSTITUTE(SUBSTITUTE(SUBSTITUTE(LOWER(IF(LEFT(TEXT('Invullen groen'!E147,"0"),1)="6",'Invullen groen'!O147,IF('Invullen groen'!N147&gt;0,'Invullen groen'!G147,'Invullen groen'!O147))),"2024",""),"2025",""),"2026",""),"2027",""),"2028",""),"2029",""),"taakveld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IFERROR(IF('Invullen groen'!E148&gt;0,'Invullen groen'!E148,""),"")</f>
        <v/>
      </c>
      <c r="B122">
        <f>IFERROR(IF('Invullen groen'!F148&gt;0,'Invullen groen'!F148,""),"")</f>
        <v/>
      </c>
      <c r="C122">
        <f>IFERROR(IF('Invullen groen'!N148&gt;0,'Invullen groen'!N148,""),"")</f>
        <v/>
      </c>
      <c r="D122">
        <f>IFERROR(IF('Invullen groen'!O148&lt;&gt;"",LEFT(TRIM('Invullen groen'!O148),36),""),"")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groen'!H148=0,"",INT('Invullen groen'!H148)),"")</f>
        <v/>
      </c>
      <c r="G122" s="236">
        <f>IFERROR(IF('Invullen groen'!I148=0,"",INT('Invullen groen'!I148)),"")</f>
        <v/>
      </c>
      <c r="H122" s="236">
        <f>IFERROR(IF('Invullen groen'!J148=0,"",INT('Invullen groen'!J148)),"")</f>
        <v/>
      </c>
      <c r="I122" s="236">
        <f>IFERROR(IF('Invullen groen'!K148=0,"",INT('Invullen groen'!K148)),"")</f>
        <v/>
      </c>
      <c r="J122">
        <f>IF('Invullen groen'!E148&gt;0,IFERROR($K$1&amp;" "&amp;TRIM(SUBSTITUTE(SUBSTITUTE(SUBSTITUTE(SUBSTITUTE(SUBSTITUTE(SUBSTITUTE(SUBSTITUTE(SUBSTITUTE(SUBSTITUTE(SUBSTITUTE(SUBSTITUTE(SUBSTITUTE(LOWER(IF(LEFT(TEXT('Invullen groen'!E148,"0"),1)="6",'Invullen groen'!O148,IF('Invullen groen'!N148&gt;0,'Invullen groen'!G148,'Invullen groen'!O148))),"2024",""),"2025",""),"2026",""),"2027",""),"2028",""),"2029",""),"taakveld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IFERROR(IF('Invullen groen'!E149&gt;0,'Invullen groen'!E149,""),"")</f>
        <v/>
      </c>
      <c r="B123">
        <f>IFERROR(IF('Invullen groen'!F149&gt;0,'Invullen groen'!F149,""),"")</f>
        <v/>
      </c>
      <c r="C123">
        <f>IFERROR(IF('Invullen groen'!N149&gt;0,'Invullen groen'!N149,""),"")</f>
        <v/>
      </c>
      <c r="D123">
        <f>IFERROR(IF('Invullen groen'!O149&lt;&gt;"",LEFT(TRIM('Invullen groen'!O149),36),""),"")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groen'!H149=0,"",INT('Invullen groen'!H149)),"")</f>
        <v/>
      </c>
      <c r="G123" s="236">
        <f>IFERROR(IF('Invullen groen'!I149=0,"",INT('Invullen groen'!I149)),"")</f>
        <v/>
      </c>
      <c r="H123" s="236">
        <f>IFERROR(IF('Invullen groen'!J149=0,"",INT('Invullen groen'!J149)),"")</f>
        <v/>
      </c>
      <c r="I123" s="236">
        <f>IFERROR(IF('Invullen groen'!K149=0,"",INT('Invullen groen'!K149)),"")</f>
        <v/>
      </c>
      <c r="J123">
        <f>IF('Invullen groen'!E149&gt;0,IFERROR($K$1&amp;" "&amp;TRIM(SUBSTITUTE(SUBSTITUTE(SUBSTITUTE(SUBSTITUTE(SUBSTITUTE(SUBSTITUTE(SUBSTITUTE(SUBSTITUTE(SUBSTITUTE(SUBSTITUTE(SUBSTITUTE(SUBSTITUTE(LOWER(IF(LEFT(TEXT('Invullen groen'!E149,"0"),1)="6",'Invullen groen'!O149,IF('Invullen groen'!N149&gt;0,'Invullen groen'!G149,'Invullen groen'!O149))),"2024",""),"2025",""),"2026",""),"2027",""),"2028",""),"2029",""),"taakveld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IFERROR(IF('Invullen groen'!E150&gt;0,'Invullen groen'!E150,""),"")</f>
        <v/>
      </c>
      <c r="B124">
        <f>IFERROR(IF('Invullen groen'!F150&gt;0,'Invullen groen'!F150,""),"")</f>
        <v/>
      </c>
      <c r="C124">
        <f>IFERROR(IF('Invullen groen'!N150&gt;0,'Invullen groen'!N150,""),"")</f>
        <v/>
      </c>
      <c r="D124">
        <f>IFERROR(IF('Invullen groen'!O150&lt;&gt;"",LEFT(TRIM('Invullen groen'!O150),36),""),"")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groen'!H150=0,"",INT('Invullen groen'!H150)),"")</f>
        <v/>
      </c>
      <c r="G124" s="236">
        <f>IFERROR(IF('Invullen groen'!I150=0,"",INT('Invullen groen'!I150)),"")</f>
        <v/>
      </c>
      <c r="H124" s="236">
        <f>IFERROR(IF('Invullen groen'!J150=0,"",INT('Invullen groen'!J150)),"")</f>
        <v/>
      </c>
      <c r="I124" s="236">
        <f>IFERROR(IF('Invullen groen'!K150=0,"",INT('Invullen groen'!K150)),"")</f>
        <v/>
      </c>
      <c r="J124">
        <f>IF('Invullen groen'!E150&gt;0,IFERROR($K$1&amp;" "&amp;TRIM(SUBSTITUTE(SUBSTITUTE(SUBSTITUTE(SUBSTITUTE(SUBSTITUTE(SUBSTITUTE(SUBSTITUTE(SUBSTITUTE(SUBSTITUTE(SUBSTITUTE(SUBSTITUTE(SUBSTITUTE(LOWER(IF(LEFT(TEXT('Invullen groen'!E150,"0"),1)="6",'Invullen groen'!O150,IF('Invullen groen'!N150&gt;0,'Invullen groen'!G150,'Invullen groen'!O150))),"2024",""),"2025",""),"2026",""),"2027",""),"2028",""),"2029",""),"taakveld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IFERROR(IF('Invullen groen'!E151&gt;0,'Invullen groen'!E151,""),"")</f>
        <v/>
      </c>
      <c r="B125">
        <f>IFERROR(IF('Invullen groen'!F151&gt;0,'Invullen groen'!F151,""),"")</f>
        <v/>
      </c>
      <c r="C125">
        <f>IFERROR(IF('Invullen groen'!N151&gt;0,'Invullen groen'!N151,""),"")</f>
        <v/>
      </c>
      <c r="D125">
        <f>IFERROR(IF('Invullen groen'!O151&lt;&gt;"",LEFT(TRIM('Invullen groen'!O151),36),""),"")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groen'!H151=0,"",INT('Invullen groen'!H151)),"")</f>
        <v/>
      </c>
      <c r="G125" s="236">
        <f>IFERROR(IF('Invullen groen'!I151=0,"",INT('Invullen groen'!I151)),"")</f>
        <v/>
      </c>
      <c r="H125" s="236">
        <f>IFERROR(IF('Invullen groen'!J151=0,"",INT('Invullen groen'!J151)),"")</f>
        <v/>
      </c>
      <c r="I125" s="236">
        <f>IFERROR(IF('Invullen groen'!K151=0,"",INT('Invullen groen'!K151)),"")</f>
        <v/>
      </c>
      <c r="J125">
        <f>IF('Invullen groen'!E151&gt;0,IFERROR($K$1&amp;" "&amp;TRIM(SUBSTITUTE(SUBSTITUTE(SUBSTITUTE(SUBSTITUTE(SUBSTITUTE(SUBSTITUTE(SUBSTITUTE(SUBSTITUTE(SUBSTITUTE(SUBSTITUTE(SUBSTITUTE(SUBSTITUTE(LOWER(IF(LEFT(TEXT('Invullen groen'!E151,"0"),1)="6",'Invullen groen'!O151,IF('Invullen groen'!N151&gt;0,'Invullen groen'!G151,'Invullen groen'!O151))),"2024",""),"2025",""),"2026",""),"2027",""),"2028",""),"2029",""),"taakveld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IFERROR(IF('Invullen groen'!E152&gt;0,'Invullen groen'!E152,""),"")</f>
        <v/>
      </c>
      <c r="B126">
        <f>IFERROR(IF('Invullen groen'!F152&gt;0,'Invullen groen'!F152,""),"")</f>
        <v/>
      </c>
      <c r="C126">
        <f>IFERROR(IF('Invullen groen'!N152&gt;0,'Invullen groen'!N152,""),"")</f>
        <v/>
      </c>
      <c r="D126">
        <f>IFERROR(IF('Invullen groen'!O152&lt;&gt;"",LEFT(TRIM('Invullen groen'!O152),36),""),"")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groen'!H152=0,"",INT('Invullen groen'!H152)),"")</f>
        <v/>
      </c>
      <c r="G126" s="236">
        <f>IFERROR(IF('Invullen groen'!I152=0,"",INT('Invullen groen'!I152)),"")</f>
        <v/>
      </c>
      <c r="H126" s="236">
        <f>IFERROR(IF('Invullen groen'!J152=0,"",INT('Invullen groen'!J152)),"")</f>
        <v/>
      </c>
      <c r="I126" s="236">
        <f>IFERROR(IF('Invullen groen'!K152=0,"",INT('Invullen groen'!K152)),"")</f>
        <v/>
      </c>
      <c r="J126">
        <f>IF('Invullen groen'!E152&gt;0,IFERROR($K$1&amp;" "&amp;TRIM(SUBSTITUTE(SUBSTITUTE(SUBSTITUTE(SUBSTITUTE(SUBSTITUTE(SUBSTITUTE(SUBSTITUTE(SUBSTITUTE(SUBSTITUTE(SUBSTITUTE(SUBSTITUTE(SUBSTITUTE(LOWER(IF(LEFT(TEXT('Invullen groen'!E152,"0"),1)="6",'Invullen groen'!O152,IF('Invullen groen'!N152&gt;0,'Invullen groen'!G152,'Invullen groen'!O152))),"2024",""),"2025",""),"2026",""),"2027",""),"2028",""),"2029",""),"taakveld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IFERROR(IF('Invullen groen'!E153&gt;0,'Invullen groen'!E153,""),"")</f>
        <v/>
      </c>
      <c r="B127">
        <f>IFERROR(IF('Invullen groen'!F153&gt;0,'Invullen groen'!F153,""),"")</f>
        <v/>
      </c>
      <c r="C127">
        <f>IFERROR(IF('Invullen groen'!N153&gt;0,'Invullen groen'!N153,""),"")</f>
        <v/>
      </c>
      <c r="D127">
        <f>IFERROR(IF('Invullen groen'!O153&lt;&gt;"",LEFT(TRIM('Invullen groen'!O153),36),""),"")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groen'!H153=0,"",INT('Invullen groen'!H153)),"")</f>
        <v/>
      </c>
      <c r="G127" s="236">
        <f>IFERROR(IF('Invullen groen'!I153=0,"",INT('Invullen groen'!I153)),"")</f>
        <v/>
      </c>
      <c r="H127" s="236">
        <f>IFERROR(IF('Invullen groen'!J153=0,"",INT('Invullen groen'!J153)),"")</f>
        <v/>
      </c>
      <c r="I127" s="236">
        <f>IFERROR(IF('Invullen groen'!K153=0,"",INT('Invullen groen'!K153)),"")</f>
        <v/>
      </c>
      <c r="J127">
        <f>IF('Invullen groen'!E153&gt;0,IFERROR($K$1&amp;" "&amp;TRIM(SUBSTITUTE(SUBSTITUTE(SUBSTITUTE(SUBSTITUTE(SUBSTITUTE(SUBSTITUTE(SUBSTITUTE(SUBSTITUTE(SUBSTITUTE(SUBSTITUTE(SUBSTITUTE(SUBSTITUTE(LOWER(IF(LEFT(TEXT('Invullen groen'!E153,"0"),1)="6",'Invullen groen'!O153,IF('Invullen groen'!N153&gt;0,'Invullen groen'!G153,'Invullen groen'!O153))),"2024",""),"2025",""),"2026",""),"2027",""),"2028",""),"2029",""),"taakveld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IFERROR(IF('Invullen groen'!E154&gt;0,'Invullen groen'!E154,""),"")</f>
        <v/>
      </c>
      <c r="B128">
        <f>IFERROR(IF('Invullen groen'!F154&gt;0,'Invullen groen'!F154,""),"")</f>
        <v/>
      </c>
      <c r="C128">
        <f>IFERROR(IF('Invullen groen'!N154&gt;0,'Invullen groen'!N154,""),"")</f>
        <v/>
      </c>
      <c r="D128">
        <f>IFERROR(IF('Invullen groen'!O154&lt;&gt;"",LEFT(TRIM('Invullen groen'!O154),36),""),"")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groen'!H154=0,"",INT('Invullen groen'!H154)),"")</f>
        <v/>
      </c>
      <c r="G128" s="236">
        <f>IFERROR(IF('Invullen groen'!I154=0,"",INT('Invullen groen'!I154)),"")</f>
        <v/>
      </c>
      <c r="H128" s="236">
        <f>IFERROR(IF('Invullen groen'!J154=0,"",INT('Invullen groen'!J154)),"")</f>
        <v/>
      </c>
      <c r="I128" s="236">
        <f>IFERROR(IF('Invullen groen'!K154=0,"",INT('Invullen groen'!K154)),"")</f>
        <v/>
      </c>
      <c r="J128">
        <f>IF('Invullen groen'!E154&gt;0,IFERROR($K$1&amp;" "&amp;TRIM(SUBSTITUTE(SUBSTITUTE(SUBSTITUTE(SUBSTITUTE(SUBSTITUTE(SUBSTITUTE(SUBSTITUTE(SUBSTITUTE(SUBSTITUTE(SUBSTITUTE(SUBSTITUTE(SUBSTITUTE(LOWER(IF(LEFT(TEXT('Invullen groen'!E154,"0"),1)="6",'Invullen groen'!O154,IF('Invullen groen'!N154&gt;0,'Invullen groen'!G154,'Invullen groen'!O154))),"2024",""),"2025",""),"2026",""),"2027",""),"2028",""),"2029",""),"taakveld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IFERROR(IF('Invullen groen'!E155&gt;0,'Invullen groen'!E155,""),"")</f>
        <v/>
      </c>
      <c r="B129">
        <f>IFERROR(IF('Invullen groen'!F155&gt;0,'Invullen groen'!F155,""),"")</f>
        <v/>
      </c>
      <c r="C129">
        <f>IFERROR(IF('Invullen groen'!N155&gt;0,'Invullen groen'!N155,""),"")</f>
        <v/>
      </c>
      <c r="D129">
        <f>IFERROR(IF('Invullen groen'!O155&lt;&gt;"",LEFT(TRIM('Invullen groen'!O155),36),""),"")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groen'!H155=0,"",INT('Invullen groen'!H155)),"")</f>
        <v/>
      </c>
      <c r="G129" s="236">
        <f>IFERROR(IF('Invullen groen'!I155=0,"",INT('Invullen groen'!I155)),"")</f>
        <v/>
      </c>
      <c r="H129" s="236">
        <f>IFERROR(IF('Invullen groen'!J155=0,"",INT('Invullen groen'!J155)),"")</f>
        <v/>
      </c>
      <c r="I129" s="236">
        <f>IFERROR(IF('Invullen groen'!K155=0,"",INT('Invullen groen'!K155)),"")</f>
        <v/>
      </c>
      <c r="J129">
        <f>IF('Invullen groen'!E155&gt;0,IFERROR($K$1&amp;" "&amp;TRIM(SUBSTITUTE(SUBSTITUTE(SUBSTITUTE(SUBSTITUTE(SUBSTITUTE(SUBSTITUTE(SUBSTITUTE(SUBSTITUTE(SUBSTITUTE(SUBSTITUTE(SUBSTITUTE(SUBSTITUTE(LOWER(IF(LEFT(TEXT('Invullen groen'!E155,"0"),1)="6",'Invullen groen'!O155,IF('Invullen groen'!N155&gt;0,'Invullen groen'!G155,'Invullen groen'!O155))),"2024",""),"2025",""),"2026",""),"2027",""),"2028",""),"2029",""),"taakveld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IFERROR(IF('Invullen groen'!E156&gt;0,'Invullen groen'!E156,""),"")</f>
        <v/>
      </c>
      <c r="B130">
        <f>IFERROR(IF('Invullen groen'!F156&gt;0,'Invullen groen'!F156,""),"")</f>
        <v/>
      </c>
      <c r="C130">
        <f>IFERROR(IF('Invullen groen'!N156&gt;0,'Invullen groen'!N156,""),"")</f>
        <v/>
      </c>
      <c r="D130">
        <f>IFERROR(IF('Invullen groen'!O156&lt;&gt;"",LEFT(TRIM('Invullen groen'!O156),36),""),"")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groen'!H156=0,"",INT('Invullen groen'!H156)),"")</f>
        <v/>
      </c>
      <c r="G130" s="236">
        <f>IFERROR(IF('Invullen groen'!I156=0,"",INT('Invullen groen'!I156)),"")</f>
        <v/>
      </c>
      <c r="H130" s="236">
        <f>IFERROR(IF('Invullen groen'!J156=0,"",INT('Invullen groen'!J156)),"")</f>
        <v/>
      </c>
      <c r="I130" s="236">
        <f>IFERROR(IF('Invullen groen'!K156=0,"",INT('Invullen groen'!K156)),"")</f>
        <v/>
      </c>
      <c r="J130">
        <f>IF('Invullen groen'!E156&gt;0,IFERROR($K$1&amp;" "&amp;TRIM(SUBSTITUTE(SUBSTITUTE(SUBSTITUTE(SUBSTITUTE(SUBSTITUTE(SUBSTITUTE(SUBSTITUTE(SUBSTITUTE(SUBSTITUTE(SUBSTITUTE(SUBSTITUTE(SUBSTITUTE(LOWER(IF(LEFT(TEXT('Invullen groen'!E156,"0"),1)="6",'Invullen groen'!O156,IF('Invullen groen'!N156&gt;0,'Invullen groen'!G156,'Invullen groen'!O156))),"2024",""),"2025",""),"2026",""),"2027",""),"2028",""),"2029",""),"taakveld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IFERROR(IF('Invullen groen'!E157&gt;0,'Invullen groen'!E157,""),"")</f>
        <v/>
      </c>
      <c r="B131">
        <f>IFERROR(IF('Invullen groen'!F157&gt;0,'Invullen groen'!F157,""),"")</f>
        <v/>
      </c>
      <c r="C131">
        <f>IFERROR(IF('Invullen groen'!N157&gt;0,'Invullen groen'!N157,""),"")</f>
        <v/>
      </c>
      <c r="D131">
        <f>IFERROR(IF('Invullen groen'!O157&lt;&gt;"",LEFT(TRIM('Invullen groen'!O157),36),""),"")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groen'!H157=0,"",INT('Invullen groen'!H157)),"")</f>
        <v/>
      </c>
      <c r="G131" s="236">
        <f>IFERROR(IF('Invullen groen'!I157=0,"",INT('Invullen groen'!I157)),"")</f>
        <v/>
      </c>
      <c r="H131" s="236">
        <f>IFERROR(IF('Invullen groen'!J157=0,"",INT('Invullen groen'!J157)),"")</f>
        <v/>
      </c>
      <c r="I131" s="236">
        <f>IFERROR(IF('Invullen groen'!K157=0,"",INT('Invullen groen'!K157)),"")</f>
        <v/>
      </c>
      <c r="J131">
        <f>IF('Invullen groen'!E157&gt;0,IFERROR($K$1&amp;" "&amp;TRIM(SUBSTITUTE(SUBSTITUTE(SUBSTITUTE(SUBSTITUTE(SUBSTITUTE(SUBSTITUTE(SUBSTITUTE(SUBSTITUTE(SUBSTITUTE(SUBSTITUTE(SUBSTITUTE(SUBSTITUTE(LOWER(IF(LEFT(TEXT('Invullen groen'!E157,"0"),1)="6",'Invullen groen'!O157,IF('Invullen groen'!N157&gt;0,'Invullen groen'!G157,'Invullen groen'!O157))),"2024",""),"2025",""),"2026",""),"2027",""),"2028",""),"2029",""),"taakveld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IFERROR(IF('Invullen groen'!E158&gt;0,'Invullen groen'!E158,""),"")</f>
        <v/>
      </c>
      <c r="B132">
        <f>IFERROR(IF('Invullen groen'!F158&gt;0,'Invullen groen'!F158,""),"")</f>
        <v/>
      </c>
      <c r="C132">
        <f>IFERROR(IF('Invullen groen'!N158&gt;0,'Invullen groen'!N158,""),"")</f>
        <v/>
      </c>
      <c r="D132">
        <f>IFERROR(IF('Invullen groen'!O158&lt;&gt;"",LEFT(TRIM('Invullen groen'!O158),36),""),"")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groen'!H158=0,"",INT('Invullen groen'!H158)),"")</f>
        <v/>
      </c>
      <c r="G132" s="236">
        <f>IFERROR(IF('Invullen groen'!I158=0,"",INT('Invullen groen'!I158)),"")</f>
        <v/>
      </c>
      <c r="H132" s="236">
        <f>IFERROR(IF('Invullen groen'!J158=0,"",INT('Invullen groen'!J158)),"")</f>
        <v/>
      </c>
      <c r="I132" s="236">
        <f>IFERROR(IF('Invullen groen'!K158=0,"",INT('Invullen groen'!K158)),"")</f>
        <v/>
      </c>
      <c r="J132">
        <f>IF('Invullen groen'!E158&gt;0,IFERROR($K$1&amp;" "&amp;TRIM(SUBSTITUTE(SUBSTITUTE(SUBSTITUTE(SUBSTITUTE(SUBSTITUTE(SUBSTITUTE(SUBSTITUTE(SUBSTITUTE(SUBSTITUTE(SUBSTITUTE(SUBSTITUTE(SUBSTITUTE(LOWER(IF(LEFT(TEXT('Invullen groen'!E158,"0"),1)="6",'Invullen groen'!O158,IF('Invullen groen'!N158&gt;0,'Invullen groen'!G158,'Invullen groen'!O158))),"2024",""),"2025",""),"2026",""),"2027",""),"2028",""),"2029",""),"taakveld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IFERROR(IF('Invullen groen'!E159&gt;0,'Invullen groen'!E159,""),"")</f>
        <v/>
      </c>
      <c r="B133">
        <f>IFERROR(IF('Invullen groen'!F159&gt;0,'Invullen groen'!F159,""),"")</f>
        <v/>
      </c>
      <c r="C133">
        <f>IFERROR(IF('Invullen groen'!N159&gt;0,'Invullen groen'!N159,""),"")</f>
        <v/>
      </c>
      <c r="D133">
        <f>IFERROR(IF('Invullen groen'!O159&lt;&gt;"",LEFT(TRIM('Invullen groen'!O159),36),""),"")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groen'!H159=0,"",INT('Invullen groen'!H159)),"")</f>
        <v/>
      </c>
      <c r="G133" s="236">
        <f>IFERROR(IF('Invullen groen'!I159=0,"",INT('Invullen groen'!I159)),"")</f>
        <v/>
      </c>
      <c r="H133" s="236">
        <f>IFERROR(IF('Invullen groen'!J159=0,"",INT('Invullen groen'!J159)),"")</f>
        <v/>
      </c>
      <c r="I133" s="236">
        <f>IFERROR(IF('Invullen groen'!K159=0,"",INT('Invullen groen'!K159)),"")</f>
        <v/>
      </c>
      <c r="J133">
        <f>IF('Invullen groen'!E159&gt;0,IFERROR($K$1&amp;" "&amp;TRIM(SUBSTITUTE(SUBSTITUTE(SUBSTITUTE(SUBSTITUTE(SUBSTITUTE(SUBSTITUTE(SUBSTITUTE(SUBSTITUTE(SUBSTITUTE(SUBSTITUTE(SUBSTITUTE(SUBSTITUTE(LOWER(IF(LEFT(TEXT('Invullen groen'!E159,"0"),1)="6",'Invullen groen'!O159,IF('Invullen groen'!N159&gt;0,'Invullen groen'!G159,'Invullen groen'!O159))),"2024",""),"2025",""),"2026",""),"2027",""),"2028",""),"2029",""),"taakveld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IFERROR(IF('Invullen groen'!E160&gt;0,'Invullen groen'!E160,""),"")</f>
        <v/>
      </c>
      <c r="B134">
        <f>IFERROR(IF('Invullen groen'!F160&gt;0,'Invullen groen'!F160,""),"")</f>
        <v/>
      </c>
      <c r="C134">
        <f>IFERROR(IF('Invullen groen'!N160&gt;0,'Invullen groen'!N160,""),"")</f>
        <v/>
      </c>
      <c r="D134">
        <f>IFERROR(IF('Invullen groen'!O160&lt;&gt;"",LEFT(TRIM('Invullen groen'!O160),36),""),"")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groen'!H160=0,"",INT('Invullen groen'!H160)),"")</f>
        <v/>
      </c>
      <c r="G134" s="236">
        <f>IFERROR(IF('Invullen groen'!I160=0,"",INT('Invullen groen'!I160)),"")</f>
        <v/>
      </c>
      <c r="H134" s="236">
        <f>IFERROR(IF('Invullen groen'!J160=0,"",INT('Invullen groen'!J160)),"")</f>
        <v/>
      </c>
      <c r="I134" s="236">
        <f>IFERROR(IF('Invullen groen'!K160=0,"",INT('Invullen groen'!K160)),"")</f>
        <v/>
      </c>
      <c r="J134">
        <f>IF('Invullen groen'!E160&gt;0,IFERROR($K$1&amp;" "&amp;TRIM(SUBSTITUTE(SUBSTITUTE(SUBSTITUTE(SUBSTITUTE(SUBSTITUTE(SUBSTITUTE(SUBSTITUTE(SUBSTITUTE(SUBSTITUTE(SUBSTITUTE(SUBSTITUTE(SUBSTITUTE(LOWER(IF(LEFT(TEXT('Invullen groen'!E160,"0"),1)="6",'Invullen groen'!O160,IF('Invullen groen'!N160&gt;0,'Invullen groen'!G160,'Invullen groen'!O160))),"2024",""),"2025",""),"2026",""),"2027",""),"2028",""),"2029",""),"taakveld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IFERROR(IF('Invullen groen'!E161&gt;0,'Invullen groen'!E161,""),"")</f>
        <v/>
      </c>
      <c r="B135">
        <f>IFERROR(IF('Invullen groen'!F161&gt;0,'Invullen groen'!F161,""),"")</f>
        <v/>
      </c>
      <c r="C135">
        <f>IFERROR(IF('Invullen groen'!N161&gt;0,'Invullen groen'!N161,""),"")</f>
        <v/>
      </c>
      <c r="D135">
        <f>IFERROR(IF('Invullen groen'!O161&lt;&gt;"",LEFT(TRIM('Invullen groen'!O161),36),""),"")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groen'!H161=0,"",INT('Invullen groen'!H161)),"")</f>
        <v/>
      </c>
      <c r="G135" s="236">
        <f>IFERROR(IF('Invullen groen'!I161=0,"",INT('Invullen groen'!I161)),"")</f>
        <v/>
      </c>
      <c r="H135" s="236">
        <f>IFERROR(IF('Invullen groen'!J161=0,"",INT('Invullen groen'!J161)),"")</f>
        <v/>
      </c>
      <c r="I135" s="236">
        <f>IFERROR(IF('Invullen groen'!K161=0,"",INT('Invullen groen'!K161)),"")</f>
        <v/>
      </c>
      <c r="J135">
        <f>IF('Invullen groen'!E161&gt;0,IFERROR($K$1&amp;" "&amp;TRIM(SUBSTITUTE(SUBSTITUTE(SUBSTITUTE(SUBSTITUTE(SUBSTITUTE(SUBSTITUTE(SUBSTITUTE(SUBSTITUTE(SUBSTITUTE(SUBSTITUTE(SUBSTITUTE(SUBSTITUTE(LOWER(IF(LEFT(TEXT('Invullen groen'!E161,"0"),1)="6",'Invullen groen'!O161,IF('Invullen groen'!N161&gt;0,'Invullen groen'!G161,'Invullen groen'!O161))),"2024",""),"2025",""),"2026",""),"2027",""),"2028",""),"2029",""),"taakveld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IFERROR(IF('Invullen groen'!E162&gt;0,'Invullen groen'!E162,""),"")</f>
        <v/>
      </c>
      <c r="B136">
        <f>IFERROR(IF('Invullen groen'!F162&gt;0,'Invullen groen'!F162,""),"")</f>
        <v/>
      </c>
      <c r="C136">
        <f>IFERROR(IF('Invullen groen'!N162&gt;0,'Invullen groen'!N162,""),"")</f>
        <v/>
      </c>
      <c r="D136">
        <f>IFERROR(IF('Invullen groen'!O162&lt;&gt;"",LEFT(TRIM('Invullen groen'!O162),36),""),"")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groen'!H162=0,"",INT('Invullen groen'!H162)),"")</f>
        <v/>
      </c>
      <c r="G136" s="236">
        <f>IFERROR(IF('Invullen groen'!I162=0,"",INT('Invullen groen'!I162)),"")</f>
        <v/>
      </c>
      <c r="H136" s="236">
        <f>IFERROR(IF('Invullen groen'!J162=0,"",INT('Invullen groen'!J162)),"")</f>
        <v/>
      </c>
      <c r="I136" s="236">
        <f>IFERROR(IF('Invullen groen'!K162=0,"",INT('Invullen groen'!K162)),"")</f>
        <v/>
      </c>
      <c r="J136">
        <f>IF('Invullen groen'!E162&gt;0,IFERROR($K$1&amp;" "&amp;TRIM(SUBSTITUTE(SUBSTITUTE(SUBSTITUTE(SUBSTITUTE(SUBSTITUTE(SUBSTITUTE(SUBSTITUTE(SUBSTITUTE(SUBSTITUTE(SUBSTITUTE(SUBSTITUTE(SUBSTITUTE(LOWER(IF(LEFT(TEXT('Invullen groen'!E162,"0"),1)="6",'Invullen groen'!O162,IF('Invullen groen'!N162&gt;0,'Invullen groen'!G162,'Invullen groen'!O162))),"2024",""),"2025",""),"2026",""),"2027",""),"2028",""),"2029",""),"taakveld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IFERROR(IF('Invullen groen'!E163&gt;0,'Invullen groen'!E163,""),"")</f>
        <v/>
      </c>
      <c r="B137">
        <f>IFERROR(IF('Invullen groen'!F163&gt;0,'Invullen groen'!F163,""),"")</f>
        <v/>
      </c>
      <c r="C137">
        <f>IFERROR(IF('Invullen groen'!N163&gt;0,'Invullen groen'!N163,""),"")</f>
        <v/>
      </c>
      <c r="D137">
        <f>IFERROR(IF('Invullen groen'!O163&lt;&gt;"",LEFT(TRIM('Invullen groen'!O163),36),""),"")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groen'!H163=0,"",INT('Invullen groen'!H163)),"")</f>
        <v/>
      </c>
      <c r="G137" s="236">
        <f>IFERROR(IF('Invullen groen'!I163=0,"",INT('Invullen groen'!I163)),"")</f>
        <v/>
      </c>
      <c r="H137" s="236">
        <f>IFERROR(IF('Invullen groen'!J163=0,"",INT('Invullen groen'!J163)),"")</f>
        <v/>
      </c>
      <c r="I137" s="236">
        <f>IFERROR(IF('Invullen groen'!K163=0,"",INT('Invullen groen'!K163)),"")</f>
        <v/>
      </c>
      <c r="J137">
        <f>IF('Invullen groen'!E163&gt;0,IFERROR($K$1&amp;" "&amp;TRIM(SUBSTITUTE(SUBSTITUTE(SUBSTITUTE(SUBSTITUTE(SUBSTITUTE(SUBSTITUTE(SUBSTITUTE(SUBSTITUTE(SUBSTITUTE(SUBSTITUTE(SUBSTITUTE(SUBSTITUTE(LOWER(IF(LEFT(TEXT('Invullen groen'!E163,"0"),1)="6",'Invullen groen'!O163,IF('Invullen groen'!N163&gt;0,'Invullen groen'!G163,'Invullen groen'!O163))),"2024",""),"2025",""),"2026",""),"2027",""),"2028",""),"2029",""),"taakveld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IFERROR(IF('Invullen groen'!E164&gt;0,'Invullen groen'!E164,""),"")</f>
        <v/>
      </c>
      <c r="B138">
        <f>IFERROR(IF('Invullen groen'!F164&gt;0,'Invullen groen'!F164,""),"")</f>
        <v/>
      </c>
      <c r="C138">
        <f>IFERROR(IF('Invullen groen'!N164&gt;0,'Invullen groen'!N164,""),"")</f>
        <v/>
      </c>
      <c r="D138">
        <f>IFERROR(IF('Invullen groen'!O164&lt;&gt;"",LEFT(TRIM('Invullen groen'!O164),36),""),"")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groen'!H164=0,"",INT('Invullen groen'!H164)),"")</f>
        <v/>
      </c>
      <c r="G138" s="236">
        <f>IFERROR(IF('Invullen groen'!I164=0,"",INT('Invullen groen'!I164)),"")</f>
        <v/>
      </c>
      <c r="H138" s="236">
        <f>IFERROR(IF('Invullen groen'!J164=0,"",INT('Invullen groen'!J164)),"")</f>
        <v/>
      </c>
      <c r="I138" s="236">
        <f>IFERROR(IF('Invullen groen'!K164=0,"",INT('Invullen groen'!K164)),"")</f>
        <v/>
      </c>
      <c r="J138">
        <f>IF('Invullen groen'!E164&gt;0,IFERROR($K$1&amp;" "&amp;TRIM(SUBSTITUTE(SUBSTITUTE(SUBSTITUTE(SUBSTITUTE(SUBSTITUTE(SUBSTITUTE(SUBSTITUTE(SUBSTITUTE(SUBSTITUTE(SUBSTITUTE(SUBSTITUTE(SUBSTITUTE(LOWER(IF(LEFT(TEXT('Invullen groen'!E164,"0"),1)="6",'Invullen groen'!O164,IF('Invullen groen'!N164&gt;0,'Invullen groen'!G164,'Invullen groen'!O164))),"2024",""),"2025",""),"2026",""),"2027",""),"2028",""),"2029",""),"taakveld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IFERROR(IF('Invullen groen'!E165&gt;0,'Invullen groen'!E165,""),"")</f>
        <v/>
      </c>
      <c r="B139">
        <f>IFERROR(IF('Invullen groen'!F165&gt;0,'Invullen groen'!F165,""),"")</f>
        <v/>
      </c>
      <c r="C139">
        <f>IFERROR(IF('Invullen groen'!N165&gt;0,'Invullen groen'!N165,""),"")</f>
        <v/>
      </c>
      <c r="D139">
        <f>IFERROR(IF('Invullen groen'!O165&lt;&gt;"",LEFT(TRIM('Invullen groen'!O165),36),""),"")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groen'!H165=0,"",INT('Invullen groen'!H165)),"")</f>
        <v/>
      </c>
      <c r="G139" s="236">
        <f>IFERROR(IF('Invullen groen'!I165=0,"",INT('Invullen groen'!I165)),"")</f>
        <v/>
      </c>
      <c r="H139" s="236">
        <f>IFERROR(IF('Invullen groen'!J165=0,"",INT('Invullen groen'!J165)),"")</f>
        <v/>
      </c>
      <c r="I139" s="236">
        <f>IFERROR(IF('Invullen groen'!K165=0,"",INT('Invullen groen'!K165)),"")</f>
        <v/>
      </c>
      <c r="J139">
        <f>IF('Invullen groen'!E165&gt;0,IFERROR($K$1&amp;" "&amp;TRIM(SUBSTITUTE(SUBSTITUTE(SUBSTITUTE(SUBSTITUTE(SUBSTITUTE(SUBSTITUTE(SUBSTITUTE(SUBSTITUTE(SUBSTITUTE(SUBSTITUTE(SUBSTITUTE(SUBSTITUTE(LOWER(IF(LEFT(TEXT('Invullen groen'!E165,"0"),1)="6",'Invullen groen'!O165,IF('Invullen groen'!N165&gt;0,'Invullen groen'!G165,'Invullen groen'!O165))),"2024",""),"2025",""),"2026",""),"2027",""),"2028",""),"2029",""),"taakveld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IFERROR(IF('Invullen groen'!E166&gt;0,'Invullen groen'!E166,""),"")</f>
        <v/>
      </c>
      <c r="B140">
        <f>IFERROR(IF('Invullen groen'!F166&gt;0,'Invullen groen'!F166,""),"")</f>
        <v/>
      </c>
      <c r="C140">
        <f>IFERROR(IF('Invullen groen'!N166&gt;0,'Invullen groen'!N166,""),"")</f>
        <v/>
      </c>
      <c r="D140">
        <f>IFERROR(IF('Invullen groen'!O166&lt;&gt;"",LEFT(TRIM('Invullen groen'!O166),36),""),"")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groen'!H166=0,"",INT('Invullen groen'!H166)),"")</f>
        <v/>
      </c>
      <c r="G140" s="236">
        <f>IFERROR(IF('Invullen groen'!I166=0,"",INT('Invullen groen'!I166)),"")</f>
        <v/>
      </c>
      <c r="H140" s="236">
        <f>IFERROR(IF('Invullen groen'!J166=0,"",INT('Invullen groen'!J166)),"")</f>
        <v/>
      </c>
      <c r="I140" s="236">
        <f>IFERROR(IF('Invullen groen'!K166=0,"",INT('Invullen groen'!K166)),"")</f>
        <v/>
      </c>
      <c r="J140">
        <f>IF('Invullen groen'!E166&gt;0,IFERROR($K$1&amp;" "&amp;TRIM(SUBSTITUTE(SUBSTITUTE(SUBSTITUTE(SUBSTITUTE(SUBSTITUTE(SUBSTITUTE(SUBSTITUTE(SUBSTITUTE(SUBSTITUTE(SUBSTITUTE(SUBSTITUTE(SUBSTITUTE(LOWER(IF(LEFT(TEXT('Invullen groen'!E166,"0"),1)="6",'Invullen groen'!O166,IF('Invullen groen'!N166&gt;0,'Invullen groen'!G166,'Invullen groen'!O166))),"2024",""),"2025",""),"2026",""),"2027",""),"2028",""),"2029",""),"taakveld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IFERROR(IF('Invullen groen'!E167&gt;0,'Invullen groen'!E167,""),"")</f>
        <v/>
      </c>
      <c r="B141">
        <f>IFERROR(IF('Invullen groen'!F167&gt;0,'Invullen groen'!F167,""),"")</f>
        <v/>
      </c>
      <c r="C141">
        <f>IFERROR(IF('Invullen groen'!N167&gt;0,'Invullen groen'!N167,""),"")</f>
        <v/>
      </c>
      <c r="D141">
        <f>IFERROR(IF('Invullen groen'!O167&lt;&gt;"",LEFT(TRIM('Invullen groen'!O167),36),""),"")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groen'!H167=0,"",INT('Invullen groen'!H167)),"")</f>
        <v/>
      </c>
      <c r="G141" s="236">
        <f>IFERROR(IF('Invullen groen'!I167=0,"",INT('Invullen groen'!I167)),"")</f>
        <v/>
      </c>
      <c r="H141" s="236">
        <f>IFERROR(IF('Invullen groen'!J167=0,"",INT('Invullen groen'!J167)),"")</f>
        <v/>
      </c>
      <c r="I141" s="236">
        <f>IFERROR(IF('Invullen groen'!K167=0,"",INT('Invullen groen'!K167)),"")</f>
        <v/>
      </c>
      <c r="J141">
        <f>IF('Invullen groen'!E167&gt;0,IFERROR($K$1&amp;" "&amp;TRIM(SUBSTITUTE(SUBSTITUTE(SUBSTITUTE(SUBSTITUTE(SUBSTITUTE(SUBSTITUTE(SUBSTITUTE(SUBSTITUTE(SUBSTITUTE(SUBSTITUTE(SUBSTITUTE(SUBSTITUTE(LOWER(IF(LEFT(TEXT('Invullen groen'!E167,"0"),1)="6",'Invullen groen'!O167,IF('Invullen groen'!N167&gt;0,'Invullen groen'!G167,'Invullen groen'!O167))),"2024",""),"2025",""),"2026",""),"2027",""),"2028",""),"2029",""),"taakveld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IFERROR(IF('Invullen groen'!E172&gt;0,'Invullen groen'!E172,""),"")</f>
        <v/>
      </c>
      <c r="B142">
        <f>IFERROR(IF('Invullen groen'!F172&gt;0,'Invullen groen'!F172,""),"")</f>
        <v/>
      </c>
      <c r="C142">
        <f>IFERROR(IF('Invullen groen'!N172&gt;0,'Invullen groen'!N172,""),"")</f>
        <v/>
      </c>
      <c r="D142">
        <f>IFERROR(IF('Invullen groen'!O172&lt;&gt;"",LEFT(TRIM('Invullen groen'!O172),36),""),"")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groen'!H172=0,"",INT('Invullen groen'!H172)),"")</f>
        <v/>
      </c>
      <c r="G142" s="236">
        <f>IFERROR(IF('Invullen groen'!I172=0,"",INT('Invullen groen'!I172)),"")</f>
        <v/>
      </c>
      <c r="H142" s="236">
        <f>IFERROR(IF('Invullen groen'!J172=0,"",INT('Invullen groen'!J172)),"")</f>
        <v/>
      </c>
      <c r="I142" s="236">
        <f>IFERROR(IF('Invullen groen'!K172=0,"",INT('Invullen groen'!K172)),"")</f>
        <v/>
      </c>
      <c r="J142">
        <f>IF('Invullen groen'!E172&gt;0,IFERROR($K$1&amp;" "&amp;TRIM(SUBSTITUTE(SUBSTITUTE(SUBSTITUTE(SUBSTITUTE(SUBSTITUTE(SUBSTITUTE(SUBSTITUTE(SUBSTITUTE(SUBSTITUTE(SUBSTITUTE(SUBSTITUTE(SUBSTITUTE(LOWER(IF(LEFT(TEXT('Invullen groen'!E172,"0"),1)="6",'Invullen groen'!O172,IF('Invullen groen'!N172&gt;0,'Invullen groen'!G172,'Invullen groen'!O172))),"2024",""),"2025",""),"2026",""),"2027",""),"2028",""),"2029",""),"taakveld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IFERROR(IF('Invullen groen'!E173&gt;0,'Invullen groen'!E173,""),"")</f>
        <v/>
      </c>
      <c r="B143">
        <f>IFERROR(IF('Invullen groen'!F173&gt;0,'Invullen groen'!F173,""),"")</f>
        <v/>
      </c>
      <c r="C143">
        <f>IFERROR(IF('Invullen groen'!N173&gt;0,'Invullen groen'!N173,""),"")</f>
        <v/>
      </c>
      <c r="D143">
        <f>IFERROR(IF('Invullen groen'!O173&lt;&gt;"",LEFT(TRIM('Invullen groen'!O173),36),""),"")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groen'!H173=0,"",INT('Invullen groen'!H173)),"")</f>
        <v/>
      </c>
      <c r="G143" s="236">
        <f>IFERROR(IF('Invullen groen'!I173=0,"",INT('Invullen groen'!I173)),"")</f>
        <v/>
      </c>
      <c r="H143" s="236">
        <f>IFERROR(IF('Invullen groen'!J173=0,"",INT('Invullen groen'!J173)),"")</f>
        <v/>
      </c>
      <c r="I143" s="236">
        <f>IFERROR(IF('Invullen groen'!K173=0,"",INT('Invullen groen'!K173)),"")</f>
        <v/>
      </c>
      <c r="J143">
        <f>IF('Invullen groen'!E173&gt;0,IFERROR($K$1&amp;" "&amp;TRIM(SUBSTITUTE(SUBSTITUTE(SUBSTITUTE(SUBSTITUTE(SUBSTITUTE(SUBSTITUTE(SUBSTITUTE(SUBSTITUTE(SUBSTITUTE(SUBSTITUTE(SUBSTITUTE(SUBSTITUTE(LOWER(IF(LEFT(TEXT('Invullen groen'!E173,"0"),1)="6",'Invullen groen'!O173,IF('Invullen groen'!N173&gt;0,'Invullen groen'!G173,'Invullen groen'!O173))),"2024",""),"2025",""),"2026",""),"2027",""),"2028",""),"2029",""),"taakveld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IFERROR(IF('Invullen groen'!E174&gt;0,'Invullen groen'!E174,""),"")</f>
        <v/>
      </c>
      <c r="B144">
        <f>IFERROR(IF('Invullen groen'!F174&gt;0,'Invullen groen'!F174,""),"")</f>
        <v/>
      </c>
      <c r="C144">
        <f>IFERROR(IF('Invullen groen'!N174&gt;0,'Invullen groen'!N174,""),"")</f>
        <v/>
      </c>
      <c r="D144">
        <f>IFERROR(IF('Invullen groen'!O174&lt;&gt;"",LEFT(TRIM('Invullen groen'!O174),36),""),"")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groen'!H174=0,"",INT('Invullen groen'!H174)),"")</f>
        <v/>
      </c>
      <c r="G144" s="236">
        <f>IFERROR(IF('Invullen groen'!I174=0,"",INT('Invullen groen'!I174)),"")</f>
        <v/>
      </c>
      <c r="H144" s="236">
        <f>IFERROR(IF('Invullen groen'!J174=0,"",INT('Invullen groen'!J174)),"")</f>
        <v/>
      </c>
      <c r="I144" s="236">
        <f>IFERROR(IF('Invullen groen'!K174=0,"",INT('Invullen groen'!K174)),"")</f>
        <v/>
      </c>
      <c r="J144">
        <f>IF('Invullen groen'!E174&gt;0,IFERROR($K$1&amp;" "&amp;TRIM(SUBSTITUTE(SUBSTITUTE(SUBSTITUTE(SUBSTITUTE(SUBSTITUTE(SUBSTITUTE(SUBSTITUTE(SUBSTITUTE(SUBSTITUTE(SUBSTITUTE(SUBSTITUTE(SUBSTITUTE(LOWER(IF(LEFT(TEXT('Invullen groen'!E174,"0"),1)="6",'Invullen groen'!O174,IF('Invullen groen'!N174&gt;0,'Invullen groen'!G174,'Invullen groen'!O174))),"2024",""),"2025",""),"2026",""),"2027",""),"2028",""),"2029",""),"taakveld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IFERROR(IF('Invullen groen'!E175&gt;0,'Invullen groen'!E175,""),"")</f>
        <v/>
      </c>
      <c r="B145">
        <f>IFERROR(IF('Invullen groen'!F175&gt;0,'Invullen groen'!F175,""),"")</f>
        <v/>
      </c>
      <c r="C145">
        <f>IFERROR(IF('Invullen groen'!N175&gt;0,'Invullen groen'!N175,""),"")</f>
        <v/>
      </c>
      <c r="D145">
        <f>IFERROR(IF('Invullen groen'!O175&lt;&gt;"",LEFT(TRIM('Invullen groen'!O175),36),""),"")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groen'!H175=0,"",INT('Invullen groen'!H175)),"")</f>
        <v/>
      </c>
      <c r="G145" s="236">
        <f>IFERROR(IF('Invullen groen'!I175=0,"",INT('Invullen groen'!I175)),"")</f>
        <v/>
      </c>
      <c r="H145" s="236">
        <f>IFERROR(IF('Invullen groen'!J175=0,"",INT('Invullen groen'!J175)),"")</f>
        <v/>
      </c>
      <c r="I145" s="236">
        <f>IFERROR(IF('Invullen groen'!K175=0,"",INT('Invullen groen'!K175)),"")</f>
        <v/>
      </c>
      <c r="J145">
        <f>IF('Invullen groen'!E175&gt;0,IFERROR($K$1&amp;" "&amp;TRIM(SUBSTITUTE(SUBSTITUTE(SUBSTITUTE(SUBSTITUTE(SUBSTITUTE(SUBSTITUTE(SUBSTITUTE(SUBSTITUTE(SUBSTITUTE(SUBSTITUTE(SUBSTITUTE(SUBSTITUTE(LOWER(IF(LEFT(TEXT('Invullen groen'!E175,"0"),1)="6",'Invullen groen'!O175,IF('Invullen groen'!N175&gt;0,'Invullen groen'!G175,'Invullen groen'!O175))),"2024",""),"2025",""),"2026",""),"2027",""),"2028",""),"2029",""),"taakveld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IFERROR(IF('Invullen groen'!E176&gt;0,'Invullen groen'!E176,""),"")</f>
        <v/>
      </c>
      <c r="B146">
        <f>IFERROR(IF('Invullen groen'!F176&gt;0,'Invullen groen'!F176,""),"")</f>
        <v/>
      </c>
      <c r="C146">
        <f>IFERROR(IF('Invullen groen'!N176&gt;0,'Invullen groen'!N176,""),"")</f>
        <v/>
      </c>
      <c r="D146">
        <f>IFERROR(IF('Invullen groen'!O176&lt;&gt;"",LEFT(TRIM('Invullen groen'!O176),36),""),"")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groen'!H176=0,"",INT('Invullen groen'!H176)),"")</f>
        <v/>
      </c>
      <c r="G146" s="236">
        <f>IFERROR(IF('Invullen groen'!I176=0,"",INT('Invullen groen'!I176)),"")</f>
        <v/>
      </c>
      <c r="H146" s="236">
        <f>IFERROR(IF('Invullen groen'!J176=0,"",INT('Invullen groen'!J176)),"")</f>
        <v/>
      </c>
      <c r="I146" s="236">
        <f>IFERROR(IF('Invullen groen'!K176=0,"",INT('Invullen groen'!K176)),"")</f>
        <v/>
      </c>
      <c r="J146">
        <f>IF('Invullen groen'!E176&gt;0,IFERROR($K$1&amp;" "&amp;TRIM(SUBSTITUTE(SUBSTITUTE(SUBSTITUTE(SUBSTITUTE(SUBSTITUTE(SUBSTITUTE(SUBSTITUTE(SUBSTITUTE(SUBSTITUTE(SUBSTITUTE(SUBSTITUTE(SUBSTITUTE(LOWER(IF(LEFT(TEXT('Invullen groen'!E176,"0"),1)="6",'Invullen groen'!O176,IF('Invullen groen'!N176&gt;0,'Invullen groen'!G176,'Invullen groen'!O176))),"2024",""),"2025",""),"2026",""),"2027",""),"2028",""),"2029",""),"taakveld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IFERROR(IF('Invullen groen'!E177&gt;0,'Invullen groen'!E177,""),"")</f>
        <v/>
      </c>
      <c r="B147">
        <f>IFERROR(IF('Invullen groen'!F177&gt;0,'Invullen groen'!F177,""),"")</f>
        <v/>
      </c>
      <c r="C147">
        <f>IFERROR(IF('Invullen groen'!N177&gt;0,'Invullen groen'!N177,""),"")</f>
        <v/>
      </c>
      <c r="D147">
        <f>IFERROR(IF('Invullen groen'!O177&lt;&gt;"",LEFT(TRIM('Invullen groen'!O177),36),""),"")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groen'!H177=0,"",INT('Invullen groen'!H177)),"")</f>
        <v/>
      </c>
      <c r="G147" s="236">
        <f>IFERROR(IF('Invullen groen'!I177=0,"",INT('Invullen groen'!I177)),"")</f>
        <v/>
      </c>
      <c r="H147" s="236">
        <f>IFERROR(IF('Invullen groen'!J177=0,"",INT('Invullen groen'!J177)),"")</f>
        <v/>
      </c>
      <c r="I147" s="236">
        <f>IFERROR(IF('Invullen groen'!K177=0,"",INT('Invullen groen'!K177)),"")</f>
        <v/>
      </c>
      <c r="J147">
        <f>IF('Invullen groen'!E177&gt;0,IFERROR($K$1&amp;" "&amp;TRIM(SUBSTITUTE(SUBSTITUTE(SUBSTITUTE(SUBSTITUTE(SUBSTITUTE(SUBSTITUTE(SUBSTITUTE(SUBSTITUTE(SUBSTITUTE(SUBSTITUTE(SUBSTITUTE(SUBSTITUTE(LOWER(IF(LEFT(TEXT('Invullen groen'!E177,"0"),1)="6",'Invullen groen'!O177,IF('Invullen groen'!N177&gt;0,'Invullen groen'!G177,'Invullen groen'!O177))),"2024",""),"2025",""),"2026",""),"2027",""),"2028",""),"2029",""),"taakveld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IFERROR(IF('Invullen groen'!E178&gt;0,'Invullen groen'!E178,""),"")</f>
        <v/>
      </c>
      <c r="B148">
        <f>IFERROR(IF('Invullen groen'!F178&gt;0,'Invullen groen'!F178,""),"")</f>
        <v/>
      </c>
      <c r="C148">
        <f>IFERROR(IF('Invullen groen'!N178&gt;0,'Invullen groen'!N178,""),"")</f>
        <v/>
      </c>
      <c r="D148">
        <f>IFERROR(IF('Invullen groen'!O178&lt;&gt;"",LEFT(TRIM('Invullen groen'!O178),36),""),"")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groen'!H178=0,"",INT('Invullen groen'!H178)),"")</f>
        <v/>
      </c>
      <c r="G148" s="236">
        <f>IFERROR(IF('Invullen groen'!I178=0,"",INT('Invullen groen'!I178)),"")</f>
        <v/>
      </c>
      <c r="H148" s="236">
        <f>IFERROR(IF('Invullen groen'!J178=0,"",INT('Invullen groen'!J178)),"")</f>
        <v/>
      </c>
      <c r="I148" s="236">
        <f>IFERROR(IF('Invullen groen'!K178=0,"",INT('Invullen groen'!K178)),"")</f>
        <v/>
      </c>
      <c r="J148">
        <f>IF('Invullen groen'!E178&gt;0,IFERROR($K$1&amp;" "&amp;TRIM(SUBSTITUTE(SUBSTITUTE(SUBSTITUTE(SUBSTITUTE(SUBSTITUTE(SUBSTITUTE(SUBSTITUTE(SUBSTITUTE(SUBSTITUTE(SUBSTITUTE(SUBSTITUTE(SUBSTITUTE(LOWER(IF(LEFT(TEXT('Invullen groen'!E178,"0"),1)="6",'Invullen groen'!O178,IF('Invullen groen'!N178&gt;0,'Invullen groen'!G178,'Invullen groen'!O178))),"2024",""),"2025",""),"2026",""),"2027",""),"2028",""),"2029",""),"taakveld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IFERROR(IF('Invullen groen'!E179&gt;0,'Invullen groen'!E179,""),"")</f>
        <v/>
      </c>
      <c r="B149">
        <f>IFERROR(IF('Invullen groen'!F179&gt;0,'Invullen groen'!F179,""),"")</f>
        <v/>
      </c>
      <c r="C149">
        <f>IFERROR(IF('Invullen groen'!N179&gt;0,'Invullen groen'!N179,""),"")</f>
        <v/>
      </c>
      <c r="D149">
        <f>IFERROR(IF('Invullen groen'!O179&lt;&gt;"",LEFT(TRIM('Invullen groen'!O179),36),""),"")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groen'!H179=0,"",INT('Invullen groen'!H179)),"")</f>
        <v/>
      </c>
      <c r="G149" s="236">
        <f>IFERROR(IF('Invullen groen'!I179=0,"",INT('Invullen groen'!I179)),"")</f>
        <v/>
      </c>
      <c r="H149" s="236">
        <f>IFERROR(IF('Invullen groen'!J179=0,"",INT('Invullen groen'!J179)),"")</f>
        <v/>
      </c>
      <c r="I149" s="236">
        <f>IFERROR(IF('Invullen groen'!K179=0,"",INT('Invullen groen'!K179)),"")</f>
        <v/>
      </c>
      <c r="J149">
        <f>IF('Invullen groen'!E179&gt;0,IFERROR($K$1&amp;" "&amp;TRIM(SUBSTITUTE(SUBSTITUTE(SUBSTITUTE(SUBSTITUTE(SUBSTITUTE(SUBSTITUTE(SUBSTITUTE(SUBSTITUTE(SUBSTITUTE(SUBSTITUTE(SUBSTITUTE(SUBSTITUTE(LOWER(IF(LEFT(TEXT('Invullen groen'!E179,"0"),1)="6",'Invullen groen'!O179,IF('Invullen groen'!N179&gt;0,'Invullen groen'!G179,'Invullen groen'!O179))),"2024",""),"2025",""),"2026",""),"2027",""),"2028",""),"2029",""),"taakveld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IFERROR(IF('Invullen groen'!E180&gt;0,'Invullen groen'!E180,""),"")</f>
        <v/>
      </c>
      <c r="B150">
        <f>IFERROR(IF('Invullen groen'!F180&gt;0,'Invullen groen'!F180,""),"")</f>
        <v/>
      </c>
      <c r="C150">
        <f>IFERROR(IF('Invullen groen'!N180&gt;0,'Invullen groen'!N180,""),"")</f>
        <v/>
      </c>
      <c r="D150">
        <f>IFERROR(IF('Invullen groen'!O180&lt;&gt;"",LEFT(TRIM('Invullen groen'!O180),36),""),"")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groen'!H180=0,"",INT('Invullen groen'!H180)),"")</f>
        <v/>
      </c>
      <c r="G150" s="236">
        <f>IFERROR(IF('Invullen groen'!I180=0,"",INT('Invullen groen'!I180)),"")</f>
        <v/>
      </c>
      <c r="H150" s="236">
        <f>IFERROR(IF('Invullen groen'!J180=0,"",INT('Invullen groen'!J180)),"")</f>
        <v/>
      </c>
      <c r="I150" s="236">
        <f>IFERROR(IF('Invullen groen'!K180=0,"",INT('Invullen groen'!K180)),"")</f>
        <v/>
      </c>
      <c r="J150">
        <f>IF('Invullen groen'!E180&gt;0,IFERROR($K$1&amp;" "&amp;TRIM(SUBSTITUTE(SUBSTITUTE(SUBSTITUTE(SUBSTITUTE(SUBSTITUTE(SUBSTITUTE(SUBSTITUTE(SUBSTITUTE(SUBSTITUTE(SUBSTITUTE(SUBSTITUTE(SUBSTITUTE(LOWER(IF(LEFT(TEXT('Invullen groen'!E180,"0"),1)="6",'Invullen groen'!O180,IF('Invullen groen'!N180&gt;0,'Invullen groen'!G180,'Invullen groen'!O180))),"2024",""),"2025",""),"2026",""),"2027",""),"2028",""),"2029",""),"taakveld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IFERROR(IF('Invullen groen'!E181&gt;0,'Invullen groen'!E181,""),"")</f>
        <v/>
      </c>
      <c r="B151">
        <f>IFERROR(IF('Invullen groen'!F181&gt;0,'Invullen groen'!F181,""),"")</f>
        <v/>
      </c>
      <c r="C151">
        <f>IFERROR(IF('Invullen groen'!N181&gt;0,'Invullen groen'!N181,""),"")</f>
        <v/>
      </c>
      <c r="D151">
        <f>IFERROR(IF('Invullen groen'!O181&lt;&gt;"",LEFT(TRIM('Invullen groen'!O181),36),""),"")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groen'!H181=0,"",INT('Invullen groen'!H181)),"")</f>
        <v/>
      </c>
      <c r="G151" s="236">
        <f>IFERROR(IF('Invullen groen'!I181=0,"",INT('Invullen groen'!I181)),"")</f>
        <v/>
      </c>
      <c r="H151" s="236">
        <f>IFERROR(IF('Invullen groen'!J181=0,"",INT('Invullen groen'!J181)),"")</f>
        <v/>
      </c>
      <c r="I151" s="236">
        <f>IFERROR(IF('Invullen groen'!K181=0,"",INT('Invullen groen'!K181)),"")</f>
        <v/>
      </c>
      <c r="J151">
        <f>IF('Invullen groen'!E181&gt;0,IFERROR($K$1&amp;" "&amp;TRIM(SUBSTITUTE(SUBSTITUTE(SUBSTITUTE(SUBSTITUTE(SUBSTITUTE(SUBSTITUTE(SUBSTITUTE(SUBSTITUTE(SUBSTITUTE(SUBSTITUTE(SUBSTITUTE(SUBSTITUTE(LOWER(IF(LEFT(TEXT('Invullen groen'!E181,"0"),1)="6",'Invullen groen'!O181,IF('Invullen groen'!N181&gt;0,'Invullen groen'!G181,'Invullen groen'!O181))),"2024",""),"2025",""),"2026",""),"2027",""),"2028",""),"2029",""),"taakveld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IFERROR(IF('Invullen groen'!E182&gt;0,'Invullen groen'!E182,""),"")</f>
        <v/>
      </c>
      <c r="B152">
        <f>IFERROR(IF('Invullen groen'!F182&gt;0,'Invullen groen'!F182,""),"")</f>
        <v/>
      </c>
      <c r="C152">
        <f>IFERROR(IF('Invullen groen'!N182&gt;0,'Invullen groen'!N182,""),"")</f>
        <v/>
      </c>
      <c r="D152">
        <f>IFERROR(IF('Invullen groen'!O182&lt;&gt;"",LEFT(TRIM('Invullen groen'!O182),36),""),"")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groen'!H182=0,"",INT('Invullen groen'!H182)),"")</f>
        <v/>
      </c>
      <c r="G152" s="236">
        <f>IFERROR(IF('Invullen groen'!I182=0,"",INT('Invullen groen'!I182)),"")</f>
        <v/>
      </c>
      <c r="H152" s="236">
        <f>IFERROR(IF('Invullen groen'!J182=0,"",INT('Invullen groen'!J182)),"")</f>
        <v/>
      </c>
      <c r="I152" s="236">
        <f>IFERROR(IF('Invullen groen'!K182=0,"",INT('Invullen groen'!K182)),"")</f>
        <v/>
      </c>
      <c r="J152">
        <f>IF('Invullen groen'!E182&gt;0,IFERROR($K$1&amp;" "&amp;TRIM(SUBSTITUTE(SUBSTITUTE(SUBSTITUTE(SUBSTITUTE(SUBSTITUTE(SUBSTITUTE(SUBSTITUTE(SUBSTITUTE(SUBSTITUTE(SUBSTITUTE(SUBSTITUTE(SUBSTITUTE(LOWER(IF(LEFT(TEXT('Invullen groen'!E182,"0"),1)="6",'Invullen groen'!O182,IF('Invullen groen'!N182&gt;0,'Invullen groen'!G182,'Invullen groen'!O182))),"2024",""),"2025",""),"2026",""),"2027",""),"2028",""),"2029",""),"taakveld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IFERROR(IF('Invullen groen'!E183&gt;0,'Invullen groen'!E183,""),"")</f>
        <v/>
      </c>
      <c r="B153">
        <f>IFERROR(IF('Invullen groen'!F183&gt;0,'Invullen groen'!F183,""),"")</f>
        <v/>
      </c>
      <c r="C153">
        <f>IFERROR(IF('Invullen groen'!N183&gt;0,'Invullen groen'!N183,""),"")</f>
        <v/>
      </c>
      <c r="D153">
        <f>IFERROR(IF('Invullen groen'!O183&lt;&gt;"",LEFT(TRIM('Invullen groen'!O183),36),""),"")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groen'!H183=0,"",INT('Invullen groen'!H183)),"")</f>
        <v/>
      </c>
      <c r="G153" s="236">
        <f>IFERROR(IF('Invullen groen'!I183=0,"",INT('Invullen groen'!I183)),"")</f>
        <v/>
      </c>
      <c r="H153" s="236">
        <f>IFERROR(IF('Invullen groen'!J183=0,"",INT('Invullen groen'!J183)),"")</f>
        <v/>
      </c>
      <c r="I153" s="236">
        <f>IFERROR(IF('Invullen groen'!K183=0,"",INT('Invullen groen'!K183)),"")</f>
        <v/>
      </c>
      <c r="J153">
        <f>IF('Invullen groen'!E183&gt;0,IFERROR($K$1&amp;" "&amp;TRIM(SUBSTITUTE(SUBSTITUTE(SUBSTITUTE(SUBSTITUTE(SUBSTITUTE(SUBSTITUTE(SUBSTITUTE(SUBSTITUTE(SUBSTITUTE(SUBSTITUTE(SUBSTITUTE(SUBSTITUTE(LOWER(IF(LEFT(TEXT('Invullen groen'!E183,"0"),1)="6",'Invullen groen'!O183,IF('Invullen groen'!N183&gt;0,'Invullen groen'!G183,'Invullen groen'!O183))),"2024",""),"2025",""),"2026",""),"2027",""),"2028",""),"2029",""),"taakveld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IFERROR(IF('Invullen groen'!E184&gt;0,'Invullen groen'!E184,""),"")</f>
        <v/>
      </c>
      <c r="B154">
        <f>IFERROR(IF('Invullen groen'!F184&gt;0,'Invullen groen'!F184,""),"")</f>
        <v/>
      </c>
      <c r="C154">
        <f>IFERROR(IF('Invullen groen'!N184&gt;0,'Invullen groen'!N184,""),"")</f>
        <v/>
      </c>
      <c r="D154">
        <f>IFERROR(IF('Invullen groen'!O184&lt;&gt;"",LEFT(TRIM('Invullen groen'!O184),36),""),"")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groen'!H184=0,"",INT('Invullen groen'!H184)),"")</f>
        <v/>
      </c>
      <c r="G154" s="236">
        <f>IFERROR(IF('Invullen groen'!I184=0,"",INT('Invullen groen'!I184)),"")</f>
        <v/>
      </c>
      <c r="H154" s="236">
        <f>IFERROR(IF('Invullen groen'!J184=0,"",INT('Invullen groen'!J184)),"")</f>
        <v/>
      </c>
      <c r="I154" s="236">
        <f>IFERROR(IF('Invullen groen'!K184=0,"",INT('Invullen groen'!K184)),"")</f>
        <v/>
      </c>
      <c r="J154">
        <f>IF('Invullen groen'!E184&gt;0,IFERROR($K$1&amp;" "&amp;TRIM(SUBSTITUTE(SUBSTITUTE(SUBSTITUTE(SUBSTITUTE(SUBSTITUTE(SUBSTITUTE(SUBSTITUTE(SUBSTITUTE(SUBSTITUTE(SUBSTITUTE(SUBSTITUTE(SUBSTITUTE(LOWER(IF(LEFT(TEXT('Invullen groen'!E184,"0"),1)="6",'Invullen groen'!O184,IF('Invullen groen'!N184&gt;0,'Invullen groen'!G184,'Invullen groen'!O184))),"2024",""),"2025",""),"2026",""),"2027",""),"2028",""),"2029",""),"taakveld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IFERROR(IF('Invullen groen'!E185&gt;0,'Invullen groen'!E185,""),"")</f>
        <v/>
      </c>
      <c r="B155">
        <f>IFERROR(IF('Invullen groen'!F185&gt;0,'Invullen groen'!F185,""),"")</f>
        <v/>
      </c>
      <c r="C155">
        <f>IFERROR(IF('Invullen groen'!N185&gt;0,'Invullen groen'!N185,""),"")</f>
        <v/>
      </c>
      <c r="D155">
        <f>IFERROR(IF('Invullen groen'!O185&lt;&gt;"",LEFT(TRIM('Invullen groen'!O185),36),""),"")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groen'!H185=0,"",INT('Invullen groen'!H185)),"")</f>
        <v/>
      </c>
      <c r="G155" s="236">
        <f>IFERROR(IF('Invullen groen'!I185=0,"",INT('Invullen groen'!I185)),"")</f>
        <v/>
      </c>
      <c r="H155" s="236">
        <f>IFERROR(IF('Invullen groen'!J185=0,"",INT('Invullen groen'!J185)),"")</f>
        <v/>
      </c>
      <c r="I155" s="236">
        <f>IFERROR(IF('Invullen groen'!K185=0,"",INT('Invullen groen'!K185)),"")</f>
        <v/>
      </c>
      <c r="J155">
        <f>IF('Invullen groen'!E185&gt;0,IFERROR($K$1&amp;" "&amp;TRIM(SUBSTITUTE(SUBSTITUTE(SUBSTITUTE(SUBSTITUTE(SUBSTITUTE(SUBSTITUTE(SUBSTITUTE(SUBSTITUTE(SUBSTITUTE(SUBSTITUTE(SUBSTITUTE(SUBSTITUTE(LOWER(IF(LEFT(TEXT('Invullen groen'!E185,"0"),1)="6",'Invullen groen'!O185,IF('Invullen groen'!N185&gt;0,'Invullen groen'!G185,'Invullen groen'!O185))),"2024",""),"2025",""),"2026",""),"2027",""),"2028",""),"2029",""),"taakveld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IFERROR(IF('Invullen groen'!E186&gt;0,'Invullen groen'!E186,""),"")</f>
        <v/>
      </c>
      <c r="B156">
        <f>IFERROR(IF('Invullen groen'!F186&gt;0,'Invullen groen'!F186,""),"")</f>
        <v/>
      </c>
      <c r="C156">
        <f>IFERROR(IF('Invullen groen'!N186&gt;0,'Invullen groen'!N186,""),"")</f>
        <v/>
      </c>
      <c r="D156">
        <f>IFERROR(IF('Invullen groen'!O186&lt;&gt;"",LEFT(TRIM('Invullen groen'!O186),36),""),"")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groen'!H186=0,"",INT('Invullen groen'!H186)),"")</f>
        <v/>
      </c>
      <c r="G156" s="236">
        <f>IFERROR(IF('Invullen groen'!I186=0,"",INT('Invullen groen'!I186)),"")</f>
        <v/>
      </c>
      <c r="H156" s="236">
        <f>IFERROR(IF('Invullen groen'!J186=0,"",INT('Invullen groen'!J186)),"")</f>
        <v/>
      </c>
      <c r="I156" s="236">
        <f>IFERROR(IF('Invullen groen'!K186=0,"",INT('Invullen groen'!K186)),"")</f>
        <v/>
      </c>
      <c r="J156">
        <f>IF('Invullen groen'!E186&gt;0,IFERROR($K$1&amp;" "&amp;TRIM(SUBSTITUTE(SUBSTITUTE(SUBSTITUTE(SUBSTITUTE(SUBSTITUTE(SUBSTITUTE(SUBSTITUTE(SUBSTITUTE(SUBSTITUTE(SUBSTITUTE(SUBSTITUTE(SUBSTITUTE(LOWER(IF(LEFT(TEXT('Invullen groen'!E186,"0"),1)="6",'Invullen groen'!O186,IF('Invullen groen'!N186&gt;0,'Invullen groen'!G186,'Invullen groen'!O186))),"2024",""),"2025",""),"2026",""),"2027",""),"2028",""),"2029",""),"taakveld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IFERROR(IF('Invullen groen'!E187&gt;0,'Invullen groen'!E187,""),"")</f>
        <v/>
      </c>
      <c r="B157">
        <f>IFERROR(IF('Invullen groen'!F187&gt;0,'Invullen groen'!F187,""),"")</f>
        <v/>
      </c>
      <c r="C157">
        <f>IFERROR(IF('Invullen groen'!N187&gt;0,'Invullen groen'!N187,""),"")</f>
        <v/>
      </c>
      <c r="D157">
        <f>IFERROR(IF('Invullen groen'!O187&lt;&gt;"",LEFT(TRIM('Invullen groen'!O187),36),""),"")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groen'!H187=0,"",INT('Invullen groen'!H187)),"")</f>
        <v/>
      </c>
      <c r="G157" s="236">
        <f>IFERROR(IF('Invullen groen'!I187=0,"",INT('Invullen groen'!I187)),"")</f>
        <v/>
      </c>
      <c r="H157" s="236">
        <f>IFERROR(IF('Invullen groen'!J187=0,"",INT('Invullen groen'!J187)),"")</f>
        <v/>
      </c>
      <c r="I157" s="236">
        <f>IFERROR(IF('Invullen groen'!K187=0,"",INT('Invullen groen'!K187)),"")</f>
        <v/>
      </c>
      <c r="J157">
        <f>IF('Invullen groen'!E187&gt;0,IFERROR($K$1&amp;" "&amp;TRIM(SUBSTITUTE(SUBSTITUTE(SUBSTITUTE(SUBSTITUTE(SUBSTITUTE(SUBSTITUTE(SUBSTITUTE(SUBSTITUTE(SUBSTITUTE(SUBSTITUTE(SUBSTITUTE(SUBSTITUTE(LOWER(IF(LEFT(TEXT('Invullen groen'!E187,"0"),1)="6",'Invullen groen'!O187,IF('Invullen groen'!N187&gt;0,'Invullen groen'!G187,'Invullen groen'!O187))),"2024",""),"2025",""),"2026",""),"2027",""),"2028",""),"2029",""),"taakveld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IFERROR(IF('Invullen groen'!E188&gt;0,'Invullen groen'!E188,""),"")</f>
        <v/>
      </c>
      <c r="B158">
        <f>IFERROR(IF('Invullen groen'!F188&gt;0,'Invullen groen'!F188,""),"")</f>
        <v/>
      </c>
      <c r="C158">
        <f>IFERROR(IF('Invullen groen'!N188&gt;0,'Invullen groen'!N188,""),"")</f>
        <v/>
      </c>
      <c r="D158">
        <f>IFERROR(IF('Invullen groen'!O188&lt;&gt;"",LEFT(TRIM('Invullen groen'!O188),36),""),"")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groen'!H188=0,"",INT('Invullen groen'!H188)),"")</f>
        <v/>
      </c>
      <c r="G158" s="236">
        <f>IFERROR(IF('Invullen groen'!I188=0,"",INT('Invullen groen'!I188)),"")</f>
        <v/>
      </c>
      <c r="H158" s="236">
        <f>IFERROR(IF('Invullen groen'!J188=0,"",INT('Invullen groen'!J188)),"")</f>
        <v/>
      </c>
      <c r="I158" s="236">
        <f>IFERROR(IF('Invullen groen'!K188=0,"",INT('Invullen groen'!K188)),"")</f>
        <v/>
      </c>
      <c r="J158">
        <f>IF('Invullen groen'!E188&gt;0,IFERROR($K$1&amp;" "&amp;TRIM(SUBSTITUTE(SUBSTITUTE(SUBSTITUTE(SUBSTITUTE(SUBSTITUTE(SUBSTITUTE(SUBSTITUTE(SUBSTITUTE(SUBSTITUTE(SUBSTITUTE(SUBSTITUTE(SUBSTITUTE(LOWER(IF(LEFT(TEXT('Invullen groen'!E188,"0"),1)="6",'Invullen groen'!O188,IF('Invullen groen'!N188&gt;0,'Invullen groen'!G188,'Invullen groen'!O188))),"2024",""),"2025",""),"2026",""),"2027",""),"2028",""),"2029",""),"taakveld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IFERROR(IF('Invullen groen'!E189&gt;0,'Invullen groen'!E189,""),"")</f>
        <v/>
      </c>
      <c r="B159">
        <f>IFERROR(IF('Invullen groen'!F189&gt;0,'Invullen groen'!F189,""),"")</f>
        <v/>
      </c>
      <c r="C159">
        <f>IFERROR(IF('Invullen groen'!N189&gt;0,'Invullen groen'!N189,""),"")</f>
        <v/>
      </c>
      <c r="D159">
        <f>IFERROR(IF('Invullen groen'!O189&lt;&gt;"",LEFT(TRIM('Invullen groen'!O189),36),""),"")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groen'!H189=0,"",INT('Invullen groen'!H189)),"")</f>
        <v/>
      </c>
      <c r="G159" s="236">
        <f>IFERROR(IF('Invullen groen'!I189=0,"",INT('Invullen groen'!I189)),"")</f>
        <v/>
      </c>
      <c r="H159" s="236">
        <f>IFERROR(IF('Invullen groen'!J189=0,"",INT('Invullen groen'!J189)),"")</f>
        <v/>
      </c>
      <c r="I159" s="236">
        <f>IFERROR(IF('Invullen groen'!K189=0,"",INT('Invullen groen'!K189)),"")</f>
        <v/>
      </c>
      <c r="J159">
        <f>IF('Invullen groen'!E189&gt;0,IFERROR($K$1&amp;" "&amp;TRIM(SUBSTITUTE(SUBSTITUTE(SUBSTITUTE(SUBSTITUTE(SUBSTITUTE(SUBSTITUTE(SUBSTITUTE(SUBSTITUTE(SUBSTITUTE(SUBSTITUTE(SUBSTITUTE(SUBSTITUTE(LOWER(IF(LEFT(TEXT('Invullen groen'!E189,"0"),1)="6",'Invullen groen'!O189,IF('Invullen groen'!N189&gt;0,'Invullen groen'!G189,'Invullen groen'!O189))),"2024",""),"2025",""),"2026",""),"2027",""),"2028",""),"2029",""),"taakveld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IFERROR(IF('Invullen groen'!E190&gt;0,'Invullen groen'!E190,""),"")</f>
        <v/>
      </c>
      <c r="B160">
        <f>IFERROR(IF('Invullen groen'!F190&gt;0,'Invullen groen'!F190,""),"")</f>
        <v/>
      </c>
      <c r="C160">
        <f>IFERROR(IF('Invullen groen'!N190&gt;0,'Invullen groen'!N190,""),"")</f>
        <v/>
      </c>
      <c r="D160">
        <f>IFERROR(IF('Invullen groen'!O190&lt;&gt;"",LEFT(TRIM('Invullen groen'!O190),36),""),"")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groen'!H190=0,"",INT('Invullen groen'!H190)),"")</f>
        <v/>
      </c>
      <c r="G160" s="236">
        <f>IFERROR(IF('Invullen groen'!I190=0,"",INT('Invullen groen'!I190)),"")</f>
        <v/>
      </c>
      <c r="H160" s="236">
        <f>IFERROR(IF('Invullen groen'!J190=0,"",INT('Invullen groen'!J190)),"")</f>
        <v/>
      </c>
      <c r="I160" s="236">
        <f>IFERROR(IF('Invullen groen'!K190=0,"",INT('Invullen groen'!K190)),"")</f>
        <v/>
      </c>
      <c r="J160">
        <f>IF('Invullen groen'!E190&gt;0,IFERROR($K$1&amp;" "&amp;TRIM(SUBSTITUTE(SUBSTITUTE(SUBSTITUTE(SUBSTITUTE(SUBSTITUTE(SUBSTITUTE(SUBSTITUTE(SUBSTITUTE(SUBSTITUTE(SUBSTITUTE(SUBSTITUTE(SUBSTITUTE(LOWER(IF(LEFT(TEXT('Invullen groen'!E190,"0"),1)="6",'Invullen groen'!O190,IF('Invullen groen'!N190&gt;0,'Invullen groen'!G190,'Invullen groen'!O190))),"2024",""),"2025",""),"2026",""),"2027",""),"2028",""),"2029",""),"taakveld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IFERROR(IF('Invullen groen'!E191&gt;0,'Invullen groen'!E191,""),"")</f>
        <v/>
      </c>
      <c r="B161">
        <f>IFERROR(IF('Invullen groen'!F191&gt;0,'Invullen groen'!F191,""),"")</f>
        <v/>
      </c>
      <c r="C161">
        <f>IFERROR(IF('Invullen groen'!N191&gt;0,'Invullen groen'!N191,""),"")</f>
        <v/>
      </c>
      <c r="D161">
        <f>IFERROR(IF('Invullen groen'!O191&lt;&gt;"",LEFT(TRIM('Invullen groen'!O191),36),""),"")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groen'!H191=0,"",INT('Invullen groen'!H191)),"")</f>
        <v/>
      </c>
      <c r="G161" s="236">
        <f>IFERROR(IF('Invullen groen'!I191=0,"",INT('Invullen groen'!I191)),"")</f>
        <v/>
      </c>
      <c r="H161" s="236">
        <f>IFERROR(IF('Invullen groen'!J191=0,"",INT('Invullen groen'!J191)),"")</f>
        <v/>
      </c>
      <c r="I161" s="236">
        <f>IFERROR(IF('Invullen groen'!K191=0,"",INT('Invullen groen'!K191)),"")</f>
        <v/>
      </c>
      <c r="J161">
        <f>IF('Invullen groen'!E191&gt;0,IFERROR($K$1&amp;" "&amp;TRIM(SUBSTITUTE(SUBSTITUTE(SUBSTITUTE(SUBSTITUTE(SUBSTITUTE(SUBSTITUTE(SUBSTITUTE(SUBSTITUTE(SUBSTITUTE(SUBSTITUTE(SUBSTITUTE(SUBSTITUTE(LOWER(IF(LEFT(TEXT('Invullen groen'!E191,"0"),1)="6",'Invullen groen'!O191,IF('Invullen groen'!N191&gt;0,'Invullen groen'!G191,'Invullen groen'!O191))),"2024",""),"2025",""),"2026",""),"2027",""),"2028",""),"2029",""),"taakveld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IFERROR(IF('Invullen groen'!E192&gt;0,'Invullen groen'!E192,""),"")</f>
        <v/>
      </c>
      <c r="B162">
        <f>IFERROR(IF('Invullen groen'!F192&gt;0,'Invullen groen'!F192,""),"")</f>
        <v/>
      </c>
      <c r="C162">
        <f>IFERROR(IF('Invullen groen'!N192&gt;0,'Invullen groen'!N192,""),"")</f>
        <v/>
      </c>
      <c r="D162">
        <f>IFERROR(IF('Invullen groen'!O192&lt;&gt;"",LEFT(TRIM('Invullen groen'!O192),36),""),"")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groen'!H192=0,"",INT('Invullen groen'!H192)),"")</f>
        <v/>
      </c>
      <c r="G162" s="236">
        <f>IFERROR(IF('Invullen groen'!I192=0,"",INT('Invullen groen'!I192)),"")</f>
        <v/>
      </c>
      <c r="H162" s="236">
        <f>IFERROR(IF('Invullen groen'!J192=0,"",INT('Invullen groen'!J192)),"")</f>
        <v/>
      </c>
      <c r="I162" s="236">
        <f>IFERROR(IF('Invullen groen'!K192=0,"",INT('Invullen groen'!K192)),"")</f>
        <v/>
      </c>
      <c r="J162">
        <f>IF('Invullen groen'!E192&gt;0,IFERROR($K$1&amp;" "&amp;TRIM(SUBSTITUTE(SUBSTITUTE(SUBSTITUTE(SUBSTITUTE(SUBSTITUTE(SUBSTITUTE(SUBSTITUTE(SUBSTITUTE(SUBSTITUTE(SUBSTITUTE(SUBSTITUTE(SUBSTITUTE(LOWER(IF(LEFT(TEXT('Invullen groen'!E192,"0"),1)="6",'Invullen groen'!O192,IF('Invullen groen'!N192&gt;0,'Invullen groen'!G192,'Invullen groen'!O192))),"2024",""),"2025",""),"2026",""),"2027",""),"2028",""),"2029",""),"taakveld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IFERROR(IF('Invullen groen'!E193&gt;0,'Invullen groen'!E193,""),"")</f>
        <v/>
      </c>
      <c r="B163">
        <f>IFERROR(IF('Invullen groen'!F193&gt;0,'Invullen groen'!F193,""),"")</f>
        <v/>
      </c>
      <c r="C163">
        <f>IFERROR(IF('Invullen groen'!N193&gt;0,'Invullen groen'!N193,""),"")</f>
        <v/>
      </c>
      <c r="D163">
        <f>IFERROR(IF('Invullen groen'!O193&lt;&gt;"",LEFT(TRIM('Invullen groen'!O193),36),""),"")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groen'!H193=0,"",INT('Invullen groen'!H193)),"")</f>
        <v/>
      </c>
      <c r="G163" s="236">
        <f>IFERROR(IF('Invullen groen'!I193=0,"",INT('Invullen groen'!I193)),"")</f>
        <v/>
      </c>
      <c r="H163" s="236">
        <f>IFERROR(IF('Invullen groen'!J193=0,"",INT('Invullen groen'!J193)),"")</f>
        <v/>
      </c>
      <c r="I163" s="236">
        <f>IFERROR(IF('Invullen groen'!K193=0,"",INT('Invullen groen'!K193)),"")</f>
        <v/>
      </c>
      <c r="J163">
        <f>IF('Invullen groen'!E193&gt;0,IFERROR($K$1&amp;" "&amp;TRIM(SUBSTITUTE(SUBSTITUTE(SUBSTITUTE(SUBSTITUTE(SUBSTITUTE(SUBSTITUTE(SUBSTITUTE(SUBSTITUTE(SUBSTITUTE(SUBSTITUTE(SUBSTITUTE(SUBSTITUTE(LOWER(IF(LEFT(TEXT('Invullen groen'!E193,"0"),1)="6",'Invullen groen'!O193,IF('Invullen groen'!N193&gt;0,'Invullen groen'!G193,'Invullen groen'!O193))),"2024",""),"2025",""),"2026",""),"2027",""),"2028",""),"2029",""),"taakveld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IFERROR(IF('Invullen groen'!E194&gt;0,'Invullen groen'!E194,""),"")</f>
        <v/>
      </c>
      <c r="B164">
        <f>IFERROR(IF('Invullen groen'!F194&gt;0,'Invullen groen'!F194,""),"")</f>
        <v/>
      </c>
      <c r="C164">
        <f>IFERROR(IF('Invullen groen'!N194&gt;0,'Invullen groen'!N194,""),"")</f>
        <v/>
      </c>
      <c r="D164">
        <f>IFERROR(IF('Invullen groen'!O194&lt;&gt;"",LEFT(TRIM('Invullen groen'!O194),36),""),"")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groen'!H194=0,"",INT('Invullen groen'!H194)),"")</f>
        <v/>
      </c>
      <c r="G164" s="236">
        <f>IFERROR(IF('Invullen groen'!I194=0,"",INT('Invullen groen'!I194)),"")</f>
        <v/>
      </c>
      <c r="H164" s="236">
        <f>IFERROR(IF('Invullen groen'!J194=0,"",INT('Invullen groen'!J194)),"")</f>
        <v/>
      </c>
      <c r="I164" s="236">
        <f>IFERROR(IF('Invullen groen'!K194=0,"",INT('Invullen groen'!K194)),"")</f>
        <v/>
      </c>
      <c r="J164">
        <f>IF('Invullen groen'!E194&gt;0,IFERROR($K$1&amp;" "&amp;TRIM(SUBSTITUTE(SUBSTITUTE(SUBSTITUTE(SUBSTITUTE(SUBSTITUTE(SUBSTITUTE(SUBSTITUTE(SUBSTITUTE(SUBSTITUTE(SUBSTITUTE(SUBSTITUTE(SUBSTITUTE(LOWER(IF(LEFT(TEXT('Invullen groen'!E194,"0"),1)="6",'Invullen groen'!O194,IF('Invullen groen'!N194&gt;0,'Invullen groen'!G194,'Invullen groen'!O194))),"2024",""),"2025",""),"2026",""),"2027",""),"2028",""),"2029",""),"taakveld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IFERROR(IF('Invullen groen'!E195&gt;0,'Invullen groen'!E195,""),"")</f>
        <v/>
      </c>
      <c r="B165">
        <f>IFERROR(IF('Invullen groen'!F195&gt;0,'Invullen groen'!F195,""),"")</f>
        <v/>
      </c>
      <c r="C165">
        <f>IFERROR(IF('Invullen groen'!N195&gt;0,'Invullen groen'!N195,""),"")</f>
        <v/>
      </c>
      <c r="D165">
        <f>IFERROR(IF('Invullen groen'!O195&lt;&gt;"",LEFT(TRIM('Invullen groen'!O195),36),""),"")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groen'!H195=0,"",INT('Invullen groen'!H195)),"")</f>
        <v/>
      </c>
      <c r="G165" s="236">
        <f>IFERROR(IF('Invullen groen'!I195=0,"",INT('Invullen groen'!I195)),"")</f>
        <v/>
      </c>
      <c r="H165" s="236">
        <f>IFERROR(IF('Invullen groen'!J195=0,"",INT('Invullen groen'!J195)),"")</f>
        <v/>
      </c>
      <c r="I165" s="236">
        <f>IFERROR(IF('Invullen groen'!K195=0,"",INT('Invullen groen'!K195)),"")</f>
        <v/>
      </c>
      <c r="J165">
        <f>IF('Invullen groen'!E195&gt;0,IFERROR($K$1&amp;" "&amp;TRIM(SUBSTITUTE(SUBSTITUTE(SUBSTITUTE(SUBSTITUTE(SUBSTITUTE(SUBSTITUTE(SUBSTITUTE(SUBSTITUTE(SUBSTITUTE(SUBSTITUTE(SUBSTITUTE(SUBSTITUTE(LOWER(IF(LEFT(TEXT('Invullen groen'!E195,"0"),1)="6",'Invullen groen'!O195,IF('Invullen groen'!N195&gt;0,'Invullen groen'!G195,'Invullen groen'!O195))),"2024",""),"2025",""),"2026",""),"2027",""),"2028",""),"2029",""),"taakveld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IFERROR(IF('Invullen groen'!E196&gt;0,'Invullen groen'!E196,""),"")</f>
        <v/>
      </c>
      <c r="B166">
        <f>IFERROR(IF('Invullen groen'!F196&gt;0,'Invullen groen'!F196,""),"")</f>
        <v/>
      </c>
      <c r="C166">
        <f>IFERROR(IF('Invullen groen'!N196&gt;0,'Invullen groen'!N196,""),"")</f>
        <v/>
      </c>
      <c r="D166">
        <f>IFERROR(IF('Invullen groen'!O196&lt;&gt;"",LEFT(TRIM('Invullen groen'!O196),36),""),"")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groen'!H196=0,"",INT('Invullen groen'!H196)),"")</f>
        <v/>
      </c>
      <c r="G166" s="236">
        <f>IFERROR(IF('Invullen groen'!I196=0,"",INT('Invullen groen'!I196)),"")</f>
        <v/>
      </c>
      <c r="H166" s="236">
        <f>IFERROR(IF('Invullen groen'!J196=0,"",INT('Invullen groen'!J196)),"")</f>
        <v/>
      </c>
      <c r="I166" s="236">
        <f>IFERROR(IF('Invullen groen'!K196=0,"",INT('Invullen groen'!K196)),"")</f>
        <v/>
      </c>
      <c r="J166">
        <f>IF('Invullen groen'!E196&gt;0,IFERROR($K$1&amp;" "&amp;TRIM(SUBSTITUTE(SUBSTITUTE(SUBSTITUTE(SUBSTITUTE(SUBSTITUTE(SUBSTITUTE(SUBSTITUTE(SUBSTITUTE(SUBSTITUTE(SUBSTITUTE(SUBSTITUTE(SUBSTITUTE(LOWER(IF(LEFT(TEXT('Invullen groen'!E196,"0"),1)="6",'Invullen groen'!O196,IF('Invullen groen'!N196&gt;0,'Invullen groen'!G196,'Invullen groen'!O196))),"2024",""),"2025",""),"2026",""),"2027",""),"2028",""),"2029",""),"taakveld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IFERROR(IF('Invullen groen'!E197&gt;0,'Invullen groen'!E197,""),"")</f>
        <v/>
      </c>
      <c r="B167">
        <f>IFERROR(IF('Invullen groen'!F197&gt;0,'Invullen groen'!F197,""),"")</f>
        <v/>
      </c>
      <c r="C167">
        <f>IFERROR(IF('Invullen groen'!N197&gt;0,'Invullen groen'!N197,""),"")</f>
        <v/>
      </c>
      <c r="D167">
        <f>IFERROR(IF('Invullen groen'!O197&lt;&gt;"",LEFT(TRIM('Invullen groen'!O197),36),""),"")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groen'!H197=0,"",INT('Invullen groen'!H197)),"")</f>
        <v/>
      </c>
      <c r="G167" s="236">
        <f>IFERROR(IF('Invullen groen'!I197=0,"",INT('Invullen groen'!I197)),"")</f>
        <v/>
      </c>
      <c r="H167" s="236">
        <f>IFERROR(IF('Invullen groen'!J197=0,"",INT('Invullen groen'!J197)),"")</f>
        <v/>
      </c>
      <c r="I167" s="236">
        <f>IFERROR(IF('Invullen groen'!K197=0,"",INT('Invullen groen'!K197)),"")</f>
        <v/>
      </c>
      <c r="J167">
        <f>IF('Invullen groen'!E197&gt;0,IFERROR($K$1&amp;" "&amp;TRIM(SUBSTITUTE(SUBSTITUTE(SUBSTITUTE(SUBSTITUTE(SUBSTITUTE(SUBSTITUTE(SUBSTITUTE(SUBSTITUTE(SUBSTITUTE(SUBSTITUTE(SUBSTITUTE(SUBSTITUTE(LOWER(IF(LEFT(TEXT('Invullen groen'!E197,"0"),1)="6",'Invullen groen'!O197,IF('Invullen groen'!N197&gt;0,'Invullen groen'!G197,'Invullen groen'!O197))),"2024",""),"2025",""),"2026",""),"2027",""),"2028",""),"2029",""),"taakveld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IFERROR(IF('Invullen groen'!E198&gt;0,'Invullen groen'!E198,""),"")</f>
        <v/>
      </c>
      <c r="B168">
        <f>IFERROR(IF('Invullen groen'!F198&gt;0,'Invullen groen'!F198,""),"")</f>
        <v/>
      </c>
      <c r="C168">
        <f>IFERROR(IF('Invullen groen'!N198&gt;0,'Invullen groen'!N198,""),"")</f>
        <v/>
      </c>
      <c r="D168">
        <f>IFERROR(IF('Invullen groen'!O198&lt;&gt;"",LEFT(TRIM('Invullen groen'!O198),36),""),"")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groen'!H198=0,"",INT('Invullen groen'!H198)),"")</f>
        <v/>
      </c>
      <c r="G168" s="236">
        <f>IFERROR(IF('Invullen groen'!I198=0,"",INT('Invullen groen'!I198)),"")</f>
        <v/>
      </c>
      <c r="H168" s="236">
        <f>IFERROR(IF('Invullen groen'!J198=0,"",INT('Invullen groen'!J198)),"")</f>
        <v/>
      </c>
      <c r="I168" s="236">
        <f>IFERROR(IF('Invullen groen'!K198=0,"",INT('Invullen groen'!K198)),"")</f>
        <v/>
      </c>
      <c r="J168">
        <f>IF('Invullen groen'!E198&gt;0,IFERROR($K$1&amp;" "&amp;TRIM(SUBSTITUTE(SUBSTITUTE(SUBSTITUTE(SUBSTITUTE(SUBSTITUTE(SUBSTITUTE(SUBSTITUTE(SUBSTITUTE(SUBSTITUTE(SUBSTITUTE(SUBSTITUTE(SUBSTITUTE(LOWER(IF(LEFT(TEXT('Invullen groen'!E198,"0"),1)="6",'Invullen groen'!O198,IF('Invullen groen'!N198&gt;0,'Invullen groen'!G198,'Invullen groen'!O198))),"2024",""),"2025",""),"2026",""),"2027",""),"2028",""),"2029",""),"taakveld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IFERROR(IF('Invullen groen'!E199&gt;0,'Invullen groen'!E199,""),"")</f>
        <v/>
      </c>
      <c r="B169">
        <f>IFERROR(IF('Invullen groen'!F199&gt;0,'Invullen groen'!F199,""),"")</f>
        <v/>
      </c>
      <c r="C169">
        <f>IFERROR(IF('Invullen groen'!N199&gt;0,'Invullen groen'!N199,""),"")</f>
        <v/>
      </c>
      <c r="D169">
        <f>IFERROR(IF('Invullen groen'!O199&lt;&gt;"",LEFT(TRIM('Invullen groen'!O199),36),""),"")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groen'!H199=0,"",INT('Invullen groen'!H199)),"")</f>
        <v/>
      </c>
      <c r="G169" s="236">
        <f>IFERROR(IF('Invullen groen'!I199=0,"",INT('Invullen groen'!I199)),"")</f>
        <v/>
      </c>
      <c r="H169" s="236">
        <f>IFERROR(IF('Invullen groen'!J199=0,"",INT('Invullen groen'!J199)),"")</f>
        <v/>
      </c>
      <c r="I169" s="236">
        <f>IFERROR(IF('Invullen groen'!K199=0,"",INT('Invullen groen'!K199)),"")</f>
        <v/>
      </c>
      <c r="J169">
        <f>IF('Invullen groen'!E199&gt;0,IFERROR($K$1&amp;" "&amp;TRIM(SUBSTITUTE(SUBSTITUTE(SUBSTITUTE(SUBSTITUTE(SUBSTITUTE(SUBSTITUTE(SUBSTITUTE(SUBSTITUTE(SUBSTITUTE(SUBSTITUTE(SUBSTITUTE(SUBSTITUTE(LOWER(IF(LEFT(TEXT('Invullen groen'!E199,"0"),1)="6",'Invullen groen'!O199,IF('Invullen groen'!N199&gt;0,'Invullen groen'!G199,'Invullen groen'!O199))),"2024",""),"2025",""),"2026",""),"2027",""),"2028",""),"2029",""),"taakveld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IFERROR(IF('Invullen groen'!E200&gt;0,'Invullen groen'!E200,""),"")</f>
        <v/>
      </c>
      <c r="B170">
        <f>IFERROR(IF('Invullen groen'!F200&gt;0,'Invullen groen'!F200,""),"")</f>
        <v/>
      </c>
      <c r="C170">
        <f>IFERROR(IF('Invullen groen'!N200&gt;0,'Invullen groen'!N200,""),"")</f>
        <v/>
      </c>
      <c r="D170">
        <f>IFERROR(IF('Invullen groen'!O200&lt;&gt;"",LEFT(TRIM('Invullen groen'!O200),36),""),"")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groen'!H200=0,"",INT('Invullen groen'!H200)),"")</f>
        <v/>
      </c>
      <c r="G170" s="236">
        <f>IFERROR(IF('Invullen groen'!I200=0,"",INT('Invullen groen'!I200)),"")</f>
        <v/>
      </c>
      <c r="H170" s="236">
        <f>IFERROR(IF('Invullen groen'!J200=0,"",INT('Invullen groen'!J200)),"")</f>
        <v/>
      </c>
      <c r="I170" s="236">
        <f>IFERROR(IF('Invullen groen'!K200=0,"",INT('Invullen groen'!K200)),"")</f>
        <v/>
      </c>
      <c r="J170">
        <f>IF('Invullen groen'!E200&gt;0,IFERROR($K$1&amp;" "&amp;TRIM(SUBSTITUTE(SUBSTITUTE(SUBSTITUTE(SUBSTITUTE(SUBSTITUTE(SUBSTITUTE(SUBSTITUTE(SUBSTITUTE(SUBSTITUTE(SUBSTITUTE(SUBSTITUTE(SUBSTITUTE(LOWER(IF(LEFT(TEXT('Invullen groen'!E200,"0"),1)="6",'Invullen groen'!O200,IF('Invullen groen'!N200&gt;0,'Invullen groen'!G200,'Invullen groen'!O200))),"2024",""),"2025",""),"2026",""),"2027",""),"2028",""),"2029",""),"taakveld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IFERROR(IF('Invullen groen'!E201&gt;0,'Invullen groen'!E201,""),"")</f>
        <v/>
      </c>
      <c r="B171">
        <f>IFERROR(IF('Invullen groen'!F201&gt;0,'Invullen groen'!F201,""),"")</f>
        <v/>
      </c>
      <c r="C171">
        <f>IFERROR(IF('Invullen groen'!N201&gt;0,'Invullen groen'!N201,""),"")</f>
        <v/>
      </c>
      <c r="D171">
        <f>IFERROR(IF('Invullen groen'!O201&lt;&gt;"",LEFT(TRIM('Invullen groen'!O201),36),""),"")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groen'!H201=0,"",INT('Invullen groen'!H201)),"")</f>
        <v/>
      </c>
      <c r="G171" s="236">
        <f>IFERROR(IF('Invullen groen'!I201=0,"",INT('Invullen groen'!I201)),"")</f>
        <v/>
      </c>
      <c r="H171" s="236">
        <f>IFERROR(IF('Invullen groen'!J201=0,"",INT('Invullen groen'!J201)),"")</f>
        <v/>
      </c>
      <c r="I171" s="236">
        <f>IFERROR(IF('Invullen groen'!K201=0,"",INT('Invullen groen'!K201)),"")</f>
        <v/>
      </c>
      <c r="J171">
        <f>IF('Invullen groen'!E201&gt;0,IFERROR($K$1&amp;" "&amp;TRIM(SUBSTITUTE(SUBSTITUTE(SUBSTITUTE(SUBSTITUTE(SUBSTITUTE(SUBSTITUTE(SUBSTITUTE(SUBSTITUTE(SUBSTITUTE(SUBSTITUTE(SUBSTITUTE(SUBSTITUTE(LOWER(IF(LEFT(TEXT('Invullen groen'!E201,"0"),1)="6",'Invullen groen'!O201,IF('Invullen groen'!N201&gt;0,'Invullen groen'!G201,'Invullen groen'!O201))),"2024",""),"2025",""),"2026",""),"2027",""),"2028",""),"2029",""),"taakveld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IFERROR(IF('Invullen groen'!E202&gt;0,'Invullen groen'!E202,""),"")</f>
        <v/>
      </c>
      <c r="B172">
        <f>IFERROR(IF('Invullen groen'!F202&gt;0,'Invullen groen'!F202,""),"")</f>
        <v/>
      </c>
      <c r="C172">
        <f>IFERROR(IF('Invullen groen'!N202&gt;0,'Invullen groen'!N202,""),"")</f>
        <v/>
      </c>
      <c r="D172">
        <f>IFERROR(IF('Invullen groen'!O202&lt;&gt;"",LEFT(TRIM('Invullen groen'!O202),36),""),"")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groen'!H202=0,"",INT('Invullen groen'!H202)),"")</f>
        <v/>
      </c>
      <c r="G172" s="236">
        <f>IFERROR(IF('Invullen groen'!I202=0,"",INT('Invullen groen'!I202)),"")</f>
        <v/>
      </c>
      <c r="H172" s="236">
        <f>IFERROR(IF('Invullen groen'!J202=0,"",INT('Invullen groen'!J202)),"")</f>
        <v/>
      </c>
      <c r="I172" s="236">
        <f>IFERROR(IF('Invullen groen'!K202=0,"",INT('Invullen groen'!K202)),"")</f>
        <v/>
      </c>
      <c r="J172">
        <f>IF('Invullen groen'!E202&gt;0,IFERROR($K$1&amp;" "&amp;TRIM(SUBSTITUTE(SUBSTITUTE(SUBSTITUTE(SUBSTITUTE(SUBSTITUTE(SUBSTITUTE(SUBSTITUTE(SUBSTITUTE(SUBSTITUTE(SUBSTITUTE(SUBSTITUTE(SUBSTITUTE(LOWER(IF(LEFT(TEXT('Invullen groen'!E202,"0"),1)="6",'Invullen groen'!O202,IF('Invullen groen'!N202&gt;0,'Invullen groen'!G202,'Invullen groen'!O202))),"2024",""),"2025",""),"2026",""),"2027",""),"2028",""),"2029",""),"taakveld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IFERROR(IF('Invullen groen'!E203&gt;0,'Invullen groen'!E203,""),"")</f>
        <v/>
      </c>
      <c r="B173">
        <f>IFERROR(IF('Invullen groen'!F203&gt;0,'Invullen groen'!F203,""),"")</f>
        <v/>
      </c>
      <c r="C173">
        <f>IFERROR(IF('Invullen groen'!N203&gt;0,'Invullen groen'!N203,""),"")</f>
        <v/>
      </c>
      <c r="D173">
        <f>IFERROR(IF('Invullen groen'!O203&lt;&gt;"",LEFT(TRIM('Invullen groen'!O203),36),""),"")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groen'!H203=0,"",INT('Invullen groen'!H203)),"")</f>
        <v/>
      </c>
      <c r="G173" s="236">
        <f>IFERROR(IF('Invullen groen'!I203=0,"",INT('Invullen groen'!I203)),"")</f>
        <v/>
      </c>
      <c r="H173" s="236">
        <f>IFERROR(IF('Invullen groen'!J203=0,"",INT('Invullen groen'!J203)),"")</f>
        <v/>
      </c>
      <c r="I173" s="236">
        <f>IFERROR(IF('Invullen groen'!K203=0,"",INT('Invullen groen'!K203)),"")</f>
        <v/>
      </c>
      <c r="J173">
        <f>IF('Invullen groen'!E203&gt;0,IFERROR($K$1&amp;" "&amp;TRIM(SUBSTITUTE(SUBSTITUTE(SUBSTITUTE(SUBSTITUTE(SUBSTITUTE(SUBSTITUTE(SUBSTITUTE(SUBSTITUTE(SUBSTITUTE(SUBSTITUTE(SUBSTITUTE(SUBSTITUTE(LOWER(IF(LEFT(TEXT('Invullen groen'!E203,"0"),1)="6",'Invullen groen'!O203,IF('Invullen groen'!N203&gt;0,'Invullen groen'!G203,'Invullen groen'!O203))),"2024",""),"2025",""),"2026",""),"2027",""),"2028",""),"2029",""),"taakveld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IFERROR(IF('Invullen groen'!E204&gt;0,'Invullen groen'!E204,""),"")</f>
        <v/>
      </c>
      <c r="B174">
        <f>IFERROR(IF('Invullen groen'!F204&gt;0,'Invullen groen'!F204,""),"")</f>
        <v/>
      </c>
      <c r="C174">
        <f>IFERROR(IF('Invullen groen'!N204&gt;0,'Invullen groen'!N204,""),"")</f>
        <v/>
      </c>
      <c r="D174">
        <f>IFERROR(IF('Invullen groen'!O204&lt;&gt;"",LEFT(TRIM('Invullen groen'!O204),36),""),"")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groen'!H204=0,"",INT('Invullen groen'!H204)),"")</f>
        <v/>
      </c>
      <c r="G174" s="236">
        <f>IFERROR(IF('Invullen groen'!I204=0,"",INT('Invullen groen'!I204)),"")</f>
        <v/>
      </c>
      <c r="H174" s="236">
        <f>IFERROR(IF('Invullen groen'!J204=0,"",INT('Invullen groen'!J204)),"")</f>
        <v/>
      </c>
      <c r="I174" s="236">
        <f>IFERROR(IF('Invullen groen'!K204=0,"",INT('Invullen groen'!K204)),"")</f>
        <v/>
      </c>
      <c r="J174">
        <f>IF('Invullen groen'!E204&gt;0,IFERROR($K$1&amp;" "&amp;TRIM(SUBSTITUTE(SUBSTITUTE(SUBSTITUTE(SUBSTITUTE(SUBSTITUTE(SUBSTITUTE(SUBSTITUTE(SUBSTITUTE(SUBSTITUTE(SUBSTITUTE(SUBSTITUTE(SUBSTITUTE(LOWER(IF(LEFT(TEXT('Invullen groen'!E204,"0"),1)="6",'Invullen groen'!O204,IF('Invullen groen'!N204&gt;0,'Invullen groen'!G204,'Invullen groen'!O204))),"2024",""),"2025",""),"2026",""),"2027",""),"2028",""),"2029",""),"taakveld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IFERROR(IF('Invullen groen'!E205&gt;0,'Invullen groen'!E205,""),"")</f>
        <v/>
      </c>
      <c r="B175">
        <f>IFERROR(IF('Invullen groen'!F205&gt;0,'Invullen groen'!F205,""),"")</f>
        <v/>
      </c>
      <c r="C175">
        <f>IFERROR(IF('Invullen groen'!N205&gt;0,'Invullen groen'!N205,""),"")</f>
        <v/>
      </c>
      <c r="D175">
        <f>IFERROR(IF('Invullen groen'!O205&lt;&gt;"",LEFT(TRIM('Invullen groen'!O205),36),""),"")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groen'!H205=0,"",INT('Invullen groen'!H205)),"")</f>
        <v/>
      </c>
      <c r="G175" s="236">
        <f>IFERROR(IF('Invullen groen'!I205=0,"",INT('Invullen groen'!I205)),"")</f>
        <v/>
      </c>
      <c r="H175" s="236">
        <f>IFERROR(IF('Invullen groen'!J205=0,"",INT('Invullen groen'!J205)),"")</f>
        <v/>
      </c>
      <c r="I175" s="236">
        <f>IFERROR(IF('Invullen groen'!K205=0,"",INT('Invullen groen'!K205)),"")</f>
        <v/>
      </c>
      <c r="J175">
        <f>IF('Invullen groen'!E205&gt;0,IFERROR($K$1&amp;" "&amp;TRIM(SUBSTITUTE(SUBSTITUTE(SUBSTITUTE(SUBSTITUTE(SUBSTITUTE(SUBSTITUTE(SUBSTITUTE(SUBSTITUTE(SUBSTITUTE(SUBSTITUTE(SUBSTITUTE(SUBSTITUTE(LOWER(IF(LEFT(TEXT('Invullen groen'!E205,"0"),1)="6",'Invullen groen'!O205,IF('Invullen groen'!N205&gt;0,'Invullen groen'!G205,'Invullen groen'!O205))),"2024",""),"2025",""),"2026",""),"2027",""),"2028",""),"2029",""),"taakveld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IFERROR(IF('Invullen groen'!E206&gt;0,'Invullen groen'!E206,""),"")</f>
        <v/>
      </c>
      <c r="B176">
        <f>IFERROR(IF('Invullen groen'!F206&gt;0,'Invullen groen'!F206,""),"")</f>
        <v/>
      </c>
      <c r="C176">
        <f>IFERROR(IF('Invullen groen'!N206&gt;0,'Invullen groen'!N206,""),"")</f>
        <v/>
      </c>
      <c r="D176">
        <f>IFERROR(IF('Invullen groen'!O206&lt;&gt;"",LEFT(TRIM('Invullen groen'!O206),36),""),"")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groen'!H206=0,"",INT('Invullen groen'!H206)),"")</f>
        <v/>
      </c>
      <c r="G176" s="236">
        <f>IFERROR(IF('Invullen groen'!I206=0,"",INT('Invullen groen'!I206)),"")</f>
        <v/>
      </c>
      <c r="H176" s="236">
        <f>IFERROR(IF('Invullen groen'!J206=0,"",INT('Invullen groen'!J206)),"")</f>
        <v/>
      </c>
      <c r="I176" s="236">
        <f>IFERROR(IF('Invullen groen'!K206=0,"",INT('Invullen groen'!K206)),"")</f>
        <v/>
      </c>
      <c r="J176">
        <f>IF('Invullen groen'!E206&gt;0,IFERROR($K$1&amp;" "&amp;TRIM(SUBSTITUTE(SUBSTITUTE(SUBSTITUTE(SUBSTITUTE(SUBSTITUTE(SUBSTITUTE(SUBSTITUTE(SUBSTITUTE(SUBSTITUTE(SUBSTITUTE(SUBSTITUTE(SUBSTITUTE(LOWER(IF(LEFT(TEXT('Invullen groen'!E206,"0"),1)="6",'Invullen groen'!O206,IF('Invullen groen'!N206&gt;0,'Invullen groen'!G206,'Invullen groen'!O206))),"2024",""),"2025",""),"2026",""),"2027",""),"2028",""),"2029",""),"taakveld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IFERROR(IF('Invullen groen'!E207&gt;0,'Invullen groen'!E207,""),"")</f>
        <v/>
      </c>
      <c r="B177">
        <f>IFERROR(IF('Invullen groen'!F207&gt;0,'Invullen groen'!F207,""),"")</f>
        <v/>
      </c>
      <c r="C177">
        <f>IFERROR(IF('Invullen groen'!N207&gt;0,'Invullen groen'!N207,""),"")</f>
        <v/>
      </c>
      <c r="D177">
        <f>IFERROR(IF('Invullen groen'!O207&lt;&gt;"",LEFT(TRIM('Invullen groen'!O207),36),""),"")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groen'!H207=0,"",INT('Invullen groen'!H207)),"")</f>
        <v/>
      </c>
      <c r="G177" s="236">
        <f>IFERROR(IF('Invullen groen'!I207=0,"",INT('Invullen groen'!I207)),"")</f>
        <v/>
      </c>
      <c r="H177" s="236">
        <f>IFERROR(IF('Invullen groen'!J207=0,"",INT('Invullen groen'!J207)),"")</f>
        <v/>
      </c>
      <c r="I177" s="236">
        <f>IFERROR(IF('Invullen groen'!K207=0,"",INT('Invullen groen'!K207)),"")</f>
        <v/>
      </c>
      <c r="J177">
        <f>IF('Invullen groen'!E207&gt;0,IFERROR($K$1&amp;" "&amp;TRIM(SUBSTITUTE(SUBSTITUTE(SUBSTITUTE(SUBSTITUTE(SUBSTITUTE(SUBSTITUTE(SUBSTITUTE(SUBSTITUTE(SUBSTITUTE(SUBSTITUTE(SUBSTITUTE(SUBSTITUTE(LOWER(IF(LEFT(TEXT('Invullen groen'!E207,"0"),1)="6",'Invullen groen'!O207,IF('Invullen groen'!N207&gt;0,'Invullen groen'!G207,'Invullen groen'!O207))),"2024",""),"2025",""),"2026",""),"2027",""),"2028",""),"2029",""),"taakveld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IFERROR(IF('Invullen groen'!E208&gt;0,'Invullen groen'!E208,""),"")</f>
        <v/>
      </c>
      <c r="B178">
        <f>IFERROR(IF('Invullen groen'!F208&gt;0,'Invullen groen'!F208,""),"")</f>
        <v/>
      </c>
      <c r="C178">
        <f>IFERROR(IF('Invullen groen'!N208&gt;0,'Invullen groen'!N208,""),"")</f>
        <v/>
      </c>
      <c r="D178">
        <f>IFERROR(IF('Invullen groen'!O208&lt;&gt;"",LEFT(TRIM('Invullen groen'!O208),36),""),"")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groen'!H208=0,"",INT('Invullen groen'!H208)),"")</f>
        <v/>
      </c>
      <c r="G178" s="236">
        <f>IFERROR(IF('Invullen groen'!I208=0,"",INT('Invullen groen'!I208)),"")</f>
        <v/>
      </c>
      <c r="H178" s="236">
        <f>IFERROR(IF('Invullen groen'!J208=0,"",INT('Invullen groen'!J208)),"")</f>
        <v/>
      </c>
      <c r="I178" s="236">
        <f>IFERROR(IF('Invullen groen'!K208=0,"",INT('Invullen groen'!K208)),"")</f>
        <v/>
      </c>
      <c r="J178">
        <f>IF('Invullen groen'!E208&gt;0,IFERROR($K$1&amp;" "&amp;TRIM(SUBSTITUTE(SUBSTITUTE(SUBSTITUTE(SUBSTITUTE(SUBSTITUTE(SUBSTITUTE(SUBSTITUTE(SUBSTITUTE(SUBSTITUTE(SUBSTITUTE(SUBSTITUTE(SUBSTITUTE(LOWER(IF(LEFT(TEXT('Invullen groen'!E208,"0"),1)="6",'Invullen groen'!O208,IF('Invullen groen'!N208&gt;0,'Invullen groen'!G208,'Invullen groen'!O208))),"2024",""),"2025",""),"2026",""),"2027",""),"2028",""),"2029",""),"taakveld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IFERROR(IF('Invullen groen'!E209&gt;0,'Invullen groen'!E209,""),"")</f>
        <v/>
      </c>
      <c r="B179">
        <f>IFERROR(IF('Invullen groen'!F209&gt;0,'Invullen groen'!F209,""),"")</f>
        <v/>
      </c>
      <c r="C179">
        <f>IFERROR(IF('Invullen groen'!N209&gt;0,'Invullen groen'!N209,""),"")</f>
        <v/>
      </c>
      <c r="D179">
        <f>IFERROR(IF('Invullen groen'!O209&lt;&gt;"",LEFT(TRIM('Invullen groen'!O209),36),""),"")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groen'!H209=0,"",INT('Invullen groen'!H209)),"")</f>
        <v/>
      </c>
      <c r="G179" s="236">
        <f>IFERROR(IF('Invullen groen'!I209=0,"",INT('Invullen groen'!I209)),"")</f>
        <v/>
      </c>
      <c r="H179" s="236">
        <f>IFERROR(IF('Invullen groen'!J209=0,"",INT('Invullen groen'!J209)),"")</f>
        <v/>
      </c>
      <c r="I179" s="236">
        <f>IFERROR(IF('Invullen groen'!K209=0,"",INT('Invullen groen'!K209)),"")</f>
        <v/>
      </c>
      <c r="J179">
        <f>IF('Invullen groen'!E209&gt;0,IFERROR($K$1&amp;" "&amp;TRIM(SUBSTITUTE(SUBSTITUTE(SUBSTITUTE(SUBSTITUTE(SUBSTITUTE(SUBSTITUTE(SUBSTITUTE(SUBSTITUTE(SUBSTITUTE(SUBSTITUTE(SUBSTITUTE(SUBSTITUTE(LOWER(IF(LEFT(TEXT('Invullen groen'!E209,"0"),1)="6",'Invullen groen'!O209,IF('Invullen groen'!N209&gt;0,'Invullen groen'!G209,'Invullen groen'!O209))),"2024",""),"2025",""),"2026",""),"2027",""),"2028",""),"2029",""),"taakveld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IFERROR(IF('Invullen groen'!E210&gt;0,'Invullen groen'!E210,""),"")</f>
        <v/>
      </c>
      <c r="B180">
        <f>IFERROR(IF('Invullen groen'!F210&gt;0,'Invullen groen'!F210,""),"")</f>
        <v/>
      </c>
      <c r="C180">
        <f>IFERROR(IF('Invullen groen'!N210&gt;0,'Invullen groen'!N210,""),"")</f>
        <v/>
      </c>
      <c r="D180">
        <f>IFERROR(IF('Invullen groen'!O210&lt;&gt;"",LEFT(TRIM('Invullen groen'!O210),36),""),"")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groen'!H210=0,"",INT('Invullen groen'!H210)),"")</f>
        <v/>
      </c>
      <c r="G180" s="236">
        <f>IFERROR(IF('Invullen groen'!I210=0,"",INT('Invullen groen'!I210)),"")</f>
        <v/>
      </c>
      <c r="H180" s="236">
        <f>IFERROR(IF('Invullen groen'!J210=0,"",INT('Invullen groen'!J210)),"")</f>
        <v/>
      </c>
      <c r="I180" s="236">
        <f>IFERROR(IF('Invullen groen'!K210=0,"",INT('Invullen groen'!K210)),"")</f>
        <v/>
      </c>
      <c r="J180">
        <f>IF('Invullen groen'!E210&gt;0,IFERROR($K$1&amp;" "&amp;TRIM(SUBSTITUTE(SUBSTITUTE(SUBSTITUTE(SUBSTITUTE(SUBSTITUTE(SUBSTITUTE(SUBSTITUTE(SUBSTITUTE(SUBSTITUTE(SUBSTITUTE(SUBSTITUTE(SUBSTITUTE(LOWER(IF(LEFT(TEXT('Invullen groen'!E210,"0"),1)="6",'Invullen groen'!O210,IF('Invullen groen'!N210&gt;0,'Invullen groen'!G210,'Invullen groen'!O210))),"2024",""),"2025",""),"2026",""),"2027",""),"2028",""),"2029",""),"taakveld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IFERROR(IF('Invullen groen'!E211&gt;0,'Invullen groen'!E211,""),"")</f>
        <v/>
      </c>
      <c r="B181">
        <f>IFERROR(IF('Invullen groen'!F211&gt;0,'Invullen groen'!F211,""),"")</f>
        <v/>
      </c>
      <c r="C181">
        <f>IFERROR(IF('Invullen groen'!N211&gt;0,'Invullen groen'!N211,""),"")</f>
        <v/>
      </c>
      <c r="D181">
        <f>IFERROR(IF('Invullen groen'!O211&lt;&gt;"",LEFT(TRIM('Invullen groen'!O211),36),""),"")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groen'!H211=0,"",INT('Invullen groen'!H211)),"")</f>
        <v/>
      </c>
      <c r="G181" s="236">
        <f>IFERROR(IF('Invullen groen'!I211=0,"",INT('Invullen groen'!I211)),"")</f>
        <v/>
      </c>
      <c r="H181" s="236">
        <f>IFERROR(IF('Invullen groen'!J211=0,"",INT('Invullen groen'!J211)),"")</f>
        <v/>
      </c>
      <c r="I181" s="236">
        <f>IFERROR(IF('Invullen groen'!K211=0,"",INT('Invullen groen'!K211)),"")</f>
        <v/>
      </c>
      <c r="J181">
        <f>IF('Invullen groen'!E211&gt;0,IFERROR($K$1&amp;" "&amp;TRIM(SUBSTITUTE(SUBSTITUTE(SUBSTITUTE(SUBSTITUTE(SUBSTITUTE(SUBSTITUTE(SUBSTITUTE(SUBSTITUTE(SUBSTITUTE(SUBSTITUTE(SUBSTITUTE(SUBSTITUTE(LOWER(IF(LEFT(TEXT('Invullen groen'!E211,"0"),1)="6",'Invullen groen'!O211,IF('Invullen groen'!N211&gt;0,'Invullen groen'!G211,'Invullen groen'!O211))),"2024",""),"2025",""),"2026",""),"2027",""),"2028",""),"2029",""),"taakveld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IFERROR(IF('Invullen groen'!E212&gt;0,'Invullen groen'!E212,""),"")</f>
        <v/>
      </c>
      <c r="B182">
        <f>IFERROR(IF('Invullen groen'!F212&gt;0,'Invullen groen'!F212,""),"")</f>
        <v/>
      </c>
      <c r="C182">
        <f>IFERROR(IF('Invullen groen'!N212&gt;0,'Invullen groen'!N212,""),"")</f>
        <v/>
      </c>
      <c r="D182">
        <f>IFERROR(IF('Invullen groen'!O212&lt;&gt;"",LEFT(TRIM('Invullen groen'!O212),36),""),"")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groen'!H212=0,"",INT('Invullen groen'!H212)),"")</f>
        <v/>
      </c>
      <c r="G182" s="236">
        <f>IFERROR(IF('Invullen groen'!I212=0,"",INT('Invullen groen'!I212)),"")</f>
        <v/>
      </c>
      <c r="H182" s="236">
        <f>IFERROR(IF('Invullen groen'!J212=0,"",INT('Invullen groen'!J212)),"")</f>
        <v/>
      </c>
      <c r="I182" s="236">
        <f>IFERROR(IF('Invullen groen'!K212=0,"",INT('Invullen groen'!K212)),"")</f>
        <v/>
      </c>
      <c r="J182">
        <f>IF('Invullen groen'!E212&gt;0,IFERROR($K$1&amp;" "&amp;TRIM(SUBSTITUTE(SUBSTITUTE(SUBSTITUTE(SUBSTITUTE(SUBSTITUTE(SUBSTITUTE(SUBSTITUTE(SUBSTITUTE(SUBSTITUTE(SUBSTITUTE(SUBSTITUTE(SUBSTITUTE(LOWER(IF(LEFT(TEXT('Invullen groen'!E212,"0"),1)="6",'Invullen groen'!O212,IF('Invullen groen'!N212&gt;0,'Invullen groen'!G212,'Invullen groen'!O212))),"2024",""),"2025",""),"2026",""),"2027",""),"2028",""),"2029",""),"taakveld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IFERROR(IF('Invullen groen'!E213&gt;0,'Invullen groen'!E213,""),"")</f>
        <v/>
      </c>
      <c r="B183">
        <f>IFERROR(IF('Invullen groen'!F213&gt;0,'Invullen groen'!F213,""),"")</f>
        <v/>
      </c>
      <c r="C183">
        <f>IFERROR(IF('Invullen groen'!N213&gt;0,'Invullen groen'!N213,""),"")</f>
        <v/>
      </c>
      <c r="D183">
        <f>IFERROR(IF('Invullen groen'!O213&lt;&gt;"",LEFT(TRIM('Invullen groen'!O213),36),""),"")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groen'!H213=0,"",INT('Invullen groen'!H213)),"")</f>
        <v/>
      </c>
      <c r="G183" s="236">
        <f>IFERROR(IF('Invullen groen'!I213=0,"",INT('Invullen groen'!I213)),"")</f>
        <v/>
      </c>
      <c r="H183" s="236">
        <f>IFERROR(IF('Invullen groen'!J213=0,"",INT('Invullen groen'!J213)),"")</f>
        <v/>
      </c>
      <c r="I183" s="236">
        <f>IFERROR(IF('Invullen groen'!K213=0,"",INT('Invullen groen'!K213)),"")</f>
        <v/>
      </c>
      <c r="J183">
        <f>IF('Invullen groen'!E213&gt;0,IFERROR($K$1&amp;" "&amp;TRIM(SUBSTITUTE(SUBSTITUTE(SUBSTITUTE(SUBSTITUTE(SUBSTITUTE(SUBSTITUTE(SUBSTITUTE(SUBSTITUTE(SUBSTITUTE(SUBSTITUTE(SUBSTITUTE(SUBSTITUTE(LOWER(IF(LEFT(TEXT('Invullen groen'!E213,"0"),1)="6",'Invullen groen'!O213,IF('Invullen groen'!N213&gt;0,'Invullen groen'!G213,'Invullen groen'!O213))),"2024",""),"2025",""),"2026",""),"2027",""),"2028",""),"2029",""),"taakveld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IFERROR(IF('Invullen groen'!E214&gt;0,'Invullen groen'!E214,""),"")</f>
        <v/>
      </c>
      <c r="B184">
        <f>IFERROR(IF('Invullen groen'!F214&gt;0,'Invullen groen'!F214,""),"")</f>
        <v/>
      </c>
      <c r="C184">
        <f>IFERROR(IF('Invullen groen'!N214&gt;0,'Invullen groen'!N214,""),"")</f>
        <v/>
      </c>
      <c r="D184">
        <f>IFERROR(IF('Invullen groen'!O214&lt;&gt;"",LEFT(TRIM('Invullen groen'!O214),36),""),"")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groen'!H214=0,"",INT('Invullen groen'!H214)),"")</f>
        <v/>
      </c>
      <c r="G184" s="236">
        <f>IFERROR(IF('Invullen groen'!I214=0,"",INT('Invullen groen'!I214)),"")</f>
        <v/>
      </c>
      <c r="H184" s="236">
        <f>IFERROR(IF('Invullen groen'!J214=0,"",INT('Invullen groen'!J214)),"")</f>
        <v/>
      </c>
      <c r="I184" s="236">
        <f>IFERROR(IF('Invullen groen'!K214=0,"",INT('Invullen groen'!K214)),"")</f>
        <v/>
      </c>
      <c r="J184">
        <f>IF('Invullen groen'!E214&gt;0,IFERROR($K$1&amp;" "&amp;TRIM(SUBSTITUTE(SUBSTITUTE(SUBSTITUTE(SUBSTITUTE(SUBSTITUTE(SUBSTITUTE(SUBSTITUTE(SUBSTITUTE(SUBSTITUTE(SUBSTITUTE(SUBSTITUTE(SUBSTITUTE(LOWER(IF(LEFT(TEXT('Invullen groen'!E214,"0"),1)="6",'Invullen groen'!O214,IF('Invullen groen'!N214&gt;0,'Invullen groen'!G214,'Invullen groen'!O214))),"2024",""),"2025",""),"2026",""),"2027",""),"2028",""),"2029",""),"taakveld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IFERROR(IF('Invullen groen'!E215&gt;0,'Invullen groen'!E215,""),"")</f>
        <v/>
      </c>
      <c r="B185">
        <f>IFERROR(IF('Invullen groen'!F215&gt;0,'Invullen groen'!F215,""),"")</f>
        <v/>
      </c>
      <c r="C185">
        <f>IFERROR(IF('Invullen groen'!N215&gt;0,'Invullen groen'!N215,""),"")</f>
        <v/>
      </c>
      <c r="D185">
        <f>IFERROR(IF('Invullen groen'!O215&lt;&gt;"",LEFT(TRIM('Invullen groen'!O215),36),""),"")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groen'!H215=0,"",INT('Invullen groen'!H215)),"")</f>
        <v/>
      </c>
      <c r="G185" s="236">
        <f>IFERROR(IF('Invullen groen'!I215=0,"",INT('Invullen groen'!I215)),"")</f>
        <v/>
      </c>
      <c r="H185" s="236">
        <f>IFERROR(IF('Invullen groen'!J215=0,"",INT('Invullen groen'!J215)),"")</f>
        <v/>
      </c>
      <c r="I185" s="236">
        <f>IFERROR(IF('Invullen groen'!K215=0,"",INT('Invullen groen'!K215)),"")</f>
        <v/>
      </c>
      <c r="J185">
        <f>IF('Invullen groen'!E215&gt;0,IFERROR($K$1&amp;" "&amp;TRIM(SUBSTITUTE(SUBSTITUTE(SUBSTITUTE(SUBSTITUTE(SUBSTITUTE(SUBSTITUTE(SUBSTITUTE(SUBSTITUTE(SUBSTITUTE(SUBSTITUTE(SUBSTITUTE(SUBSTITUTE(LOWER(IF(LEFT(TEXT('Invullen groen'!E215,"0"),1)="6",'Invullen groen'!O215,IF('Invullen groen'!N215&gt;0,'Invullen groen'!G215,'Invullen groen'!O215))),"2024",""),"2025",""),"2026",""),"2027",""),"2028",""),"2029",""),"taakveld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IFERROR(IF('Invullen groen'!E216&gt;0,'Invullen groen'!E216,""),"")</f>
        <v/>
      </c>
      <c r="B186">
        <f>IFERROR(IF('Invullen groen'!F216&gt;0,'Invullen groen'!F216,""),"")</f>
        <v/>
      </c>
      <c r="C186">
        <f>IFERROR(IF('Invullen groen'!N216&gt;0,'Invullen groen'!N216,""),"")</f>
        <v/>
      </c>
      <c r="D186">
        <f>IFERROR(IF('Invullen groen'!O216&lt;&gt;"",LEFT(TRIM('Invullen groen'!O216),36),""),"")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groen'!H216=0,"",INT('Invullen groen'!H216)),"")</f>
        <v/>
      </c>
      <c r="G186" s="236">
        <f>IFERROR(IF('Invullen groen'!I216=0,"",INT('Invullen groen'!I216)),"")</f>
        <v/>
      </c>
      <c r="H186" s="236">
        <f>IFERROR(IF('Invullen groen'!J216=0,"",INT('Invullen groen'!J216)),"")</f>
        <v/>
      </c>
      <c r="I186" s="236">
        <f>IFERROR(IF('Invullen groen'!K216=0,"",INT('Invullen groen'!K216)),"")</f>
        <v/>
      </c>
      <c r="J186">
        <f>IF('Invullen groen'!E216&gt;0,IFERROR($K$1&amp;" "&amp;TRIM(SUBSTITUTE(SUBSTITUTE(SUBSTITUTE(SUBSTITUTE(SUBSTITUTE(SUBSTITUTE(SUBSTITUTE(SUBSTITUTE(SUBSTITUTE(SUBSTITUTE(SUBSTITUTE(SUBSTITUTE(LOWER(IF(LEFT(TEXT('Invullen groen'!E216,"0"),1)="6",'Invullen groen'!O216,IF('Invullen groen'!N216&gt;0,'Invullen groen'!G216,'Invullen groen'!O216))),"2024",""),"2025",""),"2026",""),"2027",""),"2028",""),"2029",""),"taakveld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IFERROR(IF('Invullen groen'!E220&gt;0,'Invullen groen'!E220,""),"")</f>
        <v/>
      </c>
      <c r="B187">
        <f>IFERROR(IF('Invullen groen'!F220&gt;0,'Invullen groen'!F220,""),"")</f>
        <v/>
      </c>
      <c r="C187">
        <f>IFERROR(IF('Invullen groen'!N220&gt;0,'Invullen groen'!N220,""),"")</f>
        <v/>
      </c>
      <c r="D187">
        <f>IFERROR(IF('Invullen groen'!O220&lt;&gt;"",LEFT(TRIM('Invullen groen'!O220),36),""),"")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groen'!H220=0,"",INT('Invullen groen'!H220)),"")</f>
        <v/>
      </c>
      <c r="G187" s="236">
        <f>IFERROR(IF('Invullen groen'!I220=0,"",INT('Invullen groen'!I220)),"")</f>
        <v/>
      </c>
      <c r="H187" s="236">
        <f>IFERROR(IF('Invullen groen'!J220=0,"",INT('Invullen groen'!J220)),"")</f>
        <v/>
      </c>
      <c r="I187" s="236">
        <f>IFERROR(IF('Invullen groen'!K220=0,"",INT('Invullen groen'!K220)),"")</f>
        <v/>
      </c>
      <c r="J187">
        <f>IF('Invullen groen'!E220&gt;0,IFERROR($K$1&amp;" "&amp;TRIM(SUBSTITUTE(SUBSTITUTE(SUBSTITUTE(SUBSTITUTE(SUBSTITUTE(SUBSTITUTE(SUBSTITUTE(SUBSTITUTE(SUBSTITUTE(SUBSTITUTE(SUBSTITUTE(SUBSTITUTE(LOWER(IF(LEFT(TEXT('Invullen groen'!E220,"0"),1)="6",'Invullen groen'!O220,IF('Invullen groen'!N220&gt;0,'Invullen groen'!G220,'Invullen groen'!O220))),"2024",""),"2025",""),"2026",""),"2027",""),"2028",""),"2029",""),"taakveld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IFERROR(IF('Invullen groen'!E221&gt;0,'Invullen groen'!E221,""),"")</f>
        <v/>
      </c>
      <c r="B188">
        <f>IFERROR(IF('Invullen groen'!F221&gt;0,'Invullen groen'!F221,""),"")</f>
        <v/>
      </c>
      <c r="C188">
        <f>IFERROR(IF('Invullen groen'!N221&gt;0,'Invullen groen'!N221,""),"")</f>
        <v/>
      </c>
      <c r="D188">
        <f>IFERROR(IF('Invullen groen'!O221&lt;&gt;"",LEFT(TRIM('Invullen groen'!O221),36),""),"")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groen'!H221=0,"",INT('Invullen groen'!H221)),"")</f>
        <v/>
      </c>
      <c r="G188" s="236">
        <f>IFERROR(IF('Invullen groen'!I221=0,"",INT('Invullen groen'!I221)),"")</f>
        <v/>
      </c>
      <c r="H188" s="236">
        <f>IFERROR(IF('Invullen groen'!J221=0,"",INT('Invullen groen'!J221)),"")</f>
        <v/>
      </c>
      <c r="I188" s="236">
        <f>IFERROR(IF('Invullen groen'!K221=0,"",INT('Invullen groen'!K221)),"")</f>
        <v/>
      </c>
      <c r="J188">
        <f>IF('Invullen groen'!E221&gt;0,IFERROR($K$1&amp;" "&amp;TRIM(SUBSTITUTE(SUBSTITUTE(SUBSTITUTE(SUBSTITUTE(SUBSTITUTE(SUBSTITUTE(SUBSTITUTE(SUBSTITUTE(SUBSTITUTE(SUBSTITUTE(SUBSTITUTE(SUBSTITUTE(LOWER(IF(LEFT(TEXT('Invullen groen'!E221,"0"),1)="6",'Invullen groen'!O221,IF('Invullen groen'!N221&gt;0,'Invullen groen'!G221,'Invullen groen'!O221))),"2024",""),"2025",""),"2026",""),"2027",""),"2028",""),"2029",""),"taakveld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IFERROR(IF('Invullen groen'!E222&gt;0,'Invullen groen'!E222,""),"")</f>
        <v/>
      </c>
      <c r="B189">
        <f>IFERROR(IF('Invullen groen'!F222&gt;0,'Invullen groen'!F222,""),"")</f>
        <v/>
      </c>
      <c r="C189">
        <f>IFERROR(IF('Invullen groen'!N222&gt;0,'Invullen groen'!N222,""),"")</f>
        <v/>
      </c>
      <c r="D189">
        <f>IFERROR(IF('Invullen groen'!O222&lt;&gt;"",LEFT(TRIM('Invullen groen'!O222),36),""),"")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groen'!H222=0,"",INT('Invullen groen'!H222)),"")</f>
        <v/>
      </c>
      <c r="G189" s="236">
        <f>IFERROR(IF('Invullen groen'!I222=0,"",INT('Invullen groen'!I222)),"")</f>
        <v/>
      </c>
      <c r="H189" s="236">
        <f>IFERROR(IF('Invullen groen'!J222=0,"",INT('Invullen groen'!J222)),"")</f>
        <v/>
      </c>
      <c r="I189" s="236">
        <f>IFERROR(IF('Invullen groen'!K222=0,"",INT('Invullen groen'!K222)),"")</f>
        <v/>
      </c>
      <c r="J189">
        <f>IF('Invullen groen'!E222&gt;0,IFERROR($K$1&amp;" "&amp;TRIM(SUBSTITUTE(SUBSTITUTE(SUBSTITUTE(SUBSTITUTE(SUBSTITUTE(SUBSTITUTE(SUBSTITUTE(SUBSTITUTE(SUBSTITUTE(SUBSTITUTE(SUBSTITUTE(SUBSTITUTE(LOWER(IF(LEFT(TEXT('Invullen groen'!E222,"0"),1)="6",'Invullen groen'!O222,IF('Invullen groen'!N222&gt;0,'Invullen groen'!G222,'Invullen groen'!O222))),"2024",""),"2025",""),"2026",""),"2027",""),"2028",""),"2029",""),"taakveld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IFERROR(IF('Invullen groen'!E223&gt;0,'Invullen groen'!E223,""),"")</f>
        <v/>
      </c>
      <c r="B190">
        <f>IFERROR(IF('Invullen groen'!F223&gt;0,'Invullen groen'!F223,""),"")</f>
        <v/>
      </c>
      <c r="C190">
        <f>IFERROR(IF('Invullen groen'!N223&gt;0,'Invullen groen'!N223,""),"")</f>
        <v/>
      </c>
      <c r="D190">
        <f>IFERROR(IF('Invullen groen'!O223&lt;&gt;"",LEFT(TRIM('Invullen groen'!O223),36),""),"")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groen'!H223=0,"",INT('Invullen groen'!H223)),"")</f>
        <v/>
      </c>
      <c r="G190" s="236">
        <f>IFERROR(IF('Invullen groen'!I223=0,"",INT('Invullen groen'!I223)),"")</f>
        <v/>
      </c>
      <c r="H190" s="236">
        <f>IFERROR(IF('Invullen groen'!J223=0,"",INT('Invullen groen'!J223)),"")</f>
        <v/>
      </c>
      <c r="I190" s="236">
        <f>IFERROR(IF('Invullen groen'!K223=0,"",INT('Invullen groen'!K223)),"")</f>
        <v/>
      </c>
      <c r="J190">
        <f>IF('Invullen groen'!E223&gt;0,IFERROR($K$1&amp;" "&amp;TRIM(SUBSTITUTE(SUBSTITUTE(SUBSTITUTE(SUBSTITUTE(SUBSTITUTE(SUBSTITUTE(SUBSTITUTE(SUBSTITUTE(SUBSTITUTE(SUBSTITUTE(SUBSTITUTE(SUBSTITUTE(LOWER(IF(LEFT(TEXT('Invullen groen'!E223,"0"),1)="6",'Invullen groen'!O223,IF('Invullen groen'!N223&gt;0,'Invullen groen'!G223,'Invullen groen'!O223))),"2024",""),"2025",""),"2026",""),"2027",""),"2028",""),"2029",""),"taakveld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IFERROR(IF('Invullen groen'!E224&gt;0,'Invullen groen'!E224,""),"")</f>
        <v/>
      </c>
      <c r="B191">
        <f>IFERROR(IF('Invullen groen'!F224&gt;0,'Invullen groen'!F224,""),"")</f>
        <v/>
      </c>
      <c r="C191">
        <f>IFERROR(IF('Invullen groen'!N224&gt;0,'Invullen groen'!N224,""),"")</f>
        <v/>
      </c>
      <c r="D191">
        <f>IFERROR(IF('Invullen groen'!O224&lt;&gt;"",LEFT(TRIM('Invullen groen'!O224),36),""),"")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groen'!H224=0,"",INT('Invullen groen'!H224)),"")</f>
        <v/>
      </c>
      <c r="G191" s="236">
        <f>IFERROR(IF('Invullen groen'!I224=0,"",INT('Invullen groen'!I224)),"")</f>
        <v/>
      </c>
      <c r="H191" s="236">
        <f>IFERROR(IF('Invullen groen'!J224=0,"",INT('Invullen groen'!J224)),"")</f>
        <v/>
      </c>
      <c r="I191" s="236">
        <f>IFERROR(IF('Invullen groen'!K224=0,"",INT('Invullen groen'!K224)),"")</f>
        <v/>
      </c>
      <c r="J191">
        <f>IF('Invullen groen'!E224&gt;0,IFERROR($K$1&amp;" "&amp;TRIM(SUBSTITUTE(SUBSTITUTE(SUBSTITUTE(SUBSTITUTE(SUBSTITUTE(SUBSTITUTE(SUBSTITUTE(SUBSTITUTE(SUBSTITUTE(SUBSTITUTE(SUBSTITUTE(SUBSTITUTE(LOWER(IF(LEFT(TEXT('Invullen groen'!E224,"0"),1)="6",'Invullen groen'!O224,IF('Invullen groen'!N224&gt;0,'Invullen groen'!G224,'Invullen groen'!O224))),"2024",""),"2025",""),"2026",""),"2027",""),"2028",""),"2029",""),"taakveld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IFERROR(IF('Invullen groen'!E225&gt;0,'Invullen groen'!E225,""),"")</f>
        <v/>
      </c>
      <c r="B192">
        <f>IFERROR(IF('Invullen groen'!F225&gt;0,'Invullen groen'!F225,""),"")</f>
        <v/>
      </c>
      <c r="C192">
        <f>IFERROR(IF('Invullen groen'!N225&gt;0,'Invullen groen'!N225,""),"")</f>
        <v/>
      </c>
      <c r="D192">
        <f>IFERROR(IF('Invullen groen'!O225&lt;&gt;"",LEFT(TRIM('Invullen groen'!O225),36),""),"")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groen'!H225=0,"",INT('Invullen groen'!H225)),"")</f>
        <v/>
      </c>
      <c r="G192" s="236">
        <f>IFERROR(IF('Invullen groen'!I225=0,"",INT('Invullen groen'!I225)),"")</f>
        <v/>
      </c>
      <c r="H192" s="236">
        <f>IFERROR(IF('Invullen groen'!J225=0,"",INT('Invullen groen'!J225)),"")</f>
        <v/>
      </c>
      <c r="I192" s="236">
        <f>IFERROR(IF('Invullen groen'!K225=0,"",INT('Invullen groen'!K225)),"")</f>
        <v/>
      </c>
      <c r="J192">
        <f>IF('Invullen groen'!E225&gt;0,IFERROR($K$1&amp;" "&amp;TRIM(SUBSTITUTE(SUBSTITUTE(SUBSTITUTE(SUBSTITUTE(SUBSTITUTE(SUBSTITUTE(SUBSTITUTE(SUBSTITUTE(SUBSTITUTE(SUBSTITUTE(SUBSTITUTE(SUBSTITUTE(LOWER(IF(LEFT(TEXT('Invullen groen'!E225,"0"),1)="6",'Invullen groen'!O225,IF('Invullen groen'!N225&gt;0,'Invullen groen'!G225,'Invullen groen'!O225))),"2024",""),"2025",""),"2026",""),"2027",""),"2028",""),"2029",""),"taakveld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IFERROR(IF('Invullen groen'!E226&gt;0,'Invullen groen'!E226,""),"")</f>
        <v/>
      </c>
      <c r="B193">
        <f>IFERROR(IF('Invullen groen'!F226&gt;0,'Invullen groen'!F226,""),"")</f>
        <v/>
      </c>
      <c r="C193">
        <f>IFERROR(IF('Invullen groen'!N226&gt;0,'Invullen groen'!N226,""),"")</f>
        <v/>
      </c>
      <c r="D193">
        <f>IFERROR(IF('Invullen groen'!O226&lt;&gt;"",LEFT(TRIM('Invullen groen'!O226),36),""),"")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groen'!H226=0,"",INT('Invullen groen'!H226)),"")</f>
        <v/>
      </c>
      <c r="G193" s="236">
        <f>IFERROR(IF('Invullen groen'!I226=0,"",INT('Invullen groen'!I226)),"")</f>
        <v/>
      </c>
      <c r="H193" s="236">
        <f>IFERROR(IF('Invullen groen'!J226=0,"",INT('Invullen groen'!J226)),"")</f>
        <v/>
      </c>
      <c r="I193" s="236">
        <f>IFERROR(IF('Invullen groen'!K226=0,"",INT('Invullen groen'!K226)),"")</f>
        <v/>
      </c>
      <c r="J193">
        <f>IF('Invullen groen'!E226&gt;0,IFERROR($K$1&amp;" "&amp;TRIM(SUBSTITUTE(SUBSTITUTE(SUBSTITUTE(SUBSTITUTE(SUBSTITUTE(SUBSTITUTE(SUBSTITUTE(SUBSTITUTE(SUBSTITUTE(SUBSTITUTE(SUBSTITUTE(SUBSTITUTE(LOWER(IF(LEFT(TEXT('Invullen groen'!E226,"0"),1)="6",'Invullen groen'!O226,IF('Invullen groen'!N226&gt;0,'Invullen groen'!G226,'Invullen groen'!O226))),"2024",""),"2025",""),"2026",""),"2027",""),"2028",""),"2029",""),"taakveld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IFERROR(IF('Invullen groen'!E227&gt;0,'Invullen groen'!E227,""),"")</f>
        <v/>
      </c>
      <c r="B194">
        <f>IFERROR(IF('Invullen groen'!F227&gt;0,'Invullen groen'!F227,""),"")</f>
        <v/>
      </c>
      <c r="C194">
        <f>IFERROR(IF('Invullen groen'!N227&gt;0,'Invullen groen'!N227,""),"")</f>
        <v/>
      </c>
      <c r="D194">
        <f>IFERROR(IF('Invullen groen'!O227&lt;&gt;"",LEFT(TRIM('Invullen groen'!O227),36),""),"")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groen'!H227=0,"",INT('Invullen groen'!H227)),"")</f>
        <v/>
      </c>
      <c r="G194" s="236">
        <f>IFERROR(IF('Invullen groen'!I227=0,"",INT('Invullen groen'!I227)),"")</f>
        <v/>
      </c>
      <c r="H194" s="236">
        <f>IFERROR(IF('Invullen groen'!J227=0,"",INT('Invullen groen'!J227)),"")</f>
        <v/>
      </c>
      <c r="I194" s="236">
        <f>IFERROR(IF('Invullen groen'!K227=0,"",INT('Invullen groen'!K227)),"")</f>
        <v/>
      </c>
      <c r="J194">
        <f>IF('Invullen groen'!E227&gt;0,IFERROR($K$1&amp;" "&amp;TRIM(SUBSTITUTE(SUBSTITUTE(SUBSTITUTE(SUBSTITUTE(SUBSTITUTE(SUBSTITUTE(SUBSTITUTE(SUBSTITUTE(SUBSTITUTE(SUBSTITUTE(SUBSTITUTE(SUBSTITUTE(LOWER(IF(LEFT(TEXT('Invullen groen'!E227,"0"),1)="6",'Invullen groen'!O227,IF('Invullen groen'!N227&gt;0,'Invullen groen'!G227,'Invullen groen'!O227))),"2024",""),"2025",""),"2026",""),"2027",""),"2028",""),"2029",""),"taakveld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IFERROR(IF('Invullen groen'!E228&gt;0,'Invullen groen'!E228,""),"")</f>
        <v/>
      </c>
      <c r="B195">
        <f>IFERROR(IF('Invullen groen'!F228&gt;0,'Invullen groen'!F228,""),"")</f>
        <v/>
      </c>
      <c r="C195">
        <f>IFERROR(IF('Invullen groen'!N228&gt;0,'Invullen groen'!N228,""),"")</f>
        <v/>
      </c>
      <c r="D195">
        <f>IFERROR(IF('Invullen groen'!O228&lt;&gt;"",LEFT(TRIM('Invullen groen'!O228),36),""),"")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groen'!H228=0,"",INT('Invullen groen'!H228)),"")</f>
        <v/>
      </c>
      <c r="G195" s="236">
        <f>IFERROR(IF('Invullen groen'!I228=0,"",INT('Invullen groen'!I228)),"")</f>
        <v/>
      </c>
      <c r="H195" s="236">
        <f>IFERROR(IF('Invullen groen'!J228=0,"",INT('Invullen groen'!J228)),"")</f>
        <v/>
      </c>
      <c r="I195" s="236">
        <f>IFERROR(IF('Invullen groen'!K228=0,"",INT('Invullen groen'!K228)),"")</f>
        <v/>
      </c>
      <c r="J195">
        <f>IF('Invullen groen'!E228&gt;0,IFERROR($K$1&amp;" "&amp;TRIM(SUBSTITUTE(SUBSTITUTE(SUBSTITUTE(SUBSTITUTE(SUBSTITUTE(SUBSTITUTE(SUBSTITUTE(SUBSTITUTE(SUBSTITUTE(SUBSTITUTE(SUBSTITUTE(SUBSTITUTE(LOWER(IF(LEFT(TEXT('Invullen groen'!E228,"0"),1)="6",'Invullen groen'!O228,IF('Invullen groen'!N228&gt;0,'Invullen groen'!G228,'Invullen groen'!O228))),"2024",""),"2025",""),"2026",""),"2027",""),"2028",""),"2029",""),"taakveld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IFERROR(IF('Invullen groen'!E229&gt;0,'Invullen groen'!E229,""),"")</f>
        <v/>
      </c>
      <c r="B196">
        <f>IFERROR(IF('Invullen groen'!F229&gt;0,'Invullen groen'!F229,""),"")</f>
        <v/>
      </c>
      <c r="C196">
        <f>IFERROR(IF('Invullen groen'!N229&gt;0,'Invullen groen'!N229,""),"")</f>
        <v/>
      </c>
      <c r="D196">
        <f>IFERROR(IF('Invullen groen'!O229&lt;&gt;"",LEFT(TRIM('Invullen groen'!O229),36),""),"")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groen'!H229=0,"",INT('Invullen groen'!H229)),"")</f>
        <v/>
      </c>
      <c r="G196" s="236">
        <f>IFERROR(IF('Invullen groen'!I229=0,"",INT('Invullen groen'!I229)),"")</f>
        <v/>
      </c>
      <c r="H196" s="236">
        <f>IFERROR(IF('Invullen groen'!J229=0,"",INT('Invullen groen'!J229)),"")</f>
        <v/>
      </c>
      <c r="I196" s="236">
        <f>IFERROR(IF('Invullen groen'!K229=0,"",INT('Invullen groen'!K229)),"")</f>
        <v/>
      </c>
      <c r="J196">
        <f>IF('Invullen groen'!E229&gt;0,IFERROR($K$1&amp;" "&amp;TRIM(SUBSTITUTE(SUBSTITUTE(SUBSTITUTE(SUBSTITUTE(SUBSTITUTE(SUBSTITUTE(SUBSTITUTE(SUBSTITUTE(SUBSTITUTE(SUBSTITUTE(SUBSTITUTE(SUBSTITUTE(LOWER(IF(LEFT(TEXT('Invullen groen'!E229,"0"),1)="6",'Invullen groen'!O229,IF('Invullen groen'!N229&gt;0,'Invullen groen'!G229,'Invullen groen'!O229))),"2024",""),"2025",""),"2026",""),"2027",""),"2028",""),"2029",""),"taakveld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IFERROR(IF('Invullen groen'!E230&gt;0,'Invullen groen'!E230,""),"")</f>
        <v/>
      </c>
      <c r="B197">
        <f>IFERROR(IF('Invullen groen'!F230&gt;0,'Invullen groen'!F230,""),"")</f>
        <v/>
      </c>
      <c r="C197">
        <f>IFERROR(IF('Invullen groen'!N230&gt;0,'Invullen groen'!N230,""),"")</f>
        <v/>
      </c>
      <c r="D197">
        <f>IFERROR(IF('Invullen groen'!O230&lt;&gt;"",LEFT(TRIM('Invullen groen'!O230),36),""),"")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groen'!H230=0,"",INT('Invullen groen'!H230)),"")</f>
        <v/>
      </c>
      <c r="G197" s="236">
        <f>IFERROR(IF('Invullen groen'!I230=0,"",INT('Invullen groen'!I230)),"")</f>
        <v/>
      </c>
      <c r="H197" s="236">
        <f>IFERROR(IF('Invullen groen'!J230=0,"",INT('Invullen groen'!J230)),"")</f>
        <v/>
      </c>
      <c r="I197" s="236">
        <f>IFERROR(IF('Invullen groen'!K230=0,"",INT('Invullen groen'!K230)),"")</f>
        <v/>
      </c>
      <c r="J197">
        <f>IF('Invullen groen'!E230&gt;0,IFERROR($K$1&amp;" "&amp;TRIM(SUBSTITUTE(SUBSTITUTE(SUBSTITUTE(SUBSTITUTE(SUBSTITUTE(SUBSTITUTE(SUBSTITUTE(SUBSTITUTE(SUBSTITUTE(SUBSTITUTE(SUBSTITUTE(SUBSTITUTE(LOWER(IF(LEFT(TEXT('Invullen groen'!E230,"0"),1)="6",'Invullen groen'!O230,IF('Invullen groen'!N230&gt;0,'Invullen groen'!G230,'Invullen groen'!O230))),"2024",""),"2025",""),"2026",""),"2027",""),"2028",""),"2029",""),"taakveld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IFERROR(IF('Invullen groen'!E231&gt;0,'Invullen groen'!E231,""),"")</f>
        <v/>
      </c>
      <c r="B198">
        <f>IFERROR(IF('Invullen groen'!F231&gt;0,'Invullen groen'!F231,""),"")</f>
        <v/>
      </c>
      <c r="C198">
        <f>IFERROR(IF('Invullen groen'!N231&gt;0,'Invullen groen'!N231,""),"")</f>
        <v/>
      </c>
      <c r="D198">
        <f>IFERROR(IF('Invullen groen'!O231&lt;&gt;"",LEFT(TRIM('Invullen groen'!O231),36),""),"")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groen'!H231=0,"",INT('Invullen groen'!H231)),"")</f>
        <v/>
      </c>
      <c r="G198" s="236">
        <f>IFERROR(IF('Invullen groen'!I231=0,"",INT('Invullen groen'!I231)),"")</f>
        <v/>
      </c>
      <c r="H198" s="236">
        <f>IFERROR(IF('Invullen groen'!J231=0,"",INT('Invullen groen'!J231)),"")</f>
        <v/>
      </c>
      <c r="I198" s="236">
        <f>IFERROR(IF('Invullen groen'!K231=0,"",INT('Invullen groen'!K231)),"")</f>
        <v/>
      </c>
      <c r="J198">
        <f>IF('Invullen groen'!E231&gt;0,IFERROR($K$1&amp;" "&amp;TRIM(SUBSTITUTE(SUBSTITUTE(SUBSTITUTE(SUBSTITUTE(SUBSTITUTE(SUBSTITUTE(SUBSTITUTE(SUBSTITUTE(SUBSTITUTE(SUBSTITUTE(SUBSTITUTE(SUBSTITUTE(LOWER(IF(LEFT(TEXT('Invullen groen'!E231,"0"),1)="6",'Invullen groen'!O231,IF('Invullen groen'!N231&gt;0,'Invullen groen'!G231,'Invullen groen'!O231))),"2024",""),"2025",""),"2026",""),"2027",""),"2028",""),"2029",""),"taakveld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IFERROR(IF('Invullen groen'!E232&gt;0,'Invullen groen'!E232,""),"")</f>
        <v/>
      </c>
      <c r="B199">
        <f>IFERROR(IF('Invullen groen'!F232&gt;0,'Invullen groen'!F232,""),"")</f>
        <v/>
      </c>
      <c r="C199">
        <f>IFERROR(IF('Invullen groen'!N232&gt;0,'Invullen groen'!N232,""),"")</f>
        <v/>
      </c>
      <c r="D199">
        <f>IFERROR(IF('Invullen groen'!O232&lt;&gt;"",LEFT(TRIM('Invullen groen'!O232),36),""),"")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groen'!H232=0,"",INT('Invullen groen'!H232)),"")</f>
        <v/>
      </c>
      <c r="G199" s="236">
        <f>IFERROR(IF('Invullen groen'!I232=0,"",INT('Invullen groen'!I232)),"")</f>
        <v/>
      </c>
      <c r="H199" s="236">
        <f>IFERROR(IF('Invullen groen'!J232=0,"",INT('Invullen groen'!J232)),"")</f>
        <v/>
      </c>
      <c r="I199" s="236">
        <f>IFERROR(IF('Invullen groen'!K232=0,"",INT('Invullen groen'!K232)),"")</f>
        <v/>
      </c>
      <c r="J199">
        <f>IF('Invullen groen'!E232&gt;0,IFERROR($K$1&amp;" "&amp;TRIM(SUBSTITUTE(SUBSTITUTE(SUBSTITUTE(SUBSTITUTE(SUBSTITUTE(SUBSTITUTE(SUBSTITUTE(SUBSTITUTE(SUBSTITUTE(SUBSTITUTE(SUBSTITUTE(SUBSTITUTE(LOWER(IF(LEFT(TEXT('Invullen groen'!E232,"0"),1)="6",'Invullen groen'!O232,IF('Invullen groen'!N232&gt;0,'Invullen groen'!G232,'Invullen groen'!O232))),"2024",""),"2025",""),"2026",""),"2027",""),"2028",""),"2029",""),"taakveld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IFERROR(IF('Invullen groen'!E233&gt;0,'Invullen groen'!E233,""),"")</f>
        <v/>
      </c>
      <c r="B200">
        <f>IFERROR(IF('Invullen groen'!F233&gt;0,'Invullen groen'!F233,""),"")</f>
        <v/>
      </c>
      <c r="C200">
        <f>IFERROR(IF('Invullen groen'!N233&gt;0,'Invullen groen'!N233,""),"")</f>
        <v/>
      </c>
      <c r="D200">
        <f>IFERROR(IF('Invullen groen'!O233&lt;&gt;"",LEFT(TRIM('Invullen groen'!O233),36),""),"")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groen'!H233=0,"",INT('Invullen groen'!H233)),"")</f>
        <v/>
      </c>
      <c r="G200" s="236">
        <f>IFERROR(IF('Invullen groen'!I233=0,"",INT('Invullen groen'!I233)),"")</f>
        <v/>
      </c>
      <c r="H200" s="236">
        <f>IFERROR(IF('Invullen groen'!J233=0,"",INT('Invullen groen'!J233)),"")</f>
        <v/>
      </c>
      <c r="I200" s="236">
        <f>IFERROR(IF('Invullen groen'!K233=0,"",INT('Invullen groen'!K233)),"")</f>
        <v/>
      </c>
      <c r="J200">
        <f>IF('Invullen groen'!E233&gt;0,IFERROR($K$1&amp;" "&amp;TRIM(SUBSTITUTE(SUBSTITUTE(SUBSTITUTE(SUBSTITUTE(SUBSTITUTE(SUBSTITUTE(SUBSTITUTE(SUBSTITUTE(SUBSTITUTE(SUBSTITUTE(SUBSTITUTE(SUBSTITUTE(LOWER(IF(LEFT(TEXT('Invullen groen'!E233,"0"),1)="6",'Invullen groen'!O233,IF('Invullen groen'!N233&gt;0,'Invullen groen'!G233,'Invullen groen'!O233))),"2024",""),"2025",""),"2026",""),"2027",""),"2028",""),"2029",""),"taakveld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IFERROR(IF('Invullen groen'!E234&gt;0,'Invullen groen'!E234,""),"")</f>
        <v/>
      </c>
      <c r="B201">
        <f>IFERROR(IF('Invullen groen'!F234&gt;0,'Invullen groen'!F234,""),"")</f>
        <v/>
      </c>
      <c r="C201">
        <f>IFERROR(IF('Invullen groen'!N234&gt;0,'Invullen groen'!N234,""),"")</f>
        <v/>
      </c>
      <c r="D201">
        <f>IFERROR(IF('Invullen groen'!O234&lt;&gt;"",LEFT(TRIM('Invullen groen'!O234),36),""),"")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groen'!H234=0,"",INT('Invullen groen'!H234)),"")</f>
        <v/>
      </c>
      <c r="G201" s="236">
        <f>IFERROR(IF('Invullen groen'!I234=0,"",INT('Invullen groen'!I234)),"")</f>
        <v/>
      </c>
      <c r="H201" s="236">
        <f>IFERROR(IF('Invullen groen'!J234=0,"",INT('Invullen groen'!J234)),"")</f>
        <v/>
      </c>
      <c r="I201" s="236">
        <f>IFERROR(IF('Invullen groen'!K234=0,"",INT('Invullen groen'!K234)),"")</f>
        <v/>
      </c>
      <c r="J201">
        <f>IF('Invullen groen'!E234&gt;0,IFERROR($K$1&amp;" "&amp;TRIM(SUBSTITUTE(SUBSTITUTE(SUBSTITUTE(SUBSTITUTE(SUBSTITUTE(SUBSTITUTE(SUBSTITUTE(SUBSTITUTE(SUBSTITUTE(SUBSTITUTE(SUBSTITUTE(SUBSTITUTE(LOWER(IF(LEFT(TEXT('Invullen groen'!E234,"0"),1)="6",'Invullen groen'!O234,IF('Invullen groen'!N234&gt;0,'Invullen groen'!G234,'Invullen groen'!O234))),"2024",""),"2025",""),"2026",""),"2027",""),"2028",""),"2029",""),"taakveld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IFERROR(IF('Invullen groen'!E235&gt;0,'Invullen groen'!E235,""),"")</f>
        <v/>
      </c>
      <c r="B202">
        <f>IFERROR(IF('Invullen groen'!F235&gt;0,'Invullen groen'!F235,""),"")</f>
        <v/>
      </c>
      <c r="C202">
        <f>IFERROR(IF('Invullen groen'!N235&gt;0,'Invullen groen'!N235,""),"")</f>
        <v/>
      </c>
      <c r="D202">
        <f>IFERROR(IF('Invullen groen'!O235&lt;&gt;"",LEFT(TRIM('Invullen groen'!O235),36),""),"")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groen'!H235=0,"",INT('Invullen groen'!H235)),"")</f>
        <v/>
      </c>
      <c r="G202" s="236">
        <f>IFERROR(IF('Invullen groen'!I235=0,"",INT('Invullen groen'!I235)),"")</f>
        <v/>
      </c>
      <c r="H202" s="236">
        <f>IFERROR(IF('Invullen groen'!J235=0,"",INT('Invullen groen'!J235)),"")</f>
        <v/>
      </c>
      <c r="I202" s="236">
        <f>IFERROR(IF('Invullen groen'!K235=0,"",INT('Invullen groen'!K235)),"")</f>
        <v/>
      </c>
      <c r="J202">
        <f>IF('Invullen groen'!E235&gt;0,IFERROR($K$1&amp;" "&amp;TRIM(SUBSTITUTE(SUBSTITUTE(SUBSTITUTE(SUBSTITUTE(SUBSTITUTE(SUBSTITUTE(SUBSTITUTE(SUBSTITUTE(SUBSTITUTE(SUBSTITUTE(SUBSTITUTE(SUBSTITUTE(LOWER(IF(LEFT(TEXT('Invullen groen'!E235,"0"),1)="6",'Invullen groen'!O235,IF('Invullen groen'!N235&gt;0,'Invullen groen'!G235,'Invullen groen'!O235))),"2024",""),"2025",""),"2026",""),"2027",""),"2028",""),"2029",""),"taakveld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IFERROR(IF('Invullen groen'!E236&gt;0,'Invullen groen'!E236,""),"")</f>
        <v/>
      </c>
      <c r="B203">
        <f>IFERROR(IF('Invullen groen'!F236&gt;0,'Invullen groen'!F236,""),"")</f>
        <v/>
      </c>
      <c r="C203">
        <f>IFERROR(IF('Invullen groen'!N236&gt;0,'Invullen groen'!N236,""),"")</f>
        <v/>
      </c>
      <c r="D203">
        <f>IFERROR(IF('Invullen groen'!O236&lt;&gt;"",LEFT(TRIM('Invullen groen'!O236),36),""),"")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groen'!H236=0,"",INT('Invullen groen'!H236)),"")</f>
        <v/>
      </c>
      <c r="G203" s="236">
        <f>IFERROR(IF('Invullen groen'!I236=0,"",INT('Invullen groen'!I236)),"")</f>
        <v/>
      </c>
      <c r="H203" s="236">
        <f>IFERROR(IF('Invullen groen'!J236=0,"",INT('Invullen groen'!J236)),"")</f>
        <v/>
      </c>
      <c r="I203" s="236">
        <f>IFERROR(IF('Invullen groen'!K236=0,"",INT('Invullen groen'!K236)),"")</f>
        <v/>
      </c>
      <c r="J203">
        <f>IF('Invullen groen'!E236&gt;0,IFERROR($K$1&amp;" "&amp;TRIM(SUBSTITUTE(SUBSTITUTE(SUBSTITUTE(SUBSTITUTE(SUBSTITUTE(SUBSTITUTE(SUBSTITUTE(SUBSTITUTE(SUBSTITUTE(SUBSTITUTE(SUBSTITUTE(SUBSTITUTE(LOWER(IF(LEFT(TEXT('Invullen groen'!E236,"0"),1)="6",'Invullen groen'!O236,IF('Invullen groen'!N236&gt;0,'Invullen groen'!G236,'Invullen groen'!O236))),"2024",""),"2025",""),"2026",""),"2027",""),"2028",""),"2029",""),"taakveld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IFERROR(IF('Invullen groen'!E237&gt;0,'Invullen groen'!E237,""),"")</f>
        <v/>
      </c>
      <c r="B204">
        <f>IFERROR(IF('Invullen groen'!F237&gt;0,'Invullen groen'!F237,""),"")</f>
        <v/>
      </c>
      <c r="C204">
        <f>IFERROR(IF('Invullen groen'!N237&gt;0,'Invullen groen'!N237,""),"")</f>
        <v/>
      </c>
      <c r="D204">
        <f>IFERROR(IF('Invullen groen'!O237&lt;&gt;"",LEFT(TRIM('Invullen groen'!O237),36),""),"")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groen'!H237=0,"",INT('Invullen groen'!H237)),"")</f>
        <v/>
      </c>
      <c r="G204" s="236">
        <f>IFERROR(IF('Invullen groen'!I237=0,"",INT('Invullen groen'!I237)),"")</f>
        <v/>
      </c>
      <c r="H204" s="236">
        <f>IFERROR(IF('Invullen groen'!J237=0,"",INT('Invullen groen'!J237)),"")</f>
        <v/>
      </c>
      <c r="I204" s="236">
        <f>IFERROR(IF('Invullen groen'!K237=0,"",INT('Invullen groen'!K237)),"")</f>
        <v/>
      </c>
      <c r="J204">
        <f>IF('Invullen groen'!E237&gt;0,IFERROR($K$1&amp;" "&amp;TRIM(SUBSTITUTE(SUBSTITUTE(SUBSTITUTE(SUBSTITUTE(SUBSTITUTE(SUBSTITUTE(SUBSTITUTE(SUBSTITUTE(SUBSTITUTE(SUBSTITUTE(SUBSTITUTE(SUBSTITUTE(LOWER(IF(LEFT(TEXT('Invullen groen'!E237,"0"),1)="6",'Invullen groen'!O237,IF('Invullen groen'!N237&gt;0,'Invullen groen'!G237,'Invullen groen'!O237))),"2024",""),"2025",""),"2026",""),"2027",""),"2028",""),"2029",""),"taakveld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IFERROR(IF('Invullen groen'!E238&gt;0,'Invullen groen'!E238,""),"")</f>
        <v/>
      </c>
      <c r="B205">
        <f>IFERROR(IF('Invullen groen'!F238&gt;0,'Invullen groen'!F238,""),"")</f>
        <v/>
      </c>
      <c r="C205">
        <f>IFERROR(IF('Invullen groen'!N238&gt;0,'Invullen groen'!N238,""),"")</f>
        <v/>
      </c>
      <c r="D205">
        <f>IFERROR(IF('Invullen groen'!O238&lt;&gt;"",LEFT(TRIM('Invullen groen'!O238),36),""),"")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groen'!H238=0,"",INT('Invullen groen'!H238)),"")</f>
        <v/>
      </c>
      <c r="G205" s="236">
        <f>IFERROR(IF('Invullen groen'!I238=0,"",INT('Invullen groen'!I238)),"")</f>
        <v/>
      </c>
      <c r="H205" s="236">
        <f>IFERROR(IF('Invullen groen'!J238=0,"",INT('Invullen groen'!J238)),"")</f>
        <v/>
      </c>
      <c r="I205" s="236">
        <f>IFERROR(IF('Invullen groen'!K238=0,"",INT('Invullen groen'!K238)),"")</f>
        <v/>
      </c>
      <c r="J205">
        <f>IF('Invullen groen'!E238&gt;0,IFERROR($K$1&amp;" "&amp;TRIM(SUBSTITUTE(SUBSTITUTE(SUBSTITUTE(SUBSTITUTE(SUBSTITUTE(SUBSTITUTE(SUBSTITUTE(SUBSTITUTE(SUBSTITUTE(SUBSTITUTE(SUBSTITUTE(SUBSTITUTE(LOWER(IF(LEFT(TEXT('Invullen groen'!E238,"0"),1)="6",'Invullen groen'!O238,IF('Invullen groen'!N238&gt;0,'Invullen groen'!G238,'Invullen groen'!O238))),"2024",""),"2025",""),"2026",""),"2027",""),"2028",""),"2029",""),"taakveld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IFERROR(IF('Invullen groen'!E239&gt;0,'Invullen groen'!E239,""),"")</f>
        <v/>
      </c>
      <c r="B206">
        <f>IFERROR(IF('Invullen groen'!F239&gt;0,'Invullen groen'!F239,""),"")</f>
        <v/>
      </c>
      <c r="C206">
        <f>IFERROR(IF('Invullen groen'!N239&gt;0,'Invullen groen'!N239,""),"")</f>
        <v/>
      </c>
      <c r="D206">
        <f>IFERROR(IF('Invullen groen'!O239&lt;&gt;"",LEFT(TRIM('Invullen groen'!O239),36),""),"")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groen'!H239=0,"",INT('Invullen groen'!H239)),"")</f>
        <v/>
      </c>
      <c r="G206" s="236">
        <f>IFERROR(IF('Invullen groen'!I239=0,"",INT('Invullen groen'!I239)),"")</f>
        <v/>
      </c>
      <c r="H206" s="236">
        <f>IFERROR(IF('Invullen groen'!J239=0,"",INT('Invullen groen'!J239)),"")</f>
        <v/>
      </c>
      <c r="I206" s="236">
        <f>IFERROR(IF('Invullen groen'!K239=0,"",INT('Invullen groen'!K239)),"")</f>
        <v/>
      </c>
      <c r="J206">
        <f>IF('Invullen groen'!E239&gt;0,IFERROR($K$1&amp;" "&amp;TRIM(SUBSTITUTE(SUBSTITUTE(SUBSTITUTE(SUBSTITUTE(SUBSTITUTE(SUBSTITUTE(SUBSTITUTE(SUBSTITUTE(SUBSTITUTE(SUBSTITUTE(SUBSTITUTE(SUBSTITUTE(LOWER(IF(LEFT(TEXT('Invullen groen'!E239,"0"),1)="6",'Invullen groen'!O239,IF('Invullen groen'!N239&gt;0,'Invullen groen'!G239,'Invullen groen'!O239))),"2024",""),"2025",""),"2026",""),"2027",""),"2028",""),"2029",""),"taakveld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IFERROR(IF('Invullen groen'!E240&gt;0,'Invullen groen'!E240,""),"")</f>
        <v/>
      </c>
      <c r="B207">
        <f>IFERROR(IF('Invullen groen'!F240&gt;0,'Invullen groen'!F240,""),"")</f>
        <v/>
      </c>
      <c r="C207">
        <f>IFERROR(IF('Invullen groen'!N240&gt;0,'Invullen groen'!N240,""),"")</f>
        <v/>
      </c>
      <c r="D207">
        <f>IFERROR(IF('Invullen groen'!O240&lt;&gt;"",LEFT(TRIM('Invullen groen'!O240),36),""),"")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groen'!H240=0,"",INT('Invullen groen'!H240)),"")</f>
        <v/>
      </c>
      <c r="G207" s="236">
        <f>IFERROR(IF('Invullen groen'!I240=0,"",INT('Invullen groen'!I240)),"")</f>
        <v/>
      </c>
      <c r="H207" s="236">
        <f>IFERROR(IF('Invullen groen'!J240=0,"",INT('Invullen groen'!J240)),"")</f>
        <v/>
      </c>
      <c r="I207" s="236">
        <f>IFERROR(IF('Invullen groen'!K240=0,"",INT('Invullen groen'!K240)),"")</f>
        <v/>
      </c>
      <c r="J207">
        <f>IF('Invullen groen'!E240&gt;0,IFERROR($K$1&amp;" "&amp;TRIM(SUBSTITUTE(SUBSTITUTE(SUBSTITUTE(SUBSTITUTE(SUBSTITUTE(SUBSTITUTE(SUBSTITUTE(SUBSTITUTE(SUBSTITUTE(SUBSTITUTE(SUBSTITUTE(SUBSTITUTE(LOWER(IF(LEFT(TEXT('Invullen groen'!E240,"0"),1)="6",'Invullen groen'!O240,IF('Invullen groen'!N240&gt;0,'Invullen groen'!G240,'Invullen groen'!O240))),"2024",""),"2025",""),"2026",""),"2027",""),"2028",""),"2029",""),"taakveld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IFERROR(IF('Invullen groen'!E241&gt;0,'Invullen groen'!E241,""),"")</f>
        <v/>
      </c>
      <c r="B208">
        <f>IFERROR(IF('Invullen groen'!F241&gt;0,'Invullen groen'!F241,""),"")</f>
        <v/>
      </c>
      <c r="C208">
        <f>IFERROR(IF('Invullen groen'!N241&gt;0,'Invullen groen'!N241,""),"")</f>
        <v/>
      </c>
      <c r="D208">
        <f>IFERROR(IF('Invullen groen'!O241&lt;&gt;"",LEFT(TRIM('Invullen groen'!O241),36),""),"")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groen'!H241=0,"",INT('Invullen groen'!H241)),"")</f>
        <v/>
      </c>
      <c r="G208" s="236">
        <f>IFERROR(IF('Invullen groen'!I241=0,"",INT('Invullen groen'!I241)),"")</f>
        <v/>
      </c>
      <c r="H208" s="236">
        <f>IFERROR(IF('Invullen groen'!J241=0,"",INT('Invullen groen'!J241)),"")</f>
        <v/>
      </c>
      <c r="I208" s="236">
        <f>IFERROR(IF('Invullen groen'!K241=0,"",INT('Invullen groen'!K241)),"")</f>
        <v/>
      </c>
      <c r="J208">
        <f>IF('Invullen groen'!E241&gt;0,IFERROR($K$1&amp;" "&amp;TRIM(SUBSTITUTE(SUBSTITUTE(SUBSTITUTE(SUBSTITUTE(SUBSTITUTE(SUBSTITUTE(SUBSTITUTE(SUBSTITUTE(SUBSTITUTE(SUBSTITUTE(SUBSTITUTE(SUBSTITUTE(LOWER(IF(LEFT(TEXT('Invullen groen'!E241,"0"),1)="6",'Invullen groen'!O241,IF('Invullen groen'!N241&gt;0,'Invullen groen'!G241,'Invullen groen'!O241))),"2024",""),"2025",""),"2026",""),"2027",""),"2028",""),"2029",""),"taakveld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IFERROR(IF('Invullen groen'!E242&gt;0,'Invullen groen'!E242,""),"")</f>
        <v/>
      </c>
      <c r="B209">
        <f>IFERROR(IF('Invullen groen'!F242&gt;0,'Invullen groen'!F242,""),"")</f>
        <v/>
      </c>
      <c r="C209">
        <f>IFERROR(IF('Invullen groen'!N242&gt;0,'Invullen groen'!N242,""),"")</f>
        <v/>
      </c>
      <c r="D209">
        <f>IFERROR(IF('Invullen groen'!O242&lt;&gt;"",LEFT(TRIM('Invullen groen'!O242),36),""),"")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groen'!H242=0,"",INT('Invullen groen'!H242)),"")</f>
        <v/>
      </c>
      <c r="G209" s="236">
        <f>IFERROR(IF('Invullen groen'!I242=0,"",INT('Invullen groen'!I242)),"")</f>
        <v/>
      </c>
      <c r="H209" s="236">
        <f>IFERROR(IF('Invullen groen'!J242=0,"",INT('Invullen groen'!J242)),"")</f>
        <v/>
      </c>
      <c r="I209" s="236">
        <f>IFERROR(IF('Invullen groen'!K242=0,"",INT('Invullen groen'!K242)),"")</f>
        <v/>
      </c>
      <c r="J209">
        <f>IF('Invullen groen'!E242&gt;0,IFERROR($K$1&amp;" "&amp;TRIM(SUBSTITUTE(SUBSTITUTE(SUBSTITUTE(SUBSTITUTE(SUBSTITUTE(SUBSTITUTE(SUBSTITUTE(SUBSTITUTE(SUBSTITUTE(SUBSTITUTE(SUBSTITUTE(SUBSTITUTE(LOWER(IF(LEFT(TEXT('Invullen groen'!E242,"0"),1)="6",'Invullen groen'!O242,IF('Invullen groen'!N242&gt;0,'Invullen groen'!G242,'Invullen groen'!O242))),"2024",""),"2025",""),"2026",""),"2027",""),"2028",""),"2029",""),"taakveld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IFERROR(IF('Invullen groen'!E243&gt;0,'Invullen groen'!E243,""),"")</f>
        <v/>
      </c>
      <c r="B210">
        <f>IFERROR(IF('Invullen groen'!F243&gt;0,'Invullen groen'!F243,""),"")</f>
        <v/>
      </c>
      <c r="C210">
        <f>IFERROR(IF('Invullen groen'!N243&gt;0,'Invullen groen'!N243,""),"")</f>
        <v/>
      </c>
      <c r="D210">
        <f>IFERROR(IF('Invullen groen'!O243&lt;&gt;"",LEFT(TRIM('Invullen groen'!O243),36),""),"")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groen'!H243=0,"",INT('Invullen groen'!H243)),"")</f>
        <v/>
      </c>
      <c r="G210" s="236">
        <f>IFERROR(IF('Invullen groen'!I243=0,"",INT('Invullen groen'!I243)),"")</f>
        <v/>
      </c>
      <c r="H210" s="236">
        <f>IFERROR(IF('Invullen groen'!J243=0,"",INT('Invullen groen'!J243)),"")</f>
        <v/>
      </c>
      <c r="I210" s="236">
        <f>IFERROR(IF('Invullen groen'!K243=0,"",INT('Invullen groen'!K243)),"")</f>
        <v/>
      </c>
      <c r="J210">
        <f>IF('Invullen groen'!E243&gt;0,IFERROR($K$1&amp;" "&amp;TRIM(SUBSTITUTE(SUBSTITUTE(SUBSTITUTE(SUBSTITUTE(SUBSTITUTE(SUBSTITUTE(SUBSTITUTE(SUBSTITUTE(SUBSTITUTE(SUBSTITUTE(SUBSTITUTE(SUBSTITUTE(LOWER(IF(LEFT(TEXT('Invullen groen'!E243,"0"),1)="6",'Invullen groen'!O243,IF('Invullen groen'!N243&gt;0,'Invullen groen'!G243,'Invullen groen'!O243))),"2024",""),"2025",""),"2026",""),"2027",""),"2028",""),"2029",""),"taakveld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IFERROR(IF('Invullen groen'!E244&gt;0,'Invullen groen'!E244,""),"")</f>
        <v/>
      </c>
      <c r="B211">
        <f>IFERROR(IF('Invullen groen'!F244&gt;0,'Invullen groen'!F244,""),"")</f>
        <v/>
      </c>
      <c r="C211">
        <f>IFERROR(IF('Invullen groen'!N244&gt;0,'Invullen groen'!N244,""),"")</f>
        <v/>
      </c>
      <c r="D211">
        <f>IFERROR(IF('Invullen groen'!O244&lt;&gt;"",LEFT(TRIM('Invullen groen'!O244),36),""),"")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groen'!H244=0,"",INT('Invullen groen'!H244)),"")</f>
        <v/>
      </c>
      <c r="G211" s="236">
        <f>IFERROR(IF('Invullen groen'!I244=0,"",INT('Invullen groen'!I244)),"")</f>
        <v/>
      </c>
      <c r="H211" s="236">
        <f>IFERROR(IF('Invullen groen'!J244=0,"",INT('Invullen groen'!J244)),"")</f>
        <v/>
      </c>
      <c r="I211" s="236">
        <f>IFERROR(IF('Invullen groen'!K244=0,"",INT('Invullen groen'!K244)),"")</f>
        <v/>
      </c>
      <c r="J211">
        <f>IF('Invullen groen'!E244&gt;0,IFERROR($K$1&amp;" "&amp;TRIM(SUBSTITUTE(SUBSTITUTE(SUBSTITUTE(SUBSTITUTE(SUBSTITUTE(SUBSTITUTE(SUBSTITUTE(SUBSTITUTE(SUBSTITUTE(SUBSTITUTE(SUBSTITUTE(SUBSTITUTE(LOWER(IF(LEFT(TEXT('Invullen groen'!E244,"0"),1)="6",'Invullen groen'!O244,IF('Invullen groen'!N244&gt;0,'Invullen groen'!G244,'Invullen groen'!O244))),"2024",""),"2025",""),"2026",""),"2027",""),"2028",""),"2029",""),"taakveld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IFERROR(IF('Invullen groen'!E245&gt;0,'Invullen groen'!E245,""),"")</f>
        <v/>
      </c>
      <c r="B212">
        <f>IFERROR(IF('Invullen groen'!F245&gt;0,'Invullen groen'!F245,""),"")</f>
        <v/>
      </c>
      <c r="C212">
        <f>IFERROR(IF('Invullen groen'!N245&gt;0,'Invullen groen'!N245,""),"")</f>
        <v/>
      </c>
      <c r="D212">
        <f>IFERROR(IF('Invullen groen'!O245&lt;&gt;"",LEFT(TRIM('Invullen groen'!O245),36),""),"")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groen'!H245=0,"",INT('Invullen groen'!H245)),"")</f>
        <v/>
      </c>
      <c r="G212" s="236">
        <f>IFERROR(IF('Invullen groen'!I245=0,"",INT('Invullen groen'!I245)),"")</f>
        <v/>
      </c>
      <c r="H212" s="236">
        <f>IFERROR(IF('Invullen groen'!J245=0,"",INT('Invullen groen'!J245)),"")</f>
        <v/>
      </c>
      <c r="I212" s="236">
        <f>IFERROR(IF('Invullen groen'!K245=0,"",INT('Invullen groen'!K245)),"")</f>
        <v/>
      </c>
      <c r="J212">
        <f>IF('Invullen groen'!E245&gt;0,IFERROR($K$1&amp;" "&amp;TRIM(SUBSTITUTE(SUBSTITUTE(SUBSTITUTE(SUBSTITUTE(SUBSTITUTE(SUBSTITUTE(SUBSTITUTE(SUBSTITUTE(SUBSTITUTE(SUBSTITUTE(SUBSTITUTE(SUBSTITUTE(LOWER(IF(LEFT(TEXT('Invullen groen'!E245,"0"),1)="6",'Invullen groen'!O245,IF('Invullen groen'!N245&gt;0,'Invullen groen'!G245,'Invullen groen'!O245))),"2024",""),"2025",""),"2026",""),"2027",""),"2028",""),"2029",""),"taakveld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IFERROR(IF('Invullen groen'!E246&gt;0,'Invullen groen'!E246,""),"")</f>
        <v/>
      </c>
      <c r="B213">
        <f>IFERROR(IF('Invullen groen'!F246&gt;0,'Invullen groen'!F246,""),"")</f>
        <v/>
      </c>
      <c r="C213">
        <f>IFERROR(IF('Invullen groen'!N246&gt;0,'Invullen groen'!N246,""),"")</f>
        <v/>
      </c>
      <c r="D213">
        <f>IFERROR(IF('Invullen groen'!O246&lt;&gt;"",LEFT(TRIM('Invullen groen'!O246),36),""),"")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groen'!H246=0,"",INT('Invullen groen'!H246)),"")</f>
        <v/>
      </c>
      <c r="G213" s="236">
        <f>IFERROR(IF('Invullen groen'!I246=0,"",INT('Invullen groen'!I246)),"")</f>
        <v/>
      </c>
      <c r="H213" s="236">
        <f>IFERROR(IF('Invullen groen'!J246=0,"",INT('Invullen groen'!J246)),"")</f>
        <v/>
      </c>
      <c r="I213" s="236">
        <f>IFERROR(IF('Invullen groen'!K246=0,"",INT('Invullen groen'!K246)),"")</f>
        <v/>
      </c>
      <c r="J213">
        <f>IF('Invullen groen'!E246&gt;0,IFERROR($K$1&amp;" "&amp;TRIM(SUBSTITUTE(SUBSTITUTE(SUBSTITUTE(SUBSTITUTE(SUBSTITUTE(SUBSTITUTE(SUBSTITUTE(SUBSTITUTE(SUBSTITUTE(SUBSTITUTE(SUBSTITUTE(SUBSTITUTE(LOWER(IF(LEFT(TEXT('Invullen groen'!E246,"0"),1)="6",'Invullen groen'!O246,IF('Invullen groen'!N246&gt;0,'Invullen groen'!G246,'Invullen groen'!O246))),"2024",""),"2025",""),"2026",""),"2027",""),"2028",""),"2029",""),"taakveld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IFERROR(IF('Invullen groen'!E247&gt;0,'Invullen groen'!E247,""),"")</f>
        <v/>
      </c>
      <c r="B214">
        <f>IFERROR(IF('Invullen groen'!F247&gt;0,'Invullen groen'!F247,""),"")</f>
        <v/>
      </c>
      <c r="C214">
        <f>IFERROR(IF('Invullen groen'!N247&gt;0,'Invullen groen'!N247,""),"")</f>
        <v/>
      </c>
      <c r="D214">
        <f>IFERROR(IF('Invullen groen'!O247&lt;&gt;"",LEFT(TRIM('Invullen groen'!O247),36),""),"")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groen'!H247=0,"",INT('Invullen groen'!H247)),"")</f>
        <v/>
      </c>
      <c r="G214" s="236">
        <f>IFERROR(IF('Invullen groen'!I247=0,"",INT('Invullen groen'!I247)),"")</f>
        <v/>
      </c>
      <c r="H214" s="236">
        <f>IFERROR(IF('Invullen groen'!J247=0,"",INT('Invullen groen'!J247)),"")</f>
        <v/>
      </c>
      <c r="I214" s="236">
        <f>IFERROR(IF('Invullen groen'!K247=0,"",INT('Invullen groen'!K247)),"")</f>
        <v/>
      </c>
      <c r="J214">
        <f>IF('Invullen groen'!E247&gt;0,IFERROR($K$1&amp;" "&amp;TRIM(SUBSTITUTE(SUBSTITUTE(SUBSTITUTE(SUBSTITUTE(SUBSTITUTE(SUBSTITUTE(SUBSTITUTE(SUBSTITUTE(SUBSTITUTE(SUBSTITUTE(SUBSTITUTE(SUBSTITUTE(LOWER(IF(LEFT(TEXT('Invullen groen'!E247,"0"),1)="6",'Invullen groen'!O247,IF('Invullen groen'!N247&gt;0,'Invullen groen'!G247,'Invullen groen'!O247))),"2024",""),"2025",""),"2026",""),"2027",""),"2028",""),"2029",""),"taakveld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IFERROR(IF('Invullen groen'!E248&gt;0,'Invullen groen'!E248,""),"")</f>
        <v/>
      </c>
      <c r="B215">
        <f>IFERROR(IF('Invullen groen'!F248&gt;0,'Invullen groen'!F248,""),"")</f>
        <v/>
      </c>
      <c r="C215">
        <f>IFERROR(IF('Invullen groen'!N248&gt;0,'Invullen groen'!N248,""),"")</f>
        <v/>
      </c>
      <c r="D215">
        <f>IFERROR(IF('Invullen groen'!O248&lt;&gt;"",LEFT(TRIM('Invullen groen'!O248),36),""),"")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groen'!H248=0,"",INT('Invullen groen'!H248)),"")</f>
        <v/>
      </c>
      <c r="G215" s="236">
        <f>IFERROR(IF('Invullen groen'!I248=0,"",INT('Invullen groen'!I248)),"")</f>
        <v/>
      </c>
      <c r="H215" s="236">
        <f>IFERROR(IF('Invullen groen'!J248=0,"",INT('Invullen groen'!J248)),"")</f>
        <v/>
      </c>
      <c r="I215" s="236">
        <f>IFERROR(IF('Invullen groen'!K248=0,"",INT('Invullen groen'!K248)),"")</f>
        <v/>
      </c>
      <c r="J215">
        <f>IF('Invullen groen'!E248&gt;0,IFERROR($K$1&amp;" "&amp;TRIM(SUBSTITUTE(SUBSTITUTE(SUBSTITUTE(SUBSTITUTE(SUBSTITUTE(SUBSTITUTE(SUBSTITUTE(SUBSTITUTE(SUBSTITUTE(SUBSTITUTE(SUBSTITUTE(SUBSTITUTE(LOWER(IF(LEFT(TEXT('Invullen groen'!E248,"0"),1)="6",'Invullen groen'!O248,IF('Invullen groen'!N248&gt;0,'Invullen groen'!G248,'Invullen groen'!O248))),"2024",""),"2025",""),"2026",""),"2027",""),"2028",""),"2029",""),"taakveld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IFERROR(IF('Invullen groen'!E249&gt;0,'Invullen groen'!E249,""),"")</f>
        <v/>
      </c>
      <c r="B216">
        <f>IFERROR(IF('Invullen groen'!F249&gt;0,'Invullen groen'!F249,""),"")</f>
        <v/>
      </c>
      <c r="C216">
        <f>IFERROR(IF('Invullen groen'!N249&gt;0,'Invullen groen'!N249,""),"")</f>
        <v/>
      </c>
      <c r="D216">
        <f>IFERROR(IF('Invullen groen'!O249&lt;&gt;"",LEFT(TRIM('Invullen groen'!O249),36),""),"")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groen'!H249=0,"",INT('Invullen groen'!H249)),"")</f>
        <v/>
      </c>
      <c r="G216" s="236">
        <f>IFERROR(IF('Invullen groen'!I249=0,"",INT('Invullen groen'!I249)),"")</f>
        <v/>
      </c>
      <c r="H216" s="236">
        <f>IFERROR(IF('Invullen groen'!J249=0,"",INT('Invullen groen'!J249)),"")</f>
        <v/>
      </c>
      <c r="I216" s="236">
        <f>IFERROR(IF('Invullen groen'!K249=0,"",INT('Invullen groen'!K249)),"")</f>
        <v/>
      </c>
      <c r="J216">
        <f>IF('Invullen groen'!E249&gt;0,IFERROR($K$1&amp;" "&amp;TRIM(SUBSTITUTE(SUBSTITUTE(SUBSTITUTE(SUBSTITUTE(SUBSTITUTE(SUBSTITUTE(SUBSTITUTE(SUBSTITUTE(SUBSTITUTE(SUBSTITUTE(SUBSTITUTE(SUBSTITUTE(LOWER(IF(LEFT(TEXT('Invullen groen'!E249,"0"),1)="6",'Invullen groen'!O249,IF('Invullen groen'!N249&gt;0,'Invullen groen'!G249,'Invullen groen'!O249))),"2024",""),"2025",""),"2026",""),"2027",""),"2028",""),"2029",""),"taakveld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IFERROR(IF('Invullen groen'!E250&gt;0,'Invullen groen'!E250,""),"")</f>
        <v/>
      </c>
      <c r="B217">
        <f>IFERROR(IF('Invullen groen'!F250&gt;0,'Invullen groen'!F250,""),"")</f>
        <v/>
      </c>
      <c r="C217">
        <f>IFERROR(IF('Invullen groen'!N250&gt;0,'Invullen groen'!N250,""),"")</f>
        <v/>
      </c>
      <c r="D217">
        <f>IFERROR(IF('Invullen groen'!O250&lt;&gt;"",LEFT(TRIM('Invullen groen'!O250),36),""),"")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groen'!H250=0,"",INT('Invullen groen'!H250)),"")</f>
        <v/>
      </c>
      <c r="G217" s="236">
        <f>IFERROR(IF('Invullen groen'!I250=0,"",INT('Invullen groen'!I250)),"")</f>
        <v/>
      </c>
      <c r="H217" s="236">
        <f>IFERROR(IF('Invullen groen'!J250=0,"",INT('Invullen groen'!J250)),"")</f>
        <v/>
      </c>
      <c r="I217" s="236">
        <f>IFERROR(IF('Invullen groen'!K250=0,"",INT('Invullen groen'!K250)),"")</f>
        <v/>
      </c>
      <c r="J217">
        <f>IF('Invullen groen'!E250&gt;0,IFERROR($K$1&amp;" "&amp;TRIM(SUBSTITUTE(SUBSTITUTE(SUBSTITUTE(SUBSTITUTE(SUBSTITUTE(SUBSTITUTE(SUBSTITUTE(SUBSTITUTE(SUBSTITUTE(SUBSTITUTE(SUBSTITUTE(SUBSTITUTE(LOWER(IF(LEFT(TEXT('Invullen groen'!E250,"0"),1)="6",'Invullen groen'!O250,IF('Invullen groen'!N250&gt;0,'Invullen groen'!G250,'Invullen groen'!O250))),"2024",""),"2025",""),"2026",""),"2027",""),"2028",""),"2029",""),"taakveld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IFERROR(IF('Invullen groen'!E251&gt;0,'Invullen groen'!E251,""),"")</f>
        <v/>
      </c>
      <c r="B218">
        <f>IFERROR(IF('Invullen groen'!F251&gt;0,'Invullen groen'!F251,""),"")</f>
        <v/>
      </c>
      <c r="C218">
        <f>IFERROR(IF('Invullen groen'!N251&gt;0,'Invullen groen'!N251,""),"")</f>
        <v/>
      </c>
      <c r="D218">
        <f>IFERROR(IF('Invullen groen'!O251&lt;&gt;"",LEFT(TRIM('Invullen groen'!O251),36),""),"")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groen'!H251=0,"",INT('Invullen groen'!H251)),"")</f>
        <v/>
      </c>
      <c r="G218" s="236">
        <f>IFERROR(IF('Invullen groen'!I251=0,"",INT('Invullen groen'!I251)),"")</f>
        <v/>
      </c>
      <c r="H218" s="236">
        <f>IFERROR(IF('Invullen groen'!J251=0,"",INT('Invullen groen'!J251)),"")</f>
        <v/>
      </c>
      <c r="I218" s="236">
        <f>IFERROR(IF('Invullen groen'!K251=0,"",INT('Invullen groen'!K251)),"")</f>
        <v/>
      </c>
      <c r="J218">
        <f>IF('Invullen groen'!E251&gt;0,IFERROR($K$1&amp;" "&amp;TRIM(SUBSTITUTE(SUBSTITUTE(SUBSTITUTE(SUBSTITUTE(SUBSTITUTE(SUBSTITUTE(SUBSTITUTE(SUBSTITUTE(SUBSTITUTE(SUBSTITUTE(SUBSTITUTE(SUBSTITUTE(LOWER(IF(LEFT(TEXT('Invullen groen'!E251,"0"),1)="6",'Invullen groen'!O251,IF('Invullen groen'!N251&gt;0,'Invullen groen'!G251,'Invullen groen'!O251))),"2024",""),"2025",""),"2026",""),"2027",""),"2028",""),"2029",""),"taakveld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IFERROR(IF('Invullen groen'!E252&gt;0,'Invullen groen'!E252,""),"")</f>
        <v/>
      </c>
      <c r="B219">
        <f>IFERROR(IF('Invullen groen'!F252&gt;0,'Invullen groen'!F252,""),"")</f>
        <v/>
      </c>
      <c r="C219">
        <f>IFERROR(IF('Invullen groen'!N252&gt;0,'Invullen groen'!N252,""),"")</f>
        <v/>
      </c>
      <c r="D219">
        <f>IFERROR(IF('Invullen groen'!O252&lt;&gt;"",LEFT(TRIM('Invullen groen'!O252),36),""),"")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groen'!H252=0,"",INT('Invullen groen'!H252)),"")</f>
        <v/>
      </c>
      <c r="G219" s="236">
        <f>IFERROR(IF('Invullen groen'!I252=0,"",INT('Invullen groen'!I252)),"")</f>
        <v/>
      </c>
      <c r="H219" s="236">
        <f>IFERROR(IF('Invullen groen'!J252=0,"",INT('Invullen groen'!J252)),"")</f>
        <v/>
      </c>
      <c r="I219" s="236">
        <f>IFERROR(IF('Invullen groen'!K252=0,"",INT('Invullen groen'!K252)),"")</f>
        <v/>
      </c>
      <c r="J219">
        <f>IF('Invullen groen'!E252&gt;0,IFERROR($K$1&amp;" "&amp;TRIM(SUBSTITUTE(SUBSTITUTE(SUBSTITUTE(SUBSTITUTE(SUBSTITUTE(SUBSTITUTE(SUBSTITUTE(SUBSTITUTE(SUBSTITUTE(SUBSTITUTE(SUBSTITUTE(SUBSTITUTE(LOWER(IF(LEFT(TEXT('Invullen groen'!E252,"0"),1)="6",'Invullen groen'!O252,IF('Invullen groen'!N252&gt;0,'Invullen groen'!G252,'Invullen groen'!O252))),"2024",""),"2025",""),"2026",""),"2027",""),"2028",""),"2029",""),"taakveld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IFERROR(IF('Invullen groen'!E253&gt;0,'Invullen groen'!E253,""),"")</f>
        <v/>
      </c>
      <c r="B220">
        <f>IFERROR(IF('Invullen groen'!F253&gt;0,'Invullen groen'!F253,""),"")</f>
        <v/>
      </c>
      <c r="C220">
        <f>IFERROR(IF('Invullen groen'!N253&gt;0,'Invullen groen'!N253,""),"")</f>
        <v/>
      </c>
      <c r="D220">
        <f>IFERROR(IF('Invullen groen'!O253&lt;&gt;"",LEFT(TRIM('Invullen groen'!O253),36),""),"")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groen'!H253=0,"",INT('Invullen groen'!H253)),"")</f>
        <v/>
      </c>
      <c r="G220" s="236">
        <f>IFERROR(IF('Invullen groen'!I253=0,"",INT('Invullen groen'!I253)),"")</f>
        <v/>
      </c>
      <c r="H220" s="236">
        <f>IFERROR(IF('Invullen groen'!J253=0,"",INT('Invullen groen'!J253)),"")</f>
        <v/>
      </c>
      <c r="I220" s="236">
        <f>IFERROR(IF('Invullen groen'!K253=0,"",INT('Invullen groen'!K253)),"")</f>
        <v/>
      </c>
      <c r="J220">
        <f>IF('Invullen groen'!E253&gt;0,IFERROR($K$1&amp;" "&amp;TRIM(SUBSTITUTE(SUBSTITUTE(SUBSTITUTE(SUBSTITUTE(SUBSTITUTE(SUBSTITUTE(SUBSTITUTE(SUBSTITUTE(SUBSTITUTE(SUBSTITUTE(SUBSTITUTE(SUBSTITUTE(LOWER(IF(LEFT(TEXT('Invullen groen'!E253,"0"),1)="6",'Invullen groen'!O253,IF('Invullen groen'!N253&gt;0,'Invullen groen'!G253,'Invullen groen'!O253))),"2024",""),"2025",""),"2026",""),"2027",""),"2028",""),"2029",""),"taakveld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IFERROR(IF('Invullen groen'!E254&gt;0,'Invullen groen'!E254,""),"")</f>
        <v/>
      </c>
      <c r="B221">
        <f>IFERROR(IF('Invullen groen'!F254&gt;0,'Invullen groen'!F254,""),"")</f>
        <v/>
      </c>
      <c r="C221">
        <f>IFERROR(IF('Invullen groen'!N254&gt;0,'Invullen groen'!N254,""),"")</f>
        <v/>
      </c>
      <c r="D221">
        <f>IFERROR(IF('Invullen groen'!O254&lt;&gt;"",LEFT(TRIM('Invullen groen'!O254),36),""),"")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groen'!H254=0,"",INT('Invullen groen'!H254)),"")</f>
        <v/>
      </c>
      <c r="G221" s="236">
        <f>IFERROR(IF('Invullen groen'!I254=0,"",INT('Invullen groen'!I254)),"")</f>
        <v/>
      </c>
      <c r="H221" s="236">
        <f>IFERROR(IF('Invullen groen'!J254=0,"",INT('Invullen groen'!J254)),"")</f>
        <v/>
      </c>
      <c r="I221" s="236">
        <f>IFERROR(IF('Invullen groen'!K254=0,"",INT('Invullen groen'!K254)),"")</f>
        <v/>
      </c>
      <c r="J221">
        <f>IF('Invullen groen'!E254&gt;0,IFERROR($K$1&amp;" "&amp;TRIM(SUBSTITUTE(SUBSTITUTE(SUBSTITUTE(SUBSTITUTE(SUBSTITUTE(SUBSTITUTE(SUBSTITUTE(SUBSTITUTE(SUBSTITUTE(SUBSTITUTE(SUBSTITUTE(SUBSTITUTE(LOWER(IF(LEFT(TEXT('Invullen groen'!E254,"0"),1)="6",'Invullen groen'!O254,IF('Invullen groen'!N254&gt;0,'Invullen groen'!G254,'Invullen groen'!O254))),"2024",""),"2025",""),"2026",""),"2027",""),"2028",""),"2029",""),"taakveld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IFERROR(IF('Invullen groen'!E255&gt;0,'Invullen groen'!E255,""),"")</f>
        <v/>
      </c>
      <c r="B222">
        <f>IFERROR(IF('Invullen groen'!F255&gt;0,'Invullen groen'!F255,""),"")</f>
        <v/>
      </c>
      <c r="C222">
        <f>IFERROR(IF('Invullen groen'!N255&gt;0,'Invullen groen'!N255,""),"")</f>
        <v/>
      </c>
      <c r="D222">
        <f>IFERROR(IF('Invullen groen'!O255&lt;&gt;"",LEFT(TRIM('Invullen groen'!O255),36),""),"")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groen'!H255=0,"",INT('Invullen groen'!H255)),"")</f>
        <v/>
      </c>
      <c r="G222" s="236">
        <f>IFERROR(IF('Invullen groen'!I255=0,"",INT('Invullen groen'!I255)),"")</f>
        <v/>
      </c>
      <c r="H222" s="236">
        <f>IFERROR(IF('Invullen groen'!J255=0,"",INT('Invullen groen'!J255)),"")</f>
        <v/>
      </c>
      <c r="I222" s="236">
        <f>IFERROR(IF('Invullen groen'!K255=0,"",INT('Invullen groen'!K255)),"")</f>
        <v/>
      </c>
      <c r="J222">
        <f>IF('Invullen groen'!E255&gt;0,IFERROR($K$1&amp;" "&amp;TRIM(SUBSTITUTE(SUBSTITUTE(SUBSTITUTE(SUBSTITUTE(SUBSTITUTE(SUBSTITUTE(SUBSTITUTE(SUBSTITUTE(SUBSTITUTE(SUBSTITUTE(SUBSTITUTE(SUBSTITUTE(LOWER(IF(LEFT(TEXT('Invullen groen'!E255,"0"),1)="6",'Invullen groen'!O255,IF('Invullen groen'!N255&gt;0,'Invullen groen'!G255,'Invullen groen'!O255))),"2024",""),"2025",""),"2026",""),"2027",""),"2028",""),"2029",""),"taakveld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IFERROR(IF('Invullen groen'!E256&gt;0,'Invullen groen'!E256,""),"")</f>
        <v/>
      </c>
      <c r="B223">
        <f>IFERROR(IF('Invullen groen'!F256&gt;0,'Invullen groen'!F256,""),"")</f>
        <v/>
      </c>
      <c r="C223">
        <f>IFERROR(IF('Invullen groen'!N256&gt;0,'Invullen groen'!N256,""),"")</f>
        <v/>
      </c>
      <c r="D223">
        <f>IFERROR(IF('Invullen groen'!O256&lt;&gt;"",LEFT(TRIM('Invullen groen'!O256),36),""),"")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groen'!H256=0,"",INT('Invullen groen'!H256)),"")</f>
        <v/>
      </c>
      <c r="G223" s="236">
        <f>IFERROR(IF('Invullen groen'!I256=0,"",INT('Invullen groen'!I256)),"")</f>
        <v/>
      </c>
      <c r="H223" s="236">
        <f>IFERROR(IF('Invullen groen'!J256=0,"",INT('Invullen groen'!J256)),"")</f>
        <v/>
      </c>
      <c r="I223" s="236">
        <f>IFERROR(IF('Invullen groen'!K256=0,"",INT('Invullen groen'!K256)),"")</f>
        <v/>
      </c>
      <c r="J223">
        <f>IF('Invullen groen'!E256&gt;0,IFERROR($K$1&amp;" "&amp;TRIM(SUBSTITUTE(SUBSTITUTE(SUBSTITUTE(SUBSTITUTE(SUBSTITUTE(SUBSTITUTE(SUBSTITUTE(SUBSTITUTE(SUBSTITUTE(SUBSTITUTE(SUBSTITUTE(SUBSTITUTE(LOWER(IF(LEFT(TEXT('Invullen groen'!E256,"0"),1)="6",'Invullen groen'!O256,IF('Invullen groen'!N256&gt;0,'Invullen groen'!G256,'Invullen groen'!O256))),"2024",""),"2025",""),"2026",""),"2027",""),"2028",""),"2029",""),"taakveld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IFERROR(IF('Invullen groen'!E257&gt;0,'Invullen groen'!E257,""),"")</f>
        <v/>
      </c>
      <c r="B224">
        <f>IFERROR(IF('Invullen groen'!F257&gt;0,'Invullen groen'!F257,""),"")</f>
        <v/>
      </c>
      <c r="C224">
        <f>IFERROR(IF('Invullen groen'!N257&gt;0,'Invullen groen'!N257,""),"")</f>
        <v/>
      </c>
      <c r="D224">
        <f>IFERROR(IF('Invullen groen'!O257&lt;&gt;"",LEFT(TRIM('Invullen groen'!O257),36),""),"")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groen'!H257=0,"",INT('Invullen groen'!H257)),"")</f>
        <v/>
      </c>
      <c r="G224" s="236">
        <f>IFERROR(IF('Invullen groen'!I257=0,"",INT('Invullen groen'!I257)),"")</f>
        <v/>
      </c>
      <c r="H224" s="236">
        <f>IFERROR(IF('Invullen groen'!J257=0,"",INT('Invullen groen'!J257)),"")</f>
        <v/>
      </c>
      <c r="I224" s="236">
        <f>IFERROR(IF('Invullen groen'!K257=0,"",INT('Invullen groen'!K257)),"")</f>
        <v/>
      </c>
      <c r="J224">
        <f>IF('Invullen groen'!E257&gt;0,IFERROR($K$1&amp;" "&amp;TRIM(SUBSTITUTE(SUBSTITUTE(SUBSTITUTE(SUBSTITUTE(SUBSTITUTE(SUBSTITUTE(SUBSTITUTE(SUBSTITUTE(SUBSTITUTE(SUBSTITUTE(SUBSTITUTE(SUBSTITUTE(LOWER(IF(LEFT(TEXT('Invullen groen'!E257,"0"),1)="6",'Invullen groen'!O257,IF('Invullen groen'!N257&gt;0,'Invullen groen'!G257,'Invullen groen'!O257))),"2024",""),"2025",""),"2026",""),"2027",""),"2028",""),"2029",""),"taakveld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IFERROR(IF('Invullen groen'!E258&gt;0,'Invullen groen'!E258,""),"")</f>
        <v/>
      </c>
      <c r="B225">
        <f>IFERROR(IF('Invullen groen'!F258&gt;0,'Invullen groen'!F258,""),"")</f>
        <v/>
      </c>
      <c r="C225">
        <f>IFERROR(IF('Invullen groen'!N258&gt;0,'Invullen groen'!N258,""),"")</f>
        <v/>
      </c>
      <c r="D225">
        <f>IFERROR(IF('Invullen groen'!O258&lt;&gt;"",LEFT(TRIM('Invullen groen'!O258),36),""),"")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groen'!H258=0,"",INT('Invullen groen'!H258)),"")</f>
        <v/>
      </c>
      <c r="G225" s="236">
        <f>IFERROR(IF('Invullen groen'!I258=0,"",INT('Invullen groen'!I258)),"")</f>
        <v/>
      </c>
      <c r="H225" s="236">
        <f>IFERROR(IF('Invullen groen'!J258=0,"",INT('Invullen groen'!J258)),"")</f>
        <v/>
      </c>
      <c r="I225" s="236">
        <f>IFERROR(IF('Invullen groen'!K258=0,"",INT('Invullen groen'!K258)),"")</f>
        <v/>
      </c>
      <c r="J225">
        <f>IF('Invullen groen'!E258&gt;0,IFERROR($K$1&amp;" "&amp;TRIM(SUBSTITUTE(SUBSTITUTE(SUBSTITUTE(SUBSTITUTE(SUBSTITUTE(SUBSTITUTE(SUBSTITUTE(SUBSTITUTE(SUBSTITUTE(SUBSTITUTE(SUBSTITUTE(SUBSTITUTE(LOWER(IF(LEFT(TEXT('Invullen groen'!E258,"0"),1)="6",'Invullen groen'!O258,IF('Invullen groen'!N258&gt;0,'Invullen groen'!G258,'Invullen groen'!O258))),"2024",""),"2025",""),"2026",""),"2027",""),"2028",""),"2029",""),"taakveld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IFERROR(IF('Invullen groen'!E259&gt;0,'Invullen groen'!E259,""),"")</f>
        <v/>
      </c>
      <c r="B226">
        <f>IFERROR(IF('Invullen groen'!F259&gt;0,'Invullen groen'!F259,""),"")</f>
        <v/>
      </c>
      <c r="C226">
        <f>IFERROR(IF('Invullen groen'!N259&gt;0,'Invullen groen'!N259,""),"")</f>
        <v/>
      </c>
      <c r="D226">
        <f>IFERROR(IF('Invullen groen'!O259&lt;&gt;"",LEFT(TRIM('Invullen groen'!O259),36),""),"")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groen'!H259=0,"",INT('Invullen groen'!H259)),"")</f>
        <v/>
      </c>
      <c r="G226" s="236">
        <f>IFERROR(IF('Invullen groen'!I259=0,"",INT('Invullen groen'!I259)),"")</f>
        <v/>
      </c>
      <c r="H226" s="236">
        <f>IFERROR(IF('Invullen groen'!J259=0,"",INT('Invullen groen'!J259)),"")</f>
        <v/>
      </c>
      <c r="I226" s="236">
        <f>IFERROR(IF('Invullen groen'!K259=0,"",INT('Invullen groen'!K259)),"")</f>
        <v/>
      </c>
      <c r="J226">
        <f>IF('Invullen groen'!E259&gt;0,IFERROR($K$1&amp;" "&amp;TRIM(SUBSTITUTE(SUBSTITUTE(SUBSTITUTE(SUBSTITUTE(SUBSTITUTE(SUBSTITUTE(SUBSTITUTE(SUBSTITUTE(SUBSTITUTE(SUBSTITUTE(SUBSTITUTE(SUBSTITUTE(LOWER(IF(LEFT(TEXT('Invullen groen'!E259,"0"),1)="6",'Invullen groen'!O259,IF('Invullen groen'!N259&gt;0,'Invullen groen'!G259,'Invullen groen'!O259))),"2024",""),"2025",""),"2026",""),"2027",""),"2028",""),"2029",""),"taakveld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IFERROR(IF('Invullen groen'!E260&gt;0,'Invullen groen'!E260,""),"")</f>
        <v/>
      </c>
      <c r="B227">
        <f>IFERROR(IF('Invullen groen'!F260&gt;0,'Invullen groen'!F260,""),"")</f>
        <v/>
      </c>
      <c r="C227">
        <f>IFERROR(IF('Invullen groen'!N260&gt;0,'Invullen groen'!N260,""),"")</f>
        <v/>
      </c>
      <c r="D227">
        <f>IFERROR(IF('Invullen groen'!O260&lt;&gt;"",LEFT(TRIM('Invullen groen'!O260),36),""),"")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groen'!H260=0,"",INT('Invullen groen'!H260)),"")</f>
        <v/>
      </c>
      <c r="G227" s="236">
        <f>IFERROR(IF('Invullen groen'!I260=0,"",INT('Invullen groen'!I260)),"")</f>
        <v/>
      </c>
      <c r="H227" s="236">
        <f>IFERROR(IF('Invullen groen'!J260=0,"",INT('Invullen groen'!J260)),"")</f>
        <v/>
      </c>
      <c r="I227" s="236">
        <f>IFERROR(IF('Invullen groen'!K260=0,"",INT('Invullen groen'!K260)),"")</f>
        <v/>
      </c>
      <c r="J227">
        <f>IF('Invullen groen'!E260&gt;0,IFERROR($K$1&amp;" "&amp;TRIM(SUBSTITUTE(SUBSTITUTE(SUBSTITUTE(SUBSTITUTE(SUBSTITUTE(SUBSTITUTE(SUBSTITUTE(SUBSTITUTE(SUBSTITUTE(SUBSTITUTE(SUBSTITUTE(SUBSTITUTE(LOWER(IF(LEFT(TEXT('Invullen groen'!E260,"0"),1)="6",'Invullen groen'!O260,IF('Invullen groen'!N260&gt;0,'Invullen groen'!G260,'Invullen groen'!O260))),"2024",""),"2025",""),"2026",""),"2027",""),"2028",""),"2029",""),"taakveld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IFERROR(IF('Invullen groen'!E261&gt;0,'Invullen groen'!E261,""),"")</f>
        <v/>
      </c>
      <c r="B228">
        <f>IFERROR(IF('Invullen groen'!F261&gt;0,'Invullen groen'!F261,""),"")</f>
        <v/>
      </c>
      <c r="C228">
        <f>IFERROR(IF('Invullen groen'!N261&gt;0,'Invullen groen'!N261,""),"")</f>
        <v/>
      </c>
      <c r="D228">
        <f>IFERROR(IF('Invullen groen'!O261&lt;&gt;"",LEFT(TRIM('Invullen groen'!O261),36),""),"")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groen'!H261=0,"",INT('Invullen groen'!H261)),"")</f>
        <v/>
      </c>
      <c r="G228" s="236">
        <f>IFERROR(IF('Invullen groen'!I261=0,"",INT('Invullen groen'!I261)),"")</f>
        <v/>
      </c>
      <c r="H228" s="236">
        <f>IFERROR(IF('Invullen groen'!J261=0,"",INT('Invullen groen'!J261)),"")</f>
        <v/>
      </c>
      <c r="I228" s="236">
        <f>IFERROR(IF('Invullen groen'!K261=0,"",INT('Invullen groen'!K261)),"")</f>
        <v/>
      </c>
      <c r="J228">
        <f>IF('Invullen groen'!E261&gt;0,IFERROR($K$1&amp;" "&amp;TRIM(SUBSTITUTE(SUBSTITUTE(SUBSTITUTE(SUBSTITUTE(SUBSTITUTE(SUBSTITUTE(SUBSTITUTE(SUBSTITUTE(SUBSTITUTE(SUBSTITUTE(SUBSTITUTE(SUBSTITUTE(LOWER(IF(LEFT(TEXT('Invullen groen'!E261,"0"),1)="6",'Invullen groen'!O261,IF('Invullen groen'!N261&gt;0,'Invullen groen'!G261,'Invullen groen'!O261))),"2024",""),"2025",""),"2026",""),"2027",""),"2028",""),"2029",""),"taakveld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IFERROR(IF('Invullen groen'!E262&gt;0,'Invullen groen'!E262,""),"")</f>
        <v/>
      </c>
      <c r="B229">
        <f>IFERROR(IF('Invullen groen'!F262&gt;0,'Invullen groen'!F262,""),"")</f>
        <v/>
      </c>
      <c r="C229">
        <f>IFERROR(IF('Invullen groen'!N262&gt;0,'Invullen groen'!N262,""),"")</f>
        <v/>
      </c>
      <c r="D229">
        <f>IFERROR(IF('Invullen groen'!O262&lt;&gt;"",LEFT(TRIM('Invullen groen'!O262),36),""),"")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groen'!H262=0,"",INT('Invullen groen'!H262)),"")</f>
        <v/>
      </c>
      <c r="G229" s="236">
        <f>IFERROR(IF('Invullen groen'!I262=0,"",INT('Invullen groen'!I262)),"")</f>
        <v/>
      </c>
      <c r="H229" s="236">
        <f>IFERROR(IF('Invullen groen'!J262=0,"",INT('Invullen groen'!J262)),"")</f>
        <v/>
      </c>
      <c r="I229" s="236">
        <f>IFERROR(IF('Invullen groen'!K262=0,"",INT('Invullen groen'!K262)),"")</f>
        <v/>
      </c>
      <c r="J229">
        <f>IF('Invullen groen'!E262&gt;0,IFERROR($K$1&amp;" "&amp;TRIM(SUBSTITUTE(SUBSTITUTE(SUBSTITUTE(SUBSTITUTE(SUBSTITUTE(SUBSTITUTE(SUBSTITUTE(SUBSTITUTE(SUBSTITUTE(SUBSTITUTE(SUBSTITUTE(SUBSTITUTE(LOWER(IF(LEFT(TEXT('Invullen groen'!E262,"0"),1)="6",'Invullen groen'!O262,IF('Invullen groen'!N262&gt;0,'Invullen groen'!G262,'Invullen groen'!O262))),"2024",""),"2025",""),"2026",""),"2027",""),"2028",""),"2029",""),"taakveld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IFERROR(IF('Invullen groen'!E263&gt;0,'Invullen groen'!E263,""),"")</f>
        <v/>
      </c>
      <c r="B230">
        <f>IFERROR(IF('Invullen groen'!F263&gt;0,'Invullen groen'!F263,""),"")</f>
        <v/>
      </c>
      <c r="C230">
        <f>IFERROR(IF('Invullen groen'!N263&gt;0,'Invullen groen'!N263,""),"")</f>
        <v/>
      </c>
      <c r="D230">
        <f>IFERROR(IF('Invullen groen'!O263&lt;&gt;"",LEFT(TRIM('Invullen groen'!O263),36),""),"")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groen'!H263=0,"",INT('Invullen groen'!H263)),"")</f>
        <v/>
      </c>
      <c r="G230" s="236">
        <f>IFERROR(IF('Invullen groen'!I263=0,"",INT('Invullen groen'!I263)),"")</f>
        <v/>
      </c>
      <c r="H230" s="236">
        <f>IFERROR(IF('Invullen groen'!J263=0,"",INT('Invullen groen'!J263)),"")</f>
        <v/>
      </c>
      <c r="I230" s="236">
        <f>IFERROR(IF('Invullen groen'!K263=0,"",INT('Invullen groen'!K263)),"")</f>
        <v/>
      </c>
      <c r="J230">
        <f>IF('Invullen groen'!E263&gt;0,IFERROR($K$1&amp;" "&amp;TRIM(SUBSTITUTE(SUBSTITUTE(SUBSTITUTE(SUBSTITUTE(SUBSTITUTE(SUBSTITUTE(SUBSTITUTE(SUBSTITUTE(SUBSTITUTE(SUBSTITUTE(SUBSTITUTE(SUBSTITUTE(LOWER(IF(LEFT(TEXT('Invullen groen'!E263,"0"),1)="6",'Invullen groen'!O263,IF('Invullen groen'!N263&gt;0,'Invullen groen'!G263,'Invullen groen'!O263))),"2024",""),"2025",""),"2026",""),"2027",""),"2028",""),"2029",""),"taakveld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IFERROR(IF('Invullen groen'!E264&gt;0,'Invullen groen'!E264,""),"")</f>
        <v/>
      </c>
      <c r="B231">
        <f>IFERROR(IF('Invullen groen'!F264&gt;0,'Invullen groen'!F264,""),"")</f>
        <v/>
      </c>
      <c r="C231">
        <f>IFERROR(IF('Invullen groen'!N264&gt;0,'Invullen groen'!N264,""),"")</f>
        <v/>
      </c>
      <c r="D231">
        <f>IFERROR(IF('Invullen groen'!O264&lt;&gt;"",LEFT(TRIM('Invullen groen'!O264),36),""),"")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groen'!H264=0,"",INT('Invullen groen'!H264)),"")</f>
        <v/>
      </c>
      <c r="G231" s="236">
        <f>IFERROR(IF('Invullen groen'!I264=0,"",INT('Invullen groen'!I264)),"")</f>
        <v/>
      </c>
      <c r="H231" s="236">
        <f>IFERROR(IF('Invullen groen'!J264=0,"",INT('Invullen groen'!J264)),"")</f>
        <v/>
      </c>
      <c r="I231" s="236">
        <f>IFERROR(IF('Invullen groen'!K264=0,"",INT('Invullen groen'!K264)),"")</f>
        <v/>
      </c>
      <c r="J231">
        <f>IF('Invullen groen'!E264&gt;0,IFERROR($K$1&amp;" "&amp;TRIM(SUBSTITUTE(SUBSTITUTE(SUBSTITUTE(SUBSTITUTE(SUBSTITUTE(SUBSTITUTE(SUBSTITUTE(SUBSTITUTE(SUBSTITUTE(SUBSTITUTE(SUBSTITUTE(SUBSTITUTE(LOWER(IF(LEFT(TEXT('Invullen groen'!E264,"0"),1)="6",'Invullen groen'!O264,IF('Invullen groen'!N264&gt;0,'Invullen groen'!G264,'Invullen groen'!O264))),"2024",""),"2025",""),"2026",""),"2027",""),"2028",""),"2029",""),"taakveld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IFERROR(IF('Invullen groen'!E265&gt;0,'Invullen groen'!E265,""),"")</f>
        <v/>
      </c>
      <c r="B232">
        <f>IFERROR(IF('Invullen groen'!F265&gt;0,'Invullen groen'!F265,""),"")</f>
        <v/>
      </c>
      <c r="C232">
        <f>IFERROR(IF('Invullen groen'!N265&gt;0,'Invullen groen'!N265,""),"")</f>
        <v/>
      </c>
      <c r="D232">
        <f>IFERROR(IF('Invullen groen'!O265&lt;&gt;"",LEFT(TRIM('Invullen groen'!O265),36),""),"")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groen'!H265=0,"",INT('Invullen groen'!H265)),"")</f>
        <v/>
      </c>
      <c r="G232" s="236">
        <f>IFERROR(IF('Invullen groen'!I265=0,"",INT('Invullen groen'!I265)),"")</f>
        <v/>
      </c>
      <c r="H232" s="236">
        <f>IFERROR(IF('Invullen groen'!J265=0,"",INT('Invullen groen'!J265)),"")</f>
        <v/>
      </c>
      <c r="I232" s="236">
        <f>IFERROR(IF('Invullen groen'!K265=0,"",INT('Invullen groen'!K265)),"")</f>
        <v/>
      </c>
      <c r="J232">
        <f>IF('Invullen groen'!E265&gt;0,IFERROR($K$1&amp;" "&amp;TRIM(SUBSTITUTE(SUBSTITUTE(SUBSTITUTE(SUBSTITUTE(SUBSTITUTE(SUBSTITUTE(SUBSTITUTE(SUBSTITUTE(SUBSTITUTE(SUBSTITUTE(SUBSTITUTE(SUBSTITUTE(LOWER(IF(LEFT(TEXT('Invullen groen'!E265,"0"),1)="6",'Invullen groen'!O265,IF('Invullen groen'!N265&gt;0,'Invullen groen'!G265,'Invullen groen'!O265))),"2024",""),"2025",""),"2026",""),"2027",""),"2028",""),"2029",""),"taakveld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IFERROR(IF('Invullen groen'!E266&gt;0,'Invullen groen'!E266,""),"")</f>
        <v/>
      </c>
      <c r="B233">
        <f>IFERROR(IF('Invullen groen'!F266&gt;0,'Invullen groen'!F266,""),"")</f>
        <v/>
      </c>
      <c r="C233">
        <f>IFERROR(IF('Invullen groen'!N266&gt;0,'Invullen groen'!N266,""),"")</f>
        <v/>
      </c>
      <c r="D233">
        <f>IFERROR(IF('Invullen groen'!O266&lt;&gt;"",LEFT(TRIM('Invullen groen'!O266),36),""),"")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groen'!H266=0,"",INT('Invullen groen'!H266)),"")</f>
        <v/>
      </c>
      <c r="G233" s="236">
        <f>IFERROR(IF('Invullen groen'!I266=0,"",INT('Invullen groen'!I266)),"")</f>
        <v/>
      </c>
      <c r="H233" s="236">
        <f>IFERROR(IF('Invullen groen'!J266=0,"",INT('Invullen groen'!J266)),"")</f>
        <v/>
      </c>
      <c r="I233" s="236">
        <f>IFERROR(IF('Invullen groen'!K266=0,"",INT('Invullen groen'!K266)),"")</f>
        <v/>
      </c>
      <c r="J233">
        <f>IF('Invullen groen'!E266&gt;0,IFERROR($K$1&amp;" "&amp;TRIM(SUBSTITUTE(SUBSTITUTE(SUBSTITUTE(SUBSTITUTE(SUBSTITUTE(SUBSTITUTE(SUBSTITUTE(SUBSTITUTE(SUBSTITUTE(SUBSTITUTE(SUBSTITUTE(SUBSTITUTE(LOWER(IF(LEFT(TEXT('Invullen groen'!E266,"0"),1)="6",'Invullen groen'!O266,IF('Invullen groen'!N266&gt;0,'Invullen groen'!G266,'Invullen groen'!O266))),"2024",""),"2025",""),"2026",""),"2027",""),"2028",""),"2029",""),"taakveld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IFERROR(IF('Invullen groen'!E267&gt;0,'Invullen groen'!E267,""),"")</f>
        <v/>
      </c>
      <c r="B234">
        <f>IFERROR(IF('Invullen groen'!F267&gt;0,'Invullen groen'!F267,""),"")</f>
        <v/>
      </c>
      <c r="C234">
        <f>IFERROR(IF('Invullen groen'!N267&gt;0,'Invullen groen'!N267,""),"")</f>
        <v/>
      </c>
      <c r="D234">
        <f>IFERROR(IF('Invullen groen'!O267&lt;&gt;"",LEFT(TRIM('Invullen groen'!O267),36),""),"")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groen'!H267=0,"",INT('Invullen groen'!H267)),"")</f>
        <v/>
      </c>
      <c r="G234" s="236">
        <f>IFERROR(IF('Invullen groen'!I267=0,"",INT('Invullen groen'!I267)),"")</f>
        <v/>
      </c>
      <c r="H234" s="236">
        <f>IFERROR(IF('Invullen groen'!J267=0,"",INT('Invullen groen'!J267)),"")</f>
        <v/>
      </c>
      <c r="I234" s="236">
        <f>IFERROR(IF('Invullen groen'!K267=0,"",INT('Invullen groen'!K267)),"")</f>
        <v/>
      </c>
      <c r="J234">
        <f>IF('Invullen groen'!E267&gt;0,IFERROR($K$1&amp;" "&amp;TRIM(SUBSTITUTE(SUBSTITUTE(SUBSTITUTE(SUBSTITUTE(SUBSTITUTE(SUBSTITUTE(SUBSTITUTE(SUBSTITUTE(SUBSTITUTE(SUBSTITUTE(SUBSTITUTE(SUBSTITUTE(LOWER(IF(LEFT(TEXT('Invullen groen'!E267,"0"),1)="6",'Invullen groen'!O267,IF('Invullen groen'!N267&gt;0,'Invullen groen'!G267,'Invullen groen'!O267))),"2024",""),"2025",""),"2026",""),"2027",""),"2028",""),"2029",""),"taakveld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IFERROR(IF('Invullen groen'!E268&gt;0,'Invullen groen'!E268,""),"")</f>
        <v/>
      </c>
      <c r="B235">
        <f>IFERROR(IF('Invullen groen'!F268&gt;0,'Invullen groen'!F268,""),"")</f>
        <v/>
      </c>
      <c r="C235">
        <f>IFERROR(IF('Invullen groen'!N268&gt;0,'Invullen groen'!N268,""),"")</f>
        <v/>
      </c>
      <c r="D235">
        <f>IFERROR(IF('Invullen groen'!O268&lt;&gt;"",LEFT(TRIM('Invullen groen'!O268),36),""),"")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groen'!H268=0,"",INT('Invullen groen'!H268)),"")</f>
        <v/>
      </c>
      <c r="G235" s="236">
        <f>IFERROR(IF('Invullen groen'!I268=0,"",INT('Invullen groen'!I268)),"")</f>
        <v/>
      </c>
      <c r="H235" s="236">
        <f>IFERROR(IF('Invullen groen'!J268=0,"",INT('Invullen groen'!J268)),"")</f>
        <v/>
      </c>
      <c r="I235" s="236">
        <f>IFERROR(IF('Invullen groen'!K268=0,"",INT('Invullen groen'!K268)),"")</f>
        <v/>
      </c>
      <c r="J235">
        <f>IF('Invullen groen'!E268&gt;0,IFERROR($K$1&amp;" "&amp;TRIM(SUBSTITUTE(SUBSTITUTE(SUBSTITUTE(SUBSTITUTE(SUBSTITUTE(SUBSTITUTE(SUBSTITUTE(SUBSTITUTE(SUBSTITUTE(SUBSTITUTE(SUBSTITUTE(SUBSTITUTE(LOWER(IF(LEFT(TEXT('Invullen groen'!E268,"0"),1)="6",'Invullen groen'!O268,IF('Invullen groen'!N268&gt;0,'Invullen groen'!G268,'Invullen groen'!O268))),"2024",""),"2025",""),"2026",""),"2027",""),"2028",""),"2029",""),"taakveld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IFERROR(IF('Invullen groen'!E269&gt;0,'Invullen groen'!E269,""),"")</f>
        <v/>
      </c>
      <c r="B236">
        <f>IFERROR(IF('Invullen groen'!F269&gt;0,'Invullen groen'!F269,""),"")</f>
        <v/>
      </c>
      <c r="C236">
        <f>IFERROR(IF('Invullen groen'!N269&gt;0,'Invullen groen'!N269,""),"")</f>
        <v/>
      </c>
      <c r="D236">
        <f>IFERROR(IF('Invullen groen'!O269&lt;&gt;"",LEFT(TRIM('Invullen groen'!O269),36),""),"")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groen'!H269=0,"",INT('Invullen groen'!H269)),"")</f>
        <v/>
      </c>
      <c r="G236" s="236">
        <f>IFERROR(IF('Invullen groen'!I269=0,"",INT('Invullen groen'!I269)),"")</f>
        <v/>
      </c>
      <c r="H236" s="236">
        <f>IFERROR(IF('Invullen groen'!J269=0,"",INT('Invullen groen'!J269)),"")</f>
        <v/>
      </c>
      <c r="I236" s="236">
        <f>IFERROR(IF('Invullen groen'!K269=0,"",INT('Invullen groen'!K269)),"")</f>
        <v/>
      </c>
      <c r="J236">
        <f>IF('Invullen groen'!E269&gt;0,IFERROR($K$1&amp;" "&amp;TRIM(SUBSTITUTE(SUBSTITUTE(SUBSTITUTE(SUBSTITUTE(SUBSTITUTE(SUBSTITUTE(SUBSTITUTE(SUBSTITUTE(SUBSTITUTE(SUBSTITUTE(SUBSTITUTE(SUBSTITUTE(LOWER(IF(LEFT(TEXT('Invullen groen'!E269,"0"),1)="6",'Invullen groen'!O269,IF('Invullen groen'!N269&gt;0,'Invullen groen'!G269,'Invullen groen'!O269))),"2024",""),"2025",""),"2026",""),"2027",""),"2028",""),"2029",""),"taakveld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IFERROR(IF('Invullen groen'!E270&gt;0,'Invullen groen'!E270,""),"")</f>
        <v/>
      </c>
      <c r="B237">
        <f>IFERROR(IF('Invullen groen'!F270&gt;0,'Invullen groen'!F270,""),"")</f>
        <v/>
      </c>
      <c r="C237">
        <f>IFERROR(IF('Invullen groen'!N270&gt;0,'Invullen groen'!N270,""),"")</f>
        <v/>
      </c>
      <c r="D237">
        <f>IFERROR(IF('Invullen groen'!O270&lt;&gt;"",LEFT(TRIM('Invullen groen'!O270),36),""),"")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groen'!H270=0,"",INT('Invullen groen'!H270)),"")</f>
        <v/>
      </c>
      <c r="G237" s="236">
        <f>IFERROR(IF('Invullen groen'!I270=0,"",INT('Invullen groen'!I270)),"")</f>
        <v/>
      </c>
      <c r="H237" s="236">
        <f>IFERROR(IF('Invullen groen'!J270=0,"",INT('Invullen groen'!J270)),"")</f>
        <v/>
      </c>
      <c r="I237" s="236">
        <f>IFERROR(IF('Invullen groen'!K270=0,"",INT('Invullen groen'!K270)),"")</f>
        <v/>
      </c>
      <c r="J237">
        <f>IF('Invullen groen'!E270&gt;0,IFERROR($K$1&amp;" "&amp;TRIM(SUBSTITUTE(SUBSTITUTE(SUBSTITUTE(SUBSTITUTE(SUBSTITUTE(SUBSTITUTE(SUBSTITUTE(SUBSTITUTE(SUBSTITUTE(SUBSTITUTE(SUBSTITUTE(SUBSTITUTE(LOWER(IF(LEFT(TEXT('Invullen groen'!E270,"0"),1)="6",'Invullen groen'!O270,IF('Invullen groen'!N270&gt;0,'Invullen groen'!G270,'Invullen groen'!O270))),"2024",""),"2025",""),"2026",""),"2027",""),"2028",""),"2029",""),"taakveld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IFERROR(IF('Invullen groen'!E271&gt;0,'Invullen groen'!E271,""),"")</f>
        <v/>
      </c>
      <c r="B238">
        <f>IFERROR(IF('Invullen groen'!F271&gt;0,'Invullen groen'!F271,""),"")</f>
        <v/>
      </c>
      <c r="C238">
        <f>IFERROR(IF('Invullen groen'!N271&gt;0,'Invullen groen'!N271,""),"")</f>
        <v/>
      </c>
      <c r="D238">
        <f>IFERROR(IF('Invullen groen'!O271&lt;&gt;"",LEFT(TRIM('Invullen groen'!O271),36),""),"")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groen'!H271=0,"",INT('Invullen groen'!H271)),"")</f>
        <v/>
      </c>
      <c r="G238" s="236">
        <f>IFERROR(IF('Invullen groen'!I271=0,"",INT('Invullen groen'!I271)),"")</f>
        <v/>
      </c>
      <c r="H238" s="236">
        <f>IFERROR(IF('Invullen groen'!J271=0,"",INT('Invullen groen'!J271)),"")</f>
        <v/>
      </c>
      <c r="I238" s="236">
        <f>IFERROR(IF('Invullen groen'!K271=0,"",INT('Invullen groen'!K271)),"")</f>
        <v/>
      </c>
      <c r="J238">
        <f>IF('Invullen groen'!E271&gt;0,IFERROR($K$1&amp;" "&amp;TRIM(SUBSTITUTE(SUBSTITUTE(SUBSTITUTE(SUBSTITUTE(SUBSTITUTE(SUBSTITUTE(SUBSTITUTE(SUBSTITUTE(SUBSTITUTE(SUBSTITUTE(SUBSTITUTE(SUBSTITUTE(LOWER(IF(LEFT(TEXT('Invullen groen'!E271,"0"),1)="6",'Invullen groen'!O271,IF('Invullen groen'!N271&gt;0,'Invullen groen'!G271,'Invullen groen'!O271))),"2024",""),"2025",""),"2026",""),"2027",""),"2028",""),"2029",""),"taakveld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IFERROR(IF('Invullen groen'!E272&gt;0,'Invullen groen'!E272,""),"")</f>
        <v/>
      </c>
      <c r="B239">
        <f>IFERROR(IF('Invullen groen'!F272&gt;0,'Invullen groen'!F272,""),"")</f>
        <v/>
      </c>
      <c r="C239">
        <f>IFERROR(IF('Invullen groen'!N272&gt;0,'Invullen groen'!N272,""),"")</f>
        <v/>
      </c>
      <c r="D239">
        <f>IFERROR(IF('Invullen groen'!O272&lt;&gt;"",LEFT(TRIM('Invullen groen'!O272),36),""),"")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groen'!H272=0,"",INT('Invullen groen'!H272)),"")</f>
        <v/>
      </c>
      <c r="G239" s="236">
        <f>IFERROR(IF('Invullen groen'!I272=0,"",INT('Invullen groen'!I272)),"")</f>
        <v/>
      </c>
      <c r="H239" s="236">
        <f>IFERROR(IF('Invullen groen'!J272=0,"",INT('Invullen groen'!J272)),"")</f>
        <v/>
      </c>
      <c r="I239" s="236">
        <f>IFERROR(IF('Invullen groen'!K272=0,"",INT('Invullen groen'!K272)),"")</f>
        <v/>
      </c>
      <c r="J239">
        <f>IF('Invullen groen'!E272&gt;0,IFERROR($K$1&amp;" "&amp;TRIM(SUBSTITUTE(SUBSTITUTE(SUBSTITUTE(SUBSTITUTE(SUBSTITUTE(SUBSTITUTE(SUBSTITUTE(SUBSTITUTE(SUBSTITUTE(SUBSTITUTE(SUBSTITUTE(SUBSTITUTE(LOWER(IF(LEFT(TEXT('Invullen groen'!E272,"0"),1)="6",'Invullen groen'!O272,IF('Invullen groen'!N272&gt;0,'Invullen groen'!G272,'Invullen groen'!O272))),"2024",""),"2025",""),"2026",""),"2027",""),"2028",""),"2029",""),"taakveld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9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 t="n"/>
      <c r="M17" s="656" t="n"/>
      <c r="N17" s="694" t="n"/>
      <c r="O17" s="694" t="n"/>
      <c r="P17" s="526" t="n"/>
      <c r="Q17" s="119" t="n"/>
      <c r="R17" s="119" t="n"/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 t="n"/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 t="n"/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 t="n"/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 t="n"/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 t="n"/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 t="n"/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 t="n"/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 t="n"/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 t="n"/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 t="n"/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 t="n"/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 t="n"/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 t="n"/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 t="n"/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 t="n"/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 t="n"/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 t="n"/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 t="n"/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 t="n"/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 t="n"/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 t="n"/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 t="n"/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 t="n"/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 t="n"/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 t="n"/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 t="n"/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 t="n"/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 t="n"/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 t="n"/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 t="n"/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 t="n"/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 t="n"/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 t="n"/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 t="n"/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 t="n"/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 t="n"/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 t="n"/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 t="n"/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 t="n"/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 t="n"/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 t="n"/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 t="n"/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 t="n"/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 t="n"/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 t="n"/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 t="n"/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 t="n"/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 t="n"/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 t="n"/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 t="n"/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 t="n"/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 t="n"/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 t="n"/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 t="n"/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 t="n"/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 t="n"/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 t="n"/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SUM(H18:H74)</f>
        <v/>
      </c>
      <c r="I75" s="612">
        <f>SUM(I18:I74)</f>
        <v/>
      </c>
      <c r="J75" s="612">
        <f>SUM(J18:J74)</f>
        <v/>
      </c>
      <c r="K75" s="612">
        <f>SUM(K18:K74)</f>
        <v/>
      </c>
      <c r="L75" s="695" t="n"/>
      <c r="M75" s="611" t="n"/>
      <c r="N75" s="696" t="n"/>
      <c r="O75" s="696" t="n"/>
      <c r="P75" s="461" t="n"/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 t="n"/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 t="n"/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 t="n"/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 t="n"/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 t="n"/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 t="n"/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 t="n"/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 t="n"/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 t="n"/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 t="n"/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 t="n"/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 t="n"/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 t="n"/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 t="n"/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 t="n"/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 t="n"/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 t="n"/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 t="n"/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 t="n"/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 t="n"/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 t="n"/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 t="n"/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 t="n"/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 t="n"/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 t="n"/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 t="n"/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 t="n"/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 t="n"/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 t="n"/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 t="n"/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 t="n"/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 t="n"/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Q121" s="119">
        <f>IF(OR(F121=47201,F121=47100,F121=47200,F121=47500),H121,0)</f>
        <v/>
      </c>
      <c r="R121" s="119">
        <f>IF(OR(F121=87201,F121=87100,F121=87200,F121=87500),H121,0)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>
        <f>IF(N122&gt;1,"+",0)</f>
        <v/>
      </c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Q122" s="119">
        <f>IF(OR(F122=47201,F122=47100,F122=47200,F122=47500),H122,0)</f>
        <v/>
      </c>
      <c r="R122" s="119">
        <f>IF(OR(F122=87201,F122=87100,F122=87200,F122=87500),H122,0)</f>
        <v/>
      </c>
    </row>
    <row r="123" ht="15" customHeight="1">
      <c r="A123" s="651" t="n"/>
      <c r="B123" s="662" t="n"/>
      <c r="C123" s="662" t="n"/>
      <c r="D123" s="662" t="n"/>
      <c r="E123" s="681">
        <f>IF(N123&gt;1,"+",0)</f>
        <v/>
      </c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Q123" s="119">
        <f>IF(OR(F123=47201,F123=47100,F123=47200,F123=47500),H123,0)</f>
        <v/>
      </c>
      <c r="R123" s="119">
        <f>IF(OR(F123=87201,F123=87100,F123=87200,F123=87500),H123,0)</f>
        <v/>
      </c>
    </row>
    <row r="124" ht="15" customHeight="1">
      <c r="A124" s="669" t="n"/>
      <c r="B124" s="657" t="n"/>
      <c r="C124" s="657" t="n"/>
      <c r="D124" s="657" t="n"/>
      <c r="E124" s="681">
        <f>IF(N124&gt;1,"+",0)</f>
        <v/>
      </c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Q124" s="119">
        <f>IF(OR(F124=47201,F124=47100,F124=47200,F124=47500),H124,0)</f>
        <v/>
      </c>
      <c r="R124" s="119">
        <f>IF(OR(F124=87201,F124=87100,F124=87200,F124=87500),H124,0)</f>
        <v/>
      </c>
    </row>
    <row r="125" ht="15" customHeight="1">
      <c r="A125" s="651" t="n"/>
      <c r="B125" s="662" t="n"/>
      <c r="C125" s="662" t="n"/>
      <c r="D125" s="662" t="n"/>
      <c r="E125" s="681">
        <f>IF(N125&gt;1,"+",0)</f>
        <v/>
      </c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Q125" s="119">
        <f>IF(OR(F125=47201,F125=47100,F125=47200,F125=47500),H125,0)</f>
        <v/>
      </c>
      <c r="R125" s="119">
        <f>IF(OR(F125=87201,F125=87100,F125=87200,F125=87500),H125,0)</f>
        <v/>
      </c>
    </row>
    <row r="126" ht="15" customHeight="1">
      <c r="A126" s="669" t="n"/>
      <c r="B126" s="657" t="n"/>
      <c r="C126" s="657" t="n"/>
      <c r="D126" s="657" t="n"/>
      <c r="E126" s="681">
        <f>IF(N126&gt;1,"+",0)</f>
        <v/>
      </c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Q126" s="119">
        <f>IF(OR(F126=47201,F126=47100,F126=47200,F126=47500),H126,0)</f>
        <v/>
      </c>
      <c r="R126" s="119">
        <f>IF(OR(F126=87201,F126=87100,F126=87200,F126=87500),H126,0)</f>
        <v/>
      </c>
    </row>
    <row r="127" ht="15" customHeight="1">
      <c r="A127" s="651" t="n"/>
      <c r="B127" s="662" t="n"/>
      <c r="C127" s="662" t="n"/>
      <c r="D127" s="662" t="n"/>
      <c r="E127" s="681">
        <f>IF(N127&gt;1,"+",0)</f>
        <v/>
      </c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Q127" s="119">
        <f>IF(OR(F127=47201,F127=47100,F127=47200,F127=47500),H127,0)</f>
        <v/>
      </c>
      <c r="R127" s="119">
        <f>IF(OR(F127=87201,F127=87100,F127=87200,F127=87500),H127,0)</f>
        <v/>
      </c>
    </row>
    <row r="128" ht="15" customHeight="1">
      <c r="A128" s="669" t="n"/>
      <c r="B128" s="657" t="n"/>
      <c r="C128" s="657" t="n"/>
      <c r="D128" s="657" t="n"/>
      <c r="E128" s="681">
        <f>IF(N128&gt;1,"+",0)</f>
        <v/>
      </c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Q128" s="119">
        <f>IF(OR(F128=47201,F128=47100,F128=47200,F128=47500),H128,0)</f>
        <v/>
      </c>
      <c r="R128" s="119">
        <f>IF(OR(F128=87201,F128=87100,F128=87200,F128=87500),H128,0)</f>
        <v/>
      </c>
    </row>
    <row r="129" ht="15" customHeight="1">
      <c r="A129" s="651" t="n"/>
      <c r="B129" s="662" t="n"/>
      <c r="C129" s="662" t="n"/>
      <c r="D129" s="662" t="n"/>
      <c r="E129" s="681">
        <f>IF(N129&gt;1,"+",0)</f>
        <v/>
      </c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Q129" s="119">
        <f>IF(OR(F129=47201,F129=47100,F129=47200,F129=47500),H129,0)</f>
        <v/>
      </c>
      <c r="R129" s="119">
        <f>IF(OR(F129=87201,F129=87100,F129=87200,F129=87500),H129,0)</f>
        <v/>
      </c>
    </row>
    <row r="130" ht="15" customHeight="1">
      <c r="A130" s="669" t="n"/>
      <c r="B130" s="657" t="n"/>
      <c r="C130" s="657" t="n"/>
      <c r="D130" s="657" t="n"/>
      <c r="E130" s="681">
        <f>IF(N130&gt;1,"+",0)</f>
        <v/>
      </c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Q130" s="119">
        <f>IF(OR(F130=47201,F130=47100,F130=47200,F130=47500),H130,0)</f>
        <v/>
      </c>
      <c r="R130" s="119">
        <f>IF(OR(F130=87201,F130=87100,F130=87200,F130=87500),H130,0)</f>
        <v/>
      </c>
    </row>
    <row r="131" ht="15" customHeight="1">
      <c r="A131" s="651" t="n"/>
      <c r="B131" s="662" t="n"/>
      <c r="C131" s="662" t="n"/>
      <c r="D131" s="662" t="n"/>
      <c r="E131" s="681">
        <f>IF(N131&gt;1,"+",0)</f>
        <v/>
      </c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Q131" s="119">
        <f>IF(OR(F131=47201,F131=47100,F131=47200,F131=47500),H131,0)</f>
        <v/>
      </c>
      <c r="R131" s="119">
        <f>IF(OR(F131=87201,F131=87100,F131=87200,F131=87500),H131,0)</f>
        <v/>
      </c>
    </row>
    <row r="132" ht="15" customHeight="1">
      <c r="A132" s="669" t="n"/>
      <c r="B132" s="657" t="n"/>
      <c r="C132" s="657" t="n"/>
      <c r="D132" s="657" t="n"/>
      <c r="E132" s="681">
        <f>IF(N132&gt;1,"+",0)</f>
        <v/>
      </c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Q132" s="119">
        <f>IF(OR(F132=47201,F132=47100,F132=47200,F132=47500),H132,0)</f>
        <v/>
      </c>
      <c r="R132" s="119">
        <f>IF(OR(F132=87201,F132=87100,F132=87200,F132=87500),H132,0)</f>
        <v/>
      </c>
    </row>
    <row r="133" ht="15" customHeight="1">
      <c r="A133" s="651" t="n"/>
      <c r="B133" s="662" t="n"/>
      <c r="C133" s="662" t="n"/>
      <c r="D133" s="662" t="n"/>
      <c r="E133" s="681">
        <f>IF(N133&gt;1,"+",0)</f>
        <v/>
      </c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Q133" s="119">
        <f>IF(OR(F133=47201,F133=47100,F133=47200,F133=47500),H133,0)</f>
        <v/>
      </c>
      <c r="R133" s="119">
        <f>IF(OR(F133=87201,F133=87100,F133=87200,F133=87500),H133,0)</f>
        <v/>
      </c>
    </row>
    <row r="134" ht="15" customHeight="1">
      <c r="A134" s="669" t="n"/>
      <c r="B134" s="657" t="n"/>
      <c r="C134" s="657" t="n"/>
      <c r="D134" s="657" t="n"/>
      <c r="E134" s="681">
        <f>IF(N134&gt;1,"+",0)</f>
        <v/>
      </c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Q134" s="119">
        <f>IF(OR(F134=47201,F134=47100,F134=47200,F134=47500),H134,0)</f>
        <v/>
      </c>
      <c r="R134" s="119">
        <f>IF(OR(F134=87201,F134=87100,F134=87200,F134=87500),H134,0)</f>
        <v/>
      </c>
    </row>
    <row r="135" ht="15" customHeight="1">
      <c r="A135" s="651" t="n"/>
      <c r="B135" s="662" t="n"/>
      <c r="C135" s="662" t="n"/>
      <c r="D135" s="662" t="n"/>
      <c r="E135" s="681">
        <f>IF(N135&gt;1,"+",0)</f>
        <v/>
      </c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Q135" s="119">
        <f>IF(OR(F135=47201,F135=47100,F135=47200,F135=47500),H135,0)</f>
        <v/>
      </c>
      <c r="R135" s="119">
        <f>IF(OR(F135=87201,F135=87100,F135=87200,F135=87500),H135,0)</f>
        <v/>
      </c>
    </row>
    <row r="136" ht="15" customHeight="1">
      <c r="A136" s="669" t="n"/>
      <c r="B136" s="657" t="n"/>
      <c r="C136" s="657" t="n"/>
      <c r="D136" s="657" t="n"/>
      <c r="E136" s="681">
        <f>IF(N136&gt;1,"+",0)</f>
        <v/>
      </c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Q136" s="119">
        <f>IF(OR(F136=47201,F136=47100,F136=47200,F136=47500),H136,0)</f>
        <v/>
      </c>
      <c r="R136" s="119">
        <f>IF(OR(F136=87201,F136=87100,F136=87200,F136=87500),H136,0)</f>
        <v/>
      </c>
    </row>
    <row r="137" ht="15" customHeight="1">
      <c r="A137" s="651" t="n"/>
      <c r="B137" s="662" t="n"/>
      <c r="C137" s="662" t="n"/>
      <c r="D137" s="662" t="n"/>
      <c r="E137" s="681">
        <f>IF(N137&gt;1,"+",0)</f>
        <v/>
      </c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Q137" s="119">
        <f>IF(OR(F137=47201,F137=47100,F137=47200,F137=47500),H137,0)</f>
        <v/>
      </c>
      <c r="R137" s="119">
        <f>IF(OR(F137=87201,F137=87100,F137=87200,F137=87500),H137,0)</f>
        <v/>
      </c>
    </row>
    <row r="138" ht="15" customHeight="1">
      <c r="A138" s="669" t="n"/>
      <c r="B138" s="657" t="n"/>
      <c r="C138" s="657" t="n"/>
      <c r="D138" s="657" t="n"/>
      <c r="E138" s="681">
        <f>IF(N138&gt;1,"+",0)</f>
        <v/>
      </c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Q138" s="119">
        <f>IF(OR(F138=47201,F138=47100,F138=47200,F138=47500),H138,0)</f>
        <v/>
      </c>
      <c r="R138" s="119">
        <f>IF(OR(F138=87201,F138=87100,F138=87200,F138=87500),H138,0)</f>
        <v/>
      </c>
    </row>
    <row r="139" ht="15" customHeight="1">
      <c r="A139" s="651" t="n"/>
      <c r="B139" s="662" t="n"/>
      <c r="C139" s="662" t="n"/>
      <c r="D139" s="662" t="n"/>
      <c r="E139" s="681">
        <f>IF(N139&gt;1,"+",0)</f>
        <v/>
      </c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Q139" s="119">
        <f>IF(OR(F139=47201,F139=47100,F139=47200,F139=47500),H139,0)</f>
        <v/>
      </c>
      <c r="R139" s="119">
        <f>IF(OR(F139=87201,F139=87100,F139=87200,F139=87500),H139,0)</f>
        <v/>
      </c>
    </row>
    <row r="140" ht="15" customHeight="1">
      <c r="A140" s="669" t="n"/>
      <c r="B140" s="657" t="n"/>
      <c r="C140" s="657" t="n"/>
      <c r="D140" s="657" t="n"/>
      <c r="E140" s="681">
        <f>IF(N140&gt;1,"+",0)</f>
        <v/>
      </c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Q140" s="119">
        <f>IF(OR(F140=47201,F140=47100,F140=47200,F140=47500),H140,0)</f>
        <v/>
      </c>
      <c r="R140" s="119">
        <f>IF(OR(F140=87201,F140=87100,F140=87200,F140=87500),H140,0)</f>
        <v/>
      </c>
    </row>
    <row r="141" ht="15" customHeight="1">
      <c r="A141" s="651" t="n"/>
      <c r="B141" s="662" t="n"/>
      <c r="C141" s="662" t="n"/>
      <c r="D141" s="662" t="n"/>
      <c r="E141" s="681">
        <f>IF(N141&gt;1,"+",0)</f>
        <v/>
      </c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Q141" s="119">
        <f>IF(OR(F141=47201,F141=47100,F141=47200,F141=47500),H141,0)</f>
        <v/>
      </c>
      <c r="R141" s="119">
        <f>IF(OR(F141=87201,F141=87100,F141=87200,F141=87500),H141,0)</f>
        <v/>
      </c>
    </row>
    <row r="142" ht="15" customHeight="1">
      <c r="A142" s="669" t="n"/>
      <c r="B142" s="657" t="n"/>
      <c r="C142" s="657" t="n"/>
      <c r="D142" s="657" t="n"/>
      <c r="E142" s="681">
        <f>IF(N142&gt;1,"+",0)</f>
        <v/>
      </c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Q142" s="119">
        <f>IF(OR(F142=47201,F142=47100,F142=47200,F142=47500),H142,0)</f>
        <v/>
      </c>
      <c r="R142" s="119">
        <f>IF(OR(F142=87201,F142=87100,F142=87200,F142=87500),H142,0)</f>
        <v/>
      </c>
    </row>
    <row r="143" ht="15" customHeight="1">
      <c r="A143" s="651" t="n"/>
      <c r="B143" s="662" t="n"/>
      <c r="C143" s="662" t="n"/>
      <c r="D143" s="662" t="n"/>
      <c r="E143" s="681">
        <f>IF(N143&gt;1,"+",0)</f>
        <v/>
      </c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Q143" s="119">
        <f>IF(OR(F143=47201,F143=47100,F143=47200,F143=47500),H143,0)</f>
        <v/>
      </c>
      <c r="R143" s="119">
        <f>IF(OR(F143=87201,F143=87100,F143=87200,F143=87500),H143,0)</f>
        <v/>
      </c>
    </row>
    <row r="144" ht="15" customHeight="1">
      <c r="A144" s="669" t="n"/>
      <c r="B144" s="657" t="n"/>
      <c r="C144" s="657" t="n"/>
      <c r="D144" s="657" t="n"/>
      <c r="E144" s="681">
        <f>IF(N144&gt;1,"+",0)</f>
        <v/>
      </c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Q144" s="119">
        <f>IF(OR(F144=47201,F144=47100,F144=47200,F144=47500),H144,0)</f>
        <v/>
      </c>
      <c r="R144" s="119">
        <f>IF(OR(F144=87201,F144=87100,F144=87200,F144=87500),H144,0)</f>
        <v/>
      </c>
    </row>
    <row r="145" ht="15" customHeight="1">
      <c r="A145" s="651" t="n"/>
      <c r="B145" s="662" t="n"/>
      <c r="C145" s="662" t="n"/>
      <c r="D145" s="662" t="n"/>
      <c r="E145" s="681">
        <f>IF(N145&gt;1,"+",0)</f>
        <v/>
      </c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Q145" s="119">
        <f>IF(OR(F145=47201,F145=47100,F145=47200,F145=47500),H145,0)</f>
        <v/>
      </c>
      <c r="R145" s="119">
        <f>IF(OR(F145=87201,F145=87100,F145=87200,F145=87500),H145,0)</f>
        <v/>
      </c>
    </row>
    <row r="146" ht="15" customHeight="1">
      <c r="A146" s="669" t="n"/>
      <c r="B146" s="657" t="n"/>
      <c r="C146" s="657" t="n"/>
      <c r="D146" s="657" t="n"/>
      <c r="E146" s="681">
        <f>IF(N146&gt;1,"+",0)</f>
        <v/>
      </c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Q146" s="119">
        <f>IF(OR(F146=47201,F146=47100,F146=47200,F146=47500),H146,0)</f>
        <v/>
      </c>
      <c r="R146" s="119">
        <f>IF(OR(F146=87201,F146=87100,F146=87200,F146=87500),H146,0)</f>
        <v/>
      </c>
    </row>
    <row r="147" ht="15" customHeight="1">
      <c r="A147" s="651" t="n"/>
      <c r="B147" s="662" t="n"/>
      <c r="C147" s="662" t="n"/>
      <c r="D147" s="662" t="n"/>
      <c r="E147" s="681">
        <f>IF(N147&gt;1,"+",0)</f>
        <v/>
      </c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Q147" s="119">
        <f>IF(OR(F147=47201,F147=47100,F147=47200,F147=47500),H147,0)</f>
        <v/>
      </c>
      <c r="R147" s="119">
        <f>IF(OR(F147=87201,F147=87100,F147=87200,F147=87500),H147,0)</f>
        <v/>
      </c>
    </row>
    <row r="148" ht="15" customHeight="1">
      <c r="A148" s="669" t="n"/>
      <c r="B148" s="657" t="n"/>
      <c r="C148" s="657" t="n"/>
      <c r="D148" s="657" t="n"/>
      <c r="E148" s="681">
        <f>IF(N148&gt;1,"+",0)</f>
        <v/>
      </c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Q148" s="119">
        <f>IF(OR(F148=47201,F148=47100,F148=47200,F148=47500),H148,0)</f>
        <v/>
      </c>
      <c r="R148" s="119">
        <f>IF(OR(F148=87201,F148=87100,F148=87200,F148=87500),H148,0)</f>
        <v/>
      </c>
    </row>
    <row r="149" ht="15" customHeight="1">
      <c r="A149" s="651" t="n"/>
      <c r="B149" s="662" t="n"/>
      <c r="C149" s="662" t="n"/>
      <c r="D149" s="662" t="n"/>
      <c r="E149" s="681">
        <f>IF(N149&gt;1,"+",0)</f>
        <v/>
      </c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Q149" s="119">
        <f>IF(OR(F149=47201,F149=47100,F149=47200,F149=47500),H149,0)</f>
        <v/>
      </c>
      <c r="R149" s="119">
        <f>IF(OR(F149=87201,F149=87100,F149=87200,F149=87500),H149,0)</f>
        <v/>
      </c>
    </row>
    <row r="150" ht="15" customHeight="1">
      <c r="A150" s="669" t="n"/>
      <c r="B150" s="657" t="n"/>
      <c r="C150" s="657" t="n"/>
      <c r="D150" s="657" t="n"/>
      <c r="E150" s="681">
        <f>IF(N150&gt;1,"+",0)</f>
        <v/>
      </c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Q150" s="119">
        <f>IF(OR(F150=47201,F150=47100,F150=47200,F150=47500),H150,0)</f>
        <v/>
      </c>
      <c r="R150" s="119">
        <f>IF(OR(F150=87201,F150=87100,F150=87200,F150=87500),H150,0)</f>
        <v/>
      </c>
    </row>
    <row r="151" ht="15" customHeight="1">
      <c r="A151" s="651" t="n"/>
      <c r="B151" s="662" t="n"/>
      <c r="C151" s="662" t="n"/>
      <c r="D151" s="662" t="n"/>
      <c r="E151" s="681">
        <f>IF(N151&gt;1,"+",0)</f>
        <v/>
      </c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Q151" s="119">
        <f>IF(OR(F151=47201,F151=47100,F151=47200,F151=47500),H151,0)</f>
        <v/>
      </c>
      <c r="R151" s="119">
        <f>IF(OR(F151=87201,F151=87100,F151=87200,F151=87500),H151,0)</f>
        <v/>
      </c>
    </row>
    <row r="152" ht="15" customHeight="1">
      <c r="A152" s="669" t="n"/>
      <c r="B152" s="657" t="n"/>
      <c r="C152" s="657" t="n"/>
      <c r="D152" s="657" t="n"/>
      <c r="E152" s="681">
        <f>IF(N152&gt;1,"+",0)</f>
        <v/>
      </c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Q152" s="119">
        <f>IF(OR(F152=47201,F152=47100,F152=47200,F152=47500),H152,0)</f>
        <v/>
      </c>
      <c r="R152" s="119">
        <f>IF(OR(F152=87201,F152=87100,F152=87200,F152=87500),H152,0)</f>
        <v/>
      </c>
    </row>
    <row r="153" ht="15" customHeight="1">
      <c r="A153" s="651" t="n"/>
      <c r="B153" s="662" t="n"/>
      <c r="C153" s="662" t="n"/>
      <c r="D153" s="662" t="n"/>
      <c r="E153" s="681">
        <f>IF(N153&gt;1,"+",0)</f>
        <v/>
      </c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Q153" s="119">
        <f>IF(OR(F153=47201,F153=47100,F153=47200,F153=47500),H153,0)</f>
        <v/>
      </c>
      <c r="R153" s="119">
        <f>IF(OR(F153=87201,F153=87100,F153=87200,F153=87500),H153,0)</f>
        <v/>
      </c>
    </row>
    <row r="154" ht="15" customHeight="1">
      <c r="A154" s="669" t="n"/>
      <c r="B154" s="657" t="n"/>
      <c r="C154" s="657" t="n"/>
      <c r="D154" s="657" t="n"/>
      <c r="E154" s="681">
        <f>IF(N154&gt;1,"+",0)</f>
        <v/>
      </c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Q154" s="119">
        <f>IF(OR(F154=47201,F154=47100,F154=47200,F154=47500),H154,0)</f>
        <v/>
      </c>
      <c r="R154" s="119">
        <f>IF(OR(F154=87201,F154=87100,F154=87200,F154=87500),H154,0)</f>
        <v/>
      </c>
    </row>
    <row r="155" ht="15" customHeight="1">
      <c r="A155" s="651" t="n"/>
      <c r="B155" s="662" t="n"/>
      <c r="C155" s="662" t="n"/>
      <c r="D155" s="662" t="n"/>
      <c r="E155" s="681">
        <f>IF(N155&gt;1,"+",0)</f>
        <v/>
      </c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Q155" s="119">
        <f>IF(OR(F155=47201,F155=47100,F155=47200,F155=47500),H155,0)</f>
        <v/>
      </c>
      <c r="R155" s="119">
        <f>IF(OR(F155=87201,F155=87100,F155=87200,F155=87500),H155,0)</f>
        <v/>
      </c>
    </row>
    <row r="156" ht="15" customHeight="1">
      <c r="A156" s="669" t="n"/>
      <c r="B156" s="657" t="n"/>
      <c r="C156" s="657" t="n"/>
      <c r="D156" s="657" t="n"/>
      <c r="E156" s="681">
        <f>IF(N156&gt;1,"+",0)</f>
        <v/>
      </c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Q156" s="119">
        <f>IF(OR(F156=47201,F156=47100,F156=47200,F156=47500),H156,0)</f>
        <v/>
      </c>
      <c r="R156" s="119">
        <f>IF(OR(F156=87201,F156=87100,F156=87200,F156=87500),H156,0)</f>
        <v/>
      </c>
    </row>
    <row r="157" ht="15" customHeight="1">
      <c r="A157" s="651" t="n"/>
      <c r="B157" s="662" t="n"/>
      <c r="C157" s="662" t="n"/>
      <c r="D157" s="662" t="n"/>
      <c r="E157" s="681">
        <f>IF(N157&gt;1,"+",0)</f>
        <v/>
      </c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Q157" s="119">
        <f>IF(OR(F157=47201,F157=47100,F157=47200,F157=47500),H157,0)</f>
        <v/>
      </c>
      <c r="R157" s="119">
        <f>IF(OR(F157=87201,F157=87100,F157=87200,F157=87500),H157,0)</f>
        <v/>
      </c>
    </row>
    <row r="158" ht="15" customHeight="1">
      <c r="A158" s="669" t="n"/>
      <c r="B158" s="657" t="n"/>
      <c r="C158" s="657" t="n"/>
      <c r="D158" s="657" t="n"/>
      <c r="E158" s="681">
        <f>IF(N158&gt;1,"+",0)</f>
        <v/>
      </c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Q158" s="119">
        <f>IF(OR(F158=47201,F158=47100,F158=47200,F158=47500),H158,0)</f>
        <v/>
      </c>
      <c r="R158" s="119">
        <f>IF(OR(F158=87201,F158=87100,F158=87200,F158=87500),H158,0)</f>
        <v/>
      </c>
    </row>
    <row r="159" ht="15" customHeight="1">
      <c r="A159" s="651" t="n"/>
      <c r="B159" s="662" t="n"/>
      <c r="C159" s="662" t="n"/>
      <c r="D159" s="662" t="n"/>
      <c r="E159" s="681">
        <f>IF(N159&gt;1,"+",0)</f>
        <v/>
      </c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Q159" s="119">
        <f>IF(OR(F159=47201,F159=47100,F159=47200,F159=47500),H159,0)</f>
        <v/>
      </c>
      <c r="R159" s="119">
        <f>IF(OR(F159=87201,F159=87100,F159=87200,F159=87500),H159,0)</f>
        <v/>
      </c>
    </row>
    <row r="160" ht="15" customHeight="1">
      <c r="A160" s="669" t="n"/>
      <c r="B160" s="657" t="n"/>
      <c r="C160" s="657" t="n"/>
      <c r="D160" s="657" t="n"/>
      <c r="E160" s="681">
        <f>IF(N160&gt;1,"+",0)</f>
        <v/>
      </c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Q160" s="119">
        <f>IF(OR(F160=47201,F160=47100,F160=47200,F160=47500),H160,0)</f>
        <v/>
      </c>
      <c r="R160" s="119">
        <f>IF(OR(F160=87201,F160=87100,F160=87200,F160=87500),H160,0)</f>
        <v/>
      </c>
    </row>
    <row r="161" ht="15" customHeight="1">
      <c r="A161" s="651" t="n"/>
      <c r="B161" s="662" t="n"/>
      <c r="C161" s="662" t="n"/>
      <c r="D161" s="662" t="n"/>
      <c r="E161" s="681">
        <f>IF(N161&gt;1,"+",0)</f>
        <v/>
      </c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Q161" s="119">
        <f>IF(OR(F161=47201,F161=47100,F161=47200,F161=47500),H161,0)</f>
        <v/>
      </c>
      <c r="R161" s="119">
        <f>IF(OR(F161=87201,F161=87100,F161=87200,F161=87500),H161,0)</f>
        <v/>
      </c>
    </row>
    <row r="162" ht="15" customHeight="1">
      <c r="A162" s="669" t="n"/>
      <c r="B162" s="657" t="n"/>
      <c r="C162" s="657" t="n"/>
      <c r="D162" s="657" t="n"/>
      <c r="E162" s="681">
        <f>IF(N162&gt;1,"+",0)</f>
        <v/>
      </c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Q162" s="119">
        <f>IF(OR(F162=47201,F162=47100,F162=47200,F162=47500),H162,0)</f>
        <v/>
      </c>
      <c r="R162" s="119">
        <f>IF(OR(F162=87201,F162=87100,F162=87200,F162=87500),H162,0)</f>
        <v/>
      </c>
    </row>
    <row r="163" ht="15" customHeight="1">
      <c r="A163" s="651" t="n"/>
      <c r="B163" s="662" t="n"/>
      <c r="C163" s="662" t="n"/>
      <c r="D163" s="662" t="n"/>
      <c r="E163" s="681">
        <f>IF(N163&gt;1,"+",0)</f>
        <v/>
      </c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Q163" s="119">
        <f>IF(OR(F163=47201,F163=47100,F163=47200,F163=47500),H163,0)</f>
        <v/>
      </c>
      <c r="R163" s="119">
        <f>IF(OR(F163=87201,F163=87100,F163=87200,F163=87500),H163,0)</f>
        <v/>
      </c>
    </row>
    <row r="164" ht="15" customHeight="1">
      <c r="A164" s="669" t="n"/>
      <c r="B164" s="657" t="n"/>
      <c r="C164" s="657" t="n"/>
      <c r="D164" s="657" t="n"/>
      <c r="E164" s="681">
        <f>IF(N164&gt;1,"+",0)</f>
        <v/>
      </c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Q164" s="119">
        <f>IF(OR(F164=47201,F164=47100,F164=47200,F164=47500),H164,0)</f>
        <v/>
      </c>
      <c r="R164" s="119">
        <f>IF(OR(F164=87201,F164=87100,F164=87200,F164=87500),H164,0)</f>
        <v/>
      </c>
    </row>
    <row r="165" ht="15" customHeight="1">
      <c r="A165" s="651" t="n"/>
      <c r="B165" s="662" t="n"/>
      <c r="C165" s="662" t="n"/>
      <c r="D165" s="662" t="n"/>
      <c r="E165" s="681">
        <f>IF(N165&gt;1,"+",0)</f>
        <v/>
      </c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Q165" s="119">
        <f>IF(OR(F165=47201,F165=47100,F165=47200,F165=47500),H165,0)</f>
        <v/>
      </c>
      <c r="R165" s="119">
        <f>IF(OR(F165=87201,F165=87100,F165=87200,F165=87500),H165,0)</f>
        <v/>
      </c>
    </row>
    <row r="166" ht="15" customHeight="1">
      <c r="A166" s="669" t="n"/>
      <c r="B166" s="657" t="n"/>
      <c r="C166" s="657" t="n"/>
      <c r="D166" s="657" t="n"/>
      <c r="E166" s="681">
        <f>IF(N166&gt;1,"+",0)</f>
        <v/>
      </c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Q166" s="119">
        <f>IF(OR(F166=47201,F166=47100,F166=47200,F166=47500),H166,0)</f>
        <v/>
      </c>
      <c r="R166" s="119">
        <f>IF(OR(F166=87201,F166=87100,F166=87200,F166=87500),H166,0)</f>
        <v/>
      </c>
    </row>
    <row r="167" ht="15" customHeight="1">
      <c r="A167" s="651" t="n"/>
      <c r="B167" s="662" t="n"/>
      <c r="C167" s="662" t="n"/>
      <c r="D167" s="662" t="n"/>
      <c r="E167" s="681">
        <f>IF(N167&gt;1,"+",0)</f>
        <v/>
      </c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Q167" s="119">
        <f>IF(OR(F167=47201,F167=47100,F167=47200,F167=47500),H167,0)</f>
        <v/>
      </c>
      <c r="R167" s="119">
        <f>IF(OR(F167=87201,F167=87100,F167=87200,F167=87500),H167,0)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>
        <f>IF(N168&gt;1,"+",0)</f>
        <v/>
      </c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IF(OR(F168=47201,F168=47100,F168=47200,F168=47500),H168,0)</f>
        <v/>
      </c>
      <c r="R168" s="119">
        <f>IF(OR(F168=87201,F168=87100,F168=87200,F168=87500),H168,0)</f>
        <v/>
      </c>
    </row>
    <row r="169" ht="15" customHeight="1">
      <c r="A169" s="244" t="n"/>
      <c r="B169" s="71" t="n"/>
      <c r="C169" s="71" t="n"/>
      <c r="D169" s="244" t="n"/>
      <c r="E169" s="71">
        <f>IF(N169&gt;1,"+",0)</f>
        <v/>
      </c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>
        <f>IF(N170&gt;1,"+",0)</f>
        <v/>
      </c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>
        <f>IF(N171&gt;1,"+",0)</f>
        <v/>
      </c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>
        <f>IF(N172&gt;1,"+",0)</f>
        <v/>
      </c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Q172" s="119">
        <f>IF(OR(F172=47201,F172=47100,F172=47200,F172=47500),H172,0)</f>
        <v/>
      </c>
      <c r="R172" s="119">
        <f>IF(OR(F172=87201,F172=87100,F172=87200,F172=87500),H172,0)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Q173" s="119">
        <f>IF(OR(F173=47201,F173=47100,F173=47200,F173=47500),H173,0)</f>
        <v/>
      </c>
      <c r="R173" s="119">
        <f>IF(OR(F173=87201,F173=87100,F173=87200,F173=87500),H173,0)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Q174" s="119">
        <f>IF(OR(F174=47201,F174=47100,F174=47200,F174=47500),H174,0)</f>
        <v/>
      </c>
      <c r="R174" s="119">
        <f>IF(OR(F174=87201,F174=87100,F174=87200,F174=87500),H174,0)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Q175" s="119">
        <f>IF(OR(F175=47201,F175=47100,F175=47200,F175=47500),H175,0)</f>
        <v/>
      </c>
      <c r="R175" s="119">
        <f>IF(OR(F175=87201,F175=87100,F175=87200,F175=87500),H175,0)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Q176" s="119">
        <f>IF(OR(F176=47201,F176=47100,F176=47200,F176=47500),H176,0)</f>
        <v/>
      </c>
      <c r="R176" s="119">
        <f>IF(OR(F176=87201,F176=87100,F176=87200,F176=87500),H176,0)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Q177" s="119">
        <f>IF(OR(F177=47201,F177=47100,F177=47200,F177=47500),H177,0)</f>
        <v/>
      </c>
      <c r="R177" s="119">
        <f>IF(OR(F177=87201,F177=87100,F177=87200,F177=87500),H177,0)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Q178" s="119">
        <f>IF(OR(F178=47201,F178=47100,F178=47200,F178=47500),H178,0)</f>
        <v/>
      </c>
      <c r="R178" s="119">
        <f>IF(OR(F178=87201,F178=87100,F178=87200,F178=87500),H178,0)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Q179" s="119">
        <f>IF(OR(F179=47201,F179=47100,F179=47200,F179=47500),H179,0)</f>
        <v/>
      </c>
      <c r="R179" s="119">
        <f>IF(OR(F179=87201,F179=87100,F179=87200,F179=87500),H179,0)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Q180" s="119">
        <f>IF(OR(F180=47201,F180=47100,F180=47200,F180=47500),H180,0)</f>
        <v/>
      </c>
      <c r="R180" s="119">
        <f>IF(OR(F180=87201,F180=87100,F180=87200,F180=87500),H180,0)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Q181" s="119">
        <f>IF(OR(F181=47201,F181=47100,F181=47200,F181=47500),H181,0)</f>
        <v/>
      </c>
      <c r="R181" s="119">
        <f>IF(OR(F181=87201,F181=87100,F181=87200,F181=87500),H181,0)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Q182" s="119">
        <f>IF(OR(F182=47201,F182=47100,F182=47200,F182=47500),H182,0)</f>
        <v/>
      </c>
      <c r="R182" s="119">
        <f>IF(OR(F182=87201,F182=87100,F182=87200,F182=87500),H182,0)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Q183" s="119">
        <f>IF(OR(F183=47201,F183=47100,F183=47200,F183=47500),H183,0)</f>
        <v/>
      </c>
      <c r="R183" s="119">
        <f>IF(OR(F183=87201,F183=87100,F183=87200,F183=87500),H183,0)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Q184" s="119">
        <f>IF(OR(F184=47201,F184=47100,F184=47200,F184=47500),H184,0)</f>
        <v/>
      </c>
      <c r="R184" s="119">
        <f>IF(OR(F184=87201,F184=87100,F184=87200,F184=87500),H184,0)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Q185" s="119">
        <f>IF(OR(F185=47201,F185=47100,F185=47200,F185=47500),H185,0)</f>
        <v/>
      </c>
      <c r="R185" s="119">
        <f>IF(OR(F185=87201,F185=87100,F185=87200,F185=87500),H185,0)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Q186" s="119">
        <f>IF(OR(F186=47201,F186=47100,F186=47200,F186=47500),H186,0)</f>
        <v/>
      </c>
      <c r="R186" s="119">
        <f>IF(OR(F186=87201,F186=87100,F186=87200,F186=87500),H186,0)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Q187" s="119">
        <f>IF(OR(F187=47201,F187=47100,F187=47200,F187=47500),H187,0)</f>
        <v/>
      </c>
      <c r="R187" s="119">
        <f>IF(OR(F187=87201,F187=87100,F187=87200,F187=87500),H187,0)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Q188" s="119">
        <f>IF(OR(F188=47201,F188=47100,F188=47200,F188=47500),H188,0)</f>
        <v/>
      </c>
      <c r="R188" s="119">
        <f>IF(OR(F188=87201,F188=87100,F188=87200,F188=87500),H188,0)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Q189" s="119">
        <f>IF(OR(F189=47201,F189=47100,F189=47200,F189=47500),H189,0)</f>
        <v/>
      </c>
      <c r="R189" s="119">
        <f>IF(OR(F189=87201,F189=87100,F189=87200,F189=87500),H189,0)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Q190" s="119">
        <f>IF(OR(F190=47201,F190=47100,F190=47200,F190=47500),H190,0)</f>
        <v/>
      </c>
      <c r="R190" s="119">
        <f>IF(OR(F190=87201,F190=87100,F190=87200,F190=87500),H190,0)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Q191" s="119">
        <f>IF(OR(F191=47201,F191=47100,F191=47200,F191=47500),H191,0)</f>
        <v/>
      </c>
      <c r="R191" s="119">
        <f>IF(OR(F191=87201,F191=87100,F191=87200,F191=87500),H191,0)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Q192" s="119">
        <f>IF(OR(F192=47201,F192=47100,F192=47200,F192=47500),H192,0)</f>
        <v/>
      </c>
      <c r="R192" s="119">
        <f>IF(OR(F192=87201,F192=87100,F192=87200,F192=87500),H192,0)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Q193" s="119">
        <f>IF(OR(F193=47201,F193=47100,F193=47200,F193=47500),H193,0)</f>
        <v/>
      </c>
      <c r="R193" s="119">
        <f>IF(OR(F193=87201,F193=87100,F193=87200,F193=87500),H193,0)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Q194" s="119">
        <f>IF(OR(F194=47201,F194=47100,F194=47200,F194=47500),H194,0)</f>
        <v/>
      </c>
      <c r="R194" s="119">
        <f>IF(OR(F194=87201,F194=87100,F194=87200,F194=87500),H194,0)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Q195" s="119">
        <f>IF(OR(F195=47201,F195=47100,F195=47200,F195=47500),H195,0)</f>
        <v/>
      </c>
      <c r="R195" s="119">
        <f>IF(OR(F195=87201,F195=87100,F195=87200,F195=87500),H195,0)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Q196" s="119">
        <f>IF(OR(F196=47201,F196=47100,F196=47200,F196=47500),H196,0)</f>
        <v/>
      </c>
      <c r="R196" s="119">
        <f>IF(OR(F196=87201,F196=87100,F196=87200,F196=87500),H196,0)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Q197" s="119">
        <f>IF(OR(F197=47201,F197=47100,F197=47200,F197=47500),H197,0)</f>
        <v/>
      </c>
      <c r="R197" s="119">
        <f>IF(OR(F197=87201,F197=87100,F197=87200,F197=87500),H197,0)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Q198" s="119">
        <f>IF(OR(F198=47201,F198=47100,F198=47200,F198=47500),H198,0)</f>
        <v/>
      </c>
      <c r="R198" s="119">
        <f>IF(OR(F198=87201,F198=87100,F198=87200,F198=87500),H198,0)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Q199" s="119">
        <f>IF(OR(F199=47201,F199=47100,F199=47200,F199=47500),H199,0)</f>
        <v/>
      </c>
      <c r="R199" s="119">
        <f>IF(OR(F199=87201,F199=87100,F199=87200,F199=87500),H199,0)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Q200" s="119">
        <f>IF(OR(F200=47201,F200=47100,F200=47200,F200=47500),H200,0)</f>
        <v/>
      </c>
      <c r="R200" s="119">
        <f>IF(OR(F200=87201,F200=87100,F200=87200,F200=87500),H200,0)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Q201" s="119">
        <f>IF(OR(F201=47201,F201=47100,F201=47200,F201=47500),H201,0)</f>
        <v/>
      </c>
      <c r="R201" s="119">
        <f>IF(OR(F201=87201,F201=87100,F201=87200,F201=87500),H201,0)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Q202" s="119">
        <f>IF(OR(F202=47201,F202=47100,F202=47200,F202=47500),H202,0)</f>
        <v/>
      </c>
      <c r="R202" s="119">
        <f>IF(OR(F202=87201,F202=87100,F202=87200,F202=87500),H202,0)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Q203" s="119">
        <f>IF(OR(F203=47201,F203=47100,F203=47200,F203=47500),H203,0)</f>
        <v/>
      </c>
      <c r="R203" s="119">
        <f>IF(OR(F203=87201,F203=87100,F203=87200,F203=87500),H203,0)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Q204" s="119">
        <f>IF(OR(F204=47201,F204=47100,F204=47200,F204=47500),H204,0)</f>
        <v/>
      </c>
      <c r="R204" s="119">
        <f>IF(OR(F204=87201,F204=87100,F204=87200,F204=87500),H204,0)</f>
        <v/>
      </c>
    </row>
    <row r="205" ht="15" customHeight="1">
      <c r="A205" s="651" t="n"/>
      <c r="B205" s="662" t="n"/>
      <c r="C205" s="662" t="n"/>
      <c r="D205" s="662" t="n"/>
      <c r="E205" s="681">
        <f>IF(N205&gt;1,"+",0)</f>
        <v/>
      </c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Q205" s="119">
        <f>IF(OR(F205=47201,F205=47100,F205=47200,F205=47500),H205,0)</f>
        <v/>
      </c>
      <c r="R205" s="119">
        <f>IF(OR(F205=87201,F205=87100,F205=87200,F205=87500),H205,0)</f>
        <v/>
      </c>
    </row>
    <row r="206" ht="15" customHeight="1">
      <c r="A206" s="669" t="n"/>
      <c r="B206" s="657" t="n"/>
      <c r="C206" s="657" t="n"/>
      <c r="D206" s="657" t="n"/>
      <c r="E206" s="681">
        <f>IF(N206&gt;1,"+",0)</f>
        <v/>
      </c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Q206" s="119">
        <f>IF(OR(F206=47201,F206=47100,F206=47200,F206=47500),H206,0)</f>
        <v/>
      </c>
      <c r="R206" s="119">
        <f>IF(OR(F206=87201,F206=87100,F206=87200,F206=87500),H206,0)</f>
        <v/>
      </c>
    </row>
    <row r="207" ht="15" customHeight="1">
      <c r="A207" s="651" t="n"/>
      <c r="B207" s="662" t="n"/>
      <c r="C207" s="662" t="n"/>
      <c r="D207" s="662" t="n"/>
      <c r="E207" s="681">
        <f>IF(N207&gt;1,"+",0)</f>
        <v/>
      </c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Q207" s="119">
        <f>IF(OR(F207=47201,F207=47100,F207=47200,F207=47500),H207,0)</f>
        <v/>
      </c>
      <c r="R207" s="119">
        <f>IF(OR(F207=87201,F207=87100,F207=87200,F207=87500),H207,0)</f>
        <v/>
      </c>
    </row>
    <row r="208" ht="15" customHeight="1">
      <c r="A208" s="669" t="n"/>
      <c r="B208" s="657" t="n"/>
      <c r="C208" s="657" t="n"/>
      <c r="D208" s="657" t="n"/>
      <c r="E208" s="681">
        <f>IF(N208&gt;1,"+",0)</f>
        <v/>
      </c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Q208" s="119">
        <f>IF(OR(F208=47201,F208=47100,F208=47200,F208=47500),H208,0)</f>
        <v/>
      </c>
      <c r="R208" s="119">
        <f>IF(OR(F208=87201,F208=87100,F208=87200,F208=87500),H208,0)</f>
        <v/>
      </c>
    </row>
    <row r="209" ht="15" customHeight="1">
      <c r="A209" s="651" t="n"/>
      <c r="B209" s="662" t="n"/>
      <c r="C209" s="662" t="n"/>
      <c r="D209" s="662" t="n"/>
      <c r="E209" s="681">
        <f>IF(N209&gt;1,"+",0)</f>
        <v/>
      </c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Q209" s="119">
        <f>IF(OR(F209=47201,F209=47100,F209=47200,F209=47500),H209,0)</f>
        <v/>
      </c>
      <c r="R209" s="119">
        <f>IF(OR(F209=87201,F209=87100,F209=87200,F209=87500),H209,0)</f>
        <v/>
      </c>
    </row>
    <row r="210" ht="15" customHeight="1">
      <c r="A210" s="669" t="n"/>
      <c r="B210" s="657" t="n"/>
      <c r="C210" s="657" t="n"/>
      <c r="D210" s="657" t="n"/>
      <c r="E210" s="681">
        <f>IF(N210&gt;1,"+",0)</f>
        <v/>
      </c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Q210" s="119">
        <f>IF(OR(F210=47201,F210=47100,F210=47200,F210=47500),H210,0)</f>
        <v/>
      </c>
      <c r="R210" s="119">
        <f>IF(OR(F210=87201,F210=87100,F210=87200,F210=87500),H210,0)</f>
        <v/>
      </c>
    </row>
    <row r="211" ht="15" customHeight="1">
      <c r="A211" s="651" t="n"/>
      <c r="B211" s="662" t="n"/>
      <c r="C211" s="662" t="n"/>
      <c r="D211" s="662" t="n"/>
      <c r="E211" s="681">
        <f>IF(N211&gt;1,"+",0)</f>
        <v/>
      </c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Q211" s="119">
        <f>IF(OR(F211=47201,F211=47100,F211=47200,F211=47500),H211,0)</f>
        <v/>
      </c>
      <c r="R211" s="119">
        <f>IF(OR(F211=87201,F211=87100,F211=87200,F211=87500),H211,0)</f>
        <v/>
      </c>
    </row>
    <row r="212" ht="15" customHeight="1">
      <c r="A212" s="669" t="n"/>
      <c r="B212" s="657" t="n"/>
      <c r="C212" s="657" t="n"/>
      <c r="D212" s="657" t="n"/>
      <c r="E212" s="681">
        <f>IF(N212&gt;1,"+",0)</f>
        <v/>
      </c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Q212" s="119">
        <f>IF(OR(F212=47201,F212=47100,F212=47200,F212=47500),H212,0)</f>
        <v/>
      </c>
      <c r="R212" s="119">
        <f>IF(OR(F212=87201,F212=87100,F212=87200,F212=87500),H212,0)</f>
        <v/>
      </c>
    </row>
    <row r="213" ht="15" customHeight="1">
      <c r="A213" s="651" t="n"/>
      <c r="B213" s="662" t="n"/>
      <c r="C213" s="662" t="n"/>
      <c r="D213" s="662" t="n"/>
      <c r="E213" s="681">
        <f>IF(N213&gt;1,"+",0)</f>
        <v/>
      </c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Q213" s="119">
        <f>IF(OR(F213=47201,F213=47100,F213=47200,F213=47500),H213,0)</f>
        <v/>
      </c>
      <c r="R213" s="119">
        <f>IF(OR(F213=87201,F213=87100,F213=87200,F213=87500),H213,0)</f>
        <v/>
      </c>
    </row>
    <row r="214" ht="15" customHeight="1">
      <c r="A214" s="669" t="n"/>
      <c r="B214" s="657" t="n"/>
      <c r="C214" s="657" t="n"/>
      <c r="D214" s="657" t="n"/>
      <c r="E214" s="681">
        <f>IF(N214&gt;1,"+",0)</f>
        <v/>
      </c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Q214" s="119">
        <f>IF(OR(F214=47201,F214=47100,F214=47200,F214=47500),H214,0)</f>
        <v/>
      </c>
      <c r="R214" s="119">
        <f>IF(OR(F214=87201,F214=87100,F214=87200,F214=87500),H214,0)</f>
        <v/>
      </c>
    </row>
    <row r="215" ht="15" customHeight="1">
      <c r="A215" s="651" t="n"/>
      <c r="B215" s="662" t="n"/>
      <c r="C215" s="662" t="n"/>
      <c r="D215" s="662" t="n"/>
      <c r="E215" s="681">
        <f>IF(N215&gt;1,"+",0)</f>
        <v/>
      </c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Q215" s="119">
        <f>IF(OR(F215=47201,F215=47100,F215=47200,F215=47500),H215,0)</f>
        <v/>
      </c>
      <c r="R215" s="119">
        <f>IF(OR(F215=87201,F215=87100,F215=87200,F215=87500),H215,0)</f>
        <v/>
      </c>
    </row>
    <row r="216" ht="15" customHeight="1">
      <c r="A216" s="669" t="n"/>
      <c r="B216" s="657" t="n"/>
      <c r="C216" s="657" t="n"/>
      <c r="D216" s="657" t="n"/>
      <c r="E216" s="681">
        <f>IF(N216&gt;1,"+",0)</f>
        <v/>
      </c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Q216" s="119">
        <f>IF(OR(F216=47201,F216=47100,F216=47200,F216=47500),H216,0)</f>
        <v/>
      </c>
      <c r="R216" s="119">
        <f>IF(OR(F216=87201,F216=87100,F216=87200,F216=87500),H216,0)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>
        <f>IF(N217&gt;1,"+",0)</f>
        <v/>
      </c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IF(OR(F217=47201,F217=47100,F217=47200,F217=47500),H217,0)</f>
        <v/>
      </c>
      <c r="R217" s="119">
        <f>IF(OR(F217=87201,F217=87100,F217=87200,F217=87500),H217,0)</f>
        <v/>
      </c>
    </row>
    <row r="218" ht="15" customHeight="1">
      <c r="A218" s="244" t="n"/>
      <c r="B218" s="71" t="n"/>
      <c r="C218" s="71" t="n"/>
      <c r="D218" s="244" t="n"/>
      <c r="E218" s="71">
        <f>IF(N218&gt;1,"+",0)</f>
        <v/>
      </c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>
        <f>IF(N219&gt;1,"+",0)</f>
        <v/>
      </c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 t="n"/>
      <c r="Q220" s="715">
        <f>IF(OR(F220=47201,F220=47100,F220=47200,F220=47500),H220,0)</f>
        <v/>
      </c>
      <c r="R220" s="715">
        <f>IF(OR(F220=87201,F220=87100,F220=87200,F220=87500),H220,0)</f>
        <v/>
      </c>
      <c r="S220" s="714" t="n"/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Q221" s="60">
        <f>IF(OR(F221=47201,F221=47100,F221=47200,F221=47500),H221,0)</f>
        <v/>
      </c>
      <c r="R221" s="60">
        <f>IF(OR(F221=87201,F221=87100,F221=87200,F221=87500),H221,0)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Q222" s="60">
        <f>IF(OR(F222=47201,F222=47100,F222=47200,F222=47500),H222,0)</f>
        <v/>
      </c>
      <c r="R222" s="60">
        <f>IF(OR(F222=87201,F222=87100,F222=87200,F222=87500),H222,0)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Q223" s="60">
        <f>IF(OR(F223=47201,F223=47100,F223=47200,F223=47500),H223,0)</f>
        <v/>
      </c>
      <c r="R223" s="60">
        <f>IF(OR(F223=87201,F223=87100,F223=87200,F223=87500),H223,0)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Q224" s="60">
        <f>IF(OR(F224=47201,F224=47100,F224=47200,F224=47500),H224,0)</f>
        <v/>
      </c>
      <c r="R224" s="60">
        <f>IF(OR(F224=87201,F224=87100,F224=87200,F224=87500),H224,0)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Q225" s="60">
        <f>IF(OR(F225=47201,F225=47100,F225=47200,F225=47500),H225,0)</f>
        <v/>
      </c>
      <c r="R225" s="60">
        <f>IF(OR(F225=87201,F225=87100,F225=87200,F225=87500),H225,0)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Q226" s="60">
        <f>IF(OR(F226=47201,F226=47100,F226=47200,F226=47500),H226,0)</f>
        <v/>
      </c>
      <c r="R226" s="60">
        <f>IF(OR(F226=87201,F226=87100,F226=87200,F226=87500),H226,0)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Q227" s="60">
        <f>IF(OR(F227=47201,F227=47100,F227=47200,F227=47500),H227,0)</f>
        <v/>
      </c>
      <c r="R227" s="60">
        <f>IF(OR(F227=87201,F227=87100,F227=87200,F227=87500),H227,0)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Q228" s="60">
        <f>IF(OR(F228=47201,F228=47100,F228=47200,F228=47500),H228,0)</f>
        <v/>
      </c>
      <c r="R228" s="60">
        <f>IF(OR(F228=87201,F228=87100,F228=87200,F228=87500),H228,0)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Q229" s="60">
        <f>IF(OR(F229=47201,F229=47100,F229=47200,F229=47500),H229,0)</f>
        <v/>
      </c>
      <c r="R229" s="60">
        <f>IF(OR(F229=87201,F229=87100,F229=87200,F229=87500),H229,0)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Q230" s="60">
        <f>IF(OR(F230=47201,F230=47100,F230=47200,F230=47500),H230,0)</f>
        <v/>
      </c>
      <c r="R230" s="60">
        <f>IF(OR(F230=87201,F230=87100,F230=87200,F230=87500),H230,0)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Q231" s="60">
        <f>IF(OR(F231=47201,F231=47100,F231=47200,F231=47500),H231,0)</f>
        <v/>
      </c>
      <c r="R231" s="60">
        <f>IF(OR(F231=87201,F231=87100,F231=87200,F231=87500),H231,0)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Q232" s="60">
        <f>IF(OR(F232=47201,F232=47100,F232=47200,F232=47500),H232,0)</f>
        <v/>
      </c>
      <c r="R232" s="60">
        <f>IF(OR(F232=87201,F232=87100,F232=87200,F232=87500),H232,0)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Q233" s="60">
        <f>IF(OR(F233=47201,F233=47100,F233=47200,F233=47500),H233,0)</f>
        <v/>
      </c>
      <c r="R233" s="60">
        <f>IF(OR(F233=87201,F233=87100,F233=87200,F233=87500),H233,0)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Q234" s="60">
        <f>IF(OR(F234=47201,F234=47100,F234=47200,F234=47500),H234,0)</f>
        <v/>
      </c>
      <c r="R234" s="60">
        <f>IF(OR(F234=87201,F234=87100,F234=87200,F234=87500),H234,0)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Q235" s="60">
        <f>IF(OR(F235=47201,F235=47100,F235=47200,F235=47500),H235,0)</f>
        <v/>
      </c>
      <c r="R235" s="60">
        <f>IF(OR(F235=87201,F235=87100,F235=87200,F235=87500),H235,0)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Q236" s="60">
        <f>IF(OR(F236=47201,F236=47100,F236=47200,F236=47500),H236,0)</f>
        <v/>
      </c>
      <c r="R236" s="60">
        <f>IF(OR(F236=87201,F236=87100,F236=87200,F236=87500),H236,0)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Q237" s="60">
        <f>IF(OR(F237=47201,F237=47100,F237=47200,F237=47500),H237,0)</f>
        <v/>
      </c>
      <c r="R237" s="60">
        <f>IF(OR(F237=87201,F237=87100,F237=87200,F237=87500),H237,0)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Q238" s="60">
        <f>IF(OR(F238=47201,F238=47100,F238=47200,F238=47500),H238,0)</f>
        <v/>
      </c>
      <c r="R238" s="60">
        <f>IF(OR(F238=87201,F238=87100,F238=87200,F238=87500),H238,0)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Q239" s="60">
        <f>IF(OR(F239=47201,F239=47100,F239=47200,F239=47500),H239,0)</f>
        <v/>
      </c>
      <c r="R239" s="60">
        <f>IF(OR(F239=87201,F239=87100,F239=87200,F239=87500),H239,0)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Q240" s="60">
        <f>IF(OR(F240=47201,F240=47100,F240=47200,F240=47500),H240,0)</f>
        <v/>
      </c>
      <c r="R240" s="60">
        <f>IF(OR(F240=87201,F240=87100,F240=87200,F240=87500),H240,0)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Q241" s="60">
        <f>IF(OR(F241=47201,F241=47100,F241=47200,F241=47500),H241,0)</f>
        <v/>
      </c>
      <c r="R241" s="60">
        <f>IF(OR(F241=87201,F241=87100,F241=87200,F241=87500),H241,0)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Q242" s="60">
        <f>IF(OR(F242=47201,F242=47100,F242=47200,F242=47500),H242,0)</f>
        <v/>
      </c>
      <c r="R242" s="60">
        <f>IF(OR(F242=87201,F242=87100,F242=87200,F242=87500),H242,0)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Q243" s="60">
        <f>IF(OR(F243=47201,F243=47100,F243=47200,F243=47500),H243,0)</f>
        <v/>
      </c>
      <c r="R243" s="60">
        <f>IF(OR(F243=87201,F243=87100,F243=87200,F243=87500),H243,0)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Q244" s="60">
        <f>IF(OR(F244=47201,F244=47100,F244=47200,F244=47500),H244,0)</f>
        <v/>
      </c>
      <c r="R244" s="60">
        <f>IF(OR(F244=87201,F244=87100,F244=87200,F244=87500),H244,0)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Q245" s="60">
        <f>IF(OR(F245=47201,F245=47100,F245=47200,F245=47500),H245,0)</f>
        <v/>
      </c>
      <c r="R245" s="60">
        <f>IF(OR(F245=87201,F245=87100,F245=87200,F245=87500),H245,0)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Q246" s="60">
        <f>IF(OR(F246=47201,F246=47100,F246=47200,F246=47500),H246,0)</f>
        <v/>
      </c>
      <c r="R246" s="60">
        <f>IF(OR(F246=87201,F246=87100,F246=87200,F246=87500),H246,0)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Q247" s="60">
        <f>IF(OR(F247=47201,F247=47100,F247=47200,F247=47500),H247,0)</f>
        <v/>
      </c>
      <c r="R247" s="60">
        <f>IF(OR(F247=87201,F247=87100,F247=87200,F247=87500),H247,0)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Q248" s="60">
        <f>IF(OR(F248=47201,F248=47100,F248=47200,F248=47500),H248,0)</f>
        <v/>
      </c>
      <c r="R248" s="60">
        <f>IF(OR(F248=87201,F248=87100,F248=87200,F248=87500),H248,0)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Q249" s="60">
        <f>IF(OR(F249=47201,F249=47100,F249=47200,F249=47500),H249,0)</f>
        <v/>
      </c>
      <c r="R249" s="60">
        <f>IF(OR(F249=87201,F249=87100,F249=87200,F249=87500),H249,0)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Q250" s="60">
        <f>IF(OR(F250=47201,F250=47100,F250=47200,F250=47500),H250,0)</f>
        <v/>
      </c>
      <c r="R250" s="60">
        <f>IF(OR(F250=87201,F250=87100,F250=87200,F250=87500),H250,0)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Q251" s="60">
        <f>IF(OR(F251=47201,F251=47100,F251=47200,F251=47500),H251,0)</f>
        <v/>
      </c>
      <c r="R251" s="60">
        <f>IF(OR(F251=87201,F251=87100,F251=87200,F251=87500),H251,0)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Q252" s="60">
        <f>IF(OR(F252=47201,F252=47100,F252=47200,F252=47500),H252,0)</f>
        <v/>
      </c>
      <c r="R252" s="60">
        <f>IF(OR(F252=87201,F252=87100,F252=87200,F252=87500),H252,0)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Q253" s="60">
        <f>IF(OR(F253=47201,F253=47100,F253=47200,F253=47500),H253,0)</f>
        <v/>
      </c>
      <c r="R253" s="60">
        <f>IF(OR(F253=87201,F253=87100,F253=87200,F253=87500),H253,0)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Q254" s="60">
        <f>IF(OR(F254=47201,F254=47100,F254=47200,F254=47500),H254,0)</f>
        <v/>
      </c>
      <c r="R254" s="60">
        <f>IF(OR(F254=87201,F254=87100,F254=87200,F254=87500),H254,0)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Q255" s="60">
        <f>IF(OR(F255=47201,F255=47100,F255=47200,F255=47500),H255,0)</f>
        <v/>
      </c>
      <c r="R255" s="60">
        <f>IF(OR(F255=87201,F255=87100,F255=87200,F255=87500),H255,0)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Q256" s="60">
        <f>IF(OR(F256=47201,F256=47100,F256=47200,F256=47500),H256,0)</f>
        <v/>
      </c>
      <c r="R256" s="60">
        <f>IF(OR(F256=87201,F256=87100,F256=87200,F256=87500),H256,0)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Q257" s="60">
        <f>IF(OR(F257=47201,F257=47100,F257=47200,F257=47500),H257,0)</f>
        <v/>
      </c>
      <c r="R257" s="60">
        <f>IF(OR(F257=87201,F257=87100,F257=87200,F257=87500),H257,0)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Q258" s="60">
        <f>IF(OR(F258=47201,F258=47100,F258=47200,F258=47500),H258,0)</f>
        <v/>
      </c>
      <c r="R258" s="60">
        <f>IF(OR(F258=87201,F258=87100,F258=87200,F258=87500),H258,0)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Q259" s="60">
        <f>IF(OR(F259=47201,F259=47100,F259=47200,F259=47500),H259,0)</f>
        <v/>
      </c>
      <c r="R259" s="60">
        <f>IF(OR(F259=87201,F259=87100,F259=87200,F259=87500),H259,0)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Q260" s="60">
        <f>IF(OR(F260=47201,F260=47100,F260=47200,F260=47500),H260,0)</f>
        <v/>
      </c>
      <c r="R260" s="60">
        <f>IF(OR(F260=87201,F260=87100,F260=87200,F260=87500),H260,0)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Q261" s="60">
        <f>IF(OR(F261=47201,F261=47100,F261=47200,F261=47500),H261,0)</f>
        <v/>
      </c>
      <c r="R261" s="60">
        <f>IF(OR(F261=87201,F261=87100,F261=87200,F261=87500),H261,0)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Q262" s="60">
        <f>IF(OR(F262=47201,F262=47100,F262=47200,F262=47500),H262,0)</f>
        <v/>
      </c>
      <c r="R262" s="60">
        <f>IF(OR(F262=87201,F262=87100,F262=87200,F262=87500),H262,0)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Q263" s="60">
        <f>IF(OR(F263=47201,F263=47100,F263=47200,F263=47500),H263,0)</f>
        <v/>
      </c>
      <c r="R263" s="60">
        <f>IF(OR(F263=87201,F263=87100,F263=87200,F263=87500),H263,0)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Q264" s="60">
        <f>IF(OR(F264=47201,F264=47100,F264=47200,F264=47500),H264,0)</f>
        <v/>
      </c>
      <c r="R264" s="60">
        <f>IF(OR(F264=87201,F264=87100,F264=87200,F264=87500),H264,0)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Q265" s="60">
        <f>IF(OR(F265=47201,F265=47100,F265=47200,F265=47500),H265,0)</f>
        <v/>
      </c>
      <c r="R265" s="60">
        <f>IF(OR(F265=87201,F265=87100,F265=87200,F265=87500),H265,0)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Q266" s="60">
        <f>IF(OR(F266=47201,F266=47100,F266=47200,F266=47500),H266,0)</f>
        <v/>
      </c>
      <c r="R266" s="60">
        <f>IF(OR(F266=87201,F266=87100,F266=87200,F266=87500),H266,0)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Q267" s="60">
        <f>IF(OR(F267=47201,F267=47100,F267=47200,F267=47500),H267,0)</f>
        <v/>
      </c>
      <c r="R267" s="60">
        <f>IF(OR(F267=87201,F267=87100,F267=87200,F267=87500),H267,0)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Q268" s="60">
        <f>IF(OR(F268=47201,F268=47100,F268=47200,F268=47500),H268,0)</f>
        <v/>
      </c>
      <c r="R268" s="60">
        <f>IF(OR(F268=87201,F268=87100,F268=87200,F268=87500),H268,0)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Q269" s="60">
        <f>IF(OR(F269=47201,F269=47100,F269=47200,F269=47500),H269,0)</f>
        <v/>
      </c>
      <c r="R269" s="60">
        <f>IF(OR(F269=87201,F269=87100,F269=87200,F269=87500),H269,0)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Q270" s="60">
        <f>IF(OR(F270=47201,F270=47100,F270=47200,F270=47500),H270,0)</f>
        <v/>
      </c>
      <c r="R270" s="60">
        <f>IF(OR(F270=87201,F270=87100,F270=87200,F270=87500),H270,0)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Q271" s="60">
        <f>IF(OR(F271=47201,F271=47100,F271=47200,F271=47500),H271,0)</f>
        <v/>
      </c>
      <c r="R271" s="60">
        <f>IF(OR(F271=87201,F271=87100,F271=87200,F271=87500),H271,0)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Q272" s="60">
        <f>IF(OR(F272=47201,F272=47100,F272=47200,F272=47500),H272,0)</f>
        <v/>
      </c>
      <c r="R272" s="60">
        <f>IF(OR(F272=87201,F272=87100,F272=87200,F272=87500),H272,0)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>
        <f>IF(N273&gt;1,"+",0)</f>
        <v/>
      </c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>
        <f>IF(N274&gt;1,"+",0)</f>
        <v/>
      </c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>
        <f>IF(N275&gt;1,"+",0)</f>
        <v/>
      </c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>
        <f>IF(N276&gt;1,"+",0)</f>
        <v/>
      </c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SUM(Q18:R276)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  <row r="292"/>
    <row r="293"/>
    <row r="294"/>
    <row r="295"/>
    <row r="296"/>
    <row r="297"/>
    <row r="298"/>
    <row r="299"/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groen'!E17&gt;0,1,""),"")</f>
        <v/>
      </c>
      <c r="B5" s="534">
        <f>IFERROR(IF('Invullen groen'!E17&gt;0,'Invullen groen'!A17,""),"")</f>
        <v/>
      </c>
      <c r="C5" s="534">
        <f>IFERROR(IF('Invullen groen'!E17&gt;0,'Invullen groen'!C17,""),"")</f>
        <v/>
      </c>
      <c r="D5" s="534">
        <f>IFERROR(IF('Invullen groen'!E17&gt;0,'Invullen groen'!D17,""),"")</f>
        <v/>
      </c>
      <c r="E5" s="534">
        <f>IFERROR(IF('Invullen groen'!E17&gt;0,'Invullen groen'!G17,""),"")</f>
        <v/>
      </c>
      <c r="F5" s="535">
        <f>IFERROR(IF('Invullen groen'!H17&lt;&gt;0,'Invullen groen'!H17,""),"")</f>
        <v/>
      </c>
      <c r="G5" s="535">
        <f>IFERROR(IF('Invullen groen'!I17&lt;&gt;0,'Invullen groen'!I17,""),"")</f>
        <v/>
      </c>
      <c r="H5" s="535">
        <f>IFERROR(IF('Invullen groen'!J17&lt;&gt;0,'Invullen groen'!J17,""),"")</f>
        <v/>
      </c>
      <c r="I5" s="535">
        <f>IFERROR(IF('Invullen groen'!K17&lt;&gt;0,'Invullen groen'!K17,""),"")</f>
        <v/>
      </c>
    </row>
    <row r="6" ht="15" customHeight="1">
      <c r="A6" s="536">
        <f>IFERROR(IF('Invullen groen'!E18&gt;0,2,""),"")</f>
        <v/>
      </c>
      <c r="B6" s="536">
        <f>IFERROR(IF('Invullen groen'!E18&gt;0,'Invullen groen'!A18,""),"")</f>
        <v/>
      </c>
      <c r="C6" s="536">
        <f>IFERROR(IF('Invullen groen'!E18&gt;0,'Invullen groen'!C18,""),"")</f>
        <v/>
      </c>
      <c r="D6" s="536">
        <f>IFERROR(IF('Invullen groen'!E18&gt;0,'Invullen groen'!D18,""),"")</f>
        <v/>
      </c>
      <c r="E6" s="536">
        <f>IFERROR(IF('Invullen groen'!E18&gt;0,'Invullen groen'!G18,""),"")</f>
        <v/>
      </c>
      <c r="F6" s="537">
        <f>IFERROR(IF('Invullen groen'!H18&lt;&gt;0,'Invullen groen'!H18,""),"")</f>
        <v/>
      </c>
      <c r="G6" s="537">
        <f>IFERROR(IF('Invullen groen'!I18&lt;&gt;0,'Invullen groen'!I18,""),"")</f>
        <v/>
      </c>
      <c r="H6" s="537">
        <f>IFERROR(IF('Invullen groen'!J18&lt;&gt;0,'Invullen groen'!J18,""),"")</f>
        <v/>
      </c>
      <c r="I6" s="537">
        <f>IFERROR(IF('Invullen groen'!K18&lt;&gt;0,'Invullen groen'!K18,""),"")</f>
        <v/>
      </c>
    </row>
    <row r="7" ht="15" customHeight="1">
      <c r="A7" s="534">
        <f>IFERROR(IF('Invullen groen'!E19&gt;0,3,""),"")</f>
        <v/>
      </c>
      <c r="B7" s="534">
        <f>IFERROR(IF('Invullen groen'!E19&gt;0,'Invullen groen'!A19,""),"")</f>
        <v/>
      </c>
      <c r="C7" s="534">
        <f>IFERROR(IF('Invullen groen'!E19&gt;0,'Invullen groen'!C19,""),"")</f>
        <v/>
      </c>
      <c r="D7" s="534">
        <f>IFERROR(IF('Invullen groen'!E19&gt;0,'Invullen groen'!D19,""),"")</f>
        <v/>
      </c>
      <c r="E7" s="534">
        <f>IFERROR(IF('Invullen groen'!E19&gt;0,'Invullen groen'!G19,""),"")</f>
        <v/>
      </c>
      <c r="F7" s="535">
        <f>IFERROR(IF('Invullen groen'!H19&lt;&gt;0,'Invullen groen'!H19,""),"")</f>
        <v/>
      </c>
      <c r="G7" s="535">
        <f>IFERROR(IF('Invullen groen'!I19&lt;&gt;0,'Invullen groen'!I19,""),"")</f>
        <v/>
      </c>
      <c r="H7" s="535">
        <f>IFERROR(IF('Invullen groen'!J19&lt;&gt;0,'Invullen groen'!J19,""),"")</f>
        <v/>
      </c>
      <c r="I7" s="535">
        <f>IFERROR(IF('Invullen groen'!K19&lt;&gt;0,'Invullen groen'!K19,""),"")</f>
        <v/>
      </c>
    </row>
    <row r="8" ht="15" customHeight="1">
      <c r="A8" s="536">
        <f>IFERROR(IF('Invullen groen'!E20&gt;0,4,""),"")</f>
        <v/>
      </c>
      <c r="B8" s="536">
        <f>IFERROR(IF('Invullen groen'!E20&gt;0,'Invullen groen'!A20,""),"")</f>
        <v/>
      </c>
      <c r="C8" s="536">
        <f>IFERROR(IF('Invullen groen'!E20&gt;0,'Invullen groen'!C20,""),"")</f>
        <v/>
      </c>
      <c r="D8" s="536">
        <f>IFERROR(IF('Invullen groen'!E20&gt;0,'Invullen groen'!D20,""),"")</f>
        <v/>
      </c>
      <c r="E8" s="536">
        <f>IFERROR(IF('Invullen groen'!E20&gt;0,'Invullen groen'!G20,""),"")</f>
        <v/>
      </c>
      <c r="F8" s="537">
        <f>IFERROR(IF('Invullen groen'!H20&lt;&gt;0,'Invullen groen'!H20,""),"")</f>
        <v/>
      </c>
      <c r="G8" s="537">
        <f>IFERROR(IF('Invullen groen'!I20&lt;&gt;0,'Invullen groen'!I20,""),"")</f>
        <v/>
      </c>
      <c r="H8" s="537">
        <f>IFERROR(IF('Invullen groen'!J20&lt;&gt;0,'Invullen groen'!J20,""),"")</f>
        <v/>
      </c>
      <c r="I8" s="537">
        <f>IFERROR(IF('Invullen groen'!K20&lt;&gt;0,'Invullen groen'!K20,""),"")</f>
        <v/>
      </c>
    </row>
    <row r="9" ht="15" customHeight="1">
      <c r="A9" s="534">
        <f>IFERROR(IF('Invullen groen'!E21&gt;0,5,""),"")</f>
        <v/>
      </c>
      <c r="B9" s="534">
        <f>IFERROR(IF('Invullen groen'!E21&gt;0,'Invullen groen'!A21,""),"")</f>
        <v/>
      </c>
      <c r="C9" s="534">
        <f>IFERROR(IF('Invullen groen'!E21&gt;0,'Invullen groen'!C21,""),"")</f>
        <v/>
      </c>
      <c r="D9" s="534">
        <f>IFERROR(IF('Invullen groen'!E21&gt;0,'Invullen groen'!D21,""),"")</f>
        <v/>
      </c>
      <c r="E9" s="534">
        <f>IFERROR(IF('Invullen groen'!E21&gt;0,'Invullen groen'!G21,""),"")</f>
        <v/>
      </c>
      <c r="F9" s="535">
        <f>IFERROR(IF('Invullen groen'!H21&lt;&gt;0,'Invullen groen'!H21,""),"")</f>
        <v/>
      </c>
      <c r="G9" s="535">
        <f>IFERROR(IF('Invullen groen'!I21&lt;&gt;0,'Invullen groen'!I21,""),"")</f>
        <v/>
      </c>
      <c r="H9" s="535">
        <f>IFERROR(IF('Invullen groen'!J21&lt;&gt;0,'Invullen groen'!J21,""),"")</f>
        <v/>
      </c>
      <c r="I9" s="535">
        <f>IFERROR(IF('Invullen groen'!K21&lt;&gt;0,'Invullen groen'!K21,""),"")</f>
        <v/>
      </c>
    </row>
    <row r="10" ht="15" customHeight="1">
      <c r="A10" s="536">
        <f>IFERROR(IF('Invullen groen'!E22&gt;0,6,""),"")</f>
        <v/>
      </c>
      <c r="B10" s="536">
        <f>IFERROR(IF('Invullen groen'!E22&gt;0,'Invullen groen'!A22,""),"")</f>
        <v/>
      </c>
      <c r="C10" s="536">
        <f>IFERROR(IF('Invullen groen'!E22&gt;0,'Invullen groen'!C22,""),"")</f>
        <v/>
      </c>
      <c r="D10" s="536">
        <f>IFERROR(IF('Invullen groen'!E22&gt;0,'Invullen groen'!D22,""),"")</f>
        <v/>
      </c>
      <c r="E10" s="536">
        <f>IFERROR(IF('Invullen groen'!E22&gt;0,'Invullen groen'!G22,""),"")</f>
        <v/>
      </c>
      <c r="F10" s="537">
        <f>IFERROR(IF('Invullen groen'!H22&lt;&gt;0,'Invullen groen'!H22,""),"")</f>
        <v/>
      </c>
      <c r="G10" s="537">
        <f>IFERROR(IF('Invullen groen'!I22&lt;&gt;0,'Invullen groen'!I22,""),"")</f>
        <v/>
      </c>
      <c r="H10" s="537">
        <f>IFERROR(IF('Invullen groen'!J22&lt;&gt;0,'Invullen groen'!J22,""),"")</f>
        <v/>
      </c>
      <c r="I10" s="537">
        <f>IFERROR(IF('Invullen groen'!K22&lt;&gt;0,'Invullen groen'!K22,""),"")</f>
        <v/>
      </c>
    </row>
    <row r="11" ht="15" customHeight="1">
      <c r="A11" s="534">
        <f>IFERROR(IF('Invullen groen'!E23&gt;0,7,""),"")</f>
        <v/>
      </c>
      <c r="B11" s="534">
        <f>IFERROR(IF('Invullen groen'!E23&gt;0,'Invullen groen'!A23,""),"")</f>
        <v/>
      </c>
      <c r="C11" s="534">
        <f>IFERROR(IF('Invullen groen'!E23&gt;0,'Invullen groen'!C23,""),"")</f>
        <v/>
      </c>
      <c r="D11" s="534">
        <f>IFERROR(IF('Invullen groen'!E23&gt;0,'Invullen groen'!D23,""),"")</f>
        <v/>
      </c>
      <c r="E11" s="534">
        <f>IFERROR(IF('Invullen groen'!E23&gt;0,'Invullen groen'!G23,""),"")</f>
        <v/>
      </c>
      <c r="F11" s="535">
        <f>IFERROR(IF('Invullen groen'!H23&lt;&gt;0,'Invullen groen'!H23,""),"")</f>
        <v/>
      </c>
      <c r="G11" s="535">
        <f>IFERROR(IF('Invullen groen'!I23&lt;&gt;0,'Invullen groen'!I23,""),"")</f>
        <v/>
      </c>
      <c r="H11" s="535">
        <f>IFERROR(IF('Invullen groen'!J23&lt;&gt;0,'Invullen groen'!J23,""),"")</f>
        <v/>
      </c>
      <c r="I11" s="535">
        <f>IFERROR(IF('Invullen groen'!K23&lt;&gt;0,'Invullen groen'!K23,""),"")</f>
        <v/>
      </c>
    </row>
    <row r="12" ht="15" customHeight="1">
      <c r="A12" s="536">
        <f>IFERROR(IF('Invullen groen'!E24&gt;0,8,""),"")</f>
        <v/>
      </c>
      <c r="B12" s="536">
        <f>IFERROR(IF('Invullen groen'!E24&gt;0,'Invullen groen'!A24,""),"")</f>
        <v/>
      </c>
      <c r="C12" s="536">
        <f>IFERROR(IF('Invullen groen'!E24&gt;0,'Invullen groen'!C24,""),"")</f>
        <v/>
      </c>
      <c r="D12" s="536">
        <f>IFERROR(IF('Invullen groen'!E24&gt;0,'Invullen groen'!D24,""),"")</f>
        <v/>
      </c>
      <c r="E12" s="536">
        <f>IFERROR(IF('Invullen groen'!E24&gt;0,'Invullen groen'!G24,""),"")</f>
        <v/>
      </c>
      <c r="F12" s="537">
        <f>IFERROR(IF('Invullen groen'!H24&lt;&gt;0,'Invullen groen'!H24,""),"")</f>
        <v/>
      </c>
      <c r="G12" s="537">
        <f>IFERROR(IF('Invullen groen'!I24&lt;&gt;0,'Invullen groen'!I24,""),"")</f>
        <v/>
      </c>
      <c r="H12" s="537">
        <f>IFERROR(IF('Invullen groen'!J24&lt;&gt;0,'Invullen groen'!J24,""),"")</f>
        <v/>
      </c>
      <c r="I12" s="537">
        <f>IFERROR(IF('Invullen groen'!K24&lt;&gt;0,'Invullen groen'!K24,""),"")</f>
        <v/>
      </c>
    </row>
    <row r="13" ht="15" customHeight="1">
      <c r="A13" s="534">
        <f>IFERROR(IF('Invullen groen'!E25&gt;0,9,""),"")</f>
        <v/>
      </c>
      <c r="B13" s="534">
        <f>IFERROR(IF('Invullen groen'!E25&gt;0,'Invullen groen'!A25,""),"")</f>
        <v/>
      </c>
      <c r="C13" s="534">
        <f>IFERROR(IF('Invullen groen'!E25&gt;0,'Invullen groen'!C25,""),"")</f>
        <v/>
      </c>
      <c r="D13" s="534">
        <f>IFERROR(IF('Invullen groen'!E25&gt;0,'Invullen groen'!D25,""),"")</f>
        <v/>
      </c>
      <c r="E13" s="534">
        <f>IFERROR(IF('Invullen groen'!E25&gt;0,'Invullen groen'!G25,""),"")</f>
        <v/>
      </c>
      <c r="F13" s="535">
        <f>IFERROR(IF('Invullen groen'!H25&lt;&gt;0,'Invullen groen'!H25,""),"")</f>
        <v/>
      </c>
      <c r="G13" s="535">
        <f>IFERROR(IF('Invullen groen'!I25&lt;&gt;0,'Invullen groen'!I25,""),"")</f>
        <v/>
      </c>
      <c r="H13" s="535">
        <f>IFERROR(IF('Invullen groen'!J25&lt;&gt;0,'Invullen groen'!J25,""),"")</f>
        <v/>
      </c>
      <c r="I13" s="535">
        <f>IFERROR(IF('Invullen groen'!K25&lt;&gt;0,'Invullen groen'!K25,""),"")</f>
        <v/>
      </c>
    </row>
    <row r="14" ht="15" customHeight="1">
      <c r="A14" s="536">
        <f>IFERROR(IF('Invullen groen'!E26&gt;0,10,""),"")</f>
        <v/>
      </c>
      <c r="B14" s="536">
        <f>IFERROR(IF('Invullen groen'!E26&gt;0,'Invullen groen'!A26,""),"")</f>
        <v/>
      </c>
      <c r="C14" s="536">
        <f>IFERROR(IF('Invullen groen'!E26&gt;0,'Invullen groen'!C26,""),"")</f>
        <v/>
      </c>
      <c r="D14" s="536">
        <f>IFERROR(IF('Invullen groen'!E26&gt;0,'Invullen groen'!D26,""),"")</f>
        <v/>
      </c>
      <c r="E14" s="536">
        <f>IFERROR(IF('Invullen groen'!E26&gt;0,'Invullen groen'!G26,""),"")</f>
        <v/>
      </c>
      <c r="F14" s="537">
        <f>IFERROR(IF('Invullen groen'!H26&lt;&gt;0,'Invullen groen'!H26,""),"")</f>
        <v/>
      </c>
      <c r="G14" s="537">
        <f>IFERROR(IF('Invullen groen'!I26&lt;&gt;0,'Invullen groen'!I26,""),"")</f>
        <v/>
      </c>
      <c r="H14" s="537">
        <f>IFERROR(IF('Invullen groen'!J26&lt;&gt;0,'Invullen groen'!J26,""),"")</f>
        <v/>
      </c>
      <c r="I14" s="537">
        <f>IFERROR(IF('Invullen groen'!K26&lt;&gt;0,'Invullen groen'!K26,""),"")</f>
        <v/>
      </c>
    </row>
    <row r="15" ht="15" customHeight="1">
      <c r="A15" s="534">
        <f>IFERROR(IF('Invullen groen'!E27&gt;0,11,""),"")</f>
        <v/>
      </c>
      <c r="B15" s="534">
        <f>IFERROR(IF('Invullen groen'!E27&gt;0,'Invullen groen'!A27,""),"")</f>
        <v/>
      </c>
      <c r="C15" s="534">
        <f>IFERROR(IF('Invullen groen'!E27&gt;0,'Invullen groen'!C27,""),"")</f>
        <v/>
      </c>
      <c r="D15" s="534">
        <f>IFERROR(IF('Invullen groen'!E27&gt;0,'Invullen groen'!D27,""),"")</f>
        <v/>
      </c>
      <c r="E15" s="534">
        <f>IFERROR(IF('Invullen groen'!E27&gt;0,'Invullen groen'!G27,""),"")</f>
        <v/>
      </c>
      <c r="F15" s="535">
        <f>IFERROR(IF('Invullen groen'!H27&lt;&gt;0,'Invullen groen'!H27,""),"")</f>
        <v/>
      </c>
      <c r="G15" s="535">
        <f>IFERROR(IF('Invullen groen'!I27&lt;&gt;0,'Invullen groen'!I27,""),"")</f>
        <v/>
      </c>
      <c r="H15" s="535">
        <f>IFERROR(IF('Invullen groen'!J27&lt;&gt;0,'Invullen groen'!J27,""),"")</f>
        <v/>
      </c>
      <c r="I15" s="535">
        <f>IFERROR(IF('Invullen groen'!K27&lt;&gt;0,'Invullen groen'!K27,""),"")</f>
        <v/>
      </c>
    </row>
    <row r="16" ht="15" customHeight="1">
      <c r="A16" s="536">
        <f>IFERROR(IF('Invullen groen'!E28&gt;0,12,""),"")</f>
        <v/>
      </c>
      <c r="B16" s="536">
        <f>IFERROR(IF('Invullen groen'!E28&gt;0,'Invullen groen'!A28,""),"")</f>
        <v/>
      </c>
      <c r="C16" s="536">
        <f>IFERROR(IF('Invullen groen'!E28&gt;0,'Invullen groen'!C28,""),"")</f>
        <v/>
      </c>
      <c r="D16" s="536">
        <f>IFERROR(IF('Invullen groen'!E28&gt;0,'Invullen groen'!D28,""),"")</f>
        <v/>
      </c>
      <c r="E16" s="536">
        <f>IFERROR(IF('Invullen groen'!E28&gt;0,'Invullen groen'!G28,""),"")</f>
        <v/>
      </c>
      <c r="F16" s="537">
        <f>IFERROR(IF('Invullen groen'!H28&lt;&gt;0,'Invullen groen'!H28,""),"")</f>
        <v/>
      </c>
      <c r="G16" s="537">
        <f>IFERROR(IF('Invullen groen'!I28&lt;&gt;0,'Invullen groen'!I28,""),"")</f>
        <v/>
      </c>
      <c r="H16" s="537">
        <f>IFERROR(IF('Invullen groen'!J28&lt;&gt;0,'Invullen groen'!J28,""),"")</f>
        <v/>
      </c>
      <c r="I16" s="537">
        <f>IFERROR(IF('Invullen groen'!K28&lt;&gt;0,'Invullen groen'!K28,""),"")</f>
        <v/>
      </c>
    </row>
    <row r="17" ht="15" customHeight="1">
      <c r="A17" s="534">
        <f>IFERROR(IF('Invullen groen'!E29&gt;0,13,""),"")</f>
        <v/>
      </c>
      <c r="B17" s="534">
        <f>IFERROR(IF('Invullen groen'!E29&gt;0,'Invullen groen'!A29,""),"")</f>
        <v/>
      </c>
      <c r="C17" s="534">
        <f>IFERROR(IF('Invullen groen'!E29&gt;0,'Invullen groen'!C29,""),"")</f>
        <v/>
      </c>
      <c r="D17" s="534">
        <f>IFERROR(IF('Invullen groen'!E29&gt;0,'Invullen groen'!D29,""),"")</f>
        <v/>
      </c>
      <c r="E17" s="534">
        <f>IFERROR(IF('Invullen groen'!E29&gt;0,'Invullen groen'!G29,""),"")</f>
        <v/>
      </c>
      <c r="F17" s="535">
        <f>IFERROR(IF('Invullen groen'!H29&lt;&gt;0,'Invullen groen'!H29,""),"")</f>
        <v/>
      </c>
      <c r="G17" s="535">
        <f>IFERROR(IF('Invullen groen'!I29&lt;&gt;0,'Invullen groen'!I29,""),"")</f>
        <v/>
      </c>
      <c r="H17" s="535">
        <f>IFERROR(IF('Invullen groen'!J29&lt;&gt;0,'Invullen groen'!J29,""),"")</f>
        <v/>
      </c>
      <c r="I17" s="535">
        <f>IFERROR(IF('Invullen groen'!K29&lt;&gt;0,'Invullen groen'!K29,""),"")</f>
        <v/>
      </c>
    </row>
    <row r="18" ht="15" customHeight="1">
      <c r="A18" s="536">
        <f>IFERROR(IF('Invullen groen'!E30&gt;0,14,""),"")</f>
        <v/>
      </c>
      <c r="B18" s="536">
        <f>IFERROR(IF('Invullen groen'!E30&gt;0,'Invullen groen'!A30,""),"")</f>
        <v/>
      </c>
      <c r="C18" s="536">
        <f>IFERROR(IF('Invullen groen'!E30&gt;0,'Invullen groen'!C30,""),"")</f>
        <v/>
      </c>
      <c r="D18" s="536">
        <f>IFERROR(IF('Invullen groen'!E30&gt;0,'Invullen groen'!D30,""),"")</f>
        <v/>
      </c>
      <c r="E18" s="536">
        <f>IFERROR(IF('Invullen groen'!E30&gt;0,'Invullen groen'!G30,""),"")</f>
        <v/>
      </c>
      <c r="F18" s="537">
        <f>IFERROR(IF('Invullen groen'!H30&lt;&gt;0,'Invullen groen'!H30,""),"")</f>
        <v/>
      </c>
      <c r="G18" s="537">
        <f>IFERROR(IF('Invullen groen'!I30&lt;&gt;0,'Invullen groen'!I30,""),"")</f>
        <v/>
      </c>
      <c r="H18" s="537">
        <f>IFERROR(IF('Invullen groen'!J30&lt;&gt;0,'Invullen groen'!J30,""),"")</f>
        <v/>
      </c>
      <c r="I18" s="537">
        <f>IFERROR(IF('Invullen groen'!K30&lt;&gt;0,'Invullen groen'!K30,""),"")</f>
        <v/>
      </c>
    </row>
    <row r="19" ht="15" customHeight="1">
      <c r="A19" s="534">
        <f>IFERROR(IF('Invullen groen'!E31&gt;0,15,""),"")</f>
        <v/>
      </c>
      <c r="B19" s="534">
        <f>IFERROR(IF('Invullen groen'!E31&gt;0,'Invullen groen'!A31,""),"")</f>
        <v/>
      </c>
      <c r="C19" s="534">
        <f>IFERROR(IF('Invullen groen'!E31&gt;0,'Invullen groen'!C31,""),"")</f>
        <v/>
      </c>
      <c r="D19" s="534">
        <f>IFERROR(IF('Invullen groen'!E31&gt;0,'Invullen groen'!D31,""),"")</f>
        <v/>
      </c>
      <c r="E19" s="534">
        <f>IFERROR(IF('Invullen groen'!E31&gt;0,'Invullen groen'!G31,""),"")</f>
        <v/>
      </c>
      <c r="F19" s="535">
        <f>IFERROR(IF('Invullen groen'!H31&lt;&gt;0,'Invullen groen'!H31,""),"")</f>
        <v/>
      </c>
      <c r="G19" s="535">
        <f>IFERROR(IF('Invullen groen'!I31&lt;&gt;0,'Invullen groen'!I31,""),"")</f>
        <v/>
      </c>
      <c r="H19" s="535">
        <f>IFERROR(IF('Invullen groen'!J31&lt;&gt;0,'Invullen groen'!J31,""),"")</f>
        <v/>
      </c>
      <c r="I19" s="535">
        <f>IFERROR(IF('Invullen groen'!K31&lt;&gt;0,'Invullen groen'!K31,""),"")</f>
        <v/>
      </c>
    </row>
    <row r="20" ht="15" customHeight="1">
      <c r="A20" s="536">
        <f>IFERROR(IF('Invullen groen'!E32&gt;0,16,""),"")</f>
        <v/>
      </c>
      <c r="B20" s="536">
        <f>IFERROR(IF('Invullen groen'!E32&gt;0,'Invullen groen'!A32,""),"")</f>
        <v/>
      </c>
      <c r="C20" s="536">
        <f>IFERROR(IF('Invullen groen'!E32&gt;0,'Invullen groen'!C32,""),"")</f>
        <v/>
      </c>
      <c r="D20" s="536">
        <f>IFERROR(IF('Invullen groen'!E32&gt;0,'Invullen groen'!D32,""),"")</f>
        <v/>
      </c>
      <c r="E20" s="536">
        <f>IFERROR(IF('Invullen groen'!E32&gt;0,'Invullen groen'!G32,""),"")</f>
        <v/>
      </c>
      <c r="F20" s="537">
        <f>IFERROR(IF('Invullen groen'!H32&lt;&gt;0,'Invullen groen'!H32,""),"")</f>
        <v/>
      </c>
      <c r="G20" s="537">
        <f>IFERROR(IF('Invullen groen'!I32&lt;&gt;0,'Invullen groen'!I32,""),"")</f>
        <v/>
      </c>
      <c r="H20" s="537">
        <f>IFERROR(IF('Invullen groen'!J32&lt;&gt;0,'Invullen groen'!J32,""),"")</f>
        <v/>
      </c>
      <c r="I20" s="537">
        <f>IFERROR(IF('Invullen groen'!K32&lt;&gt;0,'Invullen groen'!K32,""),"")</f>
        <v/>
      </c>
    </row>
    <row r="21" ht="15" customHeight="1">
      <c r="A21" s="534">
        <f>IFERROR(IF('Invullen groen'!E33&gt;0,17,""),"")</f>
        <v/>
      </c>
      <c r="B21" s="534">
        <f>IFERROR(IF('Invullen groen'!E33&gt;0,'Invullen groen'!A33,""),"")</f>
        <v/>
      </c>
      <c r="C21" s="534">
        <f>IFERROR(IF('Invullen groen'!E33&gt;0,'Invullen groen'!C33,""),"")</f>
        <v/>
      </c>
      <c r="D21" s="534">
        <f>IFERROR(IF('Invullen groen'!E33&gt;0,'Invullen groen'!D33,""),"")</f>
        <v/>
      </c>
      <c r="E21" s="534">
        <f>IFERROR(IF('Invullen groen'!E33&gt;0,'Invullen groen'!G33,""),"")</f>
        <v/>
      </c>
      <c r="F21" s="535">
        <f>IFERROR(IF('Invullen groen'!H33&lt;&gt;0,'Invullen groen'!H33,""),"")</f>
        <v/>
      </c>
      <c r="G21" s="535">
        <f>IFERROR(IF('Invullen groen'!I33&lt;&gt;0,'Invullen groen'!I33,""),"")</f>
        <v/>
      </c>
      <c r="H21" s="535">
        <f>IFERROR(IF('Invullen groen'!J33&lt;&gt;0,'Invullen groen'!J33,""),"")</f>
        <v/>
      </c>
      <c r="I21" s="535">
        <f>IFERROR(IF('Invullen groen'!K33&lt;&gt;0,'Invullen groen'!K33,""),"")</f>
        <v/>
      </c>
    </row>
    <row r="22" ht="15" customHeight="1">
      <c r="A22" s="536">
        <f>IFERROR(IF('Invullen groen'!E34&gt;0,18,""),"")</f>
        <v/>
      </c>
      <c r="B22" s="536">
        <f>IFERROR(IF('Invullen groen'!E34&gt;0,'Invullen groen'!A34,""),"")</f>
        <v/>
      </c>
      <c r="C22" s="536">
        <f>IFERROR(IF('Invullen groen'!E34&gt;0,'Invullen groen'!C34,""),"")</f>
        <v/>
      </c>
      <c r="D22" s="536">
        <f>IFERROR(IF('Invullen groen'!E34&gt;0,'Invullen groen'!D34,""),"")</f>
        <v/>
      </c>
      <c r="E22" s="536">
        <f>IFERROR(IF('Invullen groen'!E34&gt;0,'Invullen groen'!G34,""),"")</f>
        <v/>
      </c>
      <c r="F22" s="537">
        <f>IFERROR(IF('Invullen groen'!H34&lt;&gt;0,'Invullen groen'!H34,""),"")</f>
        <v/>
      </c>
      <c r="G22" s="537">
        <f>IFERROR(IF('Invullen groen'!I34&lt;&gt;0,'Invullen groen'!I34,""),"")</f>
        <v/>
      </c>
      <c r="H22" s="537">
        <f>IFERROR(IF('Invullen groen'!J34&lt;&gt;0,'Invullen groen'!J34,""),"")</f>
        <v/>
      </c>
      <c r="I22" s="537">
        <f>IFERROR(IF('Invullen groen'!K34&lt;&gt;0,'Invullen groen'!K34,""),"")</f>
        <v/>
      </c>
    </row>
    <row r="23" ht="15" customHeight="1">
      <c r="A23" s="534">
        <f>IFERROR(IF('Invullen groen'!E35&gt;0,19,""),"")</f>
        <v/>
      </c>
      <c r="B23" s="534">
        <f>IFERROR(IF('Invullen groen'!E35&gt;0,'Invullen groen'!A35,""),"")</f>
        <v/>
      </c>
      <c r="C23" s="534">
        <f>IFERROR(IF('Invullen groen'!E35&gt;0,'Invullen groen'!C35,""),"")</f>
        <v/>
      </c>
      <c r="D23" s="534">
        <f>IFERROR(IF('Invullen groen'!E35&gt;0,'Invullen groen'!D35,""),"")</f>
        <v/>
      </c>
      <c r="E23" s="534">
        <f>IFERROR(IF('Invullen groen'!E35&gt;0,'Invullen groen'!G35,""),"")</f>
        <v/>
      </c>
      <c r="F23" s="535">
        <f>IFERROR(IF('Invullen groen'!H35&lt;&gt;0,'Invullen groen'!H35,""),"")</f>
        <v/>
      </c>
      <c r="G23" s="535">
        <f>IFERROR(IF('Invullen groen'!I35&lt;&gt;0,'Invullen groen'!I35,""),"")</f>
        <v/>
      </c>
      <c r="H23" s="535">
        <f>IFERROR(IF('Invullen groen'!J35&lt;&gt;0,'Invullen groen'!J35,""),"")</f>
        <v/>
      </c>
      <c r="I23" s="535">
        <f>IFERROR(IF('Invullen groen'!K35&lt;&gt;0,'Invullen groen'!K35,""),"")</f>
        <v/>
      </c>
    </row>
    <row r="24" ht="15" customHeight="1">
      <c r="A24" s="536">
        <f>IFERROR(IF('Invullen groen'!E36&gt;0,20,""),"")</f>
        <v/>
      </c>
      <c r="B24" s="536">
        <f>IFERROR(IF('Invullen groen'!E36&gt;0,'Invullen groen'!A36,""),"")</f>
        <v/>
      </c>
      <c r="C24" s="536">
        <f>IFERROR(IF('Invullen groen'!E36&gt;0,'Invullen groen'!C36,""),"")</f>
        <v/>
      </c>
      <c r="D24" s="536">
        <f>IFERROR(IF('Invullen groen'!E36&gt;0,'Invullen groen'!D36,""),"")</f>
        <v/>
      </c>
      <c r="E24" s="536">
        <f>IFERROR(IF('Invullen groen'!E36&gt;0,'Invullen groen'!G36,""),"")</f>
        <v/>
      </c>
      <c r="F24" s="537">
        <f>IFERROR(IF('Invullen groen'!H36&lt;&gt;0,'Invullen groen'!H36,""),"")</f>
        <v/>
      </c>
      <c r="G24" s="537">
        <f>IFERROR(IF('Invullen groen'!I36&lt;&gt;0,'Invullen groen'!I36,""),"")</f>
        <v/>
      </c>
      <c r="H24" s="537">
        <f>IFERROR(IF('Invullen groen'!J36&lt;&gt;0,'Invullen groen'!J36,""),"")</f>
        <v/>
      </c>
      <c r="I24" s="537">
        <f>IFERROR(IF('Invullen groen'!K36&lt;&gt;0,'Invullen groen'!K36,""),"")</f>
        <v/>
      </c>
    </row>
    <row r="25" ht="15" customHeight="1">
      <c r="A25" s="534">
        <f>IFERROR(IF('Invullen groen'!E37&gt;0,21,""),"")</f>
        <v/>
      </c>
      <c r="B25" s="534">
        <f>IFERROR(IF('Invullen groen'!E37&gt;0,'Invullen groen'!A37,""),"")</f>
        <v/>
      </c>
      <c r="C25" s="534">
        <f>IFERROR(IF('Invullen groen'!E37&gt;0,'Invullen groen'!C37,""),"")</f>
        <v/>
      </c>
      <c r="D25" s="534">
        <f>IFERROR(IF('Invullen groen'!E37&gt;0,'Invullen groen'!D37,""),"")</f>
        <v/>
      </c>
      <c r="E25" s="534">
        <f>IFERROR(IF('Invullen groen'!E37&gt;0,'Invullen groen'!G37,""),"")</f>
        <v/>
      </c>
      <c r="F25" s="535">
        <f>IFERROR(IF('Invullen groen'!H37&lt;&gt;0,'Invullen groen'!H37,""),"")</f>
        <v/>
      </c>
      <c r="G25" s="535">
        <f>IFERROR(IF('Invullen groen'!I37&lt;&gt;0,'Invullen groen'!I37,""),"")</f>
        <v/>
      </c>
      <c r="H25" s="535">
        <f>IFERROR(IF('Invullen groen'!J37&lt;&gt;0,'Invullen groen'!J37,""),"")</f>
        <v/>
      </c>
      <c r="I25" s="535">
        <f>IFERROR(IF('Invullen groen'!K37&lt;&gt;0,'Invullen groen'!K37,""),"")</f>
        <v/>
      </c>
    </row>
    <row r="26" ht="15" customHeight="1">
      <c r="A26" s="536">
        <f>IFERROR(IF('Invullen groen'!E38&gt;0,22,""),"")</f>
        <v/>
      </c>
      <c r="B26" s="536">
        <f>IFERROR(IF('Invullen groen'!E38&gt;0,'Invullen groen'!A38,""),"")</f>
        <v/>
      </c>
      <c r="C26" s="536">
        <f>IFERROR(IF('Invullen groen'!E38&gt;0,'Invullen groen'!C38,""),"")</f>
        <v/>
      </c>
      <c r="D26" s="536">
        <f>IFERROR(IF('Invullen groen'!E38&gt;0,'Invullen groen'!D38,""),"")</f>
        <v/>
      </c>
      <c r="E26" s="536">
        <f>IFERROR(IF('Invullen groen'!E38&gt;0,'Invullen groen'!G38,""),"")</f>
        <v/>
      </c>
      <c r="F26" s="537">
        <f>IFERROR(IF('Invullen groen'!H38&lt;&gt;0,'Invullen groen'!H38,""),"")</f>
        <v/>
      </c>
      <c r="G26" s="537">
        <f>IFERROR(IF('Invullen groen'!I38&lt;&gt;0,'Invullen groen'!I38,""),"")</f>
        <v/>
      </c>
      <c r="H26" s="537">
        <f>IFERROR(IF('Invullen groen'!J38&lt;&gt;0,'Invullen groen'!J38,""),"")</f>
        <v/>
      </c>
      <c r="I26" s="537">
        <f>IFERROR(IF('Invullen groen'!K38&lt;&gt;0,'Invullen groen'!K38,""),"")</f>
        <v/>
      </c>
    </row>
    <row r="27" ht="15" customHeight="1">
      <c r="A27" s="534">
        <f>IFERROR(IF('Invullen groen'!E39&gt;0,23,""),"")</f>
        <v/>
      </c>
      <c r="B27" s="534">
        <f>IFERROR(IF('Invullen groen'!E39&gt;0,'Invullen groen'!A39,""),"")</f>
        <v/>
      </c>
      <c r="C27" s="534">
        <f>IFERROR(IF('Invullen groen'!E39&gt;0,'Invullen groen'!C39,""),"")</f>
        <v/>
      </c>
      <c r="D27" s="534">
        <f>IFERROR(IF('Invullen groen'!E39&gt;0,'Invullen groen'!D39,""),"")</f>
        <v/>
      </c>
      <c r="E27" s="534">
        <f>IFERROR(IF('Invullen groen'!E39&gt;0,'Invullen groen'!G39,""),"")</f>
        <v/>
      </c>
      <c r="F27" s="535">
        <f>IFERROR(IF('Invullen groen'!H39&lt;&gt;0,'Invullen groen'!H39,""),"")</f>
        <v/>
      </c>
      <c r="G27" s="535">
        <f>IFERROR(IF('Invullen groen'!I39&lt;&gt;0,'Invullen groen'!I39,""),"")</f>
        <v/>
      </c>
      <c r="H27" s="535">
        <f>IFERROR(IF('Invullen groen'!J39&lt;&gt;0,'Invullen groen'!J39,""),"")</f>
        <v/>
      </c>
      <c r="I27" s="535">
        <f>IFERROR(IF('Invullen groen'!K39&lt;&gt;0,'Invullen groen'!K39,""),"")</f>
        <v/>
      </c>
    </row>
    <row r="28" ht="15" customHeight="1">
      <c r="A28" s="536">
        <f>IFERROR(IF('Invullen groen'!E40&gt;0,24,""),"")</f>
        <v/>
      </c>
      <c r="B28" s="536">
        <f>IFERROR(IF('Invullen groen'!E40&gt;0,'Invullen groen'!A40,""),"")</f>
        <v/>
      </c>
      <c r="C28" s="536">
        <f>IFERROR(IF('Invullen groen'!E40&gt;0,'Invullen groen'!C40,""),"")</f>
        <v/>
      </c>
      <c r="D28" s="536">
        <f>IFERROR(IF('Invullen groen'!E40&gt;0,'Invullen groen'!D40,""),"")</f>
        <v/>
      </c>
      <c r="E28" s="536">
        <f>IFERROR(IF('Invullen groen'!E40&gt;0,'Invullen groen'!G40,""),"")</f>
        <v/>
      </c>
      <c r="F28" s="537">
        <f>IFERROR(IF('Invullen groen'!H40&lt;&gt;0,'Invullen groen'!H40,""),"")</f>
        <v/>
      </c>
      <c r="G28" s="537">
        <f>IFERROR(IF('Invullen groen'!I40&lt;&gt;0,'Invullen groen'!I40,""),"")</f>
        <v/>
      </c>
      <c r="H28" s="537">
        <f>IFERROR(IF('Invullen groen'!J40&lt;&gt;0,'Invullen groen'!J40,""),"")</f>
        <v/>
      </c>
      <c r="I28" s="537">
        <f>IFERROR(IF('Invullen groen'!K40&lt;&gt;0,'Invullen groen'!K40,""),"")</f>
        <v/>
      </c>
    </row>
    <row r="29" ht="15" customHeight="1">
      <c r="A29" s="534">
        <f>IFERROR(IF('Invullen groen'!E41&gt;0,25,""),"")</f>
        <v/>
      </c>
      <c r="B29" s="534">
        <f>IFERROR(IF('Invullen groen'!E41&gt;0,'Invullen groen'!A41,""),"")</f>
        <v/>
      </c>
      <c r="C29" s="534">
        <f>IFERROR(IF('Invullen groen'!E41&gt;0,'Invullen groen'!C41,""),"")</f>
        <v/>
      </c>
      <c r="D29" s="534">
        <f>IFERROR(IF('Invullen groen'!E41&gt;0,'Invullen groen'!D41,""),"")</f>
        <v/>
      </c>
      <c r="E29" s="534">
        <f>IFERROR(IF('Invullen groen'!E41&gt;0,'Invullen groen'!G41,""),"")</f>
        <v/>
      </c>
      <c r="F29" s="535">
        <f>IFERROR(IF('Invullen groen'!H41&lt;&gt;0,'Invullen groen'!H41,""),"")</f>
        <v/>
      </c>
      <c r="G29" s="535">
        <f>IFERROR(IF('Invullen groen'!I41&lt;&gt;0,'Invullen groen'!I41,""),"")</f>
        <v/>
      </c>
      <c r="H29" s="535">
        <f>IFERROR(IF('Invullen groen'!J41&lt;&gt;0,'Invullen groen'!J41,""),"")</f>
        <v/>
      </c>
      <c r="I29" s="535">
        <f>IFERROR(IF('Invullen groen'!K41&lt;&gt;0,'Invullen groen'!K41,""),"")</f>
        <v/>
      </c>
    </row>
    <row r="30" ht="15" customHeight="1">
      <c r="A30" s="536">
        <f>IFERROR(IF('Invullen groen'!E42&gt;0,26,""),"")</f>
        <v/>
      </c>
      <c r="B30" s="536">
        <f>IFERROR(IF('Invullen groen'!E42&gt;0,'Invullen groen'!A42,""),"")</f>
        <v/>
      </c>
      <c r="C30" s="536">
        <f>IFERROR(IF('Invullen groen'!E42&gt;0,'Invullen groen'!C42,""),"")</f>
        <v/>
      </c>
      <c r="D30" s="536">
        <f>IFERROR(IF('Invullen groen'!E42&gt;0,'Invullen groen'!D42,""),"")</f>
        <v/>
      </c>
      <c r="E30" s="536">
        <f>IFERROR(IF('Invullen groen'!E42&gt;0,'Invullen groen'!G42,""),"")</f>
        <v/>
      </c>
      <c r="F30" s="537">
        <f>IFERROR(IF('Invullen groen'!H42&lt;&gt;0,'Invullen groen'!H42,""),"")</f>
        <v/>
      </c>
      <c r="G30" s="537">
        <f>IFERROR(IF('Invullen groen'!I42&lt;&gt;0,'Invullen groen'!I42,""),"")</f>
        <v/>
      </c>
      <c r="H30" s="537">
        <f>IFERROR(IF('Invullen groen'!J42&lt;&gt;0,'Invullen groen'!J42,""),"")</f>
        <v/>
      </c>
      <c r="I30" s="537">
        <f>IFERROR(IF('Invullen groen'!K42&lt;&gt;0,'Invullen groen'!K42,""),"")</f>
        <v/>
      </c>
    </row>
    <row r="31" ht="15" customHeight="1">
      <c r="A31" s="534">
        <f>IFERROR(IF('Invullen groen'!E43&gt;0,27,""),"")</f>
        <v/>
      </c>
      <c r="B31" s="534">
        <f>IFERROR(IF('Invullen groen'!E43&gt;0,'Invullen groen'!A43,""),"")</f>
        <v/>
      </c>
      <c r="C31" s="534">
        <f>IFERROR(IF('Invullen groen'!E43&gt;0,'Invullen groen'!C43,""),"")</f>
        <v/>
      </c>
      <c r="D31" s="534">
        <f>IFERROR(IF('Invullen groen'!E43&gt;0,'Invullen groen'!D43,""),"")</f>
        <v/>
      </c>
      <c r="E31" s="534">
        <f>IFERROR(IF('Invullen groen'!E43&gt;0,'Invullen groen'!G43,""),"")</f>
        <v/>
      </c>
      <c r="F31" s="535">
        <f>IFERROR(IF('Invullen groen'!H43&lt;&gt;0,'Invullen groen'!H43,""),"")</f>
        <v/>
      </c>
      <c r="G31" s="535">
        <f>IFERROR(IF('Invullen groen'!I43&lt;&gt;0,'Invullen groen'!I43,""),"")</f>
        <v/>
      </c>
      <c r="H31" s="535">
        <f>IFERROR(IF('Invullen groen'!J43&lt;&gt;0,'Invullen groen'!J43,""),"")</f>
        <v/>
      </c>
      <c r="I31" s="535">
        <f>IFERROR(IF('Invullen groen'!K43&lt;&gt;0,'Invullen groen'!K43,""),"")</f>
        <v/>
      </c>
    </row>
    <row r="32" ht="15" customHeight="1">
      <c r="A32" s="536">
        <f>IFERROR(IF('Invullen groen'!E44&gt;0,28,""),"")</f>
        <v/>
      </c>
      <c r="B32" s="536">
        <f>IFERROR(IF('Invullen groen'!E44&gt;0,'Invullen groen'!A44,""),"")</f>
        <v/>
      </c>
      <c r="C32" s="536">
        <f>IFERROR(IF('Invullen groen'!E44&gt;0,'Invullen groen'!C44,""),"")</f>
        <v/>
      </c>
      <c r="D32" s="536">
        <f>IFERROR(IF('Invullen groen'!E44&gt;0,'Invullen groen'!D44,""),"")</f>
        <v/>
      </c>
      <c r="E32" s="536">
        <f>IFERROR(IF('Invullen groen'!E44&gt;0,'Invullen groen'!G44,""),"")</f>
        <v/>
      </c>
      <c r="F32" s="537">
        <f>IFERROR(IF('Invullen groen'!H44&lt;&gt;0,'Invullen groen'!H44,""),"")</f>
        <v/>
      </c>
      <c r="G32" s="537">
        <f>IFERROR(IF('Invullen groen'!I44&lt;&gt;0,'Invullen groen'!I44,""),"")</f>
        <v/>
      </c>
      <c r="H32" s="537">
        <f>IFERROR(IF('Invullen groen'!J44&lt;&gt;0,'Invullen groen'!J44,""),"")</f>
        <v/>
      </c>
      <c r="I32" s="537">
        <f>IFERROR(IF('Invullen groen'!K44&lt;&gt;0,'Invullen groen'!K44,""),"")</f>
        <v/>
      </c>
    </row>
    <row r="33" ht="15" customHeight="1">
      <c r="A33" s="534">
        <f>IFERROR(IF('Invullen groen'!E45&gt;0,29,""),"")</f>
        <v/>
      </c>
      <c r="B33" s="534">
        <f>IFERROR(IF('Invullen groen'!E45&gt;0,'Invullen groen'!A45,""),"")</f>
        <v/>
      </c>
      <c r="C33" s="534">
        <f>IFERROR(IF('Invullen groen'!E45&gt;0,'Invullen groen'!C45,""),"")</f>
        <v/>
      </c>
      <c r="D33" s="534">
        <f>IFERROR(IF('Invullen groen'!E45&gt;0,'Invullen groen'!D45,""),"")</f>
        <v/>
      </c>
      <c r="E33" s="534">
        <f>IFERROR(IF('Invullen groen'!E45&gt;0,'Invullen groen'!G45,""),"")</f>
        <v/>
      </c>
      <c r="F33" s="535">
        <f>IFERROR(IF('Invullen groen'!H45&lt;&gt;0,'Invullen groen'!H45,""),"")</f>
        <v/>
      </c>
      <c r="G33" s="535">
        <f>IFERROR(IF('Invullen groen'!I45&lt;&gt;0,'Invullen groen'!I45,""),"")</f>
        <v/>
      </c>
      <c r="H33" s="535">
        <f>IFERROR(IF('Invullen groen'!J45&lt;&gt;0,'Invullen groen'!J45,""),"")</f>
        <v/>
      </c>
      <c r="I33" s="535">
        <f>IFERROR(IF('Invullen groen'!K45&lt;&gt;0,'Invullen groen'!K45,""),"")</f>
        <v/>
      </c>
    </row>
    <row r="34" ht="15" customHeight="1">
      <c r="A34" s="536">
        <f>IFERROR(IF('Invullen groen'!E46&gt;0,30,""),"")</f>
        <v/>
      </c>
      <c r="B34" s="536">
        <f>IFERROR(IF('Invullen groen'!E46&gt;0,'Invullen groen'!A46,""),"")</f>
        <v/>
      </c>
      <c r="C34" s="536">
        <f>IFERROR(IF('Invullen groen'!E46&gt;0,'Invullen groen'!C46,""),"")</f>
        <v/>
      </c>
      <c r="D34" s="536">
        <f>IFERROR(IF('Invullen groen'!E46&gt;0,'Invullen groen'!D46,""),"")</f>
        <v/>
      </c>
      <c r="E34" s="536">
        <f>IFERROR(IF('Invullen groen'!E46&gt;0,'Invullen groen'!G46,""),"")</f>
        <v/>
      </c>
      <c r="F34" s="537">
        <f>IFERROR(IF('Invullen groen'!H46&lt;&gt;0,'Invullen groen'!H46,""),"")</f>
        <v/>
      </c>
      <c r="G34" s="537">
        <f>IFERROR(IF('Invullen groen'!I46&lt;&gt;0,'Invullen groen'!I46,""),"")</f>
        <v/>
      </c>
      <c r="H34" s="537">
        <f>IFERROR(IF('Invullen groen'!J46&lt;&gt;0,'Invullen groen'!J46,""),"")</f>
        <v/>
      </c>
      <c r="I34" s="537">
        <f>IFERROR(IF('Invullen groen'!K46&lt;&gt;0,'Invullen groen'!K46,""),"")</f>
        <v/>
      </c>
    </row>
    <row r="35" ht="15" customHeight="1">
      <c r="A35" s="534">
        <f>IFERROR(IF('Invullen groen'!E47&gt;0,31,""),"")</f>
        <v/>
      </c>
      <c r="B35" s="534">
        <f>IFERROR(IF('Invullen groen'!E47&gt;0,'Invullen groen'!A47,""),"")</f>
        <v/>
      </c>
      <c r="C35" s="534">
        <f>IFERROR(IF('Invullen groen'!E47&gt;0,'Invullen groen'!C47,""),"")</f>
        <v/>
      </c>
      <c r="D35" s="534">
        <f>IFERROR(IF('Invullen groen'!E47&gt;0,'Invullen groen'!D47,""),"")</f>
        <v/>
      </c>
      <c r="E35" s="534">
        <f>IFERROR(IF('Invullen groen'!E47&gt;0,'Invullen groen'!G47,""),"")</f>
        <v/>
      </c>
      <c r="F35" s="535">
        <f>IFERROR(IF('Invullen groen'!H47&lt;&gt;0,'Invullen groen'!H47,""),"")</f>
        <v/>
      </c>
      <c r="G35" s="535">
        <f>IFERROR(IF('Invullen groen'!I47&lt;&gt;0,'Invullen groen'!I47,""),"")</f>
        <v/>
      </c>
      <c r="H35" s="535">
        <f>IFERROR(IF('Invullen groen'!J47&lt;&gt;0,'Invullen groen'!J47,""),"")</f>
        <v/>
      </c>
      <c r="I35" s="535">
        <f>IFERROR(IF('Invullen groen'!K47&lt;&gt;0,'Invullen groen'!K47,""),"")</f>
        <v/>
      </c>
    </row>
    <row r="36" ht="15" customHeight="1">
      <c r="A36" s="536">
        <f>IFERROR(IF('Invullen groen'!E48&gt;0,32,""),"")</f>
        <v/>
      </c>
      <c r="B36" s="536">
        <f>IFERROR(IF('Invullen groen'!E48&gt;0,'Invullen groen'!A48,""),"")</f>
        <v/>
      </c>
      <c r="C36" s="536">
        <f>IFERROR(IF('Invullen groen'!E48&gt;0,'Invullen groen'!C48,""),"")</f>
        <v/>
      </c>
      <c r="D36" s="536">
        <f>IFERROR(IF('Invullen groen'!E48&gt;0,'Invullen groen'!D48,""),"")</f>
        <v/>
      </c>
      <c r="E36" s="536">
        <f>IFERROR(IF('Invullen groen'!E48&gt;0,'Invullen groen'!G48,""),"")</f>
        <v/>
      </c>
      <c r="F36" s="537">
        <f>IFERROR(IF('Invullen groen'!H48&lt;&gt;0,'Invullen groen'!H48,""),"")</f>
        <v/>
      </c>
      <c r="G36" s="537">
        <f>IFERROR(IF('Invullen groen'!I48&lt;&gt;0,'Invullen groen'!I48,""),"")</f>
        <v/>
      </c>
      <c r="H36" s="537">
        <f>IFERROR(IF('Invullen groen'!J48&lt;&gt;0,'Invullen groen'!J48,""),"")</f>
        <v/>
      </c>
      <c r="I36" s="537">
        <f>IFERROR(IF('Invullen groen'!K48&lt;&gt;0,'Invullen groen'!K48,""),"")</f>
        <v/>
      </c>
    </row>
    <row r="37" ht="15" customHeight="1">
      <c r="A37" s="534">
        <f>IFERROR(IF('Invullen groen'!E49&gt;0,33,""),"")</f>
        <v/>
      </c>
      <c r="B37" s="534">
        <f>IFERROR(IF('Invullen groen'!E49&gt;0,'Invullen groen'!A49,""),"")</f>
        <v/>
      </c>
      <c r="C37" s="534">
        <f>IFERROR(IF('Invullen groen'!E49&gt;0,'Invullen groen'!C49,""),"")</f>
        <v/>
      </c>
      <c r="D37" s="534">
        <f>IFERROR(IF('Invullen groen'!E49&gt;0,'Invullen groen'!D49,""),"")</f>
        <v/>
      </c>
      <c r="E37" s="534">
        <f>IFERROR(IF('Invullen groen'!E49&gt;0,'Invullen groen'!G49,""),"")</f>
        <v/>
      </c>
      <c r="F37" s="535">
        <f>IFERROR(IF('Invullen groen'!H49&lt;&gt;0,'Invullen groen'!H49,""),"")</f>
        <v/>
      </c>
      <c r="G37" s="535">
        <f>IFERROR(IF('Invullen groen'!I49&lt;&gt;0,'Invullen groen'!I49,""),"")</f>
        <v/>
      </c>
      <c r="H37" s="535">
        <f>IFERROR(IF('Invullen groen'!J49&lt;&gt;0,'Invullen groen'!J49,""),"")</f>
        <v/>
      </c>
      <c r="I37" s="535">
        <f>IFERROR(IF('Invullen groen'!K49&lt;&gt;0,'Invullen groen'!K49,""),"")</f>
        <v/>
      </c>
    </row>
    <row r="38" ht="15" customHeight="1">
      <c r="A38" s="536">
        <f>IFERROR(IF('Invullen groen'!E50&gt;0,34,""),"")</f>
        <v/>
      </c>
      <c r="B38" s="536">
        <f>IFERROR(IF('Invullen groen'!E50&gt;0,'Invullen groen'!A50,""),"")</f>
        <v/>
      </c>
      <c r="C38" s="536">
        <f>IFERROR(IF('Invullen groen'!E50&gt;0,'Invullen groen'!C50,""),"")</f>
        <v/>
      </c>
      <c r="D38" s="536">
        <f>IFERROR(IF('Invullen groen'!E50&gt;0,'Invullen groen'!D50,""),"")</f>
        <v/>
      </c>
      <c r="E38" s="536">
        <f>IFERROR(IF('Invullen groen'!E50&gt;0,'Invullen groen'!G50,""),"")</f>
        <v/>
      </c>
      <c r="F38" s="537">
        <f>IFERROR(IF('Invullen groen'!H50&lt;&gt;0,'Invullen groen'!H50,""),"")</f>
        <v/>
      </c>
      <c r="G38" s="537">
        <f>IFERROR(IF('Invullen groen'!I50&lt;&gt;0,'Invullen groen'!I50,""),"")</f>
        <v/>
      </c>
      <c r="H38" s="537">
        <f>IFERROR(IF('Invullen groen'!J50&lt;&gt;0,'Invullen groen'!J50,""),"")</f>
        <v/>
      </c>
      <c r="I38" s="537">
        <f>IFERROR(IF('Invullen groen'!K50&lt;&gt;0,'Invullen groen'!K50,""),"")</f>
        <v/>
      </c>
    </row>
    <row r="39" ht="15" customHeight="1">
      <c r="A39" s="534">
        <f>IFERROR(IF('Invullen groen'!E51&gt;0,35,""),"")</f>
        <v/>
      </c>
      <c r="B39" s="534">
        <f>IFERROR(IF('Invullen groen'!E51&gt;0,'Invullen groen'!A51,""),"")</f>
        <v/>
      </c>
      <c r="C39" s="534">
        <f>IFERROR(IF('Invullen groen'!E51&gt;0,'Invullen groen'!C51,""),"")</f>
        <v/>
      </c>
      <c r="D39" s="534">
        <f>IFERROR(IF('Invullen groen'!E51&gt;0,'Invullen groen'!D51,""),"")</f>
        <v/>
      </c>
      <c r="E39" s="534">
        <f>IFERROR(IF('Invullen groen'!E51&gt;0,'Invullen groen'!G51,""),"")</f>
        <v/>
      </c>
      <c r="F39" s="535">
        <f>IFERROR(IF('Invullen groen'!H51&lt;&gt;0,'Invullen groen'!H51,""),"")</f>
        <v/>
      </c>
      <c r="G39" s="535">
        <f>IFERROR(IF('Invullen groen'!I51&lt;&gt;0,'Invullen groen'!I51,""),"")</f>
        <v/>
      </c>
      <c r="H39" s="535">
        <f>IFERROR(IF('Invullen groen'!J51&lt;&gt;0,'Invullen groen'!J51,""),"")</f>
        <v/>
      </c>
      <c r="I39" s="535">
        <f>IFERROR(IF('Invullen groen'!K51&lt;&gt;0,'Invullen groen'!K51,""),"")</f>
        <v/>
      </c>
    </row>
    <row r="40" ht="15" customHeight="1">
      <c r="A40" s="536">
        <f>IFERROR(IF('Invullen groen'!E52&gt;0,36,""),"")</f>
        <v/>
      </c>
      <c r="B40" s="536">
        <f>IFERROR(IF('Invullen groen'!E52&gt;0,'Invullen groen'!A52,""),"")</f>
        <v/>
      </c>
      <c r="C40" s="536">
        <f>IFERROR(IF('Invullen groen'!E52&gt;0,'Invullen groen'!C52,""),"")</f>
        <v/>
      </c>
      <c r="D40" s="536">
        <f>IFERROR(IF('Invullen groen'!E52&gt;0,'Invullen groen'!D52,""),"")</f>
        <v/>
      </c>
      <c r="E40" s="536">
        <f>IFERROR(IF('Invullen groen'!E52&gt;0,'Invullen groen'!G52,""),"")</f>
        <v/>
      </c>
      <c r="F40" s="537">
        <f>IFERROR(IF('Invullen groen'!H52&lt;&gt;0,'Invullen groen'!H52,""),"")</f>
        <v/>
      </c>
      <c r="G40" s="537">
        <f>IFERROR(IF('Invullen groen'!I52&lt;&gt;0,'Invullen groen'!I52,""),"")</f>
        <v/>
      </c>
      <c r="H40" s="537">
        <f>IFERROR(IF('Invullen groen'!J52&lt;&gt;0,'Invullen groen'!J52,""),"")</f>
        <v/>
      </c>
      <c r="I40" s="537">
        <f>IFERROR(IF('Invullen groen'!K52&lt;&gt;0,'Invullen groen'!K52,""),"")</f>
        <v/>
      </c>
    </row>
    <row r="41" ht="15" customHeight="1">
      <c r="A41" s="534">
        <f>IFERROR(IF('Invullen groen'!E53&gt;0,37,""),"")</f>
        <v/>
      </c>
      <c r="B41" s="534">
        <f>IFERROR(IF('Invullen groen'!E53&gt;0,'Invullen groen'!A53,""),"")</f>
        <v/>
      </c>
      <c r="C41" s="534">
        <f>IFERROR(IF('Invullen groen'!E53&gt;0,'Invullen groen'!C53,""),"")</f>
        <v/>
      </c>
      <c r="D41" s="534">
        <f>IFERROR(IF('Invullen groen'!E53&gt;0,'Invullen groen'!D53,""),"")</f>
        <v/>
      </c>
      <c r="E41" s="534">
        <f>IFERROR(IF('Invullen groen'!E53&gt;0,'Invullen groen'!G53,""),"")</f>
        <v/>
      </c>
      <c r="F41" s="535">
        <f>IFERROR(IF('Invullen groen'!H53&lt;&gt;0,'Invullen groen'!H53,""),"")</f>
        <v/>
      </c>
      <c r="G41" s="535">
        <f>IFERROR(IF('Invullen groen'!I53&lt;&gt;0,'Invullen groen'!I53,""),"")</f>
        <v/>
      </c>
      <c r="H41" s="535">
        <f>IFERROR(IF('Invullen groen'!J53&lt;&gt;0,'Invullen groen'!J53,""),"")</f>
        <v/>
      </c>
      <c r="I41" s="535">
        <f>IFERROR(IF('Invullen groen'!K53&lt;&gt;0,'Invullen groen'!K53,""),"")</f>
        <v/>
      </c>
    </row>
    <row r="42" ht="15" customHeight="1">
      <c r="A42" s="536">
        <f>IFERROR(IF('Invullen groen'!E54&gt;0,38,""),"")</f>
        <v/>
      </c>
      <c r="B42" s="536">
        <f>IFERROR(IF('Invullen groen'!E54&gt;0,'Invullen groen'!A54,""),"")</f>
        <v/>
      </c>
      <c r="C42" s="536">
        <f>IFERROR(IF('Invullen groen'!E54&gt;0,'Invullen groen'!C54,""),"")</f>
        <v/>
      </c>
      <c r="D42" s="536">
        <f>IFERROR(IF('Invullen groen'!E54&gt;0,'Invullen groen'!D54,""),"")</f>
        <v/>
      </c>
      <c r="E42" s="536">
        <f>IFERROR(IF('Invullen groen'!E54&gt;0,'Invullen groen'!G54,""),"")</f>
        <v/>
      </c>
      <c r="F42" s="537">
        <f>IFERROR(IF('Invullen groen'!H54&lt;&gt;0,'Invullen groen'!H54,""),"")</f>
        <v/>
      </c>
      <c r="G42" s="537">
        <f>IFERROR(IF('Invullen groen'!I54&lt;&gt;0,'Invullen groen'!I54,""),"")</f>
        <v/>
      </c>
      <c r="H42" s="537">
        <f>IFERROR(IF('Invullen groen'!J54&lt;&gt;0,'Invullen groen'!J54,""),"")</f>
        <v/>
      </c>
      <c r="I42" s="537">
        <f>IFERROR(IF('Invullen groen'!K54&lt;&gt;0,'Invullen groen'!K54,""),"")</f>
        <v/>
      </c>
    </row>
    <row r="43" ht="15" customHeight="1">
      <c r="A43" s="534">
        <f>IFERROR(IF('Invullen groen'!E55&gt;0,39,""),"")</f>
        <v/>
      </c>
      <c r="B43" s="534">
        <f>IFERROR(IF('Invullen groen'!E55&gt;0,'Invullen groen'!A55,""),"")</f>
        <v/>
      </c>
      <c r="C43" s="534">
        <f>IFERROR(IF('Invullen groen'!E55&gt;0,'Invullen groen'!C55,""),"")</f>
        <v/>
      </c>
      <c r="D43" s="534">
        <f>IFERROR(IF('Invullen groen'!E55&gt;0,'Invullen groen'!D55,""),"")</f>
        <v/>
      </c>
      <c r="E43" s="534">
        <f>IFERROR(IF('Invullen groen'!E55&gt;0,'Invullen groen'!G55,""),"")</f>
        <v/>
      </c>
      <c r="F43" s="535">
        <f>IFERROR(IF('Invullen groen'!H55&lt;&gt;0,'Invullen groen'!H55,""),"")</f>
        <v/>
      </c>
      <c r="G43" s="535">
        <f>IFERROR(IF('Invullen groen'!I55&lt;&gt;0,'Invullen groen'!I55,""),"")</f>
        <v/>
      </c>
      <c r="H43" s="535">
        <f>IFERROR(IF('Invullen groen'!J55&lt;&gt;0,'Invullen groen'!J55,""),"")</f>
        <v/>
      </c>
      <c r="I43" s="535">
        <f>IFERROR(IF('Invullen groen'!K55&lt;&gt;0,'Invullen groen'!K55,""),"")</f>
        <v/>
      </c>
    </row>
    <row r="44" ht="15" customHeight="1">
      <c r="A44" s="536">
        <f>IFERROR(IF('Invullen groen'!E56&gt;0,40,""),"")</f>
        <v/>
      </c>
      <c r="B44" s="536">
        <f>IFERROR(IF('Invullen groen'!E56&gt;0,'Invullen groen'!A56,""),"")</f>
        <v/>
      </c>
      <c r="C44" s="536">
        <f>IFERROR(IF('Invullen groen'!E56&gt;0,'Invullen groen'!C56,""),"")</f>
        <v/>
      </c>
      <c r="D44" s="536">
        <f>IFERROR(IF('Invullen groen'!E56&gt;0,'Invullen groen'!D56,""),"")</f>
        <v/>
      </c>
      <c r="E44" s="536">
        <f>IFERROR(IF('Invullen groen'!E56&gt;0,'Invullen groen'!G56,""),"")</f>
        <v/>
      </c>
      <c r="F44" s="537">
        <f>IFERROR(IF('Invullen groen'!H56&lt;&gt;0,'Invullen groen'!H56,""),"")</f>
        <v/>
      </c>
      <c r="G44" s="537">
        <f>IFERROR(IF('Invullen groen'!I56&lt;&gt;0,'Invullen groen'!I56,""),"")</f>
        <v/>
      </c>
      <c r="H44" s="537">
        <f>IFERROR(IF('Invullen groen'!J56&lt;&gt;0,'Invullen groen'!J56,""),"")</f>
        <v/>
      </c>
      <c r="I44" s="537">
        <f>IFERROR(IF('Invullen groen'!K56&lt;&gt;0,'Invullen groen'!K56,""),"")</f>
        <v/>
      </c>
    </row>
    <row r="45" ht="15" customHeight="1">
      <c r="A45" s="534">
        <f>IFERROR(IF('Invullen groen'!E57&gt;0,41,""),"")</f>
        <v/>
      </c>
      <c r="B45" s="534">
        <f>IFERROR(IF('Invullen groen'!E57&gt;0,'Invullen groen'!A57,""),"")</f>
        <v/>
      </c>
      <c r="C45" s="534">
        <f>IFERROR(IF('Invullen groen'!E57&gt;0,'Invullen groen'!C57,""),"")</f>
        <v/>
      </c>
      <c r="D45" s="534">
        <f>IFERROR(IF('Invullen groen'!E57&gt;0,'Invullen groen'!D57,""),"")</f>
        <v/>
      </c>
      <c r="E45" s="534">
        <f>IFERROR(IF('Invullen groen'!E57&gt;0,'Invullen groen'!G57,""),"")</f>
        <v/>
      </c>
      <c r="F45" s="535">
        <f>IFERROR(IF('Invullen groen'!H57&lt;&gt;0,'Invullen groen'!H57,""),"")</f>
        <v/>
      </c>
      <c r="G45" s="535">
        <f>IFERROR(IF('Invullen groen'!I57&lt;&gt;0,'Invullen groen'!I57,""),"")</f>
        <v/>
      </c>
      <c r="H45" s="535">
        <f>IFERROR(IF('Invullen groen'!J57&lt;&gt;0,'Invullen groen'!J57,""),"")</f>
        <v/>
      </c>
      <c r="I45" s="535">
        <f>IFERROR(IF('Invullen groen'!K57&lt;&gt;0,'Invullen groen'!K57,""),"")</f>
        <v/>
      </c>
    </row>
    <row r="46" ht="15" customHeight="1">
      <c r="A46" s="536">
        <f>IFERROR(IF('Invullen groen'!E58&gt;0,42,""),"")</f>
        <v/>
      </c>
      <c r="B46" s="536">
        <f>IFERROR(IF('Invullen groen'!E58&gt;0,'Invullen groen'!A58,""),"")</f>
        <v/>
      </c>
      <c r="C46" s="536">
        <f>IFERROR(IF('Invullen groen'!E58&gt;0,'Invullen groen'!C58,""),"")</f>
        <v/>
      </c>
      <c r="D46" s="536">
        <f>IFERROR(IF('Invullen groen'!E58&gt;0,'Invullen groen'!D58,""),"")</f>
        <v/>
      </c>
      <c r="E46" s="536">
        <f>IFERROR(IF('Invullen groen'!E58&gt;0,'Invullen groen'!G58,""),"")</f>
        <v/>
      </c>
      <c r="F46" s="537">
        <f>IFERROR(IF('Invullen groen'!H58&lt;&gt;0,'Invullen groen'!H58,""),"")</f>
        <v/>
      </c>
      <c r="G46" s="537">
        <f>IFERROR(IF('Invullen groen'!I58&lt;&gt;0,'Invullen groen'!I58,""),"")</f>
        <v/>
      </c>
      <c r="H46" s="537">
        <f>IFERROR(IF('Invullen groen'!J58&lt;&gt;0,'Invullen groen'!J58,""),"")</f>
        <v/>
      </c>
      <c r="I46" s="537">
        <f>IFERROR(IF('Invullen groen'!K58&lt;&gt;0,'Invullen groen'!K58,""),"")</f>
        <v/>
      </c>
    </row>
    <row r="47" ht="15" customHeight="1">
      <c r="A47" s="534">
        <f>IFERROR(IF('Invullen groen'!E59&gt;0,43,""),"")</f>
        <v/>
      </c>
      <c r="B47" s="534">
        <f>IFERROR(IF('Invullen groen'!E59&gt;0,'Invullen groen'!A59,""),"")</f>
        <v/>
      </c>
      <c r="C47" s="534">
        <f>IFERROR(IF('Invullen groen'!E59&gt;0,'Invullen groen'!C59,""),"")</f>
        <v/>
      </c>
      <c r="D47" s="534">
        <f>IFERROR(IF('Invullen groen'!E59&gt;0,'Invullen groen'!D59,""),"")</f>
        <v/>
      </c>
      <c r="E47" s="534">
        <f>IFERROR(IF('Invullen groen'!E59&gt;0,'Invullen groen'!G59,""),"")</f>
        <v/>
      </c>
      <c r="F47" s="535">
        <f>IFERROR(IF('Invullen groen'!H59&lt;&gt;0,'Invullen groen'!H59,""),"")</f>
        <v/>
      </c>
      <c r="G47" s="535">
        <f>IFERROR(IF('Invullen groen'!I59&lt;&gt;0,'Invullen groen'!I59,""),"")</f>
        <v/>
      </c>
      <c r="H47" s="535">
        <f>IFERROR(IF('Invullen groen'!J59&lt;&gt;0,'Invullen groen'!J59,""),"")</f>
        <v/>
      </c>
      <c r="I47" s="535">
        <f>IFERROR(IF('Invullen groen'!K59&lt;&gt;0,'Invullen groen'!K59,""),"")</f>
        <v/>
      </c>
    </row>
    <row r="48" ht="15" customHeight="1">
      <c r="A48" s="536">
        <f>IFERROR(IF('Invullen groen'!E60&gt;0,44,""),"")</f>
        <v/>
      </c>
      <c r="B48" s="536">
        <f>IFERROR(IF('Invullen groen'!E60&gt;0,'Invullen groen'!A60,""),"")</f>
        <v/>
      </c>
      <c r="C48" s="536">
        <f>IFERROR(IF('Invullen groen'!E60&gt;0,'Invullen groen'!C60,""),"")</f>
        <v/>
      </c>
      <c r="D48" s="536">
        <f>IFERROR(IF('Invullen groen'!E60&gt;0,'Invullen groen'!D60,""),"")</f>
        <v/>
      </c>
      <c r="E48" s="536">
        <f>IFERROR(IF('Invullen groen'!E60&gt;0,'Invullen groen'!G60,""),"")</f>
        <v/>
      </c>
      <c r="F48" s="537">
        <f>IFERROR(IF('Invullen groen'!H60&lt;&gt;0,'Invullen groen'!H60,""),"")</f>
        <v/>
      </c>
      <c r="G48" s="537">
        <f>IFERROR(IF('Invullen groen'!I60&lt;&gt;0,'Invullen groen'!I60,""),"")</f>
        <v/>
      </c>
      <c r="H48" s="537">
        <f>IFERROR(IF('Invullen groen'!J60&lt;&gt;0,'Invullen groen'!J60,""),"")</f>
        <v/>
      </c>
      <c r="I48" s="537">
        <f>IFERROR(IF('Invullen groen'!K60&lt;&gt;0,'Invullen groen'!K60,""),"")</f>
        <v/>
      </c>
    </row>
    <row r="49" ht="15" customHeight="1">
      <c r="A49" s="534">
        <f>IFERROR(IF('Invullen groen'!E61&gt;0,45,""),"")</f>
        <v/>
      </c>
      <c r="B49" s="534">
        <f>IFERROR(IF('Invullen groen'!E61&gt;0,'Invullen groen'!A61,""),"")</f>
        <v/>
      </c>
      <c r="C49" s="534">
        <f>IFERROR(IF('Invullen groen'!E61&gt;0,'Invullen groen'!C61,""),"")</f>
        <v/>
      </c>
      <c r="D49" s="534">
        <f>IFERROR(IF('Invullen groen'!E61&gt;0,'Invullen groen'!D61,""),"")</f>
        <v/>
      </c>
      <c r="E49" s="534">
        <f>IFERROR(IF('Invullen groen'!E61&gt;0,'Invullen groen'!G61,""),"")</f>
        <v/>
      </c>
      <c r="F49" s="535">
        <f>IFERROR(IF('Invullen groen'!H61&lt;&gt;0,'Invullen groen'!H61,""),"")</f>
        <v/>
      </c>
      <c r="G49" s="535">
        <f>IFERROR(IF('Invullen groen'!I61&lt;&gt;0,'Invullen groen'!I61,""),"")</f>
        <v/>
      </c>
      <c r="H49" s="535">
        <f>IFERROR(IF('Invullen groen'!J61&lt;&gt;0,'Invullen groen'!J61,""),"")</f>
        <v/>
      </c>
      <c r="I49" s="535">
        <f>IFERROR(IF('Invullen groen'!K61&lt;&gt;0,'Invullen groen'!K61,""),"")</f>
        <v/>
      </c>
    </row>
    <row r="50" ht="15" customHeight="1">
      <c r="A50" s="536">
        <f>IFERROR(IF('Invullen groen'!E62&gt;0,46,""),"")</f>
        <v/>
      </c>
      <c r="B50" s="536">
        <f>IFERROR(IF('Invullen groen'!E62&gt;0,'Invullen groen'!A62,""),"")</f>
        <v/>
      </c>
      <c r="C50" s="536">
        <f>IFERROR(IF('Invullen groen'!E62&gt;0,'Invullen groen'!C62,""),"")</f>
        <v/>
      </c>
      <c r="D50" s="536">
        <f>IFERROR(IF('Invullen groen'!E62&gt;0,'Invullen groen'!D62,""),"")</f>
        <v/>
      </c>
      <c r="E50" s="536">
        <f>IFERROR(IF('Invullen groen'!E62&gt;0,'Invullen groen'!G62,""),"")</f>
        <v/>
      </c>
      <c r="F50" s="537">
        <f>IFERROR(IF('Invullen groen'!H62&lt;&gt;0,'Invullen groen'!H62,""),"")</f>
        <v/>
      </c>
      <c r="G50" s="537">
        <f>IFERROR(IF('Invullen groen'!I62&lt;&gt;0,'Invullen groen'!I62,""),"")</f>
        <v/>
      </c>
      <c r="H50" s="537">
        <f>IFERROR(IF('Invullen groen'!J62&lt;&gt;0,'Invullen groen'!J62,""),"")</f>
        <v/>
      </c>
      <c r="I50" s="537">
        <f>IFERROR(IF('Invullen groen'!K62&lt;&gt;0,'Invullen groen'!K62,""),"")</f>
        <v/>
      </c>
    </row>
    <row r="51" ht="15" customHeight="1">
      <c r="A51" s="534">
        <f>IFERROR(IF('Invullen groen'!E63&gt;0,47,""),"")</f>
        <v/>
      </c>
      <c r="B51" s="534">
        <f>IFERROR(IF('Invullen groen'!E63&gt;0,'Invullen groen'!A63,""),"")</f>
        <v/>
      </c>
      <c r="C51" s="534">
        <f>IFERROR(IF('Invullen groen'!E63&gt;0,'Invullen groen'!C63,""),"")</f>
        <v/>
      </c>
      <c r="D51" s="534">
        <f>IFERROR(IF('Invullen groen'!E63&gt;0,'Invullen groen'!D63,""),"")</f>
        <v/>
      </c>
      <c r="E51" s="534">
        <f>IFERROR(IF('Invullen groen'!E63&gt;0,'Invullen groen'!G63,""),"")</f>
        <v/>
      </c>
      <c r="F51" s="535">
        <f>IFERROR(IF('Invullen groen'!H63&lt;&gt;0,'Invullen groen'!H63,""),"")</f>
        <v/>
      </c>
      <c r="G51" s="535">
        <f>IFERROR(IF('Invullen groen'!I63&lt;&gt;0,'Invullen groen'!I63,""),"")</f>
        <v/>
      </c>
      <c r="H51" s="535">
        <f>IFERROR(IF('Invullen groen'!J63&lt;&gt;0,'Invullen groen'!J63,""),"")</f>
        <v/>
      </c>
      <c r="I51" s="535">
        <f>IFERROR(IF('Invullen groen'!K63&lt;&gt;0,'Invullen groen'!K63,""),"")</f>
        <v/>
      </c>
    </row>
    <row r="52" ht="15" customHeight="1">
      <c r="A52" s="536">
        <f>IFERROR(IF('Invullen groen'!E64&gt;0,48,""),"")</f>
        <v/>
      </c>
      <c r="B52" s="536">
        <f>IFERROR(IF('Invullen groen'!E64&gt;0,'Invullen groen'!A64,""),"")</f>
        <v/>
      </c>
      <c r="C52" s="536">
        <f>IFERROR(IF('Invullen groen'!E64&gt;0,'Invullen groen'!C64,""),"")</f>
        <v/>
      </c>
      <c r="D52" s="536">
        <f>IFERROR(IF('Invullen groen'!E64&gt;0,'Invullen groen'!D64,""),"")</f>
        <v/>
      </c>
      <c r="E52" s="536">
        <f>IFERROR(IF('Invullen groen'!E64&gt;0,'Invullen groen'!G64,""),"")</f>
        <v/>
      </c>
      <c r="F52" s="537">
        <f>IFERROR(IF('Invullen groen'!H64&lt;&gt;0,'Invullen groen'!H64,""),"")</f>
        <v/>
      </c>
      <c r="G52" s="537">
        <f>IFERROR(IF('Invullen groen'!I64&lt;&gt;0,'Invullen groen'!I64,""),"")</f>
        <v/>
      </c>
      <c r="H52" s="537">
        <f>IFERROR(IF('Invullen groen'!J64&lt;&gt;0,'Invullen groen'!J64,""),"")</f>
        <v/>
      </c>
      <c r="I52" s="537">
        <f>IFERROR(IF('Invullen groen'!K64&lt;&gt;0,'Invullen groen'!K64,""),"")</f>
        <v/>
      </c>
    </row>
    <row r="53" ht="15" customHeight="1">
      <c r="A53" s="534">
        <f>IFERROR(IF('Invullen groen'!E65&gt;0,49,""),"")</f>
        <v/>
      </c>
      <c r="B53" s="534">
        <f>IFERROR(IF('Invullen groen'!E65&gt;0,'Invullen groen'!A65,""),"")</f>
        <v/>
      </c>
      <c r="C53" s="534">
        <f>IFERROR(IF('Invullen groen'!E65&gt;0,'Invullen groen'!C65,""),"")</f>
        <v/>
      </c>
      <c r="D53" s="534">
        <f>IFERROR(IF('Invullen groen'!E65&gt;0,'Invullen groen'!D65,""),"")</f>
        <v/>
      </c>
      <c r="E53" s="534">
        <f>IFERROR(IF('Invullen groen'!E65&gt;0,'Invullen groen'!G65,""),"")</f>
        <v/>
      </c>
      <c r="F53" s="535">
        <f>IFERROR(IF('Invullen groen'!H65&lt;&gt;0,'Invullen groen'!H65,""),"")</f>
        <v/>
      </c>
      <c r="G53" s="535">
        <f>IFERROR(IF('Invullen groen'!I65&lt;&gt;0,'Invullen groen'!I65,""),"")</f>
        <v/>
      </c>
      <c r="H53" s="535">
        <f>IFERROR(IF('Invullen groen'!J65&lt;&gt;0,'Invullen groen'!J65,""),"")</f>
        <v/>
      </c>
      <c r="I53" s="535">
        <f>IFERROR(IF('Invullen groen'!K65&lt;&gt;0,'Invullen groen'!K65,""),"")</f>
        <v/>
      </c>
    </row>
    <row r="54" ht="15" customHeight="1">
      <c r="A54" s="536">
        <f>IFERROR(IF('Invullen groen'!E66&gt;0,50,""),"")</f>
        <v/>
      </c>
      <c r="B54" s="536">
        <f>IFERROR(IF('Invullen groen'!E66&gt;0,'Invullen groen'!A66,""),"")</f>
        <v/>
      </c>
      <c r="C54" s="536">
        <f>IFERROR(IF('Invullen groen'!E66&gt;0,'Invullen groen'!C66,""),"")</f>
        <v/>
      </c>
      <c r="D54" s="536">
        <f>IFERROR(IF('Invullen groen'!E66&gt;0,'Invullen groen'!D66,""),"")</f>
        <v/>
      </c>
      <c r="E54" s="536">
        <f>IFERROR(IF('Invullen groen'!E66&gt;0,'Invullen groen'!G66,""),"")</f>
        <v/>
      </c>
      <c r="F54" s="537">
        <f>IFERROR(IF('Invullen groen'!H66&lt;&gt;0,'Invullen groen'!H66,""),"")</f>
        <v/>
      </c>
      <c r="G54" s="537">
        <f>IFERROR(IF('Invullen groen'!I66&lt;&gt;0,'Invullen groen'!I66,""),"")</f>
        <v/>
      </c>
      <c r="H54" s="537">
        <f>IFERROR(IF('Invullen groen'!J66&lt;&gt;0,'Invullen groen'!J66,""),"")</f>
        <v/>
      </c>
      <c r="I54" s="537">
        <f>IFERROR(IF('Invullen groen'!K66&lt;&gt;0,'Invullen groen'!K66,""),"")</f>
        <v/>
      </c>
    </row>
    <row r="55" ht="15" customHeight="1">
      <c r="A55" s="534">
        <f>IFERROR(IF('Invullen groen'!E67&gt;0,51,""),"")</f>
        <v/>
      </c>
      <c r="B55" s="534">
        <f>IFERROR(IF('Invullen groen'!E67&gt;0,'Invullen groen'!A67,""),"")</f>
        <v/>
      </c>
      <c r="C55" s="534">
        <f>IFERROR(IF('Invullen groen'!E67&gt;0,'Invullen groen'!C67,""),"")</f>
        <v/>
      </c>
      <c r="D55" s="534">
        <f>IFERROR(IF('Invullen groen'!E67&gt;0,'Invullen groen'!D67,""),"")</f>
        <v/>
      </c>
      <c r="E55" s="534">
        <f>IFERROR(IF('Invullen groen'!E67&gt;0,'Invullen groen'!G67,""),"")</f>
        <v/>
      </c>
      <c r="F55" s="535">
        <f>IFERROR(IF('Invullen groen'!H67&lt;&gt;0,'Invullen groen'!H67,""),"")</f>
        <v/>
      </c>
      <c r="G55" s="535">
        <f>IFERROR(IF('Invullen groen'!I67&lt;&gt;0,'Invullen groen'!I67,""),"")</f>
        <v/>
      </c>
      <c r="H55" s="535">
        <f>IFERROR(IF('Invullen groen'!J67&lt;&gt;0,'Invullen groen'!J67,""),"")</f>
        <v/>
      </c>
      <c r="I55" s="535">
        <f>IFERROR(IF('Invullen groen'!K67&lt;&gt;0,'Invullen groen'!K67,""),"")</f>
        <v/>
      </c>
    </row>
    <row r="56" ht="15" customHeight="1">
      <c r="A56" s="536">
        <f>IFERROR(IF('Invullen groen'!E68&gt;0,52,""),"")</f>
        <v/>
      </c>
      <c r="B56" s="536">
        <f>IFERROR(IF('Invullen groen'!E68&gt;0,'Invullen groen'!A68,""),"")</f>
        <v/>
      </c>
      <c r="C56" s="536">
        <f>IFERROR(IF('Invullen groen'!E68&gt;0,'Invullen groen'!C68,""),"")</f>
        <v/>
      </c>
      <c r="D56" s="536">
        <f>IFERROR(IF('Invullen groen'!E68&gt;0,'Invullen groen'!D68,""),"")</f>
        <v/>
      </c>
      <c r="E56" s="536">
        <f>IFERROR(IF('Invullen groen'!E68&gt;0,'Invullen groen'!G68,""),"")</f>
        <v/>
      </c>
      <c r="F56" s="537">
        <f>IFERROR(IF('Invullen groen'!H68&lt;&gt;0,'Invullen groen'!H68,""),"")</f>
        <v/>
      </c>
      <c r="G56" s="537">
        <f>IFERROR(IF('Invullen groen'!I68&lt;&gt;0,'Invullen groen'!I68,""),"")</f>
        <v/>
      </c>
      <c r="H56" s="537">
        <f>IFERROR(IF('Invullen groen'!J68&lt;&gt;0,'Invullen groen'!J68,""),"")</f>
        <v/>
      </c>
      <c r="I56" s="537">
        <f>IFERROR(IF('Invullen groen'!K68&lt;&gt;0,'Invullen groen'!K68,""),"")</f>
        <v/>
      </c>
    </row>
    <row r="57" ht="15" customHeight="1">
      <c r="A57" s="534">
        <f>IFERROR(IF('Invullen groen'!E69&gt;0,53,""),"")</f>
        <v/>
      </c>
      <c r="B57" s="534">
        <f>IFERROR(IF('Invullen groen'!E69&gt;0,'Invullen groen'!A69,""),"")</f>
        <v/>
      </c>
      <c r="C57" s="534">
        <f>IFERROR(IF('Invullen groen'!E69&gt;0,'Invullen groen'!C69,""),"")</f>
        <v/>
      </c>
      <c r="D57" s="534">
        <f>IFERROR(IF('Invullen groen'!E69&gt;0,'Invullen groen'!D69,""),"")</f>
        <v/>
      </c>
      <c r="E57" s="534">
        <f>IFERROR(IF('Invullen groen'!E69&gt;0,'Invullen groen'!G69,""),"")</f>
        <v/>
      </c>
      <c r="F57" s="535">
        <f>IFERROR(IF('Invullen groen'!H69&lt;&gt;0,'Invullen groen'!H69,""),"")</f>
        <v/>
      </c>
      <c r="G57" s="535">
        <f>IFERROR(IF('Invullen groen'!I69&lt;&gt;0,'Invullen groen'!I69,""),"")</f>
        <v/>
      </c>
      <c r="H57" s="535">
        <f>IFERROR(IF('Invullen groen'!J69&lt;&gt;0,'Invullen groen'!J69,""),"")</f>
        <v/>
      </c>
      <c r="I57" s="535">
        <f>IFERROR(IF('Invullen groen'!K69&lt;&gt;0,'Invullen groen'!K69,""),"")</f>
        <v/>
      </c>
    </row>
    <row r="58" ht="15" customHeight="1">
      <c r="A58" s="536">
        <f>IFERROR(IF('Invullen groen'!E70&gt;0,54,""),"")</f>
        <v/>
      </c>
      <c r="B58" s="536">
        <f>IFERROR(IF('Invullen groen'!E70&gt;0,'Invullen groen'!A70,""),"")</f>
        <v/>
      </c>
      <c r="C58" s="536">
        <f>IFERROR(IF('Invullen groen'!E70&gt;0,'Invullen groen'!C70,""),"")</f>
        <v/>
      </c>
      <c r="D58" s="536">
        <f>IFERROR(IF('Invullen groen'!E70&gt;0,'Invullen groen'!D70,""),"")</f>
        <v/>
      </c>
      <c r="E58" s="536">
        <f>IFERROR(IF('Invullen groen'!E70&gt;0,'Invullen groen'!G70,""),"")</f>
        <v/>
      </c>
      <c r="F58" s="537">
        <f>IFERROR(IF('Invullen groen'!H70&lt;&gt;0,'Invullen groen'!H70,""),"")</f>
        <v/>
      </c>
      <c r="G58" s="537">
        <f>IFERROR(IF('Invullen groen'!I70&lt;&gt;0,'Invullen groen'!I70,""),"")</f>
        <v/>
      </c>
      <c r="H58" s="537">
        <f>IFERROR(IF('Invullen groen'!J70&lt;&gt;0,'Invullen groen'!J70,""),"")</f>
        <v/>
      </c>
      <c r="I58" s="537">
        <f>IFERROR(IF('Invullen groen'!K70&lt;&gt;0,'Invullen groen'!K70,""),"")</f>
        <v/>
      </c>
    </row>
    <row r="59" ht="15" customHeight="1">
      <c r="A59" s="534">
        <f>IFERROR(IF('Invullen groen'!E71&gt;0,55,""),"")</f>
        <v/>
      </c>
      <c r="B59" s="534">
        <f>IFERROR(IF('Invullen groen'!E71&gt;0,'Invullen groen'!A71,""),"")</f>
        <v/>
      </c>
      <c r="C59" s="534">
        <f>IFERROR(IF('Invullen groen'!E71&gt;0,'Invullen groen'!C71,""),"")</f>
        <v/>
      </c>
      <c r="D59" s="534">
        <f>IFERROR(IF('Invullen groen'!E71&gt;0,'Invullen groen'!D71,""),"")</f>
        <v/>
      </c>
      <c r="E59" s="534">
        <f>IFERROR(IF('Invullen groen'!E71&gt;0,'Invullen groen'!G71,""),"")</f>
        <v/>
      </c>
      <c r="F59" s="535">
        <f>IFERROR(IF('Invullen groen'!H71&lt;&gt;0,'Invullen groen'!H71,""),"")</f>
        <v/>
      </c>
      <c r="G59" s="535">
        <f>IFERROR(IF('Invullen groen'!I71&lt;&gt;0,'Invullen groen'!I71,""),"")</f>
        <v/>
      </c>
      <c r="H59" s="535">
        <f>IFERROR(IF('Invullen groen'!J71&lt;&gt;0,'Invullen groen'!J71,""),"")</f>
        <v/>
      </c>
      <c r="I59" s="535">
        <f>IFERROR(IF('Invullen groen'!K71&lt;&gt;0,'Invullen groen'!K71,""),"")</f>
        <v/>
      </c>
    </row>
    <row r="60" ht="15" customHeight="1">
      <c r="A60" s="536">
        <f>IFERROR(IF('Invullen groen'!E72&gt;0,56,""),"")</f>
        <v/>
      </c>
      <c r="B60" s="536">
        <f>IFERROR(IF('Invullen groen'!E72&gt;0,'Invullen groen'!A72,""),"")</f>
        <v/>
      </c>
      <c r="C60" s="536">
        <f>IFERROR(IF('Invullen groen'!E72&gt;0,'Invullen groen'!C72,""),"")</f>
        <v/>
      </c>
      <c r="D60" s="536">
        <f>IFERROR(IF('Invullen groen'!E72&gt;0,'Invullen groen'!D72,""),"")</f>
        <v/>
      </c>
      <c r="E60" s="536">
        <f>IFERROR(IF('Invullen groen'!E72&gt;0,'Invullen groen'!G72,""),"")</f>
        <v/>
      </c>
      <c r="F60" s="537">
        <f>IFERROR(IF('Invullen groen'!H72&lt;&gt;0,'Invullen groen'!H72,""),"")</f>
        <v/>
      </c>
      <c r="G60" s="537">
        <f>IFERROR(IF('Invullen groen'!I72&lt;&gt;0,'Invullen groen'!I72,""),"")</f>
        <v/>
      </c>
      <c r="H60" s="537">
        <f>IFERROR(IF('Invullen groen'!J72&lt;&gt;0,'Invullen groen'!J72,""),"")</f>
        <v/>
      </c>
      <c r="I60" s="537">
        <f>IFERROR(IF('Invullen groen'!K72&lt;&gt;0,'Invullen groen'!K72,""),"")</f>
        <v/>
      </c>
    </row>
    <row r="61" ht="15" customHeight="1">
      <c r="A61" s="534">
        <f>IFERROR(IF('Invullen groen'!E73&gt;0,57,""),"")</f>
        <v/>
      </c>
      <c r="B61" s="534">
        <f>IFERROR(IF('Invullen groen'!E73&gt;0,'Invullen groen'!A73,""),"")</f>
        <v/>
      </c>
      <c r="C61" s="534">
        <f>IFERROR(IF('Invullen groen'!E73&gt;0,'Invullen groen'!C73,""),"")</f>
        <v/>
      </c>
      <c r="D61" s="534">
        <f>IFERROR(IF('Invullen groen'!E73&gt;0,'Invullen groen'!D73,""),"")</f>
        <v/>
      </c>
      <c r="E61" s="534">
        <f>IFERROR(IF('Invullen groen'!E73&gt;0,'Invullen groen'!G73,""),"")</f>
        <v/>
      </c>
      <c r="F61" s="535">
        <f>IFERROR(IF('Invullen groen'!H73&lt;&gt;0,'Invullen groen'!H73,""),"")</f>
        <v/>
      </c>
      <c r="G61" s="535">
        <f>IFERROR(IF('Invullen groen'!I73&lt;&gt;0,'Invullen groen'!I73,""),"")</f>
        <v/>
      </c>
      <c r="H61" s="535">
        <f>IFERROR(IF('Invullen groen'!J73&lt;&gt;0,'Invullen groen'!J73,""),"")</f>
        <v/>
      </c>
      <c r="I61" s="535">
        <f>IFERROR(IF('Invullen groen'!K73&lt;&gt;0,'Invullen groen'!K73,""),"")</f>
        <v/>
      </c>
    </row>
    <row r="62" ht="15" customHeight="1">
      <c r="A62" s="536">
        <f>IFERROR(IF('Invullen groen'!E74&gt;0,58,""),"")</f>
        <v/>
      </c>
      <c r="B62" s="536">
        <f>IFERROR(IF('Invullen groen'!E74&gt;0,'Invullen groen'!A74,""),"")</f>
        <v/>
      </c>
      <c r="C62" s="536">
        <f>IFERROR(IF('Invullen groen'!E74&gt;0,'Invullen groen'!C74,""),"")</f>
        <v/>
      </c>
      <c r="D62" s="536">
        <f>IFERROR(IF('Invullen groen'!E74&gt;0,'Invullen groen'!D74,""),"")</f>
        <v/>
      </c>
      <c r="E62" s="536">
        <f>IFERROR(IF('Invullen groen'!E74&gt;0,'Invullen groen'!G74,""),"")</f>
        <v/>
      </c>
      <c r="F62" s="537">
        <f>IFERROR(IF('Invullen groen'!H74&lt;&gt;0,'Invullen groen'!H74,""),"")</f>
        <v/>
      </c>
      <c r="G62" s="537">
        <f>IFERROR(IF('Invullen groen'!I74&lt;&gt;0,'Invullen groen'!I74,""),"")</f>
        <v/>
      </c>
      <c r="H62" s="537">
        <f>IFERROR(IF('Invullen groen'!J74&lt;&gt;0,'Invullen groen'!J74,""),"")</f>
        <v/>
      </c>
      <c r="I62" s="537">
        <f>IFERROR(IF('Invullen groen'!K74&lt;&gt;0,'Invullen groen'!K74,""),"")</f>
        <v/>
      </c>
    </row>
    <row r="63" ht="15" customHeight="1">
      <c r="A63" s="534">
        <f>IFERROR(IF('Invullen groen'!E78&gt;0,59,""),"")</f>
        <v/>
      </c>
      <c r="B63" s="534">
        <f>IFERROR(IF('Invullen groen'!E78&gt;0,'Invullen groen'!A78,""),"")</f>
        <v/>
      </c>
      <c r="C63" s="534">
        <f>IFERROR(IF('Invullen groen'!E78&gt;0,'Invullen groen'!C78,""),"")</f>
        <v/>
      </c>
      <c r="D63" s="534">
        <f>IFERROR(IF('Invullen groen'!E78&gt;0,'Invullen groen'!D78,""),"")</f>
        <v/>
      </c>
      <c r="E63" s="534">
        <f>IFERROR(IF('Invullen groen'!E78&gt;0,'Invullen groen'!G78,""),"")</f>
        <v/>
      </c>
      <c r="F63" s="535">
        <f>IFERROR(IF('Invullen groen'!H78&lt;&gt;0,'Invullen groen'!H78,""),"")</f>
        <v/>
      </c>
      <c r="G63" s="535">
        <f>IFERROR(IF('Invullen groen'!I78&lt;&gt;0,'Invullen groen'!I78,""),"")</f>
        <v/>
      </c>
      <c r="H63" s="535">
        <f>IFERROR(IF('Invullen groen'!J78&lt;&gt;0,'Invullen groen'!J78,""),"")</f>
        <v/>
      </c>
      <c r="I63" s="535">
        <f>IFERROR(IF('Invullen groen'!K78&lt;&gt;0,'Invullen groen'!K78,""),"")</f>
        <v/>
      </c>
    </row>
    <row r="64" ht="15" customHeight="1">
      <c r="A64" s="536">
        <f>IFERROR(IF('Invullen groen'!E79&gt;0,60,""),"")</f>
        <v/>
      </c>
      <c r="B64" s="536">
        <f>IFERROR(IF('Invullen groen'!E79&gt;0,'Invullen groen'!A79,""),"")</f>
        <v/>
      </c>
      <c r="C64" s="536">
        <f>IFERROR(IF('Invullen groen'!E79&gt;0,'Invullen groen'!C79,""),"")</f>
        <v/>
      </c>
      <c r="D64" s="536">
        <f>IFERROR(IF('Invullen groen'!E79&gt;0,'Invullen groen'!D79,""),"")</f>
        <v/>
      </c>
      <c r="E64" s="536">
        <f>IFERROR(IF('Invullen groen'!E79&gt;0,'Invullen groen'!G79,""),"")</f>
        <v/>
      </c>
      <c r="F64" s="537">
        <f>IFERROR(IF('Invullen groen'!H79&lt;&gt;0,'Invullen groen'!H79,""),"")</f>
        <v/>
      </c>
      <c r="G64" s="537">
        <f>IFERROR(IF('Invullen groen'!I79&lt;&gt;0,'Invullen groen'!I79,""),"")</f>
        <v/>
      </c>
      <c r="H64" s="537">
        <f>IFERROR(IF('Invullen groen'!J79&lt;&gt;0,'Invullen groen'!J79,""),"")</f>
        <v/>
      </c>
      <c r="I64" s="537">
        <f>IFERROR(IF('Invullen groen'!K79&lt;&gt;0,'Invullen groen'!K79,""),"")</f>
        <v/>
      </c>
    </row>
    <row r="65" ht="15" customHeight="1">
      <c r="A65" s="534">
        <f>IFERROR(IF('Invullen groen'!E80&gt;0,61,""),"")</f>
        <v/>
      </c>
      <c r="B65" s="534">
        <f>IFERROR(IF('Invullen groen'!E80&gt;0,'Invullen groen'!A80,""),"")</f>
        <v/>
      </c>
      <c r="C65" s="534">
        <f>IFERROR(IF('Invullen groen'!E80&gt;0,'Invullen groen'!C80,""),"")</f>
        <v/>
      </c>
      <c r="D65" s="534">
        <f>IFERROR(IF('Invullen groen'!E80&gt;0,'Invullen groen'!D80,""),"")</f>
        <v/>
      </c>
      <c r="E65" s="534">
        <f>IFERROR(IF('Invullen groen'!E80&gt;0,'Invullen groen'!G80,""),"")</f>
        <v/>
      </c>
      <c r="F65" s="535">
        <f>IFERROR(IF('Invullen groen'!H80&lt;&gt;0,'Invullen groen'!H80,""),"")</f>
        <v/>
      </c>
      <c r="G65" s="535">
        <f>IFERROR(IF('Invullen groen'!I80&lt;&gt;0,'Invullen groen'!I80,""),"")</f>
        <v/>
      </c>
      <c r="H65" s="535">
        <f>IFERROR(IF('Invullen groen'!J80&lt;&gt;0,'Invullen groen'!J80,""),"")</f>
        <v/>
      </c>
      <c r="I65" s="535">
        <f>IFERROR(IF('Invullen groen'!K80&lt;&gt;0,'Invullen groen'!K80,""),"")</f>
        <v/>
      </c>
    </row>
    <row r="66" ht="15" customHeight="1">
      <c r="A66" s="536">
        <f>IFERROR(IF('Invullen groen'!E81&gt;0,62,""),"")</f>
        <v/>
      </c>
      <c r="B66" s="536">
        <f>IFERROR(IF('Invullen groen'!E81&gt;0,'Invullen groen'!A81,""),"")</f>
        <v/>
      </c>
      <c r="C66" s="536">
        <f>IFERROR(IF('Invullen groen'!E81&gt;0,'Invullen groen'!C81,""),"")</f>
        <v/>
      </c>
      <c r="D66" s="536">
        <f>IFERROR(IF('Invullen groen'!E81&gt;0,'Invullen groen'!D81,""),"")</f>
        <v/>
      </c>
      <c r="E66" s="536">
        <f>IFERROR(IF('Invullen groen'!E81&gt;0,'Invullen groen'!G81,""),"")</f>
        <v/>
      </c>
      <c r="F66" s="537">
        <f>IFERROR(IF('Invullen groen'!H81&lt;&gt;0,'Invullen groen'!H81,""),"")</f>
        <v/>
      </c>
      <c r="G66" s="537">
        <f>IFERROR(IF('Invullen groen'!I81&lt;&gt;0,'Invullen groen'!I81,""),"")</f>
        <v/>
      </c>
      <c r="H66" s="537">
        <f>IFERROR(IF('Invullen groen'!J81&lt;&gt;0,'Invullen groen'!J81,""),"")</f>
        <v/>
      </c>
      <c r="I66" s="537">
        <f>IFERROR(IF('Invullen groen'!K81&lt;&gt;0,'Invullen groen'!K81,""),"")</f>
        <v/>
      </c>
    </row>
    <row r="67" ht="15" customHeight="1">
      <c r="A67" s="534">
        <f>IFERROR(IF('Invullen groen'!E82&gt;0,63,""),"")</f>
        <v/>
      </c>
      <c r="B67" s="534">
        <f>IFERROR(IF('Invullen groen'!E82&gt;0,'Invullen groen'!A82,""),"")</f>
        <v/>
      </c>
      <c r="C67" s="534">
        <f>IFERROR(IF('Invullen groen'!E82&gt;0,'Invullen groen'!C82,""),"")</f>
        <v/>
      </c>
      <c r="D67" s="534">
        <f>IFERROR(IF('Invullen groen'!E82&gt;0,'Invullen groen'!D82,""),"")</f>
        <v/>
      </c>
      <c r="E67" s="534">
        <f>IFERROR(IF('Invullen groen'!E82&gt;0,'Invullen groen'!G82,""),"")</f>
        <v/>
      </c>
      <c r="F67" s="535">
        <f>IFERROR(IF('Invullen groen'!H82&lt;&gt;0,'Invullen groen'!H82,""),"")</f>
        <v/>
      </c>
      <c r="G67" s="535">
        <f>IFERROR(IF('Invullen groen'!I82&lt;&gt;0,'Invullen groen'!I82,""),"")</f>
        <v/>
      </c>
      <c r="H67" s="535">
        <f>IFERROR(IF('Invullen groen'!J82&lt;&gt;0,'Invullen groen'!J82,""),"")</f>
        <v/>
      </c>
      <c r="I67" s="535">
        <f>IFERROR(IF('Invullen groen'!K82&lt;&gt;0,'Invullen groen'!K82,""),"")</f>
        <v/>
      </c>
    </row>
    <row r="68" ht="15" customHeight="1">
      <c r="A68" s="536">
        <f>IFERROR(IF('Invullen groen'!E83&gt;0,64,""),"")</f>
        <v/>
      </c>
      <c r="B68" s="536">
        <f>IFERROR(IF('Invullen groen'!E83&gt;0,'Invullen groen'!A83,""),"")</f>
        <v/>
      </c>
      <c r="C68" s="536">
        <f>IFERROR(IF('Invullen groen'!E83&gt;0,'Invullen groen'!C83,""),"")</f>
        <v/>
      </c>
      <c r="D68" s="536">
        <f>IFERROR(IF('Invullen groen'!E83&gt;0,'Invullen groen'!D83,""),"")</f>
        <v/>
      </c>
      <c r="E68" s="536">
        <f>IFERROR(IF('Invullen groen'!E83&gt;0,'Invullen groen'!G83,""),"")</f>
        <v/>
      </c>
      <c r="F68" s="537">
        <f>IFERROR(IF('Invullen groen'!H83&lt;&gt;0,'Invullen groen'!H83,""),"")</f>
        <v/>
      </c>
      <c r="G68" s="537">
        <f>IFERROR(IF('Invullen groen'!I83&lt;&gt;0,'Invullen groen'!I83,""),"")</f>
        <v/>
      </c>
      <c r="H68" s="537">
        <f>IFERROR(IF('Invullen groen'!J83&lt;&gt;0,'Invullen groen'!J83,""),"")</f>
        <v/>
      </c>
      <c r="I68" s="537">
        <f>IFERROR(IF('Invullen groen'!K83&lt;&gt;0,'Invullen groen'!K83,""),"")</f>
        <v/>
      </c>
    </row>
    <row r="69" ht="15" customHeight="1">
      <c r="A69" s="534">
        <f>IFERROR(IF('Invullen groen'!E84&gt;0,65,""),"")</f>
        <v/>
      </c>
      <c r="B69" s="534">
        <f>IFERROR(IF('Invullen groen'!E84&gt;0,'Invullen groen'!A84,""),"")</f>
        <v/>
      </c>
      <c r="C69" s="534">
        <f>IFERROR(IF('Invullen groen'!E84&gt;0,'Invullen groen'!C84,""),"")</f>
        <v/>
      </c>
      <c r="D69" s="534">
        <f>IFERROR(IF('Invullen groen'!E84&gt;0,'Invullen groen'!D84,""),"")</f>
        <v/>
      </c>
      <c r="E69" s="534">
        <f>IFERROR(IF('Invullen groen'!E84&gt;0,'Invullen groen'!G84,""),"")</f>
        <v/>
      </c>
      <c r="F69" s="535">
        <f>IFERROR(IF('Invullen groen'!H84&lt;&gt;0,'Invullen groen'!H84,""),"")</f>
        <v/>
      </c>
      <c r="G69" s="535">
        <f>IFERROR(IF('Invullen groen'!I84&lt;&gt;0,'Invullen groen'!I84,""),"")</f>
        <v/>
      </c>
      <c r="H69" s="535">
        <f>IFERROR(IF('Invullen groen'!J84&lt;&gt;0,'Invullen groen'!J84,""),"")</f>
        <v/>
      </c>
      <c r="I69" s="535">
        <f>IFERROR(IF('Invullen groen'!K84&lt;&gt;0,'Invullen groen'!K84,""),"")</f>
        <v/>
      </c>
    </row>
    <row r="70" ht="15" customHeight="1">
      <c r="A70" s="536">
        <f>IFERROR(IF('Invullen groen'!E85&gt;0,66,""),"")</f>
        <v/>
      </c>
      <c r="B70" s="536">
        <f>IFERROR(IF('Invullen groen'!E85&gt;0,'Invullen groen'!A85,""),"")</f>
        <v/>
      </c>
      <c r="C70" s="536">
        <f>IFERROR(IF('Invullen groen'!E85&gt;0,'Invullen groen'!C85,""),"")</f>
        <v/>
      </c>
      <c r="D70" s="536">
        <f>IFERROR(IF('Invullen groen'!E85&gt;0,'Invullen groen'!D85,""),"")</f>
        <v/>
      </c>
      <c r="E70" s="536">
        <f>IFERROR(IF('Invullen groen'!E85&gt;0,'Invullen groen'!G85,""),"")</f>
        <v/>
      </c>
      <c r="F70" s="537">
        <f>IFERROR(IF('Invullen groen'!H85&lt;&gt;0,'Invullen groen'!H85,""),"")</f>
        <v/>
      </c>
      <c r="G70" s="537">
        <f>IFERROR(IF('Invullen groen'!I85&lt;&gt;0,'Invullen groen'!I85,""),"")</f>
        <v/>
      </c>
      <c r="H70" s="537">
        <f>IFERROR(IF('Invullen groen'!J85&lt;&gt;0,'Invullen groen'!J85,""),"")</f>
        <v/>
      </c>
      <c r="I70" s="537">
        <f>IFERROR(IF('Invullen groen'!K85&lt;&gt;0,'Invullen groen'!K85,""),"")</f>
        <v/>
      </c>
    </row>
    <row r="71" ht="15" customHeight="1">
      <c r="A71" s="534">
        <f>IFERROR(IF('Invullen groen'!E86&gt;0,67,""),"")</f>
        <v/>
      </c>
      <c r="B71" s="534">
        <f>IFERROR(IF('Invullen groen'!E86&gt;0,'Invullen groen'!A86,""),"")</f>
        <v/>
      </c>
      <c r="C71" s="534">
        <f>IFERROR(IF('Invullen groen'!E86&gt;0,'Invullen groen'!C86,""),"")</f>
        <v/>
      </c>
      <c r="D71" s="534">
        <f>IFERROR(IF('Invullen groen'!E86&gt;0,'Invullen groen'!D86,""),"")</f>
        <v/>
      </c>
      <c r="E71" s="534">
        <f>IFERROR(IF('Invullen groen'!E86&gt;0,'Invullen groen'!G86,""),"")</f>
        <v/>
      </c>
      <c r="F71" s="535">
        <f>IFERROR(IF('Invullen groen'!H86&lt;&gt;0,'Invullen groen'!H86,""),"")</f>
        <v/>
      </c>
      <c r="G71" s="535">
        <f>IFERROR(IF('Invullen groen'!I86&lt;&gt;0,'Invullen groen'!I86,""),"")</f>
        <v/>
      </c>
      <c r="H71" s="535">
        <f>IFERROR(IF('Invullen groen'!J86&lt;&gt;0,'Invullen groen'!J86,""),"")</f>
        <v/>
      </c>
      <c r="I71" s="535">
        <f>IFERROR(IF('Invullen groen'!K86&lt;&gt;0,'Invullen groen'!K86,""),"")</f>
        <v/>
      </c>
    </row>
    <row r="72" ht="15" customHeight="1">
      <c r="A72" s="536">
        <f>IFERROR(IF('Invullen groen'!E87&gt;0,68,""),"")</f>
        <v/>
      </c>
      <c r="B72" s="536">
        <f>IFERROR(IF('Invullen groen'!E87&gt;0,'Invullen groen'!A87,""),"")</f>
        <v/>
      </c>
      <c r="C72" s="536">
        <f>IFERROR(IF('Invullen groen'!E87&gt;0,'Invullen groen'!C87,""),"")</f>
        <v/>
      </c>
      <c r="D72" s="536">
        <f>IFERROR(IF('Invullen groen'!E87&gt;0,'Invullen groen'!D87,""),"")</f>
        <v/>
      </c>
      <c r="E72" s="536">
        <f>IFERROR(IF('Invullen groen'!E87&gt;0,'Invullen groen'!G87,""),"")</f>
        <v/>
      </c>
      <c r="F72" s="537">
        <f>IFERROR(IF('Invullen groen'!H87&lt;&gt;0,'Invullen groen'!H87,""),"")</f>
        <v/>
      </c>
      <c r="G72" s="537">
        <f>IFERROR(IF('Invullen groen'!I87&lt;&gt;0,'Invullen groen'!I87,""),"")</f>
        <v/>
      </c>
      <c r="H72" s="537">
        <f>IFERROR(IF('Invullen groen'!J87&lt;&gt;0,'Invullen groen'!J87,""),"")</f>
        <v/>
      </c>
      <c r="I72" s="537">
        <f>IFERROR(IF('Invullen groen'!K87&lt;&gt;0,'Invullen groen'!K87,""),"")</f>
        <v/>
      </c>
    </row>
    <row r="73" ht="15" customHeight="1">
      <c r="A73" s="534">
        <f>IFERROR(IF('Invullen groen'!E88&gt;0,69,""),"")</f>
        <v/>
      </c>
      <c r="B73" s="534">
        <f>IFERROR(IF('Invullen groen'!E88&gt;0,'Invullen groen'!A88,""),"")</f>
        <v/>
      </c>
      <c r="C73" s="534">
        <f>IFERROR(IF('Invullen groen'!E88&gt;0,'Invullen groen'!C88,""),"")</f>
        <v/>
      </c>
      <c r="D73" s="534">
        <f>IFERROR(IF('Invullen groen'!E88&gt;0,'Invullen groen'!D88,""),"")</f>
        <v/>
      </c>
      <c r="E73" s="534">
        <f>IFERROR(IF('Invullen groen'!E88&gt;0,'Invullen groen'!G88,""),"")</f>
        <v/>
      </c>
      <c r="F73" s="535">
        <f>IFERROR(IF('Invullen groen'!H88&lt;&gt;0,'Invullen groen'!H88,""),"")</f>
        <v/>
      </c>
      <c r="G73" s="535">
        <f>IFERROR(IF('Invullen groen'!I88&lt;&gt;0,'Invullen groen'!I88,""),"")</f>
        <v/>
      </c>
      <c r="H73" s="535">
        <f>IFERROR(IF('Invullen groen'!J88&lt;&gt;0,'Invullen groen'!J88,""),"")</f>
        <v/>
      </c>
      <c r="I73" s="535">
        <f>IFERROR(IF('Invullen groen'!K88&lt;&gt;0,'Invullen groen'!K88,""),"")</f>
        <v/>
      </c>
    </row>
    <row r="74" ht="15" customHeight="1">
      <c r="A74" s="536">
        <f>IFERROR(IF('Invullen groen'!E89&gt;0,70,""),"")</f>
        <v/>
      </c>
      <c r="B74" s="536">
        <f>IFERROR(IF('Invullen groen'!E89&gt;0,'Invullen groen'!A89,""),"")</f>
        <v/>
      </c>
      <c r="C74" s="536">
        <f>IFERROR(IF('Invullen groen'!E89&gt;0,'Invullen groen'!C89,""),"")</f>
        <v/>
      </c>
      <c r="D74" s="536">
        <f>IFERROR(IF('Invullen groen'!E89&gt;0,'Invullen groen'!D89,""),"")</f>
        <v/>
      </c>
      <c r="E74" s="536">
        <f>IFERROR(IF('Invullen groen'!E89&gt;0,'Invullen groen'!G89,""),"")</f>
        <v/>
      </c>
      <c r="F74" s="537">
        <f>IFERROR(IF('Invullen groen'!H89&lt;&gt;0,'Invullen groen'!H89,""),"")</f>
        <v/>
      </c>
      <c r="G74" s="537">
        <f>IFERROR(IF('Invullen groen'!I89&lt;&gt;0,'Invullen groen'!I89,""),"")</f>
        <v/>
      </c>
      <c r="H74" s="537">
        <f>IFERROR(IF('Invullen groen'!J89&lt;&gt;0,'Invullen groen'!J89,""),"")</f>
        <v/>
      </c>
      <c r="I74" s="537">
        <f>IFERROR(IF('Invullen groen'!K89&lt;&gt;0,'Invullen groen'!K89,""),"")</f>
        <v/>
      </c>
    </row>
    <row r="75" ht="15" customHeight="1">
      <c r="A75" s="534">
        <f>IFERROR(IF('Invullen groen'!E90&gt;0,71,""),"")</f>
        <v/>
      </c>
      <c r="B75" s="534">
        <f>IFERROR(IF('Invullen groen'!E90&gt;0,'Invullen groen'!A90,""),"")</f>
        <v/>
      </c>
      <c r="C75" s="534">
        <f>IFERROR(IF('Invullen groen'!E90&gt;0,'Invullen groen'!C90,""),"")</f>
        <v/>
      </c>
      <c r="D75" s="534">
        <f>IFERROR(IF('Invullen groen'!E90&gt;0,'Invullen groen'!D90,""),"")</f>
        <v/>
      </c>
      <c r="E75" s="534">
        <f>IFERROR(IF('Invullen groen'!E90&gt;0,'Invullen groen'!G90,""),"")</f>
        <v/>
      </c>
      <c r="F75" s="535">
        <f>IFERROR(IF('Invullen groen'!H90&lt;&gt;0,'Invullen groen'!H90,""),"")</f>
        <v/>
      </c>
      <c r="G75" s="535">
        <f>IFERROR(IF('Invullen groen'!I90&lt;&gt;0,'Invullen groen'!I90,""),"")</f>
        <v/>
      </c>
      <c r="H75" s="535">
        <f>IFERROR(IF('Invullen groen'!J90&lt;&gt;0,'Invullen groen'!J90,""),"")</f>
        <v/>
      </c>
      <c r="I75" s="535">
        <f>IFERROR(IF('Invullen groen'!K90&lt;&gt;0,'Invullen groen'!K90,""),"")</f>
        <v/>
      </c>
    </row>
    <row r="76" ht="15" customHeight="1">
      <c r="A76" s="536">
        <f>IFERROR(IF('Invullen groen'!E91&gt;0,72,""),"")</f>
        <v/>
      </c>
      <c r="B76" s="536">
        <f>IFERROR(IF('Invullen groen'!E91&gt;0,'Invullen groen'!A91,""),"")</f>
        <v/>
      </c>
      <c r="C76" s="536">
        <f>IFERROR(IF('Invullen groen'!E91&gt;0,'Invullen groen'!C91,""),"")</f>
        <v/>
      </c>
      <c r="D76" s="536">
        <f>IFERROR(IF('Invullen groen'!E91&gt;0,'Invullen groen'!D91,""),"")</f>
        <v/>
      </c>
      <c r="E76" s="536">
        <f>IFERROR(IF('Invullen groen'!E91&gt;0,'Invullen groen'!G91,""),"")</f>
        <v/>
      </c>
      <c r="F76" s="537">
        <f>IFERROR(IF('Invullen groen'!H91&lt;&gt;0,'Invullen groen'!H91,""),"")</f>
        <v/>
      </c>
      <c r="G76" s="537">
        <f>IFERROR(IF('Invullen groen'!I91&lt;&gt;0,'Invullen groen'!I91,""),"")</f>
        <v/>
      </c>
      <c r="H76" s="537">
        <f>IFERROR(IF('Invullen groen'!J91&lt;&gt;0,'Invullen groen'!J91,""),"")</f>
        <v/>
      </c>
      <c r="I76" s="537">
        <f>IFERROR(IF('Invullen groen'!K91&lt;&gt;0,'Invullen groen'!K91,""),"")</f>
        <v/>
      </c>
    </row>
    <row r="77" ht="15" customHeight="1">
      <c r="A77" s="534">
        <f>IFERROR(IF('Invullen groen'!E92&gt;0,73,""),"")</f>
        <v/>
      </c>
      <c r="B77" s="534">
        <f>IFERROR(IF('Invullen groen'!E92&gt;0,'Invullen groen'!A92,""),"")</f>
        <v/>
      </c>
      <c r="C77" s="534">
        <f>IFERROR(IF('Invullen groen'!E92&gt;0,'Invullen groen'!C92,""),"")</f>
        <v/>
      </c>
      <c r="D77" s="534">
        <f>IFERROR(IF('Invullen groen'!E92&gt;0,'Invullen groen'!D92,""),"")</f>
        <v/>
      </c>
      <c r="E77" s="534">
        <f>IFERROR(IF('Invullen groen'!E92&gt;0,'Invullen groen'!G92,""),"")</f>
        <v/>
      </c>
      <c r="F77" s="535">
        <f>IFERROR(IF('Invullen groen'!H92&lt;&gt;0,'Invullen groen'!H92,""),"")</f>
        <v/>
      </c>
      <c r="G77" s="535">
        <f>IFERROR(IF('Invullen groen'!I92&lt;&gt;0,'Invullen groen'!I92,""),"")</f>
        <v/>
      </c>
      <c r="H77" s="535">
        <f>IFERROR(IF('Invullen groen'!J92&lt;&gt;0,'Invullen groen'!J92,""),"")</f>
        <v/>
      </c>
      <c r="I77" s="535">
        <f>IFERROR(IF('Invullen groen'!K92&lt;&gt;0,'Invullen groen'!K92,""),"")</f>
        <v/>
      </c>
    </row>
    <row r="78" ht="15" customHeight="1">
      <c r="A78" s="536">
        <f>IFERROR(IF('Invullen groen'!E93&gt;0,74,""),"")</f>
        <v/>
      </c>
      <c r="B78" s="536">
        <f>IFERROR(IF('Invullen groen'!E93&gt;0,'Invullen groen'!A93,""),"")</f>
        <v/>
      </c>
      <c r="C78" s="536">
        <f>IFERROR(IF('Invullen groen'!E93&gt;0,'Invullen groen'!C93,""),"")</f>
        <v/>
      </c>
      <c r="D78" s="536">
        <f>IFERROR(IF('Invullen groen'!E93&gt;0,'Invullen groen'!D93,""),"")</f>
        <v/>
      </c>
      <c r="E78" s="536">
        <f>IFERROR(IF('Invullen groen'!E93&gt;0,'Invullen groen'!G93,""),"")</f>
        <v/>
      </c>
      <c r="F78" s="537">
        <f>IFERROR(IF('Invullen groen'!H93&lt;&gt;0,'Invullen groen'!H93,""),"")</f>
        <v/>
      </c>
      <c r="G78" s="537">
        <f>IFERROR(IF('Invullen groen'!I93&lt;&gt;0,'Invullen groen'!I93,""),"")</f>
        <v/>
      </c>
      <c r="H78" s="537">
        <f>IFERROR(IF('Invullen groen'!J93&lt;&gt;0,'Invullen groen'!J93,""),"")</f>
        <v/>
      </c>
      <c r="I78" s="537">
        <f>IFERROR(IF('Invullen groen'!K93&lt;&gt;0,'Invullen groen'!K93,""),"")</f>
        <v/>
      </c>
    </row>
    <row r="79" ht="15" customHeight="1">
      <c r="A79" s="534">
        <f>IFERROR(IF('Invullen groen'!E94&gt;0,75,""),"")</f>
        <v/>
      </c>
      <c r="B79" s="534">
        <f>IFERROR(IF('Invullen groen'!E94&gt;0,'Invullen groen'!A94,""),"")</f>
        <v/>
      </c>
      <c r="C79" s="534">
        <f>IFERROR(IF('Invullen groen'!E94&gt;0,'Invullen groen'!C94,""),"")</f>
        <v/>
      </c>
      <c r="D79" s="534">
        <f>IFERROR(IF('Invullen groen'!E94&gt;0,'Invullen groen'!D94,""),"")</f>
        <v/>
      </c>
      <c r="E79" s="534">
        <f>IFERROR(IF('Invullen groen'!E94&gt;0,'Invullen groen'!G94,""),"")</f>
        <v/>
      </c>
      <c r="F79" s="535">
        <f>IFERROR(IF('Invullen groen'!H94&lt;&gt;0,'Invullen groen'!H94,""),"")</f>
        <v/>
      </c>
      <c r="G79" s="535">
        <f>IFERROR(IF('Invullen groen'!I94&lt;&gt;0,'Invullen groen'!I94,""),"")</f>
        <v/>
      </c>
      <c r="H79" s="535">
        <f>IFERROR(IF('Invullen groen'!J94&lt;&gt;0,'Invullen groen'!J94,""),"")</f>
        <v/>
      </c>
      <c r="I79" s="535">
        <f>IFERROR(IF('Invullen groen'!K94&lt;&gt;0,'Invullen groen'!K94,""),"")</f>
        <v/>
      </c>
    </row>
    <row r="80" ht="15" customHeight="1">
      <c r="A80" s="536">
        <f>IFERROR(IF('Invullen groen'!E95&gt;0,76,""),"")</f>
        <v/>
      </c>
      <c r="B80" s="536">
        <f>IFERROR(IF('Invullen groen'!E95&gt;0,'Invullen groen'!A95,""),"")</f>
        <v/>
      </c>
      <c r="C80" s="536">
        <f>IFERROR(IF('Invullen groen'!E95&gt;0,'Invullen groen'!C95,""),"")</f>
        <v/>
      </c>
      <c r="D80" s="536">
        <f>IFERROR(IF('Invullen groen'!E95&gt;0,'Invullen groen'!D95,""),"")</f>
        <v/>
      </c>
      <c r="E80" s="536">
        <f>IFERROR(IF('Invullen groen'!E95&gt;0,'Invullen groen'!G95,""),"")</f>
        <v/>
      </c>
      <c r="F80" s="537">
        <f>IFERROR(IF('Invullen groen'!H95&lt;&gt;0,'Invullen groen'!H95,""),"")</f>
        <v/>
      </c>
      <c r="G80" s="537">
        <f>IFERROR(IF('Invullen groen'!I95&lt;&gt;0,'Invullen groen'!I95,""),"")</f>
        <v/>
      </c>
      <c r="H80" s="537">
        <f>IFERROR(IF('Invullen groen'!J95&lt;&gt;0,'Invullen groen'!J95,""),"")</f>
        <v/>
      </c>
      <c r="I80" s="537">
        <f>IFERROR(IF('Invullen groen'!K95&lt;&gt;0,'Invullen groen'!K95,""),"")</f>
        <v/>
      </c>
    </row>
    <row r="81" ht="15" customHeight="1">
      <c r="A81" s="534">
        <f>IFERROR(IF('Invullen groen'!E96&gt;0,77,""),"")</f>
        <v/>
      </c>
      <c r="B81" s="534">
        <f>IFERROR(IF('Invullen groen'!E96&gt;0,'Invullen groen'!A96,""),"")</f>
        <v/>
      </c>
      <c r="C81" s="534">
        <f>IFERROR(IF('Invullen groen'!E96&gt;0,'Invullen groen'!C96,""),"")</f>
        <v/>
      </c>
      <c r="D81" s="534">
        <f>IFERROR(IF('Invullen groen'!E96&gt;0,'Invullen groen'!D96,""),"")</f>
        <v/>
      </c>
      <c r="E81" s="534">
        <f>IFERROR(IF('Invullen groen'!E96&gt;0,'Invullen groen'!G96,""),"")</f>
        <v/>
      </c>
      <c r="F81" s="535">
        <f>IFERROR(IF('Invullen groen'!H96&lt;&gt;0,'Invullen groen'!H96,""),"")</f>
        <v/>
      </c>
      <c r="G81" s="535">
        <f>IFERROR(IF('Invullen groen'!I96&lt;&gt;0,'Invullen groen'!I96,""),"")</f>
        <v/>
      </c>
      <c r="H81" s="535">
        <f>IFERROR(IF('Invullen groen'!J96&lt;&gt;0,'Invullen groen'!J96,""),"")</f>
        <v/>
      </c>
      <c r="I81" s="535">
        <f>IFERROR(IF('Invullen groen'!K96&lt;&gt;0,'Invullen groen'!K96,""),"")</f>
        <v/>
      </c>
    </row>
    <row r="82" ht="15" customHeight="1">
      <c r="A82" s="536">
        <f>IFERROR(IF('Invullen groen'!E97&gt;0,78,""),"")</f>
        <v/>
      </c>
      <c r="B82" s="536">
        <f>IFERROR(IF('Invullen groen'!E97&gt;0,'Invullen groen'!A97,""),"")</f>
        <v/>
      </c>
      <c r="C82" s="536">
        <f>IFERROR(IF('Invullen groen'!E97&gt;0,'Invullen groen'!C97,""),"")</f>
        <v/>
      </c>
      <c r="D82" s="536">
        <f>IFERROR(IF('Invullen groen'!E97&gt;0,'Invullen groen'!D97,""),"")</f>
        <v/>
      </c>
      <c r="E82" s="536">
        <f>IFERROR(IF('Invullen groen'!E97&gt;0,'Invullen groen'!G97,""),"")</f>
        <v/>
      </c>
      <c r="F82" s="537">
        <f>IFERROR(IF('Invullen groen'!H97&lt;&gt;0,'Invullen groen'!H97,""),"")</f>
        <v/>
      </c>
      <c r="G82" s="537">
        <f>IFERROR(IF('Invullen groen'!I97&lt;&gt;0,'Invullen groen'!I97,""),"")</f>
        <v/>
      </c>
      <c r="H82" s="537">
        <f>IFERROR(IF('Invullen groen'!J97&lt;&gt;0,'Invullen groen'!J97,""),"")</f>
        <v/>
      </c>
      <c r="I82" s="537">
        <f>IFERROR(IF('Invullen groen'!K97&lt;&gt;0,'Invullen groen'!K97,""),"")</f>
        <v/>
      </c>
    </row>
    <row r="83" ht="15" customHeight="1">
      <c r="A83" s="534">
        <f>IFERROR(IF('Invullen groen'!E98&gt;0,79,""),"")</f>
        <v/>
      </c>
      <c r="B83" s="534">
        <f>IFERROR(IF('Invullen groen'!E98&gt;0,'Invullen groen'!A98,""),"")</f>
        <v/>
      </c>
      <c r="C83" s="534">
        <f>IFERROR(IF('Invullen groen'!E98&gt;0,'Invullen groen'!C98,""),"")</f>
        <v/>
      </c>
      <c r="D83" s="534">
        <f>IFERROR(IF('Invullen groen'!E98&gt;0,'Invullen groen'!D98,""),"")</f>
        <v/>
      </c>
      <c r="E83" s="534">
        <f>IFERROR(IF('Invullen groen'!E98&gt;0,'Invullen groen'!G98,""),"")</f>
        <v/>
      </c>
      <c r="F83" s="535">
        <f>IFERROR(IF('Invullen groen'!H98&lt;&gt;0,'Invullen groen'!H98,""),"")</f>
        <v/>
      </c>
      <c r="G83" s="535">
        <f>IFERROR(IF('Invullen groen'!I98&lt;&gt;0,'Invullen groen'!I98,""),"")</f>
        <v/>
      </c>
      <c r="H83" s="535">
        <f>IFERROR(IF('Invullen groen'!J98&lt;&gt;0,'Invullen groen'!J98,""),"")</f>
        <v/>
      </c>
      <c r="I83" s="535">
        <f>IFERROR(IF('Invullen groen'!K98&lt;&gt;0,'Invullen groen'!K98,""),"")</f>
        <v/>
      </c>
    </row>
    <row r="84" ht="15" customHeight="1">
      <c r="A84" s="536">
        <f>IFERROR(IF('Invullen groen'!E99&gt;0,80,""),"")</f>
        <v/>
      </c>
      <c r="B84" s="536">
        <f>IFERROR(IF('Invullen groen'!E99&gt;0,'Invullen groen'!A99,""),"")</f>
        <v/>
      </c>
      <c r="C84" s="536">
        <f>IFERROR(IF('Invullen groen'!E99&gt;0,'Invullen groen'!C99,""),"")</f>
        <v/>
      </c>
      <c r="D84" s="536">
        <f>IFERROR(IF('Invullen groen'!E99&gt;0,'Invullen groen'!D99,""),"")</f>
        <v/>
      </c>
      <c r="E84" s="536">
        <f>IFERROR(IF('Invullen groen'!E99&gt;0,'Invullen groen'!G99,""),"")</f>
        <v/>
      </c>
      <c r="F84" s="537">
        <f>IFERROR(IF('Invullen groen'!H99&lt;&gt;0,'Invullen groen'!H99,""),"")</f>
        <v/>
      </c>
      <c r="G84" s="537">
        <f>IFERROR(IF('Invullen groen'!I99&lt;&gt;0,'Invullen groen'!I99,""),"")</f>
        <v/>
      </c>
      <c r="H84" s="537">
        <f>IFERROR(IF('Invullen groen'!J99&lt;&gt;0,'Invullen groen'!J99,""),"")</f>
        <v/>
      </c>
      <c r="I84" s="537">
        <f>IFERROR(IF('Invullen groen'!K99&lt;&gt;0,'Invullen groen'!K99,""),"")</f>
        <v/>
      </c>
    </row>
    <row r="85" ht="15" customHeight="1">
      <c r="A85" s="534">
        <f>IFERROR(IF('Invullen groen'!E100&gt;0,81,""),"")</f>
        <v/>
      </c>
      <c r="B85" s="534">
        <f>IFERROR(IF('Invullen groen'!E100&gt;0,'Invullen groen'!A100,""),"")</f>
        <v/>
      </c>
      <c r="C85" s="534">
        <f>IFERROR(IF('Invullen groen'!E100&gt;0,'Invullen groen'!C100,""),"")</f>
        <v/>
      </c>
      <c r="D85" s="534">
        <f>IFERROR(IF('Invullen groen'!E100&gt;0,'Invullen groen'!D100,""),"")</f>
        <v/>
      </c>
      <c r="E85" s="534">
        <f>IFERROR(IF('Invullen groen'!E100&gt;0,'Invullen groen'!G100,""),"")</f>
        <v/>
      </c>
      <c r="F85" s="535">
        <f>IFERROR(IF('Invullen groen'!H100&lt;&gt;0,'Invullen groen'!H100,""),"")</f>
        <v/>
      </c>
      <c r="G85" s="535">
        <f>IFERROR(IF('Invullen groen'!I100&lt;&gt;0,'Invullen groen'!I100,""),"")</f>
        <v/>
      </c>
      <c r="H85" s="535">
        <f>IFERROR(IF('Invullen groen'!J100&lt;&gt;0,'Invullen groen'!J100,""),"")</f>
        <v/>
      </c>
      <c r="I85" s="535">
        <f>IFERROR(IF('Invullen groen'!K100&lt;&gt;0,'Invullen groen'!K100,""),"")</f>
        <v/>
      </c>
    </row>
    <row r="86" ht="15" customHeight="1">
      <c r="A86" s="536">
        <f>IFERROR(IF('Invullen groen'!E101&gt;0,82,""),"")</f>
        <v/>
      </c>
      <c r="B86" s="536">
        <f>IFERROR(IF('Invullen groen'!E101&gt;0,'Invullen groen'!A101,""),"")</f>
        <v/>
      </c>
      <c r="C86" s="536">
        <f>IFERROR(IF('Invullen groen'!E101&gt;0,'Invullen groen'!C101,""),"")</f>
        <v/>
      </c>
      <c r="D86" s="536">
        <f>IFERROR(IF('Invullen groen'!E101&gt;0,'Invullen groen'!D101,""),"")</f>
        <v/>
      </c>
      <c r="E86" s="536">
        <f>IFERROR(IF('Invullen groen'!E101&gt;0,'Invullen groen'!G101,""),"")</f>
        <v/>
      </c>
      <c r="F86" s="537">
        <f>IFERROR(IF('Invullen groen'!H101&lt;&gt;0,'Invullen groen'!H101,""),"")</f>
        <v/>
      </c>
      <c r="G86" s="537">
        <f>IFERROR(IF('Invullen groen'!I101&lt;&gt;0,'Invullen groen'!I101,""),"")</f>
        <v/>
      </c>
      <c r="H86" s="537">
        <f>IFERROR(IF('Invullen groen'!J101&lt;&gt;0,'Invullen groen'!J101,""),"")</f>
        <v/>
      </c>
      <c r="I86" s="537">
        <f>IFERROR(IF('Invullen groen'!K101&lt;&gt;0,'Invullen groen'!K101,""),"")</f>
        <v/>
      </c>
    </row>
    <row r="87" ht="15" customHeight="1">
      <c r="A87" s="534">
        <f>IFERROR(IF('Invullen groen'!E102&gt;0,83,""),"")</f>
        <v/>
      </c>
      <c r="B87" s="534">
        <f>IFERROR(IF('Invullen groen'!E102&gt;0,'Invullen groen'!A102,""),"")</f>
        <v/>
      </c>
      <c r="C87" s="534">
        <f>IFERROR(IF('Invullen groen'!E102&gt;0,'Invullen groen'!C102,""),"")</f>
        <v/>
      </c>
      <c r="D87" s="534">
        <f>IFERROR(IF('Invullen groen'!E102&gt;0,'Invullen groen'!D102,""),"")</f>
        <v/>
      </c>
      <c r="E87" s="534">
        <f>IFERROR(IF('Invullen groen'!E102&gt;0,'Invullen groen'!G102,""),"")</f>
        <v/>
      </c>
      <c r="F87" s="535">
        <f>IFERROR(IF('Invullen groen'!H102&lt;&gt;0,'Invullen groen'!H102,""),"")</f>
        <v/>
      </c>
      <c r="G87" s="535">
        <f>IFERROR(IF('Invullen groen'!I102&lt;&gt;0,'Invullen groen'!I102,""),"")</f>
        <v/>
      </c>
      <c r="H87" s="535">
        <f>IFERROR(IF('Invullen groen'!J102&lt;&gt;0,'Invullen groen'!J102,""),"")</f>
        <v/>
      </c>
      <c r="I87" s="535">
        <f>IFERROR(IF('Invullen groen'!K102&lt;&gt;0,'Invullen groen'!K102,""),"")</f>
        <v/>
      </c>
    </row>
    <row r="88" ht="15" customHeight="1">
      <c r="A88" s="536">
        <f>IFERROR(IF('Invullen groen'!E103&gt;0,84,""),"")</f>
        <v/>
      </c>
      <c r="B88" s="536">
        <f>IFERROR(IF('Invullen groen'!E103&gt;0,'Invullen groen'!A103,""),"")</f>
        <v/>
      </c>
      <c r="C88" s="536">
        <f>IFERROR(IF('Invullen groen'!E103&gt;0,'Invullen groen'!C103,""),"")</f>
        <v/>
      </c>
      <c r="D88" s="536">
        <f>IFERROR(IF('Invullen groen'!E103&gt;0,'Invullen groen'!D103,""),"")</f>
        <v/>
      </c>
      <c r="E88" s="536">
        <f>IFERROR(IF('Invullen groen'!E103&gt;0,'Invullen groen'!G103,""),"")</f>
        <v/>
      </c>
      <c r="F88" s="537">
        <f>IFERROR(IF('Invullen groen'!H103&lt;&gt;0,'Invullen groen'!H103,""),"")</f>
        <v/>
      </c>
      <c r="G88" s="537">
        <f>IFERROR(IF('Invullen groen'!I103&lt;&gt;0,'Invullen groen'!I103,""),"")</f>
        <v/>
      </c>
      <c r="H88" s="537">
        <f>IFERROR(IF('Invullen groen'!J103&lt;&gt;0,'Invullen groen'!J103,""),"")</f>
        <v/>
      </c>
      <c r="I88" s="537">
        <f>IFERROR(IF('Invullen groen'!K103&lt;&gt;0,'Invullen groen'!K103,""),"")</f>
        <v/>
      </c>
    </row>
    <row r="89" ht="15" customHeight="1">
      <c r="A89" s="534">
        <f>IFERROR(IF('Invullen groen'!E104&gt;0,85,""),"")</f>
        <v/>
      </c>
      <c r="B89" s="534">
        <f>IFERROR(IF('Invullen groen'!E104&gt;0,'Invullen groen'!A104,""),"")</f>
        <v/>
      </c>
      <c r="C89" s="534">
        <f>IFERROR(IF('Invullen groen'!E104&gt;0,'Invullen groen'!C104,""),"")</f>
        <v/>
      </c>
      <c r="D89" s="534">
        <f>IFERROR(IF('Invullen groen'!E104&gt;0,'Invullen groen'!D104,""),"")</f>
        <v/>
      </c>
      <c r="E89" s="534">
        <f>IFERROR(IF('Invullen groen'!E104&gt;0,'Invullen groen'!G104,""),"")</f>
        <v/>
      </c>
      <c r="F89" s="535">
        <f>IFERROR(IF('Invullen groen'!H104&lt;&gt;0,'Invullen groen'!H104,""),"")</f>
        <v/>
      </c>
      <c r="G89" s="535">
        <f>IFERROR(IF('Invullen groen'!I104&lt;&gt;0,'Invullen groen'!I104,""),"")</f>
        <v/>
      </c>
      <c r="H89" s="535">
        <f>IFERROR(IF('Invullen groen'!J104&lt;&gt;0,'Invullen groen'!J104,""),"")</f>
        <v/>
      </c>
      <c r="I89" s="535">
        <f>IFERROR(IF('Invullen groen'!K104&lt;&gt;0,'Invullen groen'!K104,""),"")</f>
        <v/>
      </c>
    </row>
    <row r="90" ht="15" customHeight="1">
      <c r="A90" s="536">
        <f>IFERROR(IF('Invullen groen'!E105&gt;0,86,""),"")</f>
        <v/>
      </c>
      <c r="B90" s="536">
        <f>IFERROR(IF('Invullen groen'!E105&gt;0,'Invullen groen'!A105,""),"")</f>
        <v/>
      </c>
      <c r="C90" s="536">
        <f>IFERROR(IF('Invullen groen'!E105&gt;0,'Invullen groen'!C105,""),"")</f>
        <v/>
      </c>
      <c r="D90" s="536">
        <f>IFERROR(IF('Invullen groen'!E105&gt;0,'Invullen groen'!D105,""),"")</f>
        <v/>
      </c>
      <c r="E90" s="536">
        <f>IFERROR(IF('Invullen groen'!E105&gt;0,'Invullen groen'!G105,""),"")</f>
        <v/>
      </c>
      <c r="F90" s="537">
        <f>IFERROR(IF('Invullen groen'!H105&lt;&gt;0,'Invullen groen'!H105,""),"")</f>
        <v/>
      </c>
      <c r="G90" s="537">
        <f>IFERROR(IF('Invullen groen'!I105&lt;&gt;0,'Invullen groen'!I105,""),"")</f>
        <v/>
      </c>
      <c r="H90" s="537">
        <f>IFERROR(IF('Invullen groen'!J105&lt;&gt;0,'Invullen groen'!J105,""),"")</f>
        <v/>
      </c>
      <c r="I90" s="537">
        <f>IFERROR(IF('Invullen groen'!K105&lt;&gt;0,'Invullen groen'!K105,""),"")</f>
        <v/>
      </c>
    </row>
    <row r="91" ht="15" customHeight="1">
      <c r="A91" s="534">
        <f>IFERROR(IF('Invullen groen'!E106&gt;0,87,""),"")</f>
        <v/>
      </c>
      <c r="B91" s="534">
        <f>IFERROR(IF('Invullen groen'!E106&gt;0,'Invullen groen'!A106,""),"")</f>
        <v/>
      </c>
      <c r="C91" s="534">
        <f>IFERROR(IF('Invullen groen'!E106&gt;0,'Invullen groen'!C106,""),"")</f>
        <v/>
      </c>
      <c r="D91" s="534">
        <f>IFERROR(IF('Invullen groen'!E106&gt;0,'Invullen groen'!D106,""),"")</f>
        <v/>
      </c>
      <c r="E91" s="534">
        <f>IFERROR(IF('Invullen groen'!E106&gt;0,'Invullen groen'!G106,""),"")</f>
        <v/>
      </c>
      <c r="F91" s="535">
        <f>IFERROR(IF('Invullen groen'!H106&lt;&gt;0,'Invullen groen'!H106,""),"")</f>
        <v/>
      </c>
      <c r="G91" s="535">
        <f>IFERROR(IF('Invullen groen'!I106&lt;&gt;0,'Invullen groen'!I106,""),"")</f>
        <v/>
      </c>
      <c r="H91" s="535">
        <f>IFERROR(IF('Invullen groen'!J106&lt;&gt;0,'Invullen groen'!J106,""),"")</f>
        <v/>
      </c>
      <c r="I91" s="535">
        <f>IFERROR(IF('Invullen groen'!K106&lt;&gt;0,'Invullen groen'!K106,""),"")</f>
        <v/>
      </c>
    </row>
    <row r="92" ht="15" customHeight="1">
      <c r="A92" s="536">
        <f>IFERROR(IF('Invullen groen'!E107&gt;0,88,""),"")</f>
        <v/>
      </c>
      <c r="B92" s="536">
        <f>IFERROR(IF('Invullen groen'!E107&gt;0,'Invullen groen'!A107,""),"")</f>
        <v/>
      </c>
      <c r="C92" s="536">
        <f>IFERROR(IF('Invullen groen'!E107&gt;0,'Invullen groen'!C107,""),"")</f>
        <v/>
      </c>
      <c r="D92" s="536">
        <f>IFERROR(IF('Invullen groen'!E107&gt;0,'Invullen groen'!D107,""),"")</f>
        <v/>
      </c>
      <c r="E92" s="536">
        <f>IFERROR(IF('Invullen groen'!E107&gt;0,'Invullen groen'!G107,""),"")</f>
        <v/>
      </c>
      <c r="F92" s="537">
        <f>IFERROR(IF('Invullen groen'!H107&lt;&gt;0,'Invullen groen'!H107,""),"")</f>
        <v/>
      </c>
      <c r="G92" s="537">
        <f>IFERROR(IF('Invullen groen'!I107&lt;&gt;0,'Invullen groen'!I107,""),"")</f>
        <v/>
      </c>
      <c r="H92" s="537">
        <f>IFERROR(IF('Invullen groen'!J107&lt;&gt;0,'Invullen groen'!J107,""),"")</f>
        <v/>
      </c>
      <c r="I92" s="537">
        <f>IFERROR(IF('Invullen groen'!K107&lt;&gt;0,'Invullen groen'!K107,""),"")</f>
        <v/>
      </c>
    </row>
    <row r="93" ht="15" customHeight="1">
      <c r="A93" s="534">
        <f>IFERROR(IF('Invullen groen'!E108&gt;0,89,""),"")</f>
        <v/>
      </c>
      <c r="B93" s="534">
        <f>IFERROR(IF('Invullen groen'!E108&gt;0,'Invullen groen'!A108,""),"")</f>
        <v/>
      </c>
      <c r="C93" s="534">
        <f>IFERROR(IF('Invullen groen'!E108&gt;0,'Invullen groen'!C108,""),"")</f>
        <v/>
      </c>
      <c r="D93" s="534">
        <f>IFERROR(IF('Invullen groen'!E108&gt;0,'Invullen groen'!D108,""),"")</f>
        <v/>
      </c>
      <c r="E93" s="534">
        <f>IFERROR(IF('Invullen groen'!E108&gt;0,'Invullen groen'!G108,""),"")</f>
        <v/>
      </c>
      <c r="F93" s="535">
        <f>IFERROR(IF('Invullen groen'!H108&lt;&gt;0,'Invullen groen'!H108,""),"")</f>
        <v/>
      </c>
      <c r="G93" s="535">
        <f>IFERROR(IF('Invullen groen'!I108&lt;&gt;0,'Invullen groen'!I108,""),"")</f>
        <v/>
      </c>
      <c r="H93" s="535">
        <f>IFERROR(IF('Invullen groen'!J108&lt;&gt;0,'Invullen groen'!J108,""),"")</f>
        <v/>
      </c>
      <c r="I93" s="535">
        <f>IFERROR(IF('Invullen groen'!K108&lt;&gt;0,'Invullen groen'!K108,""),"")</f>
        <v/>
      </c>
    </row>
    <row r="94" ht="15" customHeight="1">
      <c r="A94" s="536">
        <f>IFERROR(IF('Invullen groen'!E109&gt;0,90,""),"")</f>
        <v/>
      </c>
      <c r="B94" s="536">
        <f>IFERROR(IF('Invullen groen'!E109&gt;0,'Invullen groen'!A109,""),"")</f>
        <v/>
      </c>
      <c r="C94" s="536">
        <f>IFERROR(IF('Invullen groen'!E109&gt;0,'Invullen groen'!C109,""),"")</f>
        <v/>
      </c>
      <c r="D94" s="536">
        <f>IFERROR(IF('Invullen groen'!E109&gt;0,'Invullen groen'!D109,""),"")</f>
        <v/>
      </c>
      <c r="E94" s="536">
        <f>IFERROR(IF('Invullen groen'!E109&gt;0,'Invullen groen'!G109,""),"")</f>
        <v/>
      </c>
      <c r="F94" s="537">
        <f>IFERROR(IF('Invullen groen'!H109&lt;&gt;0,'Invullen groen'!H109,""),"")</f>
        <v/>
      </c>
      <c r="G94" s="537">
        <f>IFERROR(IF('Invullen groen'!I109&lt;&gt;0,'Invullen groen'!I109,""),"")</f>
        <v/>
      </c>
      <c r="H94" s="537">
        <f>IFERROR(IF('Invullen groen'!J109&lt;&gt;0,'Invullen groen'!J109,""),"")</f>
        <v/>
      </c>
      <c r="I94" s="537">
        <f>IFERROR(IF('Invullen groen'!K109&lt;&gt;0,'Invullen groen'!K109,""),"")</f>
        <v/>
      </c>
    </row>
    <row r="95" ht="15" customHeight="1">
      <c r="A95" s="534">
        <f>IFERROR(IF('Invullen groen'!E121&gt;0,91,""),"")</f>
        <v/>
      </c>
      <c r="B95" s="534">
        <f>IFERROR(IF('Invullen groen'!E121&gt;0,'Invullen groen'!A121,""),"")</f>
        <v/>
      </c>
      <c r="C95" s="534">
        <f>IFERROR(IF('Invullen groen'!E121&gt;0,'Invullen groen'!C121,""),"")</f>
        <v/>
      </c>
      <c r="D95" s="534">
        <f>IFERROR(IF('Invullen groen'!E121&gt;0,'Invullen groen'!D121,""),"")</f>
        <v/>
      </c>
      <c r="E95" s="534">
        <f>IFERROR(IF('Invullen groen'!E121&gt;0,'Invullen groen'!G121,""),"")</f>
        <v/>
      </c>
      <c r="F95" s="535">
        <f>IFERROR(IF('Invullen groen'!H121&lt;&gt;0,'Invullen groen'!H121,""),"")</f>
        <v/>
      </c>
      <c r="G95" s="535">
        <f>IFERROR(IF('Invullen groen'!I121&lt;&gt;0,'Invullen groen'!I121,""),"")</f>
        <v/>
      </c>
      <c r="H95" s="535">
        <f>IFERROR(IF('Invullen groen'!J121&lt;&gt;0,'Invullen groen'!J121,""),"")</f>
        <v/>
      </c>
      <c r="I95" s="535">
        <f>IFERROR(IF('Invullen groen'!K121&lt;&gt;0,'Invullen groen'!K121,""),"")</f>
        <v/>
      </c>
    </row>
    <row r="96" ht="15" customHeight="1">
      <c r="A96" s="536">
        <f>IFERROR(IF('Invullen groen'!E122&gt;0,92,""),"")</f>
        <v/>
      </c>
      <c r="B96" s="536">
        <f>IFERROR(IF('Invullen groen'!E122&gt;0,'Invullen groen'!A122,""),"")</f>
        <v/>
      </c>
      <c r="C96" s="536">
        <f>IFERROR(IF('Invullen groen'!E122&gt;0,'Invullen groen'!C122,""),"")</f>
        <v/>
      </c>
      <c r="D96" s="536">
        <f>IFERROR(IF('Invullen groen'!E122&gt;0,'Invullen groen'!D122,""),"")</f>
        <v/>
      </c>
      <c r="E96" s="536">
        <f>IFERROR(IF('Invullen groen'!E122&gt;0,'Invullen groen'!G122,""),"")</f>
        <v/>
      </c>
      <c r="F96" s="537">
        <f>IFERROR(IF('Invullen groen'!H122&lt;&gt;0,'Invullen groen'!H122,""),"")</f>
        <v/>
      </c>
      <c r="G96" s="537">
        <f>IFERROR(IF('Invullen groen'!I122&lt;&gt;0,'Invullen groen'!I122,""),"")</f>
        <v/>
      </c>
      <c r="H96" s="537">
        <f>IFERROR(IF('Invullen groen'!J122&lt;&gt;0,'Invullen groen'!J122,""),"")</f>
        <v/>
      </c>
      <c r="I96" s="537">
        <f>IFERROR(IF('Invullen groen'!K122&lt;&gt;0,'Invullen groen'!K122,""),"")</f>
        <v/>
      </c>
    </row>
    <row r="97" ht="15" customHeight="1">
      <c r="A97" s="534">
        <f>IFERROR(IF('Invullen groen'!E123&gt;0,93,""),"")</f>
        <v/>
      </c>
      <c r="B97" s="534">
        <f>IFERROR(IF('Invullen groen'!E123&gt;0,'Invullen groen'!A123,""),"")</f>
        <v/>
      </c>
      <c r="C97" s="534">
        <f>IFERROR(IF('Invullen groen'!E123&gt;0,'Invullen groen'!C123,""),"")</f>
        <v/>
      </c>
      <c r="D97" s="534">
        <f>IFERROR(IF('Invullen groen'!E123&gt;0,'Invullen groen'!D123,""),"")</f>
        <v/>
      </c>
      <c r="E97" s="534">
        <f>IFERROR(IF('Invullen groen'!E123&gt;0,'Invullen groen'!G123,""),"")</f>
        <v/>
      </c>
      <c r="F97" s="535">
        <f>IFERROR(IF('Invullen groen'!H123&lt;&gt;0,'Invullen groen'!H123,""),"")</f>
        <v/>
      </c>
      <c r="G97" s="535">
        <f>IFERROR(IF('Invullen groen'!I123&lt;&gt;0,'Invullen groen'!I123,""),"")</f>
        <v/>
      </c>
      <c r="H97" s="535">
        <f>IFERROR(IF('Invullen groen'!J123&lt;&gt;0,'Invullen groen'!J123,""),"")</f>
        <v/>
      </c>
      <c r="I97" s="535">
        <f>IFERROR(IF('Invullen groen'!K123&lt;&gt;0,'Invullen groen'!K123,""),"")</f>
        <v/>
      </c>
    </row>
    <row r="98" ht="15" customHeight="1">
      <c r="A98" s="536">
        <f>IFERROR(IF('Invullen groen'!E124&gt;0,94,""),"")</f>
        <v/>
      </c>
      <c r="B98" s="536">
        <f>IFERROR(IF('Invullen groen'!E124&gt;0,'Invullen groen'!A124,""),"")</f>
        <v/>
      </c>
      <c r="C98" s="536">
        <f>IFERROR(IF('Invullen groen'!E124&gt;0,'Invullen groen'!C124,""),"")</f>
        <v/>
      </c>
      <c r="D98" s="536">
        <f>IFERROR(IF('Invullen groen'!E124&gt;0,'Invullen groen'!D124,""),"")</f>
        <v/>
      </c>
      <c r="E98" s="536">
        <f>IFERROR(IF('Invullen groen'!E124&gt;0,'Invullen groen'!G124,""),"")</f>
        <v/>
      </c>
      <c r="F98" s="537">
        <f>IFERROR(IF('Invullen groen'!H124&lt;&gt;0,'Invullen groen'!H124,""),"")</f>
        <v/>
      </c>
      <c r="G98" s="537">
        <f>IFERROR(IF('Invullen groen'!I124&lt;&gt;0,'Invullen groen'!I124,""),"")</f>
        <v/>
      </c>
      <c r="H98" s="537">
        <f>IFERROR(IF('Invullen groen'!J124&lt;&gt;0,'Invullen groen'!J124,""),"")</f>
        <v/>
      </c>
      <c r="I98" s="537">
        <f>IFERROR(IF('Invullen groen'!K124&lt;&gt;0,'Invullen groen'!K124,""),"")</f>
        <v/>
      </c>
    </row>
    <row r="99" ht="15" customHeight="1">
      <c r="A99" s="534">
        <f>IFERROR(IF('Invullen groen'!E125&gt;0,95,""),"")</f>
        <v/>
      </c>
      <c r="B99" s="534">
        <f>IFERROR(IF('Invullen groen'!E125&gt;0,'Invullen groen'!A125,""),"")</f>
        <v/>
      </c>
      <c r="C99" s="534">
        <f>IFERROR(IF('Invullen groen'!E125&gt;0,'Invullen groen'!C125,""),"")</f>
        <v/>
      </c>
      <c r="D99" s="534">
        <f>IFERROR(IF('Invullen groen'!E125&gt;0,'Invullen groen'!D125,""),"")</f>
        <v/>
      </c>
      <c r="E99" s="534">
        <f>IFERROR(IF('Invullen groen'!E125&gt;0,'Invullen groen'!G125,""),"")</f>
        <v/>
      </c>
      <c r="F99" s="535">
        <f>IFERROR(IF('Invullen groen'!H125&lt;&gt;0,'Invullen groen'!H125,""),"")</f>
        <v/>
      </c>
      <c r="G99" s="535">
        <f>IFERROR(IF('Invullen groen'!I125&lt;&gt;0,'Invullen groen'!I125,""),"")</f>
        <v/>
      </c>
      <c r="H99" s="535">
        <f>IFERROR(IF('Invullen groen'!J125&lt;&gt;0,'Invullen groen'!J125,""),"")</f>
        <v/>
      </c>
      <c r="I99" s="535">
        <f>IFERROR(IF('Invullen groen'!K125&lt;&gt;0,'Invullen groen'!K125,""),"")</f>
        <v/>
      </c>
    </row>
    <row r="100" ht="15" customHeight="1">
      <c r="A100" s="536">
        <f>IFERROR(IF('Invullen groen'!E126&gt;0,96,""),"")</f>
        <v/>
      </c>
      <c r="B100" s="536">
        <f>IFERROR(IF('Invullen groen'!E126&gt;0,'Invullen groen'!A126,""),"")</f>
        <v/>
      </c>
      <c r="C100" s="536">
        <f>IFERROR(IF('Invullen groen'!E126&gt;0,'Invullen groen'!C126,""),"")</f>
        <v/>
      </c>
      <c r="D100" s="536">
        <f>IFERROR(IF('Invullen groen'!E126&gt;0,'Invullen groen'!D126,""),"")</f>
        <v/>
      </c>
      <c r="E100" s="536">
        <f>IFERROR(IF('Invullen groen'!E126&gt;0,'Invullen groen'!G126,""),"")</f>
        <v/>
      </c>
      <c r="F100" s="537">
        <f>IFERROR(IF('Invullen groen'!H126&lt;&gt;0,'Invullen groen'!H126,""),"")</f>
        <v/>
      </c>
      <c r="G100" s="537">
        <f>IFERROR(IF('Invullen groen'!I126&lt;&gt;0,'Invullen groen'!I126,""),"")</f>
        <v/>
      </c>
      <c r="H100" s="537">
        <f>IFERROR(IF('Invullen groen'!J126&lt;&gt;0,'Invullen groen'!J126,""),"")</f>
        <v/>
      </c>
      <c r="I100" s="537">
        <f>IFERROR(IF('Invullen groen'!K126&lt;&gt;0,'Invullen groen'!K126,""),"")</f>
        <v/>
      </c>
    </row>
    <row r="101" ht="15" customHeight="1">
      <c r="A101" s="534">
        <f>IFERROR(IF('Invullen groen'!E127&gt;0,97,""),"")</f>
        <v/>
      </c>
      <c r="B101" s="534">
        <f>IFERROR(IF('Invullen groen'!E127&gt;0,'Invullen groen'!A127,""),"")</f>
        <v/>
      </c>
      <c r="C101" s="534">
        <f>IFERROR(IF('Invullen groen'!E127&gt;0,'Invullen groen'!C127,""),"")</f>
        <v/>
      </c>
      <c r="D101" s="534">
        <f>IFERROR(IF('Invullen groen'!E127&gt;0,'Invullen groen'!D127,""),"")</f>
        <v/>
      </c>
      <c r="E101" s="534">
        <f>IFERROR(IF('Invullen groen'!E127&gt;0,'Invullen groen'!G127,""),"")</f>
        <v/>
      </c>
      <c r="F101" s="535">
        <f>IFERROR(IF('Invullen groen'!H127&lt;&gt;0,'Invullen groen'!H127,""),"")</f>
        <v/>
      </c>
      <c r="G101" s="535">
        <f>IFERROR(IF('Invullen groen'!I127&lt;&gt;0,'Invullen groen'!I127,""),"")</f>
        <v/>
      </c>
      <c r="H101" s="535">
        <f>IFERROR(IF('Invullen groen'!J127&lt;&gt;0,'Invullen groen'!J127,""),"")</f>
        <v/>
      </c>
      <c r="I101" s="535">
        <f>IFERROR(IF('Invullen groen'!K127&lt;&gt;0,'Invullen groen'!K127,""),"")</f>
        <v/>
      </c>
    </row>
    <row r="102" ht="15" customHeight="1">
      <c r="A102" s="536">
        <f>IFERROR(IF('Invullen groen'!E128&gt;0,98,""),"")</f>
        <v/>
      </c>
      <c r="B102" s="536">
        <f>IFERROR(IF('Invullen groen'!E128&gt;0,'Invullen groen'!A128,""),"")</f>
        <v/>
      </c>
      <c r="C102" s="536">
        <f>IFERROR(IF('Invullen groen'!E128&gt;0,'Invullen groen'!C128,""),"")</f>
        <v/>
      </c>
      <c r="D102" s="536">
        <f>IFERROR(IF('Invullen groen'!E128&gt;0,'Invullen groen'!D128,""),"")</f>
        <v/>
      </c>
      <c r="E102" s="536">
        <f>IFERROR(IF('Invullen groen'!E128&gt;0,'Invullen groen'!G128,""),"")</f>
        <v/>
      </c>
      <c r="F102" s="537">
        <f>IFERROR(IF('Invullen groen'!H128&lt;&gt;0,'Invullen groen'!H128,""),"")</f>
        <v/>
      </c>
      <c r="G102" s="537">
        <f>IFERROR(IF('Invullen groen'!I128&lt;&gt;0,'Invullen groen'!I128,""),"")</f>
        <v/>
      </c>
      <c r="H102" s="537">
        <f>IFERROR(IF('Invullen groen'!J128&lt;&gt;0,'Invullen groen'!J128,""),"")</f>
        <v/>
      </c>
      <c r="I102" s="537">
        <f>IFERROR(IF('Invullen groen'!K128&lt;&gt;0,'Invullen groen'!K128,""),"")</f>
        <v/>
      </c>
    </row>
    <row r="103" ht="15" customHeight="1">
      <c r="A103" s="534">
        <f>IFERROR(IF('Invullen groen'!E129&gt;0,99,""),"")</f>
        <v/>
      </c>
      <c r="B103" s="534">
        <f>IFERROR(IF('Invullen groen'!E129&gt;0,'Invullen groen'!A129,""),"")</f>
        <v/>
      </c>
      <c r="C103" s="534">
        <f>IFERROR(IF('Invullen groen'!E129&gt;0,'Invullen groen'!C129,""),"")</f>
        <v/>
      </c>
      <c r="D103" s="534">
        <f>IFERROR(IF('Invullen groen'!E129&gt;0,'Invullen groen'!D129,""),"")</f>
        <v/>
      </c>
      <c r="E103" s="534">
        <f>IFERROR(IF('Invullen groen'!E129&gt;0,'Invullen groen'!G129,""),"")</f>
        <v/>
      </c>
      <c r="F103" s="535">
        <f>IFERROR(IF('Invullen groen'!H129&lt;&gt;0,'Invullen groen'!H129,""),"")</f>
        <v/>
      </c>
      <c r="G103" s="535">
        <f>IFERROR(IF('Invullen groen'!I129&lt;&gt;0,'Invullen groen'!I129,""),"")</f>
        <v/>
      </c>
      <c r="H103" s="535">
        <f>IFERROR(IF('Invullen groen'!J129&lt;&gt;0,'Invullen groen'!J129,""),"")</f>
        <v/>
      </c>
      <c r="I103" s="535">
        <f>IFERROR(IF('Invullen groen'!K129&lt;&gt;0,'Invullen groen'!K129,""),"")</f>
        <v/>
      </c>
    </row>
    <row r="104" ht="15" customHeight="1">
      <c r="A104" s="536">
        <f>IFERROR(IF('Invullen groen'!E130&gt;0,100,""),"")</f>
        <v/>
      </c>
      <c r="B104" s="536">
        <f>IFERROR(IF('Invullen groen'!E130&gt;0,'Invullen groen'!A130,""),"")</f>
        <v/>
      </c>
      <c r="C104" s="536">
        <f>IFERROR(IF('Invullen groen'!E130&gt;0,'Invullen groen'!C130,""),"")</f>
        <v/>
      </c>
      <c r="D104" s="536">
        <f>IFERROR(IF('Invullen groen'!E130&gt;0,'Invullen groen'!D130,""),"")</f>
        <v/>
      </c>
      <c r="E104" s="536">
        <f>IFERROR(IF('Invullen groen'!E130&gt;0,'Invullen groen'!G130,""),"")</f>
        <v/>
      </c>
      <c r="F104" s="537">
        <f>IFERROR(IF('Invullen groen'!H130&lt;&gt;0,'Invullen groen'!H130,""),"")</f>
        <v/>
      </c>
      <c r="G104" s="537">
        <f>IFERROR(IF('Invullen groen'!I130&lt;&gt;0,'Invullen groen'!I130,""),"")</f>
        <v/>
      </c>
      <c r="H104" s="537">
        <f>IFERROR(IF('Invullen groen'!J130&lt;&gt;0,'Invullen groen'!J130,""),"")</f>
        <v/>
      </c>
      <c r="I104" s="537">
        <f>IFERROR(IF('Invullen groen'!K130&lt;&gt;0,'Invullen groen'!K130,""),"")</f>
        <v/>
      </c>
    </row>
    <row r="105" ht="15" customHeight="1">
      <c r="A105" s="534">
        <f>IFERROR(IF('Invullen groen'!E131&gt;0,101,""),"")</f>
        <v/>
      </c>
      <c r="B105" s="534">
        <f>IFERROR(IF('Invullen groen'!E131&gt;0,'Invullen groen'!A131,""),"")</f>
        <v/>
      </c>
      <c r="C105" s="534">
        <f>IFERROR(IF('Invullen groen'!E131&gt;0,'Invullen groen'!C131,""),"")</f>
        <v/>
      </c>
      <c r="D105" s="534">
        <f>IFERROR(IF('Invullen groen'!E131&gt;0,'Invullen groen'!D131,""),"")</f>
        <v/>
      </c>
      <c r="E105" s="534">
        <f>IFERROR(IF('Invullen groen'!E131&gt;0,'Invullen groen'!G131,""),"")</f>
        <v/>
      </c>
      <c r="F105" s="535">
        <f>IFERROR(IF('Invullen groen'!H131&lt;&gt;0,'Invullen groen'!H131,""),"")</f>
        <v/>
      </c>
      <c r="G105" s="535">
        <f>IFERROR(IF('Invullen groen'!I131&lt;&gt;0,'Invullen groen'!I131,""),"")</f>
        <v/>
      </c>
      <c r="H105" s="535">
        <f>IFERROR(IF('Invullen groen'!J131&lt;&gt;0,'Invullen groen'!J131,""),"")</f>
        <v/>
      </c>
      <c r="I105" s="535">
        <f>IFERROR(IF('Invullen groen'!K131&lt;&gt;0,'Invullen groen'!K131,""),"")</f>
        <v/>
      </c>
    </row>
    <row r="106" ht="15" customHeight="1">
      <c r="A106" s="536">
        <f>IFERROR(IF('Invullen groen'!E132&gt;0,102,""),"")</f>
        <v/>
      </c>
      <c r="B106" s="536">
        <f>IFERROR(IF('Invullen groen'!E132&gt;0,'Invullen groen'!A132,""),"")</f>
        <v/>
      </c>
      <c r="C106" s="536">
        <f>IFERROR(IF('Invullen groen'!E132&gt;0,'Invullen groen'!C132,""),"")</f>
        <v/>
      </c>
      <c r="D106" s="536">
        <f>IFERROR(IF('Invullen groen'!E132&gt;0,'Invullen groen'!D132,""),"")</f>
        <v/>
      </c>
      <c r="E106" s="536">
        <f>IFERROR(IF('Invullen groen'!E132&gt;0,'Invullen groen'!G132,""),"")</f>
        <v/>
      </c>
      <c r="F106" s="537">
        <f>IFERROR(IF('Invullen groen'!H132&lt;&gt;0,'Invullen groen'!H132,""),"")</f>
        <v/>
      </c>
      <c r="G106" s="537">
        <f>IFERROR(IF('Invullen groen'!I132&lt;&gt;0,'Invullen groen'!I132,""),"")</f>
        <v/>
      </c>
      <c r="H106" s="537">
        <f>IFERROR(IF('Invullen groen'!J132&lt;&gt;0,'Invullen groen'!J132,""),"")</f>
        <v/>
      </c>
      <c r="I106" s="537">
        <f>IFERROR(IF('Invullen groen'!K132&lt;&gt;0,'Invullen groen'!K132,""),"")</f>
        <v/>
      </c>
    </row>
    <row r="107" ht="15" customHeight="1">
      <c r="A107" s="534">
        <f>IFERROR(IF('Invullen groen'!E133&gt;0,103,""),"")</f>
        <v/>
      </c>
      <c r="B107" s="534">
        <f>IFERROR(IF('Invullen groen'!E133&gt;0,'Invullen groen'!A133,""),"")</f>
        <v/>
      </c>
      <c r="C107" s="534">
        <f>IFERROR(IF('Invullen groen'!E133&gt;0,'Invullen groen'!C133,""),"")</f>
        <v/>
      </c>
      <c r="D107" s="534">
        <f>IFERROR(IF('Invullen groen'!E133&gt;0,'Invullen groen'!D133,""),"")</f>
        <v/>
      </c>
      <c r="E107" s="534">
        <f>IFERROR(IF('Invullen groen'!E133&gt;0,'Invullen groen'!G133,""),"")</f>
        <v/>
      </c>
      <c r="F107" s="535">
        <f>IFERROR(IF('Invullen groen'!H133&lt;&gt;0,'Invullen groen'!H133,""),"")</f>
        <v/>
      </c>
      <c r="G107" s="535">
        <f>IFERROR(IF('Invullen groen'!I133&lt;&gt;0,'Invullen groen'!I133,""),"")</f>
        <v/>
      </c>
      <c r="H107" s="535">
        <f>IFERROR(IF('Invullen groen'!J133&lt;&gt;0,'Invullen groen'!J133,""),"")</f>
        <v/>
      </c>
      <c r="I107" s="535">
        <f>IFERROR(IF('Invullen groen'!K133&lt;&gt;0,'Invullen groen'!K133,""),"")</f>
        <v/>
      </c>
    </row>
    <row r="108" ht="15" customHeight="1">
      <c r="A108" s="536">
        <f>IFERROR(IF('Invullen groen'!E134&gt;0,104,""),"")</f>
        <v/>
      </c>
      <c r="B108" s="536">
        <f>IFERROR(IF('Invullen groen'!E134&gt;0,'Invullen groen'!A134,""),"")</f>
        <v/>
      </c>
      <c r="C108" s="536">
        <f>IFERROR(IF('Invullen groen'!E134&gt;0,'Invullen groen'!C134,""),"")</f>
        <v/>
      </c>
      <c r="D108" s="536">
        <f>IFERROR(IF('Invullen groen'!E134&gt;0,'Invullen groen'!D134,""),"")</f>
        <v/>
      </c>
      <c r="E108" s="536">
        <f>IFERROR(IF('Invullen groen'!E134&gt;0,'Invullen groen'!G134,""),"")</f>
        <v/>
      </c>
      <c r="F108" s="537">
        <f>IFERROR(IF('Invullen groen'!H134&lt;&gt;0,'Invullen groen'!H134,""),"")</f>
        <v/>
      </c>
      <c r="G108" s="537">
        <f>IFERROR(IF('Invullen groen'!I134&lt;&gt;0,'Invullen groen'!I134,""),"")</f>
        <v/>
      </c>
      <c r="H108" s="537">
        <f>IFERROR(IF('Invullen groen'!J134&lt;&gt;0,'Invullen groen'!J134,""),"")</f>
        <v/>
      </c>
      <c r="I108" s="537">
        <f>IFERROR(IF('Invullen groen'!K134&lt;&gt;0,'Invullen groen'!K134,""),"")</f>
        <v/>
      </c>
    </row>
    <row r="109" ht="15" customHeight="1">
      <c r="A109" s="534">
        <f>IFERROR(IF('Invullen groen'!E135&gt;0,105,""),"")</f>
        <v/>
      </c>
      <c r="B109" s="534">
        <f>IFERROR(IF('Invullen groen'!E135&gt;0,'Invullen groen'!A135,""),"")</f>
        <v/>
      </c>
      <c r="C109" s="534">
        <f>IFERROR(IF('Invullen groen'!E135&gt;0,'Invullen groen'!C135,""),"")</f>
        <v/>
      </c>
      <c r="D109" s="534">
        <f>IFERROR(IF('Invullen groen'!E135&gt;0,'Invullen groen'!D135,""),"")</f>
        <v/>
      </c>
      <c r="E109" s="534">
        <f>IFERROR(IF('Invullen groen'!E135&gt;0,'Invullen groen'!G135,""),"")</f>
        <v/>
      </c>
      <c r="F109" s="535">
        <f>IFERROR(IF('Invullen groen'!H135&lt;&gt;0,'Invullen groen'!H135,""),"")</f>
        <v/>
      </c>
      <c r="G109" s="535">
        <f>IFERROR(IF('Invullen groen'!I135&lt;&gt;0,'Invullen groen'!I135,""),"")</f>
        <v/>
      </c>
      <c r="H109" s="535">
        <f>IFERROR(IF('Invullen groen'!J135&lt;&gt;0,'Invullen groen'!J135,""),"")</f>
        <v/>
      </c>
      <c r="I109" s="535">
        <f>IFERROR(IF('Invullen groen'!K135&lt;&gt;0,'Invullen groen'!K135,""),"")</f>
        <v/>
      </c>
    </row>
    <row r="110" ht="15" customHeight="1">
      <c r="A110" s="536">
        <f>IFERROR(IF('Invullen groen'!E136&gt;0,106,""),"")</f>
        <v/>
      </c>
      <c r="B110" s="536">
        <f>IFERROR(IF('Invullen groen'!E136&gt;0,'Invullen groen'!A136,""),"")</f>
        <v/>
      </c>
      <c r="C110" s="536">
        <f>IFERROR(IF('Invullen groen'!E136&gt;0,'Invullen groen'!C136,""),"")</f>
        <v/>
      </c>
      <c r="D110" s="536">
        <f>IFERROR(IF('Invullen groen'!E136&gt;0,'Invullen groen'!D136,""),"")</f>
        <v/>
      </c>
      <c r="E110" s="536">
        <f>IFERROR(IF('Invullen groen'!E136&gt;0,'Invullen groen'!G136,""),"")</f>
        <v/>
      </c>
      <c r="F110" s="537">
        <f>IFERROR(IF('Invullen groen'!H136&lt;&gt;0,'Invullen groen'!H136,""),"")</f>
        <v/>
      </c>
      <c r="G110" s="537">
        <f>IFERROR(IF('Invullen groen'!I136&lt;&gt;0,'Invullen groen'!I136,""),"")</f>
        <v/>
      </c>
      <c r="H110" s="537">
        <f>IFERROR(IF('Invullen groen'!J136&lt;&gt;0,'Invullen groen'!J136,""),"")</f>
        <v/>
      </c>
      <c r="I110" s="537">
        <f>IFERROR(IF('Invullen groen'!K136&lt;&gt;0,'Invullen groen'!K136,""),"")</f>
        <v/>
      </c>
    </row>
    <row r="111" ht="15" customHeight="1">
      <c r="A111" s="534">
        <f>IFERROR(IF('Invullen groen'!E137&gt;0,107,""),"")</f>
        <v/>
      </c>
      <c r="B111" s="534">
        <f>IFERROR(IF('Invullen groen'!E137&gt;0,'Invullen groen'!A137,""),"")</f>
        <v/>
      </c>
      <c r="C111" s="534">
        <f>IFERROR(IF('Invullen groen'!E137&gt;0,'Invullen groen'!C137,""),"")</f>
        <v/>
      </c>
      <c r="D111" s="534">
        <f>IFERROR(IF('Invullen groen'!E137&gt;0,'Invullen groen'!D137,""),"")</f>
        <v/>
      </c>
      <c r="E111" s="534">
        <f>IFERROR(IF('Invullen groen'!E137&gt;0,'Invullen groen'!G137,""),"")</f>
        <v/>
      </c>
      <c r="F111" s="535">
        <f>IFERROR(IF('Invullen groen'!H137&lt;&gt;0,'Invullen groen'!H137,""),"")</f>
        <v/>
      </c>
      <c r="G111" s="535">
        <f>IFERROR(IF('Invullen groen'!I137&lt;&gt;0,'Invullen groen'!I137,""),"")</f>
        <v/>
      </c>
      <c r="H111" s="535">
        <f>IFERROR(IF('Invullen groen'!J137&lt;&gt;0,'Invullen groen'!J137,""),"")</f>
        <v/>
      </c>
      <c r="I111" s="535">
        <f>IFERROR(IF('Invullen groen'!K137&lt;&gt;0,'Invullen groen'!K137,""),"")</f>
        <v/>
      </c>
    </row>
    <row r="112" ht="15" customHeight="1">
      <c r="A112" s="536">
        <f>IFERROR(IF('Invullen groen'!E138&gt;0,108,""),"")</f>
        <v/>
      </c>
      <c r="B112" s="536">
        <f>IFERROR(IF('Invullen groen'!E138&gt;0,'Invullen groen'!A138,""),"")</f>
        <v/>
      </c>
      <c r="C112" s="536">
        <f>IFERROR(IF('Invullen groen'!E138&gt;0,'Invullen groen'!C138,""),"")</f>
        <v/>
      </c>
      <c r="D112" s="536">
        <f>IFERROR(IF('Invullen groen'!E138&gt;0,'Invullen groen'!D138,""),"")</f>
        <v/>
      </c>
      <c r="E112" s="536">
        <f>IFERROR(IF('Invullen groen'!E138&gt;0,'Invullen groen'!G138,""),"")</f>
        <v/>
      </c>
      <c r="F112" s="537">
        <f>IFERROR(IF('Invullen groen'!H138&lt;&gt;0,'Invullen groen'!H138,""),"")</f>
        <v/>
      </c>
      <c r="G112" s="537">
        <f>IFERROR(IF('Invullen groen'!I138&lt;&gt;0,'Invullen groen'!I138,""),"")</f>
        <v/>
      </c>
      <c r="H112" s="537">
        <f>IFERROR(IF('Invullen groen'!J138&lt;&gt;0,'Invullen groen'!J138,""),"")</f>
        <v/>
      </c>
      <c r="I112" s="537">
        <f>IFERROR(IF('Invullen groen'!K138&lt;&gt;0,'Invullen groen'!K138,""),"")</f>
        <v/>
      </c>
    </row>
    <row r="113" ht="15" customHeight="1">
      <c r="A113" s="534">
        <f>IFERROR(IF('Invullen groen'!E139&gt;0,109,""),"")</f>
        <v/>
      </c>
      <c r="B113" s="534">
        <f>IFERROR(IF('Invullen groen'!E139&gt;0,'Invullen groen'!A139,""),"")</f>
        <v/>
      </c>
      <c r="C113" s="534">
        <f>IFERROR(IF('Invullen groen'!E139&gt;0,'Invullen groen'!C139,""),"")</f>
        <v/>
      </c>
      <c r="D113" s="534">
        <f>IFERROR(IF('Invullen groen'!E139&gt;0,'Invullen groen'!D139,""),"")</f>
        <v/>
      </c>
      <c r="E113" s="534">
        <f>IFERROR(IF('Invullen groen'!E139&gt;0,'Invullen groen'!G139,""),"")</f>
        <v/>
      </c>
      <c r="F113" s="535">
        <f>IFERROR(IF('Invullen groen'!H139&lt;&gt;0,'Invullen groen'!H139,""),"")</f>
        <v/>
      </c>
      <c r="G113" s="535">
        <f>IFERROR(IF('Invullen groen'!I139&lt;&gt;0,'Invullen groen'!I139,""),"")</f>
        <v/>
      </c>
      <c r="H113" s="535">
        <f>IFERROR(IF('Invullen groen'!J139&lt;&gt;0,'Invullen groen'!J139,""),"")</f>
        <v/>
      </c>
      <c r="I113" s="535">
        <f>IFERROR(IF('Invullen groen'!K139&lt;&gt;0,'Invullen groen'!K139,""),"")</f>
        <v/>
      </c>
    </row>
    <row r="114" ht="15" customHeight="1">
      <c r="A114" s="536">
        <f>IFERROR(IF('Invullen groen'!E140&gt;0,110,""),"")</f>
        <v/>
      </c>
      <c r="B114" s="536">
        <f>IFERROR(IF('Invullen groen'!E140&gt;0,'Invullen groen'!A140,""),"")</f>
        <v/>
      </c>
      <c r="C114" s="536">
        <f>IFERROR(IF('Invullen groen'!E140&gt;0,'Invullen groen'!C140,""),"")</f>
        <v/>
      </c>
      <c r="D114" s="536">
        <f>IFERROR(IF('Invullen groen'!E140&gt;0,'Invullen groen'!D140,""),"")</f>
        <v/>
      </c>
      <c r="E114" s="536">
        <f>IFERROR(IF('Invullen groen'!E140&gt;0,'Invullen groen'!G140,""),"")</f>
        <v/>
      </c>
      <c r="F114" s="537">
        <f>IFERROR(IF('Invullen groen'!H140&lt;&gt;0,'Invullen groen'!H140,""),"")</f>
        <v/>
      </c>
      <c r="G114" s="537">
        <f>IFERROR(IF('Invullen groen'!I140&lt;&gt;0,'Invullen groen'!I140,""),"")</f>
        <v/>
      </c>
      <c r="H114" s="537">
        <f>IFERROR(IF('Invullen groen'!J140&lt;&gt;0,'Invullen groen'!J140,""),"")</f>
        <v/>
      </c>
      <c r="I114" s="537">
        <f>IFERROR(IF('Invullen groen'!K140&lt;&gt;0,'Invullen groen'!K140,""),"")</f>
        <v/>
      </c>
    </row>
    <row r="115" ht="15" customHeight="1">
      <c r="A115" s="534">
        <f>IFERROR(IF('Invullen groen'!E141&gt;0,111,""),"")</f>
        <v/>
      </c>
      <c r="B115" s="534">
        <f>IFERROR(IF('Invullen groen'!E141&gt;0,'Invullen groen'!A141,""),"")</f>
        <v/>
      </c>
      <c r="C115" s="534">
        <f>IFERROR(IF('Invullen groen'!E141&gt;0,'Invullen groen'!C141,""),"")</f>
        <v/>
      </c>
      <c r="D115" s="534">
        <f>IFERROR(IF('Invullen groen'!E141&gt;0,'Invullen groen'!D141,""),"")</f>
        <v/>
      </c>
      <c r="E115" s="534">
        <f>IFERROR(IF('Invullen groen'!E141&gt;0,'Invullen groen'!G141,""),"")</f>
        <v/>
      </c>
      <c r="F115" s="535">
        <f>IFERROR(IF('Invullen groen'!H141&lt;&gt;0,'Invullen groen'!H141,""),"")</f>
        <v/>
      </c>
      <c r="G115" s="535">
        <f>IFERROR(IF('Invullen groen'!I141&lt;&gt;0,'Invullen groen'!I141,""),"")</f>
        <v/>
      </c>
      <c r="H115" s="535">
        <f>IFERROR(IF('Invullen groen'!J141&lt;&gt;0,'Invullen groen'!J141,""),"")</f>
        <v/>
      </c>
      <c r="I115" s="535">
        <f>IFERROR(IF('Invullen groen'!K141&lt;&gt;0,'Invullen groen'!K141,""),"")</f>
        <v/>
      </c>
    </row>
    <row r="116" ht="15" customHeight="1">
      <c r="A116" s="536">
        <f>IFERROR(IF('Invullen groen'!E142&gt;0,112,""),"")</f>
        <v/>
      </c>
      <c r="B116" s="536">
        <f>IFERROR(IF('Invullen groen'!E142&gt;0,'Invullen groen'!A142,""),"")</f>
        <v/>
      </c>
      <c r="C116" s="536">
        <f>IFERROR(IF('Invullen groen'!E142&gt;0,'Invullen groen'!C142,""),"")</f>
        <v/>
      </c>
      <c r="D116" s="536">
        <f>IFERROR(IF('Invullen groen'!E142&gt;0,'Invullen groen'!D142,""),"")</f>
        <v/>
      </c>
      <c r="E116" s="536">
        <f>IFERROR(IF('Invullen groen'!E142&gt;0,'Invullen groen'!G142,""),"")</f>
        <v/>
      </c>
      <c r="F116" s="537">
        <f>IFERROR(IF('Invullen groen'!H142&lt;&gt;0,'Invullen groen'!H142,""),"")</f>
        <v/>
      </c>
      <c r="G116" s="537">
        <f>IFERROR(IF('Invullen groen'!I142&lt;&gt;0,'Invullen groen'!I142,""),"")</f>
        <v/>
      </c>
      <c r="H116" s="537">
        <f>IFERROR(IF('Invullen groen'!J142&lt;&gt;0,'Invullen groen'!J142,""),"")</f>
        <v/>
      </c>
      <c r="I116" s="537">
        <f>IFERROR(IF('Invullen groen'!K142&lt;&gt;0,'Invullen groen'!K142,""),"")</f>
        <v/>
      </c>
    </row>
    <row r="117" ht="15" customHeight="1">
      <c r="A117" s="534">
        <f>IFERROR(IF('Invullen groen'!E143&gt;0,113,""),"")</f>
        <v/>
      </c>
      <c r="B117" s="534">
        <f>IFERROR(IF('Invullen groen'!E143&gt;0,'Invullen groen'!A143,""),"")</f>
        <v/>
      </c>
      <c r="C117" s="534">
        <f>IFERROR(IF('Invullen groen'!E143&gt;0,'Invullen groen'!C143,""),"")</f>
        <v/>
      </c>
      <c r="D117" s="534">
        <f>IFERROR(IF('Invullen groen'!E143&gt;0,'Invullen groen'!D143,""),"")</f>
        <v/>
      </c>
      <c r="E117" s="534">
        <f>IFERROR(IF('Invullen groen'!E143&gt;0,'Invullen groen'!G143,""),"")</f>
        <v/>
      </c>
      <c r="F117" s="535">
        <f>IFERROR(IF('Invullen groen'!H143&lt;&gt;0,'Invullen groen'!H143,""),"")</f>
        <v/>
      </c>
      <c r="G117" s="535">
        <f>IFERROR(IF('Invullen groen'!I143&lt;&gt;0,'Invullen groen'!I143,""),"")</f>
        <v/>
      </c>
      <c r="H117" s="535">
        <f>IFERROR(IF('Invullen groen'!J143&lt;&gt;0,'Invullen groen'!J143,""),"")</f>
        <v/>
      </c>
      <c r="I117" s="535">
        <f>IFERROR(IF('Invullen groen'!K143&lt;&gt;0,'Invullen groen'!K143,""),"")</f>
        <v/>
      </c>
    </row>
    <row r="118" ht="15" customHeight="1">
      <c r="A118" s="536">
        <f>IFERROR(IF('Invullen groen'!E144&gt;0,114,""),"")</f>
        <v/>
      </c>
      <c r="B118" s="536">
        <f>IFERROR(IF('Invullen groen'!E144&gt;0,'Invullen groen'!A144,""),"")</f>
        <v/>
      </c>
      <c r="C118" s="536">
        <f>IFERROR(IF('Invullen groen'!E144&gt;0,'Invullen groen'!C144,""),"")</f>
        <v/>
      </c>
      <c r="D118" s="536">
        <f>IFERROR(IF('Invullen groen'!E144&gt;0,'Invullen groen'!D144,""),"")</f>
        <v/>
      </c>
      <c r="E118" s="536">
        <f>IFERROR(IF('Invullen groen'!E144&gt;0,'Invullen groen'!G144,""),"")</f>
        <v/>
      </c>
      <c r="F118" s="537">
        <f>IFERROR(IF('Invullen groen'!H144&lt;&gt;0,'Invullen groen'!H144,""),"")</f>
        <v/>
      </c>
      <c r="G118" s="537">
        <f>IFERROR(IF('Invullen groen'!I144&lt;&gt;0,'Invullen groen'!I144,""),"")</f>
        <v/>
      </c>
      <c r="H118" s="537">
        <f>IFERROR(IF('Invullen groen'!J144&lt;&gt;0,'Invullen groen'!J144,""),"")</f>
        <v/>
      </c>
      <c r="I118" s="537">
        <f>IFERROR(IF('Invullen groen'!K144&lt;&gt;0,'Invullen groen'!K144,""),"")</f>
        <v/>
      </c>
    </row>
    <row r="119" ht="15" customHeight="1">
      <c r="A119" s="534">
        <f>IFERROR(IF('Invullen groen'!E145&gt;0,115,""),"")</f>
        <v/>
      </c>
      <c r="B119" s="534">
        <f>IFERROR(IF('Invullen groen'!E145&gt;0,'Invullen groen'!A145,""),"")</f>
        <v/>
      </c>
      <c r="C119" s="534">
        <f>IFERROR(IF('Invullen groen'!E145&gt;0,'Invullen groen'!C145,""),"")</f>
        <v/>
      </c>
      <c r="D119" s="534">
        <f>IFERROR(IF('Invullen groen'!E145&gt;0,'Invullen groen'!D145,""),"")</f>
        <v/>
      </c>
      <c r="E119" s="534">
        <f>IFERROR(IF('Invullen groen'!E145&gt;0,'Invullen groen'!G145,""),"")</f>
        <v/>
      </c>
      <c r="F119" s="535">
        <f>IFERROR(IF('Invullen groen'!H145&lt;&gt;0,'Invullen groen'!H145,""),"")</f>
        <v/>
      </c>
      <c r="G119" s="535">
        <f>IFERROR(IF('Invullen groen'!I145&lt;&gt;0,'Invullen groen'!I145,""),"")</f>
        <v/>
      </c>
      <c r="H119" s="535">
        <f>IFERROR(IF('Invullen groen'!J145&lt;&gt;0,'Invullen groen'!J145,""),"")</f>
        <v/>
      </c>
      <c r="I119" s="535">
        <f>IFERROR(IF('Invullen groen'!K145&lt;&gt;0,'Invullen groen'!K145,""),"")</f>
        <v/>
      </c>
    </row>
    <row r="120" ht="15" customHeight="1">
      <c r="A120" s="536">
        <f>IFERROR(IF('Invullen groen'!E146&gt;0,116,""),"")</f>
        <v/>
      </c>
      <c r="B120" s="536">
        <f>IFERROR(IF('Invullen groen'!E146&gt;0,'Invullen groen'!A146,""),"")</f>
        <v/>
      </c>
      <c r="C120" s="536">
        <f>IFERROR(IF('Invullen groen'!E146&gt;0,'Invullen groen'!C146,""),"")</f>
        <v/>
      </c>
      <c r="D120" s="536">
        <f>IFERROR(IF('Invullen groen'!E146&gt;0,'Invullen groen'!D146,""),"")</f>
        <v/>
      </c>
      <c r="E120" s="536">
        <f>IFERROR(IF('Invullen groen'!E146&gt;0,'Invullen groen'!G146,""),"")</f>
        <v/>
      </c>
      <c r="F120" s="537">
        <f>IFERROR(IF('Invullen groen'!H146&lt;&gt;0,'Invullen groen'!H146,""),"")</f>
        <v/>
      </c>
      <c r="G120" s="537">
        <f>IFERROR(IF('Invullen groen'!I146&lt;&gt;0,'Invullen groen'!I146,""),"")</f>
        <v/>
      </c>
      <c r="H120" s="537">
        <f>IFERROR(IF('Invullen groen'!J146&lt;&gt;0,'Invullen groen'!J146,""),"")</f>
        <v/>
      </c>
      <c r="I120" s="537">
        <f>IFERROR(IF('Invullen groen'!K146&lt;&gt;0,'Invullen groen'!K146,""),"")</f>
        <v/>
      </c>
    </row>
    <row r="121" ht="15" customHeight="1">
      <c r="A121" s="534">
        <f>IFERROR(IF('Invullen groen'!E147&gt;0,117,""),"")</f>
        <v/>
      </c>
      <c r="B121" s="534">
        <f>IFERROR(IF('Invullen groen'!E147&gt;0,'Invullen groen'!A147,""),"")</f>
        <v/>
      </c>
      <c r="C121" s="534">
        <f>IFERROR(IF('Invullen groen'!E147&gt;0,'Invullen groen'!C147,""),"")</f>
        <v/>
      </c>
      <c r="D121" s="534">
        <f>IFERROR(IF('Invullen groen'!E147&gt;0,'Invullen groen'!D147,""),"")</f>
        <v/>
      </c>
      <c r="E121" s="534">
        <f>IFERROR(IF('Invullen groen'!E147&gt;0,'Invullen groen'!G147,""),"")</f>
        <v/>
      </c>
      <c r="F121" s="535">
        <f>IFERROR(IF('Invullen groen'!H147&lt;&gt;0,'Invullen groen'!H147,""),"")</f>
        <v/>
      </c>
      <c r="G121" s="535">
        <f>IFERROR(IF('Invullen groen'!I147&lt;&gt;0,'Invullen groen'!I147,""),"")</f>
        <v/>
      </c>
      <c r="H121" s="535">
        <f>IFERROR(IF('Invullen groen'!J147&lt;&gt;0,'Invullen groen'!J147,""),"")</f>
        <v/>
      </c>
      <c r="I121" s="535">
        <f>IFERROR(IF('Invullen groen'!K147&lt;&gt;0,'Invullen groen'!K147,""),"")</f>
        <v/>
      </c>
    </row>
    <row r="122" ht="15" customHeight="1">
      <c r="A122" s="536">
        <f>IFERROR(IF('Invullen groen'!E148&gt;0,118,""),"")</f>
        <v/>
      </c>
      <c r="B122" s="536">
        <f>IFERROR(IF('Invullen groen'!E148&gt;0,'Invullen groen'!A148,""),"")</f>
        <v/>
      </c>
      <c r="C122" s="536">
        <f>IFERROR(IF('Invullen groen'!E148&gt;0,'Invullen groen'!C148,""),"")</f>
        <v/>
      </c>
      <c r="D122" s="536">
        <f>IFERROR(IF('Invullen groen'!E148&gt;0,'Invullen groen'!D148,""),"")</f>
        <v/>
      </c>
      <c r="E122" s="536">
        <f>IFERROR(IF('Invullen groen'!E148&gt;0,'Invullen groen'!G148,""),"")</f>
        <v/>
      </c>
      <c r="F122" s="537">
        <f>IFERROR(IF('Invullen groen'!H148&lt;&gt;0,'Invullen groen'!H148,""),"")</f>
        <v/>
      </c>
      <c r="G122" s="537">
        <f>IFERROR(IF('Invullen groen'!I148&lt;&gt;0,'Invullen groen'!I148,""),"")</f>
        <v/>
      </c>
      <c r="H122" s="537">
        <f>IFERROR(IF('Invullen groen'!J148&lt;&gt;0,'Invullen groen'!J148,""),"")</f>
        <v/>
      </c>
      <c r="I122" s="537">
        <f>IFERROR(IF('Invullen groen'!K148&lt;&gt;0,'Invullen groen'!K148,""),"")</f>
        <v/>
      </c>
    </row>
    <row r="123" ht="15" customHeight="1">
      <c r="A123" s="534">
        <f>IFERROR(IF('Invullen groen'!E149&gt;0,119,""),"")</f>
        <v/>
      </c>
      <c r="B123" s="534">
        <f>IFERROR(IF('Invullen groen'!E149&gt;0,'Invullen groen'!A149,""),"")</f>
        <v/>
      </c>
      <c r="C123" s="534">
        <f>IFERROR(IF('Invullen groen'!E149&gt;0,'Invullen groen'!C149,""),"")</f>
        <v/>
      </c>
      <c r="D123" s="534">
        <f>IFERROR(IF('Invullen groen'!E149&gt;0,'Invullen groen'!D149,""),"")</f>
        <v/>
      </c>
      <c r="E123" s="534">
        <f>IFERROR(IF('Invullen groen'!E149&gt;0,'Invullen groen'!G149,""),"")</f>
        <v/>
      </c>
      <c r="F123" s="535">
        <f>IFERROR(IF('Invullen groen'!H149&lt;&gt;0,'Invullen groen'!H149,""),"")</f>
        <v/>
      </c>
      <c r="G123" s="535">
        <f>IFERROR(IF('Invullen groen'!I149&lt;&gt;0,'Invullen groen'!I149,""),"")</f>
        <v/>
      </c>
      <c r="H123" s="535">
        <f>IFERROR(IF('Invullen groen'!J149&lt;&gt;0,'Invullen groen'!J149,""),"")</f>
        <v/>
      </c>
      <c r="I123" s="535">
        <f>IFERROR(IF('Invullen groen'!K149&lt;&gt;0,'Invullen groen'!K149,""),"")</f>
        <v/>
      </c>
    </row>
    <row r="124" ht="15" customHeight="1">
      <c r="A124" s="536">
        <f>IFERROR(IF('Invullen groen'!E150&gt;0,120,""),"")</f>
        <v/>
      </c>
      <c r="B124" s="536">
        <f>IFERROR(IF('Invullen groen'!E150&gt;0,'Invullen groen'!A150,""),"")</f>
        <v/>
      </c>
      <c r="C124" s="536">
        <f>IFERROR(IF('Invullen groen'!E150&gt;0,'Invullen groen'!C150,""),"")</f>
        <v/>
      </c>
      <c r="D124" s="536">
        <f>IFERROR(IF('Invullen groen'!E150&gt;0,'Invullen groen'!D150,""),"")</f>
        <v/>
      </c>
      <c r="E124" s="536">
        <f>IFERROR(IF('Invullen groen'!E150&gt;0,'Invullen groen'!G150,""),"")</f>
        <v/>
      </c>
      <c r="F124" s="537">
        <f>IFERROR(IF('Invullen groen'!H150&lt;&gt;0,'Invullen groen'!H150,""),"")</f>
        <v/>
      </c>
      <c r="G124" s="537">
        <f>IFERROR(IF('Invullen groen'!I150&lt;&gt;0,'Invullen groen'!I150,""),"")</f>
        <v/>
      </c>
      <c r="H124" s="537">
        <f>IFERROR(IF('Invullen groen'!J150&lt;&gt;0,'Invullen groen'!J150,""),"")</f>
        <v/>
      </c>
      <c r="I124" s="537">
        <f>IFERROR(IF('Invullen groen'!K150&lt;&gt;0,'Invullen groen'!K150,""),"")</f>
        <v/>
      </c>
    </row>
    <row r="125" ht="15" customHeight="1">
      <c r="A125" s="534">
        <f>IFERROR(IF('Invullen groen'!E151&gt;0,121,""),"")</f>
        <v/>
      </c>
      <c r="B125" s="534">
        <f>IFERROR(IF('Invullen groen'!E151&gt;0,'Invullen groen'!A151,""),"")</f>
        <v/>
      </c>
      <c r="C125" s="534">
        <f>IFERROR(IF('Invullen groen'!E151&gt;0,'Invullen groen'!C151,""),"")</f>
        <v/>
      </c>
      <c r="D125" s="534">
        <f>IFERROR(IF('Invullen groen'!E151&gt;0,'Invullen groen'!D151,""),"")</f>
        <v/>
      </c>
      <c r="E125" s="534">
        <f>IFERROR(IF('Invullen groen'!E151&gt;0,'Invullen groen'!G151,""),"")</f>
        <v/>
      </c>
      <c r="F125" s="535">
        <f>IFERROR(IF('Invullen groen'!H151&lt;&gt;0,'Invullen groen'!H151,""),"")</f>
        <v/>
      </c>
      <c r="G125" s="535">
        <f>IFERROR(IF('Invullen groen'!I151&lt;&gt;0,'Invullen groen'!I151,""),"")</f>
        <v/>
      </c>
      <c r="H125" s="535">
        <f>IFERROR(IF('Invullen groen'!J151&lt;&gt;0,'Invullen groen'!J151,""),"")</f>
        <v/>
      </c>
      <c r="I125" s="535">
        <f>IFERROR(IF('Invullen groen'!K151&lt;&gt;0,'Invullen groen'!K151,""),"")</f>
        <v/>
      </c>
    </row>
    <row r="126" ht="15" customHeight="1">
      <c r="A126" s="536">
        <f>IFERROR(IF('Invullen groen'!E152&gt;0,122,""),"")</f>
        <v/>
      </c>
      <c r="B126" s="536">
        <f>IFERROR(IF('Invullen groen'!E152&gt;0,'Invullen groen'!A152,""),"")</f>
        <v/>
      </c>
      <c r="C126" s="536">
        <f>IFERROR(IF('Invullen groen'!E152&gt;0,'Invullen groen'!C152,""),"")</f>
        <v/>
      </c>
      <c r="D126" s="536">
        <f>IFERROR(IF('Invullen groen'!E152&gt;0,'Invullen groen'!D152,""),"")</f>
        <v/>
      </c>
      <c r="E126" s="536">
        <f>IFERROR(IF('Invullen groen'!E152&gt;0,'Invullen groen'!G152,""),"")</f>
        <v/>
      </c>
      <c r="F126" s="537">
        <f>IFERROR(IF('Invullen groen'!H152&lt;&gt;0,'Invullen groen'!H152,""),"")</f>
        <v/>
      </c>
      <c r="G126" s="537">
        <f>IFERROR(IF('Invullen groen'!I152&lt;&gt;0,'Invullen groen'!I152,""),"")</f>
        <v/>
      </c>
      <c r="H126" s="537">
        <f>IFERROR(IF('Invullen groen'!J152&lt;&gt;0,'Invullen groen'!J152,""),"")</f>
        <v/>
      </c>
      <c r="I126" s="537">
        <f>IFERROR(IF('Invullen groen'!K152&lt;&gt;0,'Invullen groen'!K152,""),"")</f>
        <v/>
      </c>
    </row>
    <row r="127" ht="15" customHeight="1">
      <c r="A127" s="534">
        <f>IFERROR(IF('Invullen groen'!E153&gt;0,123,""),"")</f>
        <v/>
      </c>
      <c r="B127" s="534">
        <f>IFERROR(IF('Invullen groen'!E153&gt;0,'Invullen groen'!A153,""),"")</f>
        <v/>
      </c>
      <c r="C127" s="534">
        <f>IFERROR(IF('Invullen groen'!E153&gt;0,'Invullen groen'!C153,""),"")</f>
        <v/>
      </c>
      <c r="D127" s="534">
        <f>IFERROR(IF('Invullen groen'!E153&gt;0,'Invullen groen'!D153,""),"")</f>
        <v/>
      </c>
      <c r="E127" s="534">
        <f>IFERROR(IF('Invullen groen'!E153&gt;0,'Invullen groen'!G153,""),"")</f>
        <v/>
      </c>
      <c r="F127" s="535">
        <f>IFERROR(IF('Invullen groen'!H153&lt;&gt;0,'Invullen groen'!H153,""),"")</f>
        <v/>
      </c>
      <c r="G127" s="535">
        <f>IFERROR(IF('Invullen groen'!I153&lt;&gt;0,'Invullen groen'!I153,""),"")</f>
        <v/>
      </c>
      <c r="H127" s="535">
        <f>IFERROR(IF('Invullen groen'!J153&lt;&gt;0,'Invullen groen'!J153,""),"")</f>
        <v/>
      </c>
      <c r="I127" s="535">
        <f>IFERROR(IF('Invullen groen'!K153&lt;&gt;0,'Invullen groen'!K153,""),"")</f>
        <v/>
      </c>
    </row>
    <row r="128" ht="15" customHeight="1">
      <c r="A128" s="536">
        <f>IFERROR(IF('Invullen groen'!E154&gt;0,124,""),"")</f>
        <v/>
      </c>
      <c r="B128" s="536">
        <f>IFERROR(IF('Invullen groen'!E154&gt;0,'Invullen groen'!A154,""),"")</f>
        <v/>
      </c>
      <c r="C128" s="536">
        <f>IFERROR(IF('Invullen groen'!E154&gt;0,'Invullen groen'!C154,""),"")</f>
        <v/>
      </c>
      <c r="D128" s="536">
        <f>IFERROR(IF('Invullen groen'!E154&gt;0,'Invullen groen'!D154,""),"")</f>
        <v/>
      </c>
      <c r="E128" s="536">
        <f>IFERROR(IF('Invullen groen'!E154&gt;0,'Invullen groen'!G154,""),"")</f>
        <v/>
      </c>
      <c r="F128" s="537">
        <f>IFERROR(IF('Invullen groen'!H154&lt;&gt;0,'Invullen groen'!H154,""),"")</f>
        <v/>
      </c>
      <c r="G128" s="537">
        <f>IFERROR(IF('Invullen groen'!I154&lt;&gt;0,'Invullen groen'!I154,""),"")</f>
        <v/>
      </c>
      <c r="H128" s="537">
        <f>IFERROR(IF('Invullen groen'!J154&lt;&gt;0,'Invullen groen'!J154,""),"")</f>
        <v/>
      </c>
      <c r="I128" s="537">
        <f>IFERROR(IF('Invullen groen'!K154&lt;&gt;0,'Invullen groen'!K154,""),"")</f>
        <v/>
      </c>
    </row>
    <row r="129" ht="15" customHeight="1">
      <c r="A129" s="534">
        <f>IFERROR(IF('Invullen groen'!E155&gt;0,125,""),"")</f>
        <v/>
      </c>
      <c r="B129" s="534">
        <f>IFERROR(IF('Invullen groen'!E155&gt;0,'Invullen groen'!A155,""),"")</f>
        <v/>
      </c>
      <c r="C129" s="534">
        <f>IFERROR(IF('Invullen groen'!E155&gt;0,'Invullen groen'!C155,""),"")</f>
        <v/>
      </c>
      <c r="D129" s="534">
        <f>IFERROR(IF('Invullen groen'!E155&gt;0,'Invullen groen'!D155,""),"")</f>
        <v/>
      </c>
      <c r="E129" s="534">
        <f>IFERROR(IF('Invullen groen'!E155&gt;0,'Invullen groen'!G155,""),"")</f>
        <v/>
      </c>
      <c r="F129" s="535">
        <f>IFERROR(IF('Invullen groen'!H155&lt;&gt;0,'Invullen groen'!H155,""),"")</f>
        <v/>
      </c>
      <c r="G129" s="535">
        <f>IFERROR(IF('Invullen groen'!I155&lt;&gt;0,'Invullen groen'!I155,""),"")</f>
        <v/>
      </c>
      <c r="H129" s="535">
        <f>IFERROR(IF('Invullen groen'!J155&lt;&gt;0,'Invullen groen'!J155,""),"")</f>
        <v/>
      </c>
      <c r="I129" s="535">
        <f>IFERROR(IF('Invullen groen'!K155&lt;&gt;0,'Invullen groen'!K155,""),"")</f>
        <v/>
      </c>
    </row>
    <row r="130" ht="15" customHeight="1">
      <c r="A130" s="536">
        <f>IFERROR(IF('Invullen groen'!E156&gt;0,126,""),"")</f>
        <v/>
      </c>
      <c r="B130" s="536">
        <f>IFERROR(IF('Invullen groen'!E156&gt;0,'Invullen groen'!A156,""),"")</f>
        <v/>
      </c>
      <c r="C130" s="536">
        <f>IFERROR(IF('Invullen groen'!E156&gt;0,'Invullen groen'!C156,""),"")</f>
        <v/>
      </c>
      <c r="D130" s="536">
        <f>IFERROR(IF('Invullen groen'!E156&gt;0,'Invullen groen'!D156,""),"")</f>
        <v/>
      </c>
      <c r="E130" s="536">
        <f>IFERROR(IF('Invullen groen'!E156&gt;0,'Invullen groen'!G156,""),"")</f>
        <v/>
      </c>
      <c r="F130" s="537">
        <f>IFERROR(IF('Invullen groen'!H156&lt;&gt;0,'Invullen groen'!H156,""),"")</f>
        <v/>
      </c>
      <c r="G130" s="537">
        <f>IFERROR(IF('Invullen groen'!I156&lt;&gt;0,'Invullen groen'!I156,""),"")</f>
        <v/>
      </c>
      <c r="H130" s="537">
        <f>IFERROR(IF('Invullen groen'!J156&lt;&gt;0,'Invullen groen'!J156,""),"")</f>
        <v/>
      </c>
      <c r="I130" s="537">
        <f>IFERROR(IF('Invullen groen'!K156&lt;&gt;0,'Invullen groen'!K156,""),"")</f>
        <v/>
      </c>
    </row>
    <row r="131" ht="15" customHeight="1">
      <c r="A131" s="534">
        <f>IFERROR(IF('Invullen groen'!E157&gt;0,127,""),"")</f>
        <v/>
      </c>
      <c r="B131" s="534">
        <f>IFERROR(IF('Invullen groen'!E157&gt;0,'Invullen groen'!A157,""),"")</f>
        <v/>
      </c>
      <c r="C131" s="534">
        <f>IFERROR(IF('Invullen groen'!E157&gt;0,'Invullen groen'!C157,""),"")</f>
        <v/>
      </c>
      <c r="D131" s="534">
        <f>IFERROR(IF('Invullen groen'!E157&gt;0,'Invullen groen'!D157,""),"")</f>
        <v/>
      </c>
      <c r="E131" s="534">
        <f>IFERROR(IF('Invullen groen'!E157&gt;0,'Invullen groen'!G157,""),"")</f>
        <v/>
      </c>
      <c r="F131" s="535">
        <f>IFERROR(IF('Invullen groen'!H157&lt;&gt;0,'Invullen groen'!H157,""),"")</f>
        <v/>
      </c>
      <c r="G131" s="535">
        <f>IFERROR(IF('Invullen groen'!I157&lt;&gt;0,'Invullen groen'!I157,""),"")</f>
        <v/>
      </c>
      <c r="H131" s="535">
        <f>IFERROR(IF('Invullen groen'!J157&lt;&gt;0,'Invullen groen'!J157,""),"")</f>
        <v/>
      </c>
      <c r="I131" s="535">
        <f>IFERROR(IF('Invullen groen'!K157&lt;&gt;0,'Invullen groen'!K157,""),"")</f>
        <v/>
      </c>
    </row>
    <row r="132" ht="15" customHeight="1">
      <c r="A132" s="536">
        <f>IFERROR(IF('Invullen groen'!E158&gt;0,128,""),"")</f>
        <v/>
      </c>
      <c r="B132" s="536">
        <f>IFERROR(IF('Invullen groen'!E158&gt;0,'Invullen groen'!A158,""),"")</f>
        <v/>
      </c>
      <c r="C132" s="536">
        <f>IFERROR(IF('Invullen groen'!E158&gt;0,'Invullen groen'!C158,""),"")</f>
        <v/>
      </c>
      <c r="D132" s="536">
        <f>IFERROR(IF('Invullen groen'!E158&gt;0,'Invullen groen'!D158,""),"")</f>
        <v/>
      </c>
      <c r="E132" s="536">
        <f>IFERROR(IF('Invullen groen'!E158&gt;0,'Invullen groen'!G158,""),"")</f>
        <v/>
      </c>
      <c r="F132" s="537">
        <f>IFERROR(IF('Invullen groen'!H158&lt;&gt;0,'Invullen groen'!H158,""),"")</f>
        <v/>
      </c>
      <c r="G132" s="537">
        <f>IFERROR(IF('Invullen groen'!I158&lt;&gt;0,'Invullen groen'!I158,""),"")</f>
        <v/>
      </c>
      <c r="H132" s="537">
        <f>IFERROR(IF('Invullen groen'!J158&lt;&gt;0,'Invullen groen'!J158,""),"")</f>
        <v/>
      </c>
      <c r="I132" s="537">
        <f>IFERROR(IF('Invullen groen'!K158&lt;&gt;0,'Invullen groen'!K158,""),"")</f>
        <v/>
      </c>
    </row>
    <row r="133" ht="15" customHeight="1">
      <c r="A133" s="534">
        <f>IFERROR(IF('Invullen groen'!E159&gt;0,129,""),"")</f>
        <v/>
      </c>
      <c r="B133" s="534">
        <f>IFERROR(IF('Invullen groen'!E159&gt;0,'Invullen groen'!A159,""),"")</f>
        <v/>
      </c>
      <c r="C133" s="534">
        <f>IFERROR(IF('Invullen groen'!E159&gt;0,'Invullen groen'!C159,""),"")</f>
        <v/>
      </c>
      <c r="D133" s="534">
        <f>IFERROR(IF('Invullen groen'!E159&gt;0,'Invullen groen'!D159,""),"")</f>
        <v/>
      </c>
      <c r="E133" s="534">
        <f>IFERROR(IF('Invullen groen'!E159&gt;0,'Invullen groen'!G159,""),"")</f>
        <v/>
      </c>
      <c r="F133" s="535">
        <f>IFERROR(IF('Invullen groen'!H159&lt;&gt;0,'Invullen groen'!H159,""),"")</f>
        <v/>
      </c>
      <c r="G133" s="535">
        <f>IFERROR(IF('Invullen groen'!I159&lt;&gt;0,'Invullen groen'!I159,""),"")</f>
        <v/>
      </c>
      <c r="H133" s="535">
        <f>IFERROR(IF('Invullen groen'!J159&lt;&gt;0,'Invullen groen'!J159,""),"")</f>
        <v/>
      </c>
      <c r="I133" s="535">
        <f>IFERROR(IF('Invullen groen'!K159&lt;&gt;0,'Invullen groen'!K159,""),"")</f>
        <v/>
      </c>
    </row>
    <row r="134" ht="15" customHeight="1">
      <c r="A134" s="536">
        <f>IFERROR(IF('Invullen groen'!E160&gt;0,130,""),"")</f>
        <v/>
      </c>
      <c r="B134" s="536">
        <f>IFERROR(IF('Invullen groen'!E160&gt;0,'Invullen groen'!A160,""),"")</f>
        <v/>
      </c>
      <c r="C134" s="536">
        <f>IFERROR(IF('Invullen groen'!E160&gt;0,'Invullen groen'!C160,""),"")</f>
        <v/>
      </c>
      <c r="D134" s="536">
        <f>IFERROR(IF('Invullen groen'!E160&gt;0,'Invullen groen'!D160,""),"")</f>
        <v/>
      </c>
      <c r="E134" s="536">
        <f>IFERROR(IF('Invullen groen'!E160&gt;0,'Invullen groen'!G160,""),"")</f>
        <v/>
      </c>
      <c r="F134" s="537">
        <f>IFERROR(IF('Invullen groen'!H160&lt;&gt;0,'Invullen groen'!H160,""),"")</f>
        <v/>
      </c>
      <c r="G134" s="537">
        <f>IFERROR(IF('Invullen groen'!I160&lt;&gt;0,'Invullen groen'!I160,""),"")</f>
        <v/>
      </c>
      <c r="H134" s="537">
        <f>IFERROR(IF('Invullen groen'!J160&lt;&gt;0,'Invullen groen'!J160,""),"")</f>
        <v/>
      </c>
      <c r="I134" s="537">
        <f>IFERROR(IF('Invullen groen'!K160&lt;&gt;0,'Invullen groen'!K160,""),"")</f>
        <v/>
      </c>
    </row>
    <row r="135" ht="15" customHeight="1">
      <c r="A135" s="534">
        <f>IFERROR(IF('Invullen groen'!E161&gt;0,131,""),"")</f>
        <v/>
      </c>
      <c r="B135" s="534">
        <f>IFERROR(IF('Invullen groen'!E161&gt;0,'Invullen groen'!A161,""),"")</f>
        <v/>
      </c>
      <c r="C135" s="534">
        <f>IFERROR(IF('Invullen groen'!E161&gt;0,'Invullen groen'!C161,""),"")</f>
        <v/>
      </c>
      <c r="D135" s="534">
        <f>IFERROR(IF('Invullen groen'!E161&gt;0,'Invullen groen'!D161,""),"")</f>
        <v/>
      </c>
      <c r="E135" s="534">
        <f>IFERROR(IF('Invullen groen'!E161&gt;0,'Invullen groen'!G161,""),"")</f>
        <v/>
      </c>
      <c r="F135" s="535">
        <f>IFERROR(IF('Invullen groen'!H161&lt;&gt;0,'Invullen groen'!H161,""),"")</f>
        <v/>
      </c>
      <c r="G135" s="535">
        <f>IFERROR(IF('Invullen groen'!I161&lt;&gt;0,'Invullen groen'!I161,""),"")</f>
        <v/>
      </c>
      <c r="H135" s="535">
        <f>IFERROR(IF('Invullen groen'!J161&lt;&gt;0,'Invullen groen'!J161,""),"")</f>
        <v/>
      </c>
      <c r="I135" s="535">
        <f>IFERROR(IF('Invullen groen'!K161&lt;&gt;0,'Invullen groen'!K161,""),"")</f>
        <v/>
      </c>
    </row>
    <row r="136" ht="15" customHeight="1">
      <c r="A136" s="536">
        <f>IFERROR(IF('Invullen groen'!E162&gt;0,132,""),"")</f>
        <v/>
      </c>
      <c r="B136" s="536">
        <f>IFERROR(IF('Invullen groen'!E162&gt;0,'Invullen groen'!A162,""),"")</f>
        <v/>
      </c>
      <c r="C136" s="536">
        <f>IFERROR(IF('Invullen groen'!E162&gt;0,'Invullen groen'!C162,""),"")</f>
        <v/>
      </c>
      <c r="D136" s="536">
        <f>IFERROR(IF('Invullen groen'!E162&gt;0,'Invullen groen'!D162,""),"")</f>
        <v/>
      </c>
      <c r="E136" s="536">
        <f>IFERROR(IF('Invullen groen'!E162&gt;0,'Invullen groen'!G162,""),"")</f>
        <v/>
      </c>
      <c r="F136" s="537">
        <f>IFERROR(IF('Invullen groen'!H162&lt;&gt;0,'Invullen groen'!H162,""),"")</f>
        <v/>
      </c>
      <c r="G136" s="537">
        <f>IFERROR(IF('Invullen groen'!I162&lt;&gt;0,'Invullen groen'!I162,""),"")</f>
        <v/>
      </c>
      <c r="H136" s="537">
        <f>IFERROR(IF('Invullen groen'!J162&lt;&gt;0,'Invullen groen'!J162,""),"")</f>
        <v/>
      </c>
      <c r="I136" s="537">
        <f>IFERROR(IF('Invullen groen'!K162&lt;&gt;0,'Invullen groen'!K162,""),"")</f>
        <v/>
      </c>
    </row>
    <row r="137" ht="15" customHeight="1">
      <c r="A137" s="534">
        <f>IFERROR(IF('Invullen groen'!E163&gt;0,133,""),"")</f>
        <v/>
      </c>
      <c r="B137" s="534">
        <f>IFERROR(IF('Invullen groen'!E163&gt;0,'Invullen groen'!A163,""),"")</f>
        <v/>
      </c>
      <c r="C137" s="534">
        <f>IFERROR(IF('Invullen groen'!E163&gt;0,'Invullen groen'!C163,""),"")</f>
        <v/>
      </c>
      <c r="D137" s="534">
        <f>IFERROR(IF('Invullen groen'!E163&gt;0,'Invullen groen'!D163,""),"")</f>
        <v/>
      </c>
      <c r="E137" s="534">
        <f>IFERROR(IF('Invullen groen'!E163&gt;0,'Invullen groen'!G163,""),"")</f>
        <v/>
      </c>
      <c r="F137" s="535">
        <f>IFERROR(IF('Invullen groen'!H163&lt;&gt;0,'Invullen groen'!H163,""),"")</f>
        <v/>
      </c>
      <c r="G137" s="535">
        <f>IFERROR(IF('Invullen groen'!I163&lt;&gt;0,'Invullen groen'!I163,""),"")</f>
        <v/>
      </c>
      <c r="H137" s="535">
        <f>IFERROR(IF('Invullen groen'!J163&lt;&gt;0,'Invullen groen'!J163,""),"")</f>
        <v/>
      </c>
      <c r="I137" s="535">
        <f>IFERROR(IF('Invullen groen'!K163&lt;&gt;0,'Invullen groen'!K163,""),"")</f>
        <v/>
      </c>
    </row>
    <row r="138" ht="15" customHeight="1">
      <c r="A138" s="536">
        <f>IFERROR(IF('Invullen groen'!E164&gt;0,134,""),"")</f>
        <v/>
      </c>
      <c r="B138" s="536">
        <f>IFERROR(IF('Invullen groen'!E164&gt;0,'Invullen groen'!A164,""),"")</f>
        <v/>
      </c>
      <c r="C138" s="536">
        <f>IFERROR(IF('Invullen groen'!E164&gt;0,'Invullen groen'!C164,""),"")</f>
        <v/>
      </c>
      <c r="D138" s="536">
        <f>IFERROR(IF('Invullen groen'!E164&gt;0,'Invullen groen'!D164,""),"")</f>
        <v/>
      </c>
      <c r="E138" s="536">
        <f>IFERROR(IF('Invullen groen'!E164&gt;0,'Invullen groen'!G164,""),"")</f>
        <v/>
      </c>
      <c r="F138" s="537">
        <f>IFERROR(IF('Invullen groen'!H164&lt;&gt;0,'Invullen groen'!H164,""),"")</f>
        <v/>
      </c>
      <c r="G138" s="537">
        <f>IFERROR(IF('Invullen groen'!I164&lt;&gt;0,'Invullen groen'!I164,""),"")</f>
        <v/>
      </c>
      <c r="H138" s="537">
        <f>IFERROR(IF('Invullen groen'!J164&lt;&gt;0,'Invullen groen'!J164,""),"")</f>
        <v/>
      </c>
      <c r="I138" s="537">
        <f>IFERROR(IF('Invullen groen'!K164&lt;&gt;0,'Invullen groen'!K164,""),"")</f>
        <v/>
      </c>
    </row>
    <row r="139" ht="15" customHeight="1">
      <c r="A139" s="534">
        <f>IFERROR(IF('Invullen groen'!E165&gt;0,135,""),"")</f>
        <v/>
      </c>
      <c r="B139" s="534">
        <f>IFERROR(IF('Invullen groen'!E165&gt;0,'Invullen groen'!A165,""),"")</f>
        <v/>
      </c>
      <c r="C139" s="534">
        <f>IFERROR(IF('Invullen groen'!E165&gt;0,'Invullen groen'!C165,""),"")</f>
        <v/>
      </c>
      <c r="D139" s="534">
        <f>IFERROR(IF('Invullen groen'!E165&gt;0,'Invullen groen'!D165,""),"")</f>
        <v/>
      </c>
      <c r="E139" s="534">
        <f>IFERROR(IF('Invullen groen'!E165&gt;0,'Invullen groen'!G165,""),"")</f>
        <v/>
      </c>
      <c r="F139" s="535">
        <f>IFERROR(IF('Invullen groen'!H165&lt;&gt;0,'Invullen groen'!H165,""),"")</f>
        <v/>
      </c>
      <c r="G139" s="535">
        <f>IFERROR(IF('Invullen groen'!I165&lt;&gt;0,'Invullen groen'!I165,""),"")</f>
        <v/>
      </c>
      <c r="H139" s="535">
        <f>IFERROR(IF('Invullen groen'!J165&lt;&gt;0,'Invullen groen'!J165,""),"")</f>
        <v/>
      </c>
      <c r="I139" s="535">
        <f>IFERROR(IF('Invullen groen'!K165&lt;&gt;0,'Invullen groen'!K165,""),"")</f>
        <v/>
      </c>
    </row>
    <row r="140" ht="15" customHeight="1">
      <c r="A140" s="536">
        <f>IFERROR(IF('Invullen groen'!E166&gt;0,136,""),"")</f>
        <v/>
      </c>
      <c r="B140" s="536">
        <f>IFERROR(IF('Invullen groen'!E166&gt;0,'Invullen groen'!A166,""),"")</f>
        <v/>
      </c>
      <c r="C140" s="536">
        <f>IFERROR(IF('Invullen groen'!E166&gt;0,'Invullen groen'!C166,""),"")</f>
        <v/>
      </c>
      <c r="D140" s="536">
        <f>IFERROR(IF('Invullen groen'!E166&gt;0,'Invullen groen'!D166,""),"")</f>
        <v/>
      </c>
      <c r="E140" s="536">
        <f>IFERROR(IF('Invullen groen'!E166&gt;0,'Invullen groen'!G166,""),"")</f>
        <v/>
      </c>
      <c r="F140" s="537">
        <f>IFERROR(IF('Invullen groen'!H166&lt;&gt;0,'Invullen groen'!H166,""),"")</f>
        <v/>
      </c>
      <c r="G140" s="537">
        <f>IFERROR(IF('Invullen groen'!I166&lt;&gt;0,'Invullen groen'!I166,""),"")</f>
        <v/>
      </c>
      <c r="H140" s="537">
        <f>IFERROR(IF('Invullen groen'!J166&lt;&gt;0,'Invullen groen'!J166,""),"")</f>
        <v/>
      </c>
      <c r="I140" s="537">
        <f>IFERROR(IF('Invullen groen'!K166&lt;&gt;0,'Invullen groen'!K166,""),"")</f>
        <v/>
      </c>
    </row>
    <row r="141" ht="15" customHeight="1">
      <c r="A141" s="534">
        <f>IFERROR(IF('Invullen groen'!E167&gt;0,137,""),"")</f>
        <v/>
      </c>
      <c r="B141" s="534">
        <f>IFERROR(IF('Invullen groen'!E167&gt;0,'Invullen groen'!A167,""),"")</f>
        <v/>
      </c>
      <c r="C141" s="534">
        <f>IFERROR(IF('Invullen groen'!E167&gt;0,'Invullen groen'!C167,""),"")</f>
        <v/>
      </c>
      <c r="D141" s="534">
        <f>IFERROR(IF('Invullen groen'!E167&gt;0,'Invullen groen'!D167,""),"")</f>
        <v/>
      </c>
      <c r="E141" s="534">
        <f>IFERROR(IF('Invullen groen'!E167&gt;0,'Invullen groen'!G167,""),"")</f>
        <v/>
      </c>
      <c r="F141" s="535">
        <f>IFERROR(IF('Invullen groen'!H167&lt;&gt;0,'Invullen groen'!H167,""),"")</f>
        <v/>
      </c>
      <c r="G141" s="535">
        <f>IFERROR(IF('Invullen groen'!I167&lt;&gt;0,'Invullen groen'!I167,""),"")</f>
        <v/>
      </c>
      <c r="H141" s="535">
        <f>IFERROR(IF('Invullen groen'!J167&lt;&gt;0,'Invullen groen'!J167,""),"")</f>
        <v/>
      </c>
      <c r="I141" s="535">
        <f>IFERROR(IF('Invullen groen'!K167&lt;&gt;0,'Invullen groen'!K167,""),"")</f>
        <v/>
      </c>
    </row>
    <row r="142" ht="15" customHeight="1">
      <c r="A142" s="536">
        <f>IFERROR(IF('Invullen groen'!E172&gt;0,138,""),"")</f>
        <v/>
      </c>
      <c r="B142" s="536">
        <f>IFERROR(IF('Invullen groen'!E172&gt;0,'Invullen groen'!A172,""),"")</f>
        <v/>
      </c>
      <c r="C142" s="536">
        <f>IFERROR(IF('Invullen groen'!E172&gt;0,'Invullen groen'!C172,""),"")</f>
        <v/>
      </c>
      <c r="D142" s="536">
        <f>IFERROR(IF('Invullen groen'!E172&gt;0,'Invullen groen'!D172,""),"")</f>
        <v/>
      </c>
      <c r="E142" s="536">
        <f>IFERROR(IF('Invullen groen'!E172&gt;0,'Invullen groen'!G172,""),"")</f>
        <v/>
      </c>
      <c r="F142" s="537">
        <f>IFERROR(IF('Invullen groen'!H172&lt;&gt;0,'Invullen groen'!H172,""),"")</f>
        <v/>
      </c>
      <c r="G142" s="537">
        <f>IFERROR(IF('Invullen groen'!I172&lt;&gt;0,'Invullen groen'!I172,""),"")</f>
        <v/>
      </c>
      <c r="H142" s="537">
        <f>IFERROR(IF('Invullen groen'!J172&lt;&gt;0,'Invullen groen'!J172,""),"")</f>
        <v/>
      </c>
      <c r="I142" s="537">
        <f>IFERROR(IF('Invullen groen'!K172&lt;&gt;0,'Invullen groen'!K172,""),"")</f>
        <v/>
      </c>
    </row>
    <row r="143" ht="15" customHeight="1">
      <c r="A143" s="534">
        <f>IFERROR(IF('Invullen groen'!E173&gt;0,139,""),"")</f>
        <v/>
      </c>
      <c r="B143" s="534">
        <f>IFERROR(IF('Invullen groen'!E173&gt;0,'Invullen groen'!A173,""),"")</f>
        <v/>
      </c>
      <c r="C143" s="534">
        <f>IFERROR(IF('Invullen groen'!E173&gt;0,'Invullen groen'!C173,""),"")</f>
        <v/>
      </c>
      <c r="D143" s="534">
        <f>IFERROR(IF('Invullen groen'!E173&gt;0,'Invullen groen'!D173,""),"")</f>
        <v/>
      </c>
      <c r="E143" s="534">
        <f>IFERROR(IF('Invullen groen'!E173&gt;0,'Invullen groen'!G173,""),"")</f>
        <v/>
      </c>
      <c r="F143" s="535">
        <f>IFERROR(IF('Invullen groen'!H173&lt;&gt;0,'Invullen groen'!H173,""),"")</f>
        <v/>
      </c>
      <c r="G143" s="535">
        <f>IFERROR(IF('Invullen groen'!I173&lt;&gt;0,'Invullen groen'!I173,""),"")</f>
        <v/>
      </c>
      <c r="H143" s="535">
        <f>IFERROR(IF('Invullen groen'!J173&lt;&gt;0,'Invullen groen'!J173,""),"")</f>
        <v/>
      </c>
      <c r="I143" s="535">
        <f>IFERROR(IF('Invullen groen'!K173&lt;&gt;0,'Invullen groen'!K173,""),"")</f>
        <v/>
      </c>
    </row>
    <row r="144" ht="15" customHeight="1">
      <c r="A144" s="536">
        <f>IFERROR(IF('Invullen groen'!E174&gt;0,140,""),"")</f>
        <v/>
      </c>
      <c r="B144" s="536">
        <f>IFERROR(IF('Invullen groen'!E174&gt;0,'Invullen groen'!A174,""),"")</f>
        <v/>
      </c>
      <c r="C144" s="536">
        <f>IFERROR(IF('Invullen groen'!E174&gt;0,'Invullen groen'!C174,""),"")</f>
        <v/>
      </c>
      <c r="D144" s="536">
        <f>IFERROR(IF('Invullen groen'!E174&gt;0,'Invullen groen'!D174,""),"")</f>
        <v/>
      </c>
      <c r="E144" s="536">
        <f>IFERROR(IF('Invullen groen'!E174&gt;0,'Invullen groen'!G174,""),"")</f>
        <v/>
      </c>
      <c r="F144" s="537">
        <f>IFERROR(IF('Invullen groen'!H174&lt;&gt;0,'Invullen groen'!H174,""),"")</f>
        <v/>
      </c>
      <c r="G144" s="537">
        <f>IFERROR(IF('Invullen groen'!I174&lt;&gt;0,'Invullen groen'!I174,""),"")</f>
        <v/>
      </c>
      <c r="H144" s="537">
        <f>IFERROR(IF('Invullen groen'!J174&lt;&gt;0,'Invullen groen'!J174,""),"")</f>
        <v/>
      </c>
      <c r="I144" s="537">
        <f>IFERROR(IF('Invullen groen'!K174&lt;&gt;0,'Invullen groen'!K174,""),"")</f>
        <v/>
      </c>
    </row>
    <row r="145" ht="15" customHeight="1">
      <c r="A145" s="534">
        <f>IFERROR(IF('Invullen groen'!E175&gt;0,141,""),"")</f>
        <v/>
      </c>
      <c r="B145" s="534">
        <f>IFERROR(IF('Invullen groen'!E175&gt;0,'Invullen groen'!A175,""),"")</f>
        <v/>
      </c>
      <c r="C145" s="534">
        <f>IFERROR(IF('Invullen groen'!E175&gt;0,'Invullen groen'!C175,""),"")</f>
        <v/>
      </c>
      <c r="D145" s="534">
        <f>IFERROR(IF('Invullen groen'!E175&gt;0,'Invullen groen'!D175,""),"")</f>
        <v/>
      </c>
      <c r="E145" s="534">
        <f>IFERROR(IF('Invullen groen'!E175&gt;0,'Invullen groen'!G175,""),"")</f>
        <v/>
      </c>
      <c r="F145" s="535">
        <f>IFERROR(IF('Invullen groen'!H175&lt;&gt;0,'Invullen groen'!H175,""),"")</f>
        <v/>
      </c>
      <c r="G145" s="535">
        <f>IFERROR(IF('Invullen groen'!I175&lt;&gt;0,'Invullen groen'!I175,""),"")</f>
        <v/>
      </c>
      <c r="H145" s="535">
        <f>IFERROR(IF('Invullen groen'!J175&lt;&gt;0,'Invullen groen'!J175,""),"")</f>
        <v/>
      </c>
      <c r="I145" s="535">
        <f>IFERROR(IF('Invullen groen'!K175&lt;&gt;0,'Invullen groen'!K175,""),"")</f>
        <v/>
      </c>
    </row>
    <row r="146" ht="15" customHeight="1">
      <c r="A146" s="536">
        <f>IFERROR(IF('Invullen groen'!E176&gt;0,142,""),"")</f>
        <v/>
      </c>
      <c r="B146" s="536">
        <f>IFERROR(IF('Invullen groen'!E176&gt;0,'Invullen groen'!A176,""),"")</f>
        <v/>
      </c>
      <c r="C146" s="536">
        <f>IFERROR(IF('Invullen groen'!E176&gt;0,'Invullen groen'!C176,""),"")</f>
        <v/>
      </c>
      <c r="D146" s="536">
        <f>IFERROR(IF('Invullen groen'!E176&gt;0,'Invullen groen'!D176,""),"")</f>
        <v/>
      </c>
      <c r="E146" s="536">
        <f>IFERROR(IF('Invullen groen'!E176&gt;0,'Invullen groen'!G176,""),"")</f>
        <v/>
      </c>
      <c r="F146" s="537">
        <f>IFERROR(IF('Invullen groen'!H176&lt;&gt;0,'Invullen groen'!H176,""),"")</f>
        <v/>
      </c>
      <c r="G146" s="537">
        <f>IFERROR(IF('Invullen groen'!I176&lt;&gt;0,'Invullen groen'!I176,""),"")</f>
        <v/>
      </c>
      <c r="H146" s="537">
        <f>IFERROR(IF('Invullen groen'!J176&lt;&gt;0,'Invullen groen'!J176,""),"")</f>
        <v/>
      </c>
      <c r="I146" s="537">
        <f>IFERROR(IF('Invullen groen'!K176&lt;&gt;0,'Invullen groen'!K176,""),"")</f>
        <v/>
      </c>
    </row>
    <row r="147" ht="15" customHeight="1">
      <c r="A147" s="534">
        <f>IFERROR(IF('Invullen groen'!E177&gt;0,143,""),"")</f>
        <v/>
      </c>
      <c r="B147" s="534">
        <f>IFERROR(IF('Invullen groen'!E177&gt;0,'Invullen groen'!A177,""),"")</f>
        <v/>
      </c>
      <c r="C147" s="534">
        <f>IFERROR(IF('Invullen groen'!E177&gt;0,'Invullen groen'!C177,""),"")</f>
        <v/>
      </c>
      <c r="D147" s="534">
        <f>IFERROR(IF('Invullen groen'!E177&gt;0,'Invullen groen'!D177,""),"")</f>
        <v/>
      </c>
      <c r="E147" s="534">
        <f>IFERROR(IF('Invullen groen'!E177&gt;0,'Invullen groen'!G177,""),"")</f>
        <v/>
      </c>
      <c r="F147" s="535">
        <f>IFERROR(IF('Invullen groen'!H177&lt;&gt;0,'Invullen groen'!H177,""),"")</f>
        <v/>
      </c>
      <c r="G147" s="535">
        <f>IFERROR(IF('Invullen groen'!I177&lt;&gt;0,'Invullen groen'!I177,""),"")</f>
        <v/>
      </c>
      <c r="H147" s="535">
        <f>IFERROR(IF('Invullen groen'!J177&lt;&gt;0,'Invullen groen'!J177,""),"")</f>
        <v/>
      </c>
      <c r="I147" s="535">
        <f>IFERROR(IF('Invullen groen'!K177&lt;&gt;0,'Invullen groen'!K177,""),"")</f>
        <v/>
      </c>
    </row>
    <row r="148" ht="15" customHeight="1">
      <c r="A148" s="536">
        <f>IFERROR(IF('Invullen groen'!E178&gt;0,144,""),"")</f>
        <v/>
      </c>
      <c r="B148" s="536">
        <f>IFERROR(IF('Invullen groen'!E178&gt;0,'Invullen groen'!A178,""),"")</f>
        <v/>
      </c>
      <c r="C148" s="536">
        <f>IFERROR(IF('Invullen groen'!E178&gt;0,'Invullen groen'!C178,""),"")</f>
        <v/>
      </c>
      <c r="D148" s="536">
        <f>IFERROR(IF('Invullen groen'!E178&gt;0,'Invullen groen'!D178,""),"")</f>
        <v/>
      </c>
      <c r="E148" s="536">
        <f>IFERROR(IF('Invullen groen'!E178&gt;0,'Invullen groen'!G178,""),"")</f>
        <v/>
      </c>
      <c r="F148" s="537">
        <f>IFERROR(IF('Invullen groen'!H178&lt;&gt;0,'Invullen groen'!H178,""),"")</f>
        <v/>
      </c>
      <c r="G148" s="537">
        <f>IFERROR(IF('Invullen groen'!I178&lt;&gt;0,'Invullen groen'!I178,""),"")</f>
        <v/>
      </c>
      <c r="H148" s="537">
        <f>IFERROR(IF('Invullen groen'!J178&lt;&gt;0,'Invullen groen'!J178,""),"")</f>
        <v/>
      </c>
      <c r="I148" s="537">
        <f>IFERROR(IF('Invullen groen'!K178&lt;&gt;0,'Invullen groen'!K178,""),"")</f>
        <v/>
      </c>
    </row>
    <row r="149" ht="15" customHeight="1">
      <c r="A149" s="534">
        <f>IFERROR(IF('Invullen groen'!E179&gt;0,145,""),"")</f>
        <v/>
      </c>
      <c r="B149" s="534">
        <f>IFERROR(IF('Invullen groen'!E179&gt;0,'Invullen groen'!A179,""),"")</f>
        <v/>
      </c>
      <c r="C149" s="534">
        <f>IFERROR(IF('Invullen groen'!E179&gt;0,'Invullen groen'!C179,""),"")</f>
        <v/>
      </c>
      <c r="D149" s="534">
        <f>IFERROR(IF('Invullen groen'!E179&gt;0,'Invullen groen'!D179,""),"")</f>
        <v/>
      </c>
      <c r="E149" s="534">
        <f>IFERROR(IF('Invullen groen'!E179&gt;0,'Invullen groen'!G179,""),"")</f>
        <v/>
      </c>
      <c r="F149" s="535">
        <f>IFERROR(IF('Invullen groen'!H179&lt;&gt;0,'Invullen groen'!H179,""),"")</f>
        <v/>
      </c>
      <c r="G149" s="535">
        <f>IFERROR(IF('Invullen groen'!I179&lt;&gt;0,'Invullen groen'!I179,""),"")</f>
        <v/>
      </c>
      <c r="H149" s="535">
        <f>IFERROR(IF('Invullen groen'!J179&lt;&gt;0,'Invullen groen'!J179,""),"")</f>
        <v/>
      </c>
      <c r="I149" s="535">
        <f>IFERROR(IF('Invullen groen'!K179&lt;&gt;0,'Invullen groen'!K179,""),"")</f>
        <v/>
      </c>
    </row>
    <row r="150" ht="15" customHeight="1">
      <c r="A150" s="536">
        <f>IFERROR(IF('Invullen groen'!E180&gt;0,146,""),"")</f>
        <v/>
      </c>
      <c r="B150" s="536">
        <f>IFERROR(IF('Invullen groen'!E180&gt;0,'Invullen groen'!A180,""),"")</f>
        <v/>
      </c>
      <c r="C150" s="536">
        <f>IFERROR(IF('Invullen groen'!E180&gt;0,'Invullen groen'!C180,""),"")</f>
        <v/>
      </c>
      <c r="D150" s="536">
        <f>IFERROR(IF('Invullen groen'!E180&gt;0,'Invullen groen'!D180,""),"")</f>
        <v/>
      </c>
      <c r="E150" s="536">
        <f>IFERROR(IF('Invullen groen'!E180&gt;0,'Invullen groen'!G180,""),"")</f>
        <v/>
      </c>
      <c r="F150" s="537">
        <f>IFERROR(IF('Invullen groen'!H180&lt;&gt;0,'Invullen groen'!H180,""),"")</f>
        <v/>
      </c>
      <c r="G150" s="537">
        <f>IFERROR(IF('Invullen groen'!I180&lt;&gt;0,'Invullen groen'!I180,""),"")</f>
        <v/>
      </c>
      <c r="H150" s="537">
        <f>IFERROR(IF('Invullen groen'!J180&lt;&gt;0,'Invullen groen'!J180,""),"")</f>
        <v/>
      </c>
      <c r="I150" s="537">
        <f>IFERROR(IF('Invullen groen'!K180&lt;&gt;0,'Invullen groen'!K180,""),"")</f>
        <v/>
      </c>
    </row>
    <row r="151" ht="15" customHeight="1">
      <c r="A151" s="534">
        <f>IFERROR(IF('Invullen groen'!E181&gt;0,147,""),"")</f>
        <v/>
      </c>
      <c r="B151" s="534">
        <f>IFERROR(IF('Invullen groen'!E181&gt;0,'Invullen groen'!A181,""),"")</f>
        <v/>
      </c>
      <c r="C151" s="534">
        <f>IFERROR(IF('Invullen groen'!E181&gt;0,'Invullen groen'!C181,""),"")</f>
        <v/>
      </c>
      <c r="D151" s="534">
        <f>IFERROR(IF('Invullen groen'!E181&gt;0,'Invullen groen'!D181,""),"")</f>
        <v/>
      </c>
      <c r="E151" s="534">
        <f>IFERROR(IF('Invullen groen'!E181&gt;0,'Invullen groen'!G181,""),"")</f>
        <v/>
      </c>
      <c r="F151" s="535">
        <f>IFERROR(IF('Invullen groen'!H181&lt;&gt;0,'Invullen groen'!H181,""),"")</f>
        <v/>
      </c>
      <c r="G151" s="535">
        <f>IFERROR(IF('Invullen groen'!I181&lt;&gt;0,'Invullen groen'!I181,""),"")</f>
        <v/>
      </c>
      <c r="H151" s="535">
        <f>IFERROR(IF('Invullen groen'!J181&lt;&gt;0,'Invullen groen'!J181,""),"")</f>
        <v/>
      </c>
      <c r="I151" s="535">
        <f>IFERROR(IF('Invullen groen'!K181&lt;&gt;0,'Invullen groen'!K181,""),"")</f>
        <v/>
      </c>
    </row>
    <row r="152" ht="15" customHeight="1">
      <c r="A152" s="536">
        <f>IFERROR(IF('Invullen groen'!E182&gt;0,148,""),"")</f>
        <v/>
      </c>
      <c r="B152" s="536">
        <f>IFERROR(IF('Invullen groen'!E182&gt;0,'Invullen groen'!A182,""),"")</f>
        <v/>
      </c>
      <c r="C152" s="536">
        <f>IFERROR(IF('Invullen groen'!E182&gt;0,'Invullen groen'!C182,""),"")</f>
        <v/>
      </c>
      <c r="D152" s="536">
        <f>IFERROR(IF('Invullen groen'!E182&gt;0,'Invullen groen'!D182,""),"")</f>
        <v/>
      </c>
      <c r="E152" s="536">
        <f>IFERROR(IF('Invullen groen'!E182&gt;0,'Invullen groen'!G182,""),"")</f>
        <v/>
      </c>
      <c r="F152" s="537">
        <f>IFERROR(IF('Invullen groen'!H182&lt;&gt;0,'Invullen groen'!H182,""),"")</f>
        <v/>
      </c>
      <c r="G152" s="537">
        <f>IFERROR(IF('Invullen groen'!I182&lt;&gt;0,'Invullen groen'!I182,""),"")</f>
        <v/>
      </c>
      <c r="H152" s="537">
        <f>IFERROR(IF('Invullen groen'!J182&lt;&gt;0,'Invullen groen'!J182,""),"")</f>
        <v/>
      </c>
      <c r="I152" s="537">
        <f>IFERROR(IF('Invullen groen'!K182&lt;&gt;0,'Invullen groen'!K182,""),"")</f>
        <v/>
      </c>
    </row>
    <row r="153" ht="15" customHeight="1">
      <c r="A153" s="534">
        <f>IFERROR(IF('Invullen groen'!E183&gt;0,149,""),"")</f>
        <v/>
      </c>
      <c r="B153" s="534">
        <f>IFERROR(IF('Invullen groen'!E183&gt;0,'Invullen groen'!A183,""),"")</f>
        <v/>
      </c>
      <c r="C153" s="534">
        <f>IFERROR(IF('Invullen groen'!E183&gt;0,'Invullen groen'!C183,""),"")</f>
        <v/>
      </c>
      <c r="D153" s="534">
        <f>IFERROR(IF('Invullen groen'!E183&gt;0,'Invullen groen'!D183,""),"")</f>
        <v/>
      </c>
      <c r="E153" s="534">
        <f>IFERROR(IF('Invullen groen'!E183&gt;0,'Invullen groen'!G183,""),"")</f>
        <v/>
      </c>
      <c r="F153" s="535">
        <f>IFERROR(IF('Invullen groen'!H183&lt;&gt;0,'Invullen groen'!H183,""),"")</f>
        <v/>
      </c>
      <c r="G153" s="535">
        <f>IFERROR(IF('Invullen groen'!I183&lt;&gt;0,'Invullen groen'!I183,""),"")</f>
        <v/>
      </c>
      <c r="H153" s="535">
        <f>IFERROR(IF('Invullen groen'!J183&lt;&gt;0,'Invullen groen'!J183,""),"")</f>
        <v/>
      </c>
      <c r="I153" s="535">
        <f>IFERROR(IF('Invullen groen'!K183&lt;&gt;0,'Invullen groen'!K183,""),"")</f>
        <v/>
      </c>
    </row>
    <row r="154" ht="15" customHeight="1">
      <c r="A154" s="536">
        <f>IFERROR(IF('Invullen groen'!E184&gt;0,150,""),"")</f>
        <v/>
      </c>
      <c r="B154" s="536">
        <f>IFERROR(IF('Invullen groen'!E184&gt;0,'Invullen groen'!A184,""),"")</f>
        <v/>
      </c>
      <c r="C154" s="536">
        <f>IFERROR(IF('Invullen groen'!E184&gt;0,'Invullen groen'!C184,""),"")</f>
        <v/>
      </c>
      <c r="D154" s="536">
        <f>IFERROR(IF('Invullen groen'!E184&gt;0,'Invullen groen'!D184,""),"")</f>
        <v/>
      </c>
      <c r="E154" s="536">
        <f>IFERROR(IF('Invullen groen'!E184&gt;0,'Invullen groen'!G184,""),"")</f>
        <v/>
      </c>
      <c r="F154" s="537">
        <f>IFERROR(IF('Invullen groen'!H184&lt;&gt;0,'Invullen groen'!H184,""),"")</f>
        <v/>
      </c>
      <c r="G154" s="537">
        <f>IFERROR(IF('Invullen groen'!I184&lt;&gt;0,'Invullen groen'!I184,""),"")</f>
        <v/>
      </c>
      <c r="H154" s="537">
        <f>IFERROR(IF('Invullen groen'!J184&lt;&gt;0,'Invullen groen'!J184,""),"")</f>
        <v/>
      </c>
      <c r="I154" s="537">
        <f>IFERROR(IF('Invullen groen'!K184&lt;&gt;0,'Invullen groen'!K184,""),"")</f>
        <v/>
      </c>
    </row>
    <row r="155" ht="15" customHeight="1">
      <c r="A155" s="534">
        <f>IFERROR(IF('Invullen groen'!E185&gt;0,151,""),"")</f>
        <v/>
      </c>
      <c r="B155" s="534">
        <f>IFERROR(IF('Invullen groen'!E185&gt;0,'Invullen groen'!A185,""),"")</f>
        <v/>
      </c>
      <c r="C155" s="534">
        <f>IFERROR(IF('Invullen groen'!E185&gt;0,'Invullen groen'!C185,""),"")</f>
        <v/>
      </c>
      <c r="D155" s="534">
        <f>IFERROR(IF('Invullen groen'!E185&gt;0,'Invullen groen'!D185,""),"")</f>
        <v/>
      </c>
      <c r="E155" s="534">
        <f>IFERROR(IF('Invullen groen'!E185&gt;0,'Invullen groen'!G185,""),"")</f>
        <v/>
      </c>
      <c r="F155" s="535">
        <f>IFERROR(IF('Invullen groen'!H185&lt;&gt;0,'Invullen groen'!H185,""),"")</f>
        <v/>
      </c>
      <c r="G155" s="535">
        <f>IFERROR(IF('Invullen groen'!I185&lt;&gt;0,'Invullen groen'!I185,""),"")</f>
        <v/>
      </c>
      <c r="H155" s="535">
        <f>IFERROR(IF('Invullen groen'!J185&lt;&gt;0,'Invullen groen'!J185,""),"")</f>
        <v/>
      </c>
      <c r="I155" s="535">
        <f>IFERROR(IF('Invullen groen'!K185&lt;&gt;0,'Invullen groen'!K185,""),"")</f>
        <v/>
      </c>
    </row>
    <row r="156" ht="15" customHeight="1">
      <c r="A156" s="536">
        <f>IFERROR(IF('Invullen groen'!E186&gt;0,152,""),"")</f>
        <v/>
      </c>
      <c r="B156" s="536">
        <f>IFERROR(IF('Invullen groen'!E186&gt;0,'Invullen groen'!A186,""),"")</f>
        <v/>
      </c>
      <c r="C156" s="536">
        <f>IFERROR(IF('Invullen groen'!E186&gt;0,'Invullen groen'!C186,""),"")</f>
        <v/>
      </c>
      <c r="D156" s="536">
        <f>IFERROR(IF('Invullen groen'!E186&gt;0,'Invullen groen'!D186,""),"")</f>
        <v/>
      </c>
      <c r="E156" s="536">
        <f>IFERROR(IF('Invullen groen'!E186&gt;0,'Invullen groen'!G186,""),"")</f>
        <v/>
      </c>
      <c r="F156" s="537">
        <f>IFERROR(IF('Invullen groen'!H186&lt;&gt;0,'Invullen groen'!H186,""),"")</f>
        <v/>
      </c>
      <c r="G156" s="537">
        <f>IFERROR(IF('Invullen groen'!I186&lt;&gt;0,'Invullen groen'!I186,""),"")</f>
        <v/>
      </c>
      <c r="H156" s="537">
        <f>IFERROR(IF('Invullen groen'!J186&lt;&gt;0,'Invullen groen'!J186,""),"")</f>
        <v/>
      </c>
      <c r="I156" s="537">
        <f>IFERROR(IF('Invullen groen'!K186&lt;&gt;0,'Invullen groen'!K186,""),"")</f>
        <v/>
      </c>
    </row>
    <row r="157" ht="15" customHeight="1">
      <c r="A157" s="534">
        <f>IFERROR(IF('Invullen groen'!E187&gt;0,153,""),"")</f>
        <v/>
      </c>
      <c r="B157" s="534">
        <f>IFERROR(IF('Invullen groen'!E187&gt;0,'Invullen groen'!A187,""),"")</f>
        <v/>
      </c>
      <c r="C157" s="534">
        <f>IFERROR(IF('Invullen groen'!E187&gt;0,'Invullen groen'!C187,""),"")</f>
        <v/>
      </c>
      <c r="D157" s="534">
        <f>IFERROR(IF('Invullen groen'!E187&gt;0,'Invullen groen'!D187,""),"")</f>
        <v/>
      </c>
      <c r="E157" s="534">
        <f>IFERROR(IF('Invullen groen'!E187&gt;0,'Invullen groen'!G187,""),"")</f>
        <v/>
      </c>
      <c r="F157" s="535">
        <f>IFERROR(IF('Invullen groen'!H187&lt;&gt;0,'Invullen groen'!H187,""),"")</f>
        <v/>
      </c>
      <c r="G157" s="535">
        <f>IFERROR(IF('Invullen groen'!I187&lt;&gt;0,'Invullen groen'!I187,""),"")</f>
        <v/>
      </c>
      <c r="H157" s="535">
        <f>IFERROR(IF('Invullen groen'!J187&lt;&gt;0,'Invullen groen'!J187,""),"")</f>
        <v/>
      </c>
      <c r="I157" s="535">
        <f>IFERROR(IF('Invullen groen'!K187&lt;&gt;0,'Invullen groen'!K187,""),"")</f>
        <v/>
      </c>
    </row>
    <row r="158" ht="15" customHeight="1">
      <c r="A158" s="536">
        <f>IFERROR(IF('Invullen groen'!E188&gt;0,154,""),"")</f>
        <v/>
      </c>
      <c r="B158" s="536">
        <f>IFERROR(IF('Invullen groen'!E188&gt;0,'Invullen groen'!A188,""),"")</f>
        <v/>
      </c>
      <c r="C158" s="536">
        <f>IFERROR(IF('Invullen groen'!E188&gt;0,'Invullen groen'!C188,""),"")</f>
        <v/>
      </c>
      <c r="D158" s="536">
        <f>IFERROR(IF('Invullen groen'!E188&gt;0,'Invullen groen'!D188,""),"")</f>
        <v/>
      </c>
      <c r="E158" s="536">
        <f>IFERROR(IF('Invullen groen'!E188&gt;0,'Invullen groen'!G188,""),"")</f>
        <v/>
      </c>
      <c r="F158" s="537">
        <f>IFERROR(IF('Invullen groen'!H188&lt;&gt;0,'Invullen groen'!H188,""),"")</f>
        <v/>
      </c>
      <c r="G158" s="537">
        <f>IFERROR(IF('Invullen groen'!I188&lt;&gt;0,'Invullen groen'!I188,""),"")</f>
        <v/>
      </c>
      <c r="H158" s="537">
        <f>IFERROR(IF('Invullen groen'!J188&lt;&gt;0,'Invullen groen'!J188,""),"")</f>
        <v/>
      </c>
      <c r="I158" s="537">
        <f>IFERROR(IF('Invullen groen'!K188&lt;&gt;0,'Invullen groen'!K188,""),"")</f>
        <v/>
      </c>
    </row>
    <row r="159" ht="15" customHeight="1">
      <c r="A159" s="534">
        <f>IFERROR(IF('Invullen groen'!E189&gt;0,155,""),"")</f>
        <v/>
      </c>
      <c r="B159" s="534">
        <f>IFERROR(IF('Invullen groen'!E189&gt;0,'Invullen groen'!A189,""),"")</f>
        <v/>
      </c>
      <c r="C159" s="534">
        <f>IFERROR(IF('Invullen groen'!E189&gt;0,'Invullen groen'!C189,""),"")</f>
        <v/>
      </c>
      <c r="D159" s="534">
        <f>IFERROR(IF('Invullen groen'!E189&gt;0,'Invullen groen'!D189,""),"")</f>
        <v/>
      </c>
      <c r="E159" s="534">
        <f>IFERROR(IF('Invullen groen'!E189&gt;0,'Invullen groen'!G189,""),"")</f>
        <v/>
      </c>
      <c r="F159" s="535">
        <f>IFERROR(IF('Invullen groen'!H189&lt;&gt;0,'Invullen groen'!H189,""),"")</f>
        <v/>
      </c>
      <c r="G159" s="535">
        <f>IFERROR(IF('Invullen groen'!I189&lt;&gt;0,'Invullen groen'!I189,""),"")</f>
        <v/>
      </c>
      <c r="H159" s="535">
        <f>IFERROR(IF('Invullen groen'!J189&lt;&gt;0,'Invullen groen'!J189,""),"")</f>
        <v/>
      </c>
      <c r="I159" s="535">
        <f>IFERROR(IF('Invullen groen'!K189&lt;&gt;0,'Invullen groen'!K189,""),"")</f>
        <v/>
      </c>
    </row>
    <row r="160" ht="15" customHeight="1">
      <c r="A160" s="536">
        <f>IFERROR(IF('Invullen groen'!E190&gt;0,156,""),"")</f>
        <v/>
      </c>
      <c r="B160" s="536">
        <f>IFERROR(IF('Invullen groen'!E190&gt;0,'Invullen groen'!A190,""),"")</f>
        <v/>
      </c>
      <c r="C160" s="536">
        <f>IFERROR(IF('Invullen groen'!E190&gt;0,'Invullen groen'!C190,""),"")</f>
        <v/>
      </c>
      <c r="D160" s="536">
        <f>IFERROR(IF('Invullen groen'!E190&gt;0,'Invullen groen'!D190,""),"")</f>
        <v/>
      </c>
      <c r="E160" s="536">
        <f>IFERROR(IF('Invullen groen'!E190&gt;0,'Invullen groen'!G190,""),"")</f>
        <v/>
      </c>
      <c r="F160" s="537">
        <f>IFERROR(IF('Invullen groen'!H190&lt;&gt;0,'Invullen groen'!H190,""),"")</f>
        <v/>
      </c>
      <c r="G160" s="537">
        <f>IFERROR(IF('Invullen groen'!I190&lt;&gt;0,'Invullen groen'!I190,""),"")</f>
        <v/>
      </c>
      <c r="H160" s="537">
        <f>IFERROR(IF('Invullen groen'!J190&lt;&gt;0,'Invullen groen'!J190,""),"")</f>
        <v/>
      </c>
      <c r="I160" s="537">
        <f>IFERROR(IF('Invullen groen'!K190&lt;&gt;0,'Invullen groen'!K190,""),"")</f>
        <v/>
      </c>
    </row>
    <row r="161" ht="15" customHeight="1">
      <c r="A161" s="534">
        <f>IFERROR(IF('Invullen groen'!E191&gt;0,157,""),"")</f>
        <v/>
      </c>
      <c r="B161" s="534">
        <f>IFERROR(IF('Invullen groen'!E191&gt;0,'Invullen groen'!A191,""),"")</f>
        <v/>
      </c>
      <c r="C161" s="534">
        <f>IFERROR(IF('Invullen groen'!E191&gt;0,'Invullen groen'!C191,""),"")</f>
        <v/>
      </c>
      <c r="D161" s="534">
        <f>IFERROR(IF('Invullen groen'!E191&gt;0,'Invullen groen'!D191,""),"")</f>
        <v/>
      </c>
      <c r="E161" s="534">
        <f>IFERROR(IF('Invullen groen'!E191&gt;0,'Invullen groen'!G191,""),"")</f>
        <v/>
      </c>
      <c r="F161" s="535">
        <f>IFERROR(IF('Invullen groen'!H191&lt;&gt;0,'Invullen groen'!H191,""),"")</f>
        <v/>
      </c>
      <c r="G161" s="535">
        <f>IFERROR(IF('Invullen groen'!I191&lt;&gt;0,'Invullen groen'!I191,""),"")</f>
        <v/>
      </c>
      <c r="H161" s="535">
        <f>IFERROR(IF('Invullen groen'!J191&lt;&gt;0,'Invullen groen'!J191,""),"")</f>
        <v/>
      </c>
      <c r="I161" s="535">
        <f>IFERROR(IF('Invullen groen'!K191&lt;&gt;0,'Invullen groen'!K191,""),"")</f>
        <v/>
      </c>
    </row>
    <row r="162" ht="15" customHeight="1">
      <c r="A162" s="536">
        <f>IFERROR(IF('Invullen groen'!E192&gt;0,158,""),"")</f>
        <v/>
      </c>
      <c r="B162" s="536">
        <f>IFERROR(IF('Invullen groen'!E192&gt;0,'Invullen groen'!A192,""),"")</f>
        <v/>
      </c>
      <c r="C162" s="536">
        <f>IFERROR(IF('Invullen groen'!E192&gt;0,'Invullen groen'!C192,""),"")</f>
        <v/>
      </c>
      <c r="D162" s="536">
        <f>IFERROR(IF('Invullen groen'!E192&gt;0,'Invullen groen'!D192,""),"")</f>
        <v/>
      </c>
      <c r="E162" s="536">
        <f>IFERROR(IF('Invullen groen'!E192&gt;0,'Invullen groen'!G192,""),"")</f>
        <v/>
      </c>
      <c r="F162" s="537">
        <f>IFERROR(IF('Invullen groen'!H192&lt;&gt;0,'Invullen groen'!H192,""),"")</f>
        <v/>
      </c>
      <c r="G162" s="537">
        <f>IFERROR(IF('Invullen groen'!I192&lt;&gt;0,'Invullen groen'!I192,""),"")</f>
        <v/>
      </c>
      <c r="H162" s="537">
        <f>IFERROR(IF('Invullen groen'!J192&lt;&gt;0,'Invullen groen'!J192,""),"")</f>
        <v/>
      </c>
      <c r="I162" s="537">
        <f>IFERROR(IF('Invullen groen'!K192&lt;&gt;0,'Invullen groen'!K192,""),"")</f>
        <v/>
      </c>
    </row>
    <row r="163" ht="15" customHeight="1">
      <c r="A163" s="534">
        <f>IFERROR(IF('Invullen groen'!E193&gt;0,159,""),"")</f>
        <v/>
      </c>
      <c r="B163" s="534">
        <f>IFERROR(IF('Invullen groen'!E193&gt;0,'Invullen groen'!A193,""),"")</f>
        <v/>
      </c>
      <c r="C163" s="534">
        <f>IFERROR(IF('Invullen groen'!E193&gt;0,'Invullen groen'!C193,""),"")</f>
        <v/>
      </c>
      <c r="D163" s="534">
        <f>IFERROR(IF('Invullen groen'!E193&gt;0,'Invullen groen'!D193,""),"")</f>
        <v/>
      </c>
      <c r="E163" s="534">
        <f>IFERROR(IF('Invullen groen'!E193&gt;0,'Invullen groen'!G193,""),"")</f>
        <v/>
      </c>
      <c r="F163" s="535">
        <f>IFERROR(IF('Invullen groen'!H193&lt;&gt;0,'Invullen groen'!H193,""),"")</f>
        <v/>
      </c>
      <c r="G163" s="535">
        <f>IFERROR(IF('Invullen groen'!I193&lt;&gt;0,'Invullen groen'!I193,""),"")</f>
        <v/>
      </c>
      <c r="H163" s="535">
        <f>IFERROR(IF('Invullen groen'!J193&lt;&gt;0,'Invullen groen'!J193,""),"")</f>
        <v/>
      </c>
      <c r="I163" s="535">
        <f>IFERROR(IF('Invullen groen'!K193&lt;&gt;0,'Invullen groen'!K193,""),"")</f>
        <v/>
      </c>
    </row>
    <row r="164" ht="15" customHeight="1">
      <c r="A164" s="536">
        <f>IFERROR(IF('Invullen groen'!E194&gt;0,160,""),"")</f>
        <v/>
      </c>
      <c r="B164" s="536">
        <f>IFERROR(IF('Invullen groen'!E194&gt;0,'Invullen groen'!A194,""),"")</f>
        <v/>
      </c>
      <c r="C164" s="536">
        <f>IFERROR(IF('Invullen groen'!E194&gt;0,'Invullen groen'!C194,""),"")</f>
        <v/>
      </c>
      <c r="D164" s="536">
        <f>IFERROR(IF('Invullen groen'!E194&gt;0,'Invullen groen'!D194,""),"")</f>
        <v/>
      </c>
      <c r="E164" s="536">
        <f>IFERROR(IF('Invullen groen'!E194&gt;0,'Invullen groen'!G194,""),"")</f>
        <v/>
      </c>
      <c r="F164" s="537">
        <f>IFERROR(IF('Invullen groen'!H194&lt;&gt;0,'Invullen groen'!H194,""),"")</f>
        <v/>
      </c>
      <c r="G164" s="537">
        <f>IFERROR(IF('Invullen groen'!I194&lt;&gt;0,'Invullen groen'!I194,""),"")</f>
        <v/>
      </c>
      <c r="H164" s="537">
        <f>IFERROR(IF('Invullen groen'!J194&lt;&gt;0,'Invullen groen'!J194,""),"")</f>
        <v/>
      </c>
      <c r="I164" s="537">
        <f>IFERROR(IF('Invullen groen'!K194&lt;&gt;0,'Invullen groen'!K194,""),"")</f>
        <v/>
      </c>
    </row>
    <row r="165" ht="15" customHeight="1">
      <c r="A165" s="534">
        <f>IFERROR(IF('Invullen groen'!E195&gt;0,161,""),"")</f>
        <v/>
      </c>
      <c r="B165" s="534">
        <f>IFERROR(IF('Invullen groen'!E195&gt;0,'Invullen groen'!A195,""),"")</f>
        <v/>
      </c>
      <c r="C165" s="534">
        <f>IFERROR(IF('Invullen groen'!E195&gt;0,'Invullen groen'!C195,""),"")</f>
        <v/>
      </c>
      <c r="D165" s="534">
        <f>IFERROR(IF('Invullen groen'!E195&gt;0,'Invullen groen'!D195,""),"")</f>
        <v/>
      </c>
      <c r="E165" s="534">
        <f>IFERROR(IF('Invullen groen'!E195&gt;0,'Invullen groen'!G195,""),"")</f>
        <v/>
      </c>
      <c r="F165" s="535">
        <f>IFERROR(IF('Invullen groen'!H195&lt;&gt;0,'Invullen groen'!H195,""),"")</f>
        <v/>
      </c>
      <c r="G165" s="535">
        <f>IFERROR(IF('Invullen groen'!I195&lt;&gt;0,'Invullen groen'!I195,""),"")</f>
        <v/>
      </c>
      <c r="H165" s="535">
        <f>IFERROR(IF('Invullen groen'!J195&lt;&gt;0,'Invullen groen'!J195,""),"")</f>
        <v/>
      </c>
      <c r="I165" s="535">
        <f>IFERROR(IF('Invullen groen'!K195&lt;&gt;0,'Invullen groen'!K195,""),"")</f>
        <v/>
      </c>
    </row>
    <row r="166" ht="15" customHeight="1">
      <c r="A166" s="536">
        <f>IFERROR(IF('Invullen groen'!E196&gt;0,162,""),"")</f>
        <v/>
      </c>
      <c r="B166" s="536">
        <f>IFERROR(IF('Invullen groen'!E196&gt;0,'Invullen groen'!A196,""),"")</f>
        <v/>
      </c>
      <c r="C166" s="536">
        <f>IFERROR(IF('Invullen groen'!E196&gt;0,'Invullen groen'!C196,""),"")</f>
        <v/>
      </c>
      <c r="D166" s="536">
        <f>IFERROR(IF('Invullen groen'!E196&gt;0,'Invullen groen'!D196,""),"")</f>
        <v/>
      </c>
      <c r="E166" s="536">
        <f>IFERROR(IF('Invullen groen'!E196&gt;0,'Invullen groen'!G196,""),"")</f>
        <v/>
      </c>
      <c r="F166" s="537">
        <f>IFERROR(IF('Invullen groen'!H196&lt;&gt;0,'Invullen groen'!H196,""),"")</f>
        <v/>
      </c>
      <c r="G166" s="537">
        <f>IFERROR(IF('Invullen groen'!I196&lt;&gt;0,'Invullen groen'!I196,""),"")</f>
        <v/>
      </c>
      <c r="H166" s="537">
        <f>IFERROR(IF('Invullen groen'!J196&lt;&gt;0,'Invullen groen'!J196,""),"")</f>
        <v/>
      </c>
      <c r="I166" s="537">
        <f>IFERROR(IF('Invullen groen'!K196&lt;&gt;0,'Invullen groen'!K196,""),"")</f>
        <v/>
      </c>
    </row>
    <row r="167" ht="15" customHeight="1">
      <c r="A167" s="534">
        <f>IFERROR(IF('Invullen groen'!E197&gt;0,163,""),"")</f>
        <v/>
      </c>
      <c r="B167" s="534">
        <f>IFERROR(IF('Invullen groen'!E197&gt;0,'Invullen groen'!A197,""),"")</f>
        <v/>
      </c>
      <c r="C167" s="534">
        <f>IFERROR(IF('Invullen groen'!E197&gt;0,'Invullen groen'!C197,""),"")</f>
        <v/>
      </c>
      <c r="D167" s="534">
        <f>IFERROR(IF('Invullen groen'!E197&gt;0,'Invullen groen'!D197,""),"")</f>
        <v/>
      </c>
      <c r="E167" s="534">
        <f>IFERROR(IF('Invullen groen'!E197&gt;0,'Invullen groen'!G197,""),"")</f>
        <v/>
      </c>
      <c r="F167" s="535">
        <f>IFERROR(IF('Invullen groen'!H197&lt;&gt;0,'Invullen groen'!H197,""),"")</f>
        <v/>
      </c>
      <c r="G167" s="535">
        <f>IFERROR(IF('Invullen groen'!I197&lt;&gt;0,'Invullen groen'!I197,""),"")</f>
        <v/>
      </c>
      <c r="H167" s="535">
        <f>IFERROR(IF('Invullen groen'!J197&lt;&gt;0,'Invullen groen'!J197,""),"")</f>
        <v/>
      </c>
      <c r="I167" s="535">
        <f>IFERROR(IF('Invullen groen'!K197&lt;&gt;0,'Invullen groen'!K197,""),"")</f>
        <v/>
      </c>
    </row>
    <row r="168" ht="15" customHeight="1">
      <c r="A168" s="536">
        <f>IFERROR(IF('Invullen groen'!E198&gt;0,164,""),"")</f>
        <v/>
      </c>
      <c r="B168" s="536">
        <f>IFERROR(IF('Invullen groen'!E198&gt;0,'Invullen groen'!A198,""),"")</f>
        <v/>
      </c>
      <c r="C168" s="536">
        <f>IFERROR(IF('Invullen groen'!E198&gt;0,'Invullen groen'!C198,""),"")</f>
        <v/>
      </c>
      <c r="D168" s="536">
        <f>IFERROR(IF('Invullen groen'!E198&gt;0,'Invullen groen'!D198,""),"")</f>
        <v/>
      </c>
      <c r="E168" s="536">
        <f>IFERROR(IF('Invullen groen'!E198&gt;0,'Invullen groen'!G198,""),"")</f>
        <v/>
      </c>
      <c r="F168" s="537">
        <f>IFERROR(IF('Invullen groen'!H198&lt;&gt;0,'Invullen groen'!H198,""),"")</f>
        <v/>
      </c>
      <c r="G168" s="537">
        <f>IFERROR(IF('Invullen groen'!I198&lt;&gt;0,'Invullen groen'!I198,""),"")</f>
        <v/>
      </c>
      <c r="H168" s="537">
        <f>IFERROR(IF('Invullen groen'!J198&lt;&gt;0,'Invullen groen'!J198,""),"")</f>
        <v/>
      </c>
      <c r="I168" s="537">
        <f>IFERROR(IF('Invullen groen'!K198&lt;&gt;0,'Invullen groen'!K198,""),"")</f>
        <v/>
      </c>
    </row>
    <row r="169" ht="15" customHeight="1">
      <c r="A169" s="534">
        <f>IFERROR(IF('Invullen groen'!E199&gt;0,165,""),"")</f>
        <v/>
      </c>
      <c r="B169" s="534">
        <f>IFERROR(IF('Invullen groen'!E199&gt;0,'Invullen groen'!A199,""),"")</f>
        <v/>
      </c>
      <c r="C169" s="534">
        <f>IFERROR(IF('Invullen groen'!E199&gt;0,'Invullen groen'!C199,""),"")</f>
        <v/>
      </c>
      <c r="D169" s="534">
        <f>IFERROR(IF('Invullen groen'!E199&gt;0,'Invullen groen'!D199,""),"")</f>
        <v/>
      </c>
      <c r="E169" s="534">
        <f>IFERROR(IF('Invullen groen'!E199&gt;0,'Invullen groen'!G199,""),"")</f>
        <v/>
      </c>
      <c r="F169" s="535">
        <f>IFERROR(IF('Invullen groen'!H199&lt;&gt;0,'Invullen groen'!H199,""),"")</f>
        <v/>
      </c>
      <c r="G169" s="535">
        <f>IFERROR(IF('Invullen groen'!I199&lt;&gt;0,'Invullen groen'!I199,""),"")</f>
        <v/>
      </c>
      <c r="H169" s="535">
        <f>IFERROR(IF('Invullen groen'!J199&lt;&gt;0,'Invullen groen'!J199,""),"")</f>
        <v/>
      </c>
      <c r="I169" s="535">
        <f>IFERROR(IF('Invullen groen'!K199&lt;&gt;0,'Invullen groen'!K199,""),"")</f>
        <v/>
      </c>
    </row>
    <row r="170" ht="15" customHeight="1">
      <c r="A170" s="536">
        <f>IFERROR(IF('Invullen groen'!E200&gt;0,166,""),"")</f>
        <v/>
      </c>
      <c r="B170" s="536">
        <f>IFERROR(IF('Invullen groen'!E200&gt;0,'Invullen groen'!A200,""),"")</f>
        <v/>
      </c>
      <c r="C170" s="536">
        <f>IFERROR(IF('Invullen groen'!E200&gt;0,'Invullen groen'!C200,""),"")</f>
        <v/>
      </c>
      <c r="D170" s="536">
        <f>IFERROR(IF('Invullen groen'!E200&gt;0,'Invullen groen'!D200,""),"")</f>
        <v/>
      </c>
      <c r="E170" s="536">
        <f>IFERROR(IF('Invullen groen'!E200&gt;0,'Invullen groen'!G200,""),"")</f>
        <v/>
      </c>
      <c r="F170" s="537">
        <f>IFERROR(IF('Invullen groen'!H200&lt;&gt;0,'Invullen groen'!H200,""),"")</f>
        <v/>
      </c>
      <c r="G170" s="537">
        <f>IFERROR(IF('Invullen groen'!I200&lt;&gt;0,'Invullen groen'!I200,""),"")</f>
        <v/>
      </c>
      <c r="H170" s="537">
        <f>IFERROR(IF('Invullen groen'!J200&lt;&gt;0,'Invullen groen'!J200,""),"")</f>
        <v/>
      </c>
      <c r="I170" s="537">
        <f>IFERROR(IF('Invullen groen'!K200&lt;&gt;0,'Invullen groen'!K200,""),"")</f>
        <v/>
      </c>
    </row>
    <row r="171" ht="15" customHeight="1">
      <c r="A171" s="534">
        <f>IFERROR(IF('Invullen groen'!E201&gt;0,167,""),"")</f>
        <v/>
      </c>
      <c r="B171" s="534">
        <f>IFERROR(IF('Invullen groen'!E201&gt;0,'Invullen groen'!A201,""),"")</f>
        <v/>
      </c>
      <c r="C171" s="534">
        <f>IFERROR(IF('Invullen groen'!E201&gt;0,'Invullen groen'!C201,""),"")</f>
        <v/>
      </c>
      <c r="D171" s="534">
        <f>IFERROR(IF('Invullen groen'!E201&gt;0,'Invullen groen'!D201,""),"")</f>
        <v/>
      </c>
      <c r="E171" s="534">
        <f>IFERROR(IF('Invullen groen'!E201&gt;0,'Invullen groen'!G201,""),"")</f>
        <v/>
      </c>
      <c r="F171" s="535">
        <f>IFERROR(IF('Invullen groen'!H201&lt;&gt;0,'Invullen groen'!H201,""),"")</f>
        <v/>
      </c>
      <c r="G171" s="535">
        <f>IFERROR(IF('Invullen groen'!I201&lt;&gt;0,'Invullen groen'!I201,""),"")</f>
        <v/>
      </c>
      <c r="H171" s="535">
        <f>IFERROR(IF('Invullen groen'!J201&lt;&gt;0,'Invullen groen'!J201,""),"")</f>
        <v/>
      </c>
      <c r="I171" s="535">
        <f>IFERROR(IF('Invullen groen'!K201&lt;&gt;0,'Invullen groen'!K201,""),"")</f>
        <v/>
      </c>
    </row>
    <row r="172" ht="15" customHeight="1">
      <c r="A172" s="536">
        <f>IFERROR(IF('Invullen groen'!E202&gt;0,168,""),"")</f>
        <v/>
      </c>
      <c r="B172" s="536">
        <f>IFERROR(IF('Invullen groen'!E202&gt;0,'Invullen groen'!A202,""),"")</f>
        <v/>
      </c>
      <c r="C172" s="536">
        <f>IFERROR(IF('Invullen groen'!E202&gt;0,'Invullen groen'!C202,""),"")</f>
        <v/>
      </c>
      <c r="D172" s="536">
        <f>IFERROR(IF('Invullen groen'!E202&gt;0,'Invullen groen'!D202,""),"")</f>
        <v/>
      </c>
      <c r="E172" s="536">
        <f>IFERROR(IF('Invullen groen'!E202&gt;0,'Invullen groen'!G202,""),"")</f>
        <v/>
      </c>
      <c r="F172" s="537">
        <f>IFERROR(IF('Invullen groen'!H202&lt;&gt;0,'Invullen groen'!H202,""),"")</f>
        <v/>
      </c>
      <c r="G172" s="537">
        <f>IFERROR(IF('Invullen groen'!I202&lt;&gt;0,'Invullen groen'!I202,""),"")</f>
        <v/>
      </c>
      <c r="H172" s="537">
        <f>IFERROR(IF('Invullen groen'!J202&lt;&gt;0,'Invullen groen'!J202,""),"")</f>
        <v/>
      </c>
      <c r="I172" s="537">
        <f>IFERROR(IF('Invullen groen'!K202&lt;&gt;0,'Invullen groen'!K202,""),"")</f>
        <v/>
      </c>
    </row>
    <row r="173" ht="15" customHeight="1">
      <c r="A173" s="534">
        <f>IFERROR(IF('Invullen groen'!E203&gt;0,169,""),"")</f>
        <v/>
      </c>
      <c r="B173" s="534">
        <f>IFERROR(IF('Invullen groen'!E203&gt;0,'Invullen groen'!A203,""),"")</f>
        <v/>
      </c>
      <c r="C173" s="534">
        <f>IFERROR(IF('Invullen groen'!E203&gt;0,'Invullen groen'!C203,""),"")</f>
        <v/>
      </c>
      <c r="D173" s="534">
        <f>IFERROR(IF('Invullen groen'!E203&gt;0,'Invullen groen'!D203,""),"")</f>
        <v/>
      </c>
      <c r="E173" s="534">
        <f>IFERROR(IF('Invullen groen'!E203&gt;0,'Invullen groen'!G203,""),"")</f>
        <v/>
      </c>
      <c r="F173" s="535">
        <f>IFERROR(IF('Invullen groen'!H203&lt;&gt;0,'Invullen groen'!H203,""),"")</f>
        <v/>
      </c>
      <c r="G173" s="535">
        <f>IFERROR(IF('Invullen groen'!I203&lt;&gt;0,'Invullen groen'!I203,""),"")</f>
        <v/>
      </c>
      <c r="H173" s="535">
        <f>IFERROR(IF('Invullen groen'!J203&lt;&gt;0,'Invullen groen'!J203,""),"")</f>
        <v/>
      </c>
      <c r="I173" s="535">
        <f>IFERROR(IF('Invullen groen'!K203&lt;&gt;0,'Invullen groen'!K203,""),"")</f>
        <v/>
      </c>
    </row>
    <row r="174" ht="15" customHeight="1">
      <c r="A174" s="536">
        <f>IFERROR(IF('Invullen groen'!E204&gt;0,170,""),"")</f>
        <v/>
      </c>
      <c r="B174" s="536">
        <f>IFERROR(IF('Invullen groen'!E204&gt;0,'Invullen groen'!A204,""),"")</f>
        <v/>
      </c>
      <c r="C174" s="536">
        <f>IFERROR(IF('Invullen groen'!E204&gt;0,'Invullen groen'!C204,""),"")</f>
        <v/>
      </c>
      <c r="D174" s="536">
        <f>IFERROR(IF('Invullen groen'!E204&gt;0,'Invullen groen'!D204,""),"")</f>
        <v/>
      </c>
      <c r="E174" s="536">
        <f>IFERROR(IF('Invullen groen'!E204&gt;0,'Invullen groen'!G204,""),"")</f>
        <v/>
      </c>
      <c r="F174" s="537">
        <f>IFERROR(IF('Invullen groen'!H204&lt;&gt;0,'Invullen groen'!H204,""),"")</f>
        <v/>
      </c>
      <c r="G174" s="537">
        <f>IFERROR(IF('Invullen groen'!I204&lt;&gt;0,'Invullen groen'!I204,""),"")</f>
        <v/>
      </c>
      <c r="H174" s="537">
        <f>IFERROR(IF('Invullen groen'!J204&lt;&gt;0,'Invullen groen'!J204,""),"")</f>
        <v/>
      </c>
      <c r="I174" s="537">
        <f>IFERROR(IF('Invullen groen'!K204&lt;&gt;0,'Invullen groen'!K204,""),"")</f>
        <v/>
      </c>
    </row>
    <row r="175" ht="15" customHeight="1">
      <c r="A175" s="534">
        <f>IFERROR(IF('Invullen groen'!E205&gt;0,171,""),"")</f>
        <v/>
      </c>
      <c r="B175" s="534">
        <f>IFERROR(IF('Invullen groen'!E205&gt;0,'Invullen groen'!A205,""),"")</f>
        <v/>
      </c>
      <c r="C175" s="534">
        <f>IFERROR(IF('Invullen groen'!E205&gt;0,'Invullen groen'!C205,""),"")</f>
        <v/>
      </c>
      <c r="D175" s="534">
        <f>IFERROR(IF('Invullen groen'!E205&gt;0,'Invullen groen'!D205,""),"")</f>
        <v/>
      </c>
      <c r="E175" s="534">
        <f>IFERROR(IF('Invullen groen'!E205&gt;0,'Invullen groen'!G205,""),"")</f>
        <v/>
      </c>
      <c r="F175" s="535">
        <f>IFERROR(IF('Invullen groen'!H205&lt;&gt;0,'Invullen groen'!H205,""),"")</f>
        <v/>
      </c>
      <c r="G175" s="535">
        <f>IFERROR(IF('Invullen groen'!I205&lt;&gt;0,'Invullen groen'!I205,""),"")</f>
        <v/>
      </c>
      <c r="H175" s="535">
        <f>IFERROR(IF('Invullen groen'!J205&lt;&gt;0,'Invullen groen'!J205,""),"")</f>
        <v/>
      </c>
      <c r="I175" s="535">
        <f>IFERROR(IF('Invullen groen'!K205&lt;&gt;0,'Invullen groen'!K205,""),"")</f>
        <v/>
      </c>
    </row>
    <row r="176" ht="15" customHeight="1">
      <c r="A176" s="536">
        <f>IFERROR(IF('Invullen groen'!E206&gt;0,172,""),"")</f>
        <v/>
      </c>
      <c r="B176" s="536">
        <f>IFERROR(IF('Invullen groen'!E206&gt;0,'Invullen groen'!A206,""),"")</f>
        <v/>
      </c>
      <c r="C176" s="536">
        <f>IFERROR(IF('Invullen groen'!E206&gt;0,'Invullen groen'!C206,""),"")</f>
        <v/>
      </c>
      <c r="D176" s="536">
        <f>IFERROR(IF('Invullen groen'!E206&gt;0,'Invullen groen'!D206,""),"")</f>
        <v/>
      </c>
      <c r="E176" s="536">
        <f>IFERROR(IF('Invullen groen'!E206&gt;0,'Invullen groen'!G206,""),"")</f>
        <v/>
      </c>
      <c r="F176" s="537">
        <f>IFERROR(IF('Invullen groen'!H206&lt;&gt;0,'Invullen groen'!H206,""),"")</f>
        <v/>
      </c>
      <c r="G176" s="537">
        <f>IFERROR(IF('Invullen groen'!I206&lt;&gt;0,'Invullen groen'!I206,""),"")</f>
        <v/>
      </c>
      <c r="H176" s="537">
        <f>IFERROR(IF('Invullen groen'!J206&lt;&gt;0,'Invullen groen'!J206,""),"")</f>
        <v/>
      </c>
      <c r="I176" s="537">
        <f>IFERROR(IF('Invullen groen'!K206&lt;&gt;0,'Invullen groen'!K206,""),"")</f>
        <v/>
      </c>
    </row>
    <row r="177" ht="15" customHeight="1">
      <c r="A177" s="534">
        <f>IFERROR(IF('Invullen groen'!E207&gt;0,173,""),"")</f>
        <v/>
      </c>
      <c r="B177" s="534">
        <f>IFERROR(IF('Invullen groen'!E207&gt;0,'Invullen groen'!A207,""),"")</f>
        <v/>
      </c>
      <c r="C177" s="534">
        <f>IFERROR(IF('Invullen groen'!E207&gt;0,'Invullen groen'!C207,""),"")</f>
        <v/>
      </c>
      <c r="D177" s="534">
        <f>IFERROR(IF('Invullen groen'!E207&gt;0,'Invullen groen'!D207,""),"")</f>
        <v/>
      </c>
      <c r="E177" s="534">
        <f>IFERROR(IF('Invullen groen'!E207&gt;0,'Invullen groen'!G207,""),"")</f>
        <v/>
      </c>
      <c r="F177" s="535">
        <f>IFERROR(IF('Invullen groen'!H207&lt;&gt;0,'Invullen groen'!H207,""),"")</f>
        <v/>
      </c>
      <c r="G177" s="535">
        <f>IFERROR(IF('Invullen groen'!I207&lt;&gt;0,'Invullen groen'!I207,""),"")</f>
        <v/>
      </c>
      <c r="H177" s="535">
        <f>IFERROR(IF('Invullen groen'!J207&lt;&gt;0,'Invullen groen'!J207,""),"")</f>
        <v/>
      </c>
      <c r="I177" s="535">
        <f>IFERROR(IF('Invullen groen'!K207&lt;&gt;0,'Invullen groen'!K207,""),"")</f>
        <v/>
      </c>
    </row>
    <row r="178" ht="15" customHeight="1">
      <c r="A178" s="536">
        <f>IFERROR(IF('Invullen groen'!E208&gt;0,174,""),"")</f>
        <v/>
      </c>
      <c r="B178" s="536">
        <f>IFERROR(IF('Invullen groen'!E208&gt;0,'Invullen groen'!A208,""),"")</f>
        <v/>
      </c>
      <c r="C178" s="536">
        <f>IFERROR(IF('Invullen groen'!E208&gt;0,'Invullen groen'!C208,""),"")</f>
        <v/>
      </c>
      <c r="D178" s="536">
        <f>IFERROR(IF('Invullen groen'!E208&gt;0,'Invullen groen'!D208,""),"")</f>
        <v/>
      </c>
      <c r="E178" s="536">
        <f>IFERROR(IF('Invullen groen'!E208&gt;0,'Invullen groen'!G208,""),"")</f>
        <v/>
      </c>
      <c r="F178" s="537">
        <f>IFERROR(IF('Invullen groen'!H208&lt;&gt;0,'Invullen groen'!H208,""),"")</f>
        <v/>
      </c>
      <c r="G178" s="537">
        <f>IFERROR(IF('Invullen groen'!I208&lt;&gt;0,'Invullen groen'!I208,""),"")</f>
        <v/>
      </c>
      <c r="H178" s="537">
        <f>IFERROR(IF('Invullen groen'!J208&lt;&gt;0,'Invullen groen'!J208,""),"")</f>
        <v/>
      </c>
      <c r="I178" s="537">
        <f>IFERROR(IF('Invullen groen'!K208&lt;&gt;0,'Invullen groen'!K208,""),"")</f>
        <v/>
      </c>
    </row>
    <row r="179" ht="15" customHeight="1">
      <c r="A179" s="534">
        <f>IFERROR(IF('Invullen groen'!E209&gt;0,175,""),"")</f>
        <v/>
      </c>
      <c r="B179" s="534">
        <f>IFERROR(IF('Invullen groen'!E209&gt;0,'Invullen groen'!A209,""),"")</f>
        <v/>
      </c>
      <c r="C179" s="534">
        <f>IFERROR(IF('Invullen groen'!E209&gt;0,'Invullen groen'!C209,""),"")</f>
        <v/>
      </c>
      <c r="D179" s="534">
        <f>IFERROR(IF('Invullen groen'!E209&gt;0,'Invullen groen'!D209,""),"")</f>
        <v/>
      </c>
      <c r="E179" s="534">
        <f>IFERROR(IF('Invullen groen'!E209&gt;0,'Invullen groen'!G209,""),"")</f>
        <v/>
      </c>
      <c r="F179" s="535">
        <f>IFERROR(IF('Invullen groen'!H209&lt;&gt;0,'Invullen groen'!H209,""),"")</f>
        <v/>
      </c>
      <c r="G179" s="535">
        <f>IFERROR(IF('Invullen groen'!I209&lt;&gt;0,'Invullen groen'!I209,""),"")</f>
        <v/>
      </c>
      <c r="H179" s="535">
        <f>IFERROR(IF('Invullen groen'!J209&lt;&gt;0,'Invullen groen'!J209,""),"")</f>
        <v/>
      </c>
      <c r="I179" s="535">
        <f>IFERROR(IF('Invullen groen'!K209&lt;&gt;0,'Invullen groen'!K209,""),"")</f>
        <v/>
      </c>
    </row>
    <row r="180" ht="15" customHeight="1">
      <c r="A180" s="536">
        <f>IFERROR(IF('Invullen groen'!E210&gt;0,176,""),"")</f>
        <v/>
      </c>
      <c r="B180" s="536">
        <f>IFERROR(IF('Invullen groen'!E210&gt;0,'Invullen groen'!A210,""),"")</f>
        <v/>
      </c>
      <c r="C180" s="536">
        <f>IFERROR(IF('Invullen groen'!E210&gt;0,'Invullen groen'!C210,""),"")</f>
        <v/>
      </c>
      <c r="D180" s="536">
        <f>IFERROR(IF('Invullen groen'!E210&gt;0,'Invullen groen'!D210,""),"")</f>
        <v/>
      </c>
      <c r="E180" s="536">
        <f>IFERROR(IF('Invullen groen'!E210&gt;0,'Invullen groen'!G210,""),"")</f>
        <v/>
      </c>
      <c r="F180" s="537">
        <f>IFERROR(IF('Invullen groen'!H210&lt;&gt;0,'Invullen groen'!H210,""),"")</f>
        <v/>
      </c>
      <c r="G180" s="537">
        <f>IFERROR(IF('Invullen groen'!I210&lt;&gt;0,'Invullen groen'!I210,""),"")</f>
        <v/>
      </c>
      <c r="H180" s="537">
        <f>IFERROR(IF('Invullen groen'!J210&lt;&gt;0,'Invullen groen'!J210,""),"")</f>
        <v/>
      </c>
      <c r="I180" s="537">
        <f>IFERROR(IF('Invullen groen'!K210&lt;&gt;0,'Invullen groen'!K210,""),"")</f>
        <v/>
      </c>
    </row>
    <row r="181" ht="15" customHeight="1">
      <c r="A181" s="534">
        <f>IFERROR(IF('Invullen groen'!E211&gt;0,177,""),"")</f>
        <v/>
      </c>
      <c r="B181" s="534">
        <f>IFERROR(IF('Invullen groen'!E211&gt;0,'Invullen groen'!A211,""),"")</f>
        <v/>
      </c>
      <c r="C181" s="534">
        <f>IFERROR(IF('Invullen groen'!E211&gt;0,'Invullen groen'!C211,""),"")</f>
        <v/>
      </c>
      <c r="D181" s="534">
        <f>IFERROR(IF('Invullen groen'!E211&gt;0,'Invullen groen'!D211,""),"")</f>
        <v/>
      </c>
      <c r="E181" s="534">
        <f>IFERROR(IF('Invullen groen'!E211&gt;0,'Invullen groen'!G211,""),"")</f>
        <v/>
      </c>
      <c r="F181" s="535">
        <f>IFERROR(IF('Invullen groen'!H211&lt;&gt;0,'Invullen groen'!H211,""),"")</f>
        <v/>
      </c>
      <c r="G181" s="535">
        <f>IFERROR(IF('Invullen groen'!I211&lt;&gt;0,'Invullen groen'!I211,""),"")</f>
        <v/>
      </c>
      <c r="H181" s="535">
        <f>IFERROR(IF('Invullen groen'!J211&lt;&gt;0,'Invullen groen'!J211,""),"")</f>
        <v/>
      </c>
      <c r="I181" s="535">
        <f>IFERROR(IF('Invullen groen'!K211&lt;&gt;0,'Invullen groen'!K211,""),"")</f>
        <v/>
      </c>
    </row>
    <row r="182" ht="15" customHeight="1">
      <c r="A182" s="536">
        <f>IFERROR(IF('Invullen groen'!E212&gt;0,178,""),"")</f>
        <v/>
      </c>
      <c r="B182" s="536">
        <f>IFERROR(IF('Invullen groen'!E212&gt;0,'Invullen groen'!A212,""),"")</f>
        <v/>
      </c>
      <c r="C182" s="536">
        <f>IFERROR(IF('Invullen groen'!E212&gt;0,'Invullen groen'!C212,""),"")</f>
        <v/>
      </c>
      <c r="D182" s="536">
        <f>IFERROR(IF('Invullen groen'!E212&gt;0,'Invullen groen'!D212,""),"")</f>
        <v/>
      </c>
      <c r="E182" s="536">
        <f>IFERROR(IF('Invullen groen'!E212&gt;0,'Invullen groen'!G212,""),"")</f>
        <v/>
      </c>
      <c r="F182" s="537">
        <f>IFERROR(IF('Invullen groen'!H212&lt;&gt;0,'Invullen groen'!H212,""),"")</f>
        <v/>
      </c>
      <c r="G182" s="537">
        <f>IFERROR(IF('Invullen groen'!I212&lt;&gt;0,'Invullen groen'!I212,""),"")</f>
        <v/>
      </c>
      <c r="H182" s="537">
        <f>IFERROR(IF('Invullen groen'!J212&lt;&gt;0,'Invullen groen'!J212,""),"")</f>
        <v/>
      </c>
      <c r="I182" s="537">
        <f>IFERROR(IF('Invullen groen'!K212&lt;&gt;0,'Invullen groen'!K212,""),"")</f>
        <v/>
      </c>
    </row>
    <row r="183" ht="15" customHeight="1">
      <c r="A183" s="534">
        <f>IFERROR(IF('Invullen groen'!E213&gt;0,179,""),"")</f>
        <v/>
      </c>
      <c r="B183" s="534">
        <f>IFERROR(IF('Invullen groen'!E213&gt;0,'Invullen groen'!A213,""),"")</f>
        <v/>
      </c>
      <c r="C183" s="534">
        <f>IFERROR(IF('Invullen groen'!E213&gt;0,'Invullen groen'!C213,""),"")</f>
        <v/>
      </c>
      <c r="D183" s="534">
        <f>IFERROR(IF('Invullen groen'!E213&gt;0,'Invullen groen'!D213,""),"")</f>
        <v/>
      </c>
      <c r="E183" s="534">
        <f>IFERROR(IF('Invullen groen'!E213&gt;0,'Invullen groen'!G213,""),"")</f>
        <v/>
      </c>
      <c r="F183" s="535">
        <f>IFERROR(IF('Invullen groen'!H213&lt;&gt;0,'Invullen groen'!H213,""),"")</f>
        <v/>
      </c>
      <c r="G183" s="535">
        <f>IFERROR(IF('Invullen groen'!I213&lt;&gt;0,'Invullen groen'!I213,""),"")</f>
        <v/>
      </c>
      <c r="H183" s="535">
        <f>IFERROR(IF('Invullen groen'!J213&lt;&gt;0,'Invullen groen'!J213,""),"")</f>
        <v/>
      </c>
      <c r="I183" s="535">
        <f>IFERROR(IF('Invullen groen'!K213&lt;&gt;0,'Invullen groen'!K213,""),"")</f>
        <v/>
      </c>
    </row>
    <row r="184" ht="15" customHeight="1">
      <c r="A184" s="536">
        <f>IFERROR(IF('Invullen groen'!E214&gt;0,180,""),"")</f>
        <v/>
      </c>
      <c r="B184" s="536">
        <f>IFERROR(IF('Invullen groen'!E214&gt;0,'Invullen groen'!A214,""),"")</f>
        <v/>
      </c>
      <c r="C184" s="536">
        <f>IFERROR(IF('Invullen groen'!E214&gt;0,'Invullen groen'!C214,""),"")</f>
        <v/>
      </c>
      <c r="D184" s="536">
        <f>IFERROR(IF('Invullen groen'!E214&gt;0,'Invullen groen'!D214,""),"")</f>
        <v/>
      </c>
      <c r="E184" s="536">
        <f>IFERROR(IF('Invullen groen'!E214&gt;0,'Invullen groen'!G214,""),"")</f>
        <v/>
      </c>
      <c r="F184" s="537">
        <f>IFERROR(IF('Invullen groen'!H214&lt;&gt;0,'Invullen groen'!H214,""),"")</f>
        <v/>
      </c>
      <c r="G184" s="537">
        <f>IFERROR(IF('Invullen groen'!I214&lt;&gt;0,'Invullen groen'!I214,""),"")</f>
        <v/>
      </c>
      <c r="H184" s="537">
        <f>IFERROR(IF('Invullen groen'!J214&lt;&gt;0,'Invullen groen'!J214,""),"")</f>
        <v/>
      </c>
      <c r="I184" s="537">
        <f>IFERROR(IF('Invullen groen'!K214&lt;&gt;0,'Invullen groen'!K214,""),"")</f>
        <v/>
      </c>
    </row>
    <row r="185" ht="15" customHeight="1">
      <c r="A185" s="534">
        <f>IFERROR(IF('Invullen groen'!E215&gt;0,181,""),"")</f>
        <v/>
      </c>
      <c r="B185" s="534">
        <f>IFERROR(IF('Invullen groen'!E215&gt;0,'Invullen groen'!A215,""),"")</f>
        <v/>
      </c>
      <c r="C185" s="534">
        <f>IFERROR(IF('Invullen groen'!E215&gt;0,'Invullen groen'!C215,""),"")</f>
        <v/>
      </c>
      <c r="D185" s="534">
        <f>IFERROR(IF('Invullen groen'!E215&gt;0,'Invullen groen'!D215,""),"")</f>
        <v/>
      </c>
      <c r="E185" s="534">
        <f>IFERROR(IF('Invullen groen'!E215&gt;0,'Invullen groen'!G215,""),"")</f>
        <v/>
      </c>
      <c r="F185" s="535">
        <f>IFERROR(IF('Invullen groen'!H215&lt;&gt;0,'Invullen groen'!H215,""),"")</f>
        <v/>
      </c>
      <c r="G185" s="535">
        <f>IFERROR(IF('Invullen groen'!I215&lt;&gt;0,'Invullen groen'!I215,""),"")</f>
        <v/>
      </c>
      <c r="H185" s="535">
        <f>IFERROR(IF('Invullen groen'!J215&lt;&gt;0,'Invullen groen'!J215,""),"")</f>
        <v/>
      </c>
      <c r="I185" s="535">
        <f>IFERROR(IF('Invullen groen'!K215&lt;&gt;0,'Invullen groen'!K215,""),"")</f>
        <v/>
      </c>
    </row>
    <row r="186" ht="15" customHeight="1">
      <c r="A186" s="536">
        <f>IFERROR(IF('Invullen groen'!E216&gt;0,182,""),"")</f>
        <v/>
      </c>
      <c r="B186" s="536">
        <f>IFERROR(IF('Invullen groen'!E216&gt;0,'Invullen groen'!A216,""),"")</f>
        <v/>
      </c>
      <c r="C186" s="536">
        <f>IFERROR(IF('Invullen groen'!E216&gt;0,'Invullen groen'!C216,""),"")</f>
        <v/>
      </c>
      <c r="D186" s="536">
        <f>IFERROR(IF('Invullen groen'!E216&gt;0,'Invullen groen'!D216,""),"")</f>
        <v/>
      </c>
      <c r="E186" s="536">
        <f>IFERROR(IF('Invullen groen'!E216&gt;0,'Invullen groen'!G216,""),"")</f>
        <v/>
      </c>
      <c r="F186" s="537">
        <f>IFERROR(IF('Invullen groen'!H216&lt;&gt;0,'Invullen groen'!H216,""),"")</f>
        <v/>
      </c>
      <c r="G186" s="537">
        <f>IFERROR(IF('Invullen groen'!I216&lt;&gt;0,'Invullen groen'!I216,""),"")</f>
        <v/>
      </c>
      <c r="H186" s="537">
        <f>IFERROR(IF('Invullen groen'!J216&lt;&gt;0,'Invullen groen'!J216,""),"")</f>
        <v/>
      </c>
      <c r="I186" s="537">
        <f>IFERROR(IF('Invullen groen'!K216&lt;&gt;0,'Invullen groen'!K216,""),"")</f>
        <v/>
      </c>
    </row>
    <row r="187" ht="15" customHeight="1">
      <c r="A187" s="534">
        <f>IFERROR(IF('Invullen groen'!E220&gt;0,183,""),"")</f>
        <v/>
      </c>
      <c r="B187" s="534">
        <f>IFERROR(IF('Invullen groen'!E220&gt;0,'Invullen groen'!A220,""),"")</f>
        <v/>
      </c>
      <c r="C187" s="534">
        <f>IFERROR(IF('Invullen groen'!E220&gt;0,'Invullen groen'!C220,""),"")</f>
        <v/>
      </c>
      <c r="D187" s="534">
        <f>IFERROR(IF('Invullen groen'!E220&gt;0,'Invullen groen'!D220,""),"")</f>
        <v/>
      </c>
      <c r="E187" s="534">
        <f>IFERROR(IF('Invullen groen'!E220&gt;0,'Invullen groen'!G220,""),"")</f>
        <v/>
      </c>
      <c r="F187" s="535">
        <f>IFERROR(IF('Invullen groen'!H220&lt;&gt;0,'Invullen groen'!H220,""),"")</f>
        <v/>
      </c>
      <c r="G187" s="535">
        <f>IFERROR(IF('Invullen groen'!I220&lt;&gt;0,'Invullen groen'!I220,""),"")</f>
        <v/>
      </c>
      <c r="H187" s="535">
        <f>IFERROR(IF('Invullen groen'!J220&lt;&gt;0,'Invullen groen'!J220,""),"")</f>
        <v/>
      </c>
      <c r="I187" s="535">
        <f>IFERROR(IF('Invullen groen'!K220&lt;&gt;0,'Invullen groen'!K220,""),"")</f>
        <v/>
      </c>
    </row>
    <row r="188" ht="15" customHeight="1">
      <c r="A188" s="536">
        <f>IFERROR(IF('Invullen groen'!E221&gt;0,184,""),"")</f>
        <v/>
      </c>
      <c r="B188" s="536">
        <f>IFERROR(IF('Invullen groen'!E221&gt;0,'Invullen groen'!A221,""),"")</f>
        <v/>
      </c>
      <c r="C188" s="536">
        <f>IFERROR(IF('Invullen groen'!E221&gt;0,'Invullen groen'!C221,""),"")</f>
        <v/>
      </c>
      <c r="D188" s="536">
        <f>IFERROR(IF('Invullen groen'!E221&gt;0,'Invullen groen'!D221,""),"")</f>
        <v/>
      </c>
      <c r="E188" s="536">
        <f>IFERROR(IF('Invullen groen'!E221&gt;0,'Invullen groen'!G221,""),"")</f>
        <v/>
      </c>
      <c r="F188" s="537">
        <f>IFERROR(IF('Invullen groen'!H221&lt;&gt;0,'Invullen groen'!H221,""),"")</f>
        <v/>
      </c>
      <c r="G188" s="537">
        <f>IFERROR(IF('Invullen groen'!I221&lt;&gt;0,'Invullen groen'!I221,""),"")</f>
        <v/>
      </c>
      <c r="H188" s="537">
        <f>IFERROR(IF('Invullen groen'!J221&lt;&gt;0,'Invullen groen'!J221,""),"")</f>
        <v/>
      </c>
      <c r="I188" s="537">
        <f>IFERROR(IF('Invullen groen'!K221&lt;&gt;0,'Invullen groen'!K221,""),"")</f>
        <v/>
      </c>
    </row>
    <row r="189" ht="15" customHeight="1">
      <c r="A189" s="534">
        <f>IFERROR(IF('Invullen groen'!E222&gt;0,185,""),"")</f>
        <v/>
      </c>
      <c r="B189" s="534">
        <f>IFERROR(IF('Invullen groen'!E222&gt;0,'Invullen groen'!A222,""),"")</f>
        <v/>
      </c>
      <c r="C189" s="534">
        <f>IFERROR(IF('Invullen groen'!E222&gt;0,'Invullen groen'!C222,""),"")</f>
        <v/>
      </c>
      <c r="D189" s="534">
        <f>IFERROR(IF('Invullen groen'!E222&gt;0,'Invullen groen'!D222,""),"")</f>
        <v/>
      </c>
      <c r="E189" s="534">
        <f>IFERROR(IF('Invullen groen'!E222&gt;0,'Invullen groen'!G222,""),"")</f>
        <v/>
      </c>
      <c r="F189" s="535">
        <f>IFERROR(IF('Invullen groen'!H222&lt;&gt;0,'Invullen groen'!H222,""),"")</f>
        <v/>
      </c>
      <c r="G189" s="535">
        <f>IFERROR(IF('Invullen groen'!I222&lt;&gt;0,'Invullen groen'!I222,""),"")</f>
        <v/>
      </c>
      <c r="H189" s="535">
        <f>IFERROR(IF('Invullen groen'!J222&lt;&gt;0,'Invullen groen'!J222,""),"")</f>
        <v/>
      </c>
      <c r="I189" s="535">
        <f>IFERROR(IF('Invullen groen'!K222&lt;&gt;0,'Invullen groen'!K222,""),"")</f>
        <v/>
      </c>
    </row>
    <row r="190" ht="15" customHeight="1">
      <c r="A190" s="536">
        <f>IFERROR(IF('Invullen groen'!E223&gt;0,186,""),"")</f>
        <v/>
      </c>
      <c r="B190" s="536">
        <f>IFERROR(IF('Invullen groen'!E223&gt;0,'Invullen groen'!A223,""),"")</f>
        <v/>
      </c>
      <c r="C190" s="536">
        <f>IFERROR(IF('Invullen groen'!E223&gt;0,'Invullen groen'!C223,""),"")</f>
        <v/>
      </c>
      <c r="D190" s="536">
        <f>IFERROR(IF('Invullen groen'!E223&gt;0,'Invullen groen'!D223,""),"")</f>
        <v/>
      </c>
      <c r="E190" s="536">
        <f>IFERROR(IF('Invullen groen'!E223&gt;0,'Invullen groen'!G223,""),"")</f>
        <v/>
      </c>
      <c r="F190" s="537">
        <f>IFERROR(IF('Invullen groen'!H223&lt;&gt;0,'Invullen groen'!H223,""),"")</f>
        <v/>
      </c>
      <c r="G190" s="537">
        <f>IFERROR(IF('Invullen groen'!I223&lt;&gt;0,'Invullen groen'!I223,""),"")</f>
        <v/>
      </c>
      <c r="H190" s="537">
        <f>IFERROR(IF('Invullen groen'!J223&lt;&gt;0,'Invullen groen'!J223,""),"")</f>
        <v/>
      </c>
      <c r="I190" s="537">
        <f>IFERROR(IF('Invullen groen'!K223&lt;&gt;0,'Invullen groen'!K223,""),"")</f>
        <v/>
      </c>
    </row>
    <row r="191" ht="15" customHeight="1">
      <c r="A191" s="534">
        <f>IFERROR(IF('Invullen groen'!E224&gt;0,187,""),"")</f>
        <v/>
      </c>
      <c r="B191" s="534">
        <f>IFERROR(IF('Invullen groen'!E224&gt;0,'Invullen groen'!A224,""),"")</f>
        <v/>
      </c>
      <c r="C191" s="534">
        <f>IFERROR(IF('Invullen groen'!E224&gt;0,'Invullen groen'!C224,""),"")</f>
        <v/>
      </c>
      <c r="D191" s="534">
        <f>IFERROR(IF('Invullen groen'!E224&gt;0,'Invullen groen'!D224,""),"")</f>
        <v/>
      </c>
      <c r="E191" s="534">
        <f>IFERROR(IF('Invullen groen'!E224&gt;0,'Invullen groen'!G224,""),"")</f>
        <v/>
      </c>
      <c r="F191" s="535">
        <f>IFERROR(IF('Invullen groen'!H224&lt;&gt;0,'Invullen groen'!H224,""),"")</f>
        <v/>
      </c>
      <c r="G191" s="535">
        <f>IFERROR(IF('Invullen groen'!I224&lt;&gt;0,'Invullen groen'!I224,""),"")</f>
        <v/>
      </c>
      <c r="H191" s="535">
        <f>IFERROR(IF('Invullen groen'!J224&lt;&gt;0,'Invullen groen'!J224,""),"")</f>
        <v/>
      </c>
      <c r="I191" s="535">
        <f>IFERROR(IF('Invullen groen'!K224&lt;&gt;0,'Invullen groen'!K224,""),"")</f>
        <v/>
      </c>
    </row>
    <row r="192" ht="15" customHeight="1">
      <c r="A192" s="536">
        <f>IFERROR(IF('Invullen groen'!E225&gt;0,188,""),"")</f>
        <v/>
      </c>
      <c r="B192" s="536">
        <f>IFERROR(IF('Invullen groen'!E225&gt;0,'Invullen groen'!A225,""),"")</f>
        <v/>
      </c>
      <c r="C192" s="536">
        <f>IFERROR(IF('Invullen groen'!E225&gt;0,'Invullen groen'!C225,""),"")</f>
        <v/>
      </c>
      <c r="D192" s="536">
        <f>IFERROR(IF('Invullen groen'!E225&gt;0,'Invullen groen'!D225,""),"")</f>
        <v/>
      </c>
      <c r="E192" s="536">
        <f>IFERROR(IF('Invullen groen'!E225&gt;0,'Invullen groen'!G225,""),"")</f>
        <v/>
      </c>
      <c r="F192" s="537">
        <f>IFERROR(IF('Invullen groen'!H225&lt;&gt;0,'Invullen groen'!H225,""),"")</f>
        <v/>
      </c>
      <c r="G192" s="537">
        <f>IFERROR(IF('Invullen groen'!I225&lt;&gt;0,'Invullen groen'!I225,""),"")</f>
        <v/>
      </c>
      <c r="H192" s="537">
        <f>IFERROR(IF('Invullen groen'!J225&lt;&gt;0,'Invullen groen'!J225,""),"")</f>
        <v/>
      </c>
      <c r="I192" s="537">
        <f>IFERROR(IF('Invullen groen'!K225&lt;&gt;0,'Invullen groen'!K225,""),"")</f>
        <v/>
      </c>
    </row>
    <row r="193" ht="15" customHeight="1">
      <c r="A193" s="534">
        <f>IFERROR(IF('Invullen groen'!E226&gt;0,189,""),"")</f>
        <v/>
      </c>
      <c r="B193" s="534">
        <f>IFERROR(IF('Invullen groen'!E226&gt;0,'Invullen groen'!A226,""),"")</f>
        <v/>
      </c>
      <c r="C193" s="534">
        <f>IFERROR(IF('Invullen groen'!E226&gt;0,'Invullen groen'!C226,""),"")</f>
        <v/>
      </c>
      <c r="D193" s="534">
        <f>IFERROR(IF('Invullen groen'!E226&gt;0,'Invullen groen'!D226,""),"")</f>
        <v/>
      </c>
      <c r="E193" s="534">
        <f>IFERROR(IF('Invullen groen'!E226&gt;0,'Invullen groen'!G226,""),"")</f>
        <v/>
      </c>
      <c r="F193" s="535">
        <f>IFERROR(IF('Invullen groen'!H226&lt;&gt;0,'Invullen groen'!H226,""),"")</f>
        <v/>
      </c>
      <c r="G193" s="535">
        <f>IFERROR(IF('Invullen groen'!I226&lt;&gt;0,'Invullen groen'!I226,""),"")</f>
        <v/>
      </c>
      <c r="H193" s="535">
        <f>IFERROR(IF('Invullen groen'!J226&lt;&gt;0,'Invullen groen'!J226,""),"")</f>
        <v/>
      </c>
      <c r="I193" s="535">
        <f>IFERROR(IF('Invullen groen'!K226&lt;&gt;0,'Invullen groen'!K226,""),"")</f>
        <v/>
      </c>
    </row>
    <row r="194" ht="15" customHeight="1">
      <c r="A194" s="536">
        <f>IFERROR(IF('Invullen groen'!E227&gt;0,190,""),"")</f>
        <v/>
      </c>
      <c r="B194" s="536">
        <f>IFERROR(IF('Invullen groen'!E227&gt;0,'Invullen groen'!A227,""),"")</f>
        <v/>
      </c>
      <c r="C194" s="536">
        <f>IFERROR(IF('Invullen groen'!E227&gt;0,'Invullen groen'!C227,""),"")</f>
        <v/>
      </c>
      <c r="D194" s="536">
        <f>IFERROR(IF('Invullen groen'!E227&gt;0,'Invullen groen'!D227,""),"")</f>
        <v/>
      </c>
      <c r="E194" s="536">
        <f>IFERROR(IF('Invullen groen'!E227&gt;0,'Invullen groen'!G227,""),"")</f>
        <v/>
      </c>
      <c r="F194" s="537">
        <f>IFERROR(IF('Invullen groen'!H227&lt;&gt;0,'Invullen groen'!H227,""),"")</f>
        <v/>
      </c>
      <c r="G194" s="537">
        <f>IFERROR(IF('Invullen groen'!I227&lt;&gt;0,'Invullen groen'!I227,""),"")</f>
        <v/>
      </c>
      <c r="H194" s="537">
        <f>IFERROR(IF('Invullen groen'!J227&lt;&gt;0,'Invullen groen'!J227,""),"")</f>
        <v/>
      </c>
      <c r="I194" s="537">
        <f>IFERROR(IF('Invullen groen'!K227&lt;&gt;0,'Invullen groen'!K227,""),"")</f>
        <v/>
      </c>
    </row>
    <row r="195" ht="15" customHeight="1">
      <c r="A195" s="534">
        <f>IFERROR(IF('Invullen groen'!E228&gt;0,191,""),"")</f>
        <v/>
      </c>
      <c r="B195" s="534">
        <f>IFERROR(IF('Invullen groen'!E228&gt;0,'Invullen groen'!A228,""),"")</f>
        <v/>
      </c>
      <c r="C195" s="534">
        <f>IFERROR(IF('Invullen groen'!E228&gt;0,'Invullen groen'!C228,""),"")</f>
        <v/>
      </c>
      <c r="D195" s="534">
        <f>IFERROR(IF('Invullen groen'!E228&gt;0,'Invullen groen'!D228,""),"")</f>
        <v/>
      </c>
      <c r="E195" s="534">
        <f>IFERROR(IF('Invullen groen'!E228&gt;0,'Invullen groen'!G228,""),"")</f>
        <v/>
      </c>
      <c r="F195" s="535">
        <f>IFERROR(IF('Invullen groen'!H228&lt;&gt;0,'Invullen groen'!H228,""),"")</f>
        <v/>
      </c>
      <c r="G195" s="535">
        <f>IFERROR(IF('Invullen groen'!I228&lt;&gt;0,'Invullen groen'!I228,""),"")</f>
        <v/>
      </c>
      <c r="H195" s="535">
        <f>IFERROR(IF('Invullen groen'!J228&lt;&gt;0,'Invullen groen'!J228,""),"")</f>
        <v/>
      </c>
      <c r="I195" s="535">
        <f>IFERROR(IF('Invullen groen'!K228&lt;&gt;0,'Invullen groen'!K228,""),"")</f>
        <v/>
      </c>
    </row>
    <row r="196" ht="15" customHeight="1">
      <c r="A196" s="536">
        <f>IFERROR(IF('Invullen groen'!E229&gt;0,192,""),"")</f>
        <v/>
      </c>
      <c r="B196" s="536">
        <f>IFERROR(IF('Invullen groen'!E229&gt;0,'Invullen groen'!A229,""),"")</f>
        <v/>
      </c>
      <c r="C196" s="536">
        <f>IFERROR(IF('Invullen groen'!E229&gt;0,'Invullen groen'!C229,""),"")</f>
        <v/>
      </c>
      <c r="D196" s="536">
        <f>IFERROR(IF('Invullen groen'!E229&gt;0,'Invullen groen'!D229,""),"")</f>
        <v/>
      </c>
      <c r="E196" s="536">
        <f>IFERROR(IF('Invullen groen'!E229&gt;0,'Invullen groen'!G229,""),"")</f>
        <v/>
      </c>
      <c r="F196" s="537">
        <f>IFERROR(IF('Invullen groen'!H229&lt;&gt;0,'Invullen groen'!H229,""),"")</f>
        <v/>
      </c>
      <c r="G196" s="537">
        <f>IFERROR(IF('Invullen groen'!I229&lt;&gt;0,'Invullen groen'!I229,""),"")</f>
        <v/>
      </c>
      <c r="H196" s="537">
        <f>IFERROR(IF('Invullen groen'!J229&lt;&gt;0,'Invullen groen'!J229,""),"")</f>
        <v/>
      </c>
      <c r="I196" s="537">
        <f>IFERROR(IF('Invullen groen'!K229&lt;&gt;0,'Invullen groen'!K229,""),"")</f>
        <v/>
      </c>
    </row>
    <row r="197" ht="15" customHeight="1">
      <c r="A197" s="534">
        <f>IFERROR(IF('Invullen groen'!E230&gt;0,193,""),"")</f>
        <v/>
      </c>
      <c r="B197" s="534">
        <f>IFERROR(IF('Invullen groen'!E230&gt;0,'Invullen groen'!A230,""),"")</f>
        <v/>
      </c>
      <c r="C197" s="534">
        <f>IFERROR(IF('Invullen groen'!E230&gt;0,'Invullen groen'!C230,""),"")</f>
        <v/>
      </c>
      <c r="D197" s="534">
        <f>IFERROR(IF('Invullen groen'!E230&gt;0,'Invullen groen'!D230,""),"")</f>
        <v/>
      </c>
      <c r="E197" s="534">
        <f>IFERROR(IF('Invullen groen'!E230&gt;0,'Invullen groen'!G230,""),"")</f>
        <v/>
      </c>
      <c r="F197" s="535">
        <f>IFERROR(IF('Invullen groen'!H230&lt;&gt;0,'Invullen groen'!H230,""),"")</f>
        <v/>
      </c>
      <c r="G197" s="535">
        <f>IFERROR(IF('Invullen groen'!I230&lt;&gt;0,'Invullen groen'!I230,""),"")</f>
        <v/>
      </c>
      <c r="H197" s="535">
        <f>IFERROR(IF('Invullen groen'!J230&lt;&gt;0,'Invullen groen'!J230,""),"")</f>
        <v/>
      </c>
      <c r="I197" s="535">
        <f>IFERROR(IF('Invullen groen'!K230&lt;&gt;0,'Invullen groen'!K230,""),"")</f>
        <v/>
      </c>
    </row>
    <row r="198" ht="15" customHeight="1">
      <c r="A198" s="536">
        <f>IFERROR(IF('Invullen groen'!E231&gt;0,194,""),"")</f>
        <v/>
      </c>
      <c r="B198" s="536">
        <f>IFERROR(IF('Invullen groen'!E231&gt;0,'Invullen groen'!A231,""),"")</f>
        <v/>
      </c>
      <c r="C198" s="536">
        <f>IFERROR(IF('Invullen groen'!E231&gt;0,'Invullen groen'!C231,""),"")</f>
        <v/>
      </c>
      <c r="D198" s="536">
        <f>IFERROR(IF('Invullen groen'!E231&gt;0,'Invullen groen'!D231,""),"")</f>
        <v/>
      </c>
      <c r="E198" s="536">
        <f>IFERROR(IF('Invullen groen'!E231&gt;0,'Invullen groen'!G231,""),"")</f>
        <v/>
      </c>
      <c r="F198" s="537">
        <f>IFERROR(IF('Invullen groen'!H231&lt;&gt;0,'Invullen groen'!H231,""),"")</f>
        <v/>
      </c>
      <c r="G198" s="537">
        <f>IFERROR(IF('Invullen groen'!I231&lt;&gt;0,'Invullen groen'!I231,""),"")</f>
        <v/>
      </c>
      <c r="H198" s="537">
        <f>IFERROR(IF('Invullen groen'!J231&lt;&gt;0,'Invullen groen'!J231,""),"")</f>
        <v/>
      </c>
      <c r="I198" s="537">
        <f>IFERROR(IF('Invullen groen'!K231&lt;&gt;0,'Invullen groen'!K231,""),"")</f>
        <v/>
      </c>
    </row>
    <row r="199" ht="15" customHeight="1">
      <c r="A199" s="534">
        <f>IFERROR(IF('Invullen groen'!E232&gt;0,195,""),"")</f>
        <v/>
      </c>
      <c r="B199" s="534">
        <f>IFERROR(IF('Invullen groen'!E232&gt;0,'Invullen groen'!A232,""),"")</f>
        <v/>
      </c>
      <c r="C199" s="534">
        <f>IFERROR(IF('Invullen groen'!E232&gt;0,'Invullen groen'!C232,""),"")</f>
        <v/>
      </c>
      <c r="D199" s="534">
        <f>IFERROR(IF('Invullen groen'!E232&gt;0,'Invullen groen'!D232,""),"")</f>
        <v/>
      </c>
      <c r="E199" s="534">
        <f>IFERROR(IF('Invullen groen'!E232&gt;0,'Invullen groen'!G232,""),"")</f>
        <v/>
      </c>
      <c r="F199" s="535">
        <f>IFERROR(IF('Invullen groen'!H232&lt;&gt;0,'Invullen groen'!H232,""),"")</f>
        <v/>
      </c>
      <c r="G199" s="535">
        <f>IFERROR(IF('Invullen groen'!I232&lt;&gt;0,'Invullen groen'!I232,""),"")</f>
        <v/>
      </c>
      <c r="H199" s="535">
        <f>IFERROR(IF('Invullen groen'!J232&lt;&gt;0,'Invullen groen'!J232,""),"")</f>
        <v/>
      </c>
      <c r="I199" s="535">
        <f>IFERROR(IF('Invullen groen'!K232&lt;&gt;0,'Invullen groen'!K232,""),"")</f>
        <v/>
      </c>
    </row>
    <row r="200" ht="15" customHeight="1">
      <c r="A200" s="536">
        <f>IFERROR(IF('Invullen groen'!E233&gt;0,196,""),"")</f>
        <v/>
      </c>
      <c r="B200" s="536">
        <f>IFERROR(IF('Invullen groen'!E233&gt;0,'Invullen groen'!A233,""),"")</f>
        <v/>
      </c>
      <c r="C200" s="536">
        <f>IFERROR(IF('Invullen groen'!E233&gt;0,'Invullen groen'!C233,""),"")</f>
        <v/>
      </c>
      <c r="D200" s="536">
        <f>IFERROR(IF('Invullen groen'!E233&gt;0,'Invullen groen'!D233,""),"")</f>
        <v/>
      </c>
      <c r="E200" s="536">
        <f>IFERROR(IF('Invullen groen'!E233&gt;0,'Invullen groen'!G233,""),"")</f>
        <v/>
      </c>
      <c r="F200" s="537">
        <f>IFERROR(IF('Invullen groen'!H233&lt;&gt;0,'Invullen groen'!H233,""),"")</f>
        <v/>
      </c>
      <c r="G200" s="537">
        <f>IFERROR(IF('Invullen groen'!I233&lt;&gt;0,'Invullen groen'!I233,""),"")</f>
        <v/>
      </c>
      <c r="H200" s="537">
        <f>IFERROR(IF('Invullen groen'!J233&lt;&gt;0,'Invullen groen'!J233,""),"")</f>
        <v/>
      </c>
      <c r="I200" s="537">
        <f>IFERROR(IF('Invullen groen'!K233&lt;&gt;0,'Invullen groen'!K233,""),"")</f>
        <v/>
      </c>
    </row>
    <row r="201" ht="15" customHeight="1">
      <c r="A201" s="534">
        <f>IFERROR(IF('Invullen groen'!E234&gt;0,197,""),"")</f>
        <v/>
      </c>
      <c r="B201" s="534">
        <f>IFERROR(IF('Invullen groen'!E234&gt;0,'Invullen groen'!A234,""),"")</f>
        <v/>
      </c>
      <c r="C201" s="534">
        <f>IFERROR(IF('Invullen groen'!E234&gt;0,'Invullen groen'!C234,""),"")</f>
        <v/>
      </c>
      <c r="D201" s="534">
        <f>IFERROR(IF('Invullen groen'!E234&gt;0,'Invullen groen'!D234,""),"")</f>
        <v/>
      </c>
      <c r="E201" s="534">
        <f>IFERROR(IF('Invullen groen'!E234&gt;0,'Invullen groen'!G234,""),"")</f>
        <v/>
      </c>
      <c r="F201" s="535">
        <f>IFERROR(IF('Invullen groen'!H234&lt;&gt;0,'Invullen groen'!H234,""),"")</f>
        <v/>
      </c>
      <c r="G201" s="535">
        <f>IFERROR(IF('Invullen groen'!I234&lt;&gt;0,'Invullen groen'!I234,""),"")</f>
        <v/>
      </c>
      <c r="H201" s="535">
        <f>IFERROR(IF('Invullen groen'!J234&lt;&gt;0,'Invullen groen'!J234,""),"")</f>
        <v/>
      </c>
      <c r="I201" s="535">
        <f>IFERROR(IF('Invullen groen'!K234&lt;&gt;0,'Invullen groen'!K234,""),"")</f>
        <v/>
      </c>
    </row>
    <row r="202" ht="15" customHeight="1">
      <c r="A202" s="536">
        <f>IFERROR(IF('Invullen groen'!E235&gt;0,198,""),"")</f>
        <v/>
      </c>
      <c r="B202" s="536">
        <f>IFERROR(IF('Invullen groen'!E235&gt;0,'Invullen groen'!A235,""),"")</f>
        <v/>
      </c>
      <c r="C202" s="536">
        <f>IFERROR(IF('Invullen groen'!E235&gt;0,'Invullen groen'!C235,""),"")</f>
        <v/>
      </c>
      <c r="D202" s="536">
        <f>IFERROR(IF('Invullen groen'!E235&gt;0,'Invullen groen'!D235,""),"")</f>
        <v/>
      </c>
      <c r="E202" s="536">
        <f>IFERROR(IF('Invullen groen'!E235&gt;0,'Invullen groen'!G235,""),"")</f>
        <v/>
      </c>
      <c r="F202" s="537">
        <f>IFERROR(IF('Invullen groen'!H235&lt;&gt;0,'Invullen groen'!H235,""),"")</f>
        <v/>
      </c>
      <c r="G202" s="537">
        <f>IFERROR(IF('Invullen groen'!I235&lt;&gt;0,'Invullen groen'!I235,""),"")</f>
        <v/>
      </c>
      <c r="H202" s="537">
        <f>IFERROR(IF('Invullen groen'!J235&lt;&gt;0,'Invullen groen'!J235,""),"")</f>
        <v/>
      </c>
      <c r="I202" s="537">
        <f>IFERROR(IF('Invullen groen'!K235&lt;&gt;0,'Invullen groen'!K235,""),"")</f>
        <v/>
      </c>
    </row>
    <row r="203" ht="15" customHeight="1">
      <c r="A203" s="534">
        <f>IFERROR(IF('Invullen groen'!E236&gt;0,199,""),"")</f>
        <v/>
      </c>
      <c r="B203" s="534">
        <f>IFERROR(IF('Invullen groen'!E236&gt;0,'Invullen groen'!A236,""),"")</f>
        <v/>
      </c>
      <c r="C203" s="534">
        <f>IFERROR(IF('Invullen groen'!E236&gt;0,'Invullen groen'!C236,""),"")</f>
        <v/>
      </c>
      <c r="D203" s="534">
        <f>IFERROR(IF('Invullen groen'!E236&gt;0,'Invullen groen'!D236,""),"")</f>
        <v/>
      </c>
      <c r="E203" s="534">
        <f>IFERROR(IF('Invullen groen'!E236&gt;0,'Invullen groen'!G236,""),"")</f>
        <v/>
      </c>
      <c r="F203" s="535">
        <f>IFERROR(IF('Invullen groen'!H236&lt;&gt;0,'Invullen groen'!H236,""),"")</f>
        <v/>
      </c>
      <c r="G203" s="535">
        <f>IFERROR(IF('Invullen groen'!I236&lt;&gt;0,'Invullen groen'!I236,""),"")</f>
        <v/>
      </c>
      <c r="H203" s="535">
        <f>IFERROR(IF('Invullen groen'!J236&lt;&gt;0,'Invullen groen'!J236,""),"")</f>
        <v/>
      </c>
      <c r="I203" s="535">
        <f>IFERROR(IF('Invullen groen'!K236&lt;&gt;0,'Invullen groen'!K236,""),"")</f>
        <v/>
      </c>
    </row>
    <row r="204" ht="15" customHeight="1">
      <c r="A204" s="536">
        <f>IFERROR(IF('Invullen groen'!E237&gt;0,200,""),"")</f>
        <v/>
      </c>
      <c r="B204" s="536">
        <f>IFERROR(IF('Invullen groen'!E237&gt;0,'Invullen groen'!A237,""),"")</f>
        <v/>
      </c>
      <c r="C204" s="536">
        <f>IFERROR(IF('Invullen groen'!E237&gt;0,'Invullen groen'!C237,""),"")</f>
        <v/>
      </c>
      <c r="D204" s="536">
        <f>IFERROR(IF('Invullen groen'!E237&gt;0,'Invullen groen'!D237,""),"")</f>
        <v/>
      </c>
      <c r="E204" s="536">
        <f>IFERROR(IF('Invullen groen'!E237&gt;0,'Invullen groen'!G237,""),"")</f>
        <v/>
      </c>
      <c r="F204" s="537">
        <f>IFERROR(IF('Invullen groen'!H237&lt;&gt;0,'Invullen groen'!H237,""),"")</f>
        <v/>
      </c>
      <c r="G204" s="537">
        <f>IFERROR(IF('Invullen groen'!I237&lt;&gt;0,'Invullen groen'!I237,""),"")</f>
        <v/>
      </c>
      <c r="H204" s="537">
        <f>IFERROR(IF('Invullen groen'!J237&lt;&gt;0,'Invullen groen'!J237,""),"")</f>
        <v/>
      </c>
      <c r="I204" s="537">
        <f>IFERROR(IF('Invullen groen'!K237&lt;&gt;0,'Invullen groen'!K237,""),"")</f>
        <v/>
      </c>
    </row>
    <row r="205" ht="15" customHeight="1">
      <c r="A205" s="534">
        <f>IFERROR(IF('Invullen groen'!E238&gt;0,201,""),"")</f>
        <v/>
      </c>
      <c r="B205" s="534">
        <f>IFERROR(IF('Invullen groen'!E238&gt;0,'Invullen groen'!A238,""),"")</f>
        <v/>
      </c>
      <c r="C205" s="534">
        <f>IFERROR(IF('Invullen groen'!E238&gt;0,'Invullen groen'!C238,""),"")</f>
        <v/>
      </c>
      <c r="D205" s="534">
        <f>IFERROR(IF('Invullen groen'!E238&gt;0,'Invullen groen'!D238,""),"")</f>
        <v/>
      </c>
      <c r="E205" s="534">
        <f>IFERROR(IF('Invullen groen'!E238&gt;0,'Invullen groen'!G238,""),"")</f>
        <v/>
      </c>
      <c r="F205" s="535">
        <f>IFERROR(IF('Invullen groen'!H238&lt;&gt;0,'Invullen groen'!H238,""),"")</f>
        <v/>
      </c>
      <c r="G205" s="535">
        <f>IFERROR(IF('Invullen groen'!I238&lt;&gt;0,'Invullen groen'!I238,""),"")</f>
        <v/>
      </c>
      <c r="H205" s="535">
        <f>IFERROR(IF('Invullen groen'!J238&lt;&gt;0,'Invullen groen'!J238,""),"")</f>
        <v/>
      </c>
      <c r="I205" s="535">
        <f>IFERROR(IF('Invullen groen'!K238&lt;&gt;0,'Invullen groen'!K238,""),"")</f>
        <v/>
      </c>
    </row>
    <row r="206" ht="15" customHeight="1">
      <c r="A206" s="536">
        <f>IFERROR(IF('Invullen groen'!E239&gt;0,202,""),"")</f>
        <v/>
      </c>
      <c r="B206" s="536">
        <f>IFERROR(IF('Invullen groen'!E239&gt;0,'Invullen groen'!A239,""),"")</f>
        <v/>
      </c>
      <c r="C206" s="536">
        <f>IFERROR(IF('Invullen groen'!E239&gt;0,'Invullen groen'!C239,""),"")</f>
        <v/>
      </c>
      <c r="D206" s="536">
        <f>IFERROR(IF('Invullen groen'!E239&gt;0,'Invullen groen'!D239,""),"")</f>
        <v/>
      </c>
      <c r="E206" s="536">
        <f>IFERROR(IF('Invullen groen'!E239&gt;0,'Invullen groen'!G239,""),"")</f>
        <v/>
      </c>
      <c r="F206" s="537">
        <f>IFERROR(IF('Invullen groen'!H239&lt;&gt;0,'Invullen groen'!H239,""),"")</f>
        <v/>
      </c>
      <c r="G206" s="537">
        <f>IFERROR(IF('Invullen groen'!I239&lt;&gt;0,'Invullen groen'!I239,""),"")</f>
        <v/>
      </c>
      <c r="H206" s="537">
        <f>IFERROR(IF('Invullen groen'!J239&lt;&gt;0,'Invullen groen'!J239,""),"")</f>
        <v/>
      </c>
      <c r="I206" s="537">
        <f>IFERROR(IF('Invullen groen'!K239&lt;&gt;0,'Invullen groen'!K239,""),"")</f>
        <v/>
      </c>
    </row>
    <row r="207" ht="15" customHeight="1">
      <c r="A207" s="534">
        <f>IFERROR(IF('Invullen groen'!E240&gt;0,203,""),"")</f>
        <v/>
      </c>
      <c r="B207" s="534">
        <f>IFERROR(IF('Invullen groen'!E240&gt;0,'Invullen groen'!A240,""),"")</f>
        <v/>
      </c>
      <c r="C207" s="534">
        <f>IFERROR(IF('Invullen groen'!E240&gt;0,'Invullen groen'!C240,""),"")</f>
        <v/>
      </c>
      <c r="D207" s="534">
        <f>IFERROR(IF('Invullen groen'!E240&gt;0,'Invullen groen'!D240,""),"")</f>
        <v/>
      </c>
      <c r="E207" s="534">
        <f>IFERROR(IF('Invullen groen'!E240&gt;0,'Invullen groen'!G240,""),"")</f>
        <v/>
      </c>
      <c r="F207" s="535">
        <f>IFERROR(IF('Invullen groen'!H240&lt;&gt;0,'Invullen groen'!H240,""),"")</f>
        <v/>
      </c>
      <c r="G207" s="535">
        <f>IFERROR(IF('Invullen groen'!I240&lt;&gt;0,'Invullen groen'!I240,""),"")</f>
        <v/>
      </c>
      <c r="H207" s="535">
        <f>IFERROR(IF('Invullen groen'!J240&lt;&gt;0,'Invullen groen'!J240,""),"")</f>
        <v/>
      </c>
      <c r="I207" s="535">
        <f>IFERROR(IF('Invullen groen'!K240&lt;&gt;0,'Invullen groen'!K240,""),"")</f>
        <v/>
      </c>
    </row>
    <row r="208" ht="15" customHeight="1">
      <c r="A208" s="536">
        <f>IFERROR(IF('Invullen groen'!E241&gt;0,204,""),"")</f>
        <v/>
      </c>
      <c r="B208" s="536">
        <f>IFERROR(IF('Invullen groen'!E241&gt;0,'Invullen groen'!A241,""),"")</f>
        <v/>
      </c>
      <c r="C208" s="536">
        <f>IFERROR(IF('Invullen groen'!E241&gt;0,'Invullen groen'!C241,""),"")</f>
        <v/>
      </c>
      <c r="D208" s="536">
        <f>IFERROR(IF('Invullen groen'!E241&gt;0,'Invullen groen'!D241,""),"")</f>
        <v/>
      </c>
      <c r="E208" s="536">
        <f>IFERROR(IF('Invullen groen'!E241&gt;0,'Invullen groen'!G241,""),"")</f>
        <v/>
      </c>
      <c r="F208" s="537">
        <f>IFERROR(IF('Invullen groen'!H241&lt;&gt;0,'Invullen groen'!H241,""),"")</f>
        <v/>
      </c>
      <c r="G208" s="537">
        <f>IFERROR(IF('Invullen groen'!I241&lt;&gt;0,'Invullen groen'!I241,""),"")</f>
        <v/>
      </c>
      <c r="H208" s="537">
        <f>IFERROR(IF('Invullen groen'!J241&lt;&gt;0,'Invullen groen'!J241,""),"")</f>
        <v/>
      </c>
      <c r="I208" s="537">
        <f>IFERROR(IF('Invullen groen'!K241&lt;&gt;0,'Invullen groen'!K241,""),"")</f>
        <v/>
      </c>
    </row>
    <row r="209" ht="15" customHeight="1">
      <c r="A209" s="534">
        <f>IFERROR(IF('Invullen groen'!E242&gt;0,205,""),"")</f>
        <v/>
      </c>
      <c r="B209" s="534">
        <f>IFERROR(IF('Invullen groen'!E242&gt;0,'Invullen groen'!A242,""),"")</f>
        <v/>
      </c>
      <c r="C209" s="534">
        <f>IFERROR(IF('Invullen groen'!E242&gt;0,'Invullen groen'!C242,""),"")</f>
        <v/>
      </c>
      <c r="D209" s="534">
        <f>IFERROR(IF('Invullen groen'!E242&gt;0,'Invullen groen'!D242,""),"")</f>
        <v/>
      </c>
      <c r="E209" s="534">
        <f>IFERROR(IF('Invullen groen'!E242&gt;0,'Invullen groen'!G242,""),"")</f>
        <v/>
      </c>
      <c r="F209" s="535">
        <f>IFERROR(IF('Invullen groen'!H242&lt;&gt;0,'Invullen groen'!H242,""),"")</f>
        <v/>
      </c>
      <c r="G209" s="535">
        <f>IFERROR(IF('Invullen groen'!I242&lt;&gt;0,'Invullen groen'!I242,""),"")</f>
        <v/>
      </c>
      <c r="H209" s="535">
        <f>IFERROR(IF('Invullen groen'!J242&lt;&gt;0,'Invullen groen'!J242,""),"")</f>
        <v/>
      </c>
      <c r="I209" s="535">
        <f>IFERROR(IF('Invullen groen'!K242&lt;&gt;0,'Invullen groen'!K242,""),"")</f>
        <v/>
      </c>
    </row>
    <row r="210" ht="15" customHeight="1">
      <c r="A210" s="536">
        <f>IFERROR(IF('Invullen groen'!E243&gt;0,206,""),"")</f>
        <v/>
      </c>
      <c r="B210" s="536">
        <f>IFERROR(IF('Invullen groen'!E243&gt;0,'Invullen groen'!A243,""),"")</f>
        <v/>
      </c>
      <c r="C210" s="536">
        <f>IFERROR(IF('Invullen groen'!E243&gt;0,'Invullen groen'!C243,""),"")</f>
        <v/>
      </c>
      <c r="D210" s="536">
        <f>IFERROR(IF('Invullen groen'!E243&gt;0,'Invullen groen'!D243,""),"")</f>
        <v/>
      </c>
      <c r="E210" s="536">
        <f>IFERROR(IF('Invullen groen'!E243&gt;0,'Invullen groen'!G243,""),"")</f>
        <v/>
      </c>
      <c r="F210" s="537">
        <f>IFERROR(IF('Invullen groen'!H243&lt;&gt;0,'Invullen groen'!H243,""),"")</f>
        <v/>
      </c>
      <c r="G210" s="537">
        <f>IFERROR(IF('Invullen groen'!I243&lt;&gt;0,'Invullen groen'!I243,""),"")</f>
        <v/>
      </c>
      <c r="H210" s="537">
        <f>IFERROR(IF('Invullen groen'!J243&lt;&gt;0,'Invullen groen'!J243,""),"")</f>
        <v/>
      </c>
      <c r="I210" s="537">
        <f>IFERROR(IF('Invullen groen'!K243&lt;&gt;0,'Invullen groen'!K243,""),"")</f>
        <v/>
      </c>
    </row>
    <row r="211" ht="15" customHeight="1">
      <c r="A211" s="534">
        <f>IFERROR(IF('Invullen groen'!E244&gt;0,207,""),"")</f>
        <v/>
      </c>
      <c r="B211" s="534">
        <f>IFERROR(IF('Invullen groen'!E244&gt;0,'Invullen groen'!A244,""),"")</f>
        <v/>
      </c>
      <c r="C211" s="534">
        <f>IFERROR(IF('Invullen groen'!E244&gt;0,'Invullen groen'!C244,""),"")</f>
        <v/>
      </c>
      <c r="D211" s="534">
        <f>IFERROR(IF('Invullen groen'!E244&gt;0,'Invullen groen'!D244,""),"")</f>
        <v/>
      </c>
      <c r="E211" s="534">
        <f>IFERROR(IF('Invullen groen'!E244&gt;0,'Invullen groen'!G244,""),"")</f>
        <v/>
      </c>
      <c r="F211" s="535">
        <f>IFERROR(IF('Invullen groen'!H244&lt;&gt;0,'Invullen groen'!H244,""),"")</f>
        <v/>
      </c>
      <c r="G211" s="535">
        <f>IFERROR(IF('Invullen groen'!I244&lt;&gt;0,'Invullen groen'!I244,""),"")</f>
        <v/>
      </c>
      <c r="H211" s="535">
        <f>IFERROR(IF('Invullen groen'!J244&lt;&gt;0,'Invullen groen'!J244,""),"")</f>
        <v/>
      </c>
      <c r="I211" s="535">
        <f>IFERROR(IF('Invullen groen'!K244&lt;&gt;0,'Invullen groen'!K244,""),"")</f>
        <v/>
      </c>
    </row>
    <row r="212" ht="15" customHeight="1">
      <c r="A212" s="536">
        <f>IFERROR(IF('Invullen groen'!E245&gt;0,208,""),"")</f>
        <v/>
      </c>
      <c r="B212" s="536">
        <f>IFERROR(IF('Invullen groen'!E245&gt;0,'Invullen groen'!A245,""),"")</f>
        <v/>
      </c>
      <c r="C212" s="536">
        <f>IFERROR(IF('Invullen groen'!E245&gt;0,'Invullen groen'!C245,""),"")</f>
        <v/>
      </c>
      <c r="D212" s="536">
        <f>IFERROR(IF('Invullen groen'!E245&gt;0,'Invullen groen'!D245,""),"")</f>
        <v/>
      </c>
      <c r="E212" s="536">
        <f>IFERROR(IF('Invullen groen'!E245&gt;0,'Invullen groen'!G245,""),"")</f>
        <v/>
      </c>
      <c r="F212" s="537">
        <f>IFERROR(IF('Invullen groen'!H245&lt;&gt;0,'Invullen groen'!H245,""),"")</f>
        <v/>
      </c>
      <c r="G212" s="537">
        <f>IFERROR(IF('Invullen groen'!I245&lt;&gt;0,'Invullen groen'!I245,""),"")</f>
        <v/>
      </c>
      <c r="H212" s="537">
        <f>IFERROR(IF('Invullen groen'!J245&lt;&gt;0,'Invullen groen'!J245,""),"")</f>
        <v/>
      </c>
      <c r="I212" s="537">
        <f>IFERROR(IF('Invullen groen'!K245&lt;&gt;0,'Invullen groen'!K245,""),"")</f>
        <v/>
      </c>
    </row>
    <row r="213" ht="15" customHeight="1">
      <c r="A213" s="534">
        <f>IFERROR(IF('Invullen groen'!E246&gt;0,209,""),"")</f>
        <v/>
      </c>
      <c r="B213" s="534">
        <f>IFERROR(IF('Invullen groen'!E246&gt;0,'Invullen groen'!A246,""),"")</f>
        <v/>
      </c>
      <c r="C213" s="534">
        <f>IFERROR(IF('Invullen groen'!E246&gt;0,'Invullen groen'!C246,""),"")</f>
        <v/>
      </c>
      <c r="D213" s="534">
        <f>IFERROR(IF('Invullen groen'!E246&gt;0,'Invullen groen'!D246,""),"")</f>
        <v/>
      </c>
      <c r="E213" s="534">
        <f>IFERROR(IF('Invullen groen'!E246&gt;0,'Invullen groen'!G246,""),"")</f>
        <v/>
      </c>
      <c r="F213" s="535">
        <f>IFERROR(IF('Invullen groen'!H246&lt;&gt;0,'Invullen groen'!H246,""),"")</f>
        <v/>
      </c>
      <c r="G213" s="535">
        <f>IFERROR(IF('Invullen groen'!I246&lt;&gt;0,'Invullen groen'!I246,""),"")</f>
        <v/>
      </c>
      <c r="H213" s="535">
        <f>IFERROR(IF('Invullen groen'!J246&lt;&gt;0,'Invullen groen'!J246,""),"")</f>
        <v/>
      </c>
      <c r="I213" s="535">
        <f>IFERROR(IF('Invullen groen'!K246&lt;&gt;0,'Invullen groen'!K246,""),"")</f>
        <v/>
      </c>
    </row>
    <row r="214" ht="15" customHeight="1">
      <c r="A214" s="536">
        <f>IFERROR(IF('Invullen groen'!E247&gt;0,210,""),"")</f>
        <v/>
      </c>
      <c r="B214" s="536">
        <f>IFERROR(IF('Invullen groen'!E247&gt;0,'Invullen groen'!A247,""),"")</f>
        <v/>
      </c>
      <c r="C214" s="536">
        <f>IFERROR(IF('Invullen groen'!E247&gt;0,'Invullen groen'!C247,""),"")</f>
        <v/>
      </c>
      <c r="D214" s="536">
        <f>IFERROR(IF('Invullen groen'!E247&gt;0,'Invullen groen'!D247,""),"")</f>
        <v/>
      </c>
      <c r="E214" s="536">
        <f>IFERROR(IF('Invullen groen'!E247&gt;0,'Invullen groen'!G247,""),"")</f>
        <v/>
      </c>
      <c r="F214" s="537">
        <f>IFERROR(IF('Invullen groen'!H247&lt;&gt;0,'Invullen groen'!H247,""),"")</f>
        <v/>
      </c>
      <c r="G214" s="537">
        <f>IFERROR(IF('Invullen groen'!I247&lt;&gt;0,'Invullen groen'!I247,""),"")</f>
        <v/>
      </c>
      <c r="H214" s="537">
        <f>IFERROR(IF('Invullen groen'!J247&lt;&gt;0,'Invullen groen'!J247,""),"")</f>
        <v/>
      </c>
      <c r="I214" s="537">
        <f>IFERROR(IF('Invullen groen'!K247&lt;&gt;0,'Invullen groen'!K247,""),"")</f>
        <v/>
      </c>
    </row>
    <row r="215" ht="15" customHeight="1">
      <c r="A215" s="534">
        <f>IFERROR(IF('Invullen groen'!E248&gt;0,211,""),"")</f>
        <v/>
      </c>
      <c r="B215" s="534">
        <f>IFERROR(IF('Invullen groen'!E248&gt;0,'Invullen groen'!A248,""),"")</f>
        <v/>
      </c>
      <c r="C215" s="534">
        <f>IFERROR(IF('Invullen groen'!E248&gt;0,'Invullen groen'!C248,""),"")</f>
        <v/>
      </c>
      <c r="D215" s="534">
        <f>IFERROR(IF('Invullen groen'!E248&gt;0,'Invullen groen'!D248,""),"")</f>
        <v/>
      </c>
      <c r="E215" s="534">
        <f>IFERROR(IF('Invullen groen'!E248&gt;0,'Invullen groen'!G248,""),"")</f>
        <v/>
      </c>
      <c r="F215" s="535">
        <f>IFERROR(IF('Invullen groen'!H248&lt;&gt;0,'Invullen groen'!H248,""),"")</f>
        <v/>
      </c>
      <c r="G215" s="535">
        <f>IFERROR(IF('Invullen groen'!I248&lt;&gt;0,'Invullen groen'!I248,""),"")</f>
        <v/>
      </c>
      <c r="H215" s="535">
        <f>IFERROR(IF('Invullen groen'!J248&lt;&gt;0,'Invullen groen'!J248,""),"")</f>
        <v/>
      </c>
      <c r="I215" s="535">
        <f>IFERROR(IF('Invullen groen'!K248&lt;&gt;0,'Invullen groen'!K248,""),"")</f>
        <v/>
      </c>
    </row>
    <row r="216" ht="15" customHeight="1">
      <c r="A216" s="536">
        <f>IFERROR(IF('Invullen groen'!E249&gt;0,212,""),"")</f>
        <v/>
      </c>
      <c r="B216" s="536">
        <f>IFERROR(IF('Invullen groen'!E249&gt;0,'Invullen groen'!A249,""),"")</f>
        <v/>
      </c>
      <c r="C216" s="536">
        <f>IFERROR(IF('Invullen groen'!E249&gt;0,'Invullen groen'!C249,""),"")</f>
        <v/>
      </c>
      <c r="D216" s="536">
        <f>IFERROR(IF('Invullen groen'!E249&gt;0,'Invullen groen'!D249,""),"")</f>
        <v/>
      </c>
      <c r="E216" s="536">
        <f>IFERROR(IF('Invullen groen'!E249&gt;0,'Invullen groen'!G249,""),"")</f>
        <v/>
      </c>
      <c r="F216" s="537">
        <f>IFERROR(IF('Invullen groen'!H249&lt;&gt;0,'Invullen groen'!H249,""),"")</f>
        <v/>
      </c>
      <c r="G216" s="537">
        <f>IFERROR(IF('Invullen groen'!I249&lt;&gt;0,'Invullen groen'!I249,""),"")</f>
        <v/>
      </c>
      <c r="H216" s="537">
        <f>IFERROR(IF('Invullen groen'!J249&lt;&gt;0,'Invullen groen'!J249,""),"")</f>
        <v/>
      </c>
      <c r="I216" s="537">
        <f>IFERROR(IF('Invullen groen'!K249&lt;&gt;0,'Invullen groen'!K249,""),"")</f>
        <v/>
      </c>
    </row>
    <row r="217" ht="15" customHeight="1">
      <c r="A217" s="534">
        <f>IFERROR(IF('Invullen groen'!E250&gt;0,213,""),"")</f>
        <v/>
      </c>
      <c r="B217" s="534">
        <f>IFERROR(IF('Invullen groen'!E250&gt;0,'Invullen groen'!A250,""),"")</f>
        <v/>
      </c>
      <c r="C217" s="534">
        <f>IFERROR(IF('Invullen groen'!E250&gt;0,'Invullen groen'!C250,""),"")</f>
        <v/>
      </c>
      <c r="D217" s="534">
        <f>IFERROR(IF('Invullen groen'!E250&gt;0,'Invullen groen'!D250,""),"")</f>
        <v/>
      </c>
      <c r="E217" s="534">
        <f>IFERROR(IF('Invullen groen'!E250&gt;0,'Invullen groen'!G250,""),"")</f>
        <v/>
      </c>
      <c r="F217" s="535">
        <f>IFERROR(IF('Invullen groen'!H250&lt;&gt;0,'Invullen groen'!H250,""),"")</f>
        <v/>
      </c>
      <c r="G217" s="535">
        <f>IFERROR(IF('Invullen groen'!I250&lt;&gt;0,'Invullen groen'!I250,""),"")</f>
        <v/>
      </c>
      <c r="H217" s="535">
        <f>IFERROR(IF('Invullen groen'!J250&lt;&gt;0,'Invullen groen'!J250,""),"")</f>
        <v/>
      </c>
      <c r="I217" s="535">
        <f>IFERROR(IF('Invullen groen'!K250&lt;&gt;0,'Invullen groen'!K250,""),"")</f>
        <v/>
      </c>
    </row>
    <row r="218" ht="15" customHeight="1">
      <c r="A218" s="536">
        <f>IFERROR(IF('Invullen groen'!E251&gt;0,214,""),"")</f>
        <v/>
      </c>
      <c r="B218" s="536">
        <f>IFERROR(IF('Invullen groen'!E251&gt;0,'Invullen groen'!A251,""),"")</f>
        <v/>
      </c>
      <c r="C218" s="536">
        <f>IFERROR(IF('Invullen groen'!E251&gt;0,'Invullen groen'!C251,""),"")</f>
        <v/>
      </c>
      <c r="D218" s="536">
        <f>IFERROR(IF('Invullen groen'!E251&gt;0,'Invullen groen'!D251,""),"")</f>
        <v/>
      </c>
      <c r="E218" s="536">
        <f>IFERROR(IF('Invullen groen'!E251&gt;0,'Invullen groen'!G251,""),"")</f>
        <v/>
      </c>
      <c r="F218" s="537">
        <f>IFERROR(IF('Invullen groen'!H251&lt;&gt;0,'Invullen groen'!H251,""),"")</f>
        <v/>
      </c>
      <c r="G218" s="537">
        <f>IFERROR(IF('Invullen groen'!I251&lt;&gt;0,'Invullen groen'!I251,""),"")</f>
        <v/>
      </c>
      <c r="H218" s="537">
        <f>IFERROR(IF('Invullen groen'!J251&lt;&gt;0,'Invullen groen'!J251,""),"")</f>
        <v/>
      </c>
      <c r="I218" s="537">
        <f>IFERROR(IF('Invullen groen'!K251&lt;&gt;0,'Invullen groen'!K251,""),"")</f>
        <v/>
      </c>
    </row>
    <row r="219" ht="15" customHeight="1">
      <c r="A219" s="534">
        <f>IFERROR(IF('Invullen groen'!E252&gt;0,215,""),"")</f>
        <v/>
      </c>
      <c r="B219" s="534">
        <f>IFERROR(IF('Invullen groen'!E252&gt;0,'Invullen groen'!A252,""),"")</f>
        <v/>
      </c>
      <c r="C219" s="534">
        <f>IFERROR(IF('Invullen groen'!E252&gt;0,'Invullen groen'!C252,""),"")</f>
        <v/>
      </c>
      <c r="D219" s="534">
        <f>IFERROR(IF('Invullen groen'!E252&gt;0,'Invullen groen'!D252,""),"")</f>
        <v/>
      </c>
      <c r="E219" s="534">
        <f>IFERROR(IF('Invullen groen'!E252&gt;0,'Invullen groen'!G252,""),"")</f>
        <v/>
      </c>
      <c r="F219" s="535">
        <f>IFERROR(IF('Invullen groen'!H252&lt;&gt;0,'Invullen groen'!H252,""),"")</f>
        <v/>
      </c>
      <c r="G219" s="535">
        <f>IFERROR(IF('Invullen groen'!I252&lt;&gt;0,'Invullen groen'!I252,""),"")</f>
        <v/>
      </c>
      <c r="H219" s="535">
        <f>IFERROR(IF('Invullen groen'!J252&lt;&gt;0,'Invullen groen'!J252,""),"")</f>
        <v/>
      </c>
      <c r="I219" s="535">
        <f>IFERROR(IF('Invullen groen'!K252&lt;&gt;0,'Invullen groen'!K252,""),"")</f>
        <v/>
      </c>
    </row>
    <row r="220" ht="15" customHeight="1">
      <c r="A220" s="536">
        <f>IFERROR(IF('Invullen groen'!E253&gt;0,216,""),"")</f>
        <v/>
      </c>
      <c r="B220" s="536">
        <f>IFERROR(IF('Invullen groen'!E253&gt;0,'Invullen groen'!A253,""),"")</f>
        <v/>
      </c>
      <c r="C220" s="536">
        <f>IFERROR(IF('Invullen groen'!E253&gt;0,'Invullen groen'!C253,""),"")</f>
        <v/>
      </c>
      <c r="D220" s="536">
        <f>IFERROR(IF('Invullen groen'!E253&gt;0,'Invullen groen'!D253,""),"")</f>
        <v/>
      </c>
      <c r="E220" s="536">
        <f>IFERROR(IF('Invullen groen'!E253&gt;0,'Invullen groen'!G253,""),"")</f>
        <v/>
      </c>
      <c r="F220" s="537">
        <f>IFERROR(IF('Invullen groen'!H253&lt;&gt;0,'Invullen groen'!H253,""),"")</f>
        <v/>
      </c>
      <c r="G220" s="537">
        <f>IFERROR(IF('Invullen groen'!I253&lt;&gt;0,'Invullen groen'!I253,""),"")</f>
        <v/>
      </c>
      <c r="H220" s="537">
        <f>IFERROR(IF('Invullen groen'!J253&lt;&gt;0,'Invullen groen'!J253,""),"")</f>
        <v/>
      </c>
      <c r="I220" s="537">
        <f>IFERROR(IF('Invullen groen'!K253&lt;&gt;0,'Invullen groen'!K253,""),"")</f>
        <v/>
      </c>
    </row>
    <row r="221" ht="15" customHeight="1">
      <c r="A221" s="534">
        <f>IFERROR(IF('Invullen groen'!E254&gt;0,217,""),"")</f>
        <v/>
      </c>
      <c r="B221" s="534">
        <f>IFERROR(IF('Invullen groen'!E254&gt;0,'Invullen groen'!A254,""),"")</f>
        <v/>
      </c>
      <c r="C221" s="534">
        <f>IFERROR(IF('Invullen groen'!E254&gt;0,'Invullen groen'!C254,""),"")</f>
        <v/>
      </c>
      <c r="D221" s="534">
        <f>IFERROR(IF('Invullen groen'!E254&gt;0,'Invullen groen'!D254,""),"")</f>
        <v/>
      </c>
      <c r="E221" s="534">
        <f>IFERROR(IF('Invullen groen'!E254&gt;0,'Invullen groen'!G254,""),"")</f>
        <v/>
      </c>
      <c r="F221" s="535">
        <f>IFERROR(IF('Invullen groen'!H254&lt;&gt;0,'Invullen groen'!H254,""),"")</f>
        <v/>
      </c>
      <c r="G221" s="535">
        <f>IFERROR(IF('Invullen groen'!I254&lt;&gt;0,'Invullen groen'!I254,""),"")</f>
        <v/>
      </c>
      <c r="H221" s="535">
        <f>IFERROR(IF('Invullen groen'!J254&lt;&gt;0,'Invullen groen'!J254,""),"")</f>
        <v/>
      </c>
      <c r="I221" s="535">
        <f>IFERROR(IF('Invullen groen'!K254&lt;&gt;0,'Invullen groen'!K254,""),"")</f>
        <v/>
      </c>
    </row>
    <row r="222" ht="15" customHeight="1">
      <c r="A222" s="536">
        <f>IFERROR(IF('Invullen groen'!E255&gt;0,218,""),"")</f>
        <v/>
      </c>
      <c r="B222" s="536">
        <f>IFERROR(IF('Invullen groen'!E255&gt;0,'Invullen groen'!A255,""),"")</f>
        <v/>
      </c>
      <c r="C222" s="536">
        <f>IFERROR(IF('Invullen groen'!E255&gt;0,'Invullen groen'!C255,""),"")</f>
        <v/>
      </c>
      <c r="D222" s="536">
        <f>IFERROR(IF('Invullen groen'!E255&gt;0,'Invullen groen'!D255,""),"")</f>
        <v/>
      </c>
      <c r="E222" s="536">
        <f>IFERROR(IF('Invullen groen'!E255&gt;0,'Invullen groen'!G255,""),"")</f>
        <v/>
      </c>
      <c r="F222" s="537">
        <f>IFERROR(IF('Invullen groen'!H255&lt;&gt;0,'Invullen groen'!H255,""),"")</f>
        <v/>
      </c>
      <c r="G222" s="537">
        <f>IFERROR(IF('Invullen groen'!I255&lt;&gt;0,'Invullen groen'!I255,""),"")</f>
        <v/>
      </c>
      <c r="H222" s="537">
        <f>IFERROR(IF('Invullen groen'!J255&lt;&gt;0,'Invullen groen'!J255,""),"")</f>
        <v/>
      </c>
      <c r="I222" s="537">
        <f>IFERROR(IF('Invullen groen'!K255&lt;&gt;0,'Invullen groen'!K255,""),"")</f>
        <v/>
      </c>
    </row>
    <row r="223" ht="15" customHeight="1">
      <c r="A223" s="534">
        <f>IFERROR(IF('Invullen groen'!E256&gt;0,219,""),"")</f>
        <v/>
      </c>
      <c r="B223" s="534">
        <f>IFERROR(IF('Invullen groen'!E256&gt;0,'Invullen groen'!A256,""),"")</f>
        <v/>
      </c>
      <c r="C223" s="534">
        <f>IFERROR(IF('Invullen groen'!E256&gt;0,'Invullen groen'!C256,""),"")</f>
        <v/>
      </c>
      <c r="D223" s="534">
        <f>IFERROR(IF('Invullen groen'!E256&gt;0,'Invullen groen'!D256,""),"")</f>
        <v/>
      </c>
      <c r="E223" s="534">
        <f>IFERROR(IF('Invullen groen'!E256&gt;0,'Invullen groen'!G256,""),"")</f>
        <v/>
      </c>
      <c r="F223" s="535">
        <f>IFERROR(IF('Invullen groen'!H256&lt;&gt;0,'Invullen groen'!H256,""),"")</f>
        <v/>
      </c>
      <c r="G223" s="535">
        <f>IFERROR(IF('Invullen groen'!I256&lt;&gt;0,'Invullen groen'!I256,""),"")</f>
        <v/>
      </c>
      <c r="H223" s="535">
        <f>IFERROR(IF('Invullen groen'!J256&lt;&gt;0,'Invullen groen'!J256,""),"")</f>
        <v/>
      </c>
      <c r="I223" s="535">
        <f>IFERROR(IF('Invullen groen'!K256&lt;&gt;0,'Invullen groen'!K256,""),"")</f>
        <v/>
      </c>
    </row>
    <row r="224" ht="15" customHeight="1">
      <c r="A224" s="536">
        <f>IFERROR(IF('Invullen groen'!E257&gt;0,220,""),"")</f>
        <v/>
      </c>
      <c r="B224" s="536">
        <f>IFERROR(IF('Invullen groen'!E257&gt;0,'Invullen groen'!A257,""),"")</f>
        <v/>
      </c>
      <c r="C224" s="536">
        <f>IFERROR(IF('Invullen groen'!E257&gt;0,'Invullen groen'!C257,""),"")</f>
        <v/>
      </c>
      <c r="D224" s="536">
        <f>IFERROR(IF('Invullen groen'!E257&gt;0,'Invullen groen'!D257,""),"")</f>
        <v/>
      </c>
      <c r="E224" s="536">
        <f>IFERROR(IF('Invullen groen'!E257&gt;0,'Invullen groen'!G257,""),"")</f>
        <v/>
      </c>
      <c r="F224" s="537">
        <f>IFERROR(IF('Invullen groen'!H257&lt;&gt;0,'Invullen groen'!H257,""),"")</f>
        <v/>
      </c>
      <c r="G224" s="537">
        <f>IFERROR(IF('Invullen groen'!I257&lt;&gt;0,'Invullen groen'!I257,""),"")</f>
        <v/>
      </c>
      <c r="H224" s="537">
        <f>IFERROR(IF('Invullen groen'!J257&lt;&gt;0,'Invullen groen'!J257,""),"")</f>
        <v/>
      </c>
      <c r="I224" s="537">
        <f>IFERROR(IF('Invullen groen'!K257&lt;&gt;0,'Invullen groen'!K257,""),"")</f>
        <v/>
      </c>
    </row>
    <row r="225" ht="15" customHeight="1">
      <c r="A225" s="534">
        <f>IFERROR(IF('Invullen groen'!E258&gt;0,221,""),"")</f>
        <v/>
      </c>
      <c r="B225" s="534">
        <f>IFERROR(IF('Invullen groen'!E258&gt;0,'Invullen groen'!A258,""),"")</f>
        <v/>
      </c>
      <c r="C225" s="534">
        <f>IFERROR(IF('Invullen groen'!E258&gt;0,'Invullen groen'!C258,""),"")</f>
        <v/>
      </c>
      <c r="D225" s="534">
        <f>IFERROR(IF('Invullen groen'!E258&gt;0,'Invullen groen'!D258,""),"")</f>
        <v/>
      </c>
      <c r="E225" s="534">
        <f>IFERROR(IF('Invullen groen'!E258&gt;0,'Invullen groen'!G258,""),"")</f>
        <v/>
      </c>
      <c r="F225" s="535">
        <f>IFERROR(IF('Invullen groen'!H258&lt;&gt;0,'Invullen groen'!H258,""),"")</f>
        <v/>
      </c>
      <c r="G225" s="535">
        <f>IFERROR(IF('Invullen groen'!I258&lt;&gt;0,'Invullen groen'!I258,""),"")</f>
        <v/>
      </c>
      <c r="H225" s="535">
        <f>IFERROR(IF('Invullen groen'!J258&lt;&gt;0,'Invullen groen'!J258,""),"")</f>
        <v/>
      </c>
      <c r="I225" s="535">
        <f>IFERROR(IF('Invullen groen'!K258&lt;&gt;0,'Invullen groen'!K258,""),"")</f>
        <v/>
      </c>
    </row>
    <row r="226" ht="15" customHeight="1">
      <c r="A226" s="536">
        <f>IFERROR(IF('Invullen groen'!E259&gt;0,222,""),"")</f>
        <v/>
      </c>
      <c r="B226" s="536">
        <f>IFERROR(IF('Invullen groen'!E259&gt;0,'Invullen groen'!A259,""),"")</f>
        <v/>
      </c>
      <c r="C226" s="536">
        <f>IFERROR(IF('Invullen groen'!E259&gt;0,'Invullen groen'!C259,""),"")</f>
        <v/>
      </c>
      <c r="D226" s="536">
        <f>IFERROR(IF('Invullen groen'!E259&gt;0,'Invullen groen'!D259,""),"")</f>
        <v/>
      </c>
      <c r="E226" s="536">
        <f>IFERROR(IF('Invullen groen'!E259&gt;0,'Invullen groen'!G259,""),"")</f>
        <v/>
      </c>
      <c r="F226" s="537">
        <f>IFERROR(IF('Invullen groen'!H259&lt;&gt;0,'Invullen groen'!H259,""),"")</f>
        <v/>
      </c>
      <c r="G226" s="537">
        <f>IFERROR(IF('Invullen groen'!I259&lt;&gt;0,'Invullen groen'!I259,""),"")</f>
        <v/>
      </c>
      <c r="H226" s="537">
        <f>IFERROR(IF('Invullen groen'!J259&lt;&gt;0,'Invullen groen'!J259,""),"")</f>
        <v/>
      </c>
      <c r="I226" s="537">
        <f>IFERROR(IF('Invullen groen'!K259&lt;&gt;0,'Invullen groen'!K259,""),"")</f>
        <v/>
      </c>
    </row>
    <row r="227" ht="15" customHeight="1">
      <c r="A227" s="534">
        <f>IFERROR(IF('Invullen groen'!E260&gt;0,223,""),"")</f>
        <v/>
      </c>
      <c r="B227" s="534">
        <f>IFERROR(IF('Invullen groen'!E260&gt;0,'Invullen groen'!A260,""),"")</f>
        <v/>
      </c>
      <c r="C227" s="534">
        <f>IFERROR(IF('Invullen groen'!E260&gt;0,'Invullen groen'!C260,""),"")</f>
        <v/>
      </c>
      <c r="D227" s="534">
        <f>IFERROR(IF('Invullen groen'!E260&gt;0,'Invullen groen'!D260,""),"")</f>
        <v/>
      </c>
      <c r="E227" s="534">
        <f>IFERROR(IF('Invullen groen'!E260&gt;0,'Invullen groen'!G260,""),"")</f>
        <v/>
      </c>
      <c r="F227" s="535">
        <f>IFERROR(IF('Invullen groen'!H260&lt;&gt;0,'Invullen groen'!H260,""),"")</f>
        <v/>
      </c>
      <c r="G227" s="535">
        <f>IFERROR(IF('Invullen groen'!I260&lt;&gt;0,'Invullen groen'!I260,""),"")</f>
        <v/>
      </c>
      <c r="H227" s="535">
        <f>IFERROR(IF('Invullen groen'!J260&lt;&gt;0,'Invullen groen'!J260,""),"")</f>
        <v/>
      </c>
      <c r="I227" s="535">
        <f>IFERROR(IF('Invullen groen'!K260&lt;&gt;0,'Invullen groen'!K260,""),"")</f>
        <v/>
      </c>
    </row>
    <row r="228" ht="15" customHeight="1">
      <c r="A228" s="536">
        <f>IFERROR(IF('Invullen groen'!E261&gt;0,224,""),"")</f>
        <v/>
      </c>
      <c r="B228" s="536">
        <f>IFERROR(IF('Invullen groen'!E261&gt;0,'Invullen groen'!A261,""),"")</f>
        <v/>
      </c>
      <c r="C228" s="536">
        <f>IFERROR(IF('Invullen groen'!E261&gt;0,'Invullen groen'!C261,""),"")</f>
        <v/>
      </c>
      <c r="D228" s="536">
        <f>IFERROR(IF('Invullen groen'!E261&gt;0,'Invullen groen'!D261,""),"")</f>
        <v/>
      </c>
      <c r="E228" s="536">
        <f>IFERROR(IF('Invullen groen'!E261&gt;0,'Invullen groen'!G261,""),"")</f>
        <v/>
      </c>
      <c r="F228" s="537">
        <f>IFERROR(IF('Invullen groen'!H261&lt;&gt;0,'Invullen groen'!H261,""),"")</f>
        <v/>
      </c>
      <c r="G228" s="537">
        <f>IFERROR(IF('Invullen groen'!I261&lt;&gt;0,'Invullen groen'!I261,""),"")</f>
        <v/>
      </c>
      <c r="H228" s="537">
        <f>IFERROR(IF('Invullen groen'!J261&lt;&gt;0,'Invullen groen'!J261,""),"")</f>
        <v/>
      </c>
      <c r="I228" s="537">
        <f>IFERROR(IF('Invullen groen'!K261&lt;&gt;0,'Invullen groen'!K261,""),"")</f>
        <v/>
      </c>
    </row>
    <row r="229" ht="15" customHeight="1">
      <c r="A229" s="526">
        <f>IFERROR(IF('Invullen groen'!E262&gt;0,225,""),"")</f>
        <v/>
      </c>
      <c r="B229" s="526">
        <f>IFERROR(IF('Invullen groen'!E262&gt;0,'Invullen groen'!A262,""),"")</f>
        <v/>
      </c>
      <c r="C229" s="526">
        <f>IFERROR(IF('Invullen groen'!E262&gt;0,'Invullen groen'!C262,""),"")</f>
        <v/>
      </c>
      <c r="D229" s="526">
        <f>IFERROR(IF('Invullen groen'!E262&gt;0,'Invullen groen'!D262,""),"")</f>
        <v/>
      </c>
      <c r="E229" s="526">
        <f>IFERROR(IF('Invullen groen'!E262&gt;0,'Invullen groen'!G262,""),"")</f>
        <v/>
      </c>
      <c r="F229" s="527">
        <f>IFERROR(IF('Invullen groen'!H262&lt;&gt;0,'Invullen groen'!H262,""),"")</f>
        <v/>
      </c>
      <c r="G229" s="527">
        <f>IFERROR(IF('Invullen groen'!I262&lt;&gt;0,'Invullen groen'!I262,""),"")</f>
        <v/>
      </c>
      <c r="H229" s="527">
        <f>IFERROR(IF('Invullen groen'!J262&lt;&gt;0,'Invullen groen'!J262,""),"")</f>
        <v/>
      </c>
      <c r="I229" s="527">
        <f>IFERROR(IF('Invullen groen'!K262&lt;&gt;0,'Invullen groen'!K262,""),"")</f>
        <v/>
      </c>
    </row>
    <row r="230" ht="15" customHeight="1">
      <c r="A230" s="538">
        <f>IFERROR(IF('Invullen groen'!E263&gt;0,226,""),"")</f>
        <v/>
      </c>
      <c r="B230">
        <f>IFERROR(IF('Invullen groen'!E263&gt;0,'Invullen groen'!A263,""),"")</f>
        <v/>
      </c>
      <c r="C230">
        <f>IFERROR(IF('Invullen groen'!E263&gt;0,'Invullen groen'!C263,""),"")</f>
        <v/>
      </c>
      <c r="D230">
        <f>IFERROR(IF('Invullen groen'!E263&gt;0,'Invullen groen'!D263,""),"")</f>
        <v/>
      </c>
      <c r="E230">
        <f>IFERROR(IF('Invullen groen'!E263&gt;0,'Invullen groen'!G263,""),"")</f>
        <v/>
      </c>
      <c r="F230" s="540">
        <f>IFERROR(IF('Invullen groen'!H263&lt;&gt;0,'Invullen groen'!H263,""),"")</f>
        <v/>
      </c>
      <c r="G230" s="540">
        <f>IFERROR(IF('Invullen groen'!I263&lt;&gt;0,'Invullen groen'!I263,""),"")</f>
        <v/>
      </c>
      <c r="H230" s="540">
        <f>IFERROR(IF('Invullen groen'!J263&lt;&gt;0,'Invullen groen'!J263,""),"")</f>
        <v/>
      </c>
      <c r="I230" s="540">
        <f>IFERROR(IF('Invullen groen'!K263&lt;&gt;0,'Invullen groen'!K263,""),"")</f>
        <v/>
      </c>
    </row>
    <row r="231" ht="15" customHeight="1">
      <c r="A231" s="541">
        <f>IFERROR(IF('Invullen groen'!E264&gt;0,227,""),"")</f>
        <v/>
      </c>
      <c r="B231">
        <f>IFERROR(IF('Invullen groen'!E264&gt;0,'Invullen groen'!A264,""),"")</f>
        <v/>
      </c>
      <c r="C231">
        <f>IFERROR(IF('Invullen groen'!E264&gt;0,'Invullen groen'!C264,""),"")</f>
        <v/>
      </c>
      <c r="D231">
        <f>IFERROR(IF('Invullen groen'!E264&gt;0,'Invullen groen'!D264,""),"")</f>
        <v/>
      </c>
      <c r="E231">
        <f>IFERROR(IF('Invullen groen'!E264&gt;0,'Invullen groen'!G264,""),"")</f>
        <v/>
      </c>
      <c r="F231" s="543">
        <f>IFERROR(IF('Invullen groen'!H264&lt;&gt;0,'Invullen groen'!H264,""),"")</f>
        <v/>
      </c>
      <c r="G231" s="543">
        <f>IFERROR(IF('Invullen groen'!I264&lt;&gt;0,'Invullen groen'!I264,""),"")</f>
        <v/>
      </c>
      <c r="H231" s="543">
        <f>IFERROR(IF('Invullen groen'!J264&lt;&gt;0,'Invullen groen'!J264,""),"")</f>
        <v/>
      </c>
      <c r="I231" s="543">
        <f>IFERROR(IF('Invullen groen'!K264&lt;&gt;0,'Invullen groen'!K264,""),"")</f>
        <v/>
      </c>
    </row>
    <row r="232" ht="15" customHeight="1">
      <c r="A232" s="544">
        <f>IFERROR(IF('Invullen groen'!E265&gt;0,228,""),"")</f>
        <v/>
      </c>
      <c r="B232">
        <f>IFERROR(IF('Invullen groen'!E265&gt;0,'Invullen groen'!A265,""),"")</f>
        <v/>
      </c>
      <c r="C232">
        <f>IFERROR(IF('Invullen groen'!E265&gt;0,'Invullen groen'!C265,""),"")</f>
        <v/>
      </c>
      <c r="D232">
        <f>IFERROR(IF('Invullen groen'!E265&gt;0,'Invullen groen'!D265,""),"")</f>
        <v/>
      </c>
      <c r="E232">
        <f>IFERROR(IF('Invullen groen'!E265&gt;0,'Invullen groen'!G265,""),"")</f>
        <v/>
      </c>
      <c r="F232" s="545">
        <f>IFERROR(IF('Invullen groen'!H265&lt;&gt;0,'Invullen groen'!H265,""),"")</f>
        <v/>
      </c>
      <c r="G232" s="545">
        <f>IFERROR(IF('Invullen groen'!I265&lt;&gt;0,'Invullen groen'!I265,""),"")</f>
        <v/>
      </c>
      <c r="H232" s="545">
        <f>IFERROR(IF('Invullen groen'!J265&lt;&gt;0,'Invullen groen'!J265,""),"")</f>
        <v/>
      </c>
      <c r="I232" s="545">
        <f>IFERROR(IF('Invullen groen'!K265&lt;&gt;0,'Invullen groen'!K265,""),"")</f>
        <v/>
      </c>
    </row>
    <row r="233" ht="15" customHeight="1">
      <c r="A233" s="526">
        <f>IFERROR(IF('Invullen groen'!E266&gt;0,229,""),"")</f>
        <v/>
      </c>
      <c r="B233" s="526">
        <f>IFERROR(IF('Invullen groen'!E266&gt;0,'Invullen groen'!A266,""),"")</f>
        <v/>
      </c>
      <c r="C233" s="526">
        <f>IFERROR(IF('Invullen groen'!E266&gt;0,'Invullen groen'!C266,""),"")</f>
        <v/>
      </c>
      <c r="D233" s="526">
        <f>IFERROR(IF('Invullen groen'!E266&gt;0,'Invullen groen'!D266,""),"")</f>
        <v/>
      </c>
      <c r="E233" s="526">
        <f>IFERROR(IF('Invullen groen'!E266&gt;0,'Invullen groen'!G266,""),"")</f>
        <v/>
      </c>
      <c r="F233" s="527">
        <f>IFERROR(IF('Invullen groen'!H266&lt;&gt;0,'Invullen groen'!H266,""),"")</f>
        <v/>
      </c>
      <c r="G233" s="527">
        <f>IFERROR(IF('Invullen groen'!I266&lt;&gt;0,'Invullen groen'!I266,""),"")</f>
        <v/>
      </c>
      <c r="H233" s="527">
        <f>IFERROR(IF('Invullen groen'!J266&lt;&gt;0,'Invullen groen'!J266,""),"")</f>
        <v/>
      </c>
      <c r="I233" s="527">
        <f>IFERROR(IF('Invullen groen'!K266&lt;&gt;0,'Invullen groen'!K266,""),"")</f>
        <v/>
      </c>
    </row>
    <row r="234" ht="15" customHeight="1">
      <c r="A234" s="508">
        <f>IFERROR(IF('Invullen groen'!E267&gt;0,230,""),"")</f>
        <v/>
      </c>
      <c r="B234">
        <f>IFERROR(IF('Invullen groen'!E267&gt;0,'Invullen groen'!A267,""),"")</f>
        <v/>
      </c>
      <c r="C234">
        <f>IFERROR(IF('Invullen groen'!E267&gt;0,'Invullen groen'!C267,""),"")</f>
        <v/>
      </c>
      <c r="D234">
        <f>IFERROR(IF('Invullen groen'!E267&gt;0,'Invullen groen'!D267,""),"")</f>
        <v/>
      </c>
      <c r="E234">
        <f>IFERROR(IF('Invullen groen'!E267&gt;0,'Invullen groen'!G267,""),"")</f>
        <v/>
      </c>
      <c r="F234">
        <f>IFERROR(IF('Invullen groen'!H267&lt;&gt;0,'Invullen groen'!H267,""),"")</f>
        <v/>
      </c>
      <c r="G234">
        <f>IFERROR(IF('Invullen groen'!I267&lt;&gt;0,'Invullen groen'!I267,""),"")</f>
        <v/>
      </c>
      <c r="H234">
        <f>IFERROR(IF('Invullen groen'!J267&lt;&gt;0,'Invullen groen'!J267,""),"")</f>
        <v/>
      </c>
      <c r="I234">
        <f>IFERROR(IF('Invullen groen'!K267&lt;&gt;0,'Invullen groen'!K267,""),"")</f>
        <v/>
      </c>
    </row>
    <row r="235">
      <c r="A235">
        <f>IFERROR(IF('Invullen groen'!E268&gt;0,231,""),"")</f>
        <v/>
      </c>
      <c r="B235">
        <f>IFERROR(IF('Invullen groen'!E268&gt;0,'Invullen groen'!A268,""),"")</f>
        <v/>
      </c>
      <c r="C235">
        <f>IFERROR(IF('Invullen groen'!E268&gt;0,'Invullen groen'!C268,""),"")</f>
        <v/>
      </c>
      <c r="D235">
        <f>IFERROR(IF('Invullen groen'!E268&gt;0,'Invullen groen'!D268,""),"")</f>
        <v/>
      </c>
      <c r="E235">
        <f>IFERROR(IF('Invullen groen'!E268&gt;0,'Invullen groen'!G268,""),"")</f>
        <v/>
      </c>
      <c r="F235">
        <f>IFERROR(IF('Invullen groen'!H268&lt;&gt;0,'Invullen groen'!H268,""),"")</f>
        <v/>
      </c>
      <c r="G235">
        <f>IFERROR(IF('Invullen groen'!I268&lt;&gt;0,'Invullen groen'!I268,""),"")</f>
        <v/>
      </c>
      <c r="H235">
        <f>IFERROR(IF('Invullen groen'!J268&lt;&gt;0,'Invullen groen'!J268,""),"")</f>
        <v/>
      </c>
      <c r="I235">
        <f>IFERROR(IF('Invullen groen'!K268&lt;&gt;0,'Invullen groen'!K268,""),"")</f>
        <v/>
      </c>
    </row>
    <row r="236">
      <c r="A236">
        <f>IFERROR(IF('Invullen groen'!E269&gt;0,232,""),"")</f>
        <v/>
      </c>
      <c r="B236">
        <f>IFERROR(IF('Invullen groen'!E269&gt;0,'Invullen groen'!A269,""),"")</f>
        <v/>
      </c>
      <c r="C236">
        <f>IFERROR(IF('Invullen groen'!E269&gt;0,'Invullen groen'!C269,""),"")</f>
        <v/>
      </c>
      <c r="D236">
        <f>IFERROR(IF('Invullen groen'!E269&gt;0,'Invullen groen'!D269,""),"")</f>
        <v/>
      </c>
      <c r="E236">
        <f>IFERROR(IF('Invullen groen'!E269&gt;0,'Invullen groen'!G269,""),"")</f>
        <v/>
      </c>
      <c r="F236">
        <f>IFERROR(IF('Invullen groen'!H269&lt;&gt;0,'Invullen groen'!H269,""),"")</f>
        <v/>
      </c>
      <c r="G236">
        <f>IFERROR(IF('Invullen groen'!I269&lt;&gt;0,'Invullen groen'!I269,""),"")</f>
        <v/>
      </c>
      <c r="H236">
        <f>IFERROR(IF('Invullen groen'!J269&lt;&gt;0,'Invullen groen'!J269,""),"")</f>
        <v/>
      </c>
      <c r="I236">
        <f>IFERROR(IF('Invullen groen'!K269&lt;&gt;0,'Invullen groen'!K269,""),"")</f>
        <v/>
      </c>
    </row>
    <row r="237">
      <c r="A237">
        <f>IFERROR(IF('Invullen groen'!E270&gt;0,233,""),"")</f>
        <v/>
      </c>
      <c r="B237">
        <f>IFERROR(IF('Invullen groen'!E270&gt;0,'Invullen groen'!A270,""),"")</f>
        <v/>
      </c>
      <c r="C237">
        <f>IFERROR(IF('Invullen groen'!E270&gt;0,'Invullen groen'!C270,""),"")</f>
        <v/>
      </c>
      <c r="D237">
        <f>IFERROR(IF('Invullen groen'!E270&gt;0,'Invullen groen'!D270,""),"")</f>
        <v/>
      </c>
      <c r="E237">
        <f>IFERROR(IF('Invullen groen'!E270&gt;0,'Invullen groen'!G270,""),"")</f>
        <v/>
      </c>
      <c r="F237">
        <f>IFERROR(IF('Invullen groen'!H270&lt;&gt;0,'Invullen groen'!H270,""),"")</f>
        <v/>
      </c>
      <c r="G237">
        <f>IFERROR(IF('Invullen groen'!I270&lt;&gt;0,'Invullen groen'!I270,""),"")</f>
        <v/>
      </c>
      <c r="H237">
        <f>IFERROR(IF('Invullen groen'!J270&lt;&gt;0,'Invullen groen'!J270,""),"")</f>
        <v/>
      </c>
      <c r="I237">
        <f>IFERROR(IF('Invullen groen'!K270&lt;&gt;0,'Invullen groen'!K270,""),"")</f>
        <v/>
      </c>
    </row>
    <row r="238">
      <c r="A238">
        <f>IFERROR(IF('Invullen groen'!E271&gt;0,234,""),"")</f>
        <v/>
      </c>
      <c r="B238">
        <f>IFERROR(IF('Invullen groen'!E271&gt;0,'Invullen groen'!A271,""),"")</f>
        <v/>
      </c>
      <c r="C238">
        <f>IFERROR(IF('Invullen groen'!E271&gt;0,'Invullen groen'!C271,""),"")</f>
        <v/>
      </c>
      <c r="D238">
        <f>IFERROR(IF('Invullen groen'!E271&gt;0,'Invullen groen'!D271,""),"")</f>
        <v/>
      </c>
      <c r="E238">
        <f>IFERROR(IF('Invullen groen'!E271&gt;0,'Invullen groen'!G271,""),"")</f>
        <v/>
      </c>
      <c r="F238">
        <f>IFERROR(IF('Invullen groen'!H271&lt;&gt;0,'Invullen groen'!H271,""),"")</f>
        <v/>
      </c>
      <c r="G238">
        <f>IFERROR(IF('Invullen groen'!I271&lt;&gt;0,'Invullen groen'!I271,""),"")</f>
        <v/>
      </c>
      <c r="H238">
        <f>IFERROR(IF('Invullen groen'!J271&lt;&gt;0,'Invullen groen'!J271,""),"")</f>
        <v/>
      </c>
      <c r="I238">
        <f>IFERROR(IF('Invullen groen'!K271&lt;&gt;0,'Invullen groen'!K271,""),"")</f>
        <v/>
      </c>
    </row>
    <row r="239">
      <c r="A239">
        <f>IFERROR(IF('Invullen groen'!E272&gt;0,235,""),"")</f>
        <v/>
      </c>
      <c r="B239">
        <f>IFERROR(IF('Invullen groen'!E272&gt;0,'Invullen groen'!A272,""),"")</f>
        <v/>
      </c>
      <c r="C239">
        <f>IFERROR(IF('Invullen groen'!E272&gt;0,'Invullen groen'!C272,""),"")</f>
        <v/>
      </c>
      <c r="D239">
        <f>IFERROR(IF('Invullen groen'!E272&gt;0,'Invullen groen'!D272,""),"")</f>
        <v/>
      </c>
      <c r="E239">
        <f>IFERROR(IF('Invullen groen'!E272&gt;0,'Invullen groen'!G272,""),"")</f>
        <v/>
      </c>
      <c r="F239">
        <f>IFERROR(IF('Invullen groen'!H272&lt;&gt;0,'Invullen groen'!H272,""),"")</f>
        <v/>
      </c>
      <c r="G239">
        <f>IFERROR(IF('Invullen groen'!I272&lt;&gt;0,'Invullen groen'!I272,""),"")</f>
        <v/>
      </c>
      <c r="H239">
        <f>IFERROR(IF('Invullen groen'!J272&lt;&gt;0,'Invullen groen'!J272,""),"")</f>
        <v/>
      </c>
      <c r="I239">
        <f>IFERROR(IF('Invullen groen'!K272&lt;&gt;0,'Invullen groen'!K272,""),"")</f>
        <v/>
      </c>
    </row>
    <row r="240"/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2:F2"/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groen'!H17:L74&gt;0)*'Invullen groen'!H17:L74)</f>
        <v/>
      </c>
      <c r="C5" s="468">
        <f>SUMPRODUCT((LOWER('Invullen groen'!A17:A74)="bestuur en ondersteuning")*('Invullen groen'!H17:L74&lt;0)*'Invullen groen'!H17:L74)</f>
        <v/>
      </c>
      <c r="D5" s="468">
        <f>B5+C5</f>
        <v/>
      </c>
      <c r="E5" s="468">
        <f>SUMPRODUCT((LOWER('Invullen groen'!A17:A74)="bestuur en ondersteuning")*IFERROR('Invullen groen'!I17:M74*1,0))</f>
        <v/>
      </c>
      <c r="F5" s="468">
        <f>SUMPRODUCT((LOWER('Invullen groen'!A17:A74)="bestuur en ondersteuning")*IFERROR('Invullen groen'!J17:N74*1,0))</f>
        <v/>
      </c>
      <c r="G5" s="468">
        <f>SUMPRODUCT((LOWER('Invullen groen'!A17:A74)="bestuur en ondersteuning")*IFERROR('Invullen groen'!K17:O74*1,0))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groen'!H17:L74&gt;0)*'Invullen groen'!H17:L74)</f>
        <v/>
      </c>
      <c r="C6" s="470">
        <f>SUMPRODUCT((LOWER('Invullen groen'!A17:A74)="veiligheid")*('Invullen groen'!H17:L74&lt;0)*'Invullen groen'!H17:L74)</f>
        <v/>
      </c>
      <c r="D6" s="470">
        <f>B6+C6</f>
        <v/>
      </c>
      <c r="E6" s="470">
        <f>SUMPRODUCT((LOWER('Invullen groen'!A17:A74)="veiligheid")*IFERROR('Invullen groen'!I17:M74*1,0))</f>
        <v/>
      </c>
      <c r="F6" s="470">
        <f>SUMPRODUCT((LOWER('Invullen groen'!A17:A74)="veiligheid")*IFERROR('Invullen groen'!J17:N74*1,0))</f>
        <v/>
      </c>
      <c r="G6" s="470">
        <f>SUMPRODUCT((LOWER('Invullen groen'!A17:A74)="veiligheid")*IFERROR('Invullen groen'!K17:O74*1,0))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groen'!H17:L74&gt;0)*'Invullen groen'!H17:L74)</f>
        <v/>
      </c>
      <c r="C7" s="468">
        <f>SUMPRODUCT((LOWER('Invullen groen'!A17:A74)="verkeer, vervoer en waterstaat")*('Invullen groen'!H17:L74&lt;0)*'Invullen groen'!H17:L74)</f>
        <v/>
      </c>
      <c r="D7" s="468">
        <f>B7+C7</f>
        <v/>
      </c>
      <c r="E7" s="468">
        <f>SUMPRODUCT((LOWER('Invullen groen'!A17:A74)="verkeer, vervoer en waterstaat")*IFERROR('Invullen groen'!I17:M74*1,0))</f>
        <v/>
      </c>
      <c r="F7" s="468">
        <f>SUMPRODUCT((LOWER('Invullen groen'!A17:A74)="verkeer, vervoer en waterstaat")*IFERROR('Invullen groen'!J17:N74*1,0))</f>
        <v/>
      </c>
      <c r="G7" s="468">
        <f>SUMPRODUCT((LOWER('Invullen groen'!A17:A74)="verkeer, vervoer en waterstaat")*IFERROR('Invullen groen'!K17:O74*1,0))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groen'!H17:L74&gt;0)*'Invullen groen'!H17:L74)</f>
        <v/>
      </c>
      <c r="C8" s="470">
        <f>SUMPRODUCT((LOWER('Invullen groen'!A17:A74)="economie")*('Invullen groen'!H17:L74&lt;0)*'Invullen groen'!H17:L74)</f>
        <v/>
      </c>
      <c r="D8" s="470">
        <f>B8+C8</f>
        <v/>
      </c>
      <c r="E8" s="470">
        <f>SUMPRODUCT((LOWER('Invullen groen'!A17:A74)="economie")*IFERROR('Invullen groen'!I17:M74*1,0))</f>
        <v/>
      </c>
      <c r="F8" s="470">
        <f>SUMPRODUCT((LOWER('Invullen groen'!A17:A74)="economie")*IFERROR('Invullen groen'!J17:N74*1,0))</f>
        <v/>
      </c>
      <c r="G8" s="470">
        <f>SUMPRODUCT((LOWER('Invullen groen'!A17:A74)="economie")*IFERROR('Invullen groen'!K17:O74*1,0))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groen'!H17:L74&gt;0)*'Invullen groen'!H17:L74)</f>
        <v/>
      </c>
      <c r="C9" s="468">
        <f>SUMPRODUCT((LOWER('Invullen groen'!A17:A74)="onderwijs")*('Invullen groen'!H17:L74&lt;0)*'Invullen groen'!H17:L74)</f>
        <v/>
      </c>
      <c r="D9" s="468">
        <f>B9+C9</f>
        <v/>
      </c>
      <c r="E9" s="468">
        <f>SUMPRODUCT((LOWER('Invullen groen'!A17:A74)="onderwijs")*IFERROR('Invullen groen'!I17:M74*1,0))</f>
        <v/>
      </c>
      <c r="F9" s="468">
        <f>SUMPRODUCT((LOWER('Invullen groen'!A17:A74)="onderwijs")*IFERROR('Invullen groen'!J17:N74*1,0))</f>
        <v/>
      </c>
      <c r="G9" s="468">
        <f>SUMPRODUCT((LOWER('Invullen groen'!A17:A74)="onderwijs")*IFERROR('Invullen groen'!K17:O74*1,0))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groen'!H17:L74&gt;0)*'Invullen groen'!H17:L74)</f>
        <v/>
      </c>
      <c r="C10" s="470">
        <f>SUMPRODUCT((LOWER('Invullen groen'!A17:A74)="sport, cultuur en recreatie")*('Invullen groen'!H17:L74&lt;0)*'Invullen groen'!H17:L74)</f>
        <v/>
      </c>
      <c r="D10" s="470">
        <f>B10+C10</f>
        <v/>
      </c>
      <c r="E10" s="470">
        <f>SUMPRODUCT((LOWER('Invullen groen'!A17:A74)="sport, cultuur en recreatie")*IFERROR('Invullen groen'!I17:M74*1,0))</f>
        <v/>
      </c>
      <c r="F10" s="470">
        <f>SUMPRODUCT((LOWER('Invullen groen'!A17:A74)="sport, cultuur en recreatie")*IFERROR('Invullen groen'!J17:N74*1,0))</f>
        <v/>
      </c>
      <c r="G10" s="470">
        <f>SUMPRODUCT((LOWER('Invullen groen'!A17:A74)="sport, cultuur en recreatie")*IFERROR('Invullen groen'!K17:O74*1,0))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groen'!H17:L74&gt;0)*'Invullen groen'!H17:L74)</f>
        <v/>
      </c>
      <c r="C11" s="468">
        <f>SUMPRODUCT((LOWER('Invullen groen'!A17:A74)="sociaal domein")*('Invullen groen'!H17:L74&lt;0)*'Invullen groen'!H17:L74)</f>
        <v/>
      </c>
      <c r="D11" s="468">
        <f>B11+C11</f>
        <v/>
      </c>
      <c r="E11" s="468">
        <f>SUMPRODUCT((LOWER('Invullen groen'!A17:A74)="sociaal domein")*IFERROR('Invullen groen'!I17:M74*1,0))</f>
        <v/>
      </c>
      <c r="F11" s="468">
        <f>SUMPRODUCT((LOWER('Invullen groen'!A17:A74)="sociaal domein")*IFERROR('Invullen groen'!J17:N74*1,0))</f>
        <v/>
      </c>
      <c r="G11" s="468">
        <f>SUMPRODUCT((LOWER('Invullen groen'!A17:A74)="sociaal domein")*IFERROR('Invullen groen'!K17:O74*1,0))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groen'!H17:L74&gt;0)*'Invullen groen'!H17:L74)</f>
        <v/>
      </c>
      <c r="C12" s="470">
        <f>SUMPRODUCT((LOWER('Invullen groen'!A17:A74)="volksgezondheid en milieu")*('Invullen groen'!H17:L74&lt;0)*'Invullen groen'!H17:L74)</f>
        <v/>
      </c>
      <c r="D12" s="470">
        <f>B12+C12</f>
        <v/>
      </c>
      <c r="E12" s="470">
        <f>SUMPRODUCT((LOWER('Invullen groen'!A17:A74)="volksgezondheid en milieu")*IFERROR('Invullen groen'!I17:M74*1,0))</f>
        <v/>
      </c>
      <c r="F12" s="470">
        <f>SUMPRODUCT((LOWER('Invullen groen'!A17:A74)="volksgezondheid en milieu")*IFERROR('Invullen groen'!J17:N74*1,0))</f>
        <v/>
      </c>
      <c r="G12" s="470">
        <f>SUMPRODUCT((LOWER('Invullen groen'!A17:A74)="volksgezondheid en milieu")*IFERROR('Invullen groen'!K17:O74*1,0))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groen'!H17:L74&gt;0)*'Invullen groen'!H17:L74)</f>
        <v/>
      </c>
      <c r="C13" s="468">
        <f>SUMPRODUCT((LOWER('Invullen groen'!A17:A74)="volkshuisv., ro en stedelijke vernieuwing")*('Invullen groen'!H17:L74&lt;0)*'Invullen groen'!H17:L74)</f>
        <v/>
      </c>
      <c r="D13" s="468">
        <f>B13+C13</f>
        <v/>
      </c>
      <c r="E13" s="468">
        <f>SUMPRODUCT((LOWER('Invullen groen'!A17:A74)="volkshuisv., ro en stedelijke vernieuwing")*IFERROR('Invullen groen'!I17:M74*1,0))</f>
        <v/>
      </c>
      <c r="F13" s="468">
        <f>SUMPRODUCT((LOWER('Invullen groen'!A17:A74)="volkshuisv., ro en stedelijke vernieuwing")*IFERROR('Invullen groen'!J17:N74*1,0))</f>
        <v/>
      </c>
      <c r="G13" s="468">
        <f>SUMPRODUCT((LOWER('Invullen groen'!A17:A74)="volkshuisv., ro en stedelijke vernieuwing")*IFERROR('Invullen groen'!K17:O74*1,0))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2026-06-26T12:14:07Z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