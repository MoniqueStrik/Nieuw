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</fonts>
  <fills count="2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</fills>
  <borders count="28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439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387">
        <f>+'Invullen groen'!A112</f>
        <v/>
      </c>
      <c r="B114" s="388">
        <f>+'Invullen groen'!C114</f>
        <v/>
      </c>
      <c r="C114" s="389">
        <f>+'Invullen groen'!G114</f>
        <v/>
      </c>
      <c r="D114" s="390">
        <f>+'Invullen groen'!I114</f>
        <v/>
      </c>
      <c r="E114" s="391">
        <f>+'Invullen groen'!L112</f>
        <v/>
      </c>
      <c r="F114" s="392">
        <f>+'Invullen groen'!M114</f>
        <v/>
      </c>
      <c r="G114" s="392">
        <f>+'Invullen groen'!N114</f>
        <v/>
      </c>
      <c r="H114" s="392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 s="234">
        <f>IFERROR(IF('Invullen groen'!E91&gt;0,'Invullen groen'!E91,""),"")</f>
        <v/>
      </c>
      <c r="B76" s="234">
        <f>IFERROR(IF('Invullen groen'!H91&gt;0,'Invullen groen'!H91,""),"")</f>
        <v/>
      </c>
      <c r="C76" s="234">
        <f>IFERROR(IF('Invullen groen'!J91&gt;0,'Invullen groen'!J91,""),"")</f>
        <v/>
      </c>
      <c r="E76" s="234">
        <f>IFERROR(IF(LEN(J76)&lt;=36,J76,IFERROR(LEFT(J76,FIND(CHAR(1),SUBSTITUTE(LEFT(J76,36)," ",CHAR(1),LEN(LEFT(J76,36))-LEN(SUBSTITUTE(LEFT(J76,36)," ",""))))-1),LEFT(J76,36))),"")</f>
        <v/>
      </c>
      <c r="F76" s="235">
        <f>IFERROR(IF('Invullen groen'!L91=0,"",INT('Invullen groen'!L91)),"")</f>
        <v/>
      </c>
      <c r="G76" s="235">
        <f>IFERROR(IF('Invullen groen'!M91=0,"",INT('Invullen groen'!M91)),"")</f>
        <v/>
      </c>
      <c r="H76" s="235">
        <f>IFERROR(IF('Invullen groen'!N91=0,"",INT('Invullen groen'!N91)),"")</f>
        <v/>
      </c>
      <c r="I76" s="235">
        <f>IFERROR(IF('Invullen groen'!O91=0,"",INT('Invullen groen'!O91)),"")</f>
        <v/>
      </c>
      <c r="J76" s="234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 s="234">
        <f>IFERROR(IF('Invullen groen'!E92&gt;0,'Invullen groen'!E92,""),"")</f>
        <v/>
      </c>
      <c r="B77" s="234">
        <f>IFERROR(IF('Invullen groen'!H92&gt;0,'Invullen groen'!H92,""),"")</f>
        <v/>
      </c>
      <c r="C77" s="234">
        <f>IFERROR(IF('Invullen groen'!J92&gt;0,'Invullen groen'!J92,""),"")</f>
        <v/>
      </c>
      <c r="E77" s="234">
        <f>IFERROR(IF(LEN(J77)&lt;=36,J77,IFERROR(LEFT(J77,FIND(CHAR(1),SUBSTITUTE(LEFT(J77,36)," ",CHAR(1),LEN(LEFT(J77,36))-LEN(SUBSTITUTE(LEFT(J77,36)," ",""))))-1),LEFT(J77,36))),"")</f>
        <v/>
      </c>
      <c r="F77" s="235">
        <f>IFERROR(IF('Invullen groen'!L92=0,"",INT('Invullen groen'!L92)),"")</f>
        <v/>
      </c>
      <c r="G77" s="235">
        <f>IFERROR(IF('Invullen groen'!M92=0,"",INT('Invullen groen'!M92)),"")</f>
        <v/>
      </c>
      <c r="H77" s="235">
        <f>IFERROR(IF('Invullen groen'!N92=0,"",INT('Invullen groen'!N92)),"")</f>
        <v/>
      </c>
      <c r="I77" s="235">
        <f>IFERROR(IF('Invullen groen'!O92=0,"",INT('Invullen groen'!O92)),"")</f>
        <v/>
      </c>
      <c r="J77" s="234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 s="234">
        <f>IFERROR(IF('Invullen groen'!E93&gt;0,'Invullen groen'!E93,""),"")</f>
        <v/>
      </c>
      <c r="B78" s="234">
        <f>IFERROR(IF('Invullen groen'!H93&gt;0,'Invullen groen'!H93,""),"")</f>
        <v/>
      </c>
      <c r="C78" s="234">
        <f>IFERROR(IF('Invullen groen'!J93&gt;0,'Invullen groen'!J93,""),"")</f>
        <v/>
      </c>
      <c r="E78" s="234">
        <f>IFERROR(IF(LEN(J78)&lt;=36,J78,IFERROR(LEFT(J78,FIND(CHAR(1),SUBSTITUTE(LEFT(J78,36)," ",CHAR(1),LEN(LEFT(J78,36))-LEN(SUBSTITUTE(LEFT(J78,36)," ",""))))-1),LEFT(J78,36))),"")</f>
        <v/>
      </c>
      <c r="F78" s="235">
        <f>IFERROR(IF('Invullen groen'!L93=0,"",INT('Invullen groen'!L93)),"")</f>
        <v/>
      </c>
      <c r="G78" s="235">
        <f>IFERROR(IF('Invullen groen'!M93=0,"",INT('Invullen groen'!M93)),"")</f>
        <v/>
      </c>
      <c r="H78" s="235">
        <f>IFERROR(IF('Invullen groen'!N93=0,"",INT('Invullen groen'!N93)),"")</f>
        <v/>
      </c>
      <c r="I78" s="235">
        <f>IFERROR(IF('Invullen groen'!O93=0,"",INT('Invullen groen'!O93)),"")</f>
        <v/>
      </c>
      <c r="J78" s="234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 s="234">
        <f>IFERROR(IF('Invullen groen'!E94&gt;0,'Invullen groen'!E94,""),"")</f>
        <v/>
      </c>
      <c r="B79" s="234">
        <f>IFERROR(IF('Invullen groen'!H94&gt;0,'Invullen groen'!H94,""),"")</f>
        <v/>
      </c>
      <c r="C79" s="234">
        <f>IFERROR(IF('Invullen groen'!J94&gt;0,'Invullen groen'!J94,""),"")</f>
        <v/>
      </c>
      <c r="E79" s="234">
        <f>IFERROR(IF(LEN(J79)&lt;=36,J79,IFERROR(LEFT(J79,FIND(CHAR(1),SUBSTITUTE(LEFT(J79,36)," ",CHAR(1),LEN(LEFT(J79,36))-LEN(SUBSTITUTE(LEFT(J79,36)," ",""))))-1),LEFT(J79,36))),"")</f>
        <v/>
      </c>
      <c r="F79" s="235">
        <f>IFERROR(IF('Invullen groen'!L94=0,"",INT('Invullen groen'!L94)),"")</f>
        <v/>
      </c>
      <c r="G79" s="235">
        <f>IFERROR(IF('Invullen groen'!M94=0,"",INT('Invullen groen'!M94)),"")</f>
        <v/>
      </c>
      <c r="H79" s="235">
        <f>IFERROR(IF('Invullen groen'!N94=0,"",INT('Invullen groen'!N94)),"")</f>
        <v/>
      </c>
      <c r="I79" s="235">
        <f>IFERROR(IF('Invullen groen'!O94=0,"",INT('Invullen groen'!O94)),"")</f>
        <v/>
      </c>
      <c r="J79" s="234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 s="234">
        <f>IFERROR(IF('Invullen groen'!E95&gt;0,'Invullen groen'!E95,""),"")</f>
        <v/>
      </c>
      <c r="B80" s="234">
        <f>IFERROR(IF('Invullen groen'!H95&gt;0,'Invullen groen'!H95,""),"")</f>
        <v/>
      </c>
      <c r="C80" s="234">
        <f>IFERROR(IF('Invullen groen'!J95&gt;0,'Invullen groen'!J95,""),"")</f>
        <v/>
      </c>
      <c r="E80" s="234">
        <f>IFERROR(IF(LEN(J80)&lt;=36,J80,IFERROR(LEFT(J80,FIND(CHAR(1),SUBSTITUTE(LEFT(J80,36)," ",CHAR(1),LEN(LEFT(J80,36))-LEN(SUBSTITUTE(LEFT(J80,36)," ",""))))-1),LEFT(J80,36))),"")</f>
        <v/>
      </c>
      <c r="F80" s="235">
        <f>IFERROR(IF('Invullen groen'!L95=0,"",INT('Invullen groen'!L95)),"")</f>
        <v/>
      </c>
      <c r="G80" s="235">
        <f>IFERROR(IF('Invullen groen'!M95=0,"",INT('Invullen groen'!M95)),"")</f>
        <v/>
      </c>
      <c r="H80" s="235">
        <f>IFERROR(IF('Invullen groen'!N95=0,"",INT('Invullen groen'!N95)),"")</f>
        <v/>
      </c>
      <c r="I80" s="235">
        <f>IFERROR(IF('Invullen groen'!O95=0,"",INT('Invullen groen'!O95)),"")</f>
        <v/>
      </c>
      <c r="J80" s="234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 s="234">
        <f>IFERROR(IF('Invullen groen'!E96&gt;0,'Invullen groen'!E96,""),"")</f>
        <v/>
      </c>
      <c r="B81" s="234">
        <f>IFERROR(IF('Invullen groen'!H96&gt;0,'Invullen groen'!H96,""),"")</f>
        <v/>
      </c>
      <c r="C81" s="234">
        <f>IFERROR(IF('Invullen groen'!J96&gt;0,'Invullen groen'!J96,""),"")</f>
        <v/>
      </c>
      <c r="E81" s="234">
        <f>IFERROR(IF(LEN(J81)&lt;=36,J81,IFERROR(LEFT(J81,FIND(CHAR(1),SUBSTITUTE(LEFT(J81,36)," ",CHAR(1),LEN(LEFT(J81,36))-LEN(SUBSTITUTE(LEFT(J81,36)," ",""))))-1),LEFT(J81,36))),"")</f>
        <v/>
      </c>
      <c r="F81" s="235">
        <f>IFERROR(IF('Invullen groen'!L96=0,"",INT('Invullen groen'!L96)),"")</f>
        <v/>
      </c>
      <c r="G81" s="235">
        <f>IFERROR(IF('Invullen groen'!M96=0,"",INT('Invullen groen'!M96)),"")</f>
        <v/>
      </c>
      <c r="H81" s="235">
        <f>IFERROR(IF('Invullen groen'!N96=0,"",INT('Invullen groen'!N96)),"")</f>
        <v/>
      </c>
      <c r="I81" s="235">
        <f>IFERROR(IF('Invullen groen'!O96=0,"",INT('Invullen groen'!O96)),"")</f>
        <v/>
      </c>
      <c r="J81" s="234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 s="234">
        <f>IFERROR(IF('Invullen groen'!E97&gt;0,'Invullen groen'!E97,""),"")</f>
        <v/>
      </c>
      <c r="B82" s="234">
        <f>IFERROR(IF('Invullen groen'!H97&gt;0,'Invullen groen'!H97,""),"")</f>
        <v/>
      </c>
      <c r="C82" s="234">
        <f>IFERROR(IF('Invullen groen'!J97&gt;0,'Invullen groen'!J97,""),"")</f>
        <v/>
      </c>
      <c r="E82" s="234">
        <f>IFERROR(IF(LEN(J82)&lt;=36,J82,IFERROR(LEFT(J82,FIND(CHAR(1),SUBSTITUTE(LEFT(J82,36)," ",CHAR(1),LEN(LEFT(J82,36))-LEN(SUBSTITUTE(LEFT(J82,36)," ",""))))-1),LEFT(J82,36))),"")</f>
        <v/>
      </c>
      <c r="F82" s="235">
        <f>IFERROR(IF('Invullen groen'!L97=0,"",INT('Invullen groen'!L97)),"")</f>
        <v/>
      </c>
      <c r="G82" s="235">
        <f>IFERROR(IF('Invullen groen'!M97=0,"",INT('Invullen groen'!M97)),"")</f>
        <v/>
      </c>
      <c r="H82" s="235">
        <f>IFERROR(IF('Invullen groen'!N97=0,"",INT('Invullen groen'!N97)),"")</f>
        <v/>
      </c>
      <c r="I82" s="235">
        <f>IFERROR(IF('Invullen groen'!O97=0,"",INT('Invullen groen'!O97)),"")</f>
        <v/>
      </c>
      <c r="J82" s="234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 s="234">
        <f>IFERROR(IF('Invullen groen'!E98&gt;0,'Invullen groen'!E98,""),"")</f>
        <v/>
      </c>
      <c r="B83" s="234">
        <f>IFERROR(IF('Invullen groen'!H98&gt;0,'Invullen groen'!H98,""),"")</f>
        <v/>
      </c>
      <c r="C83" s="234">
        <f>IFERROR(IF('Invullen groen'!J98&gt;0,'Invullen groen'!J98,""),"")</f>
        <v/>
      </c>
      <c r="E83" s="234">
        <f>IFERROR(IF(LEN(J83)&lt;=36,J83,IFERROR(LEFT(J83,FIND(CHAR(1),SUBSTITUTE(LEFT(J83,36)," ",CHAR(1),LEN(LEFT(J83,36))-LEN(SUBSTITUTE(LEFT(J83,36)," ",""))))-1),LEFT(J83,36))),"")</f>
        <v/>
      </c>
      <c r="F83" s="235">
        <f>IFERROR(IF('Invullen groen'!L98=0,"",INT('Invullen groen'!L98)),"")</f>
        <v/>
      </c>
      <c r="G83" s="235">
        <f>IFERROR(IF('Invullen groen'!M98=0,"",INT('Invullen groen'!M98)),"")</f>
        <v/>
      </c>
      <c r="H83" s="235">
        <f>IFERROR(IF('Invullen groen'!N98=0,"",INT('Invullen groen'!N98)),"")</f>
        <v/>
      </c>
      <c r="I83" s="235">
        <f>IFERROR(IF('Invullen groen'!O98=0,"",INT('Invullen groen'!O98)),"")</f>
        <v/>
      </c>
      <c r="J83" s="234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 s="234">
        <f>IFERROR(IF('Invullen groen'!E99&gt;0,'Invullen groen'!E99,""),"")</f>
        <v/>
      </c>
      <c r="B84" s="234">
        <f>IFERROR(IF('Invullen groen'!H99&gt;0,'Invullen groen'!H99,""),"")</f>
        <v/>
      </c>
      <c r="C84" s="234">
        <f>IFERROR(IF('Invullen groen'!J99&gt;0,'Invullen groen'!J99,""),"")</f>
        <v/>
      </c>
      <c r="E84" s="234">
        <f>IFERROR(IF(LEN(J84)&lt;=36,J84,IFERROR(LEFT(J84,FIND(CHAR(1),SUBSTITUTE(LEFT(J84,36)," ",CHAR(1),LEN(LEFT(J84,36))-LEN(SUBSTITUTE(LEFT(J84,36)," ",""))))-1),LEFT(J84,36))),"")</f>
        <v/>
      </c>
      <c r="F84" s="235">
        <f>IFERROR(IF('Invullen groen'!L99=0,"",INT('Invullen groen'!L99)),"")</f>
        <v/>
      </c>
      <c r="G84" s="235">
        <f>IFERROR(IF('Invullen groen'!M99=0,"",INT('Invullen groen'!M99)),"")</f>
        <v/>
      </c>
      <c r="H84" s="235">
        <f>IFERROR(IF('Invullen groen'!N99=0,"",INT('Invullen groen'!N99)),"")</f>
        <v/>
      </c>
      <c r="I84" s="235">
        <f>IFERROR(IF('Invullen groen'!O99=0,"",INT('Invullen groen'!O99)),"")</f>
        <v/>
      </c>
      <c r="J84" s="23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 s="234">
        <f>IFERROR(IF('Invullen groen'!E100&gt;0,'Invullen groen'!E100,""),"")</f>
        <v/>
      </c>
      <c r="B85" s="234">
        <f>IFERROR(IF('Invullen groen'!H100&gt;0,'Invullen groen'!H100,""),"")</f>
        <v/>
      </c>
      <c r="C85" s="234">
        <f>IFERROR(IF('Invullen groen'!J100&gt;0,'Invullen groen'!J100,""),"")</f>
        <v/>
      </c>
      <c r="E85" s="234">
        <f>IFERROR(IF(LEN(J85)&lt;=36,J85,IFERROR(LEFT(J85,FIND(CHAR(1),SUBSTITUTE(LEFT(J85,36)," ",CHAR(1),LEN(LEFT(J85,36))-LEN(SUBSTITUTE(LEFT(J85,36)," ",""))))-1),LEFT(J85,36))),"")</f>
        <v/>
      </c>
      <c r="F85" s="235">
        <f>IFERROR(IF('Invullen groen'!L100=0,"",INT('Invullen groen'!L100)),"")</f>
        <v/>
      </c>
      <c r="G85" s="235">
        <f>IFERROR(IF('Invullen groen'!M100=0,"",INT('Invullen groen'!M100)),"")</f>
        <v/>
      </c>
      <c r="H85" s="235">
        <f>IFERROR(IF('Invullen groen'!N100=0,"",INT('Invullen groen'!N100)),"")</f>
        <v/>
      </c>
      <c r="I85" s="235">
        <f>IFERROR(IF('Invullen groen'!O100=0,"",INT('Invullen groen'!O100)),"")</f>
        <v/>
      </c>
      <c r="J85" s="234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 s="234">
        <f>IFERROR(IF('Invullen groen'!E101&gt;0,'Invullen groen'!E101,""),"")</f>
        <v/>
      </c>
      <c r="B86" s="234">
        <f>IFERROR(IF('Invullen groen'!H101&gt;0,'Invullen groen'!H101,""),"")</f>
        <v/>
      </c>
      <c r="C86" s="234">
        <f>IFERROR(IF('Invullen groen'!J101&gt;0,'Invullen groen'!J101,""),"")</f>
        <v/>
      </c>
      <c r="E86" s="234">
        <f>IFERROR(IF(LEN(J86)&lt;=36,J86,IFERROR(LEFT(J86,FIND(CHAR(1),SUBSTITUTE(LEFT(J86,36)," ",CHAR(1),LEN(LEFT(J86,36))-LEN(SUBSTITUTE(LEFT(J86,36)," ",""))))-1),LEFT(J86,36))),"")</f>
        <v/>
      </c>
      <c r="F86" s="235">
        <f>IFERROR(IF('Invullen groen'!L101=0,"",INT('Invullen groen'!L101)),"")</f>
        <v/>
      </c>
      <c r="G86" s="235">
        <f>IFERROR(IF('Invullen groen'!M101=0,"",INT('Invullen groen'!M101)),"")</f>
        <v/>
      </c>
      <c r="H86" s="235">
        <f>IFERROR(IF('Invullen groen'!N101=0,"",INT('Invullen groen'!N101)),"")</f>
        <v/>
      </c>
      <c r="I86" s="235">
        <f>IFERROR(IF('Invullen groen'!O101=0,"",INT('Invullen groen'!O101)),"")</f>
        <v/>
      </c>
      <c r="J86" s="234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 s="234">
        <f>IFERROR(IF('Invullen groen'!E102&gt;0,'Invullen groen'!E102,""),"")</f>
        <v/>
      </c>
      <c r="B87" s="234">
        <f>IFERROR(IF('Invullen groen'!H102&gt;0,'Invullen groen'!H102,""),"")</f>
        <v/>
      </c>
      <c r="C87" s="234">
        <f>IFERROR(IF('Invullen groen'!J102&gt;0,'Invullen groen'!J102,""),"")</f>
        <v/>
      </c>
      <c r="E87" s="234">
        <f>IFERROR(IF(LEN(J87)&lt;=36,J87,IFERROR(LEFT(J87,FIND(CHAR(1),SUBSTITUTE(LEFT(J87,36)," ",CHAR(1),LEN(LEFT(J87,36))-LEN(SUBSTITUTE(LEFT(J87,36)," ",""))))-1),LEFT(J87,36))),"")</f>
        <v/>
      </c>
      <c r="F87" s="235">
        <f>IFERROR(IF('Invullen groen'!L102=0,"",INT('Invullen groen'!L102)),"")</f>
        <v/>
      </c>
      <c r="G87" s="235">
        <f>IFERROR(IF('Invullen groen'!M102=0,"",INT('Invullen groen'!M102)),"")</f>
        <v/>
      </c>
      <c r="H87" s="235">
        <f>IFERROR(IF('Invullen groen'!N102=0,"",INT('Invullen groen'!N102)),"")</f>
        <v/>
      </c>
      <c r="I87" s="235">
        <f>IFERROR(IF('Invullen groen'!O102=0,"",INT('Invullen groen'!O102)),"")</f>
        <v/>
      </c>
      <c r="J87" s="234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 s="234">
        <f>IFERROR(IF('Invullen groen'!E103&gt;0,'Invullen groen'!E103,""),"")</f>
        <v/>
      </c>
      <c r="B88" s="234">
        <f>IFERROR(IF('Invullen groen'!H103&gt;0,'Invullen groen'!H103,""),"")</f>
        <v/>
      </c>
      <c r="C88" s="234">
        <f>IFERROR(IF('Invullen groen'!J103&gt;0,'Invullen groen'!J103,""),"")</f>
        <v/>
      </c>
      <c r="E88" s="234">
        <f>IFERROR(IF(LEN(J88)&lt;=36,J88,IFERROR(LEFT(J88,FIND(CHAR(1),SUBSTITUTE(LEFT(J88,36)," ",CHAR(1),LEN(LEFT(J88,36))-LEN(SUBSTITUTE(LEFT(J88,36)," ",""))))-1),LEFT(J88,36))),"")</f>
        <v/>
      </c>
      <c r="F88" s="235">
        <f>IFERROR(IF('Invullen groen'!L103=0,"",INT('Invullen groen'!L103)),"")</f>
        <v/>
      </c>
      <c r="G88" s="235">
        <f>IFERROR(IF('Invullen groen'!M103=0,"",INT('Invullen groen'!M103)),"")</f>
        <v/>
      </c>
      <c r="H88" s="235">
        <f>IFERROR(IF('Invullen groen'!N103=0,"",INT('Invullen groen'!N103)),"")</f>
        <v/>
      </c>
      <c r="I88" s="235">
        <f>IFERROR(IF('Invullen groen'!O103=0,"",INT('Invullen groen'!O103)),"")</f>
        <v/>
      </c>
      <c r="J88" s="234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 s="234">
        <f>IFERROR(IF('Invullen groen'!E104&gt;0,'Invullen groen'!E104,""),"")</f>
        <v/>
      </c>
      <c r="B89" s="234">
        <f>IFERROR(IF('Invullen groen'!H104&gt;0,'Invullen groen'!H104,""),"")</f>
        <v/>
      </c>
      <c r="C89" s="234">
        <f>IFERROR(IF('Invullen groen'!J104&gt;0,'Invullen groen'!J104,""),"")</f>
        <v/>
      </c>
      <c r="E89" s="234">
        <f>IFERROR(IF(LEN(J89)&lt;=36,J89,IFERROR(LEFT(J89,FIND(CHAR(1),SUBSTITUTE(LEFT(J89,36)," ",CHAR(1),LEN(LEFT(J89,36))-LEN(SUBSTITUTE(LEFT(J89,36)," ",""))))-1),LEFT(J89,36))),"")</f>
        <v/>
      </c>
      <c r="F89" s="235">
        <f>IFERROR(IF('Invullen groen'!L104=0,"",INT('Invullen groen'!L104)),"")</f>
        <v/>
      </c>
      <c r="G89" s="235">
        <f>IFERROR(IF('Invullen groen'!M104=0,"",INT('Invullen groen'!M104)),"")</f>
        <v/>
      </c>
      <c r="H89" s="235">
        <f>IFERROR(IF('Invullen groen'!N104=0,"",INT('Invullen groen'!N104)),"")</f>
        <v/>
      </c>
      <c r="I89" s="235">
        <f>IFERROR(IF('Invullen groen'!O104=0,"",INT('Invullen groen'!O104)),"")</f>
        <v/>
      </c>
      <c r="J89" s="234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 s="234">
        <f>IFERROR(IF('Invullen groen'!E105&gt;0,'Invullen groen'!E105,""),"")</f>
        <v/>
      </c>
      <c r="B90" s="234">
        <f>IFERROR(IF('Invullen groen'!H105&gt;0,'Invullen groen'!H105,""),"")</f>
        <v/>
      </c>
      <c r="C90" s="234">
        <f>IFERROR(IF('Invullen groen'!J105&gt;0,'Invullen groen'!J105,""),"")</f>
        <v/>
      </c>
      <c r="E90" s="234">
        <f>IFERROR(IF(LEN(J90)&lt;=36,J90,IFERROR(LEFT(J90,FIND(CHAR(1),SUBSTITUTE(LEFT(J90,36)," ",CHAR(1),LEN(LEFT(J90,36))-LEN(SUBSTITUTE(LEFT(J90,36)," ",""))))-1),LEFT(J90,36))),"")</f>
        <v/>
      </c>
      <c r="F90" s="235">
        <f>IFERROR(IF('Invullen groen'!L105=0,"",INT('Invullen groen'!L105)),"")</f>
        <v/>
      </c>
      <c r="G90" s="235">
        <f>IFERROR(IF('Invullen groen'!M105=0,"",INT('Invullen groen'!M105)),"")</f>
        <v/>
      </c>
      <c r="H90" s="235">
        <f>IFERROR(IF('Invullen groen'!N105=0,"",INT('Invullen groen'!N105)),"")</f>
        <v/>
      </c>
      <c r="I90" s="235">
        <f>IFERROR(IF('Invullen groen'!O105=0,"",INT('Invullen groen'!O105)),"")</f>
        <v/>
      </c>
      <c r="J90" s="234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 s="234">
        <f>IFERROR(IF('Invullen groen'!E106&gt;0,'Invullen groen'!E106,""),"")</f>
        <v/>
      </c>
      <c r="B91" s="234">
        <f>IFERROR(IF('Invullen groen'!H106&gt;0,'Invullen groen'!H106,""),"")</f>
        <v/>
      </c>
      <c r="C91" s="234">
        <f>IFERROR(IF('Invullen groen'!J106&gt;0,'Invullen groen'!J106,""),"")</f>
        <v/>
      </c>
      <c r="E91" s="234">
        <f>IFERROR(IF(LEN(J91)&lt;=36,J91,IFERROR(LEFT(J91,FIND(CHAR(1),SUBSTITUTE(LEFT(J91,36)," ",CHAR(1),LEN(LEFT(J91,36))-LEN(SUBSTITUTE(LEFT(J91,36)," ",""))))-1),LEFT(J91,36))),"")</f>
        <v/>
      </c>
      <c r="F91" s="235">
        <f>IFERROR(IF('Invullen groen'!L106=0,"",INT('Invullen groen'!L106)),"")</f>
        <v/>
      </c>
      <c r="G91" s="235">
        <f>IFERROR(IF('Invullen groen'!M106=0,"",INT('Invullen groen'!M106)),"")</f>
        <v/>
      </c>
      <c r="H91" s="235">
        <f>IFERROR(IF('Invullen groen'!N106=0,"",INT('Invullen groen'!N106)),"")</f>
        <v/>
      </c>
      <c r="I91" s="235">
        <f>IFERROR(IF('Invullen groen'!O106=0,"",INT('Invullen groen'!O106)),"")</f>
        <v/>
      </c>
      <c r="J91" s="234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 s="234">
        <f>IFERROR(IF('Invullen groen'!E107&gt;0,'Invullen groen'!E107,""),"")</f>
        <v/>
      </c>
      <c r="B92" s="234">
        <f>IFERROR(IF('Invullen groen'!H107&gt;0,'Invullen groen'!H107,""),"")</f>
        <v/>
      </c>
      <c r="C92" s="234">
        <f>IFERROR(IF('Invullen groen'!J107&gt;0,'Invullen groen'!J107,""),"")</f>
        <v/>
      </c>
      <c r="E92" s="234">
        <f>IFERROR(IF(LEN(J92)&lt;=36,J92,IFERROR(LEFT(J92,FIND(CHAR(1),SUBSTITUTE(LEFT(J92,36)," ",CHAR(1),LEN(LEFT(J92,36))-LEN(SUBSTITUTE(LEFT(J92,36)," ",""))))-1),LEFT(J92,36))),"")</f>
        <v/>
      </c>
      <c r="F92" s="235">
        <f>IFERROR(IF('Invullen groen'!L107=0,"",INT('Invullen groen'!L107)),"")</f>
        <v/>
      </c>
      <c r="G92" s="235">
        <f>IFERROR(IF('Invullen groen'!M107=0,"",INT('Invullen groen'!M107)),"")</f>
        <v/>
      </c>
      <c r="H92" s="235">
        <f>IFERROR(IF('Invullen groen'!N107=0,"",INT('Invullen groen'!N107)),"")</f>
        <v/>
      </c>
      <c r="I92" s="235">
        <f>IFERROR(IF('Invullen groen'!O107=0,"",INT('Invullen groen'!O107)),"")</f>
        <v/>
      </c>
      <c r="J92" s="234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 s="234">
        <f>IFERROR(IF('Invullen groen'!E108&gt;0,'Invullen groen'!E108,""),"")</f>
        <v/>
      </c>
      <c r="B93" s="234">
        <f>IFERROR(IF('Invullen groen'!H108&gt;0,'Invullen groen'!H108,""),"")</f>
        <v/>
      </c>
      <c r="C93" s="234">
        <f>IFERROR(IF('Invullen groen'!J108&gt;0,'Invullen groen'!J108,""),"")</f>
        <v/>
      </c>
      <c r="E93" s="234">
        <f>IFERROR(IF(LEN(J93)&lt;=36,J93,IFERROR(LEFT(J93,FIND(CHAR(1),SUBSTITUTE(LEFT(J93,36)," ",CHAR(1),LEN(LEFT(J93,36))-LEN(SUBSTITUTE(LEFT(J93,36)," ",""))))-1),LEFT(J93,36))),"")</f>
        <v/>
      </c>
      <c r="F93" s="235">
        <f>IFERROR(IF('Invullen groen'!L108=0,"",INT('Invullen groen'!L108)),"")</f>
        <v/>
      </c>
      <c r="G93" s="235">
        <f>IFERROR(IF('Invullen groen'!M108=0,"",INT('Invullen groen'!M108)),"")</f>
        <v/>
      </c>
      <c r="H93" s="235">
        <f>IFERROR(IF('Invullen groen'!N108=0,"",INT('Invullen groen'!N108)),"")</f>
        <v/>
      </c>
      <c r="I93" s="235">
        <f>IFERROR(IF('Invullen groen'!O108=0,"",INT('Invullen groen'!O108)),"")</f>
        <v/>
      </c>
      <c r="J93" s="234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 s="234">
        <f>IFERROR(IF('Invullen groen'!E109&gt;0,'Invullen groen'!E109,""),"")</f>
        <v/>
      </c>
      <c r="B94" s="234">
        <f>IFERROR(IF('Invullen groen'!H109&gt;0,'Invullen groen'!H109,""),"")</f>
        <v/>
      </c>
      <c r="C94" s="234">
        <f>IFERROR(IF('Invullen groen'!J109&gt;0,'Invullen groen'!J109,""),"")</f>
        <v/>
      </c>
      <c r="E94" s="234">
        <f>IFERROR(IF(LEN(J94)&lt;=36,J94,IFERROR(LEFT(J94,FIND(CHAR(1),SUBSTITUTE(LEFT(J94,36)," ",CHAR(1),LEN(LEFT(J94,36))-LEN(SUBSTITUTE(LEFT(J94,36)," ",""))))-1),LEFT(J94,36))),"")</f>
        <v/>
      </c>
      <c r="F94" s="235">
        <f>IFERROR(IF('Invullen groen'!L109=0,"",INT('Invullen groen'!L109)),"")</f>
        <v/>
      </c>
      <c r="G94" s="235">
        <f>IFERROR(IF('Invullen groen'!M109=0,"",INT('Invullen groen'!M109)),"")</f>
        <v/>
      </c>
      <c r="H94" s="235">
        <f>IFERROR(IF('Invullen groen'!N109=0,"",INT('Invullen groen'!N109)),"")</f>
        <v/>
      </c>
      <c r="I94" s="235">
        <f>IFERROR(IF('Invullen groen'!O109=0,"",INT('Invullen groen'!O109)),"")</f>
        <v/>
      </c>
      <c r="J94" s="23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 t="n"/>
      <c r="F95" s="236" t="n"/>
      <c r="G95" s="236" t="n"/>
      <c r="H95" s="236" t="n"/>
      <c r="I95" s="23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  <row r="242"/>
    <row r="243"/>
    <row r="244"/>
    <row r="245"/>
    <row r="246"/>
    <row r="247"/>
    <row r="248"/>
    <row r="249"/>
    <row r="25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IFERROR(SUMPRODUCT((IFERROR(VLOOKUP('Invullen groen'!E17:E74,Tabellen!A:D,4,0),"")="bestuur en ondersteuning")*('Invullen groen'!L17:L74&gt;0)*'Invullen groen'!L17:L74),0)</f>
        <v/>
      </c>
      <c r="C5" s="364">
        <f>IFERROR(SUMPRODUCT((IFERROR(VLOOKUP('Invullen groen'!E17:E74,Tabellen!A:D,4,0),"")="bestuur en ondersteuning")*('Invullen groen'!L17:L74&lt;0)*'Invullen groen'!L17:L74),0)</f>
        <v/>
      </c>
      <c r="D5" s="371">
        <f>B5+C5</f>
        <v/>
      </c>
      <c r="E5" s="364">
        <f>IFERROR(SUMPRODUCT((IFERROR(VLOOKUP('Invullen groen'!E17:E74,Tabellen!A:D,4,0),"")="bestuur en ondersteuning")*IFERROR('Invullen groen'!M17:M74*1,0)),0)</f>
        <v/>
      </c>
      <c r="F5" s="364">
        <f>IFERROR(SUMPRODUCT((IFERROR(VLOOKUP('Invullen groen'!E17:E74,Tabellen!A:D,4,0),"")="bestuur en ondersteuning")*IFERROR('Invullen groen'!N17:N74*1,0)),0)</f>
        <v/>
      </c>
      <c r="G5" s="364">
        <f>IFERROR(SUMPRODUCT((IFERROR(VLOOKUP('Invullen groen'!E17:E74,Tabellen!A:D,4,0),"")="bestuur en ondersteuning")*IFERROR('Invullen groen'!O17:O74*1,0)),0)</f>
        <v/>
      </c>
    </row>
    <row r="6" ht="14" customHeight="1">
      <c r="A6" s="287" t="inlineStr">
        <is>
          <t>Veiligheid</t>
        </is>
      </c>
      <c r="B6" s="364">
        <f>IFERROR(SUMPRODUCT((IFERROR(VLOOKUP('Invullen groen'!E17:E74,Tabellen!A:D,4,0),"")="veiligheid")*('Invullen groen'!L17:L74&gt;0)*'Invullen groen'!L17:L74),0)</f>
        <v/>
      </c>
      <c r="C6" s="364">
        <f>IFERROR(SUMPRODUCT((IFERROR(VLOOKUP('Invullen groen'!E17:E74,Tabellen!A:D,4,0),"")="veiligheid")*('Invullen groen'!L17:L74&lt;0)*'Invullen groen'!L17:L74),0)</f>
        <v/>
      </c>
      <c r="D6" s="371">
        <f>B6+C6</f>
        <v/>
      </c>
      <c r="E6" s="364">
        <f>IFERROR(SUMPRODUCT((IFERROR(VLOOKUP('Invullen groen'!E17:E74,Tabellen!A:D,4,0),"")="veiligheid")*IFERROR('Invullen groen'!M17:M74*1,0)),0)</f>
        <v/>
      </c>
      <c r="F6" s="364">
        <f>IFERROR(SUMPRODUCT((IFERROR(VLOOKUP('Invullen groen'!E17:E74,Tabellen!A:D,4,0),"")="veiligheid")*IFERROR('Invullen groen'!N17:N74*1,0)),0)</f>
        <v/>
      </c>
      <c r="G6" s="364">
        <f>IFERROR(SUMPRODUCT((IFERROR(VLOOKUP('Invullen groen'!E17:E74,Tabellen!A:D,4,0),"")="veiligheid")*IFERROR('Invullen groen'!O17:O74*1,0)),0)</f>
        <v/>
      </c>
    </row>
    <row r="7" ht="14" customHeight="1">
      <c r="A7" s="287" t="inlineStr">
        <is>
          <t>Verkeer, Vervoer En Waterstaat</t>
        </is>
      </c>
      <c r="B7" s="364">
        <f>IFERROR(SUMPRODUCT((IFERROR(VLOOKUP('Invullen groen'!E17:E74,Tabellen!A:D,4,0),"")="verkeer, vervoer en waterstaat")*('Invullen groen'!L17:L74&gt;0)*'Invullen groen'!L17:L74),0)</f>
        <v/>
      </c>
      <c r="C7" s="364">
        <f>IFERROR(SUMPRODUCT((IFERROR(VLOOKUP('Invullen groen'!E17:E74,Tabellen!A:D,4,0),"")="verkeer, vervoer en waterstaat")*('Invullen groen'!L17:L74&lt;0)*'Invullen groen'!L17:L74),0)</f>
        <v/>
      </c>
      <c r="D7" s="371">
        <f>B7+C7</f>
        <v/>
      </c>
      <c r="E7" s="364">
        <f>IFERROR(SUMPRODUCT((IFERROR(VLOOKUP('Invullen groen'!E17:E74,Tabellen!A:D,4,0),"")="verkeer, vervoer en waterstaat")*IFERROR('Invullen groen'!M17:M74*1,0)),0)</f>
        <v/>
      </c>
      <c r="F7" s="364">
        <f>IFERROR(SUMPRODUCT((IFERROR(VLOOKUP('Invullen groen'!E17:E74,Tabellen!A:D,4,0),"")="verkeer, vervoer en waterstaat")*IFERROR('Invullen groen'!N17:N74*1,0)),0)</f>
        <v/>
      </c>
      <c r="G7" s="364">
        <f>IFERROR(SUMPRODUCT((IFERROR(VLOOKUP('Invullen groen'!E17:E74,Tabellen!A:D,4,0),"")="verkeer, vervoer en waterstaat")*IFERROR('Invullen groen'!O17:O74*1,0)),0)</f>
        <v/>
      </c>
    </row>
    <row r="8" ht="14" customHeight="1">
      <c r="A8" s="287" t="inlineStr">
        <is>
          <t>Economie</t>
        </is>
      </c>
      <c r="B8" s="364">
        <f>IFERROR(SUMPRODUCT((IFERROR(VLOOKUP('Invullen groen'!E17:E74,Tabellen!A:D,4,0),"")="economie")*('Invullen groen'!L17:L74&gt;0)*'Invullen groen'!L17:L74),0)</f>
        <v/>
      </c>
      <c r="C8" s="364">
        <f>IFERROR(SUMPRODUCT((IFERROR(VLOOKUP('Invullen groen'!E17:E74,Tabellen!A:D,4,0),"")="economie")*('Invullen groen'!L17:L74&lt;0)*'Invullen groen'!L17:L74),0)</f>
        <v/>
      </c>
      <c r="D8" s="371">
        <f>B8+C8</f>
        <v/>
      </c>
      <c r="E8" s="364">
        <f>IFERROR(SUMPRODUCT((IFERROR(VLOOKUP('Invullen groen'!E17:E74,Tabellen!A:D,4,0),"")="economie")*IFERROR('Invullen groen'!M17:M74*1,0)),0)</f>
        <v/>
      </c>
      <c r="F8" s="364">
        <f>IFERROR(SUMPRODUCT((IFERROR(VLOOKUP('Invullen groen'!E17:E74,Tabellen!A:D,4,0),"")="economie")*IFERROR('Invullen groen'!N17:N74*1,0)),0)</f>
        <v/>
      </c>
      <c r="G8" s="364">
        <f>IFERROR(SUMPRODUCT((IFERROR(VLOOKUP('Invullen groen'!E17:E74,Tabellen!A:D,4,0),"")="economie")*IFERROR('Invullen groen'!O17:O74*1,0)),0)</f>
        <v/>
      </c>
    </row>
    <row r="9" ht="14" customHeight="1">
      <c r="A9" s="287" t="inlineStr">
        <is>
          <t>Onderwijs</t>
        </is>
      </c>
      <c r="B9" s="364">
        <f>IFERROR(SUMPRODUCT((IFERROR(VLOOKUP('Invullen groen'!E17:E74,Tabellen!A:D,4,0),"")="onderwijs")*('Invullen groen'!L17:L74&gt;0)*'Invullen groen'!L17:L74),0)</f>
        <v/>
      </c>
      <c r="C9" s="364">
        <f>IFERROR(SUMPRODUCT((IFERROR(VLOOKUP('Invullen groen'!E17:E74,Tabellen!A:D,4,0),"")="onderwijs")*('Invullen groen'!L17:L74&lt;0)*'Invullen groen'!L17:L74),0)</f>
        <v/>
      </c>
      <c r="D9" s="371">
        <f>B9+C9</f>
        <v/>
      </c>
      <c r="E9" s="364">
        <f>IFERROR(SUMPRODUCT((IFERROR(VLOOKUP('Invullen groen'!E17:E74,Tabellen!A:D,4,0),"")="onderwijs")*IFERROR('Invullen groen'!M17:M74*1,0)),0)</f>
        <v/>
      </c>
      <c r="F9" s="364">
        <f>IFERROR(SUMPRODUCT((IFERROR(VLOOKUP('Invullen groen'!E17:E74,Tabellen!A:D,4,0),"")="onderwijs")*IFERROR('Invullen groen'!N17:N74*1,0)),0)</f>
        <v/>
      </c>
      <c r="G9" s="364">
        <f>IFERROR(SUMPRODUCT((IFERROR(VLOOKUP('Invullen groen'!E17:E74,Tabellen!A:D,4,0),"")="onderwijs")*IFERROR('Invullen groen'!O17:O74*1,0)),0)</f>
        <v/>
      </c>
    </row>
    <row r="10" ht="14" customHeight="1">
      <c r="A10" s="287" t="inlineStr">
        <is>
          <t>Sport, Cultuur En Recreatie</t>
        </is>
      </c>
      <c r="B10" s="364">
        <f>IFERROR(SUMPRODUCT((IFERROR(VLOOKUP('Invullen groen'!E17:E74,Tabellen!A:D,4,0),"")="sport, cultuur en recreatie")*('Invullen groen'!L17:L74&gt;0)*'Invullen groen'!L17:L74),0)</f>
        <v/>
      </c>
      <c r="C10" s="364">
        <f>IFERROR(SUMPRODUCT((IFERROR(VLOOKUP('Invullen groen'!E17:E74,Tabellen!A:D,4,0),"")="sport, cultuur en recreatie")*('Invullen groen'!L17:L74&lt;0)*'Invullen groen'!L17:L74),0)</f>
        <v/>
      </c>
      <c r="D10" s="371">
        <f>B10+C10</f>
        <v/>
      </c>
      <c r="E10" s="364">
        <f>IFERROR(SUMPRODUCT((IFERROR(VLOOKUP('Invullen groen'!E17:E74,Tabellen!A:D,4,0),"")="sport, cultuur en recreatie")*IFERROR('Invullen groen'!M17:M74*1,0)),0)</f>
        <v/>
      </c>
      <c r="F10" s="364">
        <f>IFERROR(SUMPRODUCT((IFERROR(VLOOKUP('Invullen groen'!E17:E74,Tabellen!A:D,4,0),"")="sport, cultuur en recreatie")*IFERROR('Invullen groen'!N17:N74*1,0)),0)</f>
        <v/>
      </c>
      <c r="G10" s="364">
        <f>IFERROR(SUMPRODUCT((IFERROR(VLOOKUP('Invullen groen'!E17:E74,Tabellen!A:D,4,0),"")="sport, cultuur en recreatie")*IFERROR('Invullen groen'!O17:O74*1,0)),0)</f>
        <v/>
      </c>
    </row>
    <row r="11" ht="14" customHeight="1">
      <c r="A11" s="287" t="inlineStr">
        <is>
          <t>Sociaal Domein</t>
        </is>
      </c>
      <c r="B11" s="364">
        <f>IFERROR(SUMPRODUCT((IFERROR(VLOOKUP('Invullen groen'!E17:E74,Tabellen!A:D,4,0),"")="sociaal domein")*('Invullen groen'!L17:L74&gt;0)*'Invullen groen'!L17:L74),0)</f>
        <v/>
      </c>
      <c r="C11" s="364">
        <f>IFERROR(SUMPRODUCT((IFERROR(VLOOKUP('Invullen groen'!E17:E74,Tabellen!A:D,4,0),"")="sociaal domein")*('Invullen groen'!L17:L74&lt;0)*'Invullen groen'!L17:L74),0)</f>
        <v/>
      </c>
      <c r="D11" s="371">
        <f>B11+C11</f>
        <v/>
      </c>
      <c r="E11" s="364">
        <f>IFERROR(SUMPRODUCT((IFERROR(VLOOKUP('Invullen groen'!E17:E74,Tabellen!A:D,4,0),"")="sociaal domein")*IFERROR('Invullen groen'!M17:M74*1,0)),0)</f>
        <v/>
      </c>
      <c r="F11" s="364">
        <f>IFERROR(SUMPRODUCT((IFERROR(VLOOKUP('Invullen groen'!E17:E74,Tabellen!A:D,4,0),"")="sociaal domein")*IFERROR('Invullen groen'!N17:N74*1,0)),0)</f>
        <v/>
      </c>
      <c r="G11" s="364">
        <f>IFERROR(SUMPRODUCT((IFERROR(VLOOKUP('Invullen groen'!E17:E74,Tabellen!A:D,4,0),"")="sociaal domein")*IFERROR('Invullen groen'!O17:O74*1,0)),0)</f>
        <v/>
      </c>
    </row>
    <row r="12" ht="14" customHeight="1">
      <c r="A12" s="287" t="inlineStr">
        <is>
          <t>Volksgezondheid En Milieu</t>
        </is>
      </c>
      <c r="B12" s="364">
        <f>IFERROR(SUMPRODUCT((IFERROR(VLOOKUP('Invullen groen'!E17:E74,Tabellen!A:D,4,0),"")="volksgezondheid en milieu")*('Invullen groen'!L17:L74&gt;0)*'Invullen groen'!L17:L74),0)</f>
        <v/>
      </c>
      <c r="C12" s="364">
        <f>IFERROR(SUMPRODUCT((IFERROR(VLOOKUP('Invullen groen'!E17:E74,Tabellen!A:D,4,0),"")="volksgezondheid en milieu")*('Invullen groen'!L17:L74&lt;0)*'Invullen groen'!L17:L74),0)</f>
        <v/>
      </c>
      <c r="D12" s="371">
        <f>B12+C12</f>
        <v/>
      </c>
      <c r="E12" s="364">
        <f>IFERROR(SUMPRODUCT((IFERROR(VLOOKUP('Invullen groen'!E17:E74,Tabellen!A:D,4,0),"")="volksgezondheid en milieu")*IFERROR('Invullen groen'!M17:M74*1,0)),0)</f>
        <v/>
      </c>
      <c r="F12" s="364">
        <f>IFERROR(SUMPRODUCT((IFERROR(VLOOKUP('Invullen groen'!E17:E74,Tabellen!A:D,4,0),"")="volksgezondheid en milieu")*IFERROR('Invullen groen'!N17:N74*1,0)),0)</f>
        <v/>
      </c>
      <c r="G12" s="364">
        <f>IFERROR(SUMPRODUCT((IFERROR(VLOOKUP('Invullen groen'!E17:E74,Tabellen!A:D,4,0),"")="volksgezondheid en milieu")*IFERROR('Invullen groen'!O17:O74*1,0)),0)</f>
        <v/>
      </c>
    </row>
    <row r="13" ht="14" customHeight="1">
      <c r="A13" s="287" t="inlineStr">
        <is>
          <t>Volkshuisv., Ro En Stedelijke Vernieuwing</t>
        </is>
      </c>
      <c r="B13" s="364">
        <f>IFERROR(SUMPRODUCT((IFERROR(VLOOKUP('Invullen groen'!E17:E74,Tabellen!A:D,4,0),"")="volkshuisv., ro en stedelijke vernieuwing")*('Invullen groen'!L17:L74&gt;0)*'Invullen groen'!L17:L74),0)</f>
        <v/>
      </c>
      <c r="C13" s="364">
        <f>IFERROR(SUMPRODUCT((IFERROR(VLOOKUP('Invullen groen'!E17:E74,Tabellen!A:D,4,0),"")="volkshuisv., ro en stedelijke vernieuwing")*('Invullen groen'!L17:L74&lt;0)*'Invullen groen'!L17:L74),0)</f>
        <v/>
      </c>
      <c r="D13" s="371">
        <f>B13+C13</f>
        <v/>
      </c>
      <c r="E13" s="364">
        <f>IFERROR(SUMPRODUCT((IFERROR(VLOOKUP('Invullen groen'!E17:E74,Tabellen!A:D,4,0),"")="volkshuisv., ro en stedelijke vernieuwing")*IFERROR('Invullen groen'!M17:M74*1,0)),0)</f>
        <v/>
      </c>
      <c r="F13" s="364">
        <f>IFERROR(SUMPRODUCT((IFERROR(VLOOKUP('Invullen groen'!E17:E74,Tabellen!A:D,4,0),"")="volkshuisv., ro en stedelijke vernieuwing")*IFERROR('Invullen groen'!N17:N74*1,0)),0)</f>
        <v/>
      </c>
      <c r="G13" s="364">
        <f>IFERROR(SUMPRODUCT((IFERROR(VLOOKUP('Invullen groen'!E17:E74,Tabellen!A:D,4,0),"")="volkshuisv., ro en stedelijke vernieuwing")*IFERROR('Invullen groen'!O17:O74*1,0)),0)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84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37" t="inlineStr">
        <is>
          <t>Begin saldo financiële foto (vóór wijziging)</t>
        </is>
      </c>
      <c r="B16" s="438" t="n"/>
      <c r="C16" s="438" t="n"/>
      <c r="D16" s="438" t="n"/>
      <c r="E16" s="438" t="n"/>
      <c r="F16" s="438" t="n"/>
      <c r="G16" s="438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  <row r="20">
      <c r="A20" s="429" t="inlineStr">
        <is>
          <t>Controle exploitatie (moet 0 zijn)</t>
        </is>
      </c>
      <c r="B20" s="430">
        <f>IFERROR('Invullen groen'!L112,0)</f>
        <v/>
      </c>
      <c r="C20" s="394" t="n"/>
      <c r="D20" s="394" t="n"/>
      <c r="E20" s="394" t="n"/>
      <c r="F20" s="394" t="n"/>
      <c r="G20" s="394" t="n"/>
    </row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groen'!L78&lt;&gt;0,'Invullen groen'!A78,""),"")</f>
        <v/>
      </c>
      <c r="G6" s="287">
        <f>IFERROR(IF('Invullen groen'!L78&lt;&gt;0,'Invullen groen'!G78,""),"")</f>
        <v/>
      </c>
      <c r="H6" s="364">
        <f>IFERROR(IF('Invullen groen'!L78&lt;&gt;0,'Invullen groen'!L78,""),"")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groen'!L79&lt;&gt;0,'Invullen groen'!A79,""),"")</f>
        <v/>
      </c>
      <c r="G7" s="287">
        <f>IFERROR(IF('Invullen groen'!L79&lt;&gt;0,'Invullen groen'!G79,""),"")</f>
        <v/>
      </c>
      <c r="H7" s="364">
        <f>IFERROR(IF('Invullen groen'!L79&lt;&gt;0,'Invullen groen'!L79,""),"")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groen'!L80&lt;&gt;0,'Invullen groen'!A80,""),"")</f>
        <v/>
      </c>
      <c r="G8" s="287">
        <f>IFERROR(IF('Invullen groen'!L80&lt;&gt;0,'Invullen groen'!G80,""),"")</f>
        <v/>
      </c>
      <c r="H8" s="364">
        <f>IFERROR(IF('Invullen groen'!L80&lt;&gt;0,'Invullen groen'!L80,""),"")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groen'!L81&lt;&gt;0,'Invullen groen'!A81,""),"")</f>
        <v/>
      </c>
      <c r="G9" s="287">
        <f>IFERROR(IF('Invullen groen'!L81&lt;&gt;0,'Invullen groen'!G81,""),"")</f>
        <v/>
      </c>
      <c r="H9" s="364">
        <f>IFERROR(IF('Invullen groen'!L81&lt;&gt;0,'Invullen groen'!L81,""),"")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groen'!L82&lt;&gt;0,'Invullen groen'!A82,""),"")</f>
        <v/>
      </c>
      <c r="G10" s="287">
        <f>IFERROR(IF('Invullen groen'!L82&lt;&gt;0,'Invullen groen'!G82,""),"")</f>
        <v/>
      </c>
      <c r="H10" s="364">
        <f>IFERROR(IF('Invullen groen'!L82&lt;&gt;0,'Invullen groen'!L82,""),"")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groen'!L83&lt;&gt;0,'Invullen groen'!A83,""),"")</f>
        <v/>
      </c>
      <c r="G11" s="287">
        <f>IFERROR(IF('Invullen groen'!L83&lt;&gt;0,'Invullen groen'!G83,""),"")</f>
        <v/>
      </c>
      <c r="H11" s="364">
        <f>IFERROR(IF('Invullen groen'!L83&lt;&gt;0,'Invullen groen'!L83,""),"")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groen'!L84&lt;&gt;0,'Invullen groen'!A84,""),"")</f>
        <v/>
      </c>
      <c r="G12" s="287">
        <f>IFERROR(IF('Invullen groen'!L84&lt;&gt;0,'Invullen groen'!G84,""),"")</f>
        <v/>
      </c>
      <c r="H12" s="364">
        <f>IFERROR(IF('Invullen groen'!L84&lt;&gt;0,'Invullen groen'!L84,""),"")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groen'!L85&lt;&gt;0,'Invullen groen'!A85,""),"")</f>
        <v/>
      </c>
      <c r="G13" s="287">
        <f>IFERROR(IF('Invullen groen'!L85&lt;&gt;0,'Invullen groen'!G85,""),"")</f>
        <v/>
      </c>
      <c r="H13" s="364">
        <f>IFERROR(IF('Invullen groen'!L85&lt;&gt;0,'Invullen groen'!L85,""),"")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groen'!L86&lt;&gt;0,'Invullen groen'!A86,""),"")</f>
        <v/>
      </c>
      <c r="G14" s="287">
        <f>IFERROR(IF('Invullen groen'!L86&lt;&gt;0,'Invullen groen'!G86,""),"")</f>
        <v/>
      </c>
      <c r="H14" s="364">
        <f>IFERROR(IF('Invullen groen'!L86&lt;&gt;0,'Invullen groen'!L86,""),"")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groen'!L87&lt;&gt;0,'Invullen groen'!A87,""),"")</f>
        <v/>
      </c>
      <c r="G15" s="287">
        <f>IFERROR(IF('Invullen groen'!L87&lt;&gt;0,'Invullen groen'!G87,""),"")</f>
        <v/>
      </c>
      <c r="H15" s="364">
        <f>IFERROR(IF('Invullen groen'!L87&lt;&gt;0,'Invullen groen'!L87,""),"")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groen'!L88&lt;&gt;0,'Invullen groen'!A88,""),"")</f>
        <v/>
      </c>
      <c r="G16" s="287">
        <f>IFERROR(IF('Invullen groen'!L88&lt;&gt;0,'Invullen groen'!G88,""),"")</f>
        <v/>
      </c>
      <c r="H16" s="364">
        <f>IFERROR(IF('Invullen groen'!L88&lt;&gt;0,'Invullen groen'!L88,""),"")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groen'!L89&lt;&gt;0,'Invullen groen'!A89,""),"")</f>
        <v/>
      </c>
      <c r="G17" s="287">
        <f>IFERROR(IF('Invullen groen'!L89&lt;&gt;0,'Invullen groen'!G89,""),"")</f>
        <v/>
      </c>
      <c r="H17" s="364">
        <f>IFERROR(IF('Invullen groen'!L89&lt;&gt;0,'Invullen groen'!L89,""),"")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groen'!L90&lt;&gt;0,'Invullen groen'!A90,""),"")</f>
        <v/>
      </c>
      <c r="G18" s="287">
        <f>IFERROR(IF('Invullen groen'!L90&lt;&gt;0,'Invullen groen'!G90,""),"")</f>
        <v/>
      </c>
      <c r="H18" s="364">
        <f>IFERROR(IF('Invullen groen'!L90&lt;&gt;0,'Invullen groen'!L90,""),"")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groen'!L91&lt;&gt;0,'Invullen groen'!A91,""),"")</f>
        <v/>
      </c>
      <c r="G19" s="287">
        <f>IFERROR(IF('Invullen groen'!L91&lt;&gt;0,'Invullen groen'!G91,""),"")</f>
        <v/>
      </c>
      <c r="H19" s="364">
        <f>IFERROR(IF('Invullen groen'!L91&lt;&gt;0,'Invullen groen'!L91,""),"")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groen'!L92&lt;&gt;0,'Invullen groen'!A92,""),"")</f>
        <v/>
      </c>
      <c r="G20" s="287">
        <f>IFERROR(IF('Invullen groen'!L92&lt;&gt;0,'Invullen groen'!G92,""),"")</f>
        <v/>
      </c>
      <c r="H20" s="364">
        <f>IFERROR(IF('Invullen groen'!L92&lt;&gt;0,'Invullen groen'!L92,""),"")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groen'!L93&lt;&gt;0,'Invullen groen'!A93,""),"")</f>
        <v/>
      </c>
      <c r="G21" s="287">
        <f>IFERROR(IF('Invullen groen'!L93&lt;&gt;0,'Invullen groen'!G93,""),"")</f>
        <v/>
      </c>
      <c r="H21" s="364">
        <f>IFERROR(IF('Invullen groen'!L93&lt;&gt;0,'Invullen groen'!L93,""),"")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groen'!L94&lt;&gt;0,'Invullen groen'!A94,""),"")</f>
        <v/>
      </c>
      <c r="G22" s="287">
        <f>IFERROR(IF('Invullen groen'!L94&lt;&gt;0,'Invullen groen'!G94,""),"")</f>
        <v/>
      </c>
      <c r="H22" s="364">
        <f>IFERROR(IF('Invullen groen'!L94&lt;&gt;0,'Invullen groen'!L94,""),"")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groen'!L95&lt;&gt;0,'Invullen groen'!A95,""),"")</f>
        <v/>
      </c>
      <c r="G23" s="287">
        <f>IFERROR(IF('Invullen groen'!L95&lt;&gt;0,'Invullen groen'!G95,""),"")</f>
        <v/>
      </c>
      <c r="H23" s="364">
        <f>IFERROR(IF('Invullen groen'!L95&lt;&gt;0,'Invullen groen'!L95,""),"")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groen'!L96&lt;&gt;0,'Invullen groen'!A96,""),"")</f>
        <v/>
      </c>
      <c r="G24" s="287">
        <f>IFERROR(IF('Invullen groen'!L96&lt;&gt;0,'Invullen groen'!G96,""),"")</f>
        <v/>
      </c>
      <c r="H24" s="364">
        <f>IFERROR(IF('Invullen groen'!L96&lt;&gt;0,'Invullen groen'!L96,""),"")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groen'!L97&lt;&gt;0,'Invullen groen'!A97,""),"")</f>
        <v/>
      </c>
      <c r="G25" s="287">
        <f>IFERROR(IF('Invullen groen'!L97&lt;&gt;0,'Invullen groen'!G97,""),"")</f>
        <v/>
      </c>
      <c r="H25" s="364">
        <f>IFERROR(IF('Invullen groen'!L97&lt;&gt;0,'Invullen groen'!L97,""),"")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groen'!L98&lt;&gt;0,'Invullen groen'!A98,""),"")</f>
        <v/>
      </c>
      <c r="G26" s="287">
        <f>IFERROR(IF('Invullen groen'!L98&lt;&gt;0,'Invullen groen'!G98,""),"")</f>
        <v/>
      </c>
      <c r="H26" s="364">
        <f>IFERROR(IF('Invullen groen'!L98&lt;&gt;0,'Invullen groen'!L98,""),"")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groen'!L99&lt;&gt;0,'Invullen groen'!A99,""),"")</f>
        <v/>
      </c>
      <c r="G27" s="287">
        <f>IFERROR(IF('Invullen groen'!L99&lt;&gt;0,'Invullen groen'!G99,""),"")</f>
        <v/>
      </c>
      <c r="H27" s="364">
        <f>IFERROR(IF('Invullen groen'!L99&lt;&gt;0,'Invullen groen'!L99,""),"")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groen'!L100&lt;&gt;0,'Invullen groen'!A100,""),"")</f>
        <v/>
      </c>
      <c r="G28" s="287">
        <f>IFERROR(IF('Invullen groen'!L100&lt;&gt;0,'Invullen groen'!G100,""),"")</f>
        <v/>
      </c>
      <c r="H28" s="364">
        <f>IFERROR(IF('Invullen groen'!L100&lt;&gt;0,'Invullen groen'!L100,""),"")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groen'!L101&lt;&gt;0,'Invullen groen'!A101,""),"")</f>
        <v/>
      </c>
      <c r="G29" s="287">
        <f>IFERROR(IF('Invullen groen'!L101&lt;&gt;0,'Invullen groen'!G101,""),"")</f>
        <v/>
      </c>
      <c r="H29" s="364">
        <f>IFERROR(IF('Invullen groen'!L101&lt;&gt;0,'Invullen groen'!L101,""),"")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groen'!L102&lt;&gt;0,'Invullen groen'!A102,""),"")</f>
        <v/>
      </c>
      <c r="G30" s="287">
        <f>IFERROR(IF('Invullen groen'!L102&lt;&gt;0,'Invullen groen'!G102,""),"")</f>
        <v/>
      </c>
      <c r="H30" s="364">
        <f>IFERROR(IF('Invullen groen'!L102&lt;&gt;0,'Invullen groen'!L102,""),"")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groen'!L103&lt;&gt;0,'Invullen groen'!A103,""),"")</f>
        <v/>
      </c>
      <c r="G31" s="287">
        <f>IFERROR(IF('Invullen groen'!L103&lt;&gt;0,'Invullen groen'!G103,""),"")</f>
        <v/>
      </c>
      <c r="H31" s="364">
        <f>IFERROR(IF('Invullen groen'!L103&lt;&gt;0,'Invullen groen'!L103,""),"")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groen'!L104&lt;&gt;0,'Invullen groen'!A104,""),"")</f>
        <v/>
      </c>
      <c r="G32" s="287">
        <f>IFERROR(IF('Invullen groen'!L104&lt;&gt;0,'Invullen groen'!G104,""),"")</f>
        <v/>
      </c>
      <c r="H32" s="364">
        <f>IFERROR(IF('Invullen groen'!L104&lt;&gt;0,'Invullen groen'!L104,""),"")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groen'!L105&lt;&gt;0,'Invullen groen'!A105,""),"")</f>
        <v/>
      </c>
      <c r="G33" s="287">
        <f>IFERROR(IF('Invullen groen'!L105&lt;&gt;0,'Invullen groen'!G105,""),"")</f>
        <v/>
      </c>
      <c r="H33" s="364">
        <f>IFERROR(IF('Invullen groen'!L105&lt;&gt;0,'Invullen groen'!L105,""),"")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groen'!L106&lt;&gt;0,'Invullen groen'!A106,""),"")</f>
        <v/>
      </c>
      <c r="G34" s="287">
        <f>IFERROR(IF('Invullen groen'!L106&lt;&gt;0,'Invullen groen'!G106,""),"")</f>
        <v/>
      </c>
      <c r="H34" s="364">
        <f>IFERROR(IF('Invullen groen'!L106&lt;&gt;0,'Invullen groen'!L106,""),"")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groen'!L107&lt;&gt;0,'Invullen groen'!A107,""),"")</f>
        <v/>
      </c>
      <c r="G35" s="287">
        <f>IFERROR(IF('Invullen groen'!L107&lt;&gt;0,'Invullen groen'!G107,""),"")</f>
        <v/>
      </c>
      <c r="H35" s="364">
        <f>IFERROR(IF('Invullen groen'!L107&lt;&gt;0,'Invullen groen'!L107,""),"")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groen'!L108&lt;&gt;0,'Invullen groen'!A108,""),"")</f>
        <v/>
      </c>
      <c r="G36" s="287">
        <f>IFERROR(IF('Invullen groen'!L108&lt;&gt;0,'Invullen groen'!G108,""),"")</f>
        <v/>
      </c>
      <c r="H36" s="364">
        <f>IFERROR(IF('Invullen groen'!L108&lt;&gt;0,'Invullen groen'!L108,""),"")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groen'!L109&lt;&gt;0,'Invullen groen'!A109,""),"")</f>
        <v/>
      </c>
      <c r="G37" s="287">
        <f>IFERROR(IF('Invullen groen'!L109&lt;&gt;0,'Invullen groen'!G109,""),"")</f>
        <v/>
      </c>
      <c r="H37" s="364">
        <f>IFERROR(IF('Invullen groen'!L109&lt;&gt;0,'Invullen groen'!L109,""),"")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 t="n"/>
      <c r="G38" s="287" t="n"/>
      <c r="H38" s="364" t="n"/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 t="n"/>
      <c r="G39" s="287" t="n"/>
      <c r="H39" s="364" t="n"/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 t="n"/>
      <c r="G40" s="287" t="n"/>
      <c r="H40" s="364" t="n"/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 t="n"/>
      <c r="G41" s="287" t="n"/>
      <c r="H41" s="364" t="n"/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 t="n"/>
      <c r="G42" s="287" t="n"/>
      <c r="H42" s="364" t="n"/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 t="n"/>
      <c r="G43" s="287" t="n"/>
      <c r="H43" s="364" t="n"/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 t="n"/>
      <c r="G44" s="287" t="n"/>
      <c r="H44" s="364" t="n"/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 t="n"/>
      <c r="G45" s="287" t="n"/>
      <c r="H45" s="364" t="n"/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 t="n"/>
      <c r="G46" s="287" t="n"/>
      <c r="H46" s="364" t="n"/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 t="n"/>
      <c r="G47" s="287" t="n"/>
      <c r="H47" s="364" t="n"/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 t="n"/>
      <c r="G48" s="287" t="n"/>
      <c r="H48" s="364" t="n"/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 t="n"/>
      <c r="G49" s="287" t="n"/>
      <c r="H49" s="364" t="n"/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 t="n"/>
      <c r="G50" s="287" t="n"/>
      <c r="H50" s="364" t="n"/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 t="n"/>
      <c r="G51" s="287" t="n"/>
      <c r="H51" s="364" t="n"/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 t="n"/>
      <c r="G52" s="287" t="n"/>
      <c r="H52" s="364" t="n"/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 t="n"/>
      <c r="G53" s="287" t="n"/>
      <c r="H53" s="364" t="n"/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 t="n"/>
      <c r="G54" s="287" t="n"/>
      <c r="H54" s="364" t="n"/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 t="n"/>
      <c r="G55" s="287" t="n"/>
      <c r="H55" s="364" t="n"/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 t="n"/>
      <c r="G56" s="287" t="n"/>
      <c r="H56" s="364" t="n"/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 t="n"/>
      <c r="G57" s="287" t="n"/>
      <c r="H57" s="364" t="n"/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 t="n"/>
      <c r="G58" s="287" t="n"/>
      <c r="H58" s="364" t="n"/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 t="n"/>
      <c r="G59" s="287" t="n"/>
      <c r="H59" s="364" t="n"/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 t="n"/>
      <c r="G60" s="287" t="n"/>
      <c r="H60" s="364" t="n"/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 t="n"/>
      <c r="G61" s="287" t="n"/>
      <c r="H61" s="364" t="n"/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 t="n"/>
      <c r="G62" s="287" t="n"/>
      <c r="H62" s="364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4" customHeight="1">
      <c r="A64" s="431" t="inlineStr">
        <is>
          <t>Totaal lasten</t>
        </is>
      </c>
      <c r="B64" s="287" t="n"/>
      <c r="C64" s="287" t="n"/>
      <c r="D64" s="432">
        <f>SUM(D6:D62)</f>
        <v/>
      </c>
      <c r="F64" s="431" t="inlineStr">
        <is>
          <t>Totaal dekking / baten</t>
        </is>
      </c>
      <c r="G64" s="287" t="n"/>
      <c r="H64" s="432">
        <f>SUM(H6:H62)</f>
        <v/>
      </c>
    </row>
    <row r="65" ht="14" customHeight="1">
      <c r="A65" s="433">
        <f>IF(D64+H64=0,"✓  Budgettair neutraal — saldo = 0","⚠  Niet gedekt — saldo: "&amp;TEXT(D64+H64,"#.##0"))</f>
        <v/>
      </c>
      <c r="B65" s="434" t="n"/>
      <c r="C65" s="434" t="n"/>
      <c r="D65" s="435" t="n"/>
      <c r="E65" s="394" t="n"/>
      <c r="F65" s="434" t="n"/>
      <c r="G65" s="434" t="n"/>
      <c r="H65" s="435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2026-06-26T10:51:33Z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